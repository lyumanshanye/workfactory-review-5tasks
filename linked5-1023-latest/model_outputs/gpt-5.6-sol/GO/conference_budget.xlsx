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'Options'!$A$13:$T$23</definedName>
    <definedName name="_xlnm._FilterDatabase" localSheetId="1" hidden="1">'Daily'!$A$4:$N$3654</definedName>
    <definedName name="_xlnm._FilterDatabase" localSheetId="2" hidden="1">'Sources'!$A$4:$H$27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x"/>
    <numFmt numFmtId="166" formatCode="0.0%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C00000"/>
    </font>
    <font>
      <name val="Aptos"/>
      <b val="1"/>
      <color rgb="00FFFFFF"/>
      <sz val="10"/>
    </font>
    <font>
      <name val="Aptos"/>
      <color theme="1"/>
      <sz val="10"/>
    </font>
    <font>
      <name val="Aptos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166" fontId="5" fillId="3" borderId="1" applyAlignment="1" pivotButton="0" quotePrefix="0" xfId="0">
      <alignment vertical="center"/>
    </xf>
    <xf numFmtId="49" fontId="5" fillId="3" borderId="1" applyAlignment="1" pivotButton="0" quotePrefix="0" xfId="0">
      <alignment vertical="center"/>
    </xf>
    <xf numFmtId="167" fontId="5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167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26"/>
  <sheetViews>
    <sheetView showGridLines="0" zoomScale="85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4" customWidth="1" min="10" max="10"/>
    <col width="15" customWidth="1" min="11" max="11"/>
    <col width="12" customWidth="1" min="12" max="12"/>
    <col width="15" customWidth="1" min="13" max="13"/>
    <col width="17" customWidth="1" min="14" max="14"/>
    <col width="15" customWidth="1" min="15" max="15"/>
    <col width="17" customWidth="1" min="16" max="16"/>
    <col width="15" customWidth="1" min="17" max="17"/>
    <col width="16" customWidth="1" min="18" max="18"/>
    <col width="10" customWidth="1" min="19" max="19"/>
    <col width="14" customWidth="1" min="20" max="20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>
      <c r="A1" s="1" t="inlineStr">
        <is>
          <t>集中培训会务方案比较｜FY2027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>
        <is>
          <t>修改黄色参数后，Options/Daily自动回算；Word/PPT/CSV为2026-10-23快照，参数变化后必须重新核对并导出。待询价项目未计入，任何“预算内”仅指已知费用。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4" t="inlineStr">
        <is>
          <t>可调整参数</t>
        </is>
      </c>
      <c r="B4" s="5" t="n"/>
      <c r="C4" s="5" t="n"/>
      <c r="D4" s="4" t="inlineStr">
        <is>
          <t>参数约束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inlineStr">
        <is>
          <t>城市</t>
        </is>
      </c>
      <c r="W4" s="5" t="inlineStr">
        <is>
          <t>票价</t>
        </is>
      </c>
      <c r="X4" s="5" t="inlineStr">
        <is>
          <t>酒店报价</t>
        </is>
      </c>
      <c r="Y4" s="5" t="inlineStr">
        <is>
          <t>MIE</t>
        </is>
      </c>
      <c r="Z4" s="5" t="inlineStr">
        <is>
          <t>当地RT</t>
        </is>
      </c>
      <c r="AA4" s="5" t="inlineStr">
        <is>
          <t>11/28上限</t>
        </is>
      </c>
      <c r="AB4" s="5" t="inlineStr">
        <is>
          <t>11/29上限</t>
        </is>
      </c>
      <c r="AC4" s="5" t="inlineStr">
        <is>
          <t>11/30上限</t>
        </is>
      </c>
      <c r="AD4" s="5" t="inlineStr">
        <is>
          <t>12/1上限</t>
        </is>
      </c>
    </row>
    <row r="5">
      <c r="A5" s="5" t="inlineStr">
        <is>
          <t>批准预算上限</t>
        </is>
      </c>
      <c r="B5" s="6" t="n">
        <v>53000</v>
      </c>
      <c r="C5" s="5" t="n"/>
      <c r="D5" s="5" t="inlineStr">
        <is>
          <t>$0–$100,000（含储备）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inlineStr">
        <is>
          <t>Chicago</t>
        </is>
      </c>
      <c r="W5" s="5" t="n">
        <v>271</v>
      </c>
      <c r="X5" s="5" t="n">
        <v>126</v>
      </c>
      <c r="Y5" s="5" t="n">
        <v>92</v>
      </c>
      <c r="Z5" s="5" t="n">
        <v>10</v>
      </c>
      <c r="AA5" s="5" t="n">
        <v>232</v>
      </c>
      <c r="AB5" s="5" t="n">
        <v>232</v>
      </c>
      <c r="AC5" s="5" t="n">
        <v>232</v>
      </c>
      <c r="AD5" s="5" t="n">
        <v>148</v>
      </c>
    </row>
    <row r="6">
      <c r="A6" s="5" t="inlineStr">
        <is>
          <t>票价调整系数</t>
        </is>
      </c>
      <c r="B6" s="7" t="n">
        <v>1</v>
      </c>
      <c r="C6" s="5" t="n"/>
      <c r="D6" s="5" t="inlineStr">
        <is>
          <t>0.5–2；压力情景在调整后再×1.20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inlineStr">
        <is>
          <t>Denver</t>
        </is>
      </c>
      <c r="W6" s="5" t="n">
        <v>466</v>
      </c>
      <c r="X6" s="5" t="n">
        <v>75</v>
      </c>
      <c r="Y6" s="5" t="n">
        <v>92</v>
      </c>
      <c r="Z6" s="5" t="n">
        <v>20</v>
      </c>
      <c r="AA6" s="5" t="n">
        <v>170</v>
      </c>
      <c r="AB6" s="5" t="n">
        <v>170</v>
      </c>
      <c r="AC6" s="5" t="n">
        <v>170</v>
      </c>
      <c r="AD6" s="5" t="n">
        <v>170</v>
      </c>
    </row>
    <row r="7">
      <c r="A7" s="5" t="inlineStr">
        <is>
          <t>应急储备比例</t>
        </is>
      </c>
      <c r="B7" s="8" t="n">
        <v>0.05</v>
      </c>
      <c r="C7" s="5" t="n"/>
      <c r="D7" s="5" t="inlineStr">
        <is>
          <t>0–20%；基础费用小计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inlineStr">
        <is>
          <t>Phoenix</t>
        </is>
      </c>
      <c r="W7" s="5" t="n">
        <v>581</v>
      </c>
      <c r="X7" s="5" t="n">
        <v>93</v>
      </c>
      <c r="Y7" s="5" t="n">
        <v>86</v>
      </c>
      <c r="Z7" s="5" t="n">
        <v>4</v>
      </c>
      <c r="AA7" s="5" t="n">
        <v>165</v>
      </c>
      <c r="AB7" s="5" t="n">
        <v>165</v>
      </c>
      <c r="AC7" s="5" t="n">
        <v>165</v>
      </c>
      <c r="AD7" s="5" t="n">
        <v>165</v>
      </c>
    </row>
    <row r="8">
      <c r="A8" s="5" t="inlineStr">
        <is>
          <t>11月29日政府提供早餐</t>
        </is>
      </c>
      <c r="B8" s="9" t="inlineStr">
        <is>
          <t>否</t>
        </is>
      </c>
      <c r="C8" s="5" t="n"/>
      <c r="D8" s="5" t="inlineStr">
        <is>
          <t>是/否；“是”不新增采购费用但扣早餐M&amp;IE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inlineStr">
        <is>
          <t>Boston</t>
        </is>
      </c>
      <c r="W8" s="5" t="n">
        <v>330</v>
      </c>
      <c r="X8" s="5" t="n">
        <v>202</v>
      </c>
      <c r="Y8" s="5" t="n">
        <v>92</v>
      </c>
      <c r="Z8" s="5" t="n">
        <v>5</v>
      </c>
      <c r="AA8" s="5" t="n">
        <v>213</v>
      </c>
      <c r="AB8" s="5" t="n">
        <v>213</v>
      </c>
      <c r="AC8" s="5" t="n">
        <v>213</v>
      </c>
      <c r="AD8" s="5" t="n">
        <v>213</v>
      </c>
    </row>
    <row r="9">
      <c r="A9" s="5" t="inlineStr">
        <is>
          <t>抵达日期</t>
        </is>
      </c>
      <c r="B9" s="10" t="n">
        <v>46354</v>
      </c>
      <c r="C9" s="5" t="n"/>
      <c r="D9" s="5" t="inlineStr">
        <is>
          <t>不得晚于2026-11-29；预算按实际住宿夜数回算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inlineStr">
        <is>
          <t>Seattle</t>
        </is>
      </c>
      <c r="W9" s="5" t="n">
        <v>977</v>
      </c>
      <c r="X9" s="5" t="n">
        <v>170</v>
      </c>
      <c r="Y9" s="5" t="n">
        <v>92</v>
      </c>
      <c r="Z9" s="5" t="n">
        <v>6</v>
      </c>
      <c r="AA9" s="5" t="n">
        <v>188</v>
      </c>
      <c r="AB9" s="5" t="n">
        <v>188</v>
      </c>
      <c r="AC9" s="5" t="n">
        <v>188</v>
      </c>
      <c r="AD9" s="5" t="n">
        <v>188</v>
      </c>
    </row>
    <row r="10">
      <c r="A10" s="5" t="inlineStr">
        <is>
          <t>返程日期</t>
        </is>
      </c>
      <c r="B10" s="10" t="n">
        <v>46358</v>
      </c>
      <c r="C10" s="5" t="n"/>
      <c r="D10" s="5" t="inlineStr">
        <is>
          <t>不得早于2026-12-02；预算按实际住宿夜数回算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11" t="inlineStr">
        <is>
          <t>城市</t>
        </is>
      </c>
      <c r="B13" s="11" t="inlineStr">
        <is>
          <t>人数</t>
        </is>
      </c>
      <c r="C13" s="11" t="inlineStr">
        <is>
          <t>调整后机票</t>
        </is>
      </c>
      <c r="D13" s="11" t="inlineStr">
        <is>
          <t>住宿含12%税</t>
        </is>
      </c>
      <c r="E13" s="11" t="inlineStr">
        <is>
          <t>M&amp;IE净额</t>
        </is>
      </c>
      <c r="F13" s="11" t="inlineStr">
        <is>
          <t>注册费</t>
        </is>
      </c>
      <c r="G13" s="11" t="inlineStr">
        <is>
          <t>机构供餐</t>
        </is>
      </c>
      <c r="H13" s="11" t="inlineStr">
        <is>
          <t>总部↔DCA</t>
        </is>
      </c>
      <c r="I13" s="11" t="inlineStr">
        <is>
          <t>当地交通</t>
        </is>
      </c>
      <c r="J13" s="11" t="inlineStr">
        <is>
          <t>场地/茶歇</t>
        </is>
      </c>
      <c r="K13" s="11" t="inlineStr">
        <is>
          <t>基础已知小计</t>
        </is>
      </c>
      <c r="L13" s="11" t="inlineStr">
        <is>
          <t>应急储备</t>
        </is>
      </c>
      <c r="M13" s="11" t="inlineStr">
        <is>
          <t>已知含储备</t>
        </is>
      </c>
      <c r="N13" s="11" t="inlineStr">
        <is>
          <t>场地等可用余额</t>
        </is>
      </c>
      <c r="O13" s="11" t="inlineStr">
        <is>
          <t>已知费用判定</t>
        </is>
      </c>
      <c r="P13" s="11" t="inlineStr">
        <is>
          <t>证据完整性</t>
        </is>
      </c>
      <c r="Q13" s="11" t="inlineStr">
        <is>
          <t>压力含储备</t>
        </is>
      </c>
      <c r="R13" s="11" t="inlineStr">
        <is>
          <t>压力判定</t>
        </is>
      </c>
      <c r="S13" s="11" t="inlineStr">
        <is>
          <t>排序</t>
        </is>
      </c>
      <c r="T13" s="11" t="inlineStr">
        <is>
          <t>临时结论</t>
        </is>
      </c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>
      <c r="A14" s="12" t="inlineStr">
        <is>
          <t>Chicago</t>
        </is>
      </c>
      <c r="B14" s="5" t="n">
        <v>18</v>
      </c>
      <c r="C14" s="13">
        <f>$B14*$B$6*$W$5</f>
        <v/>
      </c>
      <c r="D14" s="13">
        <f>$B14*1.12*MAX(0,$B$10-$B$9)*$X$5</f>
        <v/>
      </c>
      <c r="E14" s="13">
        <f>$B14*(234.0-IF($B$8="是",23,0)+MAX(0,$B$10-$B$9-4)*92)</f>
        <v/>
      </c>
      <c r="F14" s="13">
        <f>$B14*180</f>
        <v/>
      </c>
      <c r="G14" s="13">
        <f>$B14*102</f>
        <v/>
      </c>
      <c r="H14" s="13">
        <f>$B14*12</f>
        <v/>
      </c>
      <c r="I14" s="13">
        <f>$B14*$Z$5</f>
        <v/>
      </c>
      <c r="J14" s="14" t="n">
        <v>0</v>
      </c>
      <c r="K14" s="13">
        <f>SUM(C14:J14)</f>
        <v/>
      </c>
      <c r="L14" s="13">
        <f>K14*$B$7</f>
        <v/>
      </c>
      <c r="M14" s="13">
        <f>K14+L14</f>
        <v/>
      </c>
      <c r="N14" s="13">
        <f>MAX(0,$B$5-M14)</f>
        <v/>
      </c>
      <c r="O14" s="5">
        <f>IF(M14&lt;=$B$5,"已知费用内","超预算")</f>
        <v/>
      </c>
      <c r="P14" s="15" t="inlineStr">
        <is>
          <t>待询价—阻断</t>
        </is>
      </c>
      <c r="Q14" s="13">
        <f>(K14+C14*20%)*(1+$B$7)</f>
        <v/>
      </c>
      <c r="R14" s="5">
        <f>IF(Q14&lt;=$B$5,"压力已知费用内","压力超预算")</f>
        <v/>
      </c>
      <c r="S14" s="5">
        <f>IF(O14="超预算",999999,(24-B14)*1000000+M14+COUNTIF($A$14:A14,A14)/1000)</f>
        <v/>
      </c>
      <c r="T14" s="5">
        <f>IF(AND(B14=MAXIFS($B$14:$B$23,$O$14:$O$23,"已知费用内"),S14=MINIFS($S$14:$S$23,$B$14:$B$23,B14,$O$14:$O$23,"已知费用内")),"临时推荐*",IF(O14="已知费用内","备选*","排除"))</f>
        <v/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>
      <c r="A15" s="12" t="inlineStr">
        <is>
          <t>Chicago</t>
        </is>
      </c>
      <c r="B15" s="5" t="n">
        <v>24</v>
      </c>
      <c r="C15" s="13">
        <f>$B15*$B$6*$W$5</f>
        <v/>
      </c>
      <c r="D15" s="13">
        <f>$B15*1.12*MAX(0,$B$10-$B$9)*$X$5</f>
        <v/>
      </c>
      <c r="E15" s="13">
        <f>$B15*(234.0-IF($B$8="是",23,0)+MAX(0,$B$10-$B$9-4)*92)</f>
        <v/>
      </c>
      <c r="F15" s="13">
        <f>$B15*180</f>
        <v/>
      </c>
      <c r="G15" s="13">
        <f>$B15*102</f>
        <v/>
      </c>
      <c r="H15" s="13">
        <f>$B15*12</f>
        <v/>
      </c>
      <c r="I15" s="13">
        <f>$B15*$Z$5</f>
        <v/>
      </c>
      <c r="J15" s="14" t="n">
        <v>0</v>
      </c>
      <c r="K15" s="13">
        <f>SUM(C15:J15)</f>
        <v/>
      </c>
      <c r="L15" s="13">
        <f>K15*$B$7</f>
        <v/>
      </c>
      <c r="M15" s="13">
        <f>K15+L15</f>
        <v/>
      </c>
      <c r="N15" s="13">
        <f>MAX(0,$B$5-M15)</f>
        <v/>
      </c>
      <c r="O15" s="5">
        <f>IF(M15&lt;=$B$5,"已知费用内","超预算")</f>
        <v/>
      </c>
      <c r="P15" s="15" t="inlineStr">
        <is>
          <t>待询价—阻断</t>
        </is>
      </c>
      <c r="Q15" s="13">
        <f>(K15+C15*20%)*(1+$B$7)</f>
        <v/>
      </c>
      <c r="R15" s="5">
        <f>IF(Q15&lt;=$B$5,"压力已知费用内","压力超预算")</f>
        <v/>
      </c>
      <c r="S15" s="5">
        <f>IF(O15="超预算",999999,(24-B15)*1000000+M15+COUNTIF($A$14:A15,A15)/1000)</f>
        <v/>
      </c>
      <c r="T15" s="5">
        <f>IF(AND(B15=MAXIFS($B$14:$B$23,$O$14:$O$23,"已知费用内"),S15=MINIFS($S$14:$S$23,$B$14:$B$23,B15,$O$14:$O$23,"已知费用内")),"临时推荐*",IF(O15="已知费用内","备选*","排除"))</f>
        <v/>
      </c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>
      <c r="A16" s="12" t="inlineStr">
        <is>
          <t>Denver</t>
        </is>
      </c>
      <c r="B16" s="5" t="n">
        <v>18</v>
      </c>
      <c r="C16" s="13">
        <f>$B16*$B$6*$W$6</f>
        <v/>
      </c>
      <c r="D16" s="13">
        <f>$B16*1.12*MAX(0,$B$10-$B$9)*$X$6</f>
        <v/>
      </c>
      <c r="E16" s="13">
        <f>$B16*(234.0-IF($B$8="是",23,0)+MAX(0,$B$10-$B$9-4)*92)</f>
        <v/>
      </c>
      <c r="F16" s="13">
        <f>$B16*180</f>
        <v/>
      </c>
      <c r="G16" s="13">
        <f>$B16*102</f>
        <v/>
      </c>
      <c r="H16" s="13">
        <f>$B16*12</f>
        <v/>
      </c>
      <c r="I16" s="13">
        <f>$B16*$Z$6</f>
        <v/>
      </c>
      <c r="J16" s="14" t="n">
        <v>0</v>
      </c>
      <c r="K16" s="13">
        <f>SUM(C16:J16)</f>
        <v/>
      </c>
      <c r="L16" s="13">
        <f>K16*$B$7</f>
        <v/>
      </c>
      <c r="M16" s="13">
        <f>K16+L16</f>
        <v/>
      </c>
      <c r="N16" s="13">
        <f>MAX(0,$B$5-M16)</f>
        <v/>
      </c>
      <c r="O16" s="5">
        <f>IF(M16&lt;=$B$5,"已知费用内","超预算")</f>
        <v/>
      </c>
      <c r="P16" s="15" t="inlineStr">
        <is>
          <t>待询价—阻断</t>
        </is>
      </c>
      <c r="Q16" s="13">
        <f>(K16+C16*20%)*(1+$B$7)</f>
        <v/>
      </c>
      <c r="R16" s="5">
        <f>IF(Q16&lt;=$B$5,"压力已知费用内","压力超预算")</f>
        <v/>
      </c>
      <c r="S16" s="5">
        <f>IF(O16="超预算",999999,(24-B16)*1000000+M16+COUNTIF($A$14:A16,A16)/1000)</f>
        <v/>
      </c>
      <c r="T16" s="5">
        <f>IF(AND(B16=MAXIFS($B$14:$B$23,$O$14:$O$23,"已知费用内"),S16=MINIFS($S$14:$S$23,$B$14:$B$23,B16,$O$14:$O$23,"已知费用内")),"临时推荐*",IF(O16="已知费用内","备选*","排除"))</f>
        <v/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A17" s="12" t="inlineStr">
        <is>
          <t>Denver</t>
        </is>
      </c>
      <c r="B17" s="5" t="n">
        <v>24</v>
      </c>
      <c r="C17" s="13">
        <f>$B17*$B$6*$W$6</f>
        <v/>
      </c>
      <c r="D17" s="13">
        <f>$B17*1.12*MAX(0,$B$10-$B$9)*$X$6</f>
        <v/>
      </c>
      <c r="E17" s="13">
        <f>$B17*(234.0-IF($B$8="是",23,0)+MAX(0,$B$10-$B$9-4)*92)</f>
        <v/>
      </c>
      <c r="F17" s="13">
        <f>$B17*180</f>
        <v/>
      </c>
      <c r="G17" s="13">
        <f>$B17*102</f>
        <v/>
      </c>
      <c r="H17" s="13">
        <f>$B17*12</f>
        <v/>
      </c>
      <c r="I17" s="13">
        <f>$B17*$Z$6</f>
        <v/>
      </c>
      <c r="J17" s="14" t="n">
        <v>0</v>
      </c>
      <c r="K17" s="13">
        <f>SUM(C17:J17)</f>
        <v/>
      </c>
      <c r="L17" s="13">
        <f>K17*$B$7</f>
        <v/>
      </c>
      <c r="M17" s="13">
        <f>K17+L17</f>
        <v/>
      </c>
      <c r="N17" s="13">
        <f>MAX(0,$B$5-M17)</f>
        <v/>
      </c>
      <c r="O17" s="5">
        <f>IF(M17&lt;=$B$5,"已知费用内","超预算")</f>
        <v/>
      </c>
      <c r="P17" s="15" t="inlineStr">
        <is>
          <t>待询价—阻断</t>
        </is>
      </c>
      <c r="Q17" s="13">
        <f>(K17+C17*20%)*(1+$B$7)</f>
        <v/>
      </c>
      <c r="R17" s="5">
        <f>IF(Q17&lt;=$B$5,"压力已知费用内","压力超预算")</f>
        <v/>
      </c>
      <c r="S17" s="5">
        <f>IF(O17="超预算",999999,(24-B17)*1000000+M17+COUNTIF($A$14:A17,A17)/1000)</f>
        <v/>
      </c>
      <c r="T17" s="5">
        <f>IF(AND(B17=MAXIFS($B$14:$B$23,$O$14:$O$23,"已知费用内"),S17=MINIFS($S$14:$S$23,$B$14:$B$23,B17,$O$14:$O$23,"已知费用内")),"临时推荐*",IF(O17="已知费用内","备选*","排除"))</f>
        <v/>
      </c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</row>
    <row r="18">
      <c r="A18" s="12" t="inlineStr">
        <is>
          <t>Phoenix</t>
        </is>
      </c>
      <c r="B18" s="5" t="n">
        <v>18</v>
      </c>
      <c r="C18" s="13">
        <f>$B18*$B$6*$W$7</f>
        <v/>
      </c>
      <c r="D18" s="13">
        <f>$B18*1.12*MAX(0,$B$10-$B$9)*$X$7</f>
        <v/>
      </c>
      <c r="E18" s="13">
        <f>$B18*(223.0-IF($B$8="是",22,0)+MAX(0,$B$10-$B$9-4)*86)</f>
        <v/>
      </c>
      <c r="F18" s="13">
        <f>$B18*180</f>
        <v/>
      </c>
      <c r="G18" s="13">
        <f>$B18*95</f>
        <v/>
      </c>
      <c r="H18" s="13">
        <f>$B18*12</f>
        <v/>
      </c>
      <c r="I18" s="13">
        <f>$B18*$Z$7</f>
        <v/>
      </c>
      <c r="J18" s="14" t="n">
        <v>0</v>
      </c>
      <c r="K18" s="13">
        <f>SUM(C18:J18)</f>
        <v/>
      </c>
      <c r="L18" s="13">
        <f>K18*$B$7</f>
        <v/>
      </c>
      <c r="M18" s="13">
        <f>K18+L18</f>
        <v/>
      </c>
      <c r="N18" s="13">
        <f>MAX(0,$B$5-M18)</f>
        <v/>
      </c>
      <c r="O18" s="5">
        <f>IF(M18&lt;=$B$5,"已知费用内","超预算")</f>
        <v/>
      </c>
      <c r="P18" s="15" t="inlineStr">
        <is>
          <t>待询价—阻断</t>
        </is>
      </c>
      <c r="Q18" s="13">
        <f>(K18+C18*20%)*(1+$B$7)</f>
        <v/>
      </c>
      <c r="R18" s="5">
        <f>IF(Q18&lt;=$B$5,"压力已知费用内","压力超预算")</f>
        <v/>
      </c>
      <c r="S18" s="5">
        <f>IF(O18="超预算",999999,(24-B18)*1000000+M18+COUNTIF($A$14:A18,A18)/1000)</f>
        <v/>
      </c>
      <c r="T18" s="5">
        <f>IF(AND(B18=MAXIFS($B$14:$B$23,$O$14:$O$23,"已知费用内"),S18=MINIFS($S$14:$S$23,$B$14:$B$23,B18,$O$14:$O$23,"已知费用内")),"临时推荐*",IF(O18="已知费用内","备选*","排除"))</f>
        <v/>
      </c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>
      <c r="A19" s="12" t="inlineStr">
        <is>
          <t>Phoenix</t>
        </is>
      </c>
      <c r="B19" s="5" t="n">
        <v>24</v>
      </c>
      <c r="C19" s="13">
        <f>$B19*$B$6*$W$7</f>
        <v/>
      </c>
      <c r="D19" s="13">
        <f>$B19*1.12*MAX(0,$B$10-$B$9)*$X$7</f>
        <v/>
      </c>
      <c r="E19" s="13">
        <f>$B19*(223.0-IF($B$8="是",22,0)+MAX(0,$B$10-$B$9-4)*86)</f>
        <v/>
      </c>
      <c r="F19" s="13">
        <f>$B19*180</f>
        <v/>
      </c>
      <c r="G19" s="13">
        <f>$B19*95</f>
        <v/>
      </c>
      <c r="H19" s="13">
        <f>$B19*12</f>
        <v/>
      </c>
      <c r="I19" s="13">
        <f>$B19*$Z$7</f>
        <v/>
      </c>
      <c r="J19" s="14" t="n">
        <v>0</v>
      </c>
      <c r="K19" s="13">
        <f>SUM(C19:J19)</f>
        <v/>
      </c>
      <c r="L19" s="13">
        <f>K19*$B$7</f>
        <v/>
      </c>
      <c r="M19" s="13">
        <f>K19+L19</f>
        <v/>
      </c>
      <c r="N19" s="13">
        <f>MAX(0,$B$5-M19)</f>
        <v/>
      </c>
      <c r="O19" s="5">
        <f>IF(M19&lt;=$B$5,"已知费用内","超预算")</f>
        <v/>
      </c>
      <c r="P19" s="15" t="inlineStr">
        <is>
          <t>待询价—阻断</t>
        </is>
      </c>
      <c r="Q19" s="13">
        <f>(K19+C19*20%)*(1+$B$7)</f>
        <v/>
      </c>
      <c r="R19" s="5">
        <f>IF(Q19&lt;=$B$5,"压力已知费用内","压力超预算")</f>
        <v/>
      </c>
      <c r="S19" s="5">
        <f>IF(O19="超预算",999999,(24-B19)*1000000+M19+COUNTIF($A$14:A19,A19)/1000)</f>
        <v/>
      </c>
      <c r="T19" s="5">
        <f>IF(AND(B19=MAXIFS($B$14:$B$23,$O$14:$O$23,"已知费用内"),S19=MINIFS($S$14:$S$23,$B$14:$B$23,B19,$O$14:$O$23,"已知费用内")),"临时推荐*",IF(O19="已知费用内","备选*","排除"))</f>
        <v/>
      </c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>
      <c r="A20" s="12" t="inlineStr">
        <is>
          <t>Boston</t>
        </is>
      </c>
      <c r="B20" s="5" t="n">
        <v>18</v>
      </c>
      <c r="C20" s="13">
        <f>$B20*$B$6*$W$8</f>
        <v/>
      </c>
      <c r="D20" s="13">
        <f>$B20*1.12*MAX(0,$B$10-$B$9)*$X$8</f>
        <v/>
      </c>
      <c r="E20" s="13">
        <f>$B20*(234.0-IF($B$8="是",23,0)+MAX(0,$B$10-$B$9-4)*92)</f>
        <v/>
      </c>
      <c r="F20" s="13">
        <f>$B20*180</f>
        <v/>
      </c>
      <c r="G20" s="13">
        <f>$B20*102</f>
        <v/>
      </c>
      <c r="H20" s="13">
        <f>$B20*12</f>
        <v/>
      </c>
      <c r="I20" s="13">
        <f>$B20*$Z$8</f>
        <v/>
      </c>
      <c r="J20" s="14" t="n">
        <v>0</v>
      </c>
      <c r="K20" s="13">
        <f>SUM(C20:J20)</f>
        <v/>
      </c>
      <c r="L20" s="13">
        <f>K20*$B$7</f>
        <v/>
      </c>
      <c r="M20" s="13">
        <f>K20+L20</f>
        <v/>
      </c>
      <c r="N20" s="13">
        <f>MAX(0,$B$5-M20)</f>
        <v/>
      </c>
      <c r="O20" s="5">
        <f>IF(M20&lt;=$B$5,"已知费用内","超预算")</f>
        <v/>
      </c>
      <c r="P20" s="15" t="inlineStr">
        <is>
          <t>待询价—阻断</t>
        </is>
      </c>
      <c r="Q20" s="13">
        <f>(K20+C20*20%)*(1+$B$7)</f>
        <v/>
      </c>
      <c r="R20" s="5">
        <f>IF(Q20&lt;=$B$5,"压力已知费用内","压力超预算")</f>
        <v/>
      </c>
      <c r="S20" s="5">
        <f>IF(O20="超预算",999999,(24-B20)*1000000+M20+COUNTIF($A$14:A20,A20)/1000)</f>
        <v/>
      </c>
      <c r="T20" s="5">
        <f>IF(AND(B20=MAXIFS($B$14:$B$23,$O$14:$O$23,"已知费用内"),S20=MINIFS($S$14:$S$23,$B$14:$B$23,B20,$O$14:$O$23,"已知费用内")),"临时推荐*",IF(O20="已知费用内","备选*","排除"))</f>
        <v/>
      </c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>
      <c r="A21" s="12" t="inlineStr">
        <is>
          <t>Boston</t>
        </is>
      </c>
      <c r="B21" s="5" t="n">
        <v>24</v>
      </c>
      <c r="C21" s="13">
        <f>$B21*$B$6*$W$8</f>
        <v/>
      </c>
      <c r="D21" s="13">
        <f>$B21*1.12*MAX(0,$B$10-$B$9)*$X$8</f>
        <v/>
      </c>
      <c r="E21" s="13">
        <f>$B21*(234.0-IF($B$8="是",23,0)+MAX(0,$B$10-$B$9-4)*92)</f>
        <v/>
      </c>
      <c r="F21" s="13">
        <f>$B21*180</f>
        <v/>
      </c>
      <c r="G21" s="13">
        <f>$B21*102</f>
        <v/>
      </c>
      <c r="H21" s="13">
        <f>$B21*12</f>
        <v/>
      </c>
      <c r="I21" s="13">
        <f>$B21*$Z$8</f>
        <v/>
      </c>
      <c r="J21" s="14" t="n">
        <v>0</v>
      </c>
      <c r="K21" s="13">
        <f>SUM(C21:J21)</f>
        <v/>
      </c>
      <c r="L21" s="13">
        <f>K21*$B$7</f>
        <v/>
      </c>
      <c r="M21" s="13">
        <f>K21+L21</f>
        <v/>
      </c>
      <c r="N21" s="13">
        <f>MAX(0,$B$5-M21)</f>
        <v/>
      </c>
      <c r="O21" s="5">
        <f>IF(M21&lt;=$B$5,"已知费用内","超预算")</f>
        <v/>
      </c>
      <c r="P21" s="15" t="inlineStr">
        <is>
          <t>待询价—阻断</t>
        </is>
      </c>
      <c r="Q21" s="13">
        <f>(K21+C21*20%)*(1+$B$7)</f>
        <v/>
      </c>
      <c r="R21" s="5">
        <f>IF(Q21&lt;=$B$5,"压力已知费用内","压力超预算")</f>
        <v/>
      </c>
      <c r="S21" s="5">
        <f>IF(O21="超预算",999999,(24-B21)*1000000+M21+COUNTIF($A$14:A21,A21)/1000)</f>
        <v/>
      </c>
      <c r="T21" s="5">
        <f>IF(AND(B21=MAXIFS($B$14:$B$23,$O$14:$O$23,"已知费用内"),S21=MINIFS($S$14:$S$23,$B$14:$B$23,B21,$O$14:$O$23,"已知费用内")),"临时推荐*",IF(O21="已知费用内","备选*","排除"))</f>
        <v/>
      </c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>
      <c r="A22" s="12" t="inlineStr">
        <is>
          <t>Seattle</t>
        </is>
      </c>
      <c r="B22" s="5" t="n">
        <v>18</v>
      </c>
      <c r="C22" s="13">
        <f>$B22*$B$6*$W$9</f>
        <v/>
      </c>
      <c r="D22" s="13">
        <f>$B22*1.12*MAX(0,$B$10-$B$9)*$X$9</f>
        <v/>
      </c>
      <c r="E22" s="13">
        <f>$B22*(234.0-IF($B$8="是",23,0)+MAX(0,$B$10-$B$9-4)*92)</f>
        <v/>
      </c>
      <c r="F22" s="13">
        <f>$B22*180</f>
        <v/>
      </c>
      <c r="G22" s="13">
        <f>$B22*102</f>
        <v/>
      </c>
      <c r="H22" s="13">
        <f>$B22*12</f>
        <v/>
      </c>
      <c r="I22" s="13">
        <f>$B22*$Z$9</f>
        <v/>
      </c>
      <c r="J22" s="14" t="n">
        <v>0</v>
      </c>
      <c r="K22" s="13">
        <f>SUM(C22:J22)</f>
        <v/>
      </c>
      <c r="L22" s="13">
        <f>K22*$B$7</f>
        <v/>
      </c>
      <c r="M22" s="13">
        <f>K22+L22</f>
        <v/>
      </c>
      <c r="N22" s="13">
        <f>MAX(0,$B$5-M22)</f>
        <v/>
      </c>
      <c r="O22" s="5">
        <f>IF(M22&lt;=$B$5,"已知费用内","超预算")</f>
        <v/>
      </c>
      <c r="P22" s="15" t="inlineStr">
        <is>
          <t>待询价—阻断</t>
        </is>
      </c>
      <c r="Q22" s="13">
        <f>(K22+C22*20%)*(1+$B$7)</f>
        <v/>
      </c>
      <c r="R22" s="5">
        <f>IF(Q22&lt;=$B$5,"压力已知费用内","压力超预算")</f>
        <v/>
      </c>
      <c r="S22" s="5">
        <f>IF(O22="超预算",999999,(24-B22)*1000000+M22+COUNTIF($A$14:A22,A22)/1000)</f>
        <v/>
      </c>
      <c r="T22" s="5">
        <f>IF(AND(B22=MAXIFS($B$14:$B$23,$O$14:$O$23,"已知费用内"),S22=MINIFS($S$14:$S$23,$B$14:$B$23,B22,$O$14:$O$23,"已知费用内")),"临时推荐*",IF(O22="已知费用内","备选*","排除"))</f>
        <v/>
      </c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>
      <c r="A23" s="12" t="inlineStr">
        <is>
          <t>Seattle</t>
        </is>
      </c>
      <c r="B23" s="5" t="n">
        <v>24</v>
      </c>
      <c r="C23" s="13">
        <f>$B23*$B$6*$W$9</f>
        <v/>
      </c>
      <c r="D23" s="13">
        <f>$B23*1.12*MAX(0,$B$10-$B$9)*$X$9</f>
        <v/>
      </c>
      <c r="E23" s="13">
        <f>$B23*(234.0-IF($B$8="是",23,0)+MAX(0,$B$10-$B$9-4)*92)</f>
        <v/>
      </c>
      <c r="F23" s="13">
        <f>$B23*180</f>
        <v/>
      </c>
      <c r="G23" s="13">
        <f>$B23*102</f>
        <v/>
      </c>
      <c r="H23" s="13">
        <f>$B23*12</f>
        <v/>
      </c>
      <c r="I23" s="13">
        <f>$B23*$Z$9</f>
        <v/>
      </c>
      <c r="J23" s="14" t="n">
        <v>0</v>
      </c>
      <c r="K23" s="13">
        <f>SUM(C23:J23)</f>
        <v/>
      </c>
      <c r="L23" s="13">
        <f>K23*$B$7</f>
        <v/>
      </c>
      <c r="M23" s="13">
        <f>K23+L23</f>
        <v/>
      </c>
      <c r="N23" s="13">
        <f>MAX(0,$B$5-M23)</f>
        <v/>
      </c>
      <c r="O23" s="5">
        <f>IF(M23&lt;=$B$5,"已知费用内","超预算")</f>
        <v/>
      </c>
      <c r="P23" s="15" t="inlineStr">
        <is>
          <t>待询价—阻断</t>
        </is>
      </c>
      <c r="Q23" s="13">
        <f>(K23+C23*20%)*(1+$B$7)</f>
        <v/>
      </c>
      <c r="R23" s="5">
        <f>IF(Q23&lt;=$B$5,"压力已知费用内","压力超预算")</f>
        <v/>
      </c>
      <c r="S23" s="5">
        <f>IF(O23="超预算",999999,(24-B23)*1000000+M23+COUNTIF($A$14:A23,A23)/1000)</f>
        <v/>
      </c>
      <c r="T23" s="5">
        <f>IF(AND(B23=MAXIFS($B$14:$B$23,$O$14:$O$23,"已知费用内"),S23=MINIFS($S$14:$S$23,$B$14:$B$23,B23,$O$14:$O$23,"已知费用内")),"临时推荐*",IF(O23="已知费用内","备选*","排除"))</f>
        <v/>
      </c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>
      <c r="A25" s="16" t="inlineStr">
        <is>
          <t>* 临时推荐只按已知费用执行题面排序；场地、茶歇、机构供餐正式报价、团体房量/早餐、资质、采购与资金均未完成，最终批准被阻断。场地等报价必须不超过“可用余额”（并考虑储备）后方可维持预算内。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</sheetData>
  <autoFilter ref="A13:T23"/>
  <mergeCells count="3">
    <mergeCell ref="A25:T26"/>
    <mergeCell ref="A2:N2"/>
    <mergeCell ref="A1:N1"/>
  </mergeCells>
  <conditionalFormatting sqref="M14:M23">
    <cfRule type="cellIs" priority="1" operator="greaterThan" dxfId="0">
      <formula>$B$5</formula>
    </cfRule>
  </conditionalFormatting>
  <dataValidations count="6">
    <dataValidation sqref="B5" showDropDown="0" showInputMessage="0" showErrorMessage="0" allowBlank="0" type="decimal" operator="between">
      <formula1>0</formula1>
      <formula2>100000</formula2>
    </dataValidation>
    <dataValidation sqref="B6" showDropDown="0" showInputMessage="0" showErrorMessage="0" allowBlank="0" type="decimal" operator="between">
      <formula1>.5</formula1>
      <formula2>2</formula2>
    </dataValidation>
    <dataValidation sqref="B7" showDropDown="0" showInputMessage="0" showErrorMessage="0" allowBlank="0" type="decimal" operator="between">
      <formula1>0</formula1>
      <formula2>.2</formula2>
    </dataValidation>
    <dataValidation sqref="B8" showDropDown="0" showInputMessage="0" showErrorMessage="0" allowBlank="0" type="list">
      <formula1>"是,否"</formula1>
    </dataValidation>
    <dataValidation sqref="B9" showDropDown="0" showInputMessage="0" showErrorMessage="0" allowBlank="0" type="date" operator="between">
      <formula1>DATE(2026,10,1)</formula1>
      <formula2>DATE(2026,11,29)</formula2>
    </dataValidation>
    <dataValidation sqref="B10" showDropDown="0" showInputMessage="0" showErrorMessage="0" allowBlank="0" type="date" operator="between">
      <formula1>DATE(2026,12,2)</formula1>
      <formula2>DATE(2027,9,30)</formula2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654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32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2" customWidth="1" min="12" max="12"/>
    <col width="14" customWidth="1" min="13" max="13"/>
    <col width="15" customWidth="1" min="14" max="14"/>
  </cols>
  <sheetData>
    <row r="1">
      <c r="A1" s="1" t="inlineStr">
        <is>
          <t>逐日预算明细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修改黄色参数后，Options/Daily自动回算；Word/PPT/CSV为2026-10-23快照，参数变化后必须重新核对并导出。待询价项目未计入，任何“预算内”仅指已知费用。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城市</t>
        </is>
      </c>
      <c r="B4" s="4" t="inlineStr">
        <is>
          <t>人数</t>
        </is>
      </c>
      <c r="C4" s="4" t="inlineStr">
        <is>
          <t>日期</t>
        </is>
      </c>
      <c r="D4" s="4" t="inlineStr">
        <is>
          <t>日程/餐食</t>
        </is>
      </c>
      <c r="E4" s="4" t="inlineStr">
        <is>
          <t>机票</t>
        </is>
      </c>
      <c r="F4" s="4" t="inlineStr">
        <is>
          <t>住宿</t>
        </is>
      </c>
      <c r="G4" s="4" t="inlineStr">
        <is>
          <t>住宿税12%</t>
        </is>
      </c>
      <c r="H4" s="4" t="inlineStr">
        <is>
          <t>M&amp;IE净额</t>
        </is>
      </c>
      <c r="I4" s="4" t="inlineStr">
        <is>
          <t>注册</t>
        </is>
      </c>
      <c r="J4" s="4" t="inlineStr">
        <is>
          <t>机构供餐</t>
        </is>
      </c>
      <c r="K4" s="4" t="inlineStr">
        <is>
          <t>总部↔DCA</t>
        </is>
      </c>
      <c r="L4" s="4" t="inlineStr">
        <is>
          <t>当地交通</t>
        </is>
      </c>
      <c r="M4" s="4" t="inlineStr">
        <is>
          <t>场地/茶歇</t>
        </is>
      </c>
      <c r="N4" s="4" t="inlineStr">
        <is>
          <t>当日已知小计</t>
        </is>
      </c>
    </row>
    <row r="5">
      <c r="A5" s="5">
        <f>IF(AND(C5&gt;=Options!$B$9,C5&lt;=Options!$B$10),"Chicago","")</f>
        <v/>
      </c>
      <c r="B5" s="5">
        <f>IF(A5="","",18)</f>
        <v/>
      </c>
      <c r="C5" s="17" t="n">
        <v>46296</v>
      </c>
      <c r="D5" s="5">
        <f>IF(A5="","",IF(C5=DATE(2026,11,29),"培训；注册午餐；早餐参数",IF(C5=DATE(2026,11,30),"培训；注册午餐",IF(C5=DATE(2026,12,1),"培训；注册午餐；机构晚餐",IF(C5=Options!$B$9,"抵达；"&amp;IF(C5=DATE(2026,11,28),"机构晚餐","无统一供餐"),IF(C5=Options!$B$10,"返程；"&amp;IF(C5=DATE(2026,12,2),"机构午餐","无统一供餐"),"差旅状态；无统一日程"))))))</f>
        <v/>
      </c>
      <c r="E5" s="13">
        <f>IF(C5=Options!$B$9,Options!$C$14,0)</f>
        <v/>
      </c>
      <c r="F5" s="13">
        <f>IF(AND(A5&lt;&gt;"",C5&lt;Options!$B$10),B5*Options!$X$5,0)</f>
        <v/>
      </c>
      <c r="G5" s="13">
        <f>F5*12%</f>
        <v/>
      </c>
      <c r="H5" s="13">
        <f>IF(A5="",0,B5*(92*IF(OR(C5=Options!$B$9,C5=Options!$B$10),75%,100%)-IF(C5=DATE(2026,11,29),26+IF(Options!$B$8="是",23,0),0)-IF(C5=DATE(2026,11,30),26,0)-IF(C5=DATE(2026,12,1),64,0)-IF(C5=DATE(2026,11,28),38,0)-IF(C5=DATE(2026,12,2),26,0)))</f>
        <v/>
      </c>
      <c r="I5" s="13">
        <f>IF(AND(C5&gt;=DATE(2026,11,29),C5&lt;=DATE(2026,12,1)),B5*60,0)</f>
        <v/>
      </c>
      <c r="J5" s="13">
        <f>IF(A5="",0,B5*(IF(C5=DATE(2026,11,28),38,0)+IF(C5=DATE(2026,12,1),38,0)+IF(C5=DATE(2026,12,2),26,0)))</f>
        <v/>
      </c>
      <c r="K5" s="13">
        <f>IF(C5=Options!$B$9,B5*12,0)</f>
        <v/>
      </c>
      <c r="L5" s="13">
        <f>IF(C5=Options!$B$9,B5*Options!$Z$5,0)</f>
        <v/>
      </c>
      <c r="M5" s="13" t="n">
        <v>0</v>
      </c>
      <c r="N5" s="13">
        <f>SUM(E5:M5)</f>
        <v/>
      </c>
    </row>
    <row r="6">
      <c r="A6" s="5">
        <f>IF(AND(C6&gt;=Options!$B$9,C6&lt;=Options!$B$10),"Chicago","")</f>
        <v/>
      </c>
      <c r="B6" s="5">
        <f>IF(A6="","",18)</f>
        <v/>
      </c>
      <c r="C6" s="17" t="n">
        <v>46297</v>
      </c>
      <c r="D6" s="5">
        <f>IF(A6="","",IF(C6=DATE(2026,11,29),"培训；注册午餐；早餐参数",IF(C6=DATE(2026,11,30),"培训；注册午餐",IF(C6=DATE(2026,12,1),"培训；注册午餐；机构晚餐",IF(C6=Options!$B$9,"抵达；"&amp;IF(C6=DATE(2026,11,28),"机构晚餐","无统一供餐"),IF(C6=Options!$B$10,"返程；"&amp;IF(C6=DATE(2026,12,2),"机构午餐","无统一供餐"),"差旅状态；无统一日程"))))))</f>
        <v/>
      </c>
      <c r="E6" s="13">
        <f>IF(C6=Options!$B$9,Options!$C$14,0)</f>
        <v/>
      </c>
      <c r="F6" s="13">
        <f>IF(AND(A6&lt;&gt;"",C6&lt;Options!$B$10),B6*Options!$X$5,0)</f>
        <v/>
      </c>
      <c r="G6" s="13">
        <f>F6*12%</f>
        <v/>
      </c>
      <c r="H6" s="13">
        <f>IF(A6="",0,B6*(92*IF(OR(C6=Options!$B$9,C6=Options!$B$10),75%,100%)-IF(C6=DATE(2026,11,29),26+IF(Options!$B$8="是",23,0),0)-IF(C6=DATE(2026,11,30),26,0)-IF(C6=DATE(2026,12,1),64,0)-IF(C6=DATE(2026,11,28),38,0)-IF(C6=DATE(2026,12,2),26,0)))</f>
        <v/>
      </c>
      <c r="I6" s="13">
        <f>IF(AND(C6&gt;=DATE(2026,11,29),C6&lt;=DATE(2026,12,1)),B6*60,0)</f>
        <v/>
      </c>
      <c r="J6" s="13">
        <f>IF(A6="",0,B6*(IF(C6=DATE(2026,11,28),38,0)+IF(C6=DATE(2026,12,1),38,0)+IF(C6=DATE(2026,12,2),26,0)))</f>
        <v/>
      </c>
      <c r="K6" s="13">
        <f>IF(C6=Options!$B$9,B6*12,0)</f>
        <v/>
      </c>
      <c r="L6" s="13">
        <f>IF(C6=Options!$B$9,B6*Options!$Z$5,0)</f>
        <v/>
      </c>
      <c r="M6" s="13" t="n">
        <v>0</v>
      </c>
      <c r="N6" s="13">
        <f>SUM(E6:M6)</f>
        <v/>
      </c>
    </row>
    <row r="7">
      <c r="A7" s="5">
        <f>IF(AND(C7&gt;=Options!$B$9,C7&lt;=Options!$B$10),"Chicago","")</f>
        <v/>
      </c>
      <c r="B7" s="5">
        <f>IF(A7="","",18)</f>
        <v/>
      </c>
      <c r="C7" s="17" t="n">
        <v>46298</v>
      </c>
      <c r="D7" s="5">
        <f>IF(A7="","",IF(C7=DATE(2026,11,29),"培训；注册午餐；早餐参数",IF(C7=DATE(2026,11,30),"培训；注册午餐",IF(C7=DATE(2026,12,1),"培训；注册午餐；机构晚餐",IF(C7=Options!$B$9,"抵达；"&amp;IF(C7=DATE(2026,11,28),"机构晚餐","无统一供餐"),IF(C7=Options!$B$10,"返程；"&amp;IF(C7=DATE(2026,12,2),"机构午餐","无统一供餐"),"差旅状态；无统一日程"))))))</f>
        <v/>
      </c>
      <c r="E7" s="13">
        <f>IF(C7=Options!$B$9,Options!$C$14,0)</f>
        <v/>
      </c>
      <c r="F7" s="13">
        <f>IF(AND(A7&lt;&gt;"",C7&lt;Options!$B$10),B7*Options!$X$5,0)</f>
        <v/>
      </c>
      <c r="G7" s="13">
        <f>F7*12%</f>
        <v/>
      </c>
      <c r="H7" s="13">
        <f>IF(A7="",0,B7*(92*IF(OR(C7=Options!$B$9,C7=Options!$B$10),75%,100%)-IF(C7=DATE(2026,11,29),26+IF(Options!$B$8="是",23,0),0)-IF(C7=DATE(2026,11,30),26,0)-IF(C7=DATE(2026,12,1),64,0)-IF(C7=DATE(2026,11,28),38,0)-IF(C7=DATE(2026,12,2),26,0)))</f>
        <v/>
      </c>
      <c r="I7" s="13">
        <f>IF(AND(C7&gt;=DATE(2026,11,29),C7&lt;=DATE(2026,12,1)),B7*60,0)</f>
        <v/>
      </c>
      <c r="J7" s="13">
        <f>IF(A7="",0,B7*(IF(C7=DATE(2026,11,28),38,0)+IF(C7=DATE(2026,12,1),38,0)+IF(C7=DATE(2026,12,2),26,0)))</f>
        <v/>
      </c>
      <c r="K7" s="13">
        <f>IF(C7=Options!$B$9,B7*12,0)</f>
        <v/>
      </c>
      <c r="L7" s="13">
        <f>IF(C7=Options!$B$9,B7*Options!$Z$5,0)</f>
        <v/>
      </c>
      <c r="M7" s="13" t="n">
        <v>0</v>
      </c>
      <c r="N7" s="13">
        <f>SUM(E7:M7)</f>
        <v/>
      </c>
    </row>
    <row r="8">
      <c r="A8" s="5">
        <f>IF(AND(C8&gt;=Options!$B$9,C8&lt;=Options!$B$10),"Chicago","")</f>
        <v/>
      </c>
      <c r="B8" s="5">
        <f>IF(A8="","",18)</f>
        <v/>
      </c>
      <c r="C8" s="17" t="n">
        <v>46299</v>
      </c>
      <c r="D8" s="5">
        <f>IF(A8="","",IF(C8=DATE(2026,11,29),"培训；注册午餐；早餐参数",IF(C8=DATE(2026,11,30),"培训；注册午餐",IF(C8=DATE(2026,12,1),"培训；注册午餐；机构晚餐",IF(C8=Options!$B$9,"抵达；"&amp;IF(C8=DATE(2026,11,28),"机构晚餐","无统一供餐"),IF(C8=Options!$B$10,"返程；"&amp;IF(C8=DATE(2026,12,2),"机构午餐","无统一供餐"),"差旅状态；无统一日程"))))))</f>
        <v/>
      </c>
      <c r="E8" s="13">
        <f>IF(C8=Options!$B$9,Options!$C$14,0)</f>
        <v/>
      </c>
      <c r="F8" s="13">
        <f>IF(AND(A8&lt;&gt;"",C8&lt;Options!$B$10),B8*Options!$X$5,0)</f>
        <v/>
      </c>
      <c r="G8" s="13">
        <f>F8*12%</f>
        <v/>
      </c>
      <c r="H8" s="13">
        <f>IF(A8="",0,B8*(92*IF(OR(C8=Options!$B$9,C8=Options!$B$10),75%,100%)-IF(C8=DATE(2026,11,29),26+IF(Options!$B$8="是",23,0),0)-IF(C8=DATE(2026,11,30),26,0)-IF(C8=DATE(2026,12,1),64,0)-IF(C8=DATE(2026,11,28),38,0)-IF(C8=DATE(2026,12,2),26,0)))</f>
        <v/>
      </c>
      <c r="I8" s="13">
        <f>IF(AND(C8&gt;=DATE(2026,11,29),C8&lt;=DATE(2026,12,1)),B8*60,0)</f>
        <v/>
      </c>
      <c r="J8" s="13">
        <f>IF(A8="",0,B8*(IF(C8=DATE(2026,11,28),38,0)+IF(C8=DATE(2026,12,1),38,0)+IF(C8=DATE(2026,12,2),26,0)))</f>
        <v/>
      </c>
      <c r="K8" s="13">
        <f>IF(C8=Options!$B$9,B8*12,0)</f>
        <v/>
      </c>
      <c r="L8" s="13">
        <f>IF(C8=Options!$B$9,B8*Options!$Z$5,0)</f>
        <v/>
      </c>
      <c r="M8" s="13" t="n">
        <v>0</v>
      </c>
      <c r="N8" s="13">
        <f>SUM(E8:M8)</f>
        <v/>
      </c>
    </row>
    <row r="9">
      <c r="A9" s="5">
        <f>IF(AND(C9&gt;=Options!$B$9,C9&lt;=Options!$B$10),"Chicago","")</f>
        <v/>
      </c>
      <c r="B9" s="5">
        <f>IF(A9="","",18)</f>
        <v/>
      </c>
      <c r="C9" s="17" t="n">
        <v>46300</v>
      </c>
      <c r="D9" s="5">
        <f>IF(A9="","",IF(C9=DATE(2026,11,29),"培训；注册午餐；早餐参数",IF(C9=DATE(2026,11,30),"培训；注册午餐",IF(C9=DATE(2026,12,1),"培训；注册午餐；机构晚餐",IF(C9=Options!$B$9,"抵达；"&amp;IF(C9=DATE(2026,11,28),"机构晚餐","无统一供餐"),IF(C9=Options!$B$10,"返程；"&amp;IF(C9=DATE(2026,12,2),"机构午餐","无统一供餐"),"差旅状态；无统一日程"))))))</f>
        <v/>
      </c>
      <c r="E9" s="13">
        <f>IF(C9=Options!$B$9,Options!$C$14,0)</f>
        <v/>
      </c>
      <c r="F9" s="13">
        <f>IF(AND(A9&lt;&gt;"",C9&lt;Options!$B$10),B9*Options!$X$5,0)</f>
        <v/>
      </c>
      <c r="G9" s="13">
        <f>F9*12%</f>
        <v/>
      </c>
      <c r="H9" s="13">
        <f>IF(A9="",0,B9*(92*IF(OR(C9=Options!$B$9,C9=Options!$B$10),75%,100%)-IF(C9=DATE(2026,11,29),26+IF(Options!$B$8="是",23,0),0)-IF(C9=DATE(2026,11,30),26,0)-IF(C9=DATE(2026,12,1),64,0)-IF(C9=DATE(2026,11,28),38,0)-IF(C9=DATE(2026,12,2),26,0)))</f>
        <v/>
      </c>
      <c r="I9" s="13">
        <f>IF(AND(C9&gt;=DATE(2026,11,29),C9&lt;=DATE(2026,12,1)),B9*60,0)</f>
        <v/>
      </c>
      <c r="J9" s="13">
        <f>IF(A9="",0,B9*(IF(C9=DATE(2026,11,28),38,0)+IF(C9=DATE(2026,12,1),38,0)+IF(C9=DATE(2026,12,2),26,0)))</f>
        <v/>
      </c>
      <c r="K9" s="13">
        <f>IF(C9=Options!$B$9,B9*12,0)</f>
        <v/>
      </c>
      <c r="L9" s="13">
        <f>IF(C9=Options!$B$9,B9*Options!$Z$5,0)</f>
        <v/>
      </c>
      <c r="M9" s="13" t="n">
        <v>0</v>
      </c>
      <c r="N9" s="13">
        <f>SUM(E9:M9)</f>
        <v/>
      </c>
    </row>
    <row r="10">
      <c r="A10" s="5">
        <f>IF(AND(C10&gt;=Options!$B$9,C10&lt;=Options!$B$10),"Chicago","")</f>
        <v/>
      </c>
      <c r="B10" s="5">
        <f>IF(A10="","",18)</f>
        <v/>
      </c>
      <c r="C10" s="17" t="n">
        <v>46301</v>
      </c>
      <c r="D10" s="5">
        <f>IF(A10="","",IF(C10=DATE(2026,11,29),"培训；注册午餐；早餐参数",IF(C10=DATE(2026,11,30),"培训；注册午餐",IF(C10=DATE(2026,12,1),"培训；注册午餐；机构晚餐",IF(C10=Options!$B$9,"抵达；"&amp;IF(C10=DATE(2026,11,28),"机构晚餐","无统一供餐"),IF(C10=Options!$B$10,"返程；"&amp;IF(C10=DATE(2026,12,2),"机构午餐","无统一供餐"),"差旅状态；无统一日程"))))))</f>
        <v/>
      </c>
      <c r="E10" s="13">
        <f>IF(C10=Options!$B$9,Options!$C$14,0)</f>
        <v/>
      </c>
      <c r="F10" s="13">
        <f>IF(AND(A10&lt;&gt;"",C10&lt;Options!$B$10),B10*Options!$X$5,0)</f>
        <v/>
      </c>
      <c r="G10" s="13">
        <f>F10*12%</f>
        <v/>
      </c>
      <c r="H10" s="13">
        <f>IF(A10="",0,B10*(92*IF(OR(C10=Options!$B$9,C10=Options!$B$10),75%,100%)-IF(C10=DATE(2026,11,29),26+IF(Options!$B$8="是",23,0),0)-IF(C10=DATE(2026,11,30),26,0)-IF(C10=DATE(2026,12,1),64,0)-IF(C10=DATE(2026,11,28),38,0)-IF(C10=DATE(2026,12,2),26,0)))</f>
        <v/>
      </c>
      <c r="I10" s="13">
        <f>IF(AND(C10&gt;=DATE(2026,11,29),C10&lt;=DATE(2026,12,1)),B10*60,0)</f>
        <v/>
      </c>
      <c r="J10" s="13">
        <f>IF(A10="",0,B10*(IF(C10=DATE(2026,11,28),38,0)+IF(C10=DATE(2026,12,1),38,0)+IF(C10=DATE(2026,12,2),26,0)))</f>
        <v/>
      </c>
      <c r="K10" s="13">
        <f>IF(C10=Options!$B$9,B10*12,0)</f>
        <v/>
      </c>
      <c r="L10" s="13">
        <f>IF(C10=Options!$B$9,B10*Options!$Z$5,0)</f>
        <v/>
      </c>
      <c r="M10" s="13" t="n">
        <v>0</v>
      </c>
      <c r="N10" s="13">
        <f>SUM(E10:M10)</f>
        <v/>
      </c>
    </row>
    <row r="11">
      <c r="A11" s="5">
        <f>IF(AND(C11&gt;=Options!$B$9,C11&lt;=Options!$B$10),"Chicago","")</f>
        <v/>
      </c>
      <c r="B11" s="5">
        <f>IF(A11="","",18)</f>
        <v/>
      </c>
      <c r="C11" s="17" t="n">
        <v>46302</v>
      </c>
      <c r="D11" s="5">
        <f>IF(A11="","",IF(C11=DATE(2026,11,29),"培训；注册午餐；早餐参数",IF(C11=DATE(2026,11,30),"培训；注册午餐",IF(C11=DATE(2026,12,1),"培训；注册午餐；机构晚餐",IF(C11=Options!$B$9,"抵达；"&amp;IF(C11=DATE(2026,11,28),"机构晚餐","无统一供餐"),IF(C11=Options!$B$10,"返程；"&amp;IF(C11=DATE(2026,12,2),"机构午餐","无统一供餐"),"差旅状态；无统一日程"))))))</f>
        <v/>
      </c>
      <c r="E11" s="13">
        <f>IF(C11=Options!$B$9,Options!$C$14,0)</f>
        <v/>
      </c>
      <c r="F11" s="13">
        <f>IF(AND(A11&lt;&gt;"",C11&lt;Options!$B$10),B11*Options!$X$5,0)</f>
        <v/>
      </c>
      <c r="G11" s="13">
        <f>F11*12%</f>
        <v/>
      </c>
      <c r="H11" s="13">
        <f>IF(A11="",0,B11*(92*IF(OR(C11=Options!$B$9,C11=Options!$B$10),75%,100%)-IF(C11=DATE(2026,11,29),26+IF(Options!$B$8="是",23,0),0)-IF(C11=DATE(2026,11,30),26,0)-IF(C11=DATE(2026,12,1),64,0)-IF(C11=DATE(2026,11,28),38,0)-IF(C11=DATE(2026,12,2),26,0)))</f>
        <v/>
      </c>
      <c r="I11" s="13">
        <f>IF(AND(C11&gt;=DATE(2026,11,29),C11&lt;=DATE(2026,12,1)),B11*60,0)</f>
        <v/>
      </c>
      <c r="J11" s="13">
        <f>IF(A11="",0,B11*(IF(C11=DATE(2026,11,28),38,0)+IF(C11=DATE(2026,12,1),38,0)+IF(C11=DATE(2026,12,2),26,0)))</f>
        <v/>
      </c>
      <c r="K11" s="13">
        <f>IF(C11=Options!$B$9,B11*12,0)</f>
        <v/>
      </c>
      <c r="L11" s="13">
        <f>IF(C11=Options!$B$9,B11*Options!$Z$5,0)</f>
        <v/>
      </c>
      <c r="M11" s="13" t="n">
        <v>0</v>
      </c>
      <c r="N11" s="13">
        <f>SUM(E11:M11)</f>
        <v/>
      </c>
    </row>
    <row r="12">
      <c r="A12" s="5">
        <f>IF(AND(C12&gt;=Options!$B$9,C12&lt;=Options!$B$10),"Chicago","")</f>
        <v/>
      </c>
      <c r="B12" s="5">
        <f>IF(A12="","",18)</f>
        <v/>
      </c>
      <c r="C12" s="17" t="n">
        <v>46303</v>
      </c>
      <c r="D12" s="5">
        <f>IF(A12="","",IF(C12=DATE(2026,11,29),"培训；注册午餐；早餐参数",IF(C12=DATE(2026,11,30),"培训；注册午餐",IF(C12=DATE(2026,12,1),"培训；注册午餐；机构晚餐",IF(C12=Options!$B$9,"抵达；"&amp;IF(C12=DATE(2026,11,28),"机构晚餐","无统一供餐"),IF(C12=Options!$B$10,"返程；"&amp;IF(C12=DATE(2026,12,2),"机构午餐","无统一供餐"),"差旅状态；无统一日程"))))))</f>
        <v/>
      </c>
      <c r="E12" s="13">
        <f>IF(C12=Options!$B$9,Options!$C$14,0)</f>
        <v/>
      </c>
      <c r="F12" s="13">
        <f>IF(AND(A12&lt;&gt;"",C12&lt;Options!$B$10),B12*Options!$X$5,0)</f>
        <v/>
      </c>
      <c r="G12" s="13">
        <f>F12*12%</f>
        <v/>
      </c>
      <c r="H12" s="13">
        <f>IF(A12="",0,B12*(92*IF(OR(C12=Options!$B$9,C12=Options!$B$10),75%,100%)-IF(C12=DATE(2026,11,29),26+IF(Options!$B$8="是",23,0),0)-IF(C12=DATE(2026,11,30),26,0)-IF(C12=DATE(2026,12,1),64,0)-IF(C12=DATE(2026,11,28),38,0)-IF(C12=DATE(2026,12,2),26,0)))</f>
        <v/>
      </c>
      <c r="I12" s="13">
        <f>IF(AND(C12&gt;=DATE(2026,11,29),C12&lt;=DATE(2026,12,1)),B12*60,0)</f>
        <v/>
      </c>
      <c r="J12" s="13">
        <f>IF(A12="",0,B12*(IF(C12=DATE(2026,11,28),38,0)+IF(C12=DATE(2026,12,1),38,0)+IF(C12=DATE(2026,12,2),26,0)))</f>
        <v/>
      </c>
      <c r="K12" s="13">
        <f>IF(C12=Options!$B$9,B12*12,0)</f>
        <v/>
      </c>
      <c r="L12" s="13">
        <f>IF(C12=Options!$B$9,B12*Options!$Z$5,0)</f>
        <v/>
      </c>
      <c r="M12" s="13" t="n">
        <v>0</v>
      </c>
      <c r="N12" s="13">
        <f>SUM(E12:M12)</f>
        <v/>
      </c>
    </row>
    <row r="13">
      <c r="A13" s="5">
        <f>IF(AND(C13&gt;=Options!$B$9,C13&lt;=Options!$B$10),"Chicago","")</f>
        <v/>
      </c>
      <c r="B13" s="5">
        <f>IF(A13="","",18)</f>
        <v/>
      </c>
      <c r="C13" s="17" t="n">
        <v>46304</v>
      </c>
      <c r="D13" s="5">
        <f>IF(A13="","",IF(C13=DATE(2026,11,29),"培训；注册午餐；早餐参数",IF(C13=DATE(2026,11,30),"培训；注册午餐",IF(C13=DATE(2026,12,1),"培训；注册午餐；机构晚餐",IF(C13=Options!$B$9,"抵达；"&amp;IF(C13=DATE(2026,11,28),"机构晚餐","无统一供餐"),IF(C13=Options!$B$10,"返程；"&amp;IF(C13=DATE(2026,12,2),"机构午餐","无统一供餐"),"差旅状态；无统一日程"))))))</f>
        <v/>
      </c>
      <c r="E13" s="13">
        <f>IF(C13=Options!$B$9,Options!$C$14,0)</f>
        <v/>
      </c>
      <c r="F13" s="13">
        <f>IF(AND(A13&lt;&gt;"",C13&lt;Options!$B$10),B13*Options!$X$5,0)</f>
        <v/>
      </c>
      <c r="G13" s="13">
        <f>F13*12%</f>
        <v/>
      </c>
      <c r="H13" s="13">
        <f>IF(A13="",0,B13*(92*IF(OR(C13=Options!$B$9,C13=Options!$B$10),75%,100%)-IF(C13=DATE(2026,11,29),26+IF(Options!$B$8="是",23,0),0)-IF(C13=DATE(2026,11,30),26,0)-IF(C13=DATE(2026,12,1),64,0)-IF(C13=DATE(2026,11,28),38,0)-IF(C13=DATE(2026,12,2),26,0)))</f>
        <v/>
      </c>
      <c r="I13" s="13">
        <f>IF(AND(C13&gt;=DATE(2026,11,29),C13&lt;=DATE(2026,12,1)),B13*60,0)</f>
        <v/>
      </c>
      <c r="J13" s="13">
        <f>IF(A13="",0,B13*(IF(C13=DATE(2026,11,28),38,0)+IF(C13=DATE(2026,12,1),38,0)+IF(C13=DATE(2026,12,2),26,0)))</f>
        <v/>
      </c>
      <c r="K13" s="13">
        <f>IF(C13=Options!$B$9,B13*12,0)</f>
        <v/>
      </c>
      <c r="L13" s="13">
        <f>IF(C13=Options!$B$9,B13*Options!$Z$5,0)</f>
        <v/>
      </c>
      <c r="M13" s="13" t="n">
        <v>0</v>
      </c>
      <c r="N13" s="13">
        <f>SUM(E13:M13)</f>
        <v/>
      </c>
    </row>
    <row r="14">
      <c r="A14" s="5">
        <f>IF(AND(C14&gt;=Options!$B$9,C14&lt;=Options!$B$10),"Chicago","")</f>
        <v/>
      </c>
      <c r="B14" s="5">
        <f>IF(A14="","",18)</f>
        <v/>
      </c>
      <c r="C14" s="17" t="n">
        <v>46305</v>
      </c>
      <c r="D14" s="5">
        <f>IF(A14="","",IF(C14=DATE(2026,11,29),"培训；注册午餐；早餐参数",IF(C14=DATE(2026,11,30),"培训；注册午餐",IF(C14=DATE(2026,12,1),"培训；注册午餐；机构晚餐",IF(C14=Options!$B$9,"抵达；"&amp;IF(C14=DATE(2026,11,28),"机构晚餐","无统一供餐"),IF(C14=Options!$B$10,"返程；"&amp;IF(C14=DATE(2026,12,2),"机构午餐","无统一供餐"),"差旅状态；无统一日程"))))))</f>
        <v/>
      </c>
      <c r="E14" s="13">
        <f>IF(C14=Options!$B$9,Options!$C$14,0)</f>
        <v/>
      </c>
      <c r="F14" s="13">
        <f>IF(AND(A14&lt;&gt;"",C14&lt;Options!$B$10),B14*Options!$X$5,0)</f>
        <v/>
      </c>
      <c r="G14" s="13">
        <f>F14*12%</f>
        <v/>
      </c>
      <c r="H14" s="13">
        <f>IF(A14="",0,B14*(92*IF(OR(C14=Options!$B$9,C14=Options!$B$10),75%,100%)-IF(C14=DATE(2026,11,29),26+IF(Options!$B$8="是",23,0),0)-IF(C14=DATE(2026,11,30),26,0)-IF(C14=DATE(2026,12,1),64,0)-IF(C14=DATE(2026,11,28),38,0)-IF(C14=DATE(2026,12,2),26,0)))</f>
        <v/>
      </c>
      <c r="I14" s="13">
        <f>IF(AND(C14&gt;=DATE(2026,11,29),C14&lt;=DATE(2026,12,1)),B14*60,0)</f>
        <v/>
      </c>
      <c r="J14" s="13">
        <f>IF(A14="",0,B14*(IF(C14=DATE(2026,11,28),38,0)+IF(C14=DATE(2026,12,1),38,0)+IF(C14=DATE(2026,12,2),26,0)))</f>
        <v/>
      </c>
      <c r="K14" s="13">
        <f>IF(C14=Options!$B$9,B14*12,0)</f>
        <v/>
      </c>
      <c r="L14" s="13">
        <f>IF(C14=Options!$B$9,B14*Options!$Z$5,0)</f>
        <v/>
      </c>
      <c r="M14" s="13" t="n">
        <v>0</v>
      </c>
      <c r="N14" s="13">
        <f>SUM(E14:M14)</f>
        <v/>
      </c>
    </row>
    <row r="15">
      <c r="A15" s="5">
        <f>IF(AND(C15&gt;=Options!$B$9,C15&lt;=Options!$B$10),"Chicago","")</f>
        <v/>
      </c>
      <c r="B15" s="5">
        <f>IF(A15="","",18)</f>
        <v/>
      </c>
      <c r="C15" s="17" t="n">
        <v>46306</v>
      </c>
      <c r="D15" s="5">
        <f>IF(A15="","",IF(C15=DATE(2026,11,29),"培训；注册午餐；早餐参数",IF(C15=DATE(2026,11,30),"培训；注册午餐",IF(C15=DATE(2026,12,1),"培训；注册午餐；机构晚餐",IF(C15=Options!$B$9,"抵达；"&amp;IF(C15=DATE(2026,11,28),"机构晚餐","无统一供餐"),IF(C15=Options!$B$10,"返程；"&amp;IF(C15=DATE(2026,12,2),"机构午餐","无统一供餐"),"差旅状态；无统一日程"))))))</f>
        <v/>
      </c>
      <c r="E15" s="13">
        <f>IF(C15=Options!$B$9,Options!$C$14,0)</f>
        <v/>
      </c>
      <c r="F15" s="13">
        <f>IF(AND(A15&lt;&gt;"",C15&lt;Options!$B$10),B15*Options!$X$5,0)</f>
        <v/>
      </c>
      <c r="G15" s="13">
        <f>F15*12%</f>
        <v/>
      </c>
      <c r="H15" s="13">
        <f>IF(A15="",0,B15*(92*IF(OR(C15=Options!$B$9,C15=Options!$B$10),75%,100%)-IF(C15=DATE(2026,11,29),26+IF(Options!$B$8="是",23,0),0)-IF(C15=DATE(2026,11,30),26,0)-IF(C15=DATE(2026,12,1),64,0)-IF(C15=DATE(2026,11,28),38,0)-IF(C15=DATE(2026,12,2),26,0)))</f>
        <v/>
      </c>
      <c r="I15" s="13">
        <f>IF(AND(C15&gt;=DATE(2026,11,29),C15&lt;=DATE(2026,12,1)),B15*60,0)</f>
        <v/>
      </c>
      <c r="J15" s="13">
        <f>IF(A15="",0,B15*(IF(C15=DATE(2026,11,28),38,0)+IF(C15=DATE(2026,12,1),38,0)+IF(C15=DATE(2026,12,2),26,0)))</f>
        <v/>
      </c>
      <c r="K15" s="13">
        <f>IF(C15=Options!$B$9,B15*12,0)</f>
        <v/>
      </c>
      <c r="L15" s="13">
        <f>IF(C15=Options!$B$9,B15*Options!$Z$5,0)</f>
        <v/>
      </c>
      <c r="M15" s="13" t="n">
        <v>0</v>
      </c>
      <c r="N15" s="13">
        <f>SUM(E15:M15)</f>
        <v/>
      </c>
    </row>
    <row r="16">
      <c r="A16" s="5">
        <f>IF(AND(C16&gt;=Options!$B$9,C16&lt;=Options!$B$10),"Chicago","")</f>
        <v/>
      </c>
      <c r="B16" s="5">
        <f>IF(A16="","",18)</f>
        <v/>
      </c>
      <c r="C16" s="17" t="n">
        <v>46307</v>
      </c>
      <c r="D16" s="5">
        <f>IF(A16="","",IF(C16=DATE(2026,11,29),"培训；注册午餐；早餐参数",IF(C16=DATE(2026,11,30),"培训；注册午餐",IF(C16=DATE(2026,12,1),"培训；注册午餐；机构晚餐",IF(C16=Options!$B$9,"抵达；"&amp;IF(C16=DATE(2026,11,28),"机构晚餐","无统一供餐"),IF(C16=Options!$B$10,"返程；"&amp;IF(C16=DATE(2026,12,2),"机构午餐","无统一供餐"),"差旅状态；无统一日程"))))))</f>
        <v/>
      </c>
      <c r="E16" s="13">
        <f>IF(C16=Options!$B$9,Options!$C$14,0)</f>
        <v/>
      </c>
      <c r="F16" s="13">
        <f>IF(AND(A16&lt;&gt;"",C16&lt;Options!$B$10),B16*Options!$X$5,0)</f>
        <v/>
      </c>
      <c r="G16" s="13">
        <f>F16*12%</f>
        <v/>
      </c>
      <c r="H16" s="13">
        <f>IF(A16="",0,B16*(92*IF(OR(C16=Options!$B$9,C16=Options!$B$10),75%,100%)-IF(C16=DATE(2026,11,29),26+IF(Options!$B$8="是",23,0),0)-IF(C16=DATE(2026,11,30),26,0)-IF(C16=DATE(2026,12,1),64,0)-IF(C16=DATE(2026,11,28),38,0)-IF(C16=DATE(2026,12,2),26,0)))</f>
        <v/>
      </c>
      <c r="I16" s="13">
        <f>IF(AND(C16&gt;=DATE(2026,11,29),C16&lt;=DATE(2026,12,1)),B16*60,0)</f>
        <v/>
      </c>
      <c r="J16" s="13">
        <f>IF(A16="",0,B16*(IF(C16=DATE(2026,11,28),38,0)+IF(C16=DATE(2026,12,1),38,0)+IF(C16=DATE(2026,12,2),26,0)))</f>
        <v/>
      </c>
      <c r="K16" s="13">
        <f>IF(C16=Options!$B$9,B16*12,0)</f>
        <v/>
      </c>
      <c r="L16" s="13">
        <f>IF(C16=Options!$B$9,B16*Options!$Z$5,0)</f>
        <v/>
      </c>
      <c r="M16" s="13" t="n">
        <v>0</v>
      </c>
      <c r="N16" s="13">
        <f>SUM(E16:M16)</f>
        <v/>
      </c>
    </row>
    <row r="17">
      <c r="A17" s="5">
        <f>IF(AND(C17&gt;=Options!$B$9,C17&lt;=Options!$B$10),"Chicago","")</f>
        <v/>
      </c>
      <c r="B17" s="5">
        <f>IF(A17="","",18)</f>
        <v/>
      </c>
      <c r="C17" s="17" t="n">
        <v>46308</v>
      </c>
      <c r="D17" s="5">
        <f>IF(A17="","",IF(C17=DATE(2026,11,29),"培训；注册午餐；早餐参数",IF(C17=DATE(2026,11,30),"培训；注册午餐",IF(C17=DATE(2026,12,1),"培训；注册午餐；机构晚餐",IF(C17=Options!$B$9,"抵达；"&amp;IF(C17=DATE(2026,11,28),"机构晚餐","无统一供餐"),IF(C17=Options!$B$10,"返程；"&amp;IF(C17=DATE(2026,12,2),"机构午餐","无统一供餐"),"差旅状态；无统一日程"))))))</f>
        <v/>
      </c>
      <c r="E17" s="13">
        <f>IF(C17=Options!$B$9,Options!$C$14,0)</f>
        <v/>
      </c>
      <c r="F17" s="13">
        <f>IF(AND(A17&lt;&gt;"",C17&lt;Options!$B$10),B17*Options!$X$5,0)</f>
        <v/>
      </c>
      <c r="G17" s="13">
        <f>F17*12%</f>
        <v/>
      </c>
      <c r="H17" s="13">
        <f>IF(A17="",0,B17*(92*IF(OR(C17=Options!$B$9,C17=Options!$B$10),75%,100%)-IF(C17=DATE(2026,11,29),26+IF(Options!$B$8="是",23,0),0)-IF(C17=DATE(2026,11,30),26,0)-IF(C17=DATE(2026,12,1),64,0)-IF(C17=DATE(2026,11,28),38,0)-IF(C17=DATE(2026,12,2),26,0)))</f>
        <v/>
      </c>
      <c r="I17" s="13">
        <f>IF(AND(C17&gt;=DATE(2026,11,29),C17&lt;=DATE(2026,12,1)),B17*60,0)</f>
        <v/>
      </c>
      <c r="J17" s="13">
        <f>IF(A17="",0,B17*(IF(C17=DATE(2026,11,28),38,0)+IF(C17=DATE(2026,12,1),38,0)+IF(C17=DATE(2026,12,2),26,0)))</f>
        <v/>
      </c>
      <c r="K17" s="13">
        <f>IF(C17=Options!$B$9,B17*12,0)</f>
        <v/>
      </c>
      <c r="L17" s="13">
        <f>IF(C17=Options!$B$9,B17*Options!$Z$5,0)</f>
        <v/>
      </c>
      <c r="M17" s="13" t="n">
        <v>0</v>
      </c>
      <c r="N17" s="13">
        <f>SUM(E17:M17)</f>
        <v/>
      </c>
    </row>
    <row r="18">
      <c r="A18" s="5">
        <f>IF(AND(C18&gt;=Options!$B$9,C18&lt;=Options!$B$10),"Chicago","")</f>
        <v/>
      </c>
      <c r="B18" s="5">
        <f>IF(A18="","",18)</f>
        <v/>
      </c>
      <c r="C18" s="17" t="n">
        <v>46309</v>
      </c>
      <c r="D18" s="5">
        <f>IF(A18="","",IF(C18=DATE(2026,11,29),"培训；注册午餐；早餐参数",IF(C18=DATE(2026,11,30),"培训；注册午餐",IF(C18=DATE(2026,12,1),"培训；注册午餐；机构晚餐",IF(C18=Options!$B$9,"抵达；"&amp;IF(C18=DATE(2026,11,28),"机构晚餐","无统一供餐"),IF(C18=Options!$B$10,"返程；"&amp;IF(C18=DATE(2026,12,2),"机构午餐","无统一供餐"),"差旅状态；无统一日程"))))))</f>
        <v/>
      </c>
      <c r="E18" s="13">
        <f>IF(C18=Options!$B$9,Options!$C$14,0)</f>
        <v/>
      </c>
      <c r="F18" s="13">
        <f>IF(AND(A18&lt;&gt;"",C18&lt;Options!$B$10),B18*Options!$X$5,0)</f>
        <v/>
      </c>
      <c r="G18" s="13">
        <f>F18*12%</f>
        <v/>
      </c>
      <c r="H18" s="13">
        <f>IF(A18="",0,B18*(92*IF(OR(C18=Options!$B$9,C18=Options!$B$10),75%,100%)-IF(C18=DATE(2026,11,29),26+IF(Options!$B$8="是",23,0),0)-IF(C18=DATE(2026,11,30),26,0)-IF(C18=DATE(2026,12,1),64,0)-IF(C18=DATE(2026,11,28),38,0)-IF(C18=DATE(2026,12,2),26,0)))</f>
        <v/>
      </c>
      <c r="I18" s="13">
        <f>IF(AND(C18&gt;=DATE(2026,11,29),C18&lt;=DATE(2026,12,1)),B18*60,0)</f>
        <v/>
      </c>
      <c r="J18" s="13">
        <f>IF(A18="",0,B18*(IF(C18=DATE(2026,11,28),38,0)+IF(C18=DATE(2026,12,1),38,0)+IF(C18=DATE(2026,12,2),26,0)))</f>
        <v/>
      </c>
      <c r="K18" s="13">
        <f>IF(C18=Options!$B$9,B18*12,0)</f>
        <v/>
      </c>
      <c r="L18" s="13">
        <f>IF(C18=Options!$B$9,B18*Options!$Z$5,0)</f>
        <v/>
      </c>
      <c r="M18" s="13" t="n">
        <v>0</v>
      </c>
      <c r="N18" s="13">
        <f>SUM(E18:M18)</f>
        <v/>
      </c>
    </row>
    <row r="19">
      <c r="A19" s="5">
        <f>IF(AND(C19&gt;=Options!$B$9,C19&lt;=Options!$B$10),"Chicago","")</f>
        <v/>
      </c>
      <c r="B19" s="5">
        <f>IF(A19="","",18)</f>
        <v/>
      </c>
      <c r="C19" s="17" t="n">
        <v>46310</v>
      </c>
      <c r="D19" s="5">
        <f>IF(A19="","",IF(C19=DATE(2026,11,29),"培训；注册午餐；早餐参数",IF(C19=DATE(2026,11,30),"培训；注册午餐",IF(C19=DATE(2026,12,1),"培训；注册午餐；机构晚餐",IF(C19=Options!$B$9,"抵达；"&amp;IF(C19=DATE(2026,11,28),"机构晚餐","无统一供餐"),IF(C19=Options!$B$10,"返程；"&amp;IF(C19=DATE(2026,12,2),"机构午餐","无统一供餐"),"差旅状态；无统一日程"))))))</f>
        <v/>
      </c>
      <c r="E19" s="13">
        <f>IF(C19=Options!$B$9,Options!$C$14,0)</f>
        <v/>
      </c>
      <c r="F19" s="13">
        <f>IF(AND(A19&lt;&gt;"",C19&lt;Options!$B$10),B19*Options!$X$5,0)</f>
        <v/>
      </c>
      <c r="G19" s="13">
        <f>F19*12%</f>
        <v/>
      </c>
      <c r="H19" s="13">
        <f>IF(A19="",0,B19*(92*IF(OR(C19=Options!$B$9,C19=Options!$B$10),75%,100%)-IF(C19=DATE(2026,11,29),26+IF(Options!$B$8="是",23,0),0)-IF(C19=DATE(2026,11,30),26,0)-IF(C19=DATE(2026,12,1),64,0)-IF(C19=DATE(2026,11,28),38,0)-IF(C19=DATE(2026,12,2),26,0)))</f>
        <v/>
      </c>
      <c r="I19" s="13">
        <f>IF(AND(C19&gt;=DATE(2026,11,29),C19&lt;=DATE(2026,12,1)),B19*60,0)</f>
        <v/>
      </c>
      <c r="J19" s="13">
        <f>IF(A19="",0,B19*(IF(C19=DATE(2026,11,28),38,0)+IF(C19=DATE(2026,12,1),38,0)+IF(C19=DATE(2026,12,2),26,0)))</f>
        <v/>
      </c>
      <c r="K19" s="13">
        <f>IF(C19=Options!$B$9,B19*12,0)</f>
        <v/>
      </c>
      <c r="L19" s="13">
        <f>IF(C19=Options!$B$9,B19*Options!$Z$5,0)</f>
        <v/>
      </c>
      <c r="M19" s="13" t="n">
        <v>0</v>
      </c>
      <c r="N19" s="13">
        <f>SUM(E19:M19)</f>
        <v/>
      </c>
    </row>
    <row r="20">
      <c r="A20" s="5">
        <f>IF(AND(C20&gt;=Options!$B$9,C20&lt;=Options!$B$10),"Chicago","")</f>
        <v/>
      </c>
      <c r="B20" s="5">
        <f>IF(A20="","",18)</f>
        <v/>
      </c>
      <c r="C20" s="17" t="n">
        <v>46311</v>
      </c>
      <c r="D20" s="5">
        <f>IF(A20="","",IF(C20=DATE(2026,11,29),"培训；注册午餐；早餐参数",IF(C20=DATE(2026,11,30),"培训；注册午餐",IF(C20=DATE(2026,12,1),"培训；注册午餐；机构晚餐",IF(C20=Options!$B$9,"抵达；"&amp;IF(C20=DATE(2026,11,28),"机构晚餐","无统一供餐"),IF(C20=Options!$B$10,"返程；"&amp;IF(C20=DATE(2026,12,2),"机构午餐","无统一供餐"),"差旅状态；无统一日程"))))))</f>
        <v/>
      </c>
      <c r="E20" s="13">
        <f>IF(C20=Options!$B$9,Options!$C$14,0)</f>
        <v/>
      </c>
      <c r="F20" s="13">
        <f>IF(AND(A20&lt;&gt;"",C20&lt;Options!$B$10),B20*Options!$X$5,0)</f>
        <v/>
      </c>
      <c r="G20" s="13">
        <f>F20*12%</f>
        <v/>
      </c>
      <c r="H20" s="13">
        <f>IF(A20="",0,B20*(92*IF(OR(C20=Options!$B$9,C20=Options!$B$10),75%,100%)-IF(C20=DATE(2026,11,29),26+IF(Options!$B$8="是",23,0),0)-IF(C20=DATE(2026,11,30),26,0)-IF(C20=DATE(2026,12,1),64,0)-IF(C20=DATE(2026,11,28),38,0)-IF(C20=DATE(2026,12,2),26,0)))</f>
        <v/>
      </c>
      <c r="I20" s="13">
        <f>IF(AND(C20&gt;=DATE(2026,11,29),C20&lt;=DATE(2026,12,1)),B20*60,0)</f>
        <v/>
      </c>
      <c r="J20" s="13">
        <f>IF(A20="",0,B20*(IF(C20=DATE(2026,11,28),38,0)+IF(C20=DATE(2026,12,1),38,0)+IF(C20=DATE(2026,12,2),26,0)))</f>
        <v/>
      </c>
      <c r="K20" s="13">
        <f>IF(C20=Options!$B$9,B20*12,0)</f>
        <v/>
      </c>
      <c r="L20" s="13">
        <f>IF(C20=Options!$B$9,B20*Options!$Z$5,0)</f>
        <v/>
      </c>
      <c r="M20" s="13" t="n">
        <v>0</v>
      </c>
      <c r="N20" s="13">
        <f>SUM(E20:M20)</f>
        <v/>
      </c>
    </row>
    <row r="21">
      <c r="A21" s="5">
        <f>IF(AND(C21&gt;=Options!$B$9,C21&lt;=Options!$B$10),"Chicago","")</f>
        <v/>
      </c>
      <c r="B21" s="5">
        <f>IF(A21="","",18)</f>
        <v/>
      </c>
      <c r="C21" s="17" t="n">
        <v>46312</v>
      </c>
      <c r="D21" s="5">
        <f>IF(A21="","",IF(C21=DATE(2026,11,29),"培训；注册午餐；早餐参数",IF(C21=DATE(2026,11,30),"培训；注册午餐",IF(C21=DATE(2026,12,1),"培训；注册午餐；机构晚餐",IF(C21=Options!$B$9,"抵达；"&amp;IF(C21=DATE(2026,11,28),"机构晚餐","无统一供餐"),IF(C21=Options!$B$10,"返程；"&amp;IF(C21=DATE(2026,12,2),"机构午餐","无统一供餐"),"差旅状态；无统一日程"))))))</f>
        <v/>
      </c>
      <c r="E21" s="13">
        <f>IF(C21=Options!$B$9,Options!$C$14,0)</f>
        <v/>
      </c>
      <c r="F21" s="13">
        <f>IF(AND(A21&lt;&gt;"",C21&lt;Options!$B$10),B21*Options!$X$5,0)</f>
        <v/>
      </c>
      <c r="G21" s="13">
        <f>F21*12%</f>
        <v/>
      </c>
      <c r="H21" s="13">
        <f>IF(A21="",0,B21*(92*IF(OR(C21=Options!$B$9,C21=Options!$B$10),75%,100%)-IF(C21=DATE(2026,11,29),26+IF(Options!$B$8="是",23,0),0)-IF(C21=DATE(2026,11,30),26,0)-IF(C21=DATE(2026,12,1),64,0)-IF(C21=DATE(2026,11,28),38,0)-IF(C21=DATE(2026,12,2),26,0)))</f>
        <v/>
      </c>
      <c r="I21" s="13">
        <f>IF(AND(C21&gt;=DATE(2026,11,29),C21&lt;=DATE(2026,12,1)),B21*60,0)</f>
        <v/>
      </c>
      <c r="J21" s="13">
        <f>IF(A21="",0,B21*(IF(C21=DATE(2026,11,28),38,0)+IF(C21=DATE(2026,12,1),38,0)+IF(C21=DATE(2026,12,2),26,0)))</f>
        <v/>
      </c>
      <c r="K21" s="13">
        <f>IF(C21=Options!$B$9,B21*12,0)</f>
        <v/>
      </c>
      <c r="L21" s="13">
        <f>IF(C21=Options!$B$9,B21*Options!$Z$5,0)</f>
        <v/>
      </c>
      <c r="M21" s="13" t="n">
        <v>0</v>
      </c>
      <c r="N21" s="13">
        <f>SUM(E21:M21)</f>
        <v/>
      </c>
    </row>
    <row r="22">
      <c r="A22" s="5">
        <f>IF(AND(C22&gt;=Options!$B$9,C22&lt;=Options!$B$10),"Chicago","")</f>
        <v/>
      </c>
      <c r="B22" s="5">
        <f>IF(A22="","",18)</f>
        <v/>
      </c>
      <c r="C22" s="17" t="n">
        <v>46313</v>
      </c>
      <c r="D22" s="5">
        <f>IF(A22="","",IF(C22=DATE(2026,11,29),"培训；注册午餐；早餐参数",IF(C22=DATE(2026,11,30),"培训；注册午餐",IF(C22=DATE(2026,12,1),"培训；注册午餐；机构晚餐",IF(C22=Options!$B$9,"抵达；"&amp;IF(C22=DATE(2026,11,28),"机构晚餐","无统一供餐"),IF(C22=Options!$B$10,"返程；"&amp;IF(C22=DATE(2026,12,2),"机构午餐","无统一供餐"),"差旅状态；无统一日程"))))))</f>
        <v/>
      </c>
      <c r="E22" s="13">
        <f>IF(C22=Options!$B$9,Options!$C$14,0)</f>
        <v/>
      </c>
      <c r="F22" s="13">
        <f>IF(AND(A22&lt;&gt;"",C22&lt;Options!$B$10),B22*Options!$X$5,0)</f>
        <v/>
      </c>
      <c r="G22" s="13">
        <f>F22*12%</f>
        <v/>
      </c>
      <c r="H22" s="13">
        <f>IF(A22="",0,B22*(92*IF(OR(C22=Options!$B$9,C22=Options!$B$10),75%,100%)-IF(C22=DATE(2026,11,29),26+IF(Options!$B$8="是",23,0),0)-IF(C22=DATE(2026,11,30),26,0)-IF(C22=DATE(2026,12,1),64,0)-IF(C22=DATE(2026,11,28),38,0)-IF(C22=DATE(2026,12,2),26,0)))</f>
        <v/>
      </c>
      <c r="I22" s="13">
        <f>IF(AND(C22&gt;=DATE(2026,11,29),C22&lt;=DATE(2026,12,1)),B22*60,0)</f>
        <v/>
      </c>
      <c r="J22" s="13">
        <f>IF(A22="",0,B22*(IF(C22=DATE(2026,11,28),38,0)+IF(C22=DATE(2026,12,1),38,0)+IF(C22=DATE(2026,12,2),26,0)))</f>
        <v/>
      </c>
      <c r="K22" s="13">
        <f>IF(C22=Options!$B$9,B22*12,0)</f>
        <v/>
      </c>
      <c r="L22" s="13">
        <f>IF(C22=Options!$B$9,B22*Options!$Z$5,0)</f>
        <v/>
      </c>
      <c r="M22" s="13" t="n">
        <v>0</v>
      </c>
      <c r="N22" s="13">
        <f>SUM(E22:M22)</f>
        <v/>
      </c>
    </row>
    <row r="23">
      <c r="A23" s="5">
        <f>IF(AND(C23&gt;=Options!$B$9,C23&lt;=Options!$B$10),"Chicago","")</f>
        <v/>
      </c>
      <c r="B23" s="5">
        <f>IF(A23="","",18)</f>
        <v/>
      </c>
      <c r="C23" s="17" t="n">
        <v>46314</v>
      </c>
      <c r="D23" s="5">
        <f>IF(A23="","",IF(C23=DATE(2026,11,29),"培训；注册午餐；早餐参数",IF(C23=DATE(2026,11,30),"培训；注册午餐",IF(C23=DATE(2026,12,1),"培训；注册午餐；机构晚餐",IF(C23=Options!$B$9,"抵达；"&amp;IF(C23=DATE(2026,11,28),"机构晚餐","无统一供餐"),IF(C23=Options!$B$10,"返程；"&amp;IF(C23=DATE(2026,12,2),"机构午餐","无统一供餐"),"差旅状态；无统一日程"))))))</f>
        <v/>
      </c>
      <c r="E23" s="13">
        <f>IF(C23=Options!$B$9,Options!$C$14,0)</f>
        <v/>
      </c>
      <c r="F23" s="13">
        <f>IF(AND(A23&lt;&gt;"",C23&lt;Options!$B$10),B23*Options!$X$5,0)</f>
        <v/>
      </c>
      <c r="G23" s="13">
        <f>F23*12%</f>
        <v/>
      </c>
      <c r="H23" s="13">
        <f>IF(A23="",0,B23*(92*IF(OR(C23=Options!$B$9,C23=Options!$B$10),75%,100%)-IF(C23=DATE(2026,11,29),26+IF(Options!$B$8="是",23,0),0)-IF(C23=DATE(2026,11,30),26,0)-IF(C23=DATE(2026,12,1),64,0)-IF(C23=DATE(2026,11,28),38,0)-IF(C23=DATE(2026,12,2),26,0)))</f>
        <v/>
      </c>
      <c r="I23" s="13">
        <f>IF(AND(C23&gt;=DATE(2026,11,29),C23&lt;=DATE(2026,12,1)),B23*60,0)</f>
        <v/>
      </c>
      <c r="J23" s="13">
        <f>IF(A23="",0,B23*(IF(C23=DATE(2026,11,28),38,0)+IF(C23=DATE(2026,12,1),38,0)+IF(C23=DATE(2026,12,2),26,0)))</f>
        <v/>
      </c>
      <c r="K23" s="13">
        <f>IF(C23=Options!$B$9,B23*12,0)</f>
        <v/>
      </c>
      <c r="L23" s="13">
        <f>IF(C23=Options!$B$9,B23*Options!$Z$5,0)</f>
        <v/>
      </c>
      <c r="M23" s="13" t="n">
        <v>0</v>
      </c>
      <c r="N23" s="13">
        <f>SUM(E23:M23)</f>
        <v/>
      </c>
    </row>
    <row r="24">
      <c r="A24" s="5">
        <f>IF(AND(C24&gt;=Options!$B$9,C24&lt;=Options!$B$10),"Chicago","")</f>
        <v/>
      </c>
      <c r="B24" s="5">
        <f>IF(A24="","",18)</f>
        <v/>
      </c>
      <c r="C24" s="17" t="n">
        <v>46315</v>
      </c>
      <c r="D24" s="5">
        <f>IF(A24="","",IF(C24=DATE(2026,11,29),"培训；注册午餐；早餐参数",IF(C24=DATE(2026,11,30),"培训；注册午餐",IF(C24=DATE(2026,12,1),"培训；注册午餐；机构晚餐",IF(C24=Options!$B$9,"抵达；"&amp;IF(C24=DATE(2026,11,28),"机构晚餐","无统一供餐"),IF(C24=Options!$B$10,"返程；"&amp;IF(C24=DATE(2026,12,2),"机构午餐","无统一供餐"),"差旅状态；无统一日程"))))))</f>
        <v/>
      </c>
      <c r="E24" s="13">
        <f>IF(C24=Options!$B$9,Options!$C$14,0)</f>
        <v/>
      </c>
      <c r="F24" s="13">
        <f>IF(AND(A24&lt;&gt;"",C24&lt;Options!$B$10),B24*Options!$X$5,0)</f>
        <v/>
      </c>
      <c r="G24" s="13">
        <f>F24*12%</f>
        <v/>
      </c>
      <c r="H24" s="13">
        <f>IF(A24="",0,B24*(92*IF(OR(C24=Options!$B$9,C24=Options!$B$10),75%,100%)-IF(C24=DATE(2026,11,29),26+IF(Options!$B$8="是",23,0),0)-IF(C24=DATE(2026,11,30),26,0)-IF(C24=DATE(2026,12,1),64,0)-IF(C24=DATE(2026,11,28),38,0)-IF(C24=DATE(2026,12,2),26,0)))</f>
        <v/>
      </c>
      <c r="I24" s="13">
        <f>IF(AND(C24&gt;=DATE(2026,11,29),C24&lt;=DATE(2026,12,1)),B24*60,0)</f>
        <v/>
      </c>
      <c r="J24" s="13">
        <f>IF(A24="",0,B24*(IF(C24=DATE(2026,11,28),38,0)+IF(C24=DATE(2026,12,1),38,0)+IF(C24=DATE(2026,12,2),26,0)))</f>
        <v/>
      </c>
      <c r="K24" s="13">
        <f>IF(C24=Options!$B$9,B24*12,0)</f>
        <v/>
      </c>
      <c r="L24" s="13">
        <f>IF(C24=Options!$B$9,B24*Options!$Z$5,0)</f>
        <v/>
      </c>
      <c r="M24" s="13" t="n">
        <v>0</v>
      </c>
      <c r="N24" s="13">
        <f>SUM(E24:M24)</f>
        <v/>
      </c>
    </row>
    <row r="25">
      <c r="A25" s="5">
        <f>IF(AND(C25&gt;=Options!$B$9,C25&lt;=Options!$B$10),"Chicago","")</f>
        <v/>
      </c>
      <c r="B25" s="5">
        <f>IF(A25="","",18)</f>
        <v/>
      </c>
      <c r="C25" s="17" t="n">
        <v>46316</v>
      </c>
      <c r="D25" s="5">
        <f>IF(A25="","",IF(C25=DATE(2026,11,29),"培训；注册午餐；早餐参数",IF(C25=DATE(2026,11,30),"培训；注册午餐",IF(C25=DATE(2026,12,1),"培训；注册午餐；机构晚餐",IF(C25=Options!$B$9,"抵达；"&amp;IF(C25=DATE(2026,11,28),"机构晚餐","无统一供餐"),IF(C25=Options!$B$10,"返程；"&amp;IF(C25=DATE(2026,12,2),"机构午餐","无统一供餐"),"差旅状态；无统一日程"))))))</f>
        <v/>
      </c>
      <c r="E25" s="13">
        <f>IF(C25=Options!$B$9,Options!$C$14,0)</f>
        <v/>
      </c>
      <c r="F25" s="13">
        <f>IF(AND(A25&lt;&gt;"",C25&lt;Options!$B$10),B25*Options!$X$5,0)</f>
        <v/>
      </c>
      <c r="G25" s="13">
        <f>F25*12%</f>
        <v/>
      </c>
      <c r="H25" s="13">
        <f>IF(A25="",0,B25*(92*IF(OR(C25=Options!$B$9,C25=Options!$B$10),75%,100%)-IF(C25=DATE(2026,11,29),26+IF(Options!$B$8="是",23,0),0)-IF(C25=DATE(2026,11,30),26,0)-IF(C25=DATE(2026,12,1),64,0)-IF(C25=DATE(2026,11,28),38,0)-IF(C25=DATE(2026,12,2),26,0)))</f>
        <v/>
      </c>
      <c r="I25" s="13">
        <f>IF(AND(C25&gt;=DATE(2026,11,29),C25&lt;=DATE(2026,12,1)),B25*60,0)</f>
        <v/>
      </c>
      <c r="J25" s="13">
        <f>IF(A25="",0,B25*(IF(C25=DATE(2026,11,28),38,0)+IF(C25=DATE(2026,12,1),38,0)+IF(C25=DATE(2026,12,2),26,0)))</f>
        <v/>
      </c>
      <c r="K25" s="13">
        <f>IF(C25=Options!$B$9,B25*12,0)</f>
        <v/>
      </c>
      <c r="L25" s="13">
        <f>IF(C25=Options!$B$9,B25*Options!$Z$5,0)</f>
        <v/>
      </c>
      <c r="M25" s="13" t="n">
        <v>0</v>
      </c>
      <c r="N25" s="13">
        <f>SUM(E25:M25)</f>
        <v/>
      </c>
    </row>
    <row r="26">
      <c r="A26" s="5">
        <f>IF(AND(C26&gt;=Options!$B$9,C26&lt;=Options!$B$10),"Chicago","")</f>
        <v/>
      </c>
      <c r="B26" s="5">
        <f>IF(A26="","",18)</f>
        <v/>
      </c>
      <c r="C26" s="17" t="n">
        <v>46317</v>
      </c>
      <c r="D26" s="5">
        <f>IF(A26="","",IF(C26=DATE(2026,11,29),"培训；注册午餐；早餐参数",IF(C26=DATE(2026,11,30),"培训；注册午餐",IF(C26=DATE(2026,12,1),"培训；注册午餐；机构晚餐",IF(C26=Options!$B$9,"抵达；"&amp;IF(C26=DATE(2026,11,28),"机构晚餐","无统一供餐"),IF(C26=Options!$B$10,"返程；"&amp;IF(C26=DATE(2026,12,2),"机构午餐","无统一供餐"),"差旅状态；无统一日程"))))))</f>
        <v/>
      </c>
      <c r="E26" s="13">
        <f>IF(C26=Options!$B$9,Options!$C$14,0)</f>
        <v/>
      </c>
      <c r="F26" s="13">
        <f>IF(AND(A26&lt;&gt;"",C26&lt;Options!$B$10),B26*Options!$X$5,0)</f>
        <v/>
      </c>
      <c r="G26" s="13">
        <f>F26*12%</f>
        <v/>
      </c>
      <c r="H26" s="13">
        <f>IF(A26="",0,B26*(92*IF(OR(C26=Options!$B$9,C26=Options!$B$10),75%,100%)-IF(C26=DATE(2026,11,29),26+IF(Options!$B$8="是",23,0),0)-IF(C26=DATE(2026,11,30),26,0)-IF(C26=DATE(2026,12,1),64,0)-IF(C26=DATE(2026,11,28),38,0)-IF(C26=DATE(2026,12,2),26,0)))</f>
        <v/>
      </c>
      <c r="I26" s="13">
        <f>IF(AND(C26&gt;=DATE(2026,11,29),C26&lt;=DATE(2026,12,1)),B26*60,0)</f>
        <v/>
      </c>
      <c r="J26" s="13">
        <f>IF(A26="",0,B26*(IF(C26=DATE(2026,11,28),38,0)+IF(C26=DATE(2026,12,1),38,0)+IF(C26=DATE(2026,12,2),26,0)))</f>
        <v/>
      </c>
      <c r="K26" s="13">
        <f>IF(C26=Options!$B$9,B26*12,0)</f>
        <v/>
      </c>
      <c r="L26" s="13">
        <f>IF(C26=Options!$B$9,B26*Options!$Z$5,0)</f>
        <v/>
      </c>
      <c r="M26" s="13" t="n">
        <v>0</v>
      </c>
      <c r="N26" s="13">
        <f>SUM(E26:M26)</f>
        <v/>
      </c>
    </row>
    <row r="27">
      <c r="A27" s="5">
        <f>IF(AND(C27&gt;=Options!$B$9,C27&lt;=Options!$B$10),"Chicago","")</f>
        <v/>
      </c>
      <c r="B27" s="5">
        <f>IF(A27="","",18)</f>
        <v/>
      </c>
      <c r="C27" s="17" t="n">
        <v>46318</v>
      </c>
      <c r="D27" s="5">
        <f>IF(A27="","",IF(C27=DATE(2026,11,29),"培训；注册午餐；早餐参数",IF(C27=DATE(2026,11,30),"培训；注册午餐",IF(C27=DATE(2026,12,1),"培训；注册午餐；机构晚餐",IF(C27=Options!$B$9,"抵达；"&amp;IF(C27=DATE(2026,11,28),"机构晚餐","无统一供餐"),IF(C27=Options!$B$10,"返程；"&amp;IF(C27=DATE(2026,12,2),"机构午餐","无统一供餐"),"差旅状态；无统一日程"))))))</f>
        <v/>
      </c>
      <c r="E27" s="13">
        <f>IF(C27=Options!$B$9,Options!$C$14,0)</f>
        <v/>
      </c>
      <c r="F27" s="13">
        <f>IF(AND(A27&lt;&gt;"",C27&lt;Options!$B$10),B27*Options!$X$5,0)</f>
        <v/>
      </c>
      <c r="G27" s="13">
        <f>F27*12%</f>
        <v/>
      </c>
      <c r="H27" s="13">
        <f>IF(A27="",0,B27*(92*IF(OR(C27=Options!$B$9,C27=Options!$B$10),75%,100%)-IF(C27=DATE(2026,11,29),26+IF(Options!$B$8="是",23,0),0)-IF(C27=DATE(2026,11,30),26,0)-IF(C27=DATE(2026,12,1),64,0)-IF(C27=DATE(2026,11,28),38,0)-IF(C27=DATE(2026,12,2),26,0)))</f>
        <v/>
      </c>
      <c r="I27" s="13">
        <f>IF(AND(C27&gt;=DATE(2026,11,29),C27&lt;=DATE(2026,12,1)),B27*60,0)</f>
        <v/>
      </c>
      <c r="J27" s="13">
        <f>IF(A27="",0,B27*(IF(C27=DATE(2026,11,28),38,0)+IF(C27=DATE(2026,12,1),38,0)+IF(C27=DATE(2026,12,2),26,0)))</f>
        <v/>
      </c>
      <c r="K27" s="13">
        <f>IF(C27=Options!$B$9,B27*12,0)</f>
        <v/>
      </c>
      <c r="L27" s="13">
        <f>IF(C27=Options!$B$9,B27*Options!$Z$5,0)</f>
        <v/>
      </c>
      <c r="M27" s="13" t="n">
        <v>0</v>
      </c>
      <c r="N27" s="13">
        <f>SUM(E27:M27)</f>
        <v/>
      </c>
    </row>
    <row r="28">
      <c r="A28" s="5">
        <f>IF(AND(C28&gt;=Options!$B$9,C28&lt;=Options!$B$10),"Chicago","")</f>
        <v/>
      </c>
      <c r="B28" s="5">
        <f>IF(A28="","",18)</f>
        <v/>
      </c>
      <c r="C28" s="17" t="n">
        <v>46319</v>
      </c>
      <c r="D28" s="5">
        <f>IF(A28="","",IF(C28=DATE(2026,11,29),"培训；注册午餐；早餐参数",IF(C28=DATE(2026,11,30),"培训；注册午餐",IF(C28=DATE(2026,12,1),"培训；注册午餐；机构晚餐",IF(C28=Options!$B$9,"抵达；"&amp;IF(C28=DATE(2026,11,28),"机构晚餐","无统一供餐"),IF(C28=Options!$B$10,"返程；"&amp;IF(C28=DATE(2026,12,2),"机构午餐","无统一供餐"),"差旅状态；无统一日程"))))))</f>
        <v/>
      </c>
      <c r="E28" s="13">
        <f>IF(C28=Options!$B$9,Options!$C$14,0)</f>
        <v/>
      </c>
      <c r="F28" s="13">
        <f>IF(AND(A28&lt;&gt;"",C28&lt;Options!$B$10),B28*Options!$X$5,0)</f>
        <v/>
      </c>
      <c r="G28" s="13">
        <f>F28*12%</f>
        <v/>
      </c>
      <c r="H28" s="13">
        <f>IF(A28="",0,B28*(92*IF(OR(C28=Options!$B$9,C28=Options!$B$10),75%,100%)-IF(C28=DATE(2026,11,29),26+IF(Options!$B$8="是",23,0),0)-IF(C28=DATE(2026,11,30),26,0)-IF(C28=DATE(2026,12,1),64,0)-IF(C28=DATE(2026,11,28),38,0)-IF(C28=DATE(2026,12,2),26,0)))</f>
        <v/>
      </c>
      <c r="I28" s="13">
        <f>IF(AND(C28&gt;=DATE(2026,11,29),C28&lt;=DATE(2026,12,1)),B28*60,0)</f>
        <v/>
      </c>
      <c r="J28" s="13">
        <f>IF(A28="",0,B28*(IF(C28=DATE(2026,11,28),38,0)+IF(C28=DATE(2026,12,1),38,0)+IF(C28=DATE(2026,12,2),26,0)))</f>
        <v/>
      </c>
      <c r="K28" s="13">
        <f>IF(C28=Options!$B$9,B28*12,0)</f>
        <v/>
      </c>
      <c r="L28" s="13">
        <f>IF(C28=Options!$B$9,B28*Options!$Z$5,0)</f>
        <v/>
      </c>
      <c r="M28" s="13" t="n">
        <v>0</v>
      </c>
      <c r="N28" s="13">
        <f>SUM(E28:M28)</f>
        <v/>
      </c>
    </row>
    <row r="29">
      <c r="A29" s="5">
        <f>IF(AND(C29&gt;=Options!$B$9,C29&lt;=Options!$B$10),"Chicago","")</f>
        <v/>
      </c>
      <c r="B29" s="5">
        <f>IF(A29="","",18)</f>
        <v/>
      </c>
      <c r="C29" s="17" t="n">
        <v>46320</v>
      </c>
      <c r="D29" s="5">
        <f>IF(A29="","",IF(C29=DATE(2026,11,29),"培训；注册午餐；早餐参数",IF(C29=DATE(2026,11,30),"培训；注册午餐",IF(C29=DATE(2026,12,1),"培训；注册午餐；机构晚餐",IF(C29=Options!$B$9,"抵达；"&amp;IF(C29=DATE(2026,11,28),"机构晚餐","无统一供餐"),IF(C29=Options!$B$10,"返程；"&amp;IF(C29=DATE(2026,12,2),"机构午餐","无统一供餐"),"差旅状态；无统一日程"))))))</f>
        <v/>
      </c>
      <c r="E29" s="13">
        <f>IF(C29=Options!$B$9,Options!$C$14,0)</f>
        <v/>
      </c>
      <c r="F29" s="13">
        <f>IF(AND(A29&lt;&gt;"",C29&lt;Options!$B$10),B29*Options!$X$5,0)</f>
        <v/>
      </c>
      <c r="G29" s="13">
        <f>F29*12%</f>
        <v/>
      </c>
      <c r="H29" s="13">
        <f>IF(A29="",0,B29*(92*IF(OR(C29=Options!$B$9,C29=Options!$B$10),75%,100%)-IF(C29=DATE(2026,11,29),26+IF(Options!$B$8="是",23,0),0)-IF(C29=DATE(2026,11,30),26,0)-IF(C29=DATE(2026,12,1),64,0)-IF(C29=DATE(2026,11,28),38,0)-IF(C29=DATE(2026,12,2),26,0)))</f>
        <v/>
      </c>
      <c r="I29" s="13">
        <f>IF(AND(C29&gt;=DATE(2026,11,29),C29&lt;=DATE(2026,12,1)),B29*60,0)</f>
        <v/>
      </c>
      <c r="J29" s="13">
        <f>IF(A29="",0,B29*(IF(C29=DATE(2026,11,28),38,0)+IF(C29=DATE(2026,12,1),38,0)+IF(C29=DATE(2026,12,2),26,0)))</f>
        <v/>
      </c>
      <c r="K29" s="13">
        <f>IF(C29=Options!$B$9,B29*12,0)</f>
        <v/>
      </c>
      <c r="L29" s="13">
        <f>IF(C29=Options!$B$9,B29*Options!$Z$5,0)</f>
        <v/>
      </c>
      <c r="M29" s="13" t="n">
        <v>0</v>
      </c>
      <c r="N29" s="13">
        <f>SUM(E29:M29)</f>
        <v/>
      </c>
    </row>
    <row r="30">
      <c r="A30" s="5">
        <f>IF(AND(C30&gt;=Options!$B$9,C30&lt;=Options!$B$10),"Chicago","")</f>
        <v/>
      </c>
      <c r="B30" s="5">
        <f>IF(A30="","",18)</f>
        <v/>
      </c>
      <c r="C30" s="17" t="n">
        <v>46321</v>
      </c>
      <c r="D30" s="5">
        <f>IF(A30="","",IF(C30=DATE(2026,11,29),"培训；注册午餐；早餐参数",IF(C30=DATE(2026,11,30),"培训；注册午餐",IF(C30=DATE(2026,12,1),"培训；注册午餐；机构晚餐",IF(C30=Options!$B$9,"抵达；"&amp;IF(C30=DATE(2026,11,28),"机构晚餐","无统一供餐"),IF(C30=Options!$B$10,"返程；"&amp;IF(C30=DATE(2026,12,2),"机构午餐","无统一供餐"),"差旅状态；无统一日程"))))))</f>
        <v/>
      </c>
      <c r="E30" s="13">
        <f>IF(C30=Options!$B$9,Options!$C$14,0)</f>
        <v/>
      </c>
      <c r="F30" s="13">
        <f>IF(AND(A30&lt;&gt;"",C30&lt;Options!$B$10),B30*Options!$X$5,0)</f>
        <v/>
      </c>
      <c r="G30" s="13">
        <f>F30*12%</f>
        <v/>
      </c>
      <c r="H30" s="13">
        <f>IF(A30="",0,B30*(92*IF(OR(C30=Options!$B$9,C30=Options!$B$10),75%,100%)-IF(C30=DATE(2026,11,29),26+IF(Options!$B$8="是",23,0),0)-IF(C30=DATE(2026,11,30),26,0)-IF(C30=DATE(2026,12,1),64,0)-IF(C30=DATE(2026,11,28),38,0)-IF(C30=DATE(2026,12,2),26,0)))</f>
        <v/>
      </c>
      <c r="I30" s="13">
        <f>IF(AND(C30&gt;=DATE(2026,11,29),C30&lt;=DATE(2026,12,1)),B30*60,0)</f>
        <v/>
      </c>
      <c r="J30" s="13">
        <f>IF(A30="",0,B30*(IF(C30=DATE(2026,11,28),38,0)+IF(C30=DATE(2026,12,1),38,0)+IF(C30=DATE(2026,12,2),26,0)))</f>
        <v/>
      </c>
      <c r="K30" s="13">
        <f>IF(C30=Options!$B$9,B30*12,0)</f>
        <v/>
      </c>
      <c r="L30" s="13">
        <f>IF(C30=Options!$B$9,B30*Options!$Z$5,0)</f>
        <v/>
      </c>
      <c r="M30" s="13" t="n">
        <v>0</v>
      </c>
      <c r="N30" s="13">
        <f>SUM(E30:M30)</f>
        <v/>
      </c>
    </row>
    <row r="31">
      <c r="A31" s="5">
        <f>IF(AND(C31&gt;=Options!$B$9,C31&lt;=Options!$B$10),"Chicago","")</f>
        <v/>
      </c>
      <c r="B31" s="5">
        <f>IF(A31="","",18)</f>
        <v/>
      </c>
      <c r="C31" s="17" t="n">
        <v>46322</v>
      </c>
      <c r="D31" s="5">
        <f>IF(A31="","",IF(C31=DATE(2026,11,29),"培训；注册午餐；早餐参数",IF(C31=DATE(2026,11,30),"培训；注册午餐",IF(C31=DATE(2026,12,1),"培训；注册午餐；机构晚餐",IF(C31=Options!$B$9,"抵达；"&amp;IF(C31=DATE(2026,11,28),"机构晚餐","无统一供餐"),IF(C31=Options!$B$10,"返程；"&amp;IF(C31=DATE(2026,12,2),"机构午餐","无统一供餐"),"差旅状态；无统一日程"))))))</f>
        <v/>
      </c>
      <c r="E31" s="13">
        <f>IF(C31=Options!$B$9,Options!$C$14,0)</f>
        <v/>
      </c>
      <c r="F31" s="13">
        <f>IF(AND(A31&lt;&gt;"",C31&lt;Options!$B$10),B31*Options!$X$5,0)</f>
        <v/>
      </c>
      <c r="G31" s="13">
        <f>F31*12%</f>
        <v/>
      </c>
      <c r="H31" s="13">
        <f>IF(A31="",0,B31*(92*IF(OR(C31=Options!$B$9,C31=Options!$B$10),75%,100%)-IF(C31=DATE(2026,11,29),26+IF(Options!$B$8="是",23,0),0)-IF(C31=DATE(2026,11,30),26,0)-IF(C31=DATE(2026,12,1),64,0)-IF(C31=DATE(2026,11,28),38,0)-IF(C31=DATE(2026,12,2),26,0)))</f>
        <v/>
      </c>
      <c r="I31" s="13">
        <f>IF(AND(C31&gt;=DATE(2026,11,29),C31&lt;=DATE(2026,12,1)),B31*60,0)</f>
        <v/>
      </c>
      <c r="J31" s="13">
        <f>IF(A31="",0,B31*(IF(C31=DATE(2026,11,28),38,0)+IF(C31=DATE(2026,12,1),38,0)+IF(C31=DATE(2026,12,2),26,0)))</f>
        <v/>
      </c>
      <c r="K31" s="13">
        <f>IF(C31=Options!$B$9,B31*12,0)</f>
        <v/>
      </c>
      <c r="L31" s="13">
        <f>IF(C31=Options!$B$9,B31*Options!$Z$5,0)</f>
        <v/>
      </c>
      <c r="M31" s="13" t="n">
        <v>0</v>
      </c>
      <c r="N31" s="13">
        <f>SUM(E31:M31)</f>
        <v/>
      </c>
    </row>
    <row r="32">
      <c r="A32" s="5">
        <f>IF(AND(C32&gt;=Options!$B$9,C32&lt;=Options!$B$10),"Chicago","")</f>
        <v/>
      </c>
      <c r="B32" s="5">
        <f>IF(A32="","",18)</f>
        <v/>
      </c>
      <c r="C32" s="17" t="n">
        <v>46323</v>
      </c>
      <c r="D32" s="5">
        <f>IF(A32="","",IF(C32=DATE(2026,11,29),"培训；注册午餐；早餐参数",IF(C32=DATE(2026,11,30),"培训；注册午餐",IF(C32=DATE(2026,12,1),"培训；注册午餐；机构晚餐",IF(C32=Options!$B$9,"抵达；"&amp;IF(C32=DATE(2026,11,28),"机构晚餐","无统一供餐"),IF(C32=Options!$B$10,"返程；"&amp;IF(C32=DATE(2026,12,2),"机构午餐","无统一供餐"),"差旅状态；无统一日程"))))))</f>
        <v/>
      </c>
      <c r="E32" s="13">
        <f>IF(C32=Options!$B$9,Options!$C$14,0)</f>
        <v/>
      </c>
      <c r="F32" s="13">
        <f>IF(AND(A32&lt;&gt;"",C32&lt;Options!$B$10),B32*Options!$X$5,0)</f>
        <v/>
      </c>
      <c r="G32" s="13">
        <f>F32*12%</f>
        <v/>
      </c>
      <c r="H32" s="13">
        <f>IF(A32="",0,B32*(92*IF(OR(C32=Options!$B$9,C32=Options!$B$10),75%,100%)-IF(C32=DATE(2026,11,29),26+IF(Options!$B$8="是",23,0),0)-IF(C32=DATE(2026,11,30),26,0)-IF(C32=DATE(2026,12,1),64,0)-IF(C32=DATE(2026,11,28),38,0)-IF(C32=DATE(2026,12,2),26,0)))</f>
        <v/>
      </c>
      <c r="I32" s="13">
        <f>IF(AND(C32&gt;=DATE(2026,11,29),C32&lt;=DATE(2026,12,1)),B32*60,0)</f>
        <v/>
      </c>
      <c r="J32" s="13">
        <f>IF(A32="",0,B32*(IF(C32=DATE(2026,11,28),38,0)+IF(C32=DATE(2026,12,1),38,0)+IF(C32=DATE(2026,12,2),26,0)))</f>
        <v/>
      </c>
      <c r="K32" s="13">
        <f>IF(C32=Options!$B$9,B32*12,0)</f>
        <v/>
      </c>
      <c r="L32" s="13">
        <f>IF(C32=Options!$B$9,B32*Options!$Z$5,0)</f>
        <v/>
      </c>
      <c r="M32" s="13" t="n">
        <v>0</v>
      </c>
      <c r="N32" s="13">
        <f>SUM(E32:M32)</f>
        <v/>
      </c>
    </row>
    <row r="33">
      <c r="A33" s="5">
        <f>IF(AND(C33&gt;=Options!$B$9,C33&lt;=Options!$B$10),"Chicago","")</f>
        <v/>
      </c>
      <c r="B33" s="5">
        <f>IF(A33="","",18)</f>
        <v/>
      </c>
      <c r="C33" s="17" t="n">
        <v>46324</v>
      </c>
      <c r="D33" s="5">
        <f>IF(A33="","",IF(C33=DATE(2026,11,29),"培训；注册午餐；早餐参数",IF(C33=DATE(2026,11,30),"培训；注册午餐",IF(C33=DATE(2026,12,1),"培训；注册午餐；机构晚餐",IF(C33=Options!$B$9,"抵达；"&amp;IF(C33=DATE(2026,11,28),"机构晚餐","无统一供餐"),IF(C33=Options!$B$10,"返程；"&amp;IF(C33=DATE(2026,12,2),"机构午餐","无统一供餐"),"差旅状态；无统一日程"))))))</f>
        <v/>
      </c>
      <c r="E33" s="13">
        <f>IF(C33=Options!$B$9,Options!$C$14,0)</f>
        <v/>
      </c>
      <c r="F33" s="13">
        <f>IF(AND(A33&lt;&gt;"",C33&lt;Options!$B$10),B33*Options!$X$5,0)</f>
        <v/>
      </c>
      <c r="G33" s="13">
        <f>F33*12%</f>
        <v/>
      </c>
      <c r="H33" s="13">
        <f>IF(A33="",0,B33*(92*IF(OR(C33=Options!$B$9,C33=Options!$B$10),75%,100%)-IF(C33=DATE(2026,11,29),26+IF(Options!$B$8="是",23,0),0)-IF(C33=DATE(2026,11,30),26,0)-IF(C33=DATE(2026,12,1),64,0)-IF(C33=DATE(2026,11,28),38,0)-IF(C33=DATE(2026,12,2),26,0)))</f>
        <v/>
      </c>
      <c r="I33" s="13">
        <f>IF(AND(C33&gt;=DATE(2026,11,29),C33&lt;=DATE(2026,12,1)),B33*60,0)</f>
        <v/>
      </c>
      <c r="J33" s="13">
        <f>IF(A33="",0,B33*(IF(C33=DATE(2026,11,28),38,0)+IF(C33=DATE(2026,12,1),38,0)+IF(C33=DATE(2026,12,2),26,0)))</f>
        <v/>
      </c>
      <c r="K33" s="13">
        <f>IF(C33=Options!$B$9,B33*12,0)</f>
        <v/>
      </c>
      <c r="L33" s="13">
        <f>IF(C33=Options!$B$9,B33*Options!$Z$5,0)</f>
        <v/>
      </c>
      <c r="M33" s="13" t="n">
        <v>0</v>
      </c>
      <c r="N33" s="13">
        <f>SUM(E33:M33)</f>
        <v/>
      </c>
    </row>
    <row r="34">
      <c r="A34" s="5">
        <f>IF(AND(C34&gt;=Options!$B$9,C34&lt;=Options!$B$10),"Chicago","")</f>
        <v/>
      </c>
      <c r="B34" s="5">
        <f>IF(A34="","",18)</f>
        <v/>
      </c>
      <c r="C34" s="17" t="n">
        <v>46325</v>
      </c>
      <c r="D34" s="5">
        <f>IF(A34="","",IF(C34=DATE(2026,11,29),"培训；注册午餐；早餐参数",IF(C34=DATE(2026,11,30),"培训；注册午餐",IF(C34=DATE(2026,12,1),"培训；注册午餐；机构晚餐",IF(C34=Options!$B$9,"抵达；"&amp;IF(C34=DATE(2026,11,28),"机构晚餐","无统一供餐"),IF(C34=Options!$B$10,"返程；"&amp;IF(C34=DATE(2026,12,2),"机构午餐","无统一供餐"),"差旅状态；无统一日程"))))))</f>
        <v/>
      </c>
      <c r="E34" s="13">
        <f>IF(C34=Options!$B$9,Options!$C$14,0)</f>
        <v/>
      </c>
      <c r="F34" s="13">
        <f>IF(AND(A34&lt;&gt;"",C34&lt;Options!$B$10),B34*Options!$X$5,0)</f>
        <v/>
      </c>
      <c r="G34" s="13">
        <f>F34*12%</f>
        <v/>
      </c>
      <c r="H34" s="13">
        <f>IF(A34="",0,B34*(92*IF(OR(C34=Options!$B$9,C34=Options!$B$10),75%,100%)-IF(C34=DATE(2026,11,29),26+IF(Options!$B$8="是",23,0),0)-IF(C34=DATE(2026,11,30),26,0)-IF(C34=DATE(2026,12,1),64,0)-IF(C34=DATE(2026,11,28),38,0)-IF(C34=DATE(2026,12,2),26,0)))</f>
        <v/>
      </c>
      <c r="I34" s="13">
        <f>IF(AND(C34&gt;=DATE(2026,11,29),C34&lt;=DATE(2026,12,1)),B34*60,0)</f>
        <v/>
      </c>
      <c r="J34" s="13">
        <f>IF(A34="",0,B34*(IF(C34=DATE(2026,11,28),38,0)+IF(C34=DATE(2026,12,1),38,0)+IF(C34=DATE(2026,12,2),26,0)))</f>
        <v/>
      </c>
      <c r="K34" s="13">
        <f>IF(C34=Options!$B$9,B34*12,0)</f>
        <v/>
      </c>
      <c r="L34" s="13">
        <f>IF(C34=Options!$B$9,B34*Options!$Z$5,0)</f>
        <v/>
      </c>
      <c r="M34" s="13" t="n">
        <v>0</v>
      </c>
      <c r="N34" s="13">
        <f>SUM(E34:M34)</f>
        <v/>
      </c>
    </row>
    <row r="35">
      <c r="A35" s="5">
        <f>IF(AND(C35&gt;=Options!$B$9,C35&lt;=Options!$B$10),"Chicago","")</f>
        <v/>
      </c>
      <c r="B35" s="5">
        <f>IF(A35="","",18)</f>
        <v/>
      </c>
      <c r="C35" s="17" t="n">
        <v>46326</v>
      </c>
      <c r="D35" s="5">
        <f>IF(A35="","",IF(C35=DATE(2026,11,29),"培训；注册午餐；早餐参数",IF(C35=DATE(2026,11,30),"培训；注册午餐",IF(C35=DATE(2026,12,1),"培训；注册午餐；机构晚餐",IF(C35=Options!$B$9,"抵达；"&amp;IF(C35=DATE(2026,11,28),"机构晚餐","无统一供餐"),IF(C35=Options!$B$10,"返程；"&amp;IF(C35=DATE(2026,12,2),"机构午餐","无统一供餐"),"差旅状态；无统一日程"))))))</f>
        <v/>
      </c>
      <c r="E35" s="13">
        <f>IF(C35=Options!$B$9,Options!$C$14,0)</f>
        <v/>
      </c>
      <c r="F35" s="13">
        <f>IF(AND(A35&lt;&gt;"",C35&lt;Options!$B$10),B35*Options!$X$5,0)</f>
        <v/>
      </c>
      <c r="G35" s="13">
        <f>F35*12%</f>
        <v/>
      </c>
      <c r="H35" s="13">
        <f>IF(A35="",0,B35*(92*IF(OR(C35=Options!$B$9,C35=Options!$B$10),75%,100%)-IF(C35=DATE(2026,11,29),26+IF(Options!$B$8="是",23,0),0)-IF(C35=DATE(2026,11,30),26,0)-IF(C35=DATE(2026,12,1),64,0)-IF(C35=DATE(2026,11,28),38,0)-IF(C35=DATE(2026,12,2),26,0)))</f>
        <v/>
      </c>
      <c r="I35" s="13">
        <f>IF(AND(C35&gt;=DATE(2026,11,29),C35&lt;=DATE(2026,12,1)),B35*60,0)</f>
        <v/>
      </c>
      <c r="J35" s="13">
        <f>IF(A35="",0,B35*(IF(C35=DATE(2026,11,28),38,0)+IF(C35=DATE(2026,12,1),38,0)+IF(C35=DATE(2026,12,2),26,0)))</f>
        <v/>
      </c>
      <c r="K35" s="13">
        <f>IF(C35=Options!$B$9,B35*12,0)</f>
        <v/>
      </c>
      <c r="L35" s="13">
        <f>IF(C35=Options!$B$9,B35*Options!$Z$5,0)</f>
        <v/>
      </c>
      <c r="M35" s="13" t="n">
        <v>0</v>
      </c>
      <c r="N35" s="13">
        <f>SUM(E35:M35)</f>
        <v/>
      </c>
    </row>
    <row r="36">
      <c r="A36" s="5">
        <f>IF(AND(C36&gt;=Options!$B$9,C36&lt;=Options!$B$10),"Chicago","")</f>
        <v/>
      </c>
      <c r="B36" s="5">
        <f>IF(A36="","",18)</f>
        <v/>
      </c>
      <c r="C36" s="17" t="n">
        <v>46327</v>
      </c>
      <c r="D36" s="5">
        <f>IF(A36="","",IF(C36=DATE(2026,11,29),"培训；注册午餐；早餐参数",IF(C36=DATE(2026,11,30),"培训；注册午餐",IF(C36=DATE(2026,12,1),"培训；注册午餐；机构晚餐",IF(C36=Options!$B$9,"抵达；"&amp;IF(C36=DATE(2026,11,28),"机构晚餐","无统一供餐"),IF(C36=Options!$B$10,"返程；"&amp;IF(C36=DATE(2026,12,2),"机构午餐","无统一供餐"),"差旅状态；无统一日程"))))))</f>
        <v/>
      </c>
      <c r="E36" s="13">
        <f>IF(C36=Options!$B$9,Options!$C$14,0)</f>
        <v/>
      </c>
      <c r="F36" s="13">
        <f>IF(AND(A36&lt;&gt;"",C36&lt;Options!$B$10),B36*Options!$X$5,0)</f>
        <v/>
      </c>
      <c r="G36" s="13">
        <f>F36*12%</f>
        <v/>
      </c>
      <c r="H36" s="13">
        <f>IF(A36="",0,B36*(92*IF(OR(C36=Options!$B$9,C36=Options!$B$10),75%,100%)-IF(C36=DATE(2026,11,29),26+IF(Options!$B$8="是",23,0),0)-IF(C36=DATE(2026,11,30),26,0)-IF(C36=DATE(2026,12,1),64,0)-IF(C36=DATE(2026,11,28),38,0)-IF(C36=DATE(2026,12,2),26,0)))</f>
        <v/>
      </c>
      <c r="I36" s="13">
        <f>IF(AND(C36&gt;=DATE(2026,11,29),C36&lt;=DATE(2026,12,1)),B36*60,0)</f>
        <v/>
      </c>
      <c r="J36" s="13">
        <f>IF(A36="",0,B36*(IF(C36=DATE(2026,11,28),38,0)+IF(C36=DATE(2026,12,1),38,0)+IF(C36=DATE(2026,12,2),26,0)))</f>
        <v/>
      </c>
      <c r="K36" s="13">
        <f>IF(C36=Options!$B$9,B36*12,0)</f>
        <v/>
      </c>
      <c r="L36" s="13">
        <f>IF(C36=Options!$B$9,B36*Options!$Z$5,0)</f>
        <v/>
      </c>
      <c r="M36" s="13" t="n">
        <v>0</v>
      </c>
      <c r="N36" s="13">
        <f>SUM(E36:M36)</f>
        <v/>
      </c>
    </row>
    <row r="37">
      <c r="A37" s="5">
        <f>IF(AND(C37&gt;=Options!$B$9,C37&lt;=Options!$B$10),"Chicago","")</f>
        <v/>
      </c>
      <c r="B37" s="5">
        <f>IF(A37="","",18)</f>
        <v/>
      </c>
      <c r="C37" s="17" t="n">
        <v>46328</v>
      </c>
      <c r="D37" s="5">
        <f>IF(A37="","",IF(C37=DATE(2026,11,29),"培训；注册午餐；早餐参数",IF(C37=DATE(2026,11,30),"培训；注册午餐",IF(C37=DATE(2026,12,1),"培训；注册午餐；机构晚餐",IF(C37=Options!$B$9,"抵达；"&amp;IF(C37=DATE(2026,11,28),"机构晚餐","无统一供餐"),IF(C37=Options!$B$10,"返程；"&amp;IF(C37=DATE(2026,12,2),"机构午餐","无统一供餐"),"差旅状态；无统一日程"))))))</f>
        <v/>
      </c>
      <c r="E37" s="13">
        <f>IF(C37=Options!$B$9,Options!$C$14,0)</f>
        <v/>
      </c>
      <c r="F37" s="13">
        <f>IF(AND(A37&lt;&gt;"",C37&lt;Options!$B$10),B37*Options!$X$5,0)</f>
        <v/>
      </c>
      <c r="G37" s="13">
        <f>F37*12%</f>
        <v/>
      </c>
      <c r="H37" s="13">
        <f>IF(A37="",0,B37*(92*IF(OR(C37=Options!$B$9,C37=Options!$B$10),75%,100%)-IF(C37=DATE(2026,11,29),26+IF(Options!$B$8="是",23,0),0)-IF(C37=DATE(2026,11,30),26,0)-IF(C37=DATE(2026,12,1),64,0)-IF(C37=DATE(2026,11,28),38,0)-IF(C37=DATE(2026,12,2),26,0)))</f>
        <v/>
      </c>
      <c r="I37" s="13">
        <f>IF(AND(C37&gt;=DATE(2026,11,29),C37&lt;=DATE(2026,12,1)),B37*60,0)</f>
        <v/>
      </c>
      <c r="J37" s="13">
        <f>IF(A37="",0,B37*(IF(C37=DATE(2026,11,28),38,0)+IF(C37=DATE(2026,12,1),38,0)+IF(C37=DATE(2026,12,2),26,0)))</f>
        <v/>
      </c>
      <c r="K37" s="13">
        <f>IF(C37=Options!$B$9,B37*12,0)</f>
        <v/>
      </c>
      <c r="L37" s="13">
        <f>IF(C37=Options!$B$9,B37*Options!$Z$5,0)</f>
        <v/>
      </c>
      <c r="M37" s="13" t="n">
        <v>0</v>
      </c>
      <c r="N37" s="13">
        <f>SUM(E37:M37)</f>
        <v/>
      </c>
    </row>
    <row r="38">
      <c r="A38" s="5">
        <f>IF(AND(C38&gt;=Options!$B$9,C38&lt;=Options!$B$10),"Chicago","")</f>
        <v/>
      </c>
      <c r="B38" s="5">
        <f>IF(A38="","",18)</f>
        <v/>
      </c>
      <c r="C38" s="17" t="n">
        <v>46329</v>
      </c>
      <c r="D38" s="5">
        <f>IF(A38="","",IF(C38=DATE(2026,11,29),"培训；注册午餐；早餐参数",IF(C38=DATE(2026,11,30),"培训；注册午餐",IF(C38=DATE(2026,12,1),"培训；注册午餐；机构晚餐",IF(C38=Options!$B$9,"抵达；"&amp;IF(C38=DATE(2026,11,28),"机构晚餐","无统一供餐"),IF(C38=Options!$B$10,"返程；"&amp;IF(C38=DATE(2026,12,2),"机构午餐","无统一供餐"),"差旅状态；无统一日程"))))))</f>
        <v/>
      </c>
      <c r="E38" s="13">
        <f>IF(C38=Options!$B$9,Options!$C$14,0)</f>
        <v/>
      </c>
      <c r="F38" s="13">
        <f>IF(AND(A38&lt;&gt;"",C38&lt;Options!$B$10),B38*Options!$X$5,0)</f>
        <v/>
      </c>
      <c r="G38" s="13">
        <f>F38*12%</f>
        <v/>
      </c>
      <c r="H38" s="13">
        <f>IF(A38="",0,B38*(92*IF(OR(C38=Options!$B$9,C38=Options!$B$10),75%,100%)-IF(C38=DATE(2026,11,29),26+IF(Options!$B$8="是",23,0),0)-IF(C38=DATE(2026,11,30),26,0)-IF(C38=DATE(2026,12,1),64,0)-IF(C38=DATE(2026,11,28),38,0)-IF(C38=DATE(2026,12,2),26,0)))</f>
        <v/>
      </c>
      <c r="I38" s="13">
        <f>IF(AND(C38&gt;=DATE(2026,11,29),C38&lt;=DATE(2026,12,1)),B38*60,0)</f>
        <v/>
      </c>
      <c r="J38" s="13">
        <f>IF(A38="",0,B38*(IF(C38=DATE(2026,11,28),38,0)+IF(C38=DATE(2026,12,1),38,0)+IF(C38=DATE(2026,12,2),26,0)))</f>
        <v/>
      </c>
      <c r="K38" s="13">
        <f>IF(C38=Options!$B$9,B38*12,0)</f>
        <v/>
      </c>
      <c r="L38" s="13">
        <f>IF(C38=Options!$B$9,B38*Options!$Z$5,0)</f>
        <v/>
      </c>
      <c r="M38" s="13" t="n">
        <v>0</v>
      </c>
      <c r="N38" s="13">
        <f>SUM(E38:M38)</f>
        <v/>
      </c>
    </row>
    <row r="39">
      <c r="A39" s="5">
        <f>IF(AND(C39&gt;=Options!$B$9,C39&lt;=Options!$B$10),"Chicago","")</f>
        <v/>
      </c>
      <c r="B39" s="5">
        <f>IF(A39="","",18)</f>
        <v/>
      </c>
      <c r="C39" s="17" t="n">
        <v>46330</v>
      </c>
      <c r="D39" s="5">
        <f>IF(A39="","",IF(C39=DATE(2026,11,29),"培训；注册午餐；早餐参数",IF(C39=DATE(2026,11,30),"培训；注册午餐",IF(C39=DATE(2026,12,1),"培训；注册午餐；机构晚餐",IF(C39=Options!$B$9,"抵达；"&amp;IF(C39=DATE(2026,11,28),"机构晚餐","无统一供餐"),IF(C39=Options!$B$10,"返程；"&amp;IF(C39=DATE(2026,12,2),"机构午餐","无统一供餐"),"差旅状态；无统一日程"))))))</f>
        <v/>
      </c>
      <c r="E39" s="13">
        <f>IF(C39=Options!$B$9,Options!$C$14,0)</f>
        <v/>
      </c>
      <c r="F39" s="13">
        <f>IF(AND(A39&lt;&gt;"",C39&lt;Options!$B$10),B39*Options!$X$5,0)</f>
        <v/>
      </c>
      <c r="G39" s="13">
        <f>F39*12%</f>
        <v/>
      </c>
      <c r="H39" s="13">
        <f>IF(A39="",0,B39*(92*IF(OR(C39=Options!$B$9,C39=Options!$B$10),75%,100%)-IF(C39=DATE(2026,11,29),26+IF(Options!$B$8="是",23,0),0)-IF(C39=DATE(2026,11,30),26,0)-IF(C39=DATE(2026,12,1),64,0)-IF(C39=DATE(2026,11,28),38,0)-IF(C39=DATE(2026,12,2),26,0)))</f>
        <v/>
      </c>
      <c r="I39" s="13">
        <f>IF(AND(C39&gt;=DATE(2026,11,29),C39&lt;=DATE(2026,12,1)),B39*60,0)</f>
        <v/>
      </c>
      <c r="J39" s="13">
        <f>IF(A39="",0,B39*(IF(C39=DATE(2026,11,28),38,0)+IF(C39=DATE(2026,12,1),38,0)+IF(C39=DATE(2026,12,2),26,0)))</f>
        <v/>
      </c>
      <c r="K39" s="13">
        <f>IF(C39=Options!$B$9,B39*12,0)</f>
        <v/>
      </c>
      <c r="L39" s="13">
        <f>IF(C39=Options!$B$9,B39*Options!$Z$5,0)</f>
        <v/>
      </c>
      <c r="M39" s="13" t="n">
        <v>0</v>
      </c>
      <c r="N39" s="13">
        <f>SUM(E39:M39)</f>
        <v/>
      </c>
    </row>
    <row r="40">
      <c r="A40" s="5">
        <f>IF(AND(C40&gt;=Options!$B$9,C40&lt;=Options!$B$10),"Chicago","")</f>
        <v/>
      </c>
      <c r="B40" s="5">
        <f>IF(A40="","",18)</f>
        <v/>
      </c>
      <c r="C40" s="17" t="n">
        <v>46331</v>
      </c>
      <c r="D40" s="5">
        <f>IF(A40="","",IF(C40=DATE(2026,11,29),"培训；注册午餐；早餐参数",IF(C40=DATE(2026,11,30),"培训；注册午餐",IF(C40=DATE(2026,12,1),"培训；注册午餐；机构晚餐",IF(C40=Options!$B$9,"抵达；"&amp;IF(C40=DATE(2026,11,28),"机构晚餐","无统一供餐"),IF(C40=Options!$B$10,"返程；"&amp;IF(C40=DATE(2026,12,2),"机构午餐","无统一供餐"),"差旅状态；无统一日程"))))))</f>
        <v/>
      </c>
      <c r="E40" s="13">
        <f>IF(C40=Options!$B$9,Options!$C$14,0)</f>
        <v/>
      </c>
      <c r="F40" s="13">
        <f>IF(AND(A40&lt;&gt;"",C40&lt;Options!$B$10),B40*Options!$X$5,0)</f>
        <v/>
      </c>
      <c r="G40" s="13">
        <f>F40*12%</f>
        <v/>
      </c>
      <c r="H40" s="13">
        <f>IF(A40="",0,B40*(92*IF(OR(C40=Options!$B$9,C40=Options!$B$10),75%,100%)-IF(C40=DATE(2026,11,29),26+IF(Options!$B$8="是",23,0),0)-IF(C40=DATE(2026,11,30),26,0)-IF(C40=DATE(2026,12,1),64,0)-IF(C40=DATE(2026,11,28),38,0)-IF(C40=DATE(2026,12,2),26,0)))</f>
        <v/>
      </c>
      <c r="I40" s="13">
        <f>IF(AND(C40&gt;=DATE(2026,11,29),C40&lt;=DATE(2026,12,1)),B40*60,0)</f>
        <v/>
      </c>
      <c r="J40" s="13">
        <f>IF(A40="",0,B40*(IF(C40=DATE(2026,11,28),38,0)+IF(C40=DATE(2026,12,1),38,0)+IF(C40=DATE(2026,12,2),26,0)))</f>
        <v/>
      </c>
      <c r="K40" s="13">
        <f>IF(C40=Options!$B$9,B40*12,0)</f>
        <v/>
      </c>
      <c r="L40" s="13">
        <f>IF(C40=Options!$B$9,B40*Options!$Z$5,0)</f>
        <v/>
      </c>
      <c r="M40" s="13" t="n">
        <v>0</v>
      </c>
      <c r="N40" s="13">
        <f>SUM(E40:M40)</f>
        <v/>
      </c>
    </row>
    <row r="41">
      <c r="A41" s="5">
        <f>IF(AND(C41&gt;=Options!$B$9,C41&lt;=Options!$B$10),"Chicago","")</f>
        <v/>
      </c>
      <c r="B41" s="5">
        <f>IF(A41="","",18)</f>
        <v/>
      </c>
      <c r="C41" s="17" t="n">
        <v>46332</v>
      </c>
      <c r="D41" s="5">
        <f>IF(A41="","",IF(C41=DATE(2026,11,29),"培训；注册午餐；早餐参数",IF(C41=DATE(2026,11,30),"培训；注册午餐",IF(C41=DATE(2026,12,1),"培训；注册午餐；机构晚餐",IF(C41=Options!$B$9,"抵达；"&amp;IF(C41=DATE(2026,11,28),"机构晚餐","无统一供餐"),IF(C41=Options!$B$10,"返程；"&amp;IF(C41=DATE(2026,12,2),"机构午餐","无统一供餐"),"差旅状态；无统一日程"))))))</f>
        <v/>
      </c>
      <c r="E41" s="13">
        <f>IF(C41=Options!$B$9,Options!$C$14,0)</f>
        <v/>
      </c>
      <c r="F41" s="13">
        <f>IF(AND(A41&lt;&gt;"",C41&lt;Options!$B$10),B41*Options!$X$5,0)</f>
        <v/>
      </c>
      <c r="G41" s="13">
        <f>F41*12%</f>
        <v/>
      </c>
      <c r="H41" s="13">
        <f>IF(A41="",0,B41*(92*IF(OR(C41=Options!$B$9,C41=Options!$B$10),75%,100%)-IF(C41=DATE(2026,11,29),26+IF(Options!$B$8="是",23,0),0)-IF(C41=DATE(2026,11,30),26,0)-IF(C41=DATE(2026,12,1),64,0)-IF(C41=DATE(2026,11,28),38,0)-IF(C41=DATE(2026,12,2),26,0)))</f>
        <v/>
      </c>
      <c r="I41" s="13">
        <f>IF(AND(C41&gt;=DATE(2026,11,29),C41&lt;=DATE(2026,12,1)),B41*60,0)</f>
        <v/>
      </c>
      <c r="J41" s="13">
        <f>IF(A41="",0,B41*(IF(C41=DATE(2026,11,28),38,0)+IF(C41=DATE(2026,12,1),38,0)+IF(C41=DATE(2026,12,2),26,0)))</f>
        <v/>
      </c>
      <c r="K41" s="13">
        <f>IF(C41=Options!$B$9,B41*12,0)</f>
        <v/>
      </c>
      <c r="L41" s="13">
        <f>IF(C41=Options!$B$9,B41*Options!$Z$5,0)</f>
        <v/>
      </c>
      <c r="M41" s="13" t="n">
        <v>0</v>
      </c>
      <c r="N41" s="13">
        <f>SUM(E41:M41)</f>
        <v/>
      </c>
    </row>
    <row r="42">
      <c r="A42" s="5">
        <f>IF(AND(C42&gt;=Options!$B$9,C42&lt;=Options!$B$10),"Chicago","")</f>
        <v/>
      </c>
      <c r="B42" s="5">
        <f>IF(A42="","",18)</f>
        <v/>
      </c>
      <c r="C42" s="17" t="n">
        <v>46333</v>
      </c>
      <c r="D42" s="5">
        <f>IF(A42="","",IF(C42=DATE(2026,11,29),"培训；注册午餐；早餐参数",IF(C42=DATE(2026,11,30),"培训；注册午餐",IF(C42=DATE(2026,12,1),"培训；注册午餐；机构晚餐",IF(C42=Options!$B$9,"抵达；"&amp;IF(C42=DATE(2026,11,28),"机构晚餐","无统一供餐"),IF(C42=Options!$B$10,"返程；"&amp;IF(C42=DATE(2026,12,2),"机构午餐","无统一供餐"),"差旅状态；无统一日程"))))))</f>
        <v/>
      </c>
      <c r="E42" s="13">
        <f>IF(C42=Options!$B$9,Options!$C$14,0)</f>
        <v/>
      </c>
      <c r="F42" s="13">
        <f>IF(AND(A42&lt;&gt;"",C42&lt;Options!$B$10),B42*Options!$X$5,0)</f>
        <v/>
      </c>
      <c r="G42" s="13">
        <f>F42*12%</f>
        <v/>
      </c>
      <c r="H42" s="13">
        <f>IF(A42="",0,B42*(92*IF(OR(C42=Options!$B$9,C42=Options!$B$10),75%,100%)-IF(C42=DATE(2026,11,29),26+IF(Options!$B$8="是",23,0),0)-IF(C42=DATE(2026,11,30),26,0)-IF(C42=DATE(2026,12,1),64,0)-IF(C42=DATE(2026,11,28),38,0)-IF(C42=DATE(2026,12,2),26,0)))</f>
        <v/>
      </c>
      <c r="I42" s="13">
        <f>IF(AND(C42&gt;=DATE(2026,11,29),C42&lt;=DATE(2026,12,1)),B42*60,0)</f>
        <v/>
      </c>
      <c r="J42" s="13">
        <f>IF(A42="",0,B42*(IF(C42=DATE(2026,11,28),38,0)+IF(C42=DATE(2026,12,1),38,0)+IF(C42=DATE(2026,12,2),26,0)))</f>
        <v/>
      </c>
      <c r="K42" s="13">
        <f>IF(C42=Options!$B$9,B42*12,0)</f>
        <v/>
      </c>
      <c r="L42" s="13">
        <f>IF(C42=Options!$B$9,B42*Options!$Z$5,0)</f>
        <v/>
      </c>
      <c r="M42" s="13" t="n">
        <v>0</v>
      </c>
      <c r="N42" s="13">
        <f>SUM(E42:M42)</f>
        <v/>
      </c>
    </row>
    <row r="43">
      <c r="A43" s="5">
        <f>IF(AND(C43&gt;=Options!$B$9,C43&lt;=Options!$B$10),"Chicago","")</f>
        <v/>
      </c>
      <c r="B43" s="5">
        <f>IF(A43="","",18)</f>
        <v/>
      </c>
      <c r="C43" s="17" t="n">
        <v>46334</v>
      </c>
      <c r="D43" s="5">
        <f>IF(A43="","",IF(C43=DATE(2026,11,29),"培训；注册午餐；早餐参数",IF(C43=DATE(2026,11,30),"培训；注册午餐",IF(C43=DATE(2026,12,1),"培训；注册午餐；机构晚餐",IF(C43=Options!$B$9,"抵达；"&amp;IF(C43=DATE(2026,11,28),"机构晚餐","无统一供餐"),IF(C43=Options!$B$10,"返程；"&amp;IF(C43=DATE(2026,12,2),"机构午餐","无统一供餐"),"差旅状态；无统一日程"))))))</f>
        <v/>
      </c>
      <c r="E43" s="13">
        <f>IF(C43=Options!$B$9,Options!$C$14,0)</f>
        <v/>
      </c>
      <c r="F43" s="13">
        <f>IF(AND(A43&lt;&gt;"",C43&lt;Options!$B$10),B43*Options!$X$5,0)</f>
        <v/>
      </c>
      <c r="G43" s="13">
        <f>F43*12%</f>
        <v/>
      </c>
      <c r="H43" s="13">
        <f>IF(A43="",0,B43*(92*IF(OR(C43=Options!$B$9,C43=Options!$B$10),75%,100%)-IF(C43=DATE(2026,11,29),26+IF(Options!$B$8="是",23,0),0)-IF(C43=DATE(2026,11,30),26,0)-IF(C43=DATE(2026,12,1),64,0)-IF(C43=DATE(2026,11,28),38,0)-IF(C43=DATE(2026,12,2),26,0)))</f>
        <v/>
      </c>
      <c r="I43" s="13">
        <f>IF(AND(C43&gt;=DATE(2026,11,29),C43&lt;=DATE(2026,12,1)),B43*60,0)</f>
        <v/>
      </c>
      <c r="J43" s="13">
        <f>IF(A43="",0,B43*(IF(C43=DATE(2026,11,28),38,0)+IF(C43=DATE(2026,12,1),38,0)+IF(C43=DATE(2026,12,2),26,0)))</f>
        <v/>
      </c>
      <c r="K43" s="13">
        <f>IF(C43=Options!$B$9,B43*12,0)</f>
        <v/>
      </c>
      <c r="L43" s="13">
        <f>IF(C43=Options!$B$9,B43*Options!$Z$5,0)</f>
        <v/>
      </c>
      <c r="M43" s="13" t="n">
        <v>0</v>
      </c>
      <c r="N43" s="13">
        <f>SUM(E43:M43)</f>
        <v/>
      </c>
    </row>
    <row r="44">
      <c r="A44" s="5">
        <f>IF(AND(C44&gt;=Options!$B$9,C44&lt;=Options!$B$10),"Chicago","")</f>
        <v/>
      </c>
      <c r="B44" s="5">
        <f>IF(A44="","",18)</f>
        <v/>
      </c>
      <c r="C44" s="17" t="n">
        <v>46335</v>
      </c>
      <c r="D44" s="5">
        <f>IF(A44="","",IF(C44=DATE(2026,11,29),"培训；注册午餐；早餐参数",IF(C44=DATE(2026,11,30),"培训；注册午餐",IF(C44=DATE(2026,12,1),"培训；注册午餐；机构晚餐",IF(C44=Options!$B$9,"抵达；"&amp;IF(C44=DATE(2026,11,28),"机构晚餐","无统一供餐"),IF(C44=Options!$B$10,"返程；"&amp;IF(C44=DATE(2026,12,2),"机构午餐","无统一供餐"),"差旅状态；无统一日程"))))))</f>
        <v/>
      </c>
      <c r="E44" s="13">
        <f>IF(C44=Options!$B$9,Options!$C$14,0)</f>
        <v/>
      </c>
      <c r="F44" s="13">
        <f>IF(AND(A44&lt;&gt;"",C44&lt;Options!$B$10),B44*Options!$X$5,0)</f>
        <v/>
      </c>
      <c r="G44" s="13">
        <f>F44*12%</f>
        <v/>
      </c>
      <c r="H44" s="13">
        <f>IF(A44="",0,B44*(92*IF(OR(C44=Options!$B$9,C44=Options!$B$10),75%,100%)-IF(C44=DATE(2026,11,29),26+IF(Options!$B$8="是",23,0),0)-IF(C44=DATE(2026,11,30),26,0)-IF(C44=DATE(2026,12,1),64,0)-IF(C44=DATE(2026,11,28),38,0)-IF(C44=DATE(2026,12,2),26,0)))</f>
        <v/>
      </c>
      <c r="I44" s="13">
        <f>IF(AND(C44&gt;=DATE(2026,11,29),C44&lt;=DATE(2026,12,1)),B44*60,0)</f>
        <v/>
      </c>
      <c r="J44" s="13">
        <f>IF(A44="",0,B44*(IF(C44=DATE(2026,11,28),38,0)+IF(C44=DATE(2026,12,1),38,0)+IF(C44=DATE(2026,12,2),26,0)))</f>
        <v/>
      </c>
      <c r="K44" s="13">
        <f>IF(C44=Options!$B$9,B44*12,0)</f>
        <v/>
      </c>
      <c r="L44" s="13">
        <f>IF(C44=Options!$B$9,B44*Options!$Z$5,0)</f>
        <v/>
      </c>
      <c r="M44" s="13" t="n">
        <v>0</v>
      </c>
      <c r="N44" s="13">
        <f>SUM(E44:M44)</f>
        <v/>
      </c>
    </row>
    <row r="45">
      <c r="A45" s="5">
        <f>IF(AND(C45&gt;=Options!$B$9,C45&lt;=Options!$B$10),"Chicago","")</f>
        <v/>
      </c>
      <c r="B45" s="5">
        <f>IF(A45="","",18)</f>
        <v/>
      </c>
      <c r="C45" s="17" t="n">
        <v>46336</v>
      </c>
      <c r="D45" s="5">
        <f>IF(A45="","",IF(C45=DATE(2026,11,29),"培训；注册午餐；早餐参数",IF(C45=DATE(2026,11,30),"培训；注册午餐",IF(C45=DATE(2026,12,1),"培训；注册午餐；机构晚餐",IF(C45=Options!$B$9,"抵达；"&amp;IF(C45=DATE(2026,11,28),"机构晚餐","无统一供餐"),IF(C45=Options!$B$10,"返程；"&amp;IF(C45=DATE(2026,12,2),"机构午餐","无统一供餐"),"差旅状态；无统一日程"))))))</f>
        <v/>
      </c>
      <c r="E45" s="13">
        <f>IF(C45=Options!$B$9,Options!$C$14,0)</f>
        <v/>
      </c>
      <c r="F45" s="13">
        <f>IF(AND(A45&lt;&gt;"",C45&lt;Options!$B$10),B45*Options!$X$5,0)</f>
        <v/>
      </c>
      <c r="G45" s="13">
        <f>F45*12%</f>
        <v/>
      </c>
      <c r="H45" s="13">
        <f>IF(A45="",0,B45*(92*IF(OR(C45=Options!$B$9,C45=Options!$B$10),75%,100%)-IF(C45=DATE(2026,11,29),26+IF(Options!$B$8="是",23,0),0)-IF(C45=DATE(2026,11,30),26,0)-IF(C45=DATE(2026,12,1),64,0)-IF(C45=DATE(2026,11,28),38,0)-IF(C45=DATE(2026,12,2),26,0)))</f>
        <v/>
      </c>
      <c r="I45" s="13">
        <f>IF(AND(C45&gt;=DATE(2026,11,29),C45&lt;=DATE(2026,12,1)),B45*60,0)</f>
        <v/>
      </c>
      <c r="J45" s="13">
        <f>IF(A45="",0,B45*(IF(C45=DATE(2026,11,28),38,0)+IF(C45=DATE(2026,12,1),38,0)+IF(C45=DATE(2026,12,2),26,0)))</f>
        <v/>
      </c>
      <c r="K45" s="13">
        <f>IF(C45=Options!$B$9,B45*12,0)</f>
        <v/>
      </c>
      <c r="L45" s="13">
        <f>IF(C45=Options!$B$9,B45*Options!$Z$5,0)</f>
        <v/>
      </c>
      <c r="M45" s="13" t="n">
        <v>0</v>
      </c>
      <c r="N45" s="13">
        <f>SUM(E45:M45)</f>
        <v/>
      </c>
    </row>
    <row r="46">
      <c r="A46" s="5">
        <f>IF(AND(C46&gt;=Options!$B$9,C46&lt;=Options!$B$10),"Chicago","")</f>
        <v/>
      </c>
      <c r="B46" s="5">
        <f>IF(A46="","",18)</f>
        <v/>
      </c>
      <c r="C46" s="17" t="n">
        <v>46337</v>
      </c>
      <c r="D46" s="5">
        <f>IF(A46="","",IF(C46=DATE(2026,11,29),"培训；注册午餐；早餐参数",IF(C46=DATE(2026,11,30),"培训；注册午餐",IF(C46=DATE(2026,12,1),"培训；注册午餐；机构晚餐",IF(C46=Options!$B$9,"抵达；"&amp;IF(C46=DATE(2026,11,28),"机构晚餐","无统一供餐"),IF(C46=Options!$B$10,"返程；"&amp;IF(C46=DATE(2026,12,2),"机构午餐","无统一供餐"),"差旅状态；无统一日程"))))))</f>
        <v/>
      </c>
      <c r="E46" s="13">
        <f>IF(C46=Options!$B$9,Options!$C$14,0)</f>
        <v/>
      </c>
      <c r="F46" s="13">
        <f>IF(AND(A46&lt;&gt;"",C46&lt;Options!$B$10),B46*Options!$X$5,0)</f>
        <v/>
      </c>
      <c r="G46" s="13">
        <f>F46*12%</f>
        <v/>
      </c>
      <c r="H46" s="13">
        <f>IF(A46="",0,B46*(92*IF(OR(C46=Options!$B$9,C46=Options!$B$10),75%,100%)-IF(C46=DATE(2026,11,29),26+IF(Options!$B$8="是",23,0),0)-IF(C46=DATE(2026,11,30),26,0)-IF(C46=DATE(2026,12,1),64,0)-IF(C46=DATE(2026,11,28),38,0)-IF(C46=DATE(2026,12,2),26,0)))</f>
        <v/>
      </c>
      <c r="I46" s="13">
        <f>IF(AND(C46&gt;=DATE(2026,11,29),C46&lt;=DATE(2026,12,1)),B46*60,0)</f>
        <v/>
      </c>
      <c r="J46" s="13">
        <f>IF(A46="",0,B46*(IF(C46=DATE(2026,11,28),38,0)+IF(C46=DATE(2026,12,1),38,0)+IF(C46=DATE(2026,12,2),26,0)))</f>
        <v/>
      </c>
      <c r="K46" s="13">
        <f>IF(C46=Options!$B$9,B46*12,0)</f>
        <v/>
      </c>
      <c r="L46" s="13">
        <f>IF(C46=Options!$B$9,B46*Options!$Z$5,0)</f>
        <v/>
      </c>
      <c r="M46" s="13" t="n">
        <v>0</v>
      </c>
      <c r="N46" s="13">
        <f>SUM(E46:M46)</f>
        <v/>
      </c>
    </row>
    <row r="47">
      <c r="A47" s="5">
        <f>IF(AND(C47&gt;=Options!$B$9,C47&lt;=Options!$B$10),"Chicago","")</f>
        <v/>
      </c>
      <c r="B47" s="5">
        <f>IF(A47="","",18)</f>
        <v/>
      </c>
      <c r="C47" s="17" t="n">
        <v>46338</v>
      </c>
      <c r="D47" s="5">
        <f>IF(A47="","",IF(C47=DATE(2026,11,29),"培训；注册午餐；早餐参数",IF(C47=DATE(2026,11,30),"培训；注册午餐",IF(C47=DATE(2026,12,1),"培训；注册午餐；机构晚餐",IF(C47=Options!$B$9,"抵达；"&amp;IF(C47=DATE(2026,11,28),"机构晚餐","无统一供餐"),IF(C47=Options!$B$10,"返程；"&amp;IF(C47=DATE(2026,12,2),"机构午餐","无统一供餐"),"差旅状态；无统一日程"))))))</f>
        <v/>
      </c>
      <c r="E47" s="13">
        <f>IF(C47=Options!$B$9,Options!$C$14,0)</f>
        <v/>
      </c>
      <c r="F47" s="13">
        <f>IF(AND(A47&lt;&gt;"",C47&lt;Options!$B$10),B47*Options!$X$5,0)</f>
        <v/>
      </c>
      <c r="G47" s="13">
        <f>F47*12%</f>
        <v/>
      </c>
      <c r="H47" s="13">
        <f>IF(A47="",0,B47*(92*IF(OR(C47=Options!$B$9,C47=Options!$B$10),75%,100%)-IF(C47=DATE(2026,11,29),26+IF(Options!$B$8="是",23,0),0)-IF(C47=DATE(2026,11,30),26,0)-IF(C47=DATE(2026,12,1),64,0)-IF(C47=DATE(2026,11,28),38,0)-IF(C47=DATE(2026,12,2),26,0)))</f>
        <v/>
      </c>
      <c r="I47" s="13">
        <f>IF(AND(C47&gt;=DATE(2026,11,29),C47&lt;=DATE(2026,12,1)),B47*60,0)</f>
        <v/>
      </c>
      <c r="J47" s="13">
        <f>IF(A47="",0,B47*(IF(C47=DATE(2026,11,28),38,0)+IF(C47=DATE(2026,12,1),38,0)+IF(C47=DATE(2026,12,2),26,0)))</f>
        <v/>
      </c>
      <c r="K47" s="13">
        <f>IF(C47=Options!$B$9,B47*12,0)</f>
        <v/>
      </c>
      <c r="L47" s="13">
        <f>IF(C47=Options!$B$9,B47*Options!$Z$5,0)</f>
        <v/>
      </c>
      <c r="M47" s="13" t="n">
        <v>0</v>
      </c>
      <c r="N47" s="13">
        <f>SUM(E47:M47)</f>
        <v/>
      </c>
    </row>
    <row r="48">
      <c r="A48" s="5">
        <f>IF(AND(C48&gt;=Options!$B$9,C48&lt;=Options!$B$10),"Chicago","")</f>
        <v/>
      </c>
      <c r="B48" s="5">
        <f>IF(A48="","",18)</f>
        <v/>
      </c>
      <c r="C48" s="17" t="n">
        <v>46339</v>
      </c>
      <c r="D48" s="5">
        <f>IF(A48="","",IF(C48=DATE(2026,11,29),"培训；注册午餐；早餐参数",IF(C48=DATE(2026,11,30),"培训；注册午餐",IF(C48=DATE(2026,12,1),"培训；注册午餐；机构晚餐",IF(C48=Options!$B$9,"抵达；"&amp;IF(C48=DATE(2026,11,28),"机构晚餐","无统一供餐"),IF(C48=Options!$B$10,"返程；"&amp;IF(C48=DATE(2026,12,2),"机构午餐","无统一供餐"),"差旅状态；无统一日程"))))))</f>
        <v/>
      </c>
      <c r="E48" s="13">
        <f>IF(C48=Options!$B$9,Options!$C$14,0)</f>
        <v/>
      </c>
      <c r="F48" s="13">
        <f>IF(AND(A48&lt;&gt;"",C48&lt;Options!$B$10),B48*Options!$X$5,0)</f>
        <v/>
      </c>
      <c r="G48" s="13">
        <f>F48*12%</f>
        <v/>
      </c>
      <c r="H48" s="13">
        <f>IF(A48="",0,B48*(92*IF(OR(C48=Options!$B$9,C48=Options!$B$10),75%,100%)-IF(C48=DATE(2026,11,29),26+IF(Options!$B$8="是",23,0),0)-IF(C48=DATE(2026,11,30),26,0)-IF(C48=DATE(2026,12,1),64,0)-IF(C48=DATE(2026,11,28),38,0)-IF(C48=DATE(2026,12,2),26,0)))</f>
        <v/>
      </c>
      <c r="I48" s="13">
        <f>IF(AND(C48&gt;=DATE(2026,11,29),C48&lt;=DATE(2026,12,1)),B48*60,0)</f>
        <v/>
      </c>
      <c r="J48" s="13">
        <f>IF(A48="",0,B48*(IF(C48=DATE(2026,11,28),38,0)+IF(C48=DATE(2026,12,1),38,0)+IF(C48=DATE(2026,12,2),26,0)))</f>
        <v/>
      </c>
      <c r="K48" s="13">
        <f>IF(C48=Options!$B$9,B48*12,0)</f>
        <v/>
      </c>
      <c r="L48" s="13">
        <f>IF(C48=Options!$B$9,B48*Options!$Z$5,0)</f>
        <v/>
      </c>
      <c r="M48" s="13" t="n">
        <v>0</v>
      </c>
      <c r="N48" s="13">
        <f>SUM(E48:M48)</f>
        <v/>
      </c>
    </row>
    <row r="49">
      <c r="A49" s="5">
        <f>IF(AND(C49&gt;=Options!$B$9,C49&lt;=Options!$B$10),"Chicago","")</f>
        <v/>
      </c>
      <c r="B49" s="5">
        <f>IF(A49="","",18)</f>
        <v/>
      </c>
      <c r="C49" s="17" t="n">
        <v>46340</v>
      </c>
      <c r="D49" s="5">
        <f>IF(A49="","",IF(C49=DATE(2026,11,29),"培训；注册午餐；早餐参数",IF(C49=DATE(2026,11,30),"培训；注册午餐",IF(C49=DATE(2026,12,1),"培训；注册午餐；机构晚餐",IF(C49=Options!$B$9,"抵达；"&amp;IF(C49=DATE(2026,11,28),"机构晚餐","无统一供餐"),IF(C49=Options!$B$10,"返程；"&amp;IF(C49=DATE(2026,12,2),"机构午餐","无统一供餐"),"差旅状态；无统一日程"))))))</f>
        <v/>
      </c>
      <c r="E49" s="13">
        <f>IF(C49=Options!$B$9,Options!$C$14,0)</f>
        <v/>
      </c>
      <c r="F49" s="13">
        <f>IF(AND(A49&lt;&gt;"",C49&lt;Options!$B$10),B49*Options!$X$5,0)</f>
        <v/>
      </c>
      <c r="G49" s="13">
        <f>F49*12%</f>
        <v/>
      </c>
      <c r="H49" s="13">
        <f>IF(A49="",0,B49*(92*IF(OR(C49=Options!$B$9,C49=Options!$B$10),75%,100%)-IF(C49=DATE(2026,11,29),26+IF(Options!$B$8="是",23,0),0)-IF(C49=DATE(2026,11,30),26,0)-IF(C49=DATE(2026,12,1),64,0)-IF(C49=DATE(2026,11,28),38,0)-IF(C49=DATE(2026,12,2),26,0)))</f>
        <v/>
      </c>
      <c r="I49" s="13">
        <f>IF(AND(C49&gt;=DATE(2026,11,29),C49&lt;=DATE(2026,12,1)),B49*60,0)</f>
        <v/>
      </c>
      <c r="J49" s="13">
        <f>IF(A49="",0,B49*(IF(C49=DATE(2026,11,28),38,0)+IF(C49=DATE(2026,12,1),38,0)+IF(C49=DATE(2026,12,2),26,0)))</f>
        <v/>
      </c>
      <c r="K49" s="13">
        <f>IF(C49=Options!$B$9,B49*12,0)</f>
        <v/>
      </c>
      <c r="L49" s="13">
        <f>IF(C49=Options!$B$9,B49*Options!$Z$5,0)</f>
        <v/>
      </c>
      <c r="M49" s="13" t="n">
        <v>0</v>
      </c>
      <c r="N49" s="13">
        <f>SUM(E49:M49)</f>
        <v/>
      </c>
    </row>
    <row r="50">
      <c r="A50" s="5">
        <f>IF(AND(C50&gt;=Options!$B$9,C50&lt;=Options!$B$10),"Chicago","")</f>
        <v/>
      </c>
      <c r="B50" s="5">
        <f>IF(A50="","",18)</f>
        <v/>
      </c>
      <c r="C50" s="17" t="n">
        <v>46341</v>
      </c>
      <c r="D50" s="5">
        <f>IF(A50="","",IF(C50=DATE(2026,11,29),"培训；注册午餐；早餐参数",IF(C50=DATE(2026,11,30),"培训；注册午餐",IF(C50=DATE(2026,12,1),"培训；注册午餐；机构晚餐",IF(C50=Options!$B$9,"抵达；"&amp;IF(C50=DATE(2026,11,28),"机构晚餐","无统一供餐"),IF(C50=Options!$B$10,"返程；"&amp;IF(C50=DATE(2026,12,2),"机构午餐","无统一供餐"),"差旅状态；无统一日程"))))))</f>
        <v/>
      </c>
      <c r="E50" s="13">
        <f>IF(C50=Options!$B$9,Options!$C$14,0)</f>
        <v/>
      </c>
      <c r="F50" s="13">
        <f>IF(AND(A50&lt;&gt;"",C50&lt;Options!$B$10),B50*Options!$X$5,0)</f>
        <v/>
      </c>
      <c r="G50" s="13">
        <f>F50*12%</f>
        <v/>
      </c>
      <c r="H50" s="13">
        <f>IF(A50="",0,B50*(92*IF(OR(C50=Options!$B$9,C50=Options!$B$10),75%,100%)-IF(C50=DATE(2026,11,29),26+IF(Options!$B$8="是",23,0),0)-IF(C50=DATE(2026,11,30),26,0)-IF(C50=DATE(2026,12,1),64,0)-IF(C50=DATE(2026,11,28),38,0)-IF(C50=DATE(2026,12,2),26,0)))</f>
        <v/>
      </c>
      <c r="I50" s="13">
        <f>IF(AND(C50&gt;=DATE(2026,11,29),C50&lt;=DATE(2026,12,1)),B50*60,0)</f>
        <v/>
      </c>
      <c r="J50" s="13">
        <f>IF(A50="",0,B50*(IF(C50=DATE(2026,11,28),38,0)+IF(C50=DATE(2026,12,1),38,0)+IF(C50=DATE(2026,12,2),26,0)))</f>
        <v/>
      </c>
      <c r="K50" s="13">
        <f>IF(C50=Options!$B$9,B50*12,0)</f>
        <v/>
      </c>
      <c r="L50" s="13">
        <f>IF(C50=Options!$B$9,B50*Options!$Z$5,0)</f>
        <v/>
      </c>
      <c r="M50" s="13" t="n">
        <v>0</v>
      </c>
      <c r="N50" s="13">
        <f>SUM(E50:M50)</f>
        <v/>
      </c>
    </row>
    <row r="51">
      <c r="A51" s="5">
        <f>IF(AND(C51&gt;=Options!$B$9,C51&lt;=Options!$B$10),"Chicago","")</f>
        <v/>
      </c>
      <c r="B51" s="5">
        <f>IF(A51="","",18)</f>
        <v/>
      </c>
      <c r="C51" s="17" t="n">
        <v>46342</v>
      </c>
      <c r="D51" s="5">
        <f>IF(A51="","",IF(C51=DATE(2026,11,29),"培训；注册午餐；早餐参数",IF(C51=DATE(2026,11,30),"培训；注册午餐",IF(C51=DATE(2026,12,1),"培训；注册午餐；机构晚餐",IF(C51=Options!$B$9,"抵达；"&amp;IF(C51=DATE(2026,11,28),"机构晚餐","无统一供餐"),IF(C51=Options!$B$10,"返程；"&amp;IF(C51=DATE(2026,12,2),"机构午餐","无统一供餐"),"差旅状态；无统一日程"))))))</f>
        <v/>
      </c>
      <c r="E51" s="13">
        <f>IF(C51=Options!$B$9,Options!$C$14,0)</f>
        <v/>
      </c>
      <c r="F51" s="13">
        <f>IF(AND(A51&lt;&gt;"",C51&lt;Options!$B$10),B51*Options!$X$5,0)</f>
        <v/>
      </c>
      <c r="G51" s="13">
        <f>F51*12%</f>
        <v/>
      </c>
      <c r="H51" s="13">
        <f>IF(A51="",0,B51*(92*IF(OR(C51=Options!$B$9,C51=Options!$B$10),75%,100%)-IF(C51=DATE(2026,11,29),26+IF(Options!$B$8="是",23,0),0)-IF(C51=DATE(2026,11,30),26,0)-IF(C51=DATE(2026,12,1),64,0)-IF(C51=DATE(2026,11,28),38,0)-IF(C51=DATE(2026,12,2),26,0)))</f>
        <v/>
      </c>
      <c r="I51" s="13">
        <f>IF(AND(C51&gt;=DATE(2026,11,29),C51&lt;=DATE(2026,12,1)),B51*60,0)</f>
        <v/>
      </c>
      <c r="J51" s="13">
        <f>IF(A51="",0,B51*(IF(C51=DATE(2026,11,28),38,0)+IF(C51=DATE(2026,12,1),38,0)+IF(C51=DATE(2026,12,2),26,0)))</f>
        <v/>
      </c>
      <c r="K51" s="13">
        <f>IF(C51=Options!$B$9,B51*12,0)</f>
        <v/>
      </c>
      <c r="L51" s="13">
        <f>IF(C51=Options!$B$9,B51*Options!$Z$5,0)</f>
        <v/>
      </c>
      <c r="M51" s="13" t="n">
        <v>0</v>
      </c>
      <c r="N51" s="13">
        <f>SUM(E51:M51)</f>
        <v/>
      </c>
    </row>
    <row r="52">
      <c r="A52" s="5">
        <f>IF(AND(C52&gt;=Options!$B$9,C52&lt;=Options!$B$10),"Chicago","")</f>
        <v/>
      </c>
      <c r="B52" s="5">
        <f>IF(A52="","",18)</f>
        <v/>
      </c>
      <c r="C52" s="17" t="n">
        <v>46343</v>
      </c>
      <c r="D52" s="5">
        <f>IF(A52="","",IF(C52=DATE(2026,11,29),"培训；注册午餐；早餐参数",IF(C52=DATE(2026,11,30),"培训；注册午餐",IF(C52=DATE(2026,12,1),"培训；注册午餐；机构晚餐",IF(C52=Options!$B$9,"抵达；"&amp;IF(C52=DATE(2026,11,28),"机构晚餐","无统一供餐"),IF(C52=Options!$B$10,"返程；"&amp;IF(C52=DATE(2026,12,2),"机构午餐","无统一供餐"),"差旅状态；无统一日程"))))))</f>
        <v/>
      </c>
      <c r="E52" s="13">
        <f>IF(C52=Options!$B$9,Options!$C$14,0)</f>
        <v/>
      </c>
      <c r="F52" s="13">
        <f>IF(AND(A52&lt;&gt;"",C52&lt;Options!$B$10),B52*Options!$X$5,0)</f>
        <v/>
      </c>
      <c r="G52" s="13">
        <f>F52*12%</f>
        <v/>
      </c>
      <c r="H52" s="13">
        <f>IF(A52="",0,B52*(92*IF(OR(C52=Options!$B$9,C52=Options!$B$10),75%,100%)-IF(C52=DATE(2026,11,29),26+IF(Options!$B$8="是",23,0),0)-IF(C52=DATE(2026,11,30),26,0)-IF(C52=DATE(2026,12,1),64,0)-IF(C52=DATE(2026,11,28),38,0)-IF(C52=DATE(2026,12,2),26,0)))</f>
        <v/>
      </c>
      <c r="I52" s="13">
        <f>IF(AND(C52&gt;=DATE(2026,11,29),C52&lt;=DATE(2026,12,1)),B52*60,0)</f>
        <v/>
      </c>
      <c r="J52" s="13">
        <f>IF(A52="",0,B52*(IF(C52=DATE(2026,11,28),38,0)+IF(C52=DATE(2026,12,1),38,0)+IF(C52=DATE(2026,12,2),26,0)))</f>
        <v/>
      </c>
      <c r="K52" s="13">
        <f>IF(C52=Options!$B$9,B52*12,0)</f>
        <v/>
      </c>
      <c r="L52" s="13">
        <f>IF(C52=Options!$B$9,B52*Options!$Z$5,0)</f>
        <v/>
      </c>
      <c r="M52" s="13" t="n">
        <v>0</v>
      </c>
      <c r="N52" s="13">
        <f>SUM(E52:M52)</f>
        <v/>
      </c>
    </row>
    <row r="53">
      <c r="A53" s="5">
        <f>IF(AND(C53&gt;=Options!$B$9,C53&lt;=Options!$B$10),"Chicago","")</f>
        <v/>
      </c>
      <c r="B53" s="5">
        <f>IF(A53="","",18)</f>
        <v/>
      </c>
      <c r="C53" s="17" t="n">
        <v>46344</v>
      </c>
      <c r="D53" s="5">
        <f>IF(A53="","",IF(C53=DATE(2026,11,29),"培训；注册午餐；早餐参数",IF(C53=DATE(2026,11,30),"培训；注册午餐",IF(C53=DATE(2026,12,1),"培训；注册午餐；机构晚餐",IF(C53=Options!$B$9,"抵达；"&amp;IF(C53=DATE(2026,11,28),"机构晚餐","无统一供餐"),IF(C53=Options!$B$10,"返程；"&amp;IF(C53=DATE(2026,12,2),"机构午餐","无统一供餐"),"差旅状态；无统一日程"))))))</f>
        <v/>
      </c>
      <c r="E53" s="13">
        <f>IF(C53=Options!$B$9,Options!$C$14,0)</f>
        <v/>
      </c>
      <c r="F53" s="13">
        <f>IF(AND(A53&lt;&gt;"",C53&lt;Options!$B$10),B53*Options!$X$5,0)</f>
        <v/>
      </c>
      <c r="G53" s="13">
        <f>F53*12%</f>
        <v/>
      </c>
      <c r="H53" s="13">
        <f>IF(A53="",0,B53*(92*IF(OR(C53=Options!$B$9,C53=Options!$B$10),75%,100%)-IF(C53=DATE(2026,11,29),26+IF(Options!$B$8="是",23,0),0)-IF(C53=DATE(2026,11,30),26,0)-IF(C53=DATE(2026,12,1),64,0)-IF(C53=DATE(2026,11,28),38,0)-IF(C53=DATE(2026,12,2),26,0)))</f>
        <v/>
      </c>
      <c r="I53" s="13">
        <f>IF(AND(C53&gt;=DATE(2026,11,29),C53&lt;=DATE(2026,12,1)),B53*60,0)</f>
        <v/>
      </c>
      <c r="J53" s="13">
        <f>IF(A53="",0,B53*(IF(C53=DATE(2026,11,28),38,0)+IF(C53=DATE(2026,12,1),38,0)+IF(C53=DATE(2026,12,2),26,0)))</f>
        <v/>
      </c>
      <c r="K53" s="13">
        <f>IF(C53=Options!$B$9,B53*12,0)</f>
        <v/>
      </c>
      <c r="L53" s="13">
        <f>IF(C53=Options!$B$9,B53*Options!$Z$5,0)</f>
        <v/>
      </c>
      <c r="M53" s="13" t="n">
        <v>0</v>
      </c>
      <c r="N53" s="13">
        <f>SUM(E53:M53)</f>
        <v/>
      </c>
    </row>
    <row r="54">
      <c r="A54" s="5">
        <f>IF(AND(C54&gt;=Options!$B$9,C54&lt;=Options!$B$10),"Chicago","")</f>
        <v/>
      </c>
      <c r="B54" s="5">
        <f>IF(A54="","",18)</f>
        <v/>
      </c>
      <c r="C54" s="17" t="n">
        <v>46345</v>
      </c>
      <c r="D54" s="5">
        <f>IF(A54="","",IF(C54=DATE(2026,11,29),"培训；注册午餐；早餐参数",IF(C54=DATE(2026,11,30),"培训；注册午餐",IF(C54=DATE(2026,12,1),"培训；注册午餐；机构晚餐",IF(C54=Options!$B$9,"抵达；"&amp;IF(C54=DATE(2026,11,28),"机构晚餐","无统一供餐"),IF(C54=Options!$B$10,"返程；"&amp;IF(C54=DATE(2026,12,2),"机构午餐","无统一供餐"),"差旅状态；无统一日程"))))))</f>
        <v/>
      </c>
      <c r="E54" s="13">
        <f>IF(C54=Options!$B$9,Options!$C$14,0)</f>
        <v/>
      </c>
      <c r="F54" s="13">
        <f>IF(AND(A54&lt;&gt;"",C54&lt;Options!$B$10),B54*Options!$X$5,0)</f>
        <v/>
      </c>
      <c r="G54" s="13">
        <f>F54*12%</f>
        <v/>
      </c>
      <c r="H54" s="13">
        <f>IF(A54="",0,B54*(92*IF(OR(C54=Options!$B$9,C54=Options!$B$10),75%,100%)-IF(C54=DATE(2026,11,29),26+IF(Options!$B$8="是",23,0),0)-IF(C54=DATE(2026,11,30),26,0)-IF(C54=DATE(2026,12,1),64,0)-IF(C54=DATE(2026,11,28),38,0)-IF(C54=DATE(2026,12,2),26,0)))</f>
        <v/>
      </c>
      <c r="I54" s="13">
        <f>IF(AND(C54&gt;=DATE(2026,11,29),C54&lt;=DATE(2026,12,1)),B54*60,0)</f>
        <v/>
      </c>
      <c r="J54" s="13">
        <f>IF(A54="",0,B54*(IF(C54=DATE(2026,11,28),38,0)+IF(C54=DATE(2026,12,1),38,0)+IF(C54=DATE(2026,12,2),26,0)))</f>
        <v/>
      </c>
      <c r="K54" s="13">
        <f>IF(C54=Options!$B$9,B54*12,0)</f>
        <v/>
      </c>
      <c r="L54" s="13">
        <f>IF(C54=Options!$B$9,B54*Options!$Z$5,0)</f>
        <v/>
      </c>
      <c r="M54" s="13" t="n">
        <v>0</v>
      </c>
      <c r="N54" s="13">
        <f>SUM(E54:M54)</f>
        <v/>
      </c>
    </row>
    <row r="55">
      <c r="A55" s="5">
        <f>IF(AND(C55&gt;=Options!$B$9,C55&lt;=Options!$B$10),"Chicago","")</f>
        <v/>
      </c>
      <c r="B55" s="5">
        <f>IF(A55="","",18)</f>
        <v/>
      </c>
      <c r="C55" s="17" t="n">
        <v>46346</v>
      </c>
      <c r="D55" s="5">
        <f>IF(A55="","",IF(C55=DATE(2026,11,29),"培训；注册午餐；早餐参数",IF(C55=DATE(2026,11,30),"培训；注册午餐",IF(C55=DATE(2026,12,1),"培训；注册午餐；机构晚餐",IF(C55=Options!$B$9,"抵达；"&amp;IF(C55=DATE(2026,11,28),"机构晚餐","无统一供餐"),IF(C55=Options!$B$10,"返程；"&amp;IF(C55=DATE(2026,12,2),"机构午餐","无统一供餐"),"差旅状态；无统一日程"))))))</f>
        <v/>
      </c>
      <c r="E55" s="13">
        <f>IF(C55=Options!$B$9,Options!$C$14,0)</f>
        <v/>
      </c>
      <c r="F55" s="13">
        <f>IF(AND(A55&lt;&gt;"",C55&lt;Options!$B$10),B55*Options!$X$5,0)</f>
        <v/>
      </c>
      <c r="G55" s="13">
        <f>F55*12%</f>
        <v/>
      </c>
      <c r="H55" s="13">
        <f>IF(A55="",0,B55*(92*IF(OR(C55=Options!$B$9,C55=Options!$B$10),75%,100%)-IF(C55=DATE(2026,11,29),26+IF(Options!$B$8="是",23,0),0)-IF(C55=DATE(2026,11,30),26,0)-IF(C55=DATE(2026,12,1),64,0)-IF(C55=DATE(2026,11,28),38,0)-IF(C55=DATE(2026,12,2),26,0)))</f>
        <v/>
      </c>
      <c r="I55" s="13">
        <f>IF(AND(C55&gt;=DATE(2026,11,29),C55&lt;=DATE(2026,12,1)),B55*60,0)</f>
        <v/>
      </c>
      <c r="J55" s="13">
        <f>IF(A55="",0,B55*(IF(C55=DATE(2026,11,28),38,0)+IF(C55=DATE(2026,12,1),38,0)+IF(C55=DATE(2026,12,2),26,0)))</f>
        <v/>
      </c>
      <c r="K55" s="13">
        <f>IF(C55=Options!$B$9,B55*12,0)</f>
        <v/>
      </c>
      <c r="L55" s="13">
        <f>IF(C55=Options!$B$9,B55*Options!$Z$5,0)</f>
        <v/>
      </c>
      <c r="M55" s="13" t="n">
        <v>0</v>
      </c>
      <c r="N55" s="13">
        <f>SUM(E55:M55)</f>
        <v/>
      </c>
    </row>
    <row r="56">
      <c r="A56" s="5">
        <f>IF(AND(C56&gt;=Options!$B$9,C56&lt;=Options!$B$10),"Chicago","")</f>
        <v/>
      </c>
      <c r="B56" s="5">
        <f>IF(A56="","",18)</f>
        <v/>
      </c>
      <c r="C56" s="17" t="n">
        <v>46347</v>
      </c>
      <c r="D56" s="5">
        <f>IF(A56="","",IF(C56=DATE(2026,11,29),"培训；注册午餐；早餐参数",IF(C56=DATE(2026,11,30),"培训；注册午餐",IF(C56=DATE(2026,12,1),"培训；注册午餐；机构晚餐",IF(C56=Options!$B$9,"抵达；"&amp;IF(C56=DATE(2026,11,28),"机构晚餐","无统一供餐"),IF(C56=Options!$B$10,"返程；"&amp;IF(C56=DATE(2026,12,2),"机构午餐","无统一供餐"),"差旅状态；无统一日程"))))))</f>
        <v/>
      </c>
      <c r="E56" s="13">
        <f>IF(C56=Options!$B$9,Options!$C$14,0)</f>
        <v/>
      </c>
      <c r="F56" s="13">
        <f>IF(AND(A56&lt;&gt;"",C56&lt;Options!$B$10),B56*Options!$X$5,0)</f>
        <v/>
      </c>
      <c r="G56" s="13">
        <f>F56*12%</f>
        <v/>
      </c>
      <c r="H56" s="13">
        <f>IF(A56="",0,B56*(92*IF(OR(C56=Options!$B$9,C56=Options!$B$10),75%,100%)-IF(C56=DATE(2026,11,29),26+IF(Options!$B$8="是",23,0),0)-IF(C56=DATE(2026,11,30),26,0)-IF(C56=DATE(2026,12,1),64,0)-IF(C56=DATE(2026,11,28),38,0)-IF(C56=DATE(2026,12,2),26,0)))</f>
        <v/>
      </c>
      <c r="I56" s="13">
        <f>IF(AND(C56&gt;=DATE(2026,11,29),C56&lt;=DATE(2026,12,1)),B56*60,0)</f>
        <v/>
      </c>
      <c r="J56" s="13">
        <f>IF(A56="",0,B56*(IF(C56=DATE(2026,11,28),38,0)+IF(C56=DATE(2026,12,1),38,0)+IF(C56=DATE(2026,12,2),26,0)))</f>
        <v/>
      </c>
      <c r="K56" s="13">
        <f>IF(C56=Options!$B$9,B56*12,0)</f>
        <v/>
      </c>
      <c r="L56" s="13">
        <f>IF(C56=Options!$B$9,B56*Options!$Z$5,0)</f>
        <v/>
      </c>
      <c r="M56" s="13" t="n">
        <v>0</v>
      </c>
      <c r="N56" s="13">
        <f>SUM(E56:M56)</f>
        <v/>
      </c>
    </row>
    <row r="57">
      <c r="A57" s="5">
        <f>IF(AND(C57&gt;=Options!$B$9,C57&lt;=Options!$B$10),"Chicago","")</f>
        <v/>
      </c>
      <c r="B57" s="5">
        <f>IF(A57="","",18)</f>
        <v/>
      </c>
      <c r="C57" s="17" t="n">
        <v>46348</v>
      </c>
      <c r="D57" s="5">
        <f>IF(A57="","",IF(C57=DATE(2026,11,29),"培训；注册午餐；早餐参数",IF(C57=DATE(2026,11,30),"培训；注册午餐",IF(C57=DATE(2026,12,1),"培训；注册午餐；机构晚餐",IF(C57=Options!$B$9,"抵达；"&amp;IF(C57=DATE(2026,11,28),"机构晚餐","无统一供餐"),IF(C57=Options!$B$10,"返程；"&amp;IF(C57=DATE(2026,12,2),"机构午餐","无统一供餐"),"差旅状态；无统一日程"))))))</f>
        <v/>
      </c>
      <c r="E57" s="13">
        <f>IF(C57=Options!$B$9,Options!$C$14,0)</f>
        <v/>
      </c>
      <c r="F57" s="13">
        <f>IF(AND(A57&lt;&gt;"",C57&lt;Options!$B$10),B57*Options!$X$5,0)</f>
        <v/>
      </c>
      <c r="G57" s="13">
        <f>F57*12%</f>
        <v/>
      </c>
      <c r="H57" s="13">
        <f>IF(A57="",0,B57*(92*IF(OR(C57=Options!$B$9,C57=Options!$B$10),75%,100%)-IF(C57=DATE(2026,11,29),26+IF(Options!$B$8="是",23,0),0)-IF(C57=DATE(2026,11,30),26,0)-IF(C57=DATE(2026,12,1),64,0)-IF(C57=DATE(2026,11,28),38,0)-IF(C57=DATE(2026,12,2),26,0)))</f>
        <v/>
      </c>
      <c r="I57" s="13">
        <f>IF(AND(C57&gt;=DATE(2026,11,29),C57&lt;=DATE(2026,12,1)),B57*60,0)</f>
        <v/>
      </c>
      <c r="J57" s="13">
        <f>IF(A57="",0,B57*(IF(C57=DATE(2026,11,28),38,0)+IF(C57=DATE(2026,12,1),38,0)+IF(C57=DATE(2026,12,2),26,0)))</f>
        <v/>
      </c>
      <c r="K57" s="13">
        <f>IF(C57=Options!$B$9,B57*12,0)</f>
        <v/>
      </c>
      <c r="L57" s="13">
        <f>IF(C57=Options!$B$9,B57*Options!$Z$5,0)</f>
        <v/>
      </c>
      <c r="M57" s="13" t="n">
        <v>0</v>
      </c>
      <c r="N57" s="13">
        <f>SUM(E57:M57)</f>
        <v/>
      </c>
    </row>
    <row r="58">
      <c r="A58" s="5">
        <f>IF(AND(C58&gt;=Options!$B$9,C58&lt;=Options!$B$10),"Chicago","")</f>
        <v/>
      </c>
      <c r="B58" s="5">
        <f>IF(A58="","",18)</f>
        <v/>
      </c>
      <c r="C58" s="17" t="n">
        <v>46349</v>
      </c>
      <c r="D58" s="5">
        <f>IF(A58="","",IF(C58=DATE(2026,11,29),"培训；注册午餐；早餐参数",IF(C58=DATE(2026,11,30),"培训；注册午餐",IF(C58=DATE(2026,12,1),"培训；注册午餐；机构晚餐",IF(C58=Options!$B$9,"抵达；"&amp;IF(C58=DATE(2026,11,28),"机构晚餐","无统一供餐"),IF(C58=Options!$B$10,"返程；"&amp;IF(C58=DATE(2026,12,2),"机构午餐","无统一供餐"),"差旅状态；无统一日程"))))))</f>
        <v/>
      </c>
      <c r="E58" s="13">
        <f>IF(C58=Options!$B$9,Options!$C$14,0)</f>
        <v/>
      </c>
      <c r="F58" s="13">
        <f>IF(AND(A58&lt;&gt;"",C58&lt;Options!$B$10),B58*Options!$X$5,0)</f>
        <v/>
      </c>
      <c r="G58" s="13">
        <f>F58*12%</f>
        <v/>
      </c>
      <c r="H58" s="13">
        <f>IF(A58="",0,B58*(92*IF(OR(C58=Options!$B$9,C58=Options!$B$10),75%,100%)-IF(C58=DATE(2026,11,29),26+IF(Options!$B$8="是",23,0),0)-IF(C58=DATE(2026,11,30),26,0)-IF(C58=DATE(2026,12,1),64,0)-IF(C58=DATE(2026,11,28),38,0)-IF(C58=DATE(2026,12,2),26,0)))</f>
        <v/>
      </c>
      <c r="I58" s="13">
        <f>IF(AND(C58&gt;=DATE(2026,11,29),C58&lt;=DATE(2026,12,1)),B58*60,0)</f>
        <v/>
      </c>
      <c r="J58" s="13">
        <f>IF(A58="",0,B58*(IF(C58=DATE(2026,11,28),38,0)+IF(C58=DATE(2026,12,1),38,0)+IF(C58=DATE(2026,12,2),26,0)))</f>
        <v/>
      </c>
      <c r="K58" s="13">
        <f>IF(C58=Options!$B$9,B58*12,0)</f>
        <v/>
      </c>
      <c r="L58" s="13">
        <f>IF(C58=Options!$B$9,B58*Options!$Z$5,0)</f>
        <v/>
      </c>
      <c r="M58" s="13" t="n">
        <v>0</v>
      </c>
      <c r="N58" s="13">
        <f>SUM(E58:M58)</f>
        <v/>
      </c>
    </row>
    <row r="59">
      <c r="A59" s="5">
        <f>IF(AND(C59&gt;=Options!$B$9,C59&lt;=Options!$B$10),"Chicago","")</f>
        <v/>
      </c>
      <c r="B59" s="5">
        <f>IF(A59="","",18)</f>
        <v/>
      </c>
      <c r="C59" s="17" t="n">
        <v>46350</v>
      </c>
      <c r="D59" s="5">
        <f>IF(A59="","",IF(C59=DATE(2026,11,29),"培训；注册午餐；早餐参数",IF(C59=DATE(2026,11,30),"培训；注册午餐",IF(C59=DATE(2026,12,1),"培训；注册午餐；机构晚餐",IF(C59=Options!$B$9,"抵达；"&amp;IF(C59=DATE(2026,11,28),"机构晚餐","无统一供餐"),IF(C59=Options!$B$10,"返程；"&amp;IF(C59=DATE(2026,12,2),"机构午餐","无统一供餐"),"差旅状态；无统一日程"))))))</f>
        <v/>
      </c>
      <c r="E59" s="13">
        <f>IF(C59=Options!$B$9,Options!$C$14,0)</f>
        <v/>
      </c>
      <c r="F59" s="13">
        <f>IF(AND(A59&lt;&gt;"",C59&lt;Options!$B$10),B59*Options!$X$5,0)</f>
        <v/>
      </c>
      <c r="G59" s="13">
        <f>F59*12%</f>
        <v/>
      </c>
      <c r="H59" s="13">
        <f>IF(A59="",0,B59*(92*IF(OR(C59=Options!$B$9,C59=Options!$B$10),75%,100%)-IF(C59=DATE(2026,11,29),26+IF(Options!$B$8="是",23,0),0)-IF(C59=DATE(2026,11,30),26,0)-IF(C59=DATE(2026,12,1),64,0)-IF(C59=DATE(2026,11,28),38,0)-IF(C59=DATE(2026,12,2),26,0)))</f>
        <v/>
      </c>
      <c r="I59" s="13">
        <f>IF(AND(C59&gt;=DATE(2026,11,29),C59&lt;=DATE(2026,12,1)),B59*60,0)</f>
        <v/>
      </c>
      <c r="J59" s="13">
        <f>IF(A59="",0,B59*(IF(C59=DATE(2026,11,28),38,0)+IF(C59=DATE(2026,12,1),38,0)+IF(C59=DATE(2026,12,2),26,0)))</f>
        <v/>
      </c>
      <c r="K59" s="13">
        <f>IF(C59=Options!$B$9,B59*12,0)</f>
        <v/>
      </c>
      <c r="L59" s="13">
        <f>IF(C59=Options!$B$9,B59*Options!$Z$5,0)</f>
        <v/>
      </c>
      <c r="M59" s="13" t="n">
        <v>0</v>
      </c>
      <c r="N59" s="13">
        <f>SUM(E59:M59)</f>
        <v/>
      </c>
    </row>
    <row r="60">
      <c r="A60" s="5">
        <f>IF(AND(C60&gt;=Options!$B$9,C60&lt;=Options!$B$10),"Chicago","")</f>
        <v/>
      </c>
      <c r="B60" s="5">
        <f>IF(A60="","",18)</f>
        <v/>
      </c>
      <c r="C60" s="17" t="n">
        <v>46351</v>
      </c>
      <c r="D60" s="5">
        <f>IF(A60="","",IF(C60=DATE(2026,11,29),"培训；注册午餐；早餐参数",IF(C60=DATE(2026,11,30),"培训；注册午餐",IF(C60=DATE(2026,12,1),"培训；注册午餐；机构晚餐",IF(C60=Options!$B$9,"抵达；"&amp;IF(C60=DATE(2026,11,28),"机构晚餐","无统一供餐"),IF(C60=Options!$B$10,"返程；"&amp;IF(C60=DATE(2026,12,2),"机构午餐","无统一供餐"),"差旅状态；无统一日程"))))))</f>
        <v/>
      </c>
      <c r="E60" s="13">
        <f>IF(C60=Options!$B$9,Options!$C$14,0)</f>
        <v/>
      </c>
      <c r="F60" s="13">
        <f>IF(AND(A60&lt;&gt;"",C60&lt;Options!$B$10),B60*Options!$X$5,0)</f>
        <v/>
      </c>
      <c r="G60" s="13">
        <f>F60*12%</f>
        <v/>
      </c>
      <c r="H60" s="13">
        <f>IF(A60="",0,B60*(92*IF(OR(C60=Options!$B$9,C60=Options!$B$10),75%,100%)-IF(C60=DATE(2026,11,29),26+IF(Options!$B$8="是",23,0),0)-IF(C60=DATE(2026,11,30),26,0)-IF(C60=DATE(2026,12,1),64,0)-IF(C60=DATE(2026,11,28),38,0)-IF(C60=DATE(2026,12,2),26,0)))</f>
        <v/>
      </c>
      <c r="I60" s="13">
        <f>IF(AND(C60&gt;=DATE(2026,11,29),C60&lt;=DATE(2026,12,1)),B60*60,0)</f>
        <v/>
      </c>
      <c r="J60" s="13">
        <f>IF(A60="",0,B60*(IF(C60=DATE(2026,11,28),38,0)+IF(C60=DATE(2026,12,1),38,0)+IF(C60=DATE(2026,12,2),26,0)))</f>
        <v/>
      </c>
      <c r="K60" s="13">
        <f>IF(C60=Options!$B$9,B60*12,0)</f>
        <v/>
      </c>
      <c r="L60" s="13">
        <f>IF(C60=Options!$B$9,B60*Options!$Z$5,0)</f>
        <v/>
      </c>
      <c r="M60" s="13" t="n">
        <v>0</v>
      </c>
      <c r="N60" s="13">
        <f>SUM(E60:M60)</f>
        <v/>
      </c>
    </row>
    <row r="61">
      <c r="A61" s="5">
        <f>IF(AND(C61&gt;=Options!$B$9,C61&lt;=Options!$B$10),"Chicago","")</f>
        <v/>
      </c>
      <c r="B61" s="5">
        <f>IF(A61="","",18)</f>
        <v/>
      </c>
      <c r="C61" s="17" t="n">
        <v>46352</v>
      </c>
      <c r="D61" s="5">
        <f>IF(A61="","",IF(C61=DATE(2026,11,29),"培训；注册午餐；早餐参数",IF(C61=DATE(2026,11,30),"培训；注册午餐",IF(C61=DATE(2026,12,1),"培训；注册午餐；机构晚餐",IF(C61=Options!$B$9,"抵达；"&amp;IF(C61=DATE(2026,11,28),"机构晚餐","无统一供餐"),IF(C61=Options!$B$10,"返程；"&amp;IF(C61=DATE(2026,12,2),"机构午餐","无统一供餐"),"差旅状态；无统一日程"))))))</f>
        <v/>
      </c>
      <c r="E61" s="13">
        <f>IF(C61=Options!$B$9,Options!$C$14,0)</f>
        <v/>
      </c>
      <c r="F61" s="13">
        <f>IF(AND(A61&lt;&gt;"",C61&lt;Options!$B$10),B61*Options!$X$5,0)</f>
        <v/>
      </c>
      <c r="G61" s="13">
        <f>F61*12%</f>
        <v/>
      </c>
      <c r="H61" s="13">
        <f>IF(A61="",0,B61*(92*IF(OR(C61=Options!$B$9,C61=Options!$B$10),75%,100%)-IF(C61=DATE(2026,11,29),26+IF(Options!$B$8="是",23,0),0)-IF(C61=DATE(2026,11,30),26,0)-IF(C61=DATE(2026,12,1),64,0)-IF(C61=DATE(2026,11,28),38,0)-IF(C61=DATE(2026,12,2),26,0)))</f>
        <v/>
      </c>
      <c r="I61" s="13">
        <f>IF(AND(C61&gt;=DATE(2026,11,29),C61&lt;=DATE(2026,12,1)),B61*60,0)</f>
        <v/>
      </c>
      <c r="J61" s="13">
        <f>IF(A61="",0,B61*(IF(C61=DATE(2026,11,28),38,0)+IF(C61=DATE(2026,12,1),38,0)+IF(C61=DATE(2026,12,2),26,0)))</f>
        <v/>
      </c>
      <c r="K61" s="13">
        <f>IF(C61=Options!$B$9,B61*12,0)</f>
        <v/>
      </c>
      <c r="L61" s="13">
        <f>IF(C61=Options!$B$9,B61*Options!$Z$5,0)</f>
        <v/>
      </c>
      <c r="M61" s="13" t="n">
        <v>0</v>
      </c>
      <c r="N61" s="13">
        <f>SUM(E61:M61)</f>
        <v/>
      </c>
    </row>
    <row r="62">
      <c r="A62" s="5">
        <f>IF(AND(C62&gt;=Options!$B$9,C62&lt;=Options!$B$10),"Chicago","")</f>
        <v/>
      </c>
      <c r="B62" s="5">
        <f>IF(A62="","",18)</f>
        <v/>
      </c>
      <c r="C62" s="17" t="n">
        <v>46353</v>
      </c>
      <c r="D62" s="5">
        <f>IF(A62="","",IF(C62=DATE(2026,11,29),"培训；注册午餐；早餐参数",IF(C62=DATE(2026,11,30),"培训；注册午餐",IF(C62=DATE(2026,12,1),"培训；注册午餐；机构晚餐",IF(C62=Options!$B$9,"抵达；"&amp;IF(C62=DATE(2026,11,28),"机构晚餐","无统一供餐"),IF(C62=Options!$B$10,"返程；"&amp;IF(C62=DATE(2026,12,2),"机构午餐","无统一供餐"),"差旅状态；无统一日程"))))))</f>
        <v/>
      </c>
      <c r="E62" s="13">
        <f>IF(C62=Options!$B$9,Options!$C$14,0)</f>
        <v/>
      </c>
      <c r="F62" s="13">
        <f>IF(AND(A62&lt;&gt;"",C62&lt;Options!$B$10),B62*Options!$X$5,0)</f>
        <v/>
      </c>
      <c r="G62" s="13">
        <f>F62*12%</f>
        <v/>
      </c>
      <c r="H62" s="13">
        <f>IF(A62="",0,B62*(92*IF(OR(C62=Options!$B$9,C62=Options!$B$10),75%,100%)-IF(C62=DATE(2026,11,29),26+IF(Options!$B$8="是",23,0),0)-IF(C62=DATE(2026,11,30),26,0)-IF(C62=DATE(2026,12,1),64,0)-IF(C62=DATE(2026,11,28),38,0)-IF(C62=DATE(2026,12,2),26,0)))</f>
        <v/>
      </c>
      <c r="I62" s="13">
        <f>IF(AND(C62&gt;=DATE(2026,11,29),C62&lt;=DATE(2026,12,1)),B62*60,0)</f>
        <v/>
      </c>
      <c r="J62" s="13">
        <f>IF(A62="",0,B62*(IF(C62=DATE(2026,11,28),38,0)+IF(C62=DATE(2026,12,1),38,0)+IF(C62=DATE(2026,12,2),26,0)))</f>
        <v/>
      </c>
      <c r="K62" s="13">
        <f>IF(C62=Options!$B$9,B62*12,0)</f>
        <v/>
      </c>
      <c r="L62" s="13">
        <f>IF(C62=Options!$B$9,B62*Options!$Z$5,0)</f>
        <v/>
      </c>
      <c r="M62" s="13" t="n">
        <v>0</v>
      </c>
      <c r="N62" s="13">
        <f>SUM(E62:M62)</f>
        <v/>
      </c>
    </row>
    <row r="63">
      <c r="A63" s="5">
        <f>IF(AND(C63&gt;=Options!$B$9,C63&lt;=Options!$B$10),"Chicago","")</f>
        <v/>
      </c>
      <c r="B63" s="5">
        <f>IF(A63="","",18)</f>
        <v/>
      </c>
      <c r="C63" s="17" t="n">
        <v>46354</v>
      </c>
      <c r="D63" s="5">
        <f>IF(A63="","",IF(C63=DATE(2026,11,29),"培训；注册午餐；早餐参数",IF(C63=DATE(2026,11,30),"培训；注册午餐",IF(C63=DATE(2026,12,1),"培训；注册午餐；机构晚餐",IF(C63=Options!$B$9,"抵达；"&amp;IF(C63=DATE(2026,11,28),"机构晚餐","无统一供餐"),IF(C63=Options!$B$10,"返程；"&amp;IF(C63=DATE(2026,12,2),"机构午餐","无统一供餐"),"差旅状态；无统一日程"))))))</f>
        <v/>
      </c>
      <c r="E63" s="13">
        <f>IF(C63=Options!$B$9,Options!$C$14,0)</f>
        <v/>
      </c>
      <c r="F63" s="13">
        <f>IF(AND(A63&lt;&gt;"",C63&lt;Options!$B$10),B63*Options!$X$5,0)</f>
        <v/>
      </c>
      <c r="G63" s="13">
        <f>F63*12%</f>
        <v/>
      </c>
      <c r="H63" s="13">
        <f>IF(A63="",0,B63*(92*IF(OR(C63=Options!$B$9,C63=Options!$B$10),75%,100%)-IF(C63=DATE(2026,11,29),26+IF(Options!$B$8="是",23,0),0)-IF(C63=DATE(2026,11,30),26,0)-IF(C63=DATE(2026,12,1),64,0)-IF(C63=DATE(2026,11,28),38,0)-IF(C63=DATE(2026,12,2),26,0)))</f>
        <v/>
      </c>
      <c r="I63" s="13">
        <f>IF(AND(C63&gt;=DATE(2026,11,29),C63&lt;=DATE(2026,12,1)),B63*60,0)</f>
        <v/>
      </c>
      <c r="J63" s="13">
        <f>IF(A63="",0,B63*(IF(C63=DATE(2026,11,28),38,0)+IF(C63=DATE(2026,12,1),38,0)+IF(C63=DATE(2026,12,2),26,0)))</f>
        <v/>
      </c>
      <c r="K63" s="13">
        <f>IF(C63=Options!$B$9,B63*12,0)</f>
        <v/>
      </c>
      <c r="L63" s="13">
        <f>IF(C63=Options!$B$9,B63*Options!$Z$5,0)</f>
        <v/>
      </c>
      <c r="M63" s="13" t="n">
        <v>0</v>
      </c>
      <c r="N63" s="13">
        <f>SUM(E63:M63)</f>
        <v/>
      </c>
    </row>
    <row r="64">
      <c r="A64" s="5">
        <f>IF(AND(C64&gt;=Options!$B$9,C64&lt;=Options!$B$10),"Chicago","")</f>
        <v/>
      </c>
      <c r="B64" s="5">
        <f>IF(A64="","",18)</f>
        <v/>
      </c>
      <c r="C64" s="17" t="n">
        <v>46355</v>
      </c>
      <c r="D64" s="5">
        <f>IF(A64="","",IF(C64=DATE(2026,11,29),"培训；注册午餐；早餐参数",IF(C64=DATE(2026,11,30),"培训；注册午餐",IF(C64=DATE(2026,12,1),"培训；注册午餐；机构晚餐",IF(C64=Options!$B$9,"抵达；"&amp;IF(C64=DATE(2026,11,28),"机构晚餐","无统一供餐"),IF(C64=Options!$B$10,"返程；"&amp;IF(C64=DATE(2026,12,2),"机构午餐","无统一供餐"),"差旅状态；无统一日程"))))))</f>
        <v/>
      </c>
      <c r="E64" s="13">
        <f>IF(C64=Options!$B$9,Options!$C$14,0)</f>
        <v/>
      </c>
      <c r="F64" s="13">
        <f>IF(AND(A64&lt;&gt;"",C64&lt;Options!$B$10),B64*Options!$X$5,0)</f>
        <v/>
      </c>
      <c r="G64" s="13">
        <f>F64*12%</f>
        <v/>
      </c>
      <c r="H64" s="13">
        <f>IF(A64="",0,B64*(92*IF(OR(C64=Options!$B$9,C64=Options!$B$10),75%,100%)-IF(C64=DATE(2026,11,29),26+IF(Options!$B$8="是",23,0),0)-IF(C64=DATE(2026,11,30),26,0)-IF(C64=DATE(2026,12,1),64,0)-IF(C64=DATE(2026,11,28),38,0)-IF(C64=DATE(2026,12,2),26,0)))</f>
        <v/>
      </c>
      <c r="I64" s="13">
        <f>IF(AND(C64&gt;=DATE(2026,11,29),C64&lt;=DATE(2026,12,1)),B64*60,0)</f>
        <v/>
      </c>
      <c r="J64" s="13">
        <f>IF(A64="",0,B64*(IF(C64=DATE(2026,11,28),38,0)+IF(C64=DATE(2026,12,1),38,0)+IF(C64=DATE(2026,12,2),26,0)))</f>
        <v/>
      </c>
      <c r="K64" s="13">
        <f>IF(C64=Options!$B$9,B64*12,0)</f>
        <v/>
      </c>
      <c r="L64" s="13">
        <f>IF(C64=Options!$B$9,B64*Options!$Z$5,0)</f>
        <v/>
      </c>
      <c r="M64" s="13" t="n">
        <v>0</v>
      </c>
      <c r="N64" s="13">
        <f>SUM(E64:M64)</f>
        <v/>
      </c>
    </row>
    <row r="65">
      <c r="A65" s="5">
        <f>IF(AND(C65&gt;=Options!$B$9,C65&lt;=Options!$B$10),"Chicago","")</f>
        <v/>
      </c>
      <c r="B65" s="5">
        <f>IF(A65="","",18)</f>
        <v/>
      </c>
      <c r="C65" s="17" t="n">
        <v>46356</v>
      </c>
      <c r="D65" s="5">
        <f>IF(A65="","",IF(C65=DATE(2026,11,29),"培训；注册午餐；早餐参数",IF(C65=DATE(2026,11,30),"培训；注册午餐",IF(C65=DATE(2026,12,1),"培训；注册午餐；机构晚餐",IF(C65=Options!$B$9,"抵达；"&amp;IF(C65=DATE(2026,11,28),"机构晚餐","无统一供餐"),IF(C65=Options!$B$10,"返程；"&amp;IF(C65=DATE(2026,12,2),"机构午餐","无统一供餐"),"差旅状态；无统一日程"))))))</f>
        <v/>
      </c>
      <c r="E65" s="13">
        <f>IF(C65=Options!$B$9,Options!$C$14,0)</f>
        <v/>
      </c>
      <c r="F65" s="13">
        <f>IF(AND(A65&lt;&gt;"",C65&lt;Options!$B$10),B65*Options!$X$5,0)</f>
        <v/>
      </c>
      <c r="G65" s="13">
        <f>F65*12%</f>
        <v/>
      </c>
      <c r="H65" s="13">
        <f>IF(A65="",0,B65*(92*IF(OR(C65=Options!$B$9,C65=Options!$B$10),75%,100%)-IF(C65=DATE(2026,11,29),26+IF(Options!$B$8="是",23,0),0)-IF(C65=DATE(2026,11,30),26,0)-IF(C65=DATE(2026,12,1),64,0)-IF(C65=DATE(2026,11,28),38,0)-IF(C65=DATE(2026,12,2),26,0)))</f>
        <v/>
      </c>
      <c r="I65" s="13">
        <f>IF(AND(C65&gt;=DATE(2026,11,29),C65&lt;=DATE(2026,12,1)),B65*60,0)</f>
        <v/>
      </c>
      <c r="J65" s="13">
        <f>IF(A65="",0,B65*(IF(C65=DATE(2026,11,28),38,0)+IF(C65=DATE(2026,12,1),38,0)+IF(C65=DATE(2026,12,2),26,0)))</f>
        <v/>
      </c>
      <c r="K65" s="13">
        <f>IF(C65=Options!$B$9,B65*12,0)</f>
        <v/>
      </c>
      <c r="L65" s="13">
        <f>IF(C65=Options!$B$9,B65*Options!$Z$5,0)</f>
        <v/>
      </c>
      <c r="M65" s="13" t="n">
        <v>0</v>
      </c>
      <c r="N65" s="13">
        <f>SUM(E65:M65)</f>
        <v/>
      </c>
    </row>
    <row r="66">
      <c r="A66" s="5">
        <f>IF(AND(C66&gt;=Options!$B$9,C66&lt;=Options!$B$10),"Chicago","")</f>
        <v/>
      </c>
      <c r="B66" s="5">
        <f>IF(A66="","",18)</f>
        <v/>
      </c>
      <c r="C66" s="17" t="n">
        <v>46357</v>
      </c>
      <c r="D66" s="5">
        <f>IF(A66="","",IF(C66=DATE(2026,11,29),"培训；注册午餐；早餐参数",IF(C66=DATE(2026,11,30),"培训；注册午餐",IF(C66=DATE(2026,12,1),"培训；注册午餐；机构晚餐",IF(C66=Options!$B$9,"抵达；"&amp;IF(C66=DATE(2026,11,28),"机构晚餐","无统一供餐"),IF(C66=Options!$B$10,"返程；"&amp;IF(C66=DATE(2026,12,2),"机构午餐","无统一供餐"),"差旅状态；无统一日程"))))))</f>
        <v/>
      </c>
      <c r="E66" s="13">
        <f>IF(C66=Options!$B$9,Options!$C$14,0)</f>
        <v/>
      </c>
      <c r="F66" s="13">
        <f>IF(AND(A66&lt;&gt;"",C66&lt;Options!$B$10),B66*Options!$X$5,0)</f>
        <v/>
      </c>
      <c r="G66" s="13">
        <f>F66*12%</f>
        <v/>
      </c>
      <c r="H66" s="13">
        <f>IF(A66="",0,B66*(92*IF(OR(C66=Options!$B$9,C66=Options!$B$10),75%,100%)-IF(C66=DATE(2026,11,29),26+IF(Options!$B$8="是",23,0),0)-IF(C66=DATE(2026,11,30),26,0)-IF(C66=DATE(2026,12,1),64,0)-IF(C66=DATE(2026,11,28),38,0)-IF(C66=DATE(2026,12,2),26,0)))</f>
        <v/>
      </c>
      <c r="I66" s="13">
        <f>IF(AND(C66&gt;=DATE(2026,11,29),C66&lt;=DATE(2026,12,1)),B66*60,0)</f>
        <v/>
      </c>
      <c r="J66" s="13">
        <f>IF(A66="",0,B66*(IF(C66=DATE(2026,11,28),38,0)+IF(C66=DATE(2026,12,1),38,0)+IF(C66=DATE(2026,12,2),26,0)))</f>
        <v/>
      </c>
      <c r="K66" s="13">
        <f>IF(C66=Options!$B$9,B66*12,0)</f>
        <v/>
      </c>
      <c r="L66" s="13">
        <f>IF(C66=Options!$B$9,B66*Options!$Z$5,0)</f>
        <v/>
      </c>
      <c r="M66" s="13" t="n">
        <v>0</v>
      </c>
      <c r="N66" s="13">
        <f>SUM(E66:M66)</f>
        <v/>
      </c>
    </row>
    <row r="67">
      <c r="A67" s="5">
        <f>IF(AND(C67&gt;=Options!$B$9,C67&lt;=Options!$B$10),"Chicago","")</f>
        <v/>
      </c>
      <c r="B67" s="5">
        <f>IF(A67="","",18)</f>
        <v/>
      </c>
      <c r="C67" s="17" t="n">
        <v>46358</v>
      </c>
      <c r="D67" s="5">
        <f>IF(A67="","",IF(C67=DATE(2026,11,29),"培训；注册午餐；早餐参数",IF(C67=DATE(2026,11,30),"培训；注册午餐",IF(C67=DATE(2026,12,1),"培训；注册午餐；机构晚餐",IF(C67=Options!$B$9,"抵达；"&amp;IF(C67=DATE(2026,11,28),"机构晚餐","无统一供餐"),IF(C67=Options!$B$10,"返程；"&amp;IF(C67=DATE(2026,12,2),"机构午餐","无统一供餐"),"差旅状态；无统一日程"))))))</f>
        <v/>
      </c>
      <c r="E67" s="13">
        <f>IF(C67=Options!$B$9,Options!$C$14,0)</f>
        <v/>
      </c>
      <c r="F67" s="13">
        <f>IF(AND(A67&lt;&gt;"",C67&lt;Options!$B$10),B67*Options!$X$5,0)</f>
        <v/>
      </c>
      <c r="G67" s="13">
        <f>F67*12%</f>
        <v/>
      </c>
      <c r="H67" s="13">
        <f>IF(A67="",0,B67*(92*IF(OR(C67=Options!$B$9,C67=Options!$B$10),75%,100%)-IF(C67=DATE(2026,11,29),26+IF(Options!$B$8="是",23,0),0)-IF(C67=DATE(2026,11,30),26,0)-IF(C67=DATE(2026,12,1),64,0)-IF(C67=DATE(2026,11,28),38,0)-IF(C67=DATE(2026,12,2),26,0)))</f>
        <v/>
      </c>
      <c r="I67" s="13">
        <f>IF(AND(C67&gt;=DATE(2026,11,29),C67&lt;=DATE(2026,12,1)),B67*60,0)</f>
        <v/>
      </c>
      <c r="J67" s="13">
        <f>IF(A67="",0,B67*(IF(C67=DATE(2026,11,28),38,0)+IF(C67=DATE(2026,12,1),38,0)+IF(C67=DATE(2026,12,2),26,0)))</f>
        <v/>
      </c>
      <c r="K67" s="13">
        <f>IF(C67=Options!$B$9,B67*12,0)</f>
        <v/>
      </c>
      <c r="L67" s="13">
        <f>IF(C67=Options!$B$9,B67*Options!$Z$5,0)</f>
        <v/>
      </c>
      <c r="M67" s="13" t="n">
        <v>0</v>
      </c>
      <c r="N67" s="13">
        <f>SUM(E67:M67)</f>
        <v/>
      </c>
    </row>
    <row r="68">
      <c r="A68" s="5">
        <f>IF(AND(C68&gt;=Options!$B$9,C68&lt;=Options!$B$10),"Chicago","")</f>
        <v/>
      </c>
      <c r="B68" s="5">
        <f>IF(A68="","",18)</f>
        <v/>
      </c>
      <c r="C68" s="17" t="n">
        <v>46359</v>
      </c>
      <c r="D68" s="5">
        <f>IF(A68="","",IF(C68=DATE(2026,11,29),"培训；注册午餐；早餐参数",IF(C68=DATE(2026,11,30),"培训；注册午餐",IF(C68=DATE(2026,12,1),"培训；注册午餐；机构晚餐",IF(C68=Options!$B$9,"抵达；"&amp;IF(C68=DATE(2026,11,28),"机构晚餐","无统一供餐"),IF(C68=Options!$B$10,"返程；"&amp;IF(C68=DATE(2026,12,2),"机构午餐","无统一供餐"),"差旅状态；无统一日程"))))))</f>
        <v/>
      </c>
      <c r="E68" s="13">
        <f>IF(C68=Options!$B$9,Options!$C$14,0)</f>
        <v/>
      </c>
      <c r="F68" s="13">
        <f>IF(AND(A68&lt;&gt;"",C68&lt;Options!$B$10),B68*Options!$X$5,0)</f>
        <v/>
      </c>
      <c r="G68" s="13">
        <f>F68*12%</f>
        <v/>
      </c>
      <c r="H68" s="13">
        <f>IF(A68="",0,B68*(92*IF(OR(C68=Options!$B$9,C68=Options!$B$10),75%,100%)-IF(C68=DATE(2026,11,29),26+IF(Options!$B$8="是",23,0),0)-IF(C68=DATE(2026,11,30),26,0)-IF(C68=DATE(2026,12,1),64,0)-IF(C68=DATE(2026,11,28),38,0)-IF(C68=DATE(2026,12,2),26,0)))</f>
        <v/>
      </c>
      <c r="I68" s="13">
        <f>IF(AND(C68&gt;=DATE(2026,11,29),C68&lt;=DATE(2026,12,1)),B68*60,0)</f>
        <v/>
      </c>
      <c r="J68" s="13">
        <f>IF(A68="",0,B68*(IF(C68=DATE(2026,11,28),38,0)+IF(C68=DATE(2026,12,1),38,0)+IF(C68=DATE(2026,12,2),26,0)))</f>
        <v/>
      </c>
      <c r="K68" s="13">
        <f>IF(C68=Options!$B$9,B68*12,0)</f>
        <v/>
      </c>
      <c r="L68" s="13">
        <f>IF(C68=Options!$B$9,B68*Options!$Z$5,0)</f>
        <v/>
      </c>
      <c r="M68" s="13" t="n">
        <v>0</v>
      </c>
      <c r="N68" s="13">
        <f>SUM(E68:M68)</f>
        <v/>
      </c>
    </row>
    <row r="69">
      <c r="A69" s="5">
        <f>IF(AND(C69&gt;=Options!$B$9,C69&lt;=Options!$B$10),"Chicago","")</f>
        <v/>
      </c>
      <c r="B69" s="5">
        <f>IF(A69="","",18)</f>
        <v/>
      </c>
      <c r="C69" s="17" t="n">
        <v>46360</v>
      </c>
      <c r="D69" s="5">
        <f>IF(A69="","",IF(C69=DATE(2026,11,29),"培训；注册午餐；早餐参数",IF(C69=DATE(2026,11,30),"培训；注册午餐",IF(C69=DATE(2026,12,1),"培训；注册午餐；机构晚餐",IF(C69=Options!$B$9,"抵达；"&amp;IF(C69=DATE(2026,11,28),"机构晚餐","无统一供餐"),IF(C69=Options!$B$10,"返程；"&amp;IF(C69=DATE(2026,12,2),"机构午餐","无统一供餐"),"差旅状态；无统一日程"))))))</f>
        <v/>
      </c>
      <c r="E69" s="13">
        <f>IF(C69=Options!$B$9,Options!$C$14,0)</f>
        <v/>
      </c>
      <c r="F69" s="13">
        <f>IF(AND(A69&lt;&gt;"",C69&lt;Options!$B$10),B69*Options!$X$5,0)</f>
        <v/>
      </c>
      <c r="G69" s="13">
        <f>F69*12%</f>
        <v/>
      </c>
      <c r="H69" s="13">
        <f>IF(A69="",0,B69*(92*IF(OR(C69=Options!$B$9,C69=Options!$B$10),75%,100%)-IF(C69=DATE(2026,11,29),26+IF(Options!$B$8="是",23,0),0)-IF(C69=DATE(2026,11,30),26,0)-IF(C69=DATE(2026,12,1),64,0)-IF(C69=DATE(2026,11,28),38,0)-IF(C69=DATE(2026,12,2),26,0)))</f>
        <v/>
      </c>
      <c r="I69" s="13">
        <f>IF(AND(C69&gt;=DATE(2026,11,29),C69&lt;=DATE(2026,12,1)),B69*60,0)</f>
        <v/>
      </c>
      <c r="J69" s="13">
        <f>IF(A69="",0,B69*(IF(C69=DATE(2026,11,28),38,0)+IF(C69=DATE(2026,12,1),38,0)+IF(C69=DATE(2026,12,2),26,0)))</f>
        <v/>
      </c>
      <c r="K69" s="13">
        <f>IF(C69=Options!$B$9,B69*12,0)</f>
        <v/>
      </c>
      <c r="L69" s="13">
        <f>IF(C69=Options!$B$9,B69*Options!$Z$5,0)</f>
        <v/>
      </c>
      <c r="M69" s="13" t="n">
        <v>0</v>
      </c>
      <c r="N69" s="13">
        <f>SUM(E69:M69)</f>
        <v/>
      </c>
    </row>
    <row r="70">
      <c r="A70" s="5">
        <f>IF(AND(C70&gt;=Options!$B$9,C70&lt;=Options!$B$10),"Chicago","")</f>
        <v/>
      </c>
      <c r="B70" s="5">
        <f>IF(A70="","",18)</f>
        <v/>
      </c>
      <c r="C70" s="17" t="n">
        <v>46361</v>
      </c>
      <c r="D70" s="5">
        <f>IF(A70="","",IF(C70=DATE(2026,11,29),"培训；注册午餐；早餐参数",IF(C70=DATE(2026,11,30),"培训；注册午餐",IF(C70=DATE(2026,12,1),"培训；注册午餐；机构晚餐",IF(C70=Options!$B$9,"抵达；"&amp;IF(C70=DATE(2026,11,28),"机构晚餐","无统一供餐"),IF(C70=Options!$B$10,"返程；"&amp;IF(C70=DATE(2026,12,2),"机构午餐","无统一供餐"),"差旅状态；无统一日程"))))))</f>
        <v/>
      </c>
      <c r="E70" s="13">
        <f>IF(C70=Options!$B$9,Options!$C$14,0)</f>
        <v/>
      </c>
      <c r="F70" s="13">
        <f>IF(AND(A70&lt;&gt;"",C70&lt;Options!$B$10),B70*Options!$X$5,0)</f>
        <v/>
      </c>
      <c r="G70" s="13">
        <f>F70*12%</f>
        <v/>
      </c>
      <c r="H70" s="13">
        <f>IF(A70="",0,B70*(92*IF(OR(C70=Options!$B$9,C70=Options!$B$10),75%,100%)-IF(C70=DATE(2026,11,29),26+IF(Options!$B$8="是",23,0),0)-IF(C70=DATE(2026,11,30),26,0)-IF(C70=DATE(2026,12,1),64,0)-IF(C70=DATE(2026,11,28),38,0)-IF(C70=DATE(2026,12,2),26,0)))</f>
        <v/>
      </c>
      <c r="I70" s="13">
        <f>IF(AND(C70&gt;=DATE(2026,11,29),C70&lt;=DATE(2026,12,1)),B70*60,0)</f>
        <v/>
      </c>
      <c r="J70" s="13">
        <f>IF(A70="",0,B70*(IF(C70=DATE(2026,11,28),38,0)+IF(C70=DATE(2026,12,1),38,0)+IF(C70=DATE(2026,12,2),26,0)))</f>
        <v/>
      </c>
      <c r="K70" s="13">
        <f>IF(C70=Options!$B$9,B70*12,0)</f>
        <v/>
      </c>
      <c r="L70" s="13">
        <f>IF(C70=Options!$B$9,B70*Options!$Z$5,0)</f>
        <v/>
      </c>
      <c r="M70" s="13" t="n">
        <v>0</v>
      </c>
      <c r="N70" s="13">
        <f>SUM(E70:M70)</f>
        <v/>
      </c>
    </row>
    <row r="71">
      <c r="A71" s="5">
        <f>IF(AND(C71&gt;=Options!$B$9,C71&lt;=Options!$B$10),"Chicago","")</f>
        <v/>
      </c>
      <c r="B71" s="5">
        <f>IF(A71="","",18)</f>
        <v/>
      </c>
      <c r="C71" s="17" t="n">
        <v>46362</v>
      </c>
      <c r="D71" s="5">
        <f>IF(A71="","",IF(C71=DATE(2026,11,29),"培训；注册午餐；早餐参数",IF(C71=DATE(2026,11,30),"培训；注册午餐",IF(C71=DATE(2026,12,1),"培训；注册午餐；机构晚餐",IF(C71=Options!$B$9,"抵达；"&amp;IF(C71=DATE(2026,11,28),"机构晚餐","无统一供餐"),IF(C71=Options!$B$10,"返程；"&amp;IF(C71=DATE(2026,12,2),"机构午餐","无统一供餐"),"差旅状态；无统一日程"))))))</f>
        <v/>
      </c>
      <c r="E71" s="13">
        <f>IF(C71=Options!$B$9,Options!$C$14,0)</f>
        <v/>
      </c>
      <c r="F71" s="13">
        <f>IF(AND(A71&lt;&gt;"",C71&lt;Options!$B$10),B71*Options!$X$5,0)</f>
        <v/>
      </c>
      <c r="G71" s="13">
        <f>F71*12%</f>
        <v/>
      </c>
      <c r="H71" s="13">
        <f>IF(A71="",0,B71*(92*IF(OR(C71=Options!$B$9,C71=Options!$B$10),75%,100%)-IF(C71=DATE(2026,11,29),26+IF(Options!$B$8="是",23,0),0)-IF(C71=DATE(2026,11,30),26,0)-IF(C71=DATE(2026,12,1),64,0)-IF(C71=DATE(2026,11,28),38,0)-IF(C71=DATE(2026,12,2),26,0)))</f>
        <v/>
      </c>
      <c r="I71" s="13">
        <f>IF(AND(C71&gt;=DATE(2026,11,29),C71&lt;=DATE(2026,12,1)),B71*60,0)</f>
        <v/>
      </c>
      <c r="J71" s="13">
        <f>IF(A71="",0,B71*(IF(C71=DATE(2026,11,28),38,0)+IF(C71=DATE(2026,12,1),38,0)+IF(C71=DATE(2026,12,2),26,0)))</f>
        <v/>
      </c>
      <c r="K71" s="13">
        <f>IF(C71=Options!$B$9,B71*12,0)</f>
        <v/>
      </c>
      <c r="L71" s="13">
        <f>IF(C71=Options!$B$9,B71*Options!$Z$5,0)</f>
        <v/>
      </c>
      <c r="M71" s="13" t="n">
        <v>0</v>
      </c>
      <c r="N71" s="13">
        <f>SUM(E71:M71)</f>
        <v/>
      </c>
    </row>
    <row r="72">
      <c r="A72" s="5">
        <f>IF(AND(C72&gt;=Options!$B$9,C72&lt;=Options!$B$10),"Chicago","")</f>
        <v/>
      </c>
      <c r="B72" s="5">
        <f>IF(A72="","",18)</f>
        <v/>
      </c>
      <c r="C72" s="17" t="n">
        <v>46363</v>
      </c>
      <c r="D72" s="5">
        <f>IF(A72="","",IF(C72=DATE(2026,11,29),"培训；注册午餐；早餐参数",IF(C72=DATE(2026,11,30),"培训；注册午餐",IF(C72=DATE(2026,12,1),"培训；注册午餐；机构晚餐",IF(C72=Options!$B$9,"抵达；"&amp;IF(C72=DATE(2026,11,28),"机构晚餐","无统一供餐"),IF(C72=Options!$B$10,"返程；"&amp;IF(C72=DATE(2026,12,2),"机构午餐","无统一供餐"),"差旅状态；无统一日程"))))))</f>
        <v/>
      </c>
      <c r="E72" s="13">
        <f>IF(C72=Options!$B$9,Options!$C$14,0)</f>
        <v/>
      </c>
      <c r="F72" s="13">
        <f>IF(AND(A72&lt;&gt;"",C72&lt;Options!$B$10),B72*Options!$X$5,0)</f>
        <v/>
      </c>
      <c r="G72" s="13">
        <f>F72*12%</f>
        <v/>
      </c>
      <c r="H72" s="13">
        <f>IF(A72="",0,B72*(92*IF(OR(C72=Options!$B$9,C72=Options!$B$10),75%,100%)-IF(C72=DATE(2026,11,29),26+IF(Options!$B$8="是",23,0),0)-IF(C72=DATE(2026,11,30),26,0)-IF(C72=DATE(2026,12,1),64,0)-IF(C72=DATE(2026,11,28),38,0)-IF(C72=DATE(2026,12,2),26,0)))</f>
        <v/>
      </c>
      <c r="I72" s="13">
        <f>IF(AND(C72&gt;=DATE(2026,11,29),C72&lt;=DATE(2026,12,1)),B72*60,0)</f>
        <v/>
      </c>
      <c r="J72" s="13">
        <f>IF(A72="",0,B72*(IF(C72=DATE(2026,11,28),38,0)+IF(C72=DATE(2026,12,1),38,0)+IF(C72=DATE(2026,12,2),26,0)))</f>
        <v/>
      </c>
      <c r="K72" s="13">
        <f>IF(C72=Options!$B$9,B72*12,0)</f>
        <v/>
      </c>
      <c r="L72" s="13">
        <f>IF(C72=Options!$B$9,B72*Options!$Z$5,0)</f>
        <v/>
      </c>
      <c r="M72" s="13" t="n">
        <v>0</v>
      </c>
      <c r="N72" s="13">
        <f>SUM(E72:M72)</f>
        <v/>
      </c>
    </row>
    <row r="73">
      <c r="A73" s="5">
        <f>IF(AND(C73&gt;=Options!$B$9,C73&lt;=Options!$B$10),"Chicago","")</f>
        <v/>
      </c>
      <c r="B73" s="5">
        <f>IF(A73="","",18)</f>
        <v/>
      </c>
      <c r="C73" s="17" t="n">
        <v>46364</v>
      </c>
      <c r="D73" s="5">
        <f>IF(A73="","",IF(C73=DATE(2026,11,29),"培训；注册午餐；早餐参数",IF(C73=DATE(2026,11,30),"培训；注册午餐",IF(C73=DATE(2026,12,1),"培训；注册午餐；机构晚餐",IF(C73=Options!$B$9,"抵达；"&amp;IF(C73=DATE(2026,11,28),"机构晚餐","无统一供餐"),IF(C73=Options!$B$10,"返程；"&amp;IF(C73=DATE(2026,12,2),"机构午餐","无统一供餐"),"差旅状态；无统一日程"))))))</f>
        <v/>
      </c>
      <c r="E73" s="13">
        <f>IF(C73=Options!$B$9,Options!$C$14,0)</f>
        <v/>
      </c>
      <c r="F73" s="13">
        <f>IF(AND(A73&lt;&gt;"",C73&lt;Options!$B$10),B73*Options!$X$5,0)</f>
        <v/>
      </c>
      <c r="G73" s="13">
        <f>F73*12%</f>
        <v/>
      </c>
      <c r="H73" s="13">
        <f>IF(A73="",0,B73*(92*IF(OR(C73=Options!$B$9,C73=Options!$B$10),75%,100%)-IF(C73=DATE(2026,11,29),26+IF(Options!$B$8="是",23,0),0)-IF(C73=DATE(2026,11,30),26,0)-IF(C73=DATE(2026,12,1),64,0)-IF(C73=DATE(2026,11,28),38,0)-IF(C73=DATE(2026,12,2),26,0)))</f>
        <v/>
      </c>
      <c r="I73" s="13">
        <f>IF(AND(C73&gt;=DATE(2026,11,29),C73&lt;=DATE(2026,12,1)),B73*60,0)</f>
        <v/>
      </c>
      <c r="J73" s="13">
        <f>IF(A73="",0,B73*(IF(C73=DATE(2026,11,28),38,0)+IF(C73=DATE(2026,12,1),38,0)+IF(C73=DATE(2026,12,2),26,0)))</f>
        <v/>
      </c>
      <c r="K73" s="13">
        <f>IF(C73=Options!$B$9,B73*12,0)</f>
        <v/>
      </c>
      <c r="L73" s="13">
        <f>IF(C73=Options!$B$9,B73*Options!$Z$5,0)</f>
        <v/>
      </c>
      <c r="M73" s="13" t="n">
        <v>0</v>
      </c>
      <c r="N73" s="13">
        <f>SUM(E73:M73)</f>
        <v/>
      </c>
    </row>
    <row r="74">
      <c r="A74" s="5">
        <f>IF(AND(C74&gt;=Options!$B$9,C74&lt;=Options!$B$10),"Chicago","")</f>
        <v/>
      </c>
      <c r="B74" s="5">
        <f>IF(A74="","",18)</f>
        <v/>
      </c>
      <c r="C74" s="17" t="n">
        <v>46365</v>
      </c>
      <c r="D74" s="5">
        <f>IF(A74="","",IF(C74=DATE(2026,11,29),"培训；注册午餐；早餐参数",IF(C74=DATE(2026,11,30),"培训；注册午餐",IF(C74=DATE(2026,12,1),"培训；注册午餐；机构晚餐",IF(C74=Options!$B$9,"抵达；"&amp;IF(C74=DATE(2026,11,28),"机构晚餐","无统一供餐"),IF(C74=Options!$B$10,"返程；"&amp;IF(C74=DATE(2026,12,2),"机构午餐","无统一供餐"),"差旅状态；无统一日程"))))))</f>
        <v/>
      </c>
      <c r="E74" s="13">
        <f>IF(C74=Options!$B$9,Options!$C$14,0)</f>
        <v/>
      </c>
      <c r="F74" s="13">
        <f>IF(AND(A74&lt;&gt;"",C74&lt;Options!$B$10),B74*Options!$X$5,0)</f>
        <v/>
      </c>
      <c r="G74" s="13">
        <f>F74*12%</f>
        <v/>
      </c>
      <c r="H74" s="13">
        <f>IF(A74="",0,B74*(92*IF(OR(C74=Options!$B$9,C74=Options!$B$10),75%,100%)-IF(C74=DATE(2026,11,29),26+IF(Options!$B$8="是",23,0),0)-IF(C74=DATE(2026,11,30),26,0)-IF(C74=DATE(2026,12,1),64,0)-IF(C74=DATE(2026,11,28),38,0)-IF(C74=DATE(2026,12,2),26,0)))</f>
        <v/>
      </c>
      <c r="I74" s="13">
        <f>IF(AND(C74&gt;=DATE(2026,11,29),C74&lt;=DATE(2026,12,1)),B74*60,0)</f>
        <v/>
      </c>
      <c r="J74" s="13">
        <f>IF(A74="",0,B74*(IF(C74=DATE(2026,11,28),38,0)+IF(C74=DATE(2026,12,1),38,0)+IF(C74=DATE(2026,12,2),26,0)))</f>
        <v/>
      </c>
      <c r="K74" s="13">
        <f>IF(C74=Options!$B$9,B74*12,0)</f>
        <v/>
      </c>
      <c r="L74" s="13">
        <f>IF(C74=Options!$B$9,B74*Options!$Z$5,0)</f>
        <v/>
      </c>
      <c r="M74" s="13" t="n">
        <v>0</v>
      </c>
      <c r="N74" s="13">
        <f>SUM(E74:M74)</f>
        <v/>
      </c>
    </row>
    <row r="75">
      <c r="A75" s="5">
        <f>IF(AND(C75&gt;=Options!$B$9,C75&lt;=Options!$B$10),"Chicago","")</f>
        <v/>
      </c>
      <c r="B75" s="5">
        <f>IF(A75="","",18)</f>
        <v/>
      </c>
      <c r="C75" s="17" t="n">
        <v>46366</v>
      </c>
      <c r="D75" s="5">
        <f>IF(A75="","",IF(C75=DATE(2026,11,29),"培训；注册午餐；早餐参数",IF(C75=DATE(2026,11,30),"培训；注册午餐",IF(C75=DATE(2026,12,1),"培训；注册午餐；机构晚餐",IF(C75=Options!$B$9,"抵达；"&amp;IF(C75=DATE(2026,11,28),"机构晚餐","无统一供餐"),IF(C75=Options!$B$10,"返程；"&amp;IF(C75=DATE(2026,12,2),"机构午餐","无统一供餐"),"差旅状态；无统一日程"))))))</f>
        <v/>
      </c>
      <c r="E75" s="13">
        <f>IF(C75=Options!$B$9,Options!$C$14,0)</f>
        <v/>
      </c>
      <c r="F75" s="13">
        <f>IF(AND(A75&lt;&gt;"",C75&lt;Options!$B$10),B75*Options!$X$5,0)</f>
        <v/>
      </c>
      <c r="G75" s="13">
        <f>F75*12%</f>
        <v/>
      </c>
      <c r="H75" s="13">
        <f>IF(A75="",0,B75*(92*IF(OR(C75=Options!$B$9,C75=Options!$B$10),75%,100%)-IF(C75=DATE(2026,11,29),26+IF(Options!$B$8="是",23,0),0)-IF(C75=DATE(2026,11,30),26,0)-IF(C75=DATE(2026,12,1),64,0)-IF(C75=DATE(2026,11,28),38,0)-IF(C75=DATE(2026,12,2),26,0)))</f>
        <v/>
      </c>
      <c r="I75" s="13">
        <f>IF(AND(C75&gt;=DATE(2026,11,29),C75&lt;=DATE(2026,12,1)),B75*60,0)</f>
        <v/>
      </c>
      <c r="J75" s="13">
        <f>IF(A75="",0,B75*(IF(C75=DATE(2026,11,28),38,0)+IF(C75=DATE(2026,12,1),38,0)+IF(C75=DATE(2026,12,2),26,0)))</f>
        <v/>
      </c>
      <c r="K75" s="13">
        <f>IF(C75=Options!$B$9,B75*12,0)</f>
        <v/>
      </c>
      <c r="L75" s="13">
        <f>IF(C75=Options!$B$9,B75*Options!$Z$5,0)</f>
        <v/>
      </c>
      <c r="M75" s="13" t="n">
        <v>0</v>
      </c>
      <c r="N75" s="13">
        <f>SUM(E75:M75)</f>
        <v/>
      </c>
    </row>
    <row r="76">
      <c r="A76" s="5">
        <f>IF(AND(C76&gt;=Options!$B$9,C76&lt;=Options!$B$10),"Chicago","")</f>
        <v/>
      </c>
      <c r="B76" s="5">
        <f>IF(A76="","",18)</f>
        <v/>
      </c>
      <c r="C76" s="17" t="n">
        <v>46367</v>
      </c>
      <c r="D76" s="5">
        <f>IF(A76="","",IF(C76=DATE(2026,11,29),"培训；注册午餐；早餐参数",IF(C76=DATE(2026,11,30),"培训；注册午餐",IF(C76=DATE(2026,12,1),"培训；注册午餐；机构晚餐",IF(C76=Options!$B$9,"抵达；"&amp;IF(C76=DATE(2026,11,28),"机构晚餐","无统一供餐"),IF(C76=Options!$B$10,"返程；"&amp;IF(C76=DATE(2026,12,2),"机构午餐","无统一供餐"),"差旅状态；无统一日程"))))))</f>
        <v/>
      </c>
      <c r="E76" s="13">
        <f>IF(C76=Options!$B$9,Options!$C$14,0)</f>
        <v/>
      </c>
      <c r="F76" s="13">
        <f>IF(AND(A76&lt;&gt;"",C76&lt;Options!$B$10),B76*Options!$X$5,0)</f>
        <v/>
      </c>
      <c r="G76" s="13">
        <f>F76*12%</f>
        <v/>
      </c>
      <c r="H76" s="13">
        <f>IF(A76="",0,B76*(92*IF(OR(C76=Options!$B$9,C76=Options!$B$10),75%,100%)-IF(C76=DATE(2026,11,29),26+IF(Options!$B$8="是",23,0),0)-IF(C76=DATE(2026,11,30),26,0)-IF(C76=DATE(2026,12,1),64,0)-IF(C76=DATE(2026,11,28),38,0)-IF(C76=DATE(2026,12,2),26,0)))</f>
        <v/>
      </c>
      <c r="I76" s="13">
        <f>IF(AND(C76&gt;=DATE(2026,11,29),C76&lt;=DATE(2026,12,1)),B76*60,0)</f>
        <v/>
      </c>
      <c r="J76" s="13">
        <f>IF(A76="",0,B76*(IF(C76=DATE(2026,11,28),38,0)+IF(C76=DATE(2026,12,1),38,0)+IF(C76=DATE(2026,12,2),26,0)))</f>
        <v/>
      </c>
      <c r="K76" s="13">
        <f>IF(C76=Options!$B$9,B76*12,0)</f>
        <v/>
      </c>
      <c r="L76" s="13">
        <f>IF(C76=Options!$B$9,B76*Options!$Z$5,0)</f>
        <v/>
      </c>
      <c r="M76" s="13" t="n">
        <v>0</v>
      </c>
      <c r="N76" s="13">
        <f>SUM(E76:M76)</f>
        <v/>
      </c>
    </row>
    <row r="77">
      <c r="A77" s="5">
        <f>IF(AND(C77&gt;=Options!$B$9,C77&lt;=Options!$B$10),"Chicago","")</f>
        <v/>
      </c>
      <c r="B77" s="5">
        <f>IF(A77="","",18)</f>
        <v/>
      </c>
      <c r="C77" s="17" t="n">
        <v>46368</v>
      </c>
      <c r="D77" s="5">
        <f>IF(A77="","",IF(C77=DATE(2026,11,29),"培训；注册午餐；早餐参数",IF(C77=DATE(2026,11,30),"培训；注册午餐",IF(C77=DATE(2026,12,1),"培训；注册午餐；机构晚餐",IF(C77=Options!$B$9,"抵达；"&amp;IF(C77=DATE(2026,11,28),"机构晚餐","无统一供餐"),IF(C77=Options!$B$10,"返程；"&amp;IF(C77=DATE(2026,12,2),"机构午餐","无统一供餐"),"差旅状态；无统一日程"))))))</f>
        <v/>
      </c>
      <c r="E77" s="13">
        <f>IF(C77=Options!$B$9,Options!$C$14,0)</f>
        <v/>
      </c>
      <c r="F77" s="13">
        <f>IF(AND(A77&lt;&gt;"",C77&lt;Options!$B$10),B77*Options!$X$5,0)</f>
        <v/>
      </c>
      <c r="G77" s="13">
        <f>F77*12%</f>
        <v/>
      </c>
      <c r="H77" s="13">
        <f>IF(A77="",0,B77*(92*IF(OR(C77=Options!$B$9,C77=Options!$B$10),75%,100%)-IF(C77=DATE(2026,11,29),26+IF(Options!$B$8="是",23,0),0)-IF(C77=DATE(2026,11,30),26,0)-IF(C77=DATE(2026,12,1),64,0)-IF(C77=DATE(2026,11,28),38,0)-IF(C77=DATE(2026,12,2),26,0)))</f>
        <v/>
      </c>
      <c r="I77" s="13">
        <f>IF(AND(C77&gt;=DATE(2026,11,29),C77&lt;=DATE(2026,12,1)),B77*60,0)</f>
        <v/>
      </c>
      <c r="J77" s="13">
        <f>IF(A77="",0,B77*(IF(C77=DATE(2026,11,28),38,0)+IF(C77=DATE(2026,12,1),38,0)+IF(C77=DATE(2026,12,2),26,0)))</f>
        <v/>
      </c>
      <c r="K77" s="13">
        <f>IF(C77=Options!$B$9,B77*12,0)</f>
        <v/>
      </c>
      <c r="L77" s="13">
        <f>IF(C77=Options!$B$9,B77*Options!$Z$5,0)</f>
        <v/>
      </c>
      <c r="M77" s="13" t="n">
        <v>0</v>
      </c>
      <c r="N77" s="13">
        <f>SUM(E77:M77)</f>
        <v/>
      </c>
    </row>
    <row r="78">
      <c r="A78" s="5">
        <f>IF(AND(C78&gt;=Options!$B$9,C78&lt;=Options!$B$10),"Chicago","")</f>
        <v/>
      </c>
      <c r="B78" s="5">
        <f>IF(A78="","",18)</f>
        <v/>
      </c>
      <c r="C78" s="17" t="n">
        <v>46369</v>
      </c>
      <c r="D78" s="5">
        <f>IF(A78="","",IF(C78=DATE(2026,11,29),"培训；注册午餐；早餐参数",IF(C78=DATE(2026,11,30),"培训；注册午餐",IF(C78=DATE(2026,12,1),"培训；注册午餐；机构晚餐",IF(C78=Options!$B$9,"抵达；"&amp;IF(C78=DATE(2026,11,28),"机构晚餐","无统一供餐"),IF(C78=Options!$B$10,"返程；"&amp;IF(C78=DATE(2026,12,2),"机构午餐","无统一供餐"),"差旅状态；无统一日程"))))))</f>
        <v/>
      </c>
      <c r="E78" s="13">
        <f>IF(C78=Options!$B$9,Options!$C$14,0)</f>
        <v/>
      </c>
      <c r="F78" s="13">
        <f>IF(AND(A78&lt;&gt;"",C78&lt;Options!$B$10),B78*Options!$X$5,0)</f>
        <v/>
      </c>
      <c r="G78" s="13">
        <f>F78*12%</f>
        <v/>
      </c>
      <c r="H78" s="13">
        <f>IF(A78="",0,B78*(92*IF(OR(C78=Options!$B$9,C78=Options!$B$10),75%,100%)-IF(C78=DATE(2026,11,29),26+IF(Options!$B$8="是",23,0),0)-IF(C78=DATE(2026,11,30),26,0)-IF(C78=DATE(2026,12,1),64,0)-IF(C78=DATE(2026,11,28),38,0)-IF(C78=DATE(2026,12,2),26,0)))</f>
        <v/>
      </c>
      <c r="I78" s="13">
        <f>IF(AND(C78&gt;=DATE(2026,11,29),C78&lt;=DATE(2026,12,1)),B78*60,0)</f>
        <v/>
      </c>
      <c r="J78" s="13">
        <f>IF(A78="",0,B78*(IF(C78=DATE(2026,11,28),38,0)+IF(C78=DATE(2026,12,1),38,0)+IF(C78=DATE(2026,12,2),26,0)))</f>
        <v/>
      </c>
      <c r="K78" s="13">
        <f>IF(C78=Options!$B$9,B78*12,0)</f>
        <v/>
      </c>
      <c r="L78" s="13">
        <f>IF(C78=Options!$B$9,B78*Options!$Z$5,0)</f>
        <v/>
      </c>
      <c r="M78" s="13" t="n">
        <v>0</v>
      </c>
      <c r="N78" s="13">
        <f>SUM(E78:M78)</f>
        <v/>
      </c>
    </row>
    <row r="79">
      <c r="A79" s="5">
        <f>IF(AND(C79&gt;=Options!$B$9,C79&lt;=Options!$B$10),"Chicago","")</f>
        <v/>
      </c>
      <c r="B79" s="5">
        <f>IF(A79="","",18)</f>
        <v/>
      </c>
      <c r="C79" s="17" t="n">
        <v>46370</v>
      </c>
      <c r="D79" s="5">
        <f>IF(A79="","",IF(C79=DATE(2026,11,29),"培训；注册午餐；早餐参数",IF(C79=DATE(2026,11,30),"培训；注册午餐",IF(C79=DATE(2026,12,1),"培训；注册午餐；机构晚餐",IF(C79=Options!$B$9,"抵达；"&amp;IF(C79=DATE(2026,11,28),"机构晚餐","无统一供餐"),IF(C79=Options!$B$10,"返程；"&amp;IF(C79=DATE(2026,12,2),"机构午餐","无统一供餐"),"差旅状态；无统一日程"))))))</f>
        <v/>
      </c>
      <c r="E79" s="13">
        <f>IF(C79=Options!$B$9,Options!$C$14,0)</f>
        <v/>
      </c>
      <c r="F79" s="13">
        <f>IF(AND(A79&lt;&gt;"",C79&lt;Options!$B$10),B79*Options!$X$5,0)</f>
        <v/>
      </c>
      <c r="G79" s="13">
        <f>F79*12%</f>
        <v/>
      </c>
      <c r="H79" s="13">
        <f>IF(A79="",0,B79*(92*IF(OR(C79=Options!$B$9,C79=Options!$B$10),75%,100%)-IF(C79=DATE(2026,11,29),26+IF(Options!$B$8="是",23,0),0)-IF(C79=DATE(2026,11,30),26,0)-IF(C79=DATE(2026,12,1),64,0)-IF(C79=DATE(2026,11,28),38,0)-IF(C79=DATE(2026,12,2),26,0)))</f>
        <v/>
      </c>
      <c r="I79" s="13">
        <f>IF(AND(C79&gt;=DATE(2026,11,29),C79&lt;=DATE(2026,12,1)),B79*60,0)</f>
        <v/>
      </c>
      <c r="J79" s="13">
        <f>IF(A79="",0,B79*(IF(C79=DATE(2026,11,28),38,0)+IF(C79=DATE(2026,12,1),38,0)+IF(C79=DATE(2026,12,2),26,0)))</f>
        <v/>
      </c>
      <c r="K79" s="13">
        <f>IF(C79=Options!$B$9,B79*12,0)</f>
        <v/>
      </c>
      <c r="L79" s="13">
        <f>IF(C79=Options!$B$9,B79*Options!$Z$5,0)</f>
        <v/>
      </c>
      <c r="M79" s="13" t="n">
        <v>0</v>
      </c>
      <c r="N79" s="13">
        <f>SUM(E79:M79)</f>
        <v/>
      </c>
    </row>
    <row r="80">
      <c r="A80" s="5">
        <f>IF(AND(C80&gt;=Options!$B$9,C80&lt;=Options!$B$10),"Chicago","")</f>
        <v/>
      </c>
      <c r="B80" s="5">
        <f>IF(A80="","",18)</f>
        <v/>
      </c>
      <c r="C80" s="17" t="n">
        <v>46371</v>
      </c>
      <c r="D80" s="5">
        <f>IF(A80="","",IF(C80=DATE(2026,11,29),"培训；注册午餐；早餐参数",IF(C80=DATE(2026,11,30),"培训；注册午餐",IF(C80=DATE(2026,12,1),"培训；注册午餐；机构晚餐",IF(C80=Options!$B$9,"抵达；"&amp;IF(C80=DATE(2026,11,28),"机构晚餐","无统一供餐"),IF(C80=Options!$B$10,"返程；"&amp;IF(C80=DATE(2026,12,2),"机构午餐","无统一供餐"),"差旅状态；无统一日程"))))))</f>
        <v/>
      </c>
      <c r="E80" s="13">
        <f>IF(C80=Options!$B$9,Options!$C$14,0)</f>
        <v/>
      </c>
      <c r="F80" s="13">
        <f>IF(AND(A80&lt;&gt;"",C80&lt;Options!$B$10),B80*Options!$X$5,0)</f>
        <v/>
      </c>
      <c r="G80" s="13">
        <f>F80*12%</f>
        <v/>
      </c>
      <c r="H80" s="13">
        <f>IF(A80="",0,B80*(92*IF(OR(C80=Options!$B$9,C80=Options!$B$10),75%,100%)-IF(C80=DATE(2026,11,29),26+IF(Options!$B$8="是",23,0),0)-IF(C80=DATE(2026,11,30),26,0)-IF(C80=DATE(2026,12,1),64,0)-IF(C80=DATE(2026,11,28),38,0)-IF(C80=DATE(2026,12,2),26,0)))</f>
        <v/>
      </c>
      <c r="I80" s="13">
        <f>IF(AND(C80&gt;=DATE(2026,11,29),C80&lt;=DATE(2026,12,1)),B80*60,0)</f>
        <v/>
      </c>
      <c r="J80" s="13">
        <f>IF(A80="",0,B80*(IF(C80=DATE(2026,11,28),38,0)+IF(C80=DATE(2026,12,1),38,0)+IF(C80=DATE(2026,12,2),26,0)))</f>
        <v/>
      </c>
      <c r="K80" s="13">
        <f>IF(C80=Options!$B$9,B80*12,0)</f>
        <v/>
      </c>
      <c r="L80" s="13">
        <f>IF(C80=Options!$B$9,B80*Options!$Z$5,0)</f>
        <v/>
      </c>
      <c r="M80" s="13" t="n">
        <v>0</v>
      </c>
      <c r="N80" s="13">
        <f>SUM(E80:M80)</f>
        <v/>
      </c>
    </row>
    <row r="81">
      <c r="A81" s="5">
        <f>IF(AND(C81&gt;=Options!$B$9,C81&lt;=Options!$B$10),"Chicago","")</f>
        <v/>
      </c>
      <c r="B81" s="5">
        <f>IF(A81="","",18)</f>
        <v/>
      </c>
      <c r="C81" s="17" t="n">
        <v>46372</v>
      </c>
      <c r="D81" s="5">
        <f>IF(A81="","",IF(C81=DATE(2026,11,29),"培训；注册午餐；早餐参数",IF(C81=DATE(2026,11,30),"培训；注册午餐",IF(C81=DATE(2026,12,1),"培训；注册午餐；机构晚餐",IF(C81=Options!$B$9,"抵达；"&amp;IF(C81=DATE(2026,11,28),"机构晚餐","无统一供餐"),IF(C81=Options!$B$10,"返程；"&amp;IF(C81=DATE(2026,12,2),"机构午餐","无统一供餐"),"差旅状态；无统一日程"))))))</f>
        <v/>
      </c>
      <c r="E81" s="13">
        <f>IF(C81=Options!$B$9,Options!$C$14,0)</f>
        <v/>
      </c>
      <c r="F81" s="13">
        <f>IF(AND(A81&lt;&gt;"",C81&lt;Options!$B$10),B81*Options!$X$5,0)</f>
        <v/>
      </c>
      <c r="G81" s="13">
        <f>F81*12%</f>
        <v/>
      </c>
      <c r="H81" s="13">
        <f>IF(A81="",0,B81*(92*IF(OR(C81=Options!$B$9,C81=Options!$B$10),75%,100%)-IF(C81=DATE(2026,11,29),26+IF(Options!$B$8="是",23,0),0)-IF(C81=DATE(2026,11,30),26,0)-IF(C81=DATE(2026,12,1),64,0)-IF(C81=DATE(2026,11,28),38,0)-IF(C81=DATE(2026,12,2),26,0)))</f>
        <v/>
      </c>
      <c r="I81" s="13">
        <f>IF(AND(C81&gt;=DATE(2026,11,29),C81&lt;=DATE(2026,12,1)),B81*60,0)</f>
        <v/>
      </c>
      <c r="J81" s="13">
        <f>IF(A81="",0,B81*(IF(C81=DATE(2026,11,28),38,0)+IF(C81=DATE(2026,12,1),38,0)+IF(C81=DATE(2026,12,2),26,0)))</f>
        <v/>
      </c>
      <c r="K81" s="13">
        <f>IF(C81=Options!$B$9,B81*12,0)</f>
        <v/>
      </c>
      <c r="L81" s="13">
        <f>IF(C81=Options!$B$9,B81*Options!$Z$5,0)</f>
        <v/>
      </c>
      <c r="M81" s="13" t="n">
        <v>0</v>
      </c>
      <c r="N81" s="13">
        <f>SUM(E81:M81)</f>
        <v/>
      </c>
    </row>
    <row r="82">
      <c r="A82" s="5">
        <f>IF(AND(C82&gt;=Options!$B$9,C82&lt;=Options!$B$10),"Chicago","")</f>
        <v/>
      </c>
      <c r="B82" s="5">
        <f>IF(A82="","",18)</f>
        <v/>
      </c>
      <c r="C82" s="17" t="n">
        <v>46373</v>
      </c>
      <c r="D82" s="5">
        <f>IF(A82="","",IF(C82=DATE(2026,11,29),"培训；注册午餐；早餐参数",IF(C82=DATE(2026,11,30),"培训；注册午餐",IF(C82=DATE(2026,12,1),"培训；注册午餐；机构晚餐",IF(C82=Options!$B$9,"抵达；"&amp;IF(C82=DATE(2026,11,28),"机构晚餐","无统一供餐"),IF(C82=Options!$B$10,"返程；"&amp;IF(C82=DATE(2026,12,2),"机构午餐","无统一供餐"),"差旅状态；无统一日程"))))))</f>
        <v/>
      </c>
      <c r="E82" s="13">
        <f>IF(C82=Options!$B$9,Options!$C$14,0)</f>
        <v/>
      </c>
      <c r="F82" s="13">
        <f>IF(AND(A82&lt;&gt;"",C82&lt;Options!$B$10),B82*Options!$X$5,0)</f>
        <v/>
      </c>
      <c r="G82" s="13">
        <f>F82*12%</f>
        <v/>
      </c>
      <c r="H82" s="13">
        <f>IF(A82="",0,B82*(92*IF(OR(C82=Options!$B$9,C82=Options!$B$10),75%,100%)-IF(C82=DATE(2026,11,29),26+IF(Options!$B$8="是",23,0),0)-IF(C82=DATE(2026,11,30),26,0)-IF(C82=DATE(2026,12,1),64,0)-IF(C82=DATE(2026,11,28),38,0)-IF(C82=DATE(2026,12,2),26,0)))</f>
        <v/>
      </c>
      <c r="I82" s="13">
        <f>IF(AND(C82&gt;=DATE(2026,11,29),C82&lt;=DATE(2026,12,1)),B82*60,0)</f>
        <v/>
      </c>
      <c r="J82" s="13">
        <f>IF(A82="",0,B82*(IF(C82=DATE(2026,11,28),38,0)+IF(C82=DATE(2026,12,1),38,0)+IF(C82=DATE(2026,12,2),26,0)))</f>
        <v/>
      </c>
      <c r="K82" s="13">
        <f>IF(C82=Options!$B$9,B82*12,0)</f>
        <v/>
      </c>
      <c r="L82" s="13">
        <f>IF(C82=Options!$B$9,B82*Options!$Z$5,0)</f>
        <v/>
      </c>
      <c r="M82" s="13" t="n">
        <v>0</v>
      </c>
      <c r="N82" s="13">
        <f>SUM(E82:M82)</f>
        <v/>
      </c>
    </row>
    <row r="83">
      <c r="A83" s="5">
        <f>IF(AND(C83&gt;=Options!$B$9,C83&lt;=Options!$B$10),"Chicago","")</f>
        <v/>
      </c>
      <c r="B83" s="5">
        <f>IF(A83="","",18)</f>
        <v/>
      </c>
      <c r="C83" s="17" t="n">
        <v>46374</v>
      </c>
      <c r="D83" s="5">
        <f>IF(A83="","",IF(C83=DATE(2026,11,29),"培训；注册午餐；早餐参数",IF(C83=DATE(2026,11,30),"培训；注册午餐",IF(C83=DATE(2026,12,1),"培训；注册午餐；机构晚餐",IF(C83=Options!$B$9,"抵达；"&amp;IF(C83=DATE(2026,11,28),"机构晚餐","无统一供餐"),IF(C83=Options!$B$10,"返程；"&amp;IF(C83=DATE(2026,12,2),"机构午餐","无统一供餐"),"差旅状态；无统一日程"))))))</f>
        <v/>
      </c>
      <c r="E83" s="13">
        <f>IF(C83=Options!$B$9,Options!$C$14,0)</f>
        <v/>
      </c>
      <c r="F83" s="13">
        <f>IF(AND(A83&lt;&gt;"",C83&lt;Options!$B$10),B83*Options!$X$5,0)</f>
        <v/>
      </c>
      <c r="G83" s="13">
        <f>F83*12%</f>
        <v/>
      </c>
      <c r="H83" s="13">
        <f>IF(A83="",0,B83*(92*IF(OR(C83=Options!$B$9,C83=Options!$B$10),75%,100%)-IF(C83=DATE(2026,11,29),26+IF(Options!$B$8="是",23,0),0)-IF(C83=DATE(2026,11,30),26,0)-IF(C83=DATE(2026,12,1),64,0)-IF(C83=DATE(2026,11,28),38,0)-IF(C83=DATE(2026,12,2),26,0)))</f>
        <v/>
      </c>
      <c r="I83" s="13">
        <f>IF(AND(C83&gt;=DATE(2026,11,29),C83&lt;=DATE(2026,12,1)),B83*60,0)</f>
        <v/>
      </c>
      <c r="J83" s="13">
        <f>IF(A83="",0,B83*(IF(C83=DATE(2026,11,28),38,0)+IF(C83=DATE(2026,12,1),38,0)+IF(C83=DATE(2026,12,2),26,0)))</f>
        <v/>
      </c>
      <c r="K83" s="13">
        <f>IF(C83=Options!$B$9,B83*12,0)</f>
        <v/>
      </c>
      <c r="L83" s="13">
        <f>IF(C83=Options!$B$9,B83*Options!$Z$5,0)</f>
        <v/>
      </c>
      <c r="M83" s="13" t="n">
        <v>0</v>
      </c>
      <c r="N83" s="13">
        <f>SUM(E83:M83)</f>
        <v/>
      </c>
    </row>
    <row r="84">
      <c r="A84" s="5">
        <f>IF(AND(C84&gt;=Options!$B$9,C84&lt;=Options!$B$10),"Chicago","")</f>
        <v/>
      </c>
      <c r="B84" s="5">
        <f>IF(A84="","",18)</f>
        <v/>
      </c>
      <c r="C84" s="17" t="n">
        <v>46375</v>
      </c>
      <c r="D84" s="5">
        <f>IF(A84="","",IF(C84=DATE(2026,11,29),"培训；注册午餐；早餐参数",IF(C84=DATE(2026,11,30),"培训；注册午餐",IF(C84=DATE(2026,12,1),"培训；注册午餐；机构晚餐",IF(C84=Options!$B$9,"抵达；"&amp;IF(C84=DATE(2026,11,28),"机构晚餐","无统一供餐"),IF(C84=Options!$B$10,"返程；"&amp;IF(C84=DATE(2026,12,2),"机构午餐","无统一供餐"),"差旅状态；无统一日程"))))))</f>
        <v/>
      </c>
      <c r="E84" s="13">
        <f>IF(C84=Options!$B$9,Options!$C$14,0)</f>
        <v/>
      </c>
      <c r="F84" s="13">
        <f>IF(AND(A84&lt;&gt;"",C84&lt;Options!$B$10),B84*Options!$X$5,0)</f>
        <v/>
      </c>
      <c r="G84" s="13">
        <f>F84*12%</f>
        <v/>
      </c>
      <c r="H84" s="13">
        <f>IF(A84="",0,B84*(92*IF(OR(C84=Options!$B$9,C84=Options!$B$10),75%,100%)-IF(C84=DATE(2026,11,29),26+IF(Options!$B$8="是",23,0),0)-IF(C84=DATE(2026,11,30),26,0)-IF(C84=DATE(2026,12,1),64,0)-IF(C84=DATE(2026,11,28),38,0)-IF(C84=DATE(2026,12,2),26,0)))</f>
        <v/>
      </c>
      <c r="I84" s="13">
        <f>IF(AND(C84&gt;=DATE(2026,11,29),C84&lt;=DATE(2026,12,1)),B84*60,0)</f>
        <v/>
      </c>
      <c r="J84" s="13">
        <f>IF(A84="",0,B84*(IF(C84=DATE(2026,11,28),38,0)+IF(C84=DATE(2026,12,1),38,0)+IF(C84=DATE(2026,12,2),26,0)))</f>
        <v/>
      </c>
      <c r="K84" s="13">
        <f>IF(C84=Options!$B$9,B84*12,0)</f>
        <v/>
      </c>
      <c r="L84" s="13">
        <f>IF(C84=Options!$B$9,B84*Options!$Z$5,0)</f>
        <v/>
      </c>
      <c r="M84" s="13" t="n">
        <v>0</v>
      </c>
      <c r="N84" s="13">
        <f>SUM(E84:M84)</f>
        <v/>
      </c>
    </row>
    <row r="85">
      <c r="A85" s="5">
        <f>IF(AND(C85&gt;=Options!$B$9,C85&lt;=Options!$B$10),"Chicago","")</f>
        <v/>
      </c>
      <c r="B85" s="5">
        <f>IF(A85="","",18)</f>
        <v/>
      </c>
      <c r="C85" s="17" t="n">
        <v>46376</v>
      </c>
      <c r="D85" s="5">
        <f>IF(A85="","",IF(C85=DATE(2026,11,29),"培训；注册午餐；早餐参数",IF(C85=DATE(2026,11,30),"培训；注册午餐",IF(C85=DATE(2026,12,1),"培训；注册午餐；机构晚餐",IF(C85=Options!$B$9,"抵达；"&amp;IF(C85=DATE(2026,11,28),"机构晚餐","无统一供餐"),IF(C85=Options!$B$10,"返程；"&amp;IF(C85=DATE(2026,12,2),"机构午餐","无统一供餐"),"差旅状态；无统一日程"))))))</f>
        <v/>
      </c>
      <c r="E85" s="13">
        <f>IF(C85=Options!$B$9,Options!$C$14,0)</f>
        <v/>
      </c>
      <c r="F85" s="13">
        <f>IF(AND(A85&lt;&gt;"",C85&lt;Options!$B$10),B85*Options!$X$5,0)</f>
        <v/>
      </c>
      <c r="G85" s="13">
        <f>F85*12%</f>
        <v/>
      </c>
      <c r="H85" s="13">
        <f>IF(A85="",0,B85*(92*IF(OR(C85=Options!$B$9,C85=Options!$B$10),75%,100%)-IF(C85=DATE(2026,11,29),26+IF(Options!$B$8="是",23,0),0)-IF(C85=DATE(2026,11,30),26,0)-IF(C85=DATE(2026,12,1),64,0)-IF(C85=DATE(2026,11,28),38,0)-IF(C85=DATE(2026,12,2),26,0)))</f>
        <v/>
      </c>
      <c r="I85" s="13">
        <f>IF(AND(C85&gt;=DATE(2026,11,29),C85&lt;=DATE(2026,12,1)),B85*60,0)</f>
        <v/>
      </c>
      <c r="J85" s="13">
        <f>IF(A85="",0,B85*(IF(C85=DATE(2026,11,28),38,0)+IF(C85=DATE(2026,12,1),38,0)+IF(C85=DATE(2026,12,2),26,0)))</f>
        <v/>
      </c>
      <c r="K85" s="13">
        <f>IF(C85=Options!$B$9,B85*12,0)</f>
        <v/>
      </c>
      <c r="L85" s="13">
        <f>IF(C85=Options!$B$9,B85*Options!$Z$5,0)</f>
        <v/>
      </c>
      <c r="M85" s="13" t="n">
        <v>0</v>
      </c>
      <c r="N85" s="13">
        <f>SUM(E85:M85)</f>
        <v/>
      </c>
    </row>
    <row r="86">
      <c r="A86" s="5">
        <f>IF(AND(C86&gt;=Options!$B$9,C86&lt;=Options!$B$10),"Chicago","")</f>
        <v/>
      </c>
      <c r="B86" s="5">
        <f>IF(A86="","",18)</f>
        <v/>
      </c>
      <c r="C86" s="17" t="n">
        <v>46377</v>
      </c>
      <c r="D86" s="5">
        <f>IF(A86="","",IF(C86=DATE(2026,11,29),"培训；注册午餐；早餐参数",IF(C86=DATE(2026,11,30),"培训；注册午餐",IF(C86=DATE(2026,12,1),"培训；注册午餐；机构晚餐",IF(C86=Options!$B$9,"抵达；"&amp;IF(C86=DATE(2026,11,28),"机构晚餐","无统一供餐"),IF(C86=Options!$B$10,"返程；"&amp;IF(C86=DATE(2026,12,2),"机构午餐","无统一供餐"),"差旅状态；无统一日程"))))))</f>
        <v/>
      </c>
      <c r="E86" s="13">
        <f>IF(C86=Options!$B$9,Options!$C$14,0)</f>
        <v/>
      </c>
      <c r="F86" s="13">
        <f>IF(AND(A86&lt;&gt;"",C86&lt;Options!$B$10),B86*Options!$X$5,0)</f>
        <v/>
      </c>
      <c r="G86" s="13">
        <f>F86*12%</f>
        <v/>
      </c>
      <c r="H86" s="13">
        <f>IF(A86="",0,B86*(92*IF(OR(C86=Options!$B$9,C86=Options!$B$10),75%,100%)-IF(C86=DATE(2026,11,29),26+IF(Options!$B$8="是",23,0),0)-IF(C86=DATE(2026,11,30),26,0)-IF(C86=DATE(2026,12,1),64,0)-IF(C86=DATE(2026,11,28),38,0)-IF(C86=DATE(2026,12,2),26,0)))</f>
        <v/>
      </c>
      <c r="I86" s="13">
        <f>IF(AND(C86&gt;=DATE(2026,11,29),C86&lt;=DATE(2026,12,1)),B86*60,0)</f>
        <v/>
      </c>
      <c r="J86" s="13">
        <f>IF(A86="",0,B86*(IF(C86=DATE(2026,11,28),38,0)+IF(C86=DATE(2026,12,1),38,0)+IF(C86=DATE(2026,12,2),26,0)))</f>
        <v/>
      </c>
      <c r="K86" s="13">
        <f>IF(C86=Options!$B$9,B86*12,0)</f>
        <v/>
      </c>
      <c r="L86" s="13">
        <f>IF(C86=Options!$B$9,B86*Options!$Z$5,0)</f>
        <v/>
      </c>
      <c r="M86" s="13" t="n">
        <v>0</v>
      </c>
      <c r="N86" s="13">
        <f>SUM(E86:M86)</f>
        <v/>
      </c>
    </row>
    <row r="87">
      <c r="A87" s="5">
        <f>IF(AND(C87&gt;=Options!$B$9,C87&lt;=Options!$B$10),"Chicago","")</f>
        <v/>
      </c>
      <c r="B87" s="5">
        <f>IF(A87="","",18)</f>
        <v/>
      </c>
      <c r="C87" s="17" t="n">
        <v>46378</v>
      </c>
      <c r="D87" s="5">
        <f>IF(A87="","",IF(C87=DATE(2026,11,29),"培训；注册午餐；早餐参数",IF(C87=DATE(2026,11,30),"培训；注册午餐",IF(C87=DATE(2026,12,1),"培训；注册午餐；机构晚餐",IF(C87=Options!$B$9,"抵达；"&amp;IF(C87=DATE(2026,11,28),"机构晚餐","无统一供餐"),IF(C87=Options!$B$10,"返程；"&amp;IF(C87=DATE(2026,12,2),"机构午餐","无统一供餐"),"差旅状态；无统一日程"))))))</f>
        <v/>
      </c>
      <c r="E87" s="13">
        <f>IF(C87=Options!$B$9,Options!$C$14,0)</f>
        <v/>
      </c>
      <c r="F87" s="13">
        <f>IF(AND(A87&lt;&gt;"",C87&lt;Options!$B$10),B87*Options!$X$5,0)</f>
        <v/>
      </c>
      <c r="G87" s="13">
        <f>F87*12%</f>
        <v/>
      </c>
      <c r="H87" s="13">
        <f>IF(A87="",0,B87*(92*IF(OR(C87=Options!$B$9,C87=Options!$B$10),75%,100%)-IF(C87=DATE(2026,11,29),26+IF(Options!$B$8="是",23,0),0)-IF(C87=DATE(2026,11,30),26,0)-IF(C87=DATE(2026,12,1),64,0)-IF(C87=DATE(2026,11,28),38,0)-IF(C87=DATE(2026,12,2),26,0)))</f>
        <v/>
      </c>
      <c r="I87" s="13">
        <f>IF(AND(C87&gt;=DATE(2026,11,29),C87&lt;=DATE(2026,12,1)),B87*60,0)</f>
        <v/>
      </c>
      <c r="J87" s="13">
        <f>IF(A87="",0,B87*(IF(C87=DATE(2026,11,28),38,0)+IF(C87=DATE(2026,12,1),38,0)+IF(C87=DATE(2026,12,2),26,0)))</f>
        <v/>
      </c>
      <c r="K87" s="13">
        <f>IF(C87=Options!$B$9,B87*12,0)</f>
        <v/>
      </c>
      <c r="L87" s="13">
        <f>IF(C87=Options!$B$9,B87*Options!$Z$5,0)</f>
        <v/>
      </c>
      <c r="M87" s="13" t="n">
        <v>0</v>
      </c>
      <c r="N87" s="13">
        <f>SUM(E87:M87)</f>
        <v/>
      </c>
    </row>
    <row r="88">
      <c r="A88" s="5">
        <f>IF(AND(C88&gt;=Options!$B$9,C88&lt;=Options!$B$10),"Chicago","")</f>
        <v/>
      </c>
      <c r="B88" s="5">
        <f>IF(A88="","",18)</f>
        <v/>
      </c>
      <c r="C88" s="17" t="n">
        <v>46379</v>
      </c>
      <c r="D88" s="5">
        <f>IF(A88="","",IF(C88=DATE(2026,11,29),"培训；注册午餐；早餐参数",IF(C88=DATE(2026,11,30),"培训；注册午餐",IF(C88=DATE(2026,12,1),"培训；注册午餐；机构晚餐",IF(C88=Options!$B$9,"抵达；"&amp;IF(C88=DATE(2026,11,28),"机构晚餐","无统一供餐"),IF(C88=Options!$B$10,"返程；"&amp;IF(C88=DATE(2026,12,2),"机构午餐","无统一供餐"),"差旅状态；无统一日程"))))))</f>
        <v/>
      </c>
      <c r="E88" s="13">
        <f>IF(C88=Options!$B$9,Options!$C$14,0)</f>
        <v/>
      </c>
      <c r="F88" s="13">
        <f>IF(AND(A88&lt;&gt;"",C88&lt;Options!$B$10),B88*Options!$X$5,0)</f>
        <v/>
      </c>
      <c r="G88" s="13">
        <f>F88*12%</f>
        <v/>
      </c>
      <c r="H88" s="13">
        <f>IF(A88="",0,B88*(92*IF(OR(C88=Options!$B$9,C88=Options!$B$10),75%,100%)-IF(C88=DATE(2026,11,29),26+IF(Options!$B$8="是",23,0),0)-IF(C88=DATE(2026,11,30),26,0)-IF(C88=DATE(2026,12,1),64,0)-IF(C88=DATE(2026,11,28),38,0)-IF(C88=DATE(2026,12,2),26,0)))</f>
        <v/>
      </c>
      <c r="I88" s="13">
        <f>IF(AND(C88&gt;=DATE(2026,11,29),C88&lt;=DATE(2026,12,1)),B88*60,0)</f>
        <v/>
      </c>
      <c r="J88" s="13">
        <f>IF(A88="",0,B88*(IF(C88=DATE(2026,11,28),38,0)+IF(C88=DATE(2026,12,1),38,0)+IF(C88=DATE(2026,12,2),26,0)))</f>
        <v/>
      </c>
      <c r="K88" s="13">
        <f>IF(C88=Options!$B$9,B88*12,0)</f>
        <v/>
      </c>
      <c r="L88" s="13">
        <f>IF(C88=Options!$B$9,B88*Options!$Z$5,0)</f>
        <v/>
      </c>
      <c r="M88" s="13" t="n">
        <v>0</v>
      </c>
      <c r="N88" s="13">
        <f>SUM(E88:M88)</f>
        <v/>
      </c>
    </row>
    <row r="89">
      <c r="A89" s="5">
        <f>IF(AND(C89&gt;=Options!$B$9,C89&lt;=Options!$B$10),"Chicago","")</f>
        <v/>
      </c>
      <c r="B89" s="5">
        <f>IF(A89="","",18)</f>
        <v/>
      </c>
      <c r="C89" s="17" t="n">
        <v>46380</v>
      </c>
      <c r="D89" s="5">
        <f>IF(A89="","",IF(C89=DATE(2026,11,29),"培训；注册午餐；早餐参数",IF(C89=DATE(2026,11,30),"培训；注册午餐",IF(C89=DATE(2026,12,1),"培训；注册午餐；机构晚餐",IF(C89=Options!$B$9,"抵达；"&amp;IF(C89=DATE(2026,11,28),"机构晚餐","无统一供餐"),IF(C89=Options!$B$10,"返程；"&amp;IF(C89=DATE(2026,12,2),"机构午餐","无统一供餐"),"差旅状态；无统一日程"))))))</f>
        <v/>
      </c>
      <c r="E89" s="13">
        <f>IF(C89=Options!$B$9,Options!$C$14,0)</f>
        <v/>
      </c>
      <c r="F89" s="13">
        <f>IF(AND(A89&lt;&gt;"",C89&lt;Options!$B$10),B89*Options!$X$5,0)</f>
        <v/>
      </c>
      <c r="G89" s="13">
        <f>F89*12%</f>
        <v/>
      </c>
      <c r="H89" s="13">
        <f>IF(A89="",0,B89*(92*IF(OR(C89=Options!$B$9,C89=Options!$B$10),75%,100%)-IF(C89=DATE(2026,11,29),26+IF(Options!$B$8="是",23,0),0)-IF(C89=DATE(2026,11,30),26,0)-IF(C89=DATE(2026,12,1),64,0)-IF(C89=DATE(2026,11,28),38,0)-IF(C89=DATE(2026,12,2),26,0)))</f>
        <v/>
      </c>
      <c r="I89" s="13">
        <f>IF(AND(C89&gt;=DATE(2026,11,29),C89&lt;=DATE(2026,12,1)),B89*60,0)</f>
        <v/>
      </c>
      <c r="J89" s="13">
        <f>IF(A89="",0,B89*(IF(C89=DATE(2026,11,28),38,0)+IF(C89=DATE(2026,12,1),38,0)+IF(C89=DATE(2026,12,2),26,0)))</f>
        <v/>
      </c>
      <c r="K89" s="13">
        <f>IF(C89=Options!$B$9,B89*12,0)</f>
        <v/>
      </c>
      <c r="L89" s="13">
        <f>IF(C89=Options!$B$9,B89*Options!$Z$5,0)</f>
        <v/>
      </c>
      <c r="M89" s="13" t="n">
        <v>0</v>
      </c>
      <c r="N89" s="13">
        <f>SUM(E89:M89)</f>
        <v/>
      </c>
    </row>
    <row r="90">
      <c r="A90" s="5">
        <f>IF(AND(C90&gt;=Options!$B$9,C90&lt;=Options!$B$10),"Chicago","")</f>
        <v/>
      </c>
      <c r="B90" s="5">
        <f>IF(A90="","",18)</f>
        <v/>
      </c>
      <c r="C90" s="17" t="n">
        <v>46381</v>
      </c>
      <c r="D90" s="5">
        <f>IF(A90="","",IF(C90=DATE(2026,11,29),"培训；注册午餐；早餐参数",IF(C90=DATE(2026,11,30),"培训；注册午餐",IF(C90=DATE(2026,12,1),"培训；注册午餐；机构晚餐",IF(C90=Options!$B$9,"抵达；"&amp;IF(C90=DATE(2026,11,28),"机构晚餐","无统一供餐"),IF(C90=Options!$B$10,"返程；"&amp;IF(C90=DATE(2026,12,2),"机构午餐","无统一供餐"),"差旅状态；无统一日程"))))))</f>
        <v/>
      </c>
      <c r="E90" s="13">
        <f>IF(C90=Options!$B$9,Options!$C$14,0)</f>
        <v/>
      </c>
      <c r="F90" s="13">
        <f>IF(AND(A90&lt;&gt;"",C90&lt;Options!$B$10),B90*Options!$X$5,0)</f>
        <v/>
      </c>
      <c r="G90" s="13">
        <f>F90*12%</f>
        <v/>
      </c>
      <c r="H90" s="13">
        <f>IF(A90="",0,B90*(92*IF(OR(C90=Options!$B$9,C90=Options!$B$10),75%,100%)-IF(C90=DATE(2026,11,29),26+IF(Options!$B$8="是",23,0),0)-IF(C90=DATE(2026,11,30),26,0)-IF(C90=DATE(2026,12,1),64,0)-IF(C90=DATE(2026,11,28),38,0)-IF(C90=DATE(2026,12,2),26,0)))</f>
        <v/>
      </c>
      <c r="I90" s="13">
        <f>IF(AND(C90&gt;=DATE(2026,11,29),C90&lt;=DATE(2026,12,1)),B90*60,0)</f>
        <v/>
      </c>
      <c r="J90" s="13">
        <f>IF(A90="",0,B90*(IF(C90=DATE(2026,11,28),38,0)+IF(C90=DATE(2026,12,1),38,0)+IF(C90=DATE(2026,12,2),26,0)))</f>
        <v/>
      </c>
      <c r="K90" s="13">
        <f>IF(C90=Options!$B$9,B90*12,0)</f>
        <v/>
      </c>
      <c r="L90" s="13">
        <f>IF(C90=Options!$B$9,B90*Options!$Z$5,0)</f>
        <v/>
      </c>
      <c r="M90" s="13" t="n">
        <v>0</v>
      </c>
      <c r="N90" s="13">
        <f>SUM(E90:M90)</f>
        <v/>
      </c>
    </row>
    <row r="91">
      <c r="A91" s="5">
        <f>IF(AND(C91&gt;=Options!$B$9,C91&lt;=Options!$B$10),"Chicago","")</f>
        <v/>
      </c>
      <c r="B91" s="5">
        <f>IF(A91="","",18)</f>
        <v/>
      </c>
      <c r="C91" s="17" t="n">
        <v>46382</v>
      </c>
      <c r="D91" s="5">
        <f>IF(A91="","",IF(C91=DATE(2026,11,29),"培训；注册午餐；早餐参数",IF(C91=DATE(2026,11,30),"培训；注册午餐",IF(C91=DATE(2026,12,1),"培训；注册午餐；机构晚餐",IF(C91=Options!$B$9,"抵达；"&amp;IF(C91=DATE(2026,11,28),"机构晚餐","无统一供餐"),IF(C91=Options!$B$10,"返程；"&amp;IF(C91=DATE(2026,12,2),"机构午餐","无统一供餐"),"差旅状态；无统一日程"))))))</f>
        <v/>
      </c>
      <c r="E91" s="13">
        <f>IF(C91=Options!$B$9,Options!$C$14,0)</f>
        <v/>
      </c>
      <c r="F91" s="13">
        <f>IF(AND(A91&lt;&gt;"",C91&lt;Options!$B$10),B91*Options!$X$5,0)</f>
        <v/>
      </c>
      <c r="G91" s="13">
        <f>F91*12%</f>
        <v/>
      </c>
      <c r="H91" s="13">
        <f>IF(A91="",0,B91*(92*IF(OR(C91=Options!$B$9,C91=Options!$B$10),75%,100%)-IF(C91=DATE(2026,11,29),26+IF(Options!$B$8="是",23,0),0)-IF(C91=DATE(2026,11,30),26,0)-IF(C91=DATE(2026,12,1),64,0)-IF(C91=DATE(2026,11,28),38,0)-IF(C91=DATE(2026,12,2),26,0)))</f>
        <v/>
      </c>
      <c r="I91" s="13">
        <f>IF(AND(C91&gt;=DATE(2026,11,29),C91&lt;=DATE(2026,12,1)),B91*60,0)</f>
        <v/>
      </c>
      <c r="J91" s="13">
        <f>IF(A91="",0,B91*(IF(C91=DATE(2026,11,28),38,0)+IF(C91=DATE(2026,12,1),38,0)+IF(C91=DATE(2026,12,2),26,0)))</f>
        <v/>
      </c>
      <c r="K91" s="13">
        <f>IF(C91=Options!$B$9,B91*12,0)</f>
        <v/>
      </c>
      <c r="L91" s="13">
        <f>IF(C91=Options!$B$9,B91*Options!$Z$5,0)</f>
        <v/>
      </c>
      <c r="M91" s="13" t="n">
        <v>0</v>
      </c>
      <c r="N91" s="13">
        <f>SUM(E91:M91)</f>
        <v/>
      </c>
    </row>
    <row r="92">
      <c r="A92" s="5">
        <f>IF(AND(C92&gt;=Options!$B$9,C92&lt;=Options!$B$10),"Chicago","")</f>
        <v/>
      </c>
      <c r="B92" s="5">
        <f>IF(A92="","",18)</f>
        <v/>
      </c>
      <c r="C92" s="17" t="n">
        <v>46383</v>
      </c>
      <c r="D92" s="5">
        <f>IF(A92="","",IF(C92=DATE(2026,11,29),"培训；注册午餐；早餐参数",IF(C92=DATE(2026,11,30),"培训；注册午餐",IF(C92=DATE(2026,12,1),"培训；注册午餐；机构晚餐",IF(C92=Options!$B$9,"抵达；"&amp;IF(C92=DATE(2026,11,28),"机构晚餐","无统一供餐"),IF(C92=Options!$B$10,"返程；"&amp;IF(C92=DATE(2026,12,2),"机构午餐","无统一供餐"),"差旅状态；无统一日程"))))))</f>
        <v/>
      </c>
      <c r="E92" s="13">
        <f>IF(C92=Options!$B$9,Options!$C$14,0)</f>
        <v/>
      </c>
      <c r="F92" s="13">
        <f>IF(AND(A92&lt;&gt;"",C92&lt;Options!$B$10),B92*Options!$X$5,0)</f>
        <v/>
      </c>
      <c r="G92" s="13">
        <f>F92*12%</f>
        <v/>
      </c>
      <c r="H92" s="13">
        <f>IF(A92="",0,B92*(92*IF(OR(C92=Options!$B$9,C92=Options!$B$10),75%,100%)-IF(C92=DATE(2026,11,29),26+IF(Options!$B$8="是",23,0),0)-IF(C92=DATE(2026,11,30),26,0)-IF(C92=DATE(2026,12,1),64,0)-IF(C92=DATE(2026,11,28),38,0)-IF(C92=DATE(2026,12,2),26,0)))</f>
        <v/>
      </c>
      <c r="I92" s="13">
        <f>IF(AND(C92&gt;=DATE(2026,11,29),C92&lt;=DATE(2026,12,1)),B92*60,0)</f>
        <v/>
      </c>
      <c r="J92" s="13">
        <f>IF(A92="",0,B92*(IF(C92=DATE(2026,11,28),38,0)+IF(C92=DATE(2026,12,1),38,0)+IF(C92=DATE(2026,12,2),26,0)))</f>
        <v/>
      </c>
      <c r="K92" s="13">
        <f>IF(C92=Options!$B$9,B92*12,0)</f>
        <v/>
      </c>
      <c r="L92" s="13">
        <f>IF(C92=Options!$B$9,B92*Options!$Z$5,0)</f>
        <v/>
      </c>
      <c r="M92" s="13" t="n">
        <v>0</v>
      </c>
      <c r="N92" s="13">
        <f>SUM(E92:M92)</f>
        <v/>
      </c>
    </row>
    <row r="93">
      <c r="A93" s="5">
        <f>IF(AND(C93&gt;=Options!$B$9,C93&lt;=Options!$B$10),"Chicago","")</f>
        <v/>
      </c>
      <c r="B93" s="5">
        <f>IF(A93="","",18)</f>
        <v/>
      </c>
      <c r="C93" s="17" t="n">
        <v>46384</v>
      </c>
      <c r="D93" s="5">
        <f>IF(A93="","",IF(C93=DATE(2026,11,29),"培训；注册午餐；早餐参数",IF(C93=DATE(2026,11,30),"培训；注册午餐",IF(C93=DATE(2026,12,1),"培训；注册午餐；机构晚餐",IF(C93=Options!$B$9,"抵达；"&amp;IF(C93=DATE(2026,11,28),"机构晚餐","无统一供餐"),IF(C93=Options!$B$10,"返程；"&amp;IF(C93=DATE(2026,12,2),"机构午餐","无统一供餐"),"差旅状态；无统一日程"))))))</f>
        <v/>
      </c>
      <c r="E93" s="13">
        <f>IF(C93=Options!$B$9,Options!$C$14,0)</f>
        <v/>
      </c>
      <c r="F93" s="13">
        <f>IF(AND(A93&lt;&gt;"",C93&lt;Options!$B$10),B93*Options!$X$5,0)</f>
        <v/>
      </c>
      <c r="G93" s="13">
        <f>F93*12%</f>
        <v/>
      </c>
      <c r="H93" s="13">
        <f>IF(A93="",0,B93*(92*IF(OR(C93=Options!$B$9,C93=Options!$B$10),75%,100%)-IF(C93=DATE(2026,11,29),26+IF(Options!$B$8="是",23,0),0)-IF(C93=DATE(2026,11,30),26,0)-IF(C93=DATE(2026,12,1),64,0)-IF(C93=DATE(2026,11,28),38,0)-IF(C93=DATE(2026,12,2),26,0)))</f>
        <v/>
      </c>
      <c r="I93" s="13">
        <f>IF(AND(C93&gt;=DATE(2026,11,29),C93&lt;=DATE(2026,12,1)),B93*60,0)</f>
        <v/>
      </c>
      <c r="J93" s="13">
        <f>IF(A93="",0,B93*(IF(C93=DATE(2026,11,28),38,0)+IF(C93=DATE(2026,12,1),38,0)+IF(C93=DATE(2026,12,2),26,0)))</f>
        <v/>
      </c>
      <c r="K93" s="13">
        <f>IF(C93=Options!$B$9,B93*12,0)</f>
        <v/>
      </c>
      <c r="L93" s="13">
        <f>IF(C93=Options!$B$9,B93*Options!$Z$5,0)</f>
        <v/>
      </c>
      <c r="M93" s="13" t="n">
        <v>0</v>
      </c>
      <c r="N93" s="13">
        <f>SUM(E93:M93)</f>
        <v/>
      </c>
    </row>
    <row r="94">
      <c r="A94" s="5">
        <f>IF(AND(C94&gt;=Options!$B$9,C94&lt;=Options!$B$10),"Chicago","")</f>
        <v/>
      </c>
      <c r="B94" s="5">
        <f>IF(A94="","",18)</f>
        <v/>
      </c>
      <c r="C94" s="17" t="n">
        <v>46385</v>
      </c>
      <c r="D94" s="5">
        <f>IF(A94="","",IF(C94=DATE(2026,11,29),"培训；注册午餐；早餐参数",IF(C94=DATE(2026,11,30),"培训；注册午餐",IF(C94=DATE(2026,12,1),"培训；注册午餐；机构晚餐",IF(C94=Options!$B$9,"抵达；"&amp;IF(C94=DATE(2026,11,28),"机构晚餐","无统一供餐"),IF(C94=Options!$B$10,"返程；"&amp;IF(C94=DATE(2026,12,2),"机构午餐","无统一供餐"),"差旅状态；无统一日程"))))))</f>
        <v/>
      </c>
      <c r="E94" s="13">
        <f>IF(C94=Options!$B$9,Options!$C$14,0)</f>
        <v/>
      </c>
      <c r="F94" s="13">
        <f>IF(AND(A94&lt;&gt;"",C94&lt;Options!$B$10),B94*Options!$X$5,0)</f>
        <v/>
      </c>
      <c r="G94" s="13">
        <f>F94*12%</f>
        <v/>
      </c>
      <c r="H94" s="13">
        <f>IF(A94="",0,B94*(92*IF(OR(C94=Options!$B$9,C94=Options!$B$10),75%,100%)-IF(C94=DATE(2026,11,29),26+IF(Options!$B$8="是",23,0),0)-IF(C94=DATE(2026,11,30),26,0)-IF(C94=DATE(2026,12,1),64,0)-IF(C94=DATE(2026,11,28),38,0)-IF(C94=DATE(2026,12,2),26,0)))</f>
        <v/>
      </c>
      <c r="I94" s="13">
        <f>IF(AND(C94&gt;=DATE(2026,11,29),C94&lt;=DATE(2026,12,1)),B94*60,0)</f>
        <v/>
      </c>
      <c r="J94" s="13">
        <f>IF(A94="",0,B94*(IF(C94=DATE(2026,11,28),38,0)+IF(C94=DATE(2026,12,1),38,0)+IF(C94=DATE(2026,12,2),26,0)))</f>
        <v/>
      </c>
      <c r="K94" s="13">
        <f>IF(C94=Options!$B$9,B94*12,0)</f>
        <v/>
      </c>
      <c r="L94" s="13">
        <f>IF(C94=Options!$B$9,B94*Options!$Z$5,0)</f>
        <v/>
      </c>
      <c r="M94" s="13" t="n">
        <v>0</v>
      </c>
      <c r="N94" s="13">
        <f>SUM(E94:M94)</f>
        <v/>
      </c>
    </row>
    <row r="95">
      <c r="A95" s="5">
        <f>IF(AND(C95&gt;=Options!$B$9,C95&lt;=Options!$B$10),"Chicago","")</f>
        <v/>
      </c>
      <c r="B95" s="5">
        <f>IF(A95="","",18)</f>
        <v/>
      </c>
      <c r="C95" s="17" t="n">
        <v>46386</v>
      </c>
      <c r="D95" s="5">
        <f>IF(A95="","",IF(C95=DATE(2026,11,29),"培训；注册午餐；早餐参数",IF(C95=DATE(2026,11,30),"培训；注册午餐",IF(C95=DATE(2026,12,1),"培训；注册午餐；机构晚餐",IF(C95=Options!$B$9,"抵达；"&amp;IF(C95=DATE(2026,11,28),"机构晚餐","无统一供餐"),IF(C95=Options!$B$10,"返程；"&amp;IF(C95=DATE(2026,12,2),"机构午餐","无统一供餐"),"差旅状态；无统一日程"))))))</f>
        <v/>
      </c>
      <c r="E95" s="13">
        <f>IF(C95=Options!$B$9,Options!$C$14,0)</f>
        <v/>
      </c>
      <c r="F95" s="13">
        <f>IF(AND(A95&lt;&gt;"",C95&lt;Options!$B$10),B95*Options!$X$5,0)</f>
        <v/>
      </c>
      <c r="G95" s="13">
        <f>F95*12%</f>
        <v/>
      </c>
      <c r="H95" s="13">
        <f>IF(A95="",0,B95*(92*IF(OR(C95=Options!$B$9,C95=Options!$B$10),75%,100%)-IF(C95=DATE(2026,11,29),26+IF(Options!$B$8="是",23,0),0)-IF(C95=DATE(2026,11,30),26,0)-IF(C95=DATE(2026,12,1),64,0)-IF(C95=DATE(2026,11,28),38,0)-IF(C95=DATE(2026,12,2),26,0)))</f>
        <v/>
      </c>
      <c r="I95" s="13">
        <f>IF(AND(C95&gt;=DATE(2026,11,29),C95&lt;=DATE(2026,12,1)),B95*60,0)</f>
        <v/>
      </c>
      <c r="J95" s="13">
        <f>IF(A95="",0,B95*(IF(C95=DATE(2026,11,28),38,0)+IF(C95=DATE(2026,12,1),38,0)+IF(C95=DATE(2026,12,2),26,0)))</f>
        <v/>
      </c>
      <c r="K95" s="13">
        <f>IF(C95=Options!$B$9,B95*12,0)</f>
        <v/>
      </c>
      <c r="L95" s="13">
        <f>IF(C95=Options!$B$9,B95*Options!$Z$5,0)</f>
        <v/>
      </c>
      <c r="M95" s="13" t="n">
        <v>0</v>
      </c>
      <c r="N95" s="13">
        <f>SUM(E95:M95)</f>
        <v/>
      </c>
    </row>
    <row r="96">
      <c r="A96" s="5">
        <f>IF(AND(C96&gt;=Options!$B$9,C96&lt;=Options!$B$10),"Chicago","")</f>
        <v/>
      </c>
      <c r="B96" s="5">
        <f>IF(A96="","",18)</f>
        <v/>
      </c>
      <c r="C96" s="17" t="n">
        <v>46387</v>
      </c>
      <c r="D96" s="5">
        <f>IF(A96="","",IF(C96=DATE(2026,11,29),"培训；注册午餐；早餐参数",IF(C96=DATE(2026,11,30),"培训；注册午餐",IF(C96=DATE(2026,12,1),"培训；注册午餐；机构晚餐",IF(C96=Options!$B$9,"抵达；"&amp;IF(C96=DATE(2026,11,28),"机构晚餐","无统一供餐"),IF(C96=Options!$B$10,"返程；"&amp;IF(C96=DATE(2026,12,2),"机构午餐","无统一供餐"),"差旅状态；无统一日程"))))))</f>
        <v/>
      </c>
      <c r="E96" s="13">
        <f>IF(C96=Options!$B$9,Options!$C$14,0)</f>
        <v/>
      </c>
      <c r="F96" s="13">
        <f>IF(AND(A96&lt;&gt;"",C96&lt;Options!$B$10),B96*Options!$X$5,0)</f>
        <v/>
      </c>
      <c r="G96" s="13">
        <f>F96*12%</f>
        <v/>
      </c>
      <c r="H96" s="13">
        <f>IF(A96="",0,B96*(92*IF(OR(C96=Options!$B$9,C96=Options!$B$10),75%,100%)-IF(C96=DATE(2026,11,29),26+IF(Options!$B$8="是",23,0),0)-IF(C96=DATE(2026,11,30),26,0)-IF(C96=DATE(2026,12,1),64,0)-IF(C96=DATE(2026,11,28),38,0)-IF(C96=DATE(2026,12,2),26,0)))</f>
        <v/>
      </c>
      <c r="I96" s="13">
        <f>IF(AND(C96&gt;=DATE(2026,11,29),C96&lt;=DATE(2026,12,1)),B96*60,0)</f>
        <v/>
      </c>
      <c r="J96" s="13">
        <f>IF(A96="",0,B96*(IF(C96=DATE(2026,11,28),38,0)+IF(C96=DATE(2026,12,1),38,0)+IF(C96=DATE(2026,12,2),26,0)))</f>
        <v/>
      </c>
      <c r="K96" s="13">
        <f>IF(C96=Options!$B$9,B96*12,0)</f>
        <v/>
      </c>
      <c r="L96" s="13">
        <f>IF(C96=Options!$B$9,B96*Options!$Z$5,0)</f>
        <v/>
      </c>
      <c r="M96" s="13" t="n">
        <v>0</v>
      </c>
      <c r="N96" s="13">
        <f>SUM(E96:M96)</f>
        <v/>
      </c>
    </row>
    <row r="97">
      <c r="A97" s="5">
        <f>IF(AND(C97&gt;=Options!$B$9,C97&lt;=Options!$B$10),"Chicago","")</f>
        <v/>
      </c>
      <c r="B97" s="5">
        <f>IF(A97="","",18)</f>
        <v/>
      </c>
      <c r="C97" s="17" t="n">
        <v>46388</v>
      </c>
      <c r="D97" s="5">
        <f>IF(A97="","",IF(C97=DATE(2026,11,29),"培训；注册午餐；早餐参数",IF(C97=DATE(2026,11,30),"培训；注册午餐",IF(C97=DATE(2026,12,1),"培训；注册午餐；机构晚餐",IF(C97=Options!$B$9,"抵达；"&amp;IF(C97=DATE(2026,11,28),"机构晚餐","无统一供餐"),IF(C97=Options!$B$10,"返程；"&amp;IF(C97=DATE(2026,12,2),"机构午餐","无统一供餐"),"差旅状态；无统一日程"))))))</f>
        <v/>
      </c>
      <c r="E97" s="13">
        <f>IF(C97=Options!$B$9,Options!$C$14,0)</f>
        <v/>
      </c>
      <c r="F97" s="13">
        <f>IF(AND(A97&lt;&gt;"",C97&lt;Options!$B$10),B97*Options!$X$5,0)</f>
        <v/>
      </c>
      <c r="G97" s="13">
        <f>F97*12%</f>
        <v/>
      </c>
      <c r="H97" s="13">
        <f>IF(A97="",0,B97*(92*IF(OR(C97=Options!$B$9,C97=Options!$B$10),75%,100%)-IF(C97=DATE(2026,11,29),26+IF(Options!$B$8="是",23,0),0)-IF(C97=DATE(2026,11,30),26,0)-IF(C97=DATE(2026,12,1),64,0)-IF(C97=DATE(2026,11,28),38,0)-IF(C97=DATE(2026,12,2),26,0)))</f>
        <v/>
      </c>
      <c r="I97" s="13">
        <f>IF(AND(C97&gt;=DATE(2026,11,29),C97&lt;=DATE(2026,12,1)),B97*60,0)</f>
        <v/>
      </c>
      <c r="J97" s="13">
        <f>IF(A97="",0,B97*(IF(C97=DATE(2026,11,28),38,0)+IF(C97=DATE(2026,12,1),38,0)+IF(C97=DATE(2026,12,2),26,0)))</f>
        <v/>
      </c>
      <c r="K97" s="13">
        <f>IF(C97=Options!$B$9,B97*12,0)</f>
        <v/>
      </c>
      <c r="L97" s="13">
        <f>IF(C97=Options!$B$9,B97*Options!$Z$5,0)</f>
        <v/>
      </c>
      <c r="M97" s="13" t="n">
        <v>0</v>
      </c>
      <c r="N97" s="13">
        <f>SUM(E97:M97)</f>
        <v/>
      </c>
    </row>
    <row r="98">
      <c r="A98" s="5">
        <f>IF(AND(C98&gt;=Options!$B$9,C98&lt;=Options!$B$10),"Chicago","")</f>
        <v/>
      </c>
      <c r="B98" s="5">
        <f>IF(A98="","",18)</f>
        <v/>
      </c>
      <c r="C98" s="17" t="n">
        <v>46389</v>
      </c>
      <c r="D98" s="5">
        <f>IF(A98="","",IF(C98=DATE(2026,11,29),"培训；注册午餐；早餐参数",IF(C98=DATE(2026,11,30),"培训；注册午餐",IF(C98=DATE(2026,12,1),"培训；注册午餐；机构晚餐",IF(C98=Options!$B$9,"抵达；"&amp;IF(C98=DATE(2026,11,28),"机构晚餐","无统一供餐"),IF(C98=Options!$B$10,"返程；"&amp;IF(C98=DATE(2026,12,2),"机构午餐","无统一供餐"),"差旅状态；无统一日程"))))))</f>
        <v/>
      </c>
      <c r="E98" s="13">
        <f>IF(C98=Options!$B$9,Options!$C$14,0)</f>
        <v/>
      </c>
      <c r="F98" s="13">
        <f>IF(AND(A98&lt;&gt;"",C98&lt;Options!$B$10),B98*Options!$X$5,0)</f>
        <v/>
      </c>
      <c r="G98" s="13">
        <f>F98*12%</f>
        <v/>
      </c>
      <c r="H98" s="13">
        <f>IF(A98="",0,B98*(92*IF(OR(C98=Options!$B$9,C98=Options!$B$10),75%,100%)-IF(C98=DATE(2026,11,29),26+IF(Options!$B$8="是",23,0),0)-IF(C98=DATE(2026,11,30),26,0)-IF(C98=DATE(2026,12,1),64,0)-IF(C98=DATE(2026,11,28),38,0)-IF(C98=DATE(2026,12,2),26,0)))</f>
        <v/>
      </c>
      <c r="I98" s="13">
        <f>IF(AND(C98&gt;=DATE(2026,11,29),C98&lt;=DATE(2026,12,1)),B98*60,0)</f>
        <v/>
      </c>
      <c r="J98" s="13">
        <f>IF(A98="",0,B98*(IF(C98=DATE(2026,11,28),38,0)+IF(C98=DATE(2026,12,1),38,0)+IF(C98=DATE(2026,12,2),26,0)))</f>
        <v/>
      </c>
      <c r="K98" s="13">
        <f>IF(C98=Options!$B$9,B98*12,0)</f>
        <v/>
      </c>
      <c r="L98" s="13">
        <f>IF(C98=Options!$B$9,B98*Options!$Z$5,0)</f>
        <v/>
      </c>
      <c r="M98" s="13" t="n">
        <v>0</v>
      </c>
      <c r="N98" s="13">
        <f>SUM(E98:M98)</f>
        <v/>
      </c>
    </row>
    <row r="99">
      <c r="A99" s="5">
        <f>IF(AND(C99&gt;=Options!$B$9,C99&lt;=Options!$B$10),"Chicago","")</f>
        <v/>
      </c>
      <c r="B99" s="5">
        <f>IF(A99="","",18)</f>
        <v/>
      </c>
      <c r="C99" s="17" t="n">
        <v>46390</v>
      </c>
      <c r="D99" s="5">
        <f>IF(A99="","",IF(C99=DATE(2026,11,29),"培训；注册午餐；早餐参数",IF(C99=DATE(2026,11,30),"培训；注册午餐",IF(C99=DATE(2026,12,1),"培训；注册午餐；机构晚餐",IF(C99=Options!$B$9,"抵达；"&amp;IF(C99=DATE(2026,11,28),"机构晚餐","无统一供餐"),IF(C99=Options!$B$10,"返程；"&amp;IF(C99=DATE(2026,12,2),"机构午餐","无统一供餐"),"差旅状态；无统一日程"))))))</f>
        <v/>
      </c>
      <c r="E99" s="13">
        <f>IF(C99=Options!$B$9,Options!$C$14,0)</f>
        <v/>
      </c>
      <c r="F99" s="13">
        <f>IF(AND(A99&lt;&gt;"",C99&lt;Options!$B$10),B99*Options!$X$5,0)</f>
        <v/>
      </c>
      <c r="G99" s="13">
        <f>F99*12%</f>
        <v/>
      </c>
      <c r="H99" s="13">
        <f>IF(A99="",0,B99*(92*IF(OR(C99=Options!$B$9,C99=Options!$B$10),75%,100%)-IF(C99=DATE(2026,11,29),26+IF(Options!$B$8="是",23,0),0)-IF(C99=DATE(2026,11,30),26,0)-IF(C99=DATE(2026,12,1),64,0)-IF(C99=DATE(2026,11,28),38,0)-IF(C99=DATE(2026,12,2),26,0)))</f>
        <v/>
      </c>
      <c r="I99" s="13">
        <f>IF(AND(C99&gt;=DATE(2026,11,29),C99&lt;=DATE(2026,12,1)),B99*60,0)</f>
        <v/>
      </c>
      <c r="J99" s="13">
        <f>IF(A99="",0,B99*(IF(C99=DATE(2026,11,28),38,0)+IF(C99=DATE(2026,12,1),38,0)+IF(C99=DATE(2026,12,2),26,0)))</f>
        <v/>
      </c>
      <c r="K99" s="13">
        <f>IF(C99=Options!$B$9,B99*12,0)</f>
        <v/>
      </c>
      <c r="L99" s="13">
        <f>IF(C99=Options!$B$9,B99*Options!$Z$5,0)</f>
        <v/>
      </c>
      <c r="M99" s="13" t="n">
        <v>0</v>
      </c>
      <c r="N99" s="13">
        <f>SUM(E99:M99)</f>
        <v/>
      </c>
    </row>
    <row r="100">
      <c r="A100" s="5">
        <f>IF(AND(C100&gt;=Options!$B$9,C100&lt;=Options!$B$10),"Chicago","")</f>
        <v/>
      </c>
      <c r="B100" s="5">
        <f>IF(A100="","",18)</f>
        <v/>
      </c>
      <c r="C100" s="17" t="n">
        <v>46391</v>
      </c>
      <c r="D100" s="5">
        <f>IF(A100="","",IF(C100=DATE(2026,11,29),"培训；注册午餐；早餐参数",IF(C100=DATE(2026,11,30),"培训；注册午餐",IF(C100=DATE(2026,12,1),"培训；注册午餐；机构晚餐",IF(C100=Options!$B$9,"抵达；"&amp;IF(C100=DATE(2026,11,28),"机构晚餐","无统一供餐"),IF(C100=Options!$B$10,"返程；"&amp;IF(C100=DATE(2026,12,2),"机构午餐","无统一供餐"),"差旅状态；无统一日程"))))))</f>
        <v/>
      </c>
      <c r="E100" s="13">
        <f>IF(C100=Options!$B$9,Options!$C$14,0)</f>
        <v/>
      </c>
      <c r="F100" s="13">
        <f>IF(AND(A100&lt;&gt;"",C100&lt;Options!$B$10),B100*Options!$X$5,0)</f>
        <v/>
      </c>
      <c r="G100" s="13">
        <f>F100*12%</f>
        <v/>
      </c>
      <c r="H100" s="13">
        <f>IF(A100="",0,B100*(92*IF(OR(C100=Options!$B$9,C100=Options!$B$10),75%,100%)-IF(C100=DATE(2026,11,29),26+IF(Options!$B$8="是",23,0),0)-IF(C100=DATE(2026,11,30),26,0)-IF(C100=DATE(2026,12,1),64,0)-IF(C100=DATE(2026,11,28),38,0)-IF(C100=DATE(2026,12,2),26,0)))</f>
        <v/>
      </c>
      <c r="I100" s="13">
        <f>IF(AND(C100&gt;=DATE(2026,11,29),C100&lt;=DATE(2026,12,1)),B100*60,0)</f>
        <v/>
      </c>
      <c r="J100" s="13">
        <f>IF(A100="",0,B100*(IF(C100=DATE(2026,11,28),38,0)+IF(C100=DATE(2026,12,1),38,0)+IF(C100=DATE(2026,12,2),26,0)))</f>
        <v/>
      </c>
      <c r="K100" s="13">
        <f>IF(C100=Options!$B$9,B100*12,0)</f>
        <v/>
      </c>
      <c r="L100" s="13">
        <f>IF(C100=Options!$B$9,B100*Options!$Z$5,0)</f>
        <v/>
      </c>
      <c r="M100" s="13" t="n">
        <v>0</v>
      </c>
      <c r="N100" s="13">
        <f>SUM(E100:M100)</f>
        <v/>
      </c>
    </row>
    <row r="101">
      <c r="A101" s="5">
        <f>IF(AND(C101&gt;=Options!$B$9,C101&lt;=Options!$B$10),"Chicago","")</f>
        <v/>
      </c>
      <c r="B101" s="5">
        <f>IF(A101="","",18)</f>
        <v/>
      </c>
      <c r="C101" s="17" t="n">
        <v>46392</v>
      </c>
      <c r="D101" s="5">
        <f>IF(A101="","",IF(C101=DATE(2026,11,29),"培训；注册午餐；早餐参数",IF(C101=DATE(2026,11,30),"培训；注册午餐",IF(C101=DATE(2026,12,1),"培训；注册午餐；机构晚餐",IF(C101=Options!$B$9,"抵达；"&amp;IF(C101=DATE(2026,11,28),"机构晚餐","无统一供餐"),IF(C101=Options!$B$10,"返程；"&amp;IF(C101=DATE(2026,12,2),"机构午餐","无统一供餐"),"差旅状态；无统一日程"))))))</f>
        <v/>
      </c>
      <c r="E101" s="13">
        <f>IF(C101=Options!$B$9,Options!$C$14,0)</f>
        <v/>
      </c>
      <c r="F101" s="13">
        <f>IF(AND(A101&lt;&gt;"",C101&lt;Options!$B$10),B101*Options!$X$5,0)</f>
        <v/>
      </c>
      <c r="G101" s="13">
        <f>F101*12%</f>
        <v/>
      </c>
      <c r="H101" s="13">
        <f>IF(A101="",0,B101*(92*IF(OR(C101=Options!$B$9,C101=Options!$B$10),75%,100%)-IF(C101=DATE(2026,11,29),26+IF(Options!$B$8="是",23,0),0)-IF(C101=DATE(2026,11,30),26,0)-IF(C101=DATE(2026,12,1),64,0)-IF(C101=DATE(2026,11,28),38,0)-IF(C101=DATE(2026,12,2),26,0)))</f>
        <v/>
      </c>
      <c r="I101" s="13">
        <f>IF(AND(C101&gt;=DATE(2026,11,29),C101&lt;=DATE(2026,12,1)),B101*60,0)</f>
        <v/>
      </c>
      <c r="J101" s="13">
        <f>IF(A101="",0,B101*(IF(C101=DATE(2026,11,28),38,0)+IF(C101=DATE(2026,12,1),38,0)+IF(C101=DATE(2026,12,2),26,0)))</f>
        <v/>
      </c>
      <c r="K101" s="13">
        <f>IF(C101=Options!$B$9,B101*12,0)</f>
        <v/>
      </c>
      <c r="L101" s="13">
        <f>IF(C101=Options!$B$9,B101*Options!$Z$5,0)</f>
        <v/>
      </c>
      <c r="M101" s="13" t="n">
        <v>0</v>
      </c>
      <c r="N101" s="13">
        <f>SUM(E101:M101)</f>
        <v/>
      </c>
    </row>
    <row r="102">
      <c r="A102" s="5">
        <f>IF(AND(C102&gt;=Options!$B$9,C102&lt;=Options!$B$10),"Chicago","")</f>
        <v/>
      </c>
      <c r="B102" s="5">
        <f>IF(A102="","",18)</f>
        <v/>
      </c>
      <c r="C102" s="17" t="n">
        <v>46393</v>
      </c>
      <c r="D102" s="5">
        <f>IF(A102="","",IF(C102=DATE(2026,11,29),"培训；注册午餐；早餐参数",IF(C102=DATE(2026,11,30),"培训；注册午餐",IF(C102=DATE(2026,12,1),"培训；注册午餐；机构晚餐",IF(C102=Options!$B$9,"抵达；"&amp;IF(C102=DATE(2026,11,28),"机构晚餐","无统一供餐"),IF(C102=Options!$B$10,"返程；"&amp;IF(C102=DATE(2026,12,2),"机构午餐","无统一供餐"),"差旅状态；无统一日程"))))))</f>
        <v/>
      </c>
      <c r="E102" s="13">
        <f>IF(C102=Options!$B$9,Options!$C$14,0)</f>
        <v/>
      </c>
      <c r="F102" s="13">
        <f>IF(AND(A102&lt;&gt;"",C102&lt;Options!$B$10),B102*Options!$X$5,0)</f>
        <v/>
      </c>
      <c r="G102" s="13">
        <f>F102*12%</f>
        <v/>
      </c>
      <c r="H102" s="13">
        <f>IF(A102="",0,B102*(92*IF(OR(C102=Options!$B$9,C102=Options!$B$10),75%,100%)-IF(C102=DATE(2026,11,29),26+IF(Options!$B$8="是",23,0),0)-IF(C102=DATE(2026,11,30),26,0)-IF(C102=DATE(2026,12,1),64,0)-IF(C102=DATE(2026,11,28),38,0)-IF(C102=DATE(2026,12,2),26,0)))</f>
        <v/>
      </c>
      <c r="I102" s="13">
        <f>IF(AND(C102&gt;=DATE(2026,11,29),C102&lt;=DATE(2026,12,1)),B102*60,0)</f>
        <v/>
      </c>
      <c r="J102" s="13">
        <f>IF(A102="",0,B102*(IF(C102=DATE(2026,11,28),38,0)+IF(C102=DATE(2026,12,1),38,0)+IF(C102=DATE(2026,12,2),26,0)))</f>
        <v/>
      </c>
      <c r="K102" s="13">
        <f>IF(C102=Options!$B$9,B102*12,0)</f>
        <v/>
      </c>
      <c r="L102" s="13">
        <f>IF(C102=Options!$B$9,B102*Options!$Z$5,0)</f>
        <v/>
      </c>
      <c r="M102" s="13" t="n">
        <v>0</v>
      </c>
      <c r="N102" s="13">
        <f>SUM(E102:M102)</f>
        <v/>
      </c>
    </row>
    <row r="103">
      <c r="A103" s="5">
        <f>IF(AND(C103&gt;=Options!$B$9,C103&lt;=Options!$B$10),"Chicago","")</f>
        <v/>
      </c>
      <c r="B103" s="5">
        <f>IF(A103="","",18)</f>
        <v/>
      </c>
      <c r="C103" s="17" t="n">
        <v>46394</v>
      </c>
      <c r="D103" s="5">
        <f>IF(A103="","",IF(C103=DATE(2026,11,29),"培训；注册午餐；早餐参数",IF(C103=DATE(2026,11,30),"培训；注册午餐",IF(C103=DATE(2026,12,1),"培训；注册午餐；机构晚餐",IF(C103=Options!$B$9,"抵达；"&amp;IF(C103=DATE(2026,11,28),"机构晚餐","无统一供餐"),IF(C103=Options!$B$10,"返程；"&amp;IF(C103=DATE(2026,12,2),"机构午餐","无统一供餐"),"差旅状态；无统一日程"))))))</f>
        <v/>
      </c>
      <c r="E103" s="13">
        <f>IF(C103=Options!$B$9,Options!$C$14,0)</f>
        <v/>
      </c>
      <c r="F103" s="13">
        <f>IF(AND(A103&lt;&gt;"",C103&lt;Options!$B$10),B103*Options!$X$5,0)</f>
        <v/>
      </c>
      <c r="G103" s="13">
        <f>F103*12%</f>
        <v/>
      </c>
      <c r="H103" s="13">
        <f>IF(A103="",0,B103*(92*IF(OR(C103=Options!$B$9,C103=Options!$B$10),75%,100%)-IF(C103=DATE(2026,11,29),26+IF(Options!$B$8="是",23,0),0)-IF(C103=DATE(2026,11,30),26,0)-IF(C103=DATE(2026,12,1),64,0)-IF(C103=DATE(2026,11,28),38,0)-IF(C103=DATE(2026,12,2),26,0)))</f>
        <v/>
      </c>
      <c r="I103" s="13">
        <f>IF(AND(C103&gt;=DATE(2026,11,29),C103&lt;=DATE(2026,12,1)),B103*60,0)</f>
        <v/>
      </c>
      <c r="J103" s="13">
        <f>IF(A103="",0,B103*(IF(C103=DATE(2026,11,28),38,0)+IF(C103=DATE(2026,12,1),38,0)+IF(C103=DATE(2026,12,2),26,0)))</f>
        <v/>
      </c>
      <c r="K103" s="13">
        <f>IF(C103=Options!$B$9,B103*12,0)</f>
        <v/>
      </c>
      <c r="L103" s="13">
        <f>IF(C103=Options!$B$9,B103*Options!$Z$5,0)</f>
        <v/>
      </c>
      <c r="M103" s="13" t="n">
        <v>0</v>
      </c>
      <c r="N103" s="13">
        <f>SUM(E103:M103)</f>
        <v/>
      </c>
    </row>
    <row r="104">
      <c r="A104" s="5">
        <f>IF(AND(C104&gt;=Options!$B$9,C104&lt;=Options!$B$10),"Chicago","")</f>
        <v/>
      </c>
      <c r="B104" s="5">
        <f>IF(A104="","",18)</f>
        <v/>
      </c>
      <c r="C104" s="17" t="n">
        <v>46395</v>
      </c>
      <c r="D104" s="5">
        <f>IF(A104="","",IF(C104=DATE(2026,11,29),"培训；注册午餐；早餐参数",IF(C104=DATE(2026,11,30),"培训；注册午餐",IF(C104=DATE(2026,12,1),"培训；注册午餐；机构晚餐",IF(C104=Options!$B$9,"抵达；"&amp;IF(C104=DATE(2026,11,28),"机构晚餐","无统一供餐"),IF(C104=Options!$B$10,"返程；"&amp;IF(C104=DATE(2026,12,2),"机构午餐","无统一供餐"),"差旅状态；无统一日程"))))))</f>
        <v/>
      </c>
      <c r="E104" s="13">
        <f>IF(C104=Options!$B$9,Options!$C$14,0)</f>
        <v/>
      </c>
      <c r="F104" s="13">
        <f>IF(AND(A104&lt;&gt;"",C104&lt;Options!$B$10),B104*Options!$X$5,0)</f>
        <v/>
      </c>
      <c r="G104" s="13">
        <f>F104*12%</f>
        <v/>
      </c>
      <c r="H104" s="13">
        <f>IF(A104="",0,B104*(92*IF(OR(C104=Options!$B$9,C104=Options!$B$10),75%,100%)-IF(C104=DATE(2026,11,29),26+IF(Options!$B$8="是",23,0),0)-IF(C104=DATE(2026,11,30),26,0)-IF(C104=DATE(2026,12,1),64,0)-IF(C104=DATE(2026,11,28),38,0)-IF(C104=DATE(2026,12,2),26,0)))</f>
        <v/>
      </c>
      <c r="I104" s="13">
        <f>IF(AND(C104&gt;=DATE(2026,11,29),C104&lt;=DATE(2026,12,1)),B104*60,0)</f>
        <v/>
      </c>
      <c r="J104" s="13">
        <f>IF(A104="",0,B104*(IF(C104=DATE(2026,11,28),38,0)+IF(C104=DATE(2026,12,1),38,0)+IF(C104=DATE(2026,12,2),26,0)))</f>
        <v/>
      </c>
      <c r="K104" s="13">
        <f>IF(C104=Options!$B$9,B104*12,0)</f>
        <v/>
      </c>
      <c r="L104" s="13">
        <f>IF(C104=Options!$B$9,B104*Options!$Z$5,0)</f>
        <v/>
      </c>
      <c r="M104" s="13" t="n">
        <v>0</v>
      </c>
      <c r="N104" s="13">
        <f>SUM(E104:M104)</f>
        <v/>
      </c>
    </row>
    <row r="105">
      <c r="A105" s="5">
        <f>IF(AND(C105&gt;=Options!$B$9,C105&lt;=Options!$B$10),"Chicago","")</f>
        <v/>
      </c>
      <c r="B105" s="5">
        <f>IF(A105="","",18)</f>
        <v/>
      </c>
      <c r="C105" s="17" t="n">
        <v>46396</v>
      </c>
      <c r="D105" s="5">
        <f>IF(A105="","",IF(C105=DATE(2026,11,29),"培训；注册午餐；早餐参数",IF(C105=DATE(2026,11,30),"培训；注册午餐",IF(C105=DATE(2026,12,1),"培训；注册午餐；机构晚餐",IF(C105=Options!$B$9,"抵达；"&amp;IF(C105=DATE(2026,11,28),"机构晚餐","无统一供餐"),IF(C105=Options!$B$10,"返程；"&amp;IF(C105=DATE(2026,12,2),"机构午餐","无统一供餐"),"差旅状态；无统一日程"))))))</f>
        <v/>
      </c>
      <c r="E105" s="13">
        <f>IF(C105=Options!$B$9,Options!$C$14,0)</f>
        <v/>
      </c>
      <c r="F105" s="13">
        <f>IF(AND(A105&lt;&gt;"",C105&lt;Options!$B$10),B105*Options!$X$5,0)</f>
        <v/>
      </c>
      <c r="G105" s="13">
        <f>F105*12%</f>
        <v/>
      </c>
      <c r="H105" s="13">
        <f>IF(A105="",0,B105*(92*IF(OR(C105=Options!$B$9,C105=Options!$B$10),75%,100%)-IF(C105=DATE(2026,11,29),26+IF(Options!$B$8="是",23,0),0)-IF(C105=DATE(2026,11,30),26,0)-IF(C105=DATE(2026,12,1),64,0)-IF(C105=DATE(2026,11,28),38,0)-IF(C105=DATE(2026,12,2),26,0)))</f>
        <v/>
      </c>
      <c r="I105" s="13">
        <f>IF(AND(C105&gt;=DATE(2026,11,29),C105&lt;=DATE(2026,12,1)),B105*60,0)</f>
        <v/>
      </c>
      <c r="J105" s="13">
        <f>IF(A105="",0,B105*(IF(C105=DATE(2026,11,28),38,0)+IF(C105=DATE(2026,12,1),38,0)+IF(C105=DATE(2026,12,2),26,0)))</f>
        <v/>
      </c>
      <c r="K105" s="13">
        <f>IF(C105=Options!$B$9,B105*12,0)</f>
        <v/>
      </c>
      <c r="L105" s="13">
        <f>IF(C105=Options!$B$9,B105*Options!$Z$5,0)</f>
        <v/>
      </c>
      <c r="M105" s="13" t="n">
        <v>0</v>
      </c>
      <c r="N105" s="13">
        <f>SUM(E105:M105)</f>
        <v/>
      </c>
    </row>
    <row r="106">
      <c r="A106" s="5">
        <f>IF(AND(C106&gt;=Options!$B$9,C106&lt;=Options!$B$10),"Chicago","")</f>
        <v/>
      </c>
      <c r="B106" s="5">
        <f>IF(A106="","",18)</f>
        <v/>
      </c>
      <c r="C106" s="17" t="n">
        <v>46397</v>
      </c>
      <c r="D106" s="5">
        <f>IF(A106="","",IF(C106=DATE(2026,11,29),"培训；注册午餐；早餐参数",IF(C106=DATE(2026,11,30),"培训；注册午餐",IF(C106=DATE(2026,12,1),"培训；注册午餐；机构晚餐",IF(C106=Options!$B$9,"抵达；"&amp;IF(C106=DATE(2026,11,28),"机构晚餐","无统一供餐"),IF(C106=Options!$B$10,"返程；"&amp;IF(C106=DATE(2026,12,2),"机构午餐","无统一供餐"),"差旅状态；无统一日程"))))))</f>
        <v/>
      </c>
      <c r="E106" s="13">
        <f>IF(C106=Options!$B$9,Options!$C$14,0)</f>
        <v/>
      </c>
      <c r="F106" s="13">
        <f>IF(AND(A106&lt;&gt;"",C106&lt;Options!$B$10),B106*Options!$X$5,0)</f>
        <v/>
      </c>
      <c r="G106" s="13">
        <f>F106*12%</f>
        <v/>
      </c>
      <c r="H106" s="13">
        <f>IF(A106="",0,B106*(92*IF(OR(C106=Options!$B$9,C106=Options!$B$10),75%,100%)-IF(C106=DATE(2026,11,29),26+IF(Options!$B$8="是",23,0),0)-IF(C106=DATE(2026,11,30),26,0)-IF(C106=DATE(2026,12,1),64,0)-IF(C106=DATE(2026,11,28),38,0)-IF(C106=DATE(2026,12,2),26,0)))</f>
        <v/>
      </c>
      <c r="I106" s="13">
        <f>IF(AND(C106&gt;=DATE(2026,11,29),C106&lt;=DATE(2026,12,1)),B106*60,0)</f>
        <v/>
      </c>
      <c r="J106" s="13">
        <f>IF(A106="",0,B106*(IF(C106=DATE(2026,11,28),38,0)+IF(C106=DATE(2026,12,1),38,0)+IF(C106=DATE(2026,12,2),26,0)))</f>
        <v/>
      </c>
      <c r="K106" s="13">
        <f>IF(C106=Options!$B$9,B106*12,0)</f>
        <v/>
      </c>
      <c r="L106" s="13">
        <f>IF(C106=Options!$B$9,B106*Options!$Z$5,0)</f>
        <v/>
      </c>
      <c r="M106" s="13" t="n">
        <v>0</v>
      </c>
      <c r="N106" s="13">
        <f>SUM(E106:M106)</f>
        <v/>
      </c>
    </row>
    <row r="107">
      <c r="A107" s="5">
        <f>IF(AND(C107&gt;=Options!$B$9,C107&lt;=Options!$B$10),"Chicago","")</f>
        <v/>
      </c>
      <c r="B107" s="5">
        <f>IF(A107="","",18)</f>
        <v/>
      </c>
      <c r="C107" s="17" t="n">
        <v>46398</v>
      </c>
      <c r="D107" s="5">
        <f>IF(A107="","",IF(C107=DATE(2026,11,29),"培训；注册午餐；早餐参数",IF(C107=DATE(2026,11,30),"培训；注册午餐",IF(C107=DATE(2026,12,1),"培训；注册午餐；机构晚餐",IF(C107=Options!$B$9,"抵达；"&amp;IF(C107=DATE(2026,11,28),"机构晚餐","无统一供餐"),IF(C107=Options!$B$10,"返程；"&amp;IF(C107=DATE(2026,12,2),"机构午餐","无统一供餐"),"差旅状态；无统一日程"))))))</f>
        <v/>
      </c>
      <c r="E107" s="13">
        <f>IF(C107=Options!$B$9,Options!$C$14,0)</f>
        <v/>
      </c>
      <c r="F107" s="13">
        <f>IF(AND(A107&lt;&gt;"",C107&lt;Options!$B$10),B107*Options!$X$5,0)</f>
        <v/>
      </c>
      <c r="G107" s="13">
        <f>F107*12%</f>
        <v/>
      </c>
      <c r="H107" s="13">
        <f>IF(A107="",0,B107*(92*IF(OR(C107=Options!$B$9,C107=Options!$B$10),75%,100%)-IF(C107=DATE(2026,11,29),26+IF(Options!$B$8="是",23,0),0)-IF(C107=DATE(2026,11,30),26,0)-IF(C107=DATE(2026,12,1),64,0)-IF(C107=DATE(2026,11,28),38,0)-IF(C107=DATE(2026,12,2),26,0)))</f>
        <v/>
      </c>
      <c r="I107" s="13">
        <f>IF(AND(C107&gt;=DATE(2026,11,29),C107&lt;=DATE(2026,12,1)),B107*60,0)</f>
        <v/>
      </c>
      <c r="J107" s="13">
        <f>IF(A107="",0,B107*(IF(C107=DATE(2026,11,28),38,0)+IF(C107=DATE(2026,12,1),38,0)+IF(C107=DATE(2026,12,2),26,0)))</f>
        <v/>
      </c>
      <c r="K107" s="13">
        <f>IF(C107=Options!$B$9,B107*12,0)</f>
        <v/>
      </c>
      <c r="L107" s="13">
        <f>IF(C107=Options!$B$9,B107*Options!$Z$5,0)</f>
        <v/>
      </c>
      <c r="M107" s="13" t="n">
        <v>0</v>
      </c>
      <c r="N107" s="13">
        <f>SUM(E107:M107)</f>
        <v/>
      </c>
    </row>
    <row r="108">
      <c r="A108" s="5">
        <f>IF(AND(C108&gt;=Options!$B$9,C108&lt;=Options!$B$10),"Chicago","")</f>
        <v/>
      </c>
      <c r="B108" s="5">
        <f>IF(A108="","",18)</f>
        <v/>
      </c>
      <c r="C108" s="17" t="n">
        <v>46399</v>
      </c>
      <c r="D108" s="5">
        <f>IF(A108="","",IF(C108=DATE(2026,11,29),"培训；注册午餐；早餐参数",IF(C108=DATE(2026,11,30),"培训；注册午餐",IF(C108=DATE(2026,12,1),"培训；注册午餐；机构晚餐",IF(C108=Options!$B$9,"抵达；"&amp;IF(C108=DATE(2026,11,28),"机构晚餐","无统一供餐"),IF(C108=Options!$B$10,"返程；"&amp;IF(C108=DATE(2026,12,2),"机构午餐","无统一供餐"),"差旅状态；无统一日程"))))))</f>
        <v/>
      </c>
      <c r="E108" s="13">
        <f>IF(C108=Options!$B$9,Options!$C$14,0)</f>
        <v/>
      </c>
      <c r="F108" s="13">
        <f>IF(AND(A108&lt;&gt;"",C108&lt;Options!$B$10),B108*Options!$X$5,0)</f>
        <v/>
      </c>
      <c r="G108" s="13">
        <f>F108*12%</f>
        <v/>
      </c>
      <c r="H108" s="13">
        <f>IF(A108="",0,B108*(92*IF(OR(C108=Options!$B$9,C108=Options!$B$10),75%,100%)-IF(C108=DATE(2026,11,29),26+IF(Options!$B$8="是",23,0),0)-IF(C108=DATE(2026,11,30),26,0)-IF(C108=DATE(2026,12,1),64,0)-IF(C108=DATE(2026,11,28),38,0)-IF(C108=DATE(2026,12,2),26,0)))</f>
        <v/>
      </c>
      <c r="I108" s="13">
        <f>IF(AND(C108&gt;=DATE(2026,11,29),C108&lt;=DATE(2026,12,1)),B108*60,0)</f>
        <v/>
      </c>
      <c r="J108" s="13">
        <f>IF(A108="",0,B108*(IF(C108=DATE(2026,11,28),38,0)+IF(C108=DATE(2026,12,1),38,0)+IF(C108=DATE(2026,12,2),26,0)))</f>
        <v/>
      </c>
      <c r="K108" s="13">
        <f>IF(C108=Options!$B$9,B108*12,0)</f>
        <v/>
      </c>
      <c r="L108" s="13">
        <f>IF(C108=Options!$B$9,B108*Options!$Z$5,0)</f>
        <v/>
      </c>
      <c r="M108" s="13" t="n">
        <v>0</v>
      </c>
      <c r="N108" s="13">
        <f>SUM(E108:M108)</f>
        <v/>
      </c>
    </row>
    <row r="109">
      <c r="A109" s="5">
        <f>IF(AND(C109&gt;=Options!$B$9,C109&lt;=Options!$B$10),"Chicago","")</f>
        <v/>
      </c>
      <c r="B109" s="5">
        <f>IF(A109="","",18)</f>
        <v/>
      </c>
      <c r="C109" s="17" t="n">
        <v>46400</v>
      </c>
      <c r="D109" s="5">
        <f>IF(A109="","",IF(C109=DATE(2026,11,29),"培训；注册午餐；早餐参数",IF(C109=DATE(2026,11,30),"培训；注册午餐",IF(C109=DATE(2026,12,1),"培训；注册午餐；机构晚餐",IF(C109=Options!$B$9,"抵达；"&amp;IF(C109=DATE(2026,11,28),"机构晚餐","无统一供餐"),IF(C109=Options!$B$10,"返程；"&amp;IF(C109=DATE(2026,12,2),"机构午餐","无统一供餐"),"差旅状态；无统一日程"))))))</f>
        <v/>
      </c>
      <c r="E109" s="13">
        <f>IF(C109=Options!$B$9,Options!$C$14,0)</f>
        <v/>
      </c>
      <c r="F109" s="13">
        <f>IF(AND(A109&lt;&gt;"",C109&lt;Options!$B$10),B109*Options!$X$5,0)</f>
        <v/>
      </c>
      <c r="G109" s="13">
        <f>F109*12%</f>
        <v/>
      </c>
      <c r="H109" s="13">
        <f>IF(A109="",0,B109*(92*IF(OR(C109=Options!$B$9,C109=Options!$B$10),75%,100%)-IF(C109=DATE(2026,11,29),26+IF(Options!$B$8="是",23,0),0)-IF(C109=DATE(2026,11,30),26,0)-IF(C109=DATE(2026,12,1),64,0)-IF(C109=DATE(2026,11,28),38,0)-IF(C109=DATE(2026,12,2),26,0)))</f>
        <v/>
      </c>
      <c r="I109" s="13">
        <f>IF(AND(C109&gt;=DATE(2026,11,29),C109&lt;=DATE(2026,12,1)),B109*60,0)</f>
        <v/>
      </c>
      <c r="J109" s="13">
        <f>IF(A109="",0,B109*(IF(C109=DATE(2026,11,28),38,0)+IF(C109=DATE(2026,12,1),38,0)+IF(C109=DATE(2026,12,2),26,0)))</f>
        <v/>
      </c>
      <c r="K109" s="13">
        <f>IF(C109=Options!$B$9,B109*12,0)</f>
        <v/>
      </c>
      <c r="L109" s="13">
        <f>IF(C109=Options!$B$9,B109*Options!$Z$5,0)</f>
        <v/>
      </c>
      <c r="M109" s="13" t="n">
        <v>0</v>
      </c>
      <c r="N109" s="13">
        <f>SUM(E109:M109)</f>
        <v/>
      </c>
    </row>
    <row r="110">
      <c r="A110" s="5">
        <f>IF(AND(C110&gt;=Options!$B$9,C110&lt;=Options!$B$10),"Chicago","")</f>
        <v/>
      </c>
      <c r="B110" s="5">
        <f>IF(A110="","",18)</f>
        <v/>
      </c>
      <c r="C110" s="17" t="n">
        <v>46401</v>
      </c>
      <c r="D110" s="5">
        <f>IF(A110="","",IF(C110=DATE(2026,11,29),"培训；注册午餐；早餐参数",IF(C110=DATE(2026,11,30),"培训；注册午餐",IF(C110=DATE(2026,12,1),"培训；注册午餐；机构晚餐",IF(C110=Options!$B$9,"抵达；"&amp;IF(C110=DATE(2026,11,28),"机构晚餐","无统一供餐"),IF(C110=Options!$B$10,"返程；"&amp;IF(C110=DATE(2026,12,2),"机构午餐","无统一供餐"),"差旅状态；无统一日程"))))))</f>
        <v/>
      </c>
      <c r="E110" s="13">
        <f>IF(C110=Options!$B$9,Options!$C$14,0)</f>
        <v/>
      </c>
      <c r="F110" s="13">
        <f>IF(AND(A110&lt;&gt;"",C110&lt;Options!$B$10),B110*Options!$X$5,0)</f>
        <v/>
      </c>
      <c r="G110" s="13">
        <f>F110*12%</f>
        <v/>
      </c>
      <c r="H110" s="13">
        <f>IF(A110="",0,B110*(92*IF(OR(C110=Options!$B$9,C110=Options!$B$10),75%,100%)-IF(C110=DATE(2026,11,29),26+IF(Options!$B$8="是",23,0),0)-IF(C110=DATE(2026,11,30),26,0)-IF(C110=DATE(2026,12,1),64,0)-IF(C110=DATE(2026,11,28),38,0)-IF(C110=DATE(2026,12,2),26,0)))</f>
        <v/>
      </c>
      <c r="I110" s="13">
        <f>IF(AND(C110&gt;=DATE(2026,11,29),C110&lt;=DATE(2026,12,1)),B110*60,0)</f>
        <v/>
      </c>
      <c r="J110" s="13">
        <f>IF(A110="",0,B110*(IF(C110=DATE(2026,11,28),38,0)+IF(C110=DATE(2026,12,1),38,0)+IF(C110=DATE(2026,12,2),26,0)))</f>
        <v/>
      </c>
      <c r="K110" s="13">
        <f>IF(C110=Options!$B$9,B110*12,0)</f>
        <v/>
      </c>
      <c r="L110" s="13">
        <f>IF(C110=Options!$B$9,B110*Options!$Z$5,0)</f>
        <v/>
      </c>
      <c r="M110" s="13" t="n">
        <v>0</v>
      </c>
      <c r="N110" s="13">
        <f>SUM(E110:M110)</f>
        <v/>
      </c>
    </row>
    <row r="111">
      <c r="A111" s="5">
        <f>IF(AND(C111&gt;=Options!$B$9,C111&lt;=Options!$B$10),"Chicago","")</f>
        <v/>
      </c>
      <c r="B111" s="5">
        <f>IF(A111="","",18)</f>
        <v/>
      </c>
      <c r="C111" s="17" t="n">
        <v>46402</v>
      </c>
      <c r="D111" s="5">
        <f>IF(A111="","",IF(C111=DATE(2026,11,29),"培训；注册午餐；早餐参数",IF(C111=DATE(2026,11,30),"培训；注册午餐",IF(C111=DATE(2026,12,1),"培训；注册午餐；机构晚餐",IF(C111=Options!$B$9,"抵达；"&amp;IF(C111=DATE(2026,11,28),"机构晚餐","无统一供餐"),IF(C111=Options!$B$10,"返程；"&amp;IF(C111=DATE(2026,12,2),"机构午餐","无统一供餐"),"差旅状态；无统一日程"))))))</f>
        <v/>
      </c>
      <c r="E111" s="13">
        <f>IF(C111=Options!$B$9,Options!$C$14,0)</f>
        <v/>
      </c>
      <c r="F111" s="13">
        <f>IF(AND(A111&lt;&gt;"",C111&lt;Options!$B$10),B111*Options!$X$5,0)</f>
        <v/>
      </c>
      <c r="G111" s="13">
        <f>F111*12%</f>
        <v/>
      </c>
      <c r="H111" s="13">
        <f>IF(A111="",0,B111*(92*IF(OR(C111=Options!$B$9,C111=Options!$B$10),75%,100%)-IF(C111=DATE(2026,11,29),26+IF(Options!$B$8="是",23,0),0)-IF(C111=DATE(2026,11,30),26,0)-IF(C111=DATE(2026,12,1),64,0)-IF(C111=DATE(2026,11,28),38,0)-IF(C111=DATE(2026,12,2),26,0)))</f>
        <v/>
      </c>
      <c r="I111" s="13">
        <f>IF(AND(C111&gt;=DATE(2026,11,29),C111&lt;=DATE(2026,12,1)),B111*60,0)</f>
        <v/>
      </c>
      <c r="J111" s="13">
        <f>IF(A111="",0,B111*(IF(C111=DATE(2026,11,28),38,0)+IF(C111=DATE(2026,12,1),38,0)+IF(C111=DATE(2026,12,2),26,0)))</f>
        <v/>
      </c>
      <c r="K111" s="13">
        <f>IF(C111=Options!$B$9,B111*12,0)</f>
        <v/>
      </c>
      <c r="L111" s="13">
        <f>IF(C111=Options!$B$9,B111*Options!$Z$5,0)</f>
        <v/>
      </c>
      <c r="M111" s="13" t="n">
        <v>0</v>
      </c>
      <c r="N111" s="13">
        <f>SUM(E111:M111)</f>
        <v/>
      </c>
    </row>
    <row r="112">
      <c r="A112" s="5">
        <f>IF(AND(C112&gt;=Options!$B$9,C112&lt;=Options!$B$10),"Chicago","")</f>
        <v/>
      </c>
      <c r="B112" s="5">
        <f>IF(A112="","",18)</f>
        <v/>
      </c>
      <c r="C112" s="17" t="n">
        <v>46403</v>
      </c>
      <c r="D112" s="5">
        <f>IF(A112="","",IF(C112=DATE(2026,11,29),"培训；注册午餐；早餐参数",IF(C112=DATE(2026,11,30),"培训；注册午餐",IF(C112=DATE(2026,12,1),"培训；注册午餐；机构晚餐",IF(C112=Options!$B$9,"抵达；"&amp;IF(C112=DATE(2026,11,28),"机构晚餐","无统一供餐"),IF(C112=Options!$B$10,"返程；"&amp;IF(C112=DATE(2026,12,2),"机构午餐","无统一供餐"),"差旅状态；无统一日程"))))))</f>
        <v/>
      </c>
      <c r="E112" s="13">
        <f>IF(C112=Options!$B$9,Options!$C$14,0)</f>
        <v/>
      </c>
      <c r="F112" s="13">
        <f>IF(AND(A112&lt;&gt;"",C112&lt;Options!$B$10),B112*Options!$X$5,0)</f>
        <v/>
      </c>
      <c r="G112" s="13">
        <f>F112*12%</f>
        <v/>
      </c>
      <c r="H112" s="13">
        <f>IF(A112="",0,B112*(92*IF(OR(C112=Options!$B$9,C112=Options!$B$10),75%,100%)-IF(C112=DATE(2026,11,29),26+IF(Options!$B$8="是",23,0),0)-IF(C112=DATE(2026,11,30),26,0)-IF(C112=DATE(2026,12,1),64,0)-IF(C112=DATE(2026,11,28),38,0)-IF(C112=DATE(2026,12,2),26,0)))</f>
        <v/>
      </c>
      <c r="I112" s="13">
        <f>IF(AND(C112&gt;=DATE(2026,11,29),C112&lt;=DATE(2026,12,1)),B112*60,0)</f>
        <v/>
      </c>
      <c r="J112" s="13">
        <f>IF(A112="",0,B112*(IF(C112=DATE(2026,11,28),38,0)+IF(C112=DATE(2026,12,1),38,0)+IF(C112=DATE(2026,12,2),26,0)))</f>
        <v/>
      </c>
      <c r="K112" s="13">
        <f>IF(C112=Options!$B$9,B112*12,0)</f>
        <v/>
      </c>
      <c r="L112" s="13">
        <f>IF(C112=Options!$B$9,B112*Options!$Z$5,0)</f>
        <v/>
      </c>
      <c r="M112" s="13" t="n">
        <v>0</v>
      </c>
      <c r="N112" s="13">
        <f>SUM(E112:M112)</f>
        <v/>
      </c>
    </row>
    <row r="113">
      <c r="A113" s="5">
        <f>IF(AND(C113&gt;=Options!$B$9,C113&lt;=Options!$B$10),"Chicago","")</f>
        <v/>
      </c>
      <c r="B113" s="5">
        <f>IF(A113="","",18)</f>
        <v/>
      </c>
      <c r="C113" s="17" t="n">
        <v>46404</v>
      </c>
      <c r="D113" s="5">
        <f>IF(A113="","",IF(C113=DATE(2026,11,29),"培训；注册午餐；早餐参数",IF(C113=DATE(2026,11,30),"培训；注册午餐",IF(C113=DATE(2026,12,1),"培训；注册午餐；机构晚餐",IF(C113=Options!$B$9,"抵达；"&amp;IF(C113=DATE(2026,11,28),"机构晚餐","无统一供餐"),IF(C113=Options!$B$10,"返程；"&amp;IF(C113=DATE(2026,12,2),"机构午餐","无统一供餐"),"差旅状态；无统一日程"))))))</f>
        <v/>
      </c>
      <c r="E113" s="13">
        <f>IF(C113=Options!$B$9,Options!$C$14,0)</f>
        <v/>
      </c>
      <c r="F113" s="13">
        <f>IF(AND(A113&lt;&gt;"",C113&lt;Options!$B$10),B113*Options!$X$5,0)</f>
        <v/>
      </c>
      <c r="G113" s="13">
        <f>F113*12%</f>
        <v/>
      </c>
      <c r="H113" s="13">
        <f>IF(A113="",0,B113*(92*IF(OR(C113=Options!$B$9,C113=Options!$B$10),75%,100%)-IF(C113=DATE(2026,11,29),26+IF(Options!$B$8="是",23,0),0)-IF(C113=DATE(2026,11,30),26,0)-IF(C113=DATE(2026,12,1),64,0)-IF(C113=DATE(2026,11,28),38,0)-IF(C113=DATE(2026,12,2),26,0)))</f>
        <v/>
      </c>
      <c r="I113" s="13">
        <f>IF(AND(C113&gt;=DATE(2026,11,29),C113&lt;=DATE(2026,12,1)),B113*60,0)</f>
        <v/>
      </c>
      <c r="J113" s="13">
        <f>IF(A113="",0,B113*(IF(C113=DATE(2026,11,28),38,0)+IF(C113=DATE(2026,12,1),38,0)+IF(C113=DATE(2026,12,2),26,0)))</f>
        <v/>
      </c>
      <c r="K113" s="13">
        <f>IF(C113=Options!$B$9,B113*12,0)</f>
        <v/>
      </c>
      <c r="L113" s="13">
        <f>IF(C113=Options!$B$9,B113*Options!$Z$5,0)</f>
        <v/>
      </c>
      <c r="M113" s="13" t="n">
        <v>0</v>
      </c>
      <c r="N113" s="13">
        <f>SUM(E113:M113)</f>
        <v/>
      </c>
    </row>
    <row r="114">
      <c r="A114" s="5">
        <f>IF(AND(C114&gt;=Options!$B$9,C114&lt;=Options!$B$10),"Chicago","")</f>
        <v/>
      </c>
      <c r="B114" s="5">
        <f>IF(A114="","",18)</f>
        <v/>
      </c>
      <c r="C114" s="17" t="n">
        <v>46405</v>
      </c>
      <c r="D114" s="5">
        <f>IF(A114="","",IF(C114=DATE(2026,11,29),"培训；注册午餐；早餐参数",IF(C114=DATE(2026,11,30),"培训；注册午餐",IF(C114=DATE(2026,12,1),"培训；注册午餐；机构晚餐",IF(C114=Options!$B$9,"抵达；"&amp;IF(C114=DATE(2026,11,28),"机构晚餐","无统一供餐"),IF(C114=Options!$B$10,"返程；"&amp;IF(C114=DATE(2026,12,2),"机构午餐","无统一供餐"),"差旅状态；无统一日程"))))))</f>
        <v/>
      </c>
      <c r="E114" s="13">
        <f>IF(C114=Options!$B$9,Options!$C$14,0)</f>
        <v/>
      </c>
      <c r="F114" s="13">
        <f>IF(AND(A114&lt;&gt;"",C114&lt;Options!$B$10),B114*Options!$X$5,0)</f>
        <v/>
      </c>
      <c r="G114" s="13">
        <f>F114*12%</f>
        <v/>
      </c>
      <c r="H114" s="13">
        <f>IF(A114="",0,B114*(92*IF(OR(C114=Options!$B$9,C114=Options!$B$10),75%,100%)-IF(C114=DATE(2026,11,29),26+IF(Options!$B$8="是",23,0),0)-IF(C114=DATE(2026,11,30),26,0)-IF(C114=DATE(2026,12,1),64,0)-IF(C114=DATE(2026,11,28),38,0)-IF(C114=DATE(2026,12,2),26,0)))</f>
        <v/>
      </c>
      <c r="I114" s="13">
        <f>IF(AND(C114&gt;=DATE(2026,11,29),C114&lt;=DATE(2026,12,1)),B114*60,0)</f>
        <v/>
      </c>
      <c r="J114" s="13">
        <f>IF(A114="",0,B114*(IF(C114=DATE(2026,11,28),38,0)+IF(C114=DATE(2026,12,1),38,0)+IF(C114=DATE(2026,12,2),26,0)))</f>
        <v/>
      </c>
      <c r="K114" s="13">
        <f>IF(C114=Options!$B$9,B114*12,0)</f>
        <v/>
      </c>
      <c r="L114" s="13">
        <f>IF(C114=Options!$B$9,B114*Options!$Z$5,0)</f>
        <v/>
      </c>
      <c r="M114" s="13" t="n">
        <v>0</v>
      </c>
      <c r="N114" s="13">
        <f>SUM(E114:M114)</f>
        <v/>
      </c>
    </row>
    <row r="115">
      <c r="A115" s="5">
        <f>IF(AND(C115&gt;=Options!$B$9,C115&lt;=Options!$B$10),"Chicago","")</f>
        <v/>
      </c>
      <c r="B115" s="5">
        <f>IF(A115="","",18)</f>
        <v/>
      </c>
      <c r="C115" s="17" t="n">
        <v>46406</v>
      </c>
      <c r="D115" s="5">
        <f>IF(A115="","",IF(C115=DATE(2026,11,29),"培训；注册午餐；早餐参数",IF(C115=DATE(2026,11,30),"培训；注册午餐",IF(C115=DATE(2026,12,1),"培训；注册午餐；机构晚餐",IF(C115=Options!$B$9,"抵达；"&amp;IF(C115=DATE(2026,11,28),"机构晚餐","无统一供餐"),IF(C115=Options!$B$10,"返程；"&amp;IF(C115=DATE(2026,12,2),"机构午餐","无统一供餐"),"差旅状态；无统一日程"))))))</f>
        <v/>
      </c>
      <c r="E115" s="13">
        <f>IF(C115=Options!$B$9,Options!$C$14,0)</f>
        <v/>
      </c>
      <c r="F115" s="13">
        <f>IF(AND(A115&lt;&gt;"",C115&lt;Options!$B$10),B115*Options!$X$5,0)</f>
        <v/>
      </c>
      <c r="G115" s="13">
        <f>F115*12%</f>
        <v/>
      </c>
      <c r="H115" s="13">
        <f>IF(A115="",0,B115*(92*IF(OR(C115=Options!$B$9,C115=Options!$B$10),75%,100%)-IF(C115=DATE(2026,11,29),26+IF(Options!$B$8="是",23,0),0)-IF(C115=DATE(2026,11,30),26,0)-IF(C115=DATE(2026,12,1),64,0)-IF(C115=DATE(2026,11,28),38,0)-IF(C115=DATE(2026,12,2),26,0)))</f>
        <v/>
      </c>
      <c r="I115" s="13">
        <f>IF(AND(C115&gt;=DATE(2026,11,29),C115&lt;=DATE(2026,12,1)),B115*60,0)</f>
        <v/>
      </c>
      <c r="J115" s="13">
        <f>IF(A115="",0,B115*(IF(C115=DATE(2026,11,28),38,0)+IF(C115=DATE(2026,12,1),38,0)+IF(C115=DATE(2026,12,2),26,0)))</f>
        <v/>
      </c>
      <c r="K115" s="13">
        <f>IF(C115=Options!$B$9,B115*12,0)</f>
        <v/>
      </c>
      <c r="L115" s="13">
        <f>IF(C115=Options!$B$9,B115*Options!$Z$5,0)</f>
        <v/>
      </c>
      <c r="M115" s="13" t="n">
        <v>0</v>
      </c>
      <c r="N115" s="13">
        <f>SUM(E115:M115)</f>
        <v/>
      </c>
    </row>
    <row r="116">
      <c r="A116" s="5">
        <f>IF(AND(C116&gt;=Options!$B$9,C116&lt;=Options!$B$10),"Chicago","")</f>
        <v/>
      </c>
      <c r="B116" s="5">
        <f>IF(A116="","",18)</f>
        <v/>
      </c>
      <c r="C116" s="17" t="n">
        <v>46407</v>
      </c>
      <c r="D116" s="5">
        <f>IF(A116="","",IF(C116=DATE(2026,11,29),"培训；注册午餐；早餐参数",IF(C116=DATE(2026,11,30),"培训；注册午餐",IF(C116=DATE(2026,12,1),"培训；注册午餐；机构晚餐",IF(C116=Options!$B$9,"抵达；"&amp;IF(C116=DATE(2026,11,28),"机构晚餐","无统一供餐"),IF(C116=Options!$B$10,"返程；"&amp;IF(C116=DATE(2026,12,2),"机构午餐","无统一供餐"),"差旅状态；无统一日程"))))))</f>
        <v/>
      </c>
      <c r="E116" s="13">
        <f>IF(C116=Options!$B$9,Options!$C$14,0)</f>
        <v/>
      </c>
      <c r="F116" s="13">
        <f>IF(AND(A116&lt;&gt;"",C116&lt;Options!$B$10),B116*Options!$X$5,0)</f>
        <v/>
      </c>
      <c r="G116" s="13">
        <f>F116*12%</f>
        <v/>
      </c>
      <c r="H116" s="13">
        <f>IF(A116="",0,B116*(92*IF(OR(C116=Options!$B$9,C116=Options!$B$10),75%,100%)-IF(C116=DATE(2026,11,29),26+IF(Options!$B$8="是",23,0),0)-IF(C116=DATE(2026,11,30),26,0)-IF(C116=DATE(2026,12,1),64,0)-IF(C116=DATE(2026,11,28),38,0)-IF(C116=DATE(2026,12,2),26,0)))</f>
        <v/>
      </c>
      <c r="I116" s="13">
        <f>IF(AND(C116&gt;=DATE(2026,11,29),C116&lt;=DATE(2026,12,1)),B116*60,0)</f>
        <v/>
      </c>
      <c r="J116" s="13">
        <f>IF(A116="",0,B116*(IF(C116=DATE(2026,11,28),38,0)+IF(C116=DATE(2026,12,1),38,0)+IF(C116=DATE(2026,12,2),26,0)))</f>
        <v/>
      </c>
      <c r="K116" s="13">
        <f>IF(C116=Options!$B$9,B116*12,0)</f>
        <v/>
      </c>
      <c r="L116" s="13">
        <f>IF(C116=Options!$B$9,B116*Options!$Z$5,0)</f>
        <v/>
      </c>
      <c r="M116" s="13" t="n">
        <v>0</v>
      </c>
      <c r="N116" s="13">
        <f>SUM(E116:M116)</f>
        <v/>
      </c>
    </row>
    <row r="117">
      <c r="A117" s="5">
        <f>IF(AND(C117&gt;=Options!$B$9,C117&lt;=Options!$B$10),"Chicago","")</f>
        <v/>
      </c>
      <c r="B117" s="5">
        <f>IF(A117="","",18)</f>
        <v/>
      </c>
      <c r="C117" s="17" t="n">
        <v>46408</v>
      </c>
      <c r="D117" s="5">
        <f>IF(A117="","",IF(C117=DATE(2026,11,29),"培训；注册午餐；早餐参数",IF(C117=DATE(2026,11,30),"培训；注册午餐",IF(C117=DATE(2026,12,1),"培训；注册午餐；机构晚餐",IF(C117=Options!$B$9,"抵达；"&amp;IF(C117=DATE(2026,11,28),"机构晚餐","无统一供餐"),IF(C117=Options!$B$10,"返程；"&amp;IF(C117=DATE(2026,12,2),"机构午餐","无统一供餐"),"差旅状态；无统一日程"))))))</f>
        <v/>
      </c>
      <c r="E117" s="13">
        <f>IF(C117=Options!$B$9,Options!$C$14,0)</f>
        <v/>
      </c>
      <c r="F117" s="13">
        <f>IF(AND(A117&lt;&gt;"",C117&lt;Options!$B$10),B117*Options!$X$5,0)</f>
        <v/>
      </c>
      <c r="G117" s="13">
        <f>F117*12%</f>
        <v/>
      </c>
      <c r="H117" s="13">
        <f>IF(A117="",0,B117*(92*IF(OR(C117=Options!$B$9,C117=Options!$B$10),75%,100%)-IF(C117=DATE(2026,11,29),26+IF(Options!$B$8="是",23,0),0)-IF(C117=DATE(2026,11,30),26,0)-IF(C117=DATE(2026,12,1),64,0)-IF(C117=DATE(2026,11,28),38,0)-IF(C117=DATE(2026,12,2),26,0)))</f>
        <v/>
      </c>
      <c r="I117" s="13">
        <f>IF(AND(C117&gt;=DATE(2026,11,29),C117&lt;=DATE(2026,12,1)),B117*60,0)</f>
        <v/>
      </c>
      <c r="J117" s="13">
        <f>IF(A117="",0,B117*(IF(C117=DATE(2026,11,28),38,0)+IF(C117=DATE(2026,12,1),38,0)+IF(C117=DATE(2026,12,2),26,0)))</f>
        <v/>
      </c>
      <c r="K117" s="13">
        <f>IF(C117=Options!$B$9,B117*12,0)</f>
        <v/>
      </c>
      <c r="L117" s="13">
        <f>IF(C117=Options!$B$9,B117*Options!$Z$5,0)</f>
        <v/>
      </c>
      <c r="M117" s="13" t="n">
        <v>0</v>
      </c>
      <c r="N117" s="13">
        <f>SUM(E117:M117)</f>
        <v/>
      </c>
    </row>
    <row r="118">
      <c r="A118" s="5">
        <f>IF(AND(C118&gt;=Options!$B$9,C118&lt;=Options!$B$10),"Chicago","")</f>
        <v/>
      </c>
      <c r="B118" s="5">
        <f>IF(A118="","",18)</f>
        <v/>
      </c>
      <c r="C118" s="17" t="n">
        <v>46409</v>
      </c>
      <c r="D118" s="5">
        <f>IF(A118="","",IF(C118=DATE(2026,11,29),"培训；注册午餐；早餐参数",IF(C118=DATE(2026,11,30),"培训；注册午餐",IF(C118=DATE(2026,12,1),"培训；注册午餐；机构晚餐",IF(C118=Options!$B$9,"抵达；"&amp;IF(C118=DATE(2026,11,28),"机构晚餐","无统一供餐"),IF(C118=Options!$B$10,"返程；"&amp;IF(C118=DATE(2026,12,2),"机构午餐","无统一供餐"),"差旅状态；无统一日程"))))))</f>
        <v/>
      </c>
      <c r="E118" s="13">
        <f>IF(C118=Options!$B$9,Options!$C$14,0)</f>
        <v/>
      </c>
      <c r="F118" s="13">
        <f>IF(AND(A118&lt;&gt;"",C118&lt;Options!$B$10),B118*Options!$X$5,0)</f>
        <v/>
      </c>
      <c r="G118" s="13">
        <f>F118*12%</f>
        <v/>
      </c>
      <c r="H118" s="13">
        <f>IF(A118="",0,B118*(92*IF(OR(C118=Options!$B$9,C118=Options!$B$10),75%,100%)-IF(C118=DATE(2026,11,29),26+IF(Options!$B$8="是",23,0),0)-IF(C118=DATE(2026,11,30),26,0)-IF(C118=DATE(2026,12,1),64,0)-IF(C118=DATE(2026,11,28),38,0)-IF(C118=DATE(2026,12,2),26,0)))</f>
        <v/>
      </c>
      <c r="I118" s="13">
        <f>IF(AND(C118&gt;=DATE(2026,11,29),C118&lt;=DATE(2026,12,1)),B118*60,0)</f>
        <v/>
      </c>
      <c r="J118" s="13">
        <f>IF(A118="",0,B118*(IF(C118=DATE(2026,11,28),38,0)+IF(C118=DATE(2026,12,1),38,0)+IF(C118=DATE(2026,12,2),26,0)))</f>
        <v/>
      </c>
      <c r="K118" s="13">
        <f>IF(C118=Options!$B$9,B118*12,0)</f>
        <v/>
      </c>
      <c r="L118" s="13">
        <f>IF(C118=Options!$B$9,B118*Options!$Z$5,0)</f>
        <v/>
      </c>
      <c r="M118" s="13" t="n">
        <v>0</v>
      </c>
      <c r="N118" s="13">
        <f>SUM(E118:M118)</f>
        <v/>
      </c>
    </row>
    <row r="119">
      <c r="A119" s="5">
        <f>IF(AND(C119&gt;=Options!$B$9,C119&lt;=Options!$B$10),"Chicago","")</f>
        <v/>
      </c>
      <c r="B119" s="5">
        <f>IF(A119="","",18)</f>
        <v/>
      </c>
      <c r="C119" s="17" t="n">
        <v>46410</v>
      </c>
      <c r="D119" s="5">
        <f>IF(A119="","",IF(C119=DATE(2026,11,29),"培训；注册午餐；早餐参数",IF(C119=DATE(2026,11,30),"培训；注册午餐",IF(C119=DATE(2026,12,1),"培训；注册午餐；机构晚餐",IF(C119=Options!$B$9,"抵达；"&amp;IF(C119=DATE(2026,11,28),"机构晚餐","无统一供餐"),IF(C119=Options!$B$10,"返程；"&amp;IF(C119=DATE(2026,12,2),"机构午餐","无统一供餐"),"差旅状态；无统一日程"))))))</f>
        <v/>
      </c>
      <c r="E119" s="13">
        <f>IF(C119=Options!$B$9,Options!$C$14,0)</f>
        <v/>
      </c>
      <c r="F119" s="13">
        <f>IF(AND(A119&lt;&gt;"",C119&lt;Options!$B$10),B119*Options!$X$5,0)</f>
        <v/>
      </c>
      <c r="G119" s="13">
        <f>F119*12%</f>
        <v/>
      </c>
      <c r="H119" s="13">
        <f>IF(A119="",0,B119*(92*IF(OR(C119=Options!$B$9,C119=Options!$B$10),75%,100%)-IF(C119=DATE(2026,11,29),26+IF(Options!$B$8="是",23,0),0)-IF(C119=DATE(2026,11,30),26,0)-IF(C119=DATE(2026,12,1),64,0)-IF(C119=DATE(2026,11,28),38,0)-IF(C119=DATE(2026,12,2),26,0)))</f>
        <v/>
      </c>
      <c r="I119" s="13">
        <f>IF(AND(C119&gt;=DATE(2026,11,29),C119&lt;=DATE(2026,12,1)),B119*60,0)</f>
        <v/>
      </c>
      <c r="J119" s="13">
        <f>IF(A119="",0,B119*(IF(C119=DATE(2026,11,28),38,0)+IF(C119=DATE(2026,12,1),38,0)+IF(C119=DATE(2026,12,2),26,0)))</f>
        <v/>
      </c>
      <c r="K119" s="13">
        <f>IF(C119=Options!$B$9,B119*12,0)</f>
        <v/>
      </c>
      <c r="L119" s="13">
        <f>IF(C119=Options!$B$9,B119*Options!$Z$5,0)</f>
        <v/>
      </c>
      <c r="M119" s="13" t="n">
        <v>0</v>
      </c>
      <c r="N119" s="13">
        <f>SUM(E119:M119)</f>
        <v/>
      </c>
    </row>
    <row r="120">
      <c r="A120" s="5">
        <f>IF(AND(C120&gt;=Options!$B$9,C120&lt;=Options!$B$10),"Chicago","")</f>
        <v/>
      </c>
      <c r="B120" s="5">
        <f>IF(A120="","",18)</f>
        <v/>
      </c>
      <c r="C120" s="17" t="n">
        <v>46411</v>
      </c>
      <c r="D120" s="5">
        <f>IF(A120="","",IF(C120=DATE(2026,11,29),"培训；注册午餐；早餐参数",IF(C120=DATE(2026,11,30),"培训；注册午餐",IF(C120=DATE(2026,12,1),"培训；注册午餐；机构晚餐",IF(C120=Options!$B$9,"抵达；"&amp;IF(C120=DATE(2026,11,28),"机构晚餐","无统一供餐"),IF(C120=Options!$B$10,"返程；"&amp;IF(C120=DATE(2026,12,2),"机构午餐","无统一供餐"),"差旅状态；无统一日程"))))))</f>
        <v/>
      </c>
      <c r="E120" s="13">
        <f>IF(C120=Options!$B$9,Options!$C$14,0)</f>
        <v/>
      </c>
      <c r="F120" s="13">
        <f>IF(AND(A120&lt;&gt;"",C120&lt;Options!$B$10),B120*Options!$X$5,0)</f>
        <v/>
      </c>
      <c r="G120" s="13">
        <f>F120*12%</f>
        <v/>
      </c>
      <c r="H120" s="13">
        <f>IF(A120="",0,B120*(92*IF(OR(C120=Options!$B$9,C120=Options!$B$10),75%,100%)-IF(C120=DATE(2026,11,29),26+IF(Options!$B$8="是",23,0),0)-IF(C120=DATE(2026,11,30),26,0)-IF(C120=DATE(2026,12,1),64,0)-IF(C120=DATE(2026,11,28),38,0)-IF(C120=DATE(2026,12,2),26,0)))</f>
        <v/>
      </c>
      <c r="I120" s="13">
        <f>IF(AND(C120&gt;=DATE(2026,11,29),C120&lt;=DATE(2026,12,1)),B120*60,0)</f>
        <v/>
      </c>
      <c r="J120" s="13">
        <f>IF(A120="",0,B120*(IF(C120=DATE(2026,11,28),38,0)+IF(C120=DATE(2026,12,1),38,0)+IF(C120=DATE(2026,12,2),26,0)))</f>
        <v/>
      </c>
      <c r="K120" s="13">
        <f>IF(C120=Options!$B$9,B120*12,0)</f>
        <v/>
      </c>
      <c r="L120" s="13">
        <f>IF(C120=Options!$B$9,B120*Options!$Z$5,0)</f>
        <v/>
      </c>
      <c r="M120" s="13" t="n">
        <v>0</v>
      </c>
      <c r="N120" s="13">
        <f>SUM(E120:M120)</f>
        <v/>
      </c>
    </row>
    <row r="121">
      <c r="A121" s="5">
        <f>IF(AND(C121&gt;=Options!$B$9,C121&lt;=Options!$B$10),"Chicago","")</f>
        <v/>
      </c>
      <c r="B121" s="5">
        <f>IF(A121="","",18)</f>
        <v/>
      </c>
      <c r="C121" s="17" t="n">
        <v>46412</v>
      </c>
      <c r="D121" s="5">
        <f>IF(A121="","",IF(C121=DATE(2026,11,29),"培训；注册午餐；早餐参数",IF(C121=DATE(2026,11,30),"培训；注册午餐",IF(C121=DATE(2026,12,1),"培训；注册午餐；机构晚餐",IF(C121=Options!$B$9,"抵达；"&amp;IF(C121=DATE(2026,11,28),"机构晚餐","无统一供餐"),IF(C121=Options!$B$10,"返程；"&amp;IF(C121=DATE(2026,12,2),"机构午餐","无统一供餐"),"差旅状态；无统一日程"))))))</f>
        <v/>
      </c>
      <c r="E121" s="13">
        <f>IF(C121=Options!$B$9,Options!$C$14,0)</f>
        <v/>
      </c>
      <c r="F121" s="13">
        <f>IF(AND(A121&lt;&gt;"",C121&lt;Options!$B$10),B121*Options!$X$5,0)</f>
        <v/>
      </c>
      <c r="G121" s="13">
        <f>F121*12%</f>
        <v/>
      </c>
      <c r="H121" s="13">
        <f>IF(A121="",0,B121*(92*IF(OR(C121=Options!$B$9,C121=Options!$B$10),75%,100%)-IF(C121=DATE(2026,11,29),26+IF(Options!$B$8="是",23,0),0)-IF(C121=DATE(2026,11,30),26,0)-IF(C121=DATE(2026,12,1),64,0)-IF(C121=DATE(2026,11,28),38,0)-IF(C121=DATE(2026,12,2),26,0)))</f>
        <v/>
      </c>
      <c r="I121" s="13">
        <f>IF(AND(C121&gt;=DATE(2026,11,29),C121&lt;=DATE(2026,12,1)),B121*60,0)</f>
        <v/>
      </c>
      <c r="J121" s="13">
        <f>IF(A121="",0,B121*(IF(C121=DATE(2026,11,28),38,0)+IF(C121=DATE(2026,12,1),38,0)+IF(C121=DATE(2026,12,2),26,0)))</f>
        <v/>
      </c>
      <c r="K121" s="13">
        <f>IF(C121=Options!$B$9,B121*12,0)</f>
        <v/>
      </c>
      <c r="L121" s="13">
        <f>IF(C121=Options!$B$9,B121*Options!$Z$5,0)</f>
        <v/>
      </c>
      <c r="M121" s="13" t="n">
        <v>0</v>
      </c>
      <c r="N121" s="13">
        <f>SUM(E121:M121)</f>
        <v/>
      </c>
    </row>
    <row r="122">
      <c r="A122" s="5">
        <f>IF(AND(C122&gt;=Options!$B$9,C122&lt;=Options!$B$10),"Chicago","")</f>
        <v/>
      </c>
      <c r="B122" s="5">
        <f>IF(A122="","",18)</f>
        <v/>
      </c>
      <c r="C122" s="17" t="n">
        <v>46413</v>
      </c>
      <c r="D122" s="5">
        <f>IF(A122="","",IF(C122=DATE(2026,11,29),"培训；注册午餐；早餐参数",IF(C122=DATE(2026,11,30),"培训；注册午餐",IF(C122=DATE(2026,12,1),"培训；注册午餐；机构晚餐",IF(C122=Options!$B$9,"抵达；"&amp;IF(C122=DATE(2026,11,28),"机构晚餐","无统一供餐"),IF(C122=Options!$B$10,"返程；"&amp;IF(C122=DATE(2026,12,2),"机构午餐","无统一供餐"),"差旅状态；无统一日程"))))))</f>
        <v/>
      </c>
      <c r="E122" s="13">
        <f>IF(C122=Options!$B$9,Options!$C$14,0)</f>
        <v/>
      </c>
      <c r="F122" s="13">
        <f>IF(AND(A122&lt;&gt;"",C122&lt;Options!$B$10),B122*Options!$X$5,0)</f>
        <v/>
      </c>
      <c r="G122" s="13">
        <f>F122*12%</f>
        <v/>
      </c>
      <c r="H122" s="13">
        <f>IF(A122="",0,B122*(92*IF(OR(C122=Options!$B$9,C122=Options!$B$10),75%,100%)-IF(C122=DATE(2026,11,29),26+IF(Options!$B$8="是",23,0),0)-IF(C122=DATE(2026,11,30),26,0)-IF(C122=DATE(2026,12,1),64,0)-IF(C122=DATE(2026,11,28),38,0)-IF(C122=DATE(2026,12,2),26,0)))</f>
        <v/>
      </c>
      <c r="I122" s="13">
        <f>IF(AND(C122&gt;=DATE(2026,11,29),C122&lt;=DATE(2026,12,1)),B122*60,0)</f>
        <v/>
      </c>
      <c r="J122" s="13">
        <f>IF(A122="",0,B122*(IF(C122=DATE(2026,11,28),38,0)+IF(C122=DATE(2026,12,1),38,0)+IF(C122=DATE(2026,12,2),26,0)))</f>
        <v/>
      </c>
      <c r="K122" s="13">
        <f>IF(C122=Options!$B$9,B122*12,0)</f>
        <v/>
      </c>
      <c r="L122" s="13">
        <f>IF(C122=Options!$B$9,B122*Options!$Z$5,0)</f>
        <v/>
      </c>
      <c r="M122" s="13" t="n">
        <v>0</v>
      </c>
      <c r="N122" s="13">
        <f>SUM(E122:M122)</f>
        <v/>
      </c>
    </row>
    <row r="123">
      <c r="A123" s="5">
        <f>IF(AND(C123&gt;=Options!$B$9,C123&lt;=Options!$B$10),"Chicago","")</f>
        <v/>
      </c>
      <c r="B123" s="5">
        <f>IF(A123="","",18)</f>
        <v/>
      </c>
      <c r="C123" s="17" t="n">
        <v>46414</v>
      </c>
      <c r="D123" s="5">
        <f>IF(A123="","",IF(C123=DATE(2026,11,29),"培训；注册午餐；早餐参数",IF(C123=DATE(2026,11,30),"培训；注册午餐",IF(C123=DATE(2026,12,1),"培训；注册午餐；机构晚餐",IF(C123=Options!$B$9,"抵达；"&amp;IF(C123=DATE(2026,11,28),"机构晚餐","无统一供餐"),IF(C123=Options!$B$10,"返程；"&amp;IF(C123=DATE(2026,12,2),"机构午餐","无统一供餐"),"差旅状态；无统一日程"))))))</f>
        <v/>
      </c>
      <c r="E123" s="13">
        <f>IF(C123=Options!$B$9,Options!$C$14,0)</f>
        <v/>
      </c>
      <c r="F123" s="13">
        <f>IF(AND(A123&lt;&gt;"",C123&lt;Options!$B$10),B123*Options!$X$5,0)</f>
        <v/>
      </c>
      <c r="G123" s="13">
        <f>F123*12%</f>
        <v/>
      </c>
      <c r="H123" s="13">
        <f>IF(A123="",0,B123*(92*IF(OR(C123=Options!$B$9,C123=Options!$B$10),75%,100%)-IF(C123=DATE(2026,11,29),26+IF(Options!$B$8="是",23,0),0)-IF(C123=DATE(2026,11,30),26,0)-IF(C123=DATE(2026,12,1),64,0)-IF(C123=DATE(2026,11,28),38,0)-IF(C123=DATE(2026,12,2),26,0)))</f>
        <v/>
      </c>
      <c r="I123" s="13">
        <f>IF(AND(C123&gt;=DATE(2026,11,29),C123&lt;=DATE(2026,12,1)),B123*60,0)</f>
        <v/>
      </c>
      <c r="J123" s="13">
        <f>IF(A123="",0,B123*(IF(C123=DATE(2026,11,28),38,0)+IF(C123=DATE(2026,12,1),38,0)+IF(C123=DATE(2026,12,2),26,0)))</f>
        <v/>
      </c>
      <c r="K123" s="13">
        <f>IF(C123=Options!$B$9,B123*12,0)</f>
        <v/>
      </c>
      <c r="L123" s="13">
        <f>IF(C123=Options!$B$9,B123*Options!$Z$5,0)</f>
        <v/>
      </c>
      <c r="M123" s="13" t="n">
        <v>0</v>
      </c>
      <c r="N123" s="13">
        <f>SUM(E123:M123)</f>
        <v/>
      </c>
    </row>
    <row r="124">
      <c r="A124" s="5">
        <f>IF(AND(C124&gt;=Options!$B$9,C124&lt;=Options!$B$10),"Chicago","")</f>
        <v/>
      </c>
      <c r="B124" s="5">
        <f>IF(A124="","",18)</f>
        <v/>
      </c>
      <c r="C124" s="17" t="n">
        <v>46415</v>
      </c>
      <c r="D124" s="5">
        <f>IF(A124="","",IF(C124=DATE(2026,11,29),"培训；注册午餐；早餐参数",IF(C124=DATE(2026,11,30),"培训；注册午餐",IF(C124=DATE(2026,12,1),"培训；注册午餐；机构晚餐",IF(C124=Options!$B$9,"抵达；"&amp;IF(C124=DATE(2026,11,28),"机构晚餐","无统一供餐"),IF(C124=Options!$B$10,"返程；"&amp;IF(C124=DATE(2026,12,2),"机构午餐","无统一供餐"),"差旅状态；无统一日程"))))))</f>
        <v/>
      </c>
      <c r="E124" s="13">
        <f>IF(C124=Options!$B$9,Options!$C$14,0)</f>
        <v/>
      </c>
      <c r="F124" s="13">
        <f>IF(AND(A124&lt;&gt;"",C124&lt;Options!$B$10),B124*Options!$X$5,0)</f>
        <v/>
      </c>
      <c r="G124" s="13">
        <f>F124*12%</f>
        <v/>
      </c>
      <c r="H124" s="13">
        <f>IF(A124="",0,B124*(92*IF(OR(C124=Options!$B$9,C124=Options!$B$10),75%,100%)-IF(C124=DATE(2026,11,29),26+IF(Options!$B$8="是",23,0),0)-IF(C124=DATE(2026,11,30),26,0)-IF(C124=DATE(2026,12,1),64,0)-IF(C124=DATE(2026,11,28),38,0)-IF(C124=DATE(2026,12,2),26,0)))</f>
        <v/>
      </c>
      <c r="I124" s="13">
        <f>IF(AND(C124&gt;=DATE(2026,11,29),C124&lt;=DATE(2026,12,1)),B124*60,0)</f>
        <v/>
      </c>
      <c r="J124" s="13">
        <f>IF(A124="",0,B124*(IF(C124=DATE(2026,11,28),38,0)+IF(C124=DATE(2026,12,1),38,0)+IF(C124=DATE(2026,12,2),26,0)))</f>
        <v/>
      </c>
      <c r="K124" s="13">
        <f>IF(C124=Options!$B$9,B124*12,0)</f>
        <v/>
      </c>
      <c r="L124" s="13">
        <f>IF(C124=Options!$B$9,B124*Options!$Z$5,0)</f>
        <v/>
      </c>
      <c r="M124" s="13" t="n">
        <v>0</v>
      </c>
      <c r="N124" s="13">
        <f>SUM(E124:M124)</f>
        <v/>
      </c>
    </row>
    <row r="125">
      <c r="A125" s="5">
        <f>IF(AND(C125&gt;=Options!$B$9,C125&lt;=Options!$B$10),"Chicago","")</f>
        <v/>
      </c>
      <c r="B125" s="5">
        <f>IF(A125="","",18)</f>
        <v/>
      </c>
      <c r="C125" s="17" t="n">
        <v>46416</v>
      </c>
      <c r="D125" s="5">
        <f>IF(A125="","",IF(C125=DATE(2026,11,29),"培训；注册午餐；早餐参数",IF(C125=DATE(2026,11,30),"培训；注册午餐",IF(C125=DATE(2026,12,1),"培训；注册午餐；机构晚餐",IF(C125=Options!$B$9,"抵达；"&amp;IF(C125=DATE(2026,11,28),"机构晚餐","无统一供餐"),IF(C125=Options!$B$10,"返程；"&amp;IF(C125=DATE(2026,12,2),"机构午餐","无统一供餐"),"差旅状态；无统一日程"))))))</f>
        <v/>
      </c>
      <c r="E125" s="13">
        <f>IF(C125=Options!$B$9,Options!$C$14,0)</f>
        <v/>
      </c>
      <c r="F125" s="13">
        <f>IF(AND(A125&lt;&gt;"",C125&lt;Options!$B$10),B125*Options!$X$5,0)</f>
        <v/>
      </c>
      <c r="G125" s="13">
        <f>F125*12%</f>
        <v/>
      </c>
      <c r="H125" s="13">
        <f>IF(A125="",0,B125*(92*IF(OR(C125=Options!$B$9,C125=Options!$B$10),75%,100%)-IF(C125=DATE(2026,11,29),26+IF(Options!$B$8="是",23,0),0)-IF(C125=DATE(2026,11,30),26,0)-IF(C125=DATE(2026,12,1),64,0)-IF(C125=DATE(2026,11,28),38,0)-IF(C125=DATE(2026,12,2),26,0)))</f>
        <v/>
      </c>
      <c r="I125" s="13">
        <f>IF(AND(C125&gt;=DATE(2026,11,29),C125&lt;=DATE(2026,12,1)),B125*60,0)</f>
        <v/>
      </c>
      <c r="J125" s="13">
        <f>IF(A125="",0,B125*(IF(C125=DATE(2026,11,28),38,0)+IF(C125=DATE(2026,12,1),38,0)+IF(C125=DATE(2026,12,2),26,0)))</f>
        <v/>
      </c>
      <c r="K125" s="13">
        <f>IF(C125=Options!$B$9,B125*12,0)</f>
        <v/>
      </c>
      <c r="L125" s="13">
        <f>IF(C125=Options!$B$9,B125*Options!$Z$5,0)</f>
        <v/>
      </c>
      <c r="M125" s="13" t="n">
        <v>0</v>
      </c>
      <c r="N125" s="13">
        <f>SUM(E125:M125)</f>
        <v/>
      </c>
    </row>
    <row r="126">
      <c r="A126" s="5">
        <f>IF(AND(C126&gt;=Options!$B$9,C126&lt;=Options!$B$10),"Chicago","")</f>
        <v/>
      </c>
      <c r="B126" s="5">
        <f>IF(A126="","",18)</f>
        <v/>
      </c>
      <c r="C126" s="17" t="n">
        <v>46417</v>
      </c>
      <c r="D126" s="5">
        <f>IF(A126="","",IF(C126=DATE(2026,11,29),"培训；注册午餐；早餐参数",IF(C126=DATE(2026,11,30),"培训；注册午餐",IF(C126=DATE(2026,12,1),"培训；注册午餐；机构晚餐",IF(C126=Options!$B$9,"抵达；"&amp;IF(C126=DATE(2026,11,28),"机构晚餐","无统一供餐"),IF(C126=Options!$B$10,"返程；"&amp;IF(C126=DATE(2026,12,2),"机构午餐","无统一供餐"),"差旅状态；无统一日程"))))))</f>
        <v/>
      </c>
      <c r="E126" s="13">
        <f>IF(C126=Options!$B$9,Options!$C$14,0)</f>
        <v/>
      </c>
      <c r="F126" s="13">
        <f>IF(AND(A126&lt;&gt;"",C126&lt;Options!$B$10),B126*Options!$X$5,0)</f>
        <v/>
      </c>
      <c r="G126" s="13">
        <f>F126*12%</f>
        <v/>
      </c>
      <c r="H126" s="13">
        <f>IF(A126="",0,B126*(92*IF(OR(C126=Options!$B$9,C126=Options!$B$10),75%,100%)-IF(C126=DATE(2026,11,29),26+IF(Options!$B$8="是",23,0),0)-IF(C126=DATE(2026,11,30),26,0)-IF(C126=DATE(2026,12,1),64,0)-IF(C126=DATE(2026,11,28),38,0)-IF(C126=DATE(2026,12,2),26,0)))</f>
        <v/>
      </c>
      <c r="I126" s="13">
        <f>IF(AND(C126&gt;=DATE(2026,11,29),C126&lt;=DATE(2026,12,1)),B126*60,0)</f>
        <v/>
      </c>
      <c r="J126" s="13">
        <f>IF(A126="",0,B126*(IF(C126=DATE(2026,11,28),38,0)+IF(C126=DATE(2026,12,1),38,0)+IF(C126=DATE(2026,12,2),26,0)))</f>
        <v/>
      </c>
      <c r="K126" s="13">
        <f>IF(C126=Options!$B$9,B126*12,0)</f>
        <v/>
      </c>
      <c r="L126" s="13">
        <f>IF(C126=Options!$B$9,B126*Options!$Z$5,0)</f>
        <v/>
      </c>
      <c r="M126" s="13" t="n">
        <v>0</v>
      </c>
      <c r="N126" s="13">
        <f>SUM(E126:M126)</f>
        <v/>
      </c>
    </row>
    <row r="127">
      <c r="A127" s="5">
        <f>IF(AND(C127&gt;=Options!$B$9,C127&lt;=Options!$B$10),"Chicago","")</f>
        <v/>
      </c>
      <c r="B127" s="5">
        <f>IF(A127="","",18)</f>
        <v/>
      </c>
      <c r="C127" s="17" t="n">
        <v>46418</v>
      </c>
      <c r="D127" s="5">
        <f>IF(A127="","",IF(C127=DATE(2026,11,29),"培训；注册午餐；早餐参数",IF(C127=DATE(2026,11,30),"培训；注册午餐",IF(C127=DATE(2026,12,1),"培训；注册午餐；机构晚餐",IF(C127=Options!$B$9,"抵达；"&amp;IF(C127=DATE(2026,11,28),"机构晚餐","无统一供餐"),IF(C127=Options!$B$10,"返程；"&amp;IF(C127=DATE(2026,12,2),"机构午餐","无统一供餐"),"差旅状态；无统一日程"))))))</f>
        <v/>
      </c>
      <c r="E127" s="13">
        <f>IF(C127=Options!$B$9,Options!$C$14,0)</f>
        <v/>
      </c>
      <c r="F127" s="13">
        <f>IF(AND(A127&lt;&gt;"",C127&lt;Options!$B$10),B127*Options!$X$5,0)</f>
        <v/>
      </c>
      <c r="G127" s="13">
        <f>F127*12%</f>
        <v/>
      </c>
      <c r="H127" s="13">
        <f>IF(A127="",0,B127*(92*IF(OR(C127=Options!$B$9,C127=Options!$B$10),75%,100%)-IF(C127=DATE(2026,11,29),26+IF(Options!$B$8="是",23,0),0)-IF(C127=DATE(2026,11,30),26,0)-IF(C127=DATE(2026,12,1),64,0)-IF(C127=DATE(2026,11,28),38,0)-IF(C127=DATE(2026,12,2),26,0)))</f>
        <v/>
      </c>
      <c r="I127" s="13">
        <f>IF(AND(C127&gt;=DATE(2026,11,29),C127&lt;=DATE(2026,12,1)),B127*60,0)</f>
        <v/>
      </c>
      <c r="J127" s="13">
        <f>IF(A127="",0,B127*(IF(C127=DATE(2026,11,28),38,0)+IF(C127=DATE(2026,12,1),38,0)+IF(C127=DATE(2026,12,2),26,0)))</f>
        <v/>
      </c>
      <c r="K127" s="13">
        <f>IF(C127=Options!$B$9,B127*12,0)</f>
        <v/>
      </c>
      <c r="L127" s="13">
        <f>IF(C127=Options!$B$9,B127*Options!$Z$5,0)</f>
        <v/>
      </c>
      <c r="M127" s="13" t="n">
        <v>0</v>
      </c>
      <c r="N127" s="13">
        <f>SUM(E127:M127)</f>
        <v/>
      </c>
    </row>
    <row r="128">
      <c r="A128" s="5">
        <f>IF(AND(C128&gt;=Options!$B$9,C128&lt;=Options!$B$10),"Chicago","")</f>
        <v/>
      </c>
      <c r="B128" s="5">
        <f>IF(A128="","",18)</f>
        <v/>
      </c>
      <c r="C128" s="17" t="n">
        <v>46419</v>
      </c>
      <c r="D128" s="5">
        <f>IF(A128="","",IF(C128=DATE(2026,11,29),"培训；注册午餐；早餐参数",IF(C128=DATE(2026,11,30),"培训；注册午餐",IF(C128=DATE(2026,12,1),"培训；注册午餐；机构晚餐",IF(C128=Options!$B$9,"抵达；"&amp;IF(C128=DATE(2026,11,28),"机构晚餐","无统一供餐"),IF(C128=Options!$B$10,"返程；"&amp;IF(C128=DATE(2026,12,2),"机构午餐","无统一供餐"),"差旅状态；无统一日程"))))))</f>
        <v/>
      </c>
      <c r="E128" s="13">
        <f>IF(C128=Options!$B$9,Options!$C$14,0)</f>
        <v/>
      </c>
      <c r="F128" s="13">
        <f>IF(AND(A128&lt;&gt;"",C128&lt;Options!$B$10),B128*Options!$X$5,0)</f>
        <v/>
      </c>
      <c r="G128" s="13">
        <f>F128*12%</f>
        <v/>
      </c>
      <c r="H128" s="13">
        <f>IF(A128="",0,B128*(92*IF(OR(C128=Options!$B$9,C128=Options!$B$10),75%,100%)-IF(C128=DATE(2026,11,29),26+IF(Options!$B$8="是",23,0),0)-IF(C128=DATE(2026,11,30),26,0)-IF(C128=DATE(2026,12,1),64,0)-IF(C128=DATE(2026,11,28),38,0)-IF(C128=DATE(2026,12,2),26,0)))</f>
        <v/>
      </c>
      <c r="I128" s="13">
        <f>IF(AND(C128&gt;=DATE(2026,11,29),C128&lt;=DATE(2026,12,1)),B128*60,0)</f>
        <v/>
      </c>
      <c r="J128" s="13">
        <f>IF(A128="",0,B128*(IF(C128=DATE(2026,11,28),38,0)+IF(C128=DATE(2026,12,1),38,0)+IF(C128=DATE(2026,12,2),26,0)))</f>
        <v/>
      </c>
      <c r="K128" s="13">
        <f>IF(C128=Options!$B$9,B128*12,0)</f>
        <v/>
      </c>
      <c r="L128" s="13">
        <f>IF(C128=Options!$B$9,B128*Options!$Z$5,0)</f>
        <v/>
      </c>
      <c r="M128" s="13" t="n">
        <v>0</v>
      </c>
      <c r="N128" s="13">
        <f>SUM(E128:M128)</f>
        <v/>
      </c>
    </row>
    <row r="129">
      <c r="A129" s="5">
        <f>IF(AND(C129&gt;=Options!$B$9,C129&lt;=Options!$B$10),"Chicago","")</f>
        <v/>
      </c>
      <c r="B129" s="5">
        <f>IF(A129="","",18)</f>
        <v/>
      </c>
      <c r="C129" s="17" t="n">
        <v>46420</v>
      </c>
      <c r="D129" s="5">
        <f>IF(A129="","",IF(C129=DATE(2026,11,29),"培训；注册午餐；早餐参数",IF(C129=DATE(2026,11,30),"培训；注册午餐",IF(C129=DATE(2026,12,1),"培训；注册午餐；机构晚餐",IF(C129=Options!$B$9,"抵达；"&amp;IF(C129=DATE(2026,11,28),"机构晚餐","无统一供餐"),IF(C129=Options!$B$10,"返程；"&amp;IF(C129=DATE(2026,12,2),"机构午餐","无统一供餐"),"差旅状态；无统一日程"))))))</f>
        <v/>
      </c>
      <c r="E129" s="13">
        <f>IF(C129=Options!$B$9,Options!$C$14,0)</f>
        <v/>
      </c>
      <c r="F129" s="13">
        <f>IF(AND(A129&lt;&gt;"",C129&lt;Options!$B$10),B129*Options!$X$5,0)</f>
        <v/>
      </c>
      <c r="G129" s="13">
        <f>F129*12%</f>
        <v/>
      </c>
      <c r="H129" s="13">
        <f>IF(A129="",0,B129*(92*IF(OR(C129=Options!$B$9,C129=Options!$B$10),75%,100%)-IF(C129=DATE(2026,11,29),26+IF(Options!$B$8="是",23,0),0)-IF(C129=DATE(2026,11,30),26,0)-IF(C129=DATE(2026,12,1),64,0)-IF(C129=DATE(2026,11,28),38,0)-IF(C129=DATE(2026,12,2),26,0)))</f>
        <v/>
      </c>
      <c r="I129" s="13">
        <f>IF(AND(C129&gt;=DATE(2026,11,29),C129&lt;=DATE(2026,12,1)),B129*60,0)</f>
        <v/>
      </c>
      <c r="J129" s="13">
        <f>IF(A129="",0,B129*(IF(C129=DATE(2026,11,28),38,0)+IF(C129=DATE(2026,12,1),38,0)+IF(C129=DATE(2026,12,2),26,0)))</f>
        <v/>
      </c>
      <c r="K129" s="13">
        <f>IF(C129=Options!$B$9,B129*12,0)</f>
        <v/>
      </c>
      <c r="L129" s="13">
        <f>IF(C129=Options!$B$9,B129*Options!$Z$5,0)</f>
        <v/>
      </c>
      <c r="M129" s="13" t="n">
        <v>0</v>
      </c>
      <c r="N129" s="13">
        <f>SUM(E129:M129)</f>
        <v/>
      </c>
    </row>
    <row r="130">
      <c r="A130" s="5">
        <f>IF(AND(C130&gt;=Options!$B$9,C130&lt;=Options!$B$10),"Chicago","")</f>
        <v/>
      </c>
      <c r="B130" s="5">
        <f>IF(A130="","",18)</f>
        <v/>
      </c>
      <c r="C130" s="17" t="n">
        <v>46421</v>
      </c>
      <c r="D130" s="5">
        <f>IF(A130="","",IF(C130=DATE(2026,11,29),"培训；注册午餐；早餐参数",IF(C130=DATE(2026,11,30),"培训；注册午餐",IF(C130=DATE(2026,12,1),"培训；注册午餐；机构晚餐",IF(C130=Options!$B$9,"抵达；"&amp;IF(C130=DATE(2026,11,28),"机构晚餐","无统一供餐"),IF(C130=Options!$B$10,"返程；"&amp;IF(C130=DATE(2026,12,2),"机构午餐","无统一供餐"),"差旅状态；无统一日程"))))))</f>
        <v/>
      </c>
      <c r="E130" s="13">
        <f>IF(C130=Options!$B$9,Options!$C$14,0)</f>
        <v/>
      </c>
      <c r="F130" s="13">
        <f>IF(AND(A130&lt;&gt;"",C130&lt;Options!$B$10),B130*Options!$X$5,0)</f>
        <v/>
      </c>
      <c r="G130" s="13">
        <f>F130*12%</f>
        <v/>
      </c>
      <c r="H130" s="13">
        <f>IF(A130="",0,B130*(92*IF(OR(C130=Options!$B$9,C130=Options!$B$10),75%,100%)-IF(C130=DATE(2026,11,29),26+IF(Options!$B$8="是",23,0),0)-IF(C130=DATE(2026,11,30),26,0)-IF(C130=DATE(2026,12,1),64,0)-IF(C130=DATE(2026,11,28),38,0)-IF(C130=DATE(2026,12,2),26,0)))</f>
        <v/>
      </c>
      <c r="I130" s="13">
        <f>IF(AND(C130&gt;=DATE(2026,11,29),C130&lt;=DATE(2026,12,1)),B130*60,0)</f>
        <v/>
      </c>
      <c r="J130" s="13">
        <f>IF(A130="",0,B130*(IF(C130=DATE(2026,11,28),38,0)+IF(C130=DATE(2026,12,1),38,0)+IF(C130=DATE(2026,12,2),26,0)))</f>
        <v/>
      </c>
      <c r="K130" s="13">
        <f>IF(C130=Options!$B$9,B130*12,0)</f>
        <v/>
      </c>
      <c r="L130" s="13">
        <f>IF(C130=Options!$B$9,B130*Options!$Z$5,0)</f>
        <v/>
      </c>
      <c r="M130" s="13" t="n">
        <v>0</v>
      </c>
      <c r="N130" s="13">
        <f>SUM(E130:M130)</f>
        <v/>
      </c>
    </row>
    <row r="131">
      <c r="A131" s="5">
        <f>IF(AND(C131&gt;=Options!$B$9,C131&lt;=Options!$B$10),"Chicago","")</f>
        <v/>
      </c>
      <c r="B131" s="5">
        <f>IF(A131="","",18)</f>
        <v/>
      </c>
      <c r="C131" s="17" t="n">
        <v>46422</v>
      </c>
      <c r="D131" s="5">
        <f>IF(A131="","",IF(C131=DATE(2026,11,29),"培训；注册午餐；早餐参数",IF(C131=DATE(2026,11,30),"培训；注册午餐",IF(C131=DATE(2026,12,1),"培训；注册午餐；机构晚餐",IF(C131=Options!$B$9,"抵达；"&amp;IF(C131=DATE(2026,11,28),"机构晚餐","无统一供餐"),IF(C131=Options!$B$10,"返程；"&amp;IF(C131=DATE(2026,12,2),"机构午餐","无统一供餐"),"差旅状态；无统一日程"))))))</f>
        <v/>
      </c>
      <c r="E131" s="13">
        <f>IF(C131=Options!$B$9,Options!$C$14,0)</f>
        <v/>
      </c>
      <c r="F131" s="13">
        <f>IF(AND(A131&lt;&gt;"",C131&lt;Options!$B$10),B131*Options!$X$5,0)</f>
        <v/>
      </c>
      <c r="G131" s="13">
        <f>F131*12%</f>
        <v/>
      </c>
      <c r="H131" s="13">
        <f>IF(A131="",0,B131*(92*IF(OR(C131=Options!$B$9,C131=Options!$B$10),75%,100%)-IF(C131=DATE(2026,11,29),26+IF(Options!$B$8="是",23,0),0)-IF(C131=DATE(2026,11,30),26,0)-IF(C131=DATE(2026,12,1),64,0)-IF(C131=DATE(2026,11,28),38,0)-IF(C131=DATE(2026,12,2),26,0)))</f>
        <v/>
      </c>
      <c r="I131" s="13">
        <f>IF(AND(C131&gt;=DATE(2026,11,29),C131&lt;=DATE(2026,12,1)),B131*60,0)</f>
        <v/>
      </c>
      <c r="J131" s="13">
        <f>IF(A131="",0,B131*(IF(C131=DATE(2026,11,28),38,0)+IF(C131=DATE(2026,12,1),38,0)+IF(C131=DATE(2026,12,2),26,0)))</f>
        <v/>
      </c>
      <c r="K131" s="13">
        <f>IF(C131=Options!$B$9,B131*12,0)</f>
        <v/>
      </c>
      <c r="L131" s="13">
        <f>IF(C131=Options!$B$9,B131*Options!$Z$5,0)</f>
        <v/>
      </c>
      <c r="M131" s="13" t="n">
        <v>0</v>
      </c>
      <c r="N131" s="13">
        <f>SUM(E131:M131)</f>
        <v/>
      </c>
    </row>
    <row r="132">
      <c r="A132" s="5">
        <f>IF(AND(C132&gt;=Options!$B$9,C132&lt;=Options!$B$10),"Chicago","")</f>
        <v/>
      </c>
      <c r="B132" s="5">
        <f>IF(A132="","",18)</f>
        <v/>
      </c>
      <c r="C132" s="17" t="n">
        <v>46423</v>
      </c>
      <c r="D132" s="5">
        <f>IF(A132="","",IF(C132=DATE(2026,11,29),"培训；注册午餐；早餐参数",IF(C132=DATE(2026,11,30),"培训；注册午餐",IF(C132=DATE(2026,12,1),"培训；注册午餐；机构晚餐",IF(C132=Options!$B$9,"抵达；"&amp;IF(C132=DATE(2026,11,28),"机构晚餐","无统一供餐"),IF(C132=Options!$B$10,"返程；"&amp;IF(C132=DATE(2026,12,2),"机构午餐","无统一供餐"),"差旅状态；无统一日程"))))))</f>
        <v/>
      </c>
      <c r="E132" s="13">
        <f>IF(C132=Options!$B$9,Options!$C$14,0)</f>
        <v/>
      </c>
      <c r="F132" s="13">
        <f>IF(AND(A132&lt;&gt;"",C132&lt;Options!$B$10),B132*Options!$X$5,0)</f>
        <v/>
      </c>
      <c r="G132" s="13">
        <f>F132*12%</f>
        <v/>
      </c>
      <c r="H132" s="13">
        <f>IF(A132="",0,B132*(92*IF(OR(C132=Options!$B$9,C132=Options!$B$10),75%,100%)-IF(C132=DATE(2026,11,29),26+IF(Options!$B$8="是",23,0),0)-IF(C132=DATE(2026,11,30),26,0)-IF(C132=DATE(2026,12,1),64,0)-IF(C132=DATE(2026,11,28),38,0)-IF(C132=DATE(2026,12,2),26,0)))</f>
        <v/>
      </c>
      <c r="I132" s="13">
        <f>IF(AND(C132&gt;=DATE(2026,11,29),C132&lt;=DATE(2026,12,1)),B132*60,0)</f>
        <v/>
      </c>
      <c r="J132" s="13">
        <f>IF(A132="",0,B132*(IF(C132=DATE(2026,11,28),38,0)+IF(C132=DATE(2026,12,1),38,0)+IF(C132=DATE(2026,12,2),26,0)))</f>
        <v/>
      </c>
      <c r="K132" s="13">
        <f>IF(C132=Options!$B$9,B132*12,0)</f>
        <v/>
      </c>
      <c r="L132" s="13">
        <f>IF(C132=Options!$B$9,B132*Options!$Z$5,0)</f>
        <v/>
      </c>
      <c r="M132" s="13" t="n">
        <v>0</v>
      </c>
      <c r="N132" s="13">
        <f>SUM(E132:M132)</f>
        <v/>
      </c>
    </row>
    <row r="133">
      <c r="A133" s="5">
        <f>IF(AND(C133&gt;=Options!$B$9,C133&lt;=Options!$B$10),"Chicago","")</f>
        <v/>
      </c>
      <c r="B133" s="5">
        <f>IF(A133="","",18)</f>
        <v/>
      </c>
      <c r="C133" s="17" t="n">
        <v>46424</v>
      </c>
      <c r="D133" s="5">
        <f>IF(A133="","",IF(C133=DATE(2026,11,29),"培训；注册午餐；早餐参数",IF(C133=DATE(2026,11,30),"培训；注册午餐",IF(C133=DATE(2026,12,1),"培训；注册午餐；机构晚餐",IF(C133=Options!$B$9,"抵达；"&amp;IF(C133=DATE(2026,11,28),"机构晚餐","无统一供餐"),IF(C133=Options!$B$10,"返程；"&amp;IF(C133=DATE(2026,12,2),"机构午餐","无统一供餐"),"差旅状态；无统一日程"))))))</f>
        <v/>
      </c>
      <c r="E133" s="13">
        <f>IF(C133=Options!$B$9,Options!$C$14,0)</f>
        <v/>
      </c>
      <c r="F133" s="13">
        <f>IF(AND(A133&lt;&gt;"",C133&lt;Options!$B$10),B133*Options!$X$5,0)</f>
        <v/>
      </c>
      <c r="G133" s="13">
        <f>F133*12%</f>
        <v/>
      </c>
      <c r="H133" s="13">
        <f>IF(A133="",0,B133*(92*IF(OR(C133=Options!$B$9,C133=Options!$B$10),75%,100%)-IF(C133=DATE(2026,11,29),26+IF(Options!$B$8="是",23,0),0)-IF(C133=DATE(2026,11,30),26,0)-IF(C133=DATE(2026,12,1),64,0)-IF(C133=DATE(2026,11,28),38,0)-IF(C133=DATE(2026,12,2),26,0)))</f>
        <v/>
      </c>
      <c r="I133" s="13">
        <f>IF(AND(C133&gt;=DATE(2026,11,29),C133&lt;=DATE(2026,12,1)),B133*60,0)</f>
        <v/>
      </c>
      <c r="J133" s="13">
        <f>IF(A133="",0,B133*(IF(C133=DATE(2026,11,28),38,0)+IF(C133=DATE(2026,12,1),38,0)+IF(C133=DATE(2026,12,2),26,0)))</f>
        <v/>
      </c>
      <c r="K133" s="13">
        <f>IF(C133=Options!$B$9,B133*12,0)</f>
        <v/>
      </c>
      <c r="L133" s="13">
        <f>IF(C133=Options!$B$9,B133*Options!$Z$5,0)</f>
        <v/>
      </c>
      <c r="M133" s="13" t="n">
        <v>0</v>
      </c>
      <c r="N133" s="13">
        <f>SUM(E133:M133)</f>
        <v/>
      </c>
    </row>
    <row r="134">
      <c r="A134" s="5">
        <f>IF(AND(C134&gt;=Options!$B$9,C134&lt;=Options!$B$10),"Chicago","")</f>
        <v/>
      </c>
      <c r="B134" s="5">
        <f>IF(A134="","",18)</f>
        <v/>
      </c>
      <c r="C134" s="17" t="n">
        <v>46425</v>
      </c>
      <c r="D134" s="5">
        <f>IF(A134="","",IF(C134=DATE(2026,11,29),"培训；注册午餐；早餐参数",IF(C134=DATE(2026,11,30),"培训；注册午餐",IF(C134=DATE(2026,12,1),"培训；注册午餐；机构晚餐",IF(C134=Options!$B$9,"抵达；"&amp;IF(C134=DATE(2026,11,28),"机构晚餐","无统一供餐"),IF(C134=Options!$B$10,"返程；"&amp;IF(C134=DATE(2026,12,2),"机构午餐","无统一供餐"),"差旅状态；无统一日程"))))))</f>
        <v/>
      </c>
      <c r="E134" s="13">
        <f>IF(C134=Options!$B$9,Options!$C$14,0)</f>
        <v/>
      </c>
      <c r="F134" s="13">
        <f>IF(AND(A134&lt;&gt;"",C134&lt;Options!$B$10),B134*Options!$X$5,0)</f>
        <v/>
      </c>
      <c r="G134" s="13">
        <f>F134*12%</f>
        <v/>
      </c>
      <c r="H134" s="13">
        <f>IF(A134="",0,B134*(92*IF(OR(C134=Options!$B$9,C134=Options!$B$10),75%,100%)-IF(C134=DATE(2026,11,29),26+IF(Options!$B$8="是",23,0),0)-IF(C134=DATE(2026,11,30),26,0)-IF(C134=DATE(2026,12,1),64,0)-IF(C134=DATE(2026,11,28),38,0)-IF(C134=DATE(2026,12,2),26,0)))</f>
        <v/>
      </c>
      <c r="I134" s="13">
        <f>IF(AND(C134&gt;=DATE(2026,11,29),C134&lt;=DATE(2026,12,1)),B134*60,0)</f>
        <v/>
      </c>
      <c r="J134" s="13">
        <f>IF(A134="",0,B134*(IF(C134=DATE(2026,11,28),38,0)+IF(C134=DATE(2026,12,1),38,0)+IF(C134=DATE(2026,12,2),26,0)))</f>
        <v/>
      </c>
      <c r="K134" s="13">
        <f>IF(C134=Options!$B$9,B134*12,0)</f>
        <v/>
      </c>
      <c r="L134" s="13">
        <f>IF(C134=Options!$B$9,B134*Options!$Z$5,0)</f>
        <v/>
      </c>
      <c r="M134" s="13" t="n">
        <v>0</v>
      </c>
      <c r="N134" s="13">
        <f>SUM(E134:M134)</f>
        <v/>
      </c>
    </row>
    <row r="135">
      <c r="A135" s="5">
        <f>IF(AND(C135&gt;=Options!$B$9,C135&lt;=Options!$B$10),"Chicago","")</f>
        <v/>
      </c>
      <c r="B135" s="5">
        <f>IF(A135="","",18)</f>
        <v/>
      </c>
      <c r="C135" s="17" t="n">
        <v>46426</v>
      </c>
      <c r="D135" s="5">
        <f>IF(A135="","",IF(C135=DATE(2026,11,29),"培训；注册午餐；早餐参数",IF(C135=DATE(2026,11,30),"培训；注册午餐",IF(C135=DATE(2026,12,1),"培训；注册午餐；机构晚餐",IF(C135=Options!$B$9,"抵达；"&amp;IF(C135=DATE(2026,11,28),"机构晚餐","无统一供餐"),IF(C135=Options!$B$10,"返程；"&amp;IF(C135=DATE(2026,12,2),"机构午餐","无统一供餐"),"差旅状态；无统一日程"))))))</f>
        <v/>
      </c>
      <c r="E135" s="13">
        <f>IF(C135=Options!$B$9,Options!$C$14,0)</f>
        <v/>
      </c>
      <c r="F135" s="13">
        <f>IF(AND(A135&lt;&gt;"",C135&lt;Options!$B$10),B135*Options!$X$5,0)</f>
        <v/>
      </c>
      <c r="G135" s="13">
        <f>F135*12%</f>
        <v/>
      </c>
      <c r="H135" s="13">
        <f>IF(A135="",0,B135*(92*IF(OR(C135=Options!$B$9,C135=Options!$B$10),75%,100%)-IF(C135=DATE(2026,11,29),26+IF(Options!$B$8="是",23,0),0)-IF(C135=DATE(2026,11,30),26,0)-IF(C135=DATE(2026,12,1),64,0)-IF(C135=DATE(2026,11,28),38,0)-IF(C135=DATE(2026,12,2),26,0)))</f>
        <v/>
      </c>
      <c r="I135" s="13">
        <f>IF(AND(C135&gt;=DATE(2026,11,29),C135&lt;=DATE(2026,12,1)),B135*60,0)</f>
        <v/>
      </c>
      <c r="J135" s="13">
        <f>IF(A135="",0,B135*(IF(C135=DATE(2026,11,28),38,0)+IF(C135=DATE(2026,12,1),38,0)+IF(C135=DATE(2026,12,2),26,0)))</f>
        <v/>
      </c>
      <c r="K135" s="13">
        <f>IF(C135=Options!$B$9,B135*12,0)</f>
        <v/>
      </c>
      <c r="L135" s="13">
        <f>IF(C135=Options!$B$9,B135*Options!$Z$5,0)</f>
        <v/>
      </c>
      <c r="M135" s="13" t="n">
        <v>0</v>
      </c>
      <c r="N135" s="13">
        <f>SUM(E135:M135)</f>
        <v/>
      </c>
    </row>
    <row r="136">
      <c r="A136" s="5">
        <f>IF(AND(C136&gt;=Options!$B$9,C136&lt;=Options!$B$10),"Chicago","")</f>
        <v/>
      </c>
      <c r="B136" s="5">
        <f>IF(A136="","",18)</f>
        <v/>
      </c>
      <c r="C136" s="17" t="n">
        <v>46427</v>
      </c>
      <c r="D136" s="5">
        <f>IF(A136="","",IF(C136=DATE(2026,11,29),"培训；注册午餐；早餐参数",IF(C136=DATE(2026,11,30),"培训；注册午餐",IF(C136=DATE(2026,12,1),"培训；注册午餐；机构晚餐",IF(C136=Options!$B$9,"抵达；"&amp;IF(C136=DATE(2026,11,28),"机构晚餐","无统一供餐"),IF(C136=Options!$B$10,"返程；"&amp;IF(C136=DATE(2026,12,2),"机构午餐","无统一供餐"),"差旅状态；无统一日程"))))))</f>
        <v/>
      </c>
      <c r="E136" s="13">
        <f>IF(C136=Options!$B$9,Options!$C$14,0)</f>
        <v/>
      </c>
      <c r="F136" s="13">
        <f>IF(AND(A136&lt;&gt;"",C136&lt;Options!$B$10),B136*Options!$X$5,0)</f>
        <v/>
      </c>
      <c r="G136" s="13">
        <f>F136*12%</f>
        <v/>
      </c>
      <c r="H136" s="13">
        <f>IF(A136="",0,B136*(92*IF(OR(C136=Options!$B$9,C136=Options!$B$10),75%,100%)-IF(C136=DATE(2026,11,29),26+IF(Options!$B$8="是",23,0),0)-IF(C136=DATE(2026,11,30),26,0)-IF(C136=DATE(2026,12,1),64,0)-IF(C136=DATE(2026,11,28),38,0)-IF(C136=DATE(2026,12,2),26,0)))</f>
        <v/>
      </c>
      <c r="I136" s="13">
        <f>IF(AND(C136&gt;=DATE(2026,11,29),C136&lt;=DATE(2026,12,1)),B136*60,0)</f>
        <v/>
      </c>
      <c r="J136" s="13">
        <f>IF(A136="",0,B136*(IF(C136=DATE(2026,11,28),38,0)+IF(C136=DATE(2026,12,1),38,0)+IF(C136=DATE(2026,12,2),26,0)))</f>
        <v/>
      </c>
      <c r="K136" s="13">
        <f>IF(C136=Options!$B$9,B136*12,0)</f>
        <v/>
      </c>
      <c r="L136" s="13">
        <f>IF(C136=Options!$B$9,B136*Options!$Z$5,0)</f>
        <v/>
      </c>
      <c r="M136" s="13" t="n">
        <v>0</v>
      </c>
      <c r="N136" s="13">
        <f>SUM(E136:M136)</f>
        <v/>
      </c>
    </row>
    <row r="137">
      <c r="A137" s="5">
        <f>IF(AND(C137&gt;=Options!$B$9,C137&lt;=Options!$B$10),"Chicago","")</f>
        <v/>
      </c>
      <c r="B137" s="5">
        <f>IF(A137="","",18)</f>
        <v/>
      </c>
      <c r="C137" s="17" t="n">
        <v>46428</v>
      </c>
      <c r="D137" s="5">
        <f>IF(A137="","",IF(C137=DATE(2026,11,29),"培训；注册午餐；早餐参数",IF(C137=DATE(2026,11,30),"培训；注册午餐",IF(C137=DATE(2026,12,1),"培训；注册午餐；机构晚餐",IF(C137=Options!$B$9,"抵达；"&amp;IF(C137=DATE(2026,11,28),"机构晚餐","无统一供餐"),IF(C137=Options!$B$10,"返程；"&amp;IF(C137=DATE(2026,12,2),"机构午餐","无统一供餐"),"差旅状态；无统一日程"))))))</f>
        <v/>
      </c>
      <c r="E137" s="13">
        <f>IF(C137=Options!$B$9,Options!$C$14,0)</f>
        <v/>
      </c>
      <c r="F137" s="13">
        <f>IF(AND(A137&lt;&gt;"",C137&lt;Options!$B$10),B137*Options!$X$5,0)</f>
        <v/>
      </c>
      <c r="G137" s="13">
        <f>F137*12%</f>
        <v/>
      </c>
      <c r="H137" s="13">
        <f>IF(A137="",0,B137*(92*IF(OR(C137=Options!$B$9,C137=Options!$B$10),75%,100%)-IF(C137=DATE(2026,11,29),26+IF(Options!$B$8="是",23,0),0)-IF(C137=DATE(2026,11,30),26,0)-IF(C137=DATE(2026,12,1),64,0)-IF(C137=DATE(2026,11,28),38,0)-IF(C137=DATE(2026,12,2),26,0)))</f>
        <v/>
      </c>
      <c r="I137" s="13">
        <f>IF(AND(C137&gt;=DATE(2026,11,29),C137&lt;=DATE(2026,12,1)),B137*60,0)</f>
        <v/>
      </c>
      <c r="J137" s="13">
        <f>IF(A137="",0,B137*(IF(C137=DATE(2026,11,28),38,0)+IF(C137=DATE(2026,12,1),38,0)+IF(C137=DATE(2026,12,2),26,0)))</f>
        <v/>
      </c>
      <c r="K137" s="13">
        <f>IF(C137=Options!$B$9,B137*12,0)</f>
        <v/>
      </c>
      <c r="L137" s="13">
        <f>IF(C137=Options!$B$9,B137*Options!$Z$5,0)</f>
        <v/>
      </c>
      <c r="M137" s="13" t="n">
        <v>0</v>
      </c>
      <c r="N137" s="13">
        <f>SUM(E137:M137)</f>
        <v/>
      </c>
    </row>
    <row r="138">
      <c r="A138" s="5">
        <f>IF(AND(C138&gt;=Options!$B$9,C138&lt;=Options!$B$10),"Chicago","")</f>
        <v/>
      </c>
      <c r="B138" s="5">
        <f>IF(A138="","",18)</f>
        <v/>
      </c>
      <c r="C138" s="17" t="n">
        <v>46429</v>
      </c>
      <c r="D138" s="5">
        <f>IF(A138="","",IF(C138=DATE(2026,11,29),"培训；注册午餐；早餐参数",IF(C138=DATE(2026,11,30),"培训；注册午餐",IF(C138=DATE(2026,12,1),"培训；注册午餐；机构晚餐",IF(C138=Options!$B$9,"抵达；"&amp;IF(C138=DATE(2026,11,28),"机构晚餐","无统一供餐"),IF(C138=Options!$B$10,"返程；"&amp;IF(C138=DATE(2026,12,2),"机构午餐","无统一供餐"),"差旅状态；无统一日程"))))))</f>
        <v/>
      </c>
      <c r="E138" s="13">
        <f>IF(C138=Options!$B$9,Options!$C$14,0)</f>
        <v/>
      </c>
      <c r="F138" s="13">
        <f>IF(AND(A138&lt;&gt;"",C138&lt;Options!$B$10),B138*Options!$X$5,0)</f>
        <v/>
      </c>
      <c r="G138" s="13">
        <f>F138*12%</f>
        <v/>
      </c>
      <c r="H138" s="13">
        <f>IF(A138="",0,B138*(92*IF(OR(C138=Options!$B$9,C138=Options!$B$10),75%,100%)-IF(C138=DATE(2026,11,29),26+IF(Options!$B$8="是",23,0),0)-IF(C138=DATE(2026,11,30),26,0)-IF(C138=DATE(2026,12,1),64,0)-IF(C138=DATE(2026,11,28),38,0)-IF(C138=DATE(2026,12,2),26,0)))</f>
        <v/>
      </c>
      <c r="I138" s="13">
        <f>IF(AND(C138&gt;=DATE(2026,11,29),C138&lt;=DATE(2026,12,1)),B138*60,0)</f>
        <v/>
      </c>
      <c r="J138" s="13">
        <f>IF(A138="",0,B138*(IF(C138=DATE(2026,11,28),38,0)+IF(C138=DATE(2026,12,1),38,0)+IF(C138=DATE(2026,12,2),26,0)))</f>
        <v/>
      </c>
      <c r="K138" s="13">
        <f>IF(C138=Options!$B$9,B138*12,0)</f>
        <v/>
      </c>
      <c r="L138" s="13">
        <f>IF(C138=Options!$B$9,B138*Options!$Z$5,0)</f>
        <v/>
      </c>
      <c r="M138" s="13" t="n">
        <v>0</v>
      </c>
      <c r="N138" s="13">
        <f>SUM(E138:M138)</f>
        <v/>
      </c>
    </row>
    <row r="139">
      <c r="A139" s="5">
        <f>IF(AND(C139&gt;=Options!$B$9,C139&lt;=Options!$B$10),"Chicago","")</f>
        <v/>
      </c>
      <c r="B139" s="5">
        <f>IF(A139="","",18)</f>
        <v/>
      </c>
      <c r="C139" s="17" t="n">
        <v>46430</v>
      </c>
      <c r="D139" s="5">
        <f>IF(A139="","",IF(C139=DATE(2026,11,29),"培训；注册午餐；早餐参数",IF(C139=DATE(2026,11,30),"培训；注册午餐",IF(C139=DATE(2026,12,1),"培训；注册午餐；机构晚餐",IF(C139=Options!$B$9,"抵达；"&amp;IF(C139=DATE(2026,11,28),"机构晚餐","无统一供餐"),IF(C139=Options!$B$10,"返程；"&amp;IF(C139=DATE(2026,12,2),"机构午餐","无统一供餐"),"差旅状态；无统一日程"))))))</f>
        <v/>
      </c>
      <c r="E139" s="13">
        <f>IF(C139=Options!$B$9,Options!$C$14,0)</f>
        <v/>
      </c>
      <c r="F139" s="13">
        <f>IF(AND(A139&lt;&gt;"",C139&lt;Options!$B$10),B139*Options!$X$5,0)</f>
        <v/>
      </c>
      <c r="G139" s="13">
        <f>F139*12%</f>
        <v/>
      </c>
      <c r="H139" s="13">
        <f>IF(A139="",0,B139*(92*IF(OR(C139=Options!$B$9,C139=Options!$B$10),75%,100%)-IF(C139=DATE(2026,11,29),26+IF(Options!$B$8="是",23,0),0)-IF(C139=DATE(2026,11,30),26,0)-IF(C139=DATE(2026,12,1),64,0)-IF(C139=DATE(2026,11,28),38,0)-IF(C139=DATE(2026,12,2),26,0)))</f>
        <v/>
      </c>
      <c r="I139" s="13">
        <f>IF(AND(C139&gt;=DATE(2026,11,29),C139&lt;=DATE(2026,12,1)),B139*60,0)</f>
        <v/>
      </c>
      <c r="J139" s="13">
        <f>IF(A139="",0,B139*(IF(C139=DATE(2026,11,28),38,0)+IF(C139=DATE(2026,12,1),38,0)+IF(C139=DATE(2026,12,2),26,0)))</f>
        <v/>
      </c>
      <c r="K139" s="13">
        <f>IF(C139=Options!$B$9,B139*12,0)</f>
        <v/>
      </c>
      <c r="L139" s="13">
        <f>IF(C139=Options!$B$9,B139*Options!$Z$5,0)</f>
        <v/>
      </c>
      <c r="M139" s="13" t="n">
        <v>0</v>
      </c>
      <c r="N139" s="13">
        <f>SUM(E139:M139)</f>
        <v/>
      </c>
    </row>
    <row r="140">
      <c r="A140" s="5">
        <f>IF(AND(C140&gt;=Options!$B$9,C140&lt;=Options!$B$10),"Chicago","")</f>
        <v/>
      </c>
      <c r="B140" s="5">
        <f>IF(A140="","",18)</f>
        <v/>
      </c>
      <c r="C140" s="17" t="n">
        <v>46431</v>
      </c>
      <c r="D140" s="5">
        <f>IF(A140="","",IF(C140=DATE(2026,11,29),"培训；注册午餐；早餐参数",IF(C140=DATE(2026,11,30),"培训；注册午餐",IF(C140=DATE(2026,12,1),"培训；注册午餐；机构晚餐",IF(C140=Options!$B$9,"抵达；"&amp;IF(C140=DATE(2026,11,28),"机构晚餐","无统一供餐"),IF(C140=Options!$B$10,"返程；"&amp;IF(C140=DATE(2026,12,2),"机构午餐","无统一供餐"),"差旅状态；无统一日程"))))))</f>
        <v/>
      </c>
      <c r="E140" s="13">
        <f>IF(C140=Options!$B$9,Options!$C$14,0)</f>
        <v/>
      </c>
      <c r="F140" s="13">
        <f>IF(AND(A140&lt;&gt;"",C140&lt;Options!$B$10),B140*Options!$X$5,0)</f>
        <v/>
      </c>
      <c r="G140" s="13">
        <f>F140*12%</f>
        <v/>
      </c>
      <c r="H140" s="13">
        <f>IF(A140="",0,B140*(92*IF(OR(C140=Options!$B$9,C140=Options!$B$10),75%,100%)-IF(C140=DATE(2026,11,29),26+IF(Options!$B$8="是",23,0),0)-IF(C140=DATE(2026,11,30),26,0)-IF(C140=DATE(2026,12,1),64,0)-IF(C140=DATE(2026,11,28),38,0)-IF(C140=DATE(2026,12,2),26,0)))</f>
        <v/>
      </c>
      <c r="I140" s="13">
        <f>IF(AND(C140&gt;=DATE(2026,11,29),C140&lt;=DATE(2026,12,1)),B140*60,0)</f>
        <v/>
      </c>
      <c r="J140" s="13">
        <f>IF(A140="",0,B140*(IF(C140=DATE(2026,11,28),38,0)+IF(C140=DATE(2026,12,1),38,0)+IF(C140=DATE(2026,12,2),26,0)))</f>
        <v/>
      </c>
      <c r="K140" s="13">
        <f>IF(C140=Options!$B$9,B140*12,0)</f>
        <v/>
      </c>
      <c r="L140" s="13">
        <f>IF(C140=Options!$B$9,B140*Options!$Z$5,0)</f>
        <v/>
      </c>
      <c r="M140" s="13" t="n">
        <v>0</v>
      </c>
      <c r="N140" s="13">
        <f>SUM(E140:M140)</f>
        <v/>
      </c>
    </row>
    <row r="141">
      <c r="A141" s="5">
        <f>IF(AND(C141&gt;=Options!$B$9,C141&lt;=Options!$B$10),"Chicago","")</f>
        <v/>
      </c>
      <c r="B141" s="5">
        <f>IF(A141="","",18)</f>
        <v/>
      </c>
      <c r="C141" s="17" t="n">
        <v>46432</v>
      </c>
      <c r="D141" s="5">
        <f>IF(A141="","",IF(C141=DATE(2026,11,29),"培训；注册午餐；早餐参数",IF(C141=DATE(2026,11,30),"培训；注册午餐",IF(C141=DATE(2026,12,1),"培训；注册午餐；机构晚餐",IF(C141=Options!$B$9,"抵达；"&amp;IF(C141=DATE(2026,11,28),"机构晚餐","无统一供餐"),IF(C141=Options!$B$10,"返程；"&amp;IF(C141=DATE(2026,12,2),"机构午餐","无统一供餐"),"差旅状态；无统一日程"))))))</f>
        <v/>
      </c>
      <c r="E141" s="13">
        <f>IF(C141=Options!$B$9,Options!$C$14,0)</f>
        <v/>
      </c>
      <c r="F141" s="13">
        <f>IF(AND(A141&lt;&gt;"",C141&lt;Options!$B$10),B141*Options!$X$5,0)</f>
        <v/>
      </c>
      <c r="G141" s="13">
        <f>F141*12%</f>
        <v/>
      </c>
      <c r="H141" s="13">
        <f>IF(A141="",0,B141*(92*IF(OR(C141=Options!$B$9,C141=Options!$B$10),75%,100%)-IF(C141=DATE(2026,11,29),26+IF(Options!$B$8="是",23,0),0)-IF(C141=DATE(2026,11,30),26,0)-IF(C141=DATE(2026,12,1),64,0)-IF(C141=DATE(2026,11,28),38,0)-IF(C141=DATE(2026,12,2),26,0)))</f>
        <v/>
      </c>
      <c r="I141" s="13">
        <f>IF(AND(C141&gt;=DATE(2026,11,29),C141&lt;=DATE(2026,12,1)),B141*60,0)</f>
        <v/>
      </c>
      <c r="J141" s="13">
        <f>IF(A141="",0,B141*(IF(C141=DATE(2026,11,28),38,0)+IF(C141=DATE(2026,12,1),38,0)+IF(C141=DATE(2026,12,2),26,0)))</f>
        <v/>
      </c>
      <c r="K141" s="13">
        <f>IF(C141=Options!$B$9,B141*12,0)</f>
        <v/>
      </c>
      <c r="L141" s="13">
        <f>IF(C141=Options!$B$9,B141*Options!$Z$5,0)</f>
        <v/>
      </c>
      <c r="M141" s="13" t="n">
        <v>0</v>
      </c>
      <c r="N141" s="13">
        <f>SUM(E141:M141)</f>
        <v/>
      </c>
    </row>
    <row r="142">
      <c r="A142" s="5">
        <f>IF(AND(C142&gt;=Options!$B$9,C142&lt;=Options!$B$10),"Chicago","")</f>
        <v/>
      </c>
      <c r="B142" s="5">
        <f>IF(A142="","",18)</f>
        <v/>
      </c>
      <c r="C142" s="17" t="n">
        <v>46433</v>
      </c>
      <c r="D142" s="5">
        <f>IF(A142="","",IF(C142=DATE(2026,11,29),"培训；注册午餐；早餐参数",IF(C142=DATE(2026,11,30),"培训；注册午餐",IF(C142=DATE(2026,12,1),"培训；注册午餐；机构晚餐",IF(C142=Options!$B$9,"抵达；"&amp;IF(C142=DATE(2026,11,28),"机构晚餐","无统一供餐"),IF(C142=Options!$B$10,"返程；"&amp;IF(C142=DATE(2026,12,2),"机构午餐","无统一供餐"),"差旅状态；无统一日程"))))))</f>
        <v/>
      </c>
      <c r="E142" s="13">
        <f>IF(C142=Options!$B$9,Options!$C$14,0)</f>
        <v/>
      </c>
      <c r="F142" s="13">
        <f>IF(AND(A142&lt;&gt;"",C142&lt;Options!$B$10),B142*Options!$X$5,0)</f>
        <v/>
      </c>
      <c r="G142" s="13">
        <f>F142*12%</f>
        <v/>
      </c>
      <c r="H142" s="13">
        <f>IF(A142="",0,B142*(92*IF(OR(C142=Options!$B$9,C142=Options!$B$10),75%,100%)-IF(C142=DATE(2026,11,29),26+IF(Options!$B$8="是",23,0),0)-IF(C142=DATE(2026,11,30),26,0)-IF(C142=DATE(2026,12,1),64,0)-IF(C142=DATE(2026,11,28),38,0)-IF(C142=DATE(2026,12,2),26,0)))</f>
        <v/>
      </c>
      <c r="I142" s="13">
        <f>IF(AND(C142&gt;=DATE(2026,11,29),C142&lt;=DATE(2026,12,1)),B142*60,0)</f>
        <v/>
      </c>
      <c r="J142" s="13">
        <f>IF(A142="",0,B142*(IF(C142=DATE(2026,11,28),38,0)+IF(C142=DATE(2026,12,1),38,0)+IF(C142=DATE(2026,12,2),26,0)))</f>
        <v/>
      </c>
      <c r="K142" s="13">
        <f>IF(C142=Options!$B$9,B142*12,0)</f>
        <v/>
      </c>
      <c r="L142" s="13">
        <f>IF(C142=Options!$B$9,B142*Options!$Z$5,0)</f>
        <v/>
      </c>
      <c r="M142" s="13" t="n">
        <v>0</v>
      </c>
      <c r="N142" s="13">
        <f>SUM(E142:M142)</f>
        <v/>
      </c>
    </row>
    <row r="143">
      <c r="A143" s="5">
        <f>IF(AND(C143&gt;=Options!$B$9,C143&lt;=Options!$B$10),"Chicago","")</f>
        <v/>
      </c>
      <c r="B143" s="5">
        <f>IF(A143="","",18)</f>
        <v/>
      </c>
      <c r="C143" s="17" t="n">
        <v>46434</v>
      </c>
      <c r="D143" s="5">
        <f>IF(A143="","",IF(C143=DATE(2026,11,29),"培训；注册午餐；早餐参数",IF(C143=DATE(2026,11,30),"培训；注册午餐",IF(C143=DATE(2026,12,1),"培训；注册午餐；机构晚餐",IF(C143=Options!$B$9,"抵达；"&amp;IF(C143=DATE(2026,11,28),"机构晚餐","无统一供餐"),IF(C143=Options!$B$10,"返程；"&amp;IF(C143=DATE(2026,12,2),"机构午餐","无统一供餐"),"差旅状态；无统一日程"))))))</f>
        <v/>
      </c>
      <c r="E143" s="13">
        <f>IF(C143=Options!$B$9,Options!$C$14,0)</f>
        <v/>
      </c>
      <c r="F143" s="13">
        <f>IF(AND(A143&lt;&gt;"",C143&lt;Options!$B$10),B143*Options!$X$5,0)</f>
        <v/>
      </c>
      <c r="G143" s="13">
        <f>F143*12%</f>
        <v/>
      </c>
      <c r="H143" s="13">
        <f>IF(A143="",0,B143*(92*IF(OR(C143=Options!$B$9,C143=Options!$B$10),75%,100%)-IF(C143=DATE(2026,11,29),26+IF(Options!$B$8="是",23,0),0)-IF(C143=DATE(2026,11,30),26,0)-IF(C143=DATE(2026,12,1),64,0)-IF(C143=DATE(2026,11,28),38,0)-IF(C143=DATE(2026,12,2),26,0)))</f>
        <v/>
      </c>
      <c r="I143" s="13">
        <f>IF(AND(C143&gt;=DATE(2026,11,29),C143&lt;=DATE(2026,12,1)),B143*60,0)</f>
        <v/>
      </c>
      <c r="J143" s="13">
        <f>IF(A143="",0,B143*(IF(C143=DATE(2026,11,28),38,0)+IF(C143=DATE(2026,12,1),38,0)+IF(C143=DATE(2026,12,2),26,0)))</f>
        <v/>
      </c>
      <c r="K143" s="13">
        <f>IF(C143=Options!$B$9,B143*12,0)</f>
        <v/>
      </c>
      <c r="L143" s="13">
        <f>IF(C143=Options!$B$9,B143*Options!$Z$5,0)</f>
        <v/>
      </c>
      <c r="M143" s="13" t="n">
        <v>0</v>
      </c>
      <c r="N143" s="13">
        <f>SUM(E143:M143)</f>
        <v/>
      </c>
    </row>
    <row r="144">
      <c r="A144" s="5">
        <f>IF(AND(C144&gt;=Options!$B$9,C144&lt;=Options!$B$10),"Chicago","")</f>
        <v/>
      </c>
      <c r="B144" s="5">
        <f>IF(A144="","",18)</f>
        <v/>
      </c>
      <c r="C144" s="17" t="n">
        <v>46435</v>
      </c>
      <c r="D144" s="5">
        <f>IF(A144="","",IF(C144=DATE(2026,11,29),"培训；注册午餐；早餐参数",IF(C144=DATE(2026,11,30),"培训；注册午餐",IF(C144=DATE(2026,12,1),"培训；注册午餐；机构晚餐",IF(C144=Options!$B$9,"抵达；"&amp;IF(C144=DATE(2026,11,28),"机构晚餐","无统一供餐"),IF(C144=Options!$B$10,"返程；"&amp;IF(C144=DATE(2026,12,2),"机构午餐","无统一供餐"),"差旅状态；无统一日程"))))))</f>
        <v/>
      </c>
      <c r="E144" s="13">
        <f>IF(C144=Options!$B$9,Options!$C$14,0)</f>
        <v/>
      </c>
      <c r="F144" s="13">
        <f>IF(AND(A144&lt;&gt;"",C144&lt;Options!$B$10),B144*Options!$X$5,0)</f>
        <v/>
      </c>
      <c r="G144" s="13">
        <f>F144*12%</f>
        <v/>
      </c>
      <c r="H144" s="13">
        <f>IF(A144="",0,B144*(92*IF(OR(C144=Options!$B$9,C144=Options!$B$10),75%,100%)-IF(C144=DATE(2026,11,29),26+IF(Options!$B$8="是",23,0),0)-IF(C144=DATE(2026,11,30),26,0)-IF(C144=DATE(2026,12,1),64,0)-IF(C144=DATE(2026,11,28),38,0)-IF(C144=DATE(2026,12,2),26,0)))</f>
        <v/>
      </c>
      <c r="I144" s="13">
        <f>IF(AND(C144&gt;=DATE(2026,11,29),C144&lt;=DATE(2026,12,1)),B144*60,0)</f>
        <v/>
      </c>
      <c r="J144" s="13">
        <f>IF(A144="",0,B144*(IF(C144=DATE(2026,11,28),38,0)+IF(C144=DATE(2026,12,1),38,0)+IF(C144=DATE(2026,12,2),26,0)))</f>
        <v/>
      </c>
      <c r="K144" s="13">
        <f>IF(C144=Options!$B$9,B144*12,0)</f>
        <v/>
      </c>
      <c r="L144" s="13">
        <f>IF(C144=Options!$B$9,B144*Options!$Z$5,0)</f>
        <v/>
      </c>
      <c r="M144" s="13" t="n">
        <v>0</v>
      </c>
      <c r="N144" s="13">
        <f>SUM(E144:M144)</f>
        <v/>
      </c>
    </row>
    <row r="145">
      <c r="A145" s="5">
        <f>IF(AND(C145&gt;=Options!$B$9,C145&lt;=Options!$B$10),"Chicago","")</f>
        <v/>
      </c>
      <c r="B145" s="5">
        <f>IF(A145="","",18)</f>
        <v/>
      </c>
      <c r="C145" s="17" t="n">
        <v>46436</v>
      </c>
      <c r="D145" s="5">
        <f>IF(A145="","",IF(C145=DATE(2026,11,29),"培训；注册午餐；早餐参数",IF(C145=DATE(2026,11,30),"培训；注册午餐",IF(C145=DATE(2026,12,1),"培训；注册午餐；机构晚餐",IF(C145=Options!$B$9,"抵达；"&amp;IF(C145=DATE(2026,11,28),"机构晚餐","无统一供餐"),IF(C145=Options!$B$10,"返程；"&amp;IF(C145=DATE(2026,12,2),"机构午餐","无统一供餐"),"差旅状态；无统一日程"))))))</f>
        <v/>
      </c>
      <c r="E145" s="13">
        <f>IF(C145=Options!$B$9,Options!$C$14,0)</f>
        <v/>
      </c>
      <c r="F145" s="13">
        <f>IF(AND(A145&lt;&gt;"",C145&lt;Options!$B$10),B145*Options!$X$5,0)</f>
        <v/>
      </c>
      <c r="G145" s="13">
        <f>F145*12%</f>
        <v/>
      </c>
      <c r="H145" s="13">
        <f>IF(A145="",0,B145*(92*IF(OR(C145=Options!$B$9,C145=Options!$B$10),75%,100%)-IF(C145=DATE(2026,11,29),26+IF(Options!$B$8="是",23,0),0)-IF(C145=DATE(2026,11,30),26,0)-IF(C145=DATE(2026,12,1),64,0)-IF(C145=DATE(2026,11,28),38,0)-IF(C145=DATE(2026,12,2),26,0)))</f>
        <v/>
      </c>
      <c r="I145" s="13">
        <f>IF(AND(C145&gt;=DATE(2026,11,29),C145&lt;=DATE(2026,12,1)),B145*60,0)</f>
        <v/>
      </c>
      <c r="J145" s="13">
        <f>IF(A145="",0,B145*(IF(C145=DATE(2026,11,28),38,0)+IF(C145=DATE(2026,12,1),38,0)+IF(C145=DATE(2026,12,2),26,0)))</f>
        <v/>
      </c>
      <c r="K145" s="13">
        <f>IF(C145=Options!$B$9,B145*12,0)</f>
        <v/>
      </c>
      <c r="L145" s="13">
        <f>IF(C145=Options!$B$9,B145*Options!$Z$5,0)</f>
        <v/>
      </c>
      <c r="M145" s="13" t="n">
        <v>0</v>
      </c>
      <c r="N145" s="13">
        <f>SUM(E145:M145)</f>
        <v/>
      </c>
    </row>
    <row r="146">
      <c r="A146" s="5">
        <f>IF(AND(C146&gt;=Options!$B$9,C146&lt;=Options!$B$10),"Chicago","")</f>
        <v/>
      </c>
      <c r="B146" s="5">
        <f>IF(A146="","",18)</f>
        <v/>
      </c>
      <c r="C146" s="17" t="n">
        <v>46437</v>
      </c>
      <c r="D146" s="5">
        <f>IF(A146="","",IF(C146=DATE(2026,11,29),"培训；注册午餐；早餐参数",IF(C146=DATE(2026,11,30),"培训；注册午餐",IF(C146=DATE(2026,12,1),"培训；注册午餐；机构晚餐",IF(C146=Options!$B$9,"抵达；"&amp;IF(C146=DATE(2026,11,28),"机构晚餐","无统一供餐"),IF(C146=Options!$B$10,"返程；"&amp;IF(C146=DATE(2026,12,2),"机构午餐","无统一供餐"),"差旅状态；无统一日程"))))))</f>
        <v/>
      </c>
      <c r="E146" s="13">
        <f>IF(C146=Options!$B$9,Options!$C$14,0)</f>
        <v/>
      </c>
      <c r="F146" s="13">
        <f>IF(AND(A146&lt;&gt;"",C146&lt;Options!$B$10),B146*Options!$X$5,0)</f>
        <v/>
      </c>
      <c r="G146" s="13">
        <f>F146*12%</f>
        <v/>
      </c>
      <c r="H146" s="13">
        <f>IF(A146="",0,B146*(92*IF(OR(C146=Options!$B$9,C146=Options!$B$10),75%,100%)-IF(C146=DATE(2026,11,29),26+IF(Options!$B$8="是",23,0),0)-IF(C146=DATE(2026,11,30),26,0)-IF(C146=DATE(2026,12,1),64,0)-IF(C146=DATE(2026,11,28),38,0)-IF(C146=DATE(2026,12,2),26,0)))</f>
        <v/>
      </c>
      <c r="I146" s="13">
        <f>IF(AND(C146&gt;=DATE(2026,11,29),C146&lt;=DATE(2026,12,1)),B146*60,0)</f>
        <v/>
      </c>
      <c r="J146" s="13">
        <f>IF(A146="",0,B146*(IF(C146=DATE(2026,11,28),38,0)+IF(C146=DATE(2026,12,1),38,0)+IF(C146=DATE(2026,12,2),26,0)))</f>
        <v/>
      </c>
      <c r="K146" s="13">
        <f>IF(C146=Options!$B$9,B146*12,0)</f>
        <v/>
      </c>
      <c r="L146" s="13">
        <f>IF(C146=Options!$B$9,B146*Options!$Z$5,0)</f>
        <v/>
      </c>
      <c r="M146" s="13" t="n">
        <v>0</v>
      </c>
      <c r="N146" s="13">
        <f>SUM(E146:M146)</f>
        <v/>
      </c>
    </row>
    <row r="147">
      <c r="A147" s="5">
        <f>IF(AND(C147&gt;=Options!$B$9,C147&lt;=Options!$B$10),"Chicago","")</f>
        <v/>
      </c>
      <c r="B147" s="5">
        <f>IF(A147="","",18)</f>
        <v/>
      </c>
      <c r="C147" s="17" t="n">
        <v>46438</v>
      </c>
      <c r="D147" s="5">
        <f>IF(A147="","",IF(C147=DATE(2026,11,29),"培训；注册午餐；早餐参数",IF(C147=DATE(2026,11,30),"培训；注册午餐",IF(C147=DATE(2026,12,1),"培训；注册午餐；机构晚餐",IF(C147=Options!$B$9,"抵达；"&amp;IF(C147=DATE(2026,11,28),"机构晚餐","无统一供餐"),IF(C147=Options!$B$10,"返程；"&amp;IF(C147=DATE(2026,12,2),"机构午餐","无统一供餐"),"差旅状态；无统一日程"))))))</f>
        <v/>
      </c>
      <c r="E147" s="13">
        <f>IF(C147=Options!$B$9,Options!$C$14,0)</f>
        <v/>
      </c>
      <c r="F147" s="13">
        <f>IF(AND(A147&lt;&gt;"",C147&lt;Options!$B$10),B147*Options!$X$5,0)</f>
        <v/>
      </c>
      <c r="G147" s="13">
        <f>F147*12%</f>
        <v/>
      </c>
      <c r="H147" s="13">
        <f>IF(A147="",0,B147*(92*IF(OR(C147=Options!$B$9,C147=Options!$B$10),75%,100%)-IF(C147=DATE(2026,11,29),26+IF(Options!$B$8="是",23,0),0)-IF(C147=DATE(2026,11,30),26,0)-IF(C147=DATE(2026,12,1),64,0)-IF(C147=DATE(2026,11,28),38,0)-IF(C147=DATE(2026,12,2),26,0)))</f>
        <v/>
      </c>
      <c r="I147" s="13">
        <f>IF(AND(C147&gt;=DATE(2026,11,29),C147&lt;=DATE(2026,12,1)),B147*60,0)</f>
        <v/>
      </c>
      <c r="J147" s="13">
        <f>IF(A147="",0,B147*(IF(C147=DATE(2026,11,28),38,0)+IF(C147=DATE(2026,12,1),38,0)+IF(C147=DATE(2026,12,2),26,0)))</f>
        <v/>
      </c>
      <c r="K147" s="13">
        <f>IF(C147=Options!$B$9,B147*12,0)</f>
        <v/>
      </c>
      <c r="L147" s="13">
        <f>IF(C147=Options!$B$9,B147*Options!$Z$5,0)</f>
        <v/>
      </c>
      <c r="M147" s="13" t="n">
        <v>0</v>
      </c>
      <c r="N147" s="13">
        <f>SUM(E147:M147)</f>
        <v/>
      </c>
    </row>
    <row r="148">
      <c r="A148" s="5">
        <f>IF(AND(C148&gt;=Options!$B$9,C148&lt;=Options!$B$10),"Chicago","")</f>
        <v/>
      </c>
      <c r="B148" s="5">
        <f>IF(A148="","",18)</f>
        <v/>
      </c>
      <c r="C148" s="17" t="n">
        <v>46439</v>
      </c>
      <c r="D148" s="5">
        <f>IF(A148="","",IF(C148=DATE(2026,11,29),"培训；注册午餐；早餐参数",IF(C148=DATE(2026,11,30),"培训；注册午餐",IF(C148=DATE(2026,12,1),"培训；注册午餐；机构晚餐",IF(C148=Options!$B$9,"抵达；"&amp;IF(C148=DATE(2026,11,28),"机构晚餐","无统一供餐"),IF(C148=Options!$B$10,"返程；"&amp;IF(C148=DATE(2026,12,2),"机构午餐","无统一供餐"),"差旅状态；无统一日程"))))))</f>
        <v/>
      </c>
      <c r="E148" s="13">
        <f>IF(C148=Options!$B$9,Options!$C$14,0)</f>
        <v/>
      </c>
      <c r="F148" s="13">
        <f>IF(AND(A148&lt;&gt;"",C148&lt;Options!$B$10),B148*Options!$X$5,0)</f>
        <v/>
      </c>
      <c r="G148" s="13">
        <f>F148*12%</f>
        <v/>
      </c>
      <c r="H148" s="13">
        <f>IF(A148="",0,B148*(92*IF(OR(C148=Options!$B$9,C148=Options!$B$10),75%,100%)-IF(C148=DATE(2026,11,29),26+IF(Options!$B$8="是",23,0),0)-IF(C148=DATE(2026,11,30),26,0)-IF(C148=DATE(2026,12,1),64,0)-IF(C148=DATE(2026,11,28),38,0)-IF(C148=DATE(2026,12,2),26,0)))</f>
        <v/>
      </c>
      <c r="I148" s="13">
        <f>IF(AND(C148&gt;=DATE(2026,11,29),C148&lt;=DATE(2026,12,1)),B148*60,0)</f>
        <v/>
      </c>
      <c r="J148" s="13">
        <f>IF(A148="",0,B148*(IF(C148=DATE(2026,11,28),38,0)+IF(C148=DATE(2026,12,1),38,0)+IF(C148=DATE(2026,12,2),26,0)))</f>
        <v/>
      </c>
      <c r="K148" s="13">
        <f>IF(C148=Options!$B$9,B148*12,0)</f>
        <v/>
      </c>
      <c r="L148" s="13">
        <f>IF(C148=Options!$B$9,B148*Options!$Z$5,0)</f>
        <v/>
      </c>
      <c r="M148" s="13" t="n">
        <v>0</v>
      </c>
      <c r="N148" s="13">
        <f>SUM(E148:M148)</f>
        <v/>
      </c>
    </row>
    <row r="149">
      <c r="A149" s="5">
        <f>IF(AND(C149&gt;=Options!$B$9,C149&lt;=Options!$B$10),"Chicago","")</f>
        <v/>
      </c>
      <c r="B149" s="5">
        <f>IF(A149="","",18)</f>
        <v/>
      </c>
      <c r="C149" s="17" t="n">
        <v>46440</v>
      </c>
      <c r="D149" s="5">
        <f>IF(A149="","",IF(C149=DATE(2026,11,29),"培训；注册午餐；早餐参数",IF(C149=DATE(2026,11,30),"培训；注册午餐",IF(C149=DATE(2026,12,1),"培训；注册午餐；机构晚餐",IF(C149=Options!$B$9,"抵达；"&amp;IF(C149=DATE(2026,11,28),"机构晚餐","无统一供餐"),IF(C149=Options!$B$10,"返程；"&amp;IF(C149=DATE(2026,12,2),"机构午餐","无统一供餐"),"差旅状态；无统一日程"))))))</f>
        <v/>
      </c>
      <c r="E149" s="13">
        <f>IF(C149=Options!$B$9,Options!$C$14,0)</f>
        <v/>
      </c>
      <c r="F149" s="13">
        <f>IF(AND(A149&lt;&gt;"",C149&lt;Options!$B$10),B149*Options!$X$5,0)</f>
        <v/>
      </c>
      <c r="G149" s="13">
        <f>F149*12%</f>
        <v/>
      </c>
      <c r="H149" s="13">
        <f>IF(A149="",0,B149*(92*IF(OR(C149=Options!$B$9,C149=Options!$B$10),75%,100%)-IF(C149=DATE(2026,11,29),26+IF(Options!$B$8="是",23,0),0)-IF(C149=DATE(2026,11,30),26,0)-IF(C149=DATE(2026,12,1),64,0)-IF(C149=DATE(2026,11,28),38,0)-IF(C149=DATE(2026,12,2),26,0)))</f>
        <v/>
      </c>
      <c r="I149" s="13">
        <f>IF(AND(C149&gt;=DATE(2026,11,29),C149&lt;=DATE(2026,12,1)),B149*60,0)</f>
        <v/>
      </c>
      <c r="J149" s="13">
        <f>IF(A149="",0,B149*(IF(C149=DATE(2026,11,28),38,0)+IF(C149=DATE(2026,12,1),38,0)+IF(C149=DATE(2026,12,2),26,0)))</f>
        <v/>
      </c>
      <c r="K149" s="13">
        <f>IF(C149=Options!$B$9,B149*12,0)</f>
        <v/>
      </c>
      <c r="L149" s="13">
        <f>IF(C149=Options!$B$9,B149*Options!$Z$5,0)</f>
        <v/>
      </c>
      <c r="M149" s="13" t="n">
        <v>0</v>
      </c>
      <c r="N149" s="13">
        <f>SUM(E149:M149)</f>
        <v/>
      </c>
    </row>
    <row r="150">
      <c r="A150" s="5">
        <f>IF(AND(C150&gt;=Options!$B$9,C150&lt;=Options!$B$10),"Chicago","")</f>
        <v/>
      </c>
      <c r="B150" s="5">
        <f>IF(A150="","",18)</f>
        <v/>
      </c>
      <c r="C150" s="17" t="n">
        <v>46441</v>
      </c>
      <c r="D150" s="5">
        <f>IF(A150="","",IF(C150=DATE(2026,11,29),"培训；注册午餐；早餐参数",IF(C150=DATE(2026,11,30),"培训；注册午餐",IF(C150=DATE(2026,12,1),"培训；注册午餐；机构晚餐",IF(C150=Options!$B$9,"抵达；"&amp;IF(C150=DATE(2026,11,28),"机构晚餐","无统一供餐"),IF(C150=Options!$B$10,"返程；"&amp;IF(C150=DATE(2026,12,2),"机构午餐","无统一供餐"),"差旅状态；无统一日程"))))))</f>
        <v/>
      </c>
      <c r="E150" s="13">
        <f>IF(C150=Options!$B$9,Options!$C$14,0)</f>
        <v/>
      </c>
      <c r="F150" s="13">
        <f>IF(AND(A150&lt;&gt;"",C150&lt;Options!$B$10),B150*Options!$X$5,0)</f>
        <v/>
      </c>
      <c r="G150" s="13">
        <f>F150*12%</f>
        <v/>
      </c>
      <c r="H150" s="13">
        <f>IF(A150="",0,B150*(92*IF(OR(C150=Options!$B$9,C150=Options!$B$10),75%,100%)-IF(C150=DATE(2026,11,29),26+IF(Options!$B$8="是",23,0),0)-IF(C150=DATE(2026,11,30),26,0)-IF(C150=DATE(2026,12,1),64,0)-IF(C150=DATE(2026,11,28),38,0)-IF(C150=DATE(2026,12,2),26,0)))</f>
        <v/>
      </c>
      <c r="I150" s="13">
        <f>IF(AND(C150&gt;=DATE(2026,11,29),C150&lt;=DATE(2026,12,1)),B150*60,0)</f>
        <v/>
      </c>
      <c r="J150" s="13">
        <f>IF(A150="",0,B150*(IF(C150=DATE(2026,11,28),38,0)+IF(C150=DATE(2026,12,1),38,0)+IF(C150=DATE(2026,12,2),26,0)))</f>
        <v/>
      </c>
      <c r="K150" s="13">
        <f>IF(C150=Options!$B$9,B150*12,0)</f>
        <v/>
      </c>
      <c r="L150" s="13">
        <f>IF(C150=Options!$B$9,B150*Options!$Z$5,0)</f>
        <v/>
      </c>
      <c r="M150" s="13" t="n">
        <v>0</v>
      </c>
      <c r="N150" s="13">
        <f>SUM(E150:M150)</f>
        <v/>
      </c>
    </row>
    <row r="151">
      <c r="A151" s="5">
        <f>IF(AND(C151&gt;=Options!$B$9,C151&lt;=Options!$B$10),"Chicago","")</f>
        <v/>
      </c>
      <c r="B151" s="5">
        <f>IF(A151="","",18)</f>
        <v/>
      </c>
      <c r="C151" s="17" t="n">
        <v>46442</v>
      </c>
      <c r="D151" s="5">
        <f>IF(A151="","",IF(C151=DATE(2026,11,29),"培训；注册午餐；早餐参数",IF(C151=DATE(2026,11,30),"培训；注册午餐",IF(C151=DATE(2026,12,1),"培训；注册午餐；机构晚餐",IF(C151=Options!$B$9,"抵达；"&amp;IF(C151=DATE(2026,11,28),"机构晚餐","无统一供餐"),IF(C151=Options!$B$10,"返程；"&amp;IF(C151=DATE(2026,12,2),"机构午餐","无统一供餐"),"差旅状态；无统一日程"))))))</f>
        <v/>
      </c>
      <c r="E151" s="13">
        <f>IF(C151=Options!$B$9,Options!$C$14,0)</f>
        <v/>
      </c>
      <c r="F151" s="13">
        <f>IF(AND(A151&lt;&gt;"",C151&lt;Options!$B$10),B151*Options!$X$5,0)</f>
        <v/>
      </c>
      <c r="G151" s="13">
        <f>F151*12%</f>
        <v/>
      </c>
      <c r="H151" s="13">
        <f>IF(A151="",0,B151*(92*IF(OR(C151=Options!$B$9,C151=Options!$B$10),75%,100%)-IF(C151=DATE(2026,11,29),26+IF(Options!$B$8="是",23,0),0)-IF(C151=DATE(2026,11,30),26,0)-IF(C151=DATE(2026,12,1),64,0)-IF(C151=DATE(2026,11,28),38,0)-IF(C151=DATE(2026,12,2),26,0)))</f>
        <v/>
      </c>
      <c r="I151" s="13">
        <f>IF(AND(C151&gt;=DATE(2026,11,29),C151&lt;=DATE(2026,12,1)),B151*60,0)</f>
        <v/>
      </c>
      <c r="J151" s="13">
        <f>IF(A151="",0,B151*(IF(C151=DATE(2026,11,28),38,0)+IF(C151=DATE(2026,12,1),38,0)+IF(C151=DATE(2026,12,2),26,0)))</f>
        <v/>
      </c>
      <c r="K151" s="13">
        <f>IF(C151=Options!$B$9,B151*12,0)</f>
        <v/>
      </c>
      <c r="L151" s="13">
        <f>IF(C151=Options!$B$9,B151*Options!$Z$5,0)</f>
        <v/>
      </c>
      <c r="M151" s="13" t="n">
        <v>0</v>
      </c>
      <c r="N151" s="13">
        <f>SUM(E151:M151)</f>
        <v/>
      </c>
    </row>
    <row r="152">
      <c r="A152" s="5">
        <f>IF(AND(C152&gt;=Options!$B$9,C152&lt;=Options!$B$10),"Chicago","")</f>
        <v/>
      </c>
      <c r="B152" s="5">
        <f>IF(A152="","",18)</f>
        <v/>
      </c>
      <c r="C152" s="17" t="n">
        <v>46443</v>
      </c>
      <c r="D152" s="5">
        <f>IF(A152="","",IF(C152=DATE(2026,11,29),"培训；注册午餐；早餐参数",IF(C152=DATE(2026,11,30),"培训；注册午餐",IF(C152=DATE(2026,12,1),"培训；注册午餐；机构晚餐",IF(C152=Options!$B$9,"抵达；"&amp;IF(C152=DATE(2026,11,28),"机构晚餐","无统一供餐"),IF(C152=Options!$B$10,"返程；"&amp;IF(C152=DATE(2026,12,2),"机构午餐","无统一供餐"),"差旅状态；无统一日程"))))))</f>
        <v/>
      </c>
      <c r="E152" s="13">
        <f>IF(C152=Options!$B$9,Options!$C$14,0)</f>
        <v/>
      </c>
      <c r="F152" s="13">
        <f>IF(AND(A152&lt;&gt;"",C152&lt;Options!$B$10),B152*Options!$X$5,0)</f>
        <v/>
      </c>
      <c r="G152" s="13">
        <f>F152*12%</f>
        <v/>
      </c>
      <c r="H152" s="13">
        <f>IF(A152="",0,B152*(92*IF(OR(C152=Options!$B$9,C152=Options!$B$10),75%,100%)-IF(C152=DATE(2026,11,29),26+IF(Options!$B$8="是",23,0),0)-IF(C152=DATE(2026,11,30),26,0)-IF(C152=DATE(2026,12,1),64,0)-IF(C152=DATE(2026,11,28),38,0)-IF(C152=DATE(2026,12,2),26,0)))</f>
        <v/>
      </c>
      <c r="I152" s="13">
        <f>IF(AND(C152&gt;=DATE(2026,11,29),C152&lt;=DATE(2026,12,1)),B152*60,0)</f>
        <v/>
      </c>
      <c r="J152" s="13">
        <f>IF(A152="",0,B152*(IF(C152=DATE(2026,11,28),38,0)+IF(C152=DATE(2026,12,1),38,0)+IF(C152=DATE(2026,12,2),26,0)))</f>
        <v/>
      </c>
      <c r="K152" s="13">
        <f>IF(C152=Options!$B$9,B152*12,0)</f>
        <v/>
      </c>
      <c r="L152" s="13">
        <f>IF(C152=Options!$B$9,B152*Options!$Z$5,0)</f>
        <v/>
      </c>
      <c r="M152" s="13" t="n">
        <v>0</v>
      </c>
      <c r="N152" s="13">
        <f>SUM(E152:M152)</f>
        <v/>
      </c>
    </row>
    <row r="153">
      <c r="A153" s="5">
        <f>IF(AND(C153&gt;=Options!$B$9,C153&lt;=Options!$B$10),"Chicago","")</f>
        <v/>
      </c>
      <c r="B153" s="5">
        <f>IF(A153="","",18)</f>
        <v/>
      </c>
      <c r="C153" s="17" t="n">
        <v>46444</v>
      </c>
      <c r="D153" s="5">
        <f>IF(A153="","",IF(C153=DATE(2026,11,29),"培训；注册午餐；早餐参数",IF(C153=DATE(2026,11,30),"培训；注册午餐",IF(C153=DATE(2026,12,1),"培训；注册午餐；机构晚餐",IF(C153=Options!$B$9,"抵达；"&amp;IF(C153=DATE(2026,11,28),"机构晚餐","无统一供餐"),IF(C153=Options!$B$10,"返程；"&amp;IF(C153=DATE(2026,12,2),"机构午餐","无统一供餐"),"差旅状态；无统一日程"))))))</f>
        <v/>
      </c>
      <c r="E153" s="13">
        <f>IF(C153=Options!$B$9,Options!$C$14,0)</f>
        <v/>
      </c>
      <c r="F153" s="13">
        <f>IF(AND(A153&lt;&gt;"",C153&lt;Options!$B$10),B153*Options!$X$5,0)</f>
        <v/>
      </c>
      <c r="G153" s="13">
        <f>F153*12%</f>
        <v/>
      </c>
      <c r="H153" s="13">
        <f>IF(A153="",0,B153*(92*IF(OR(C153=Options!$B$9,C153=Options!$B$10),75%,100%)-IF(C153=DATE(2026,11,29),26+IF(Options!$B$8="是",23,0),0)-IF(C153=DATE(2026,11,30),26,0)-IF(C153=DATE(2026,12,1),64,0)-IF(C153=DATE(2026,11,28),38,0)-IF(C153=DATE(2026,12,2),26,0)))</f>
        <v/>
      </c>
      <c r="I153" s="13">
        <f>IF(AND(C153&gt;=DATE(2026,11,29),C153&lt;=DATE(2026,12,1)),B153*60,0)</f>
        <v/>
      </c>
      <c r="J153" s="13">
        <f>IF(A153="",0,B153*(IF(C153=DATE(2026,11,28),38,0)+IF(C153=DATE(2026,12,1),38,0)+IF(C153=DATE(2026,12,2),26,0)))</f>
        <v/>
      </c>
      <c r="K153" s="13">
        <f>IF(C153=Options!$B$9,B153*12,0)</f>
        <v/>
      </c>
      <c r="L153" s="13">
        <f>IF(C153=Options!$B$9,B153*Options!$Z$5,0)</f>
        <v/>
      </c>
      <c r="M153" s="13" t="n">
        <v>0</v>
      </c>
      <c r="N153" s="13">
        <f>SUM(E153:M153)</f>
        <v/>
      </c>
    </row>
    <row r="154">
      <c r="A154" s="5">
        <f>IF(AND(C154&gt;=Options!$B$9,C154&lt;=Options!$B$10),"Chicago","")</f>
        <v/>
      </c>
      <c r="B154" s="5">
        <f>IF(A154="","",18)</f>
        <v/>
      </c>
      <c r="C154" s="17" t="n">
        <v>46445</v>
      </c>
      <c r="D154" s="5">
        <f>IF(A154="","",IF(C154=DATE(2026,11,29),"培训；注册午餐；早餐参数",IF(C154=DATE(2026,11,30),"培训；注册午餐",IF(C154=DATE(2026,12,1),"培训；注册午餐；机构晚餐",IF(C154=Options!$B$9,"抵达；"&amp;IF(C154=DATE(2026,11,28),"机构晚餐","无统一供餐"),IF(C154=Options!$B$10,"返程；"&amp;IF(C154=DATE(2026,12,2),"机构午餐","无统一供餐"),"差旅状态；无统一日程"))))))</f>
        <v/>
      </c>
      <c r="E154" s="13">
        <f>IF(C154=Options!$B$9,Options!$C$14,0)</f>
        <v/>
      </c>
      <c r="F154" s="13">
        <f>IF(AND(A154&lt;&gt;"",C154&lt;Options!$B$10),B154*Options!$X$5,0)</f>
        <v/>
      </c>
      <c r="G154" s="13">
        <f>F154*12%</f>
        <v/>
      </c>
      <c r="H154" s="13">
        <f>IF(A154="",0,B154*(92*IF(OR(C154=Options!$B$9,C154=Options!$B$10),75%,100%)-IF(C154=DATE(2026,11,29),26+IF(Options!$B$8="是",23,0),0)-IF(C154=DATE(2026,11,30),26,0)-IF(C154=DATE(2026,12,1),64,0)-IF(C154=DATE(2026,11,28),38,0)-IF(C154=DATE(2026,12,2),26,0)))</f>
        <v/>
      </c>
      <c r="I154" s="13">
        <f>IF(AND(C154&gt;=DATE(2026,11,29),C154&lt;=DATE(2026,12,1)),B154*60,0)</f>
        <v/>
      </c>
      <c r="J154" s="13">
        <f>IF(A154="",0,B154*(IF(C154=DATE(2026,11,28),38,0)+IF(C154=DATE(2026,12,1),38,0)+IF(C154=DATE(2026,12,2),26,0)))</f>
        <v/>
      </c>
      <c r="K154" s="13">
        <f>IF(C154=Options!$B$9,B154*12,0)</f>
        <v/>
      </c>
      <c r="L154" s="13">
        <f>IF(C154=Options!$B$9,B154*Options!$Z$5,0)</f>
        <v/>
      </c>
      <c r="M154" s="13" t="n">
        <v>0</v>
      </c>
      <c r="N154" s="13">
        <f>SUM(E154:M154)</f>
        <v/>
      </c>
    </row>
    <row r="155">
      <c r="A155" s="5">
        <f>IF(AND(C155&gt;=Options!$B$9,C155&lt;=Options!$B$10),"Chicago","")</f>
        <v/>
      </c>
      <c r="B155" s="5">
        <f>IF(A155="","",18)</f>
        <v/>
      </c>
      <c r="C155" s="17" t="n">
        <v>46446</v>
      </c>
      <c r="D155" s="5">
        <f>IF(A155="","",IF(C155=DATE(2026,11,29),"培训；注册午餐；早餐参数",IF(C155=DATE(2026,11,30),"培训；注册午餐",IF(C155=DATE(2026,12,1),"培训；注册午餐；机构晚餐",IF(C155=Options!$B$9,"抵达；"&amp;IF(C155=DATE(2026,11,28),"机构晚餐","无统一供餐"),IF(C155=Options!$B$10,"返程；"&amp;IF(C155=DATE(2026,12,2),"机构午餐","无统一供餐"),"差旅状态；无统一日程"))))))</f>
        <v/>
      </c>
      <c r="E155" s="13">
        <f>IF(C155=Options!$B$9,Options!$C$14,0)</f>
        <v/>
      </c>
      <c r="F155" s="13">
        <f>IF(AND(A155&lt;&gt;"",C155&lt;Options!$B$10),B155*Options!$X$5,0)</f>
        <v/>
      </c>
      <c r="G155" s="13">
        <f>F155*12%</f>
        <v/>
      </c>
      <c r="H155" s="13">
        <f>IF(A155="",0,B155*(92*IF(OR(C155=Options!$B$9,C155=Options!$B$10),75%,100%)-IF(C155=DATE(2026,11,29),26+IF(Options!$B$8="是",23,0),0)-IF(C155=DATE(2026,11,30),26,0)-IF(C155=DATE(2026,12,1),64,0)-IF(C155=DATE(2026,11,28),38,0)-IF(C155=DATE(2026,12,2),26,0)))</f>
        <v/>
      </c>
      <c r="I155" s="13">
        <f>IF(AND(C155&gt;=DATE(2026,11,29),C155&lt;=DATE(2026,12,1)),B155*60,0)</f>
        <v/>
      </c>
      <c r="J155" s="13">
        <f>IF(A155="",0,B155*(IF(C155=DATE(2026,11,28),38,0)+IF(C155=DATE(2026,12,1),38,0)+IF(C155=DATE(2026,12,2),26,0)))</f>
        <v/>
      </c>
      <c r="K155" s="13">
        <f>IF(C155=Options!$B$9,B155*12,0)</f>
        <v/>
      </c>
      <c r="L155" s="13">
        <f>IF(C155=Options!$B$9,B155*Options!$Z$5,0)</f>
        <v/>
      </c>
      <c r="M155" s="13" t="n">
        <v>0</v>
      </c>
      <c r="N155" s="13">
        <f>SUM(E155:M155)</f>
        <v/>
      </c>
    </row>
    <row r="156">
      <c r="A156" s="5">
        <f>IF(AND(C156&gt;=Options!$B$9,C156&lt;=Options!$B$10),"Chicago","")</f>
        <v/>
      </c>
      <c r="B156" s="5">
        <f>IF(A156="","",18)</f>
        <v/>
      </c>
      <c r="C156" s="17" t="n">
        <v>46447</v>
      </c>
      <c r="D156" s="5">
        <f>IF(A156="","",IF(C156=DATE(2026,11,29),"培训；注册午餐；早餐参数",IF(C156=DATE(2026,11,30),"培训；注册午餐",IF(C156=DATE(2026,12,1),"培训；注册午餐；机构晚餐",IF(C156=Options!$B$9,"抵达；"&amp;IF(C156=DATE(2026,11,28),"机构晚餐","无统一供餐"),IF(C156=Options!$B$10,"返程；"&amp;IF(C156=DATE(2026,12,2),"机构午餐","无统一供餐"),"差旅状态；无统一日程"))))))</f>
        <v/>
      </c>
      <c r="E156" s="13">
        <f>IF(C156=Options!$B$9,Options!$C$14,0)</f>
        <v/>
      </c>
      <c r="F156" s="13">
        <f>IF(AND(A156&lt;&gt;"",C156&lt;Options!$B$10),B156*Options!$X$5,0)</f>
        <v/>
      </c>
      <c r="G156" s="13">
        <f>F156*12%</f>
        <v/>
      </c>
      <c r="H156" s="13">
        <f>IF(A156="",0,B156*(92*IF(OR(C156=Options!$B$9,C156=Options!$B$10),75%,100%)-IF(C156=DATE(2026,11,29),26+IF(Options!$B$8="是",23,0),0)-IF(C156=DATE(2026,11,30),26,0)-IF(C156=DATE(2026,12,1),64,0)-IF(C156=DATE(2026,11,28),38,0)-IF(C156=DATE(2026,12,2),26,0)))</f>
        <v/>
      </c>
      <c r="I156" s="13">
        <f>IF(AND(C156&gt;=DATE(2026,11,29),C156&lt;=DATE(2026,12,1)),B156*60,0)</f>
        <v/>
      </c>
      <c r="J156" s="13">
        <f>IF(A156="",0,B156*(IF(C156=DATE(2026,11,28),38,0)+IF(C156=DATE(2026,12,1),38,0)+IF(C156=DATE(2026,12,2),26,0)))</f>
        <v/>
      </c>
      <c r="K156" s="13">
        <f>IF(C156=Options!$B$9,B156*12,0)</f>
        <v/>
      </c>
      <c r="L156" s="13">
        <f>IF(C156=Options!$B$9,B156*Options!$Z$5,0)</f>
        <v/>
      </c>
      <c r="M156" s="13" t="n">
        <v>0</v>
      </c>
      <c r="N156" s="13">
        <f>SUM(E156:M156)</f>
        <v/>
      </c>
    </row>
    <row r="157">
      <c r="A157" s="5">
        <f>IF(AND(C157&gt;=Options!$B$9,C157&lt;=Options!$B$10),"Chicago","")</f>
        <v/>
      </c>
      <c r="B157" s="5">
        <f>IF(A157="","",18)</f>
        <v/>
      </c>
      <c r="C157" s="17" t="n">
        <v>46448</v>
      </c>
      <c r="D157" s="5">
        <f>IF(A157="","",IF(C157=DATE(2026,11,29),"培训；注册午餐；早餐参数",IF(C157=DATE(2026,11,30),"培训；注册午餐",IF(C157=DATE(2026,12,1),"培训；注册午餐；机构晚餐",IF(C157=Options!$B$9,"抵达；"&amp;IF(C157=DATE(2026,11,28),"机构晚餐","无统一供餐"),IF(C157=Options!$B$10,"返程；"&amp;IF(C157=DATE(2026,12,2),"机构午餐","无统一供餐"),"差旅状态；无统一日程"))))))</f>
        <v/>
      </c>
      <c r="E157" s="13">
        <f>IF(C157=Options!$B$9,Options!$C$14,0)</f>
        <v/>
      </c>
      <c r="F157" s="13">
        <f>IF(AND(A157&lt;&gt;"",C157&lt;Options!$B$10),B157*Options!$X$5,0)</f>
        <v/>
      </c>
      <c r="G157" s="13">
        <f>F157*12%</f>
        <v/>
      </c>
      <c r="H157" s="13">
        <f>IF(A157="",0,B157*(92*IF(OR(C157=Options!$B$9,C157=Options!$B$10),75%,100%)-IF(C157=DATE(2026,11,29),26+IF(Options!$B$8="是",23,0),0)-IF(C157=DATE(2026,11,30),26,0)-IF(C157=DATE(2026,12,1),64,0)-IF(C157=DATE(2026,11,28),38,0)-IF(C157=DATE(2026,12,2),26,0)))</f>
        <v/>
      </c>
      <c r="I157" s="13">
        <f>IF(AND(C157&gt;=DATE(2026,11,29),C157&lt;=DATE(2026,12,1)),B157*60,0)</f>
        <v/>
      </c>
      <c r="J157" s="13">
        <f>IF(A157="",0,B157*(IF(C157=DATE(2026,11,28),38,0)+IF(C157=DATE(2026,12,1),38,0)+IF(C157=DATE(2026,12,2),26,0)))</f>
        <v/>
      </c>
      <c r="K157" s="13">
        <f>IF(C157=Options!$B$9,B157*12,0)</f>
        <v/>
      </c>
      <c r="L157" s="13">
        <f>IF(C157=Options!$B$9,B157*Options!$Z$5,0)</f>
        <v/>
      </c>
      <c r="M157" s="13" t="n">
        <v>0</v>
      </c>
      <c r="N157" s="13">
        <f>SUM(E157:M157)</f>
        <v/>
      </c>
    </row>
    <row r="158">
      <c r="A158" s="5">
        <f>IF(AND(C158&gt;=Options!$B$9,C158&lt;=Options!$B$10),"Chicago","")</f>
        <v/>
      </c>
      <c r="B158" s="5">
        <f>IF(A158="","",18)</f>
        <v/>
      </c>
      <c r="C158" s="17" t="n">
        <v>46449</v>
      </c>
      <c r="D158" s="5">
        <f>IF(A158="","",IF(C158=DATE(2026,11,29),"培训；注册午餐；早餐参数",IF(C158=DATE(2026,11,30),"培训；注册午餐",IF(C158=DATE(2026,12,1),"培训；注册午餐；机构晚餐",IF(C158=Options!$B$9,"抵达；"&amp;IF(C158=DATE(2026,11,28),"机构晚餐","无统一供餐"),IF(C158=Options!$B$10,"返程；"&amp;IF(C158=DATE(2026,12,2),"机构午餐","无统一供餐"),"差旅状态；无统一日程"))))))</f>
        <v/>
      </c>
      <c r="E158" s="13">
        <f>IF(C158=Options!$B$9,Options!$C$14,0)</f>
        <v/>
      </c>
      <c r="F158" s="13">
        <f>IF(AND(A158&lt;&gt;"",C158&lt;Options!$B$10),B158*Options!$X$5,0)</f>
        <v/>
      </c>
      <c r="G158" s="13">
        <f>F158*12%</f>
        <v/>
      </c>
      <c r="H158" s="13">
        <f>IF(A158="",0,B158*(92*IF(OR(C158=Options!$B$9,C158=Options!$B$10),75%,100%)-IF(C158=DATE(2026,11,29),26+IF(Options!$B$8="是",23,0),0)-IF(C158=DATE(2026,11,30),26,0)-IF(C158=DATE(2026,12,1),64,0)-IF(C158=DATE(2026,11,28),38,0)-IF(C158=DATE(2026,12,2),26,0)))</f>
        <v/>
      </c>
      <c r="I158" s="13">
        <f>IF(AND(C158&gt;=DATE(2026,11,29),C158&lt;=DATE(2026,12,1)),B158*60,0)</f>
        <v/>
      </c>
      <c r="J158" s="13">
        <f>IF(A158="",0,B158*(IF(C158=DATE(2026,11,28),38,0)+IF(C158=DATE(2026,12,1),38,0)+IF(C158=DATE(2026,12,2),26,0)))</f>
        <v/>
      </c>
      <c r="K158" s="13">
        <f>IF(C158=Options!$B$9,B158*12,0)</f>
        <v/>
      </c>
      <c r="L158" s="13">
        <f>IF(C158=Options!$B$9,B158*Options!$Z$5,0)</f>
        <v/>
      </c>
      <c r="M158" s="13" t="n">
        <v>0</v>
      </c>
      <c r="N158" s="13">
        <f>SUM(E158:M158)</f>
        <v/>
      </c>
    </row>
    <row r="159">
      <c r="A159" s="5">
        <f>IF(AND(C159&gt;=Options!$B$9,C159&lt;=Options!$B$10),"Chicago","")</f>
        <v/>
      </c>
      <c r="B159" s="5">
        <f>IF(A159="","",18)</f>
        <v/>
      </c>
      <c r="C159" s="17" t="n">
        <v>46450</v>
      </c>
      <c r="D159" s="5">
        <f>IF(A159="","",IF(C159=DATE(2026,11,29),"培训；注册午餐；早餐参数",IF(C159=DATE(2026,11,30),"培训；注册午餐",IF(C159=DATE(2026,12,1),"培训；注册午餐；机构晚餐",IF(C159=Options!$B$9,"抵达；"&amp;IF(C159=DATE(2026,11,28),"机构晚餐","无统一供餐"),IF(C159=Options!$B$10,"返程；"&amp;IF(C159=DATE(2026,12,2),"机构午餐","无统一供餐"),"差旅状态；无统一日程"))))))</f>
        <v/>
      </c>
      <c r="E159" s="13">
        <f>IF(C159=Options!$B$9,Options!$C$14,0)</f>
        <v/>
      </c>
      <c r="F159" s="13">
        <f>IF(AND(A159&lt;&gt;"",C159&lt;Options!$B$10),B159*Options!$X$5,0)</f>
        <v/>
      </c>
      <c r="G159" s="13">
        <f>F159*12%</f>
        <v/>
      </c>
      <c r="H159" s="13">
        <f>IF(A159="",0,B159*(92*IF(OR(C159=Options!$B$9,C159=Options!$B$10),75%,100%)-IF(C159=DATE(2026,11,29),26+IF(Options!$B$8="是",23,0),0)-IF(C159=DATE(2026,11,30),26,0)-IF(C159=DATE(2026,12,1),64,0)-IF(C159=DATE(2026,11,28),38,0)-IF(C159=DATE(2026,12,2),26,0)))</f>
        <v/>
      </c>
      <c r="I159" s="13">
        <f>IF(AND(C159&gt;=DATE(2026,11,29),C159&lt;=DATE(2026,12,1)),B159*60,0)</f>
        <v/>
      </c>
      <c r="J159" s="13">
        <f>IF(A159="",0,B159*(IF(C159=DATE(2026,11,28),38,0)+IF(C159=DATE(2026,12,1),38,0)+IF(C159=DATE(2026,12,2),26,0)))</f>
        <v/>
      </c>
      <c r="K159" s="13">
        <f>IF(C159=Options!$B$9,B159*12,0)</f>
        <v/>
      </c>
      <c r="L159" s="13">
        <f>IF(C159=Options!$B$9,B159*Options!$Z$5,0)</f>
        <v/>
      </c>
      <c r="M159" s="13" t="n">
        <v>0</v>
      </c>
      <c r="N159" s="13">
        <f>SUM(E159:M159)</f>
        <v/>
      </c>
    </row>
    <row r="160">
      <c r="A160" s="5">
        <f>IF(AND(C160&gt;=Options!$B$9,C160&lt;=Options!$B$10),"Chicago","")</f>
        <v/>
      </c>
      <c r="B160" s="5">
        <f>IF(A160="","",18)</f>
        <v/>
      </c>
      <c r="C160" s="17" t="n">
        <v>46451</v>
      </c>
      <c r="D160" s="5">
        <f>IF(A160="","",IF(C160=DATE(2026,11,29),"培训；注册午餐；早餐参数",IF(C160=DATE(2026,11,30),"培训；注册午餐",IF(C160=DATE(2026,12,1),"培训；注册午餐；机构晚餐",IF(C160=Options!$B$9,"抵达；"&amp;IF(C160=DATE(2026,11,28),"机构晚餐","无统一供餐"),IF(C160=Options!$B$10,"返程；"&amp;IF(C160=DATE(2026,12,2),"机构午餐","无统一供餐"),"差旅状态；无统一日程"))))))</f>
        <v/>
      </c>
      <c r="E160" s="13">
        <f>IF(C160=Options!$B$9,Options!$C$14,0)</f>
        <v/>
      </c>
      <c r="F160" s="13">
        <f>IF(AND(A160&lt;&gt;"",C160&lt;Options!$B$10),B160*Options!$X$5,0)</f>
        <v/>
      </c>
      <c r="G160" s="13">
        <f>F160*12%</f>
        <v/>
      </c>
      <c r="H160" s="13">
        <f>IF(A160="",0,B160*(92*IF(OR(C160=Options!$B$9,C160=Options!$B$10),75%,100%)-IF(C160=DATE(2026,11,29),26+IF(Options!$B$8="是",23,0),0)-IF(C160=DATE(2026,11,30),26,0)-IF(C160=DATE(2026,12,1),64,0)-IF(C160=DATE(2026,11,28),38,0)-IF(C160=DATE(2026,12,2),26,0)))</f>
        <v/>
      </c>
      <c r="I160" s="13">
        <f>IF(AND(C160&gt;=DATE(2026,11,29),C160&lt;=DATE(2026,12,1)),B160*60,0)</f>
        <v/>
      </c>
      <c r="J160" s="13">
        <f>IF(A160="",0,B160*(IF(C160=DATE(2026,11,28),38,0)+IF(C160=DATE(2026,12,1),38,0)+IF(C160=DATE(2026,12,2),26,0)))</f>
        <v/>
      </c>
      <c r="K160" s="13">
        <f>IF(C160=Options!$B$9,B160*12,0)</f>
        <v/>
      </c>
      <c r="L160" s="13">
        <f>IF(C160=Options!$B$9,B160*Options!$Z$5,0)</f>
        <v/>
      </c>
      <c r="M160" s="13" t="n">
        <v>0</v>
      </c>
      <c r="N160" s="13">
        <f>SUM(E160:M160)</f>
        <v/>
      </c>
    </row>
    <row r="161">
      <c r="A161" s="5">
        <f>IF(AND(C161&gt;=Options!$B$9,C161&lt;=Options!$B$10),"Chicago","")</f>
        <v/>
      </c>
      <c r="B161" s="5">
        <f>IF(A161="","",18)</f>
        <v/>
      </c>
      <c r="C161" s="17" t="n">
        <v>46452</v>
      </c>
      <c r="D161" s="5">
        <f>IF(A161="","",IF(C161=DATE(2026,11,29),"培训；注册午餐；早餐参数",IF(C161=DATE(2026,11,30),"培训；注册午餐",IF(C161=DATE(2026,12,1),"培训；注册午餐；机构晚餐",IF(C161=Options!$B$9,"抵达；"&amp;IF(C161=DATE(2026,11,28),"机构晚餐","无统一供餐"),IF(C161=Options!$B$10,"返程；"&amp;IF(C161=DATE(2026,12,2),"机构午餐","无统一供餐"),"差旅状态；无统一日程"))))))</f>
        <v/>
      </c>
      <c r="E161" s="13">
        <f>IF(C161=Options!$B$9,Options!$C$14,0)</f>
        <v/>
      </c>
      <c r="F161" s="13">
        <f>IF(AND(A161&lt;&gt;"",C161&lt;Options!$B$10),B161*Options!$X$5,0)</f>
        <v/>
      </c>
      <c r="G161" s="13">
        <f>F161*12%</f>
        <v/>
      </c>
      <c r="H161" s="13">
        <f>IF(A161="",0,B161*(92*IF(OR(C161=Options!$B$9,C161=Options!$B$10),75%,100%)-IF(C161=DATE(2026,11,29),26+IF(Options!$B$8="是",23,0),0)-IF(C161=DATE(2026,11,30),26,0)-IF(C161=DATE(2026,12,1),64,0)-IF(C161=DATE(2026,11,28),38,0)-IF(C161=DATE(2026,12,2),26,0)))</f>
        <v/>
      </c>
      <c r="I161" s="13">
        <f>IF(AND(C161&gt;=DATE(2026,11,29),C161&lt;=DATE(2026,12,1)),B161*60,0)</f>
        <v/>
      </c>
      <c r="J161" s="13">
        <f>IF(A161="",0,B161*(IF(C161=DATE(2026,11,28),38,0)+IF(C161=DATE(2026,12,1),38,0)+IF(C161=DATE(2026,12,2),26,0)))</f>
        <v/>
      </c>
      <c r="K161" s="13">
        <f>IF(C161=Options!$B$9,B161*12,0)</f>
        <v/>
      </c>
      <c r="L161" s="13">
        <f>IF(C161=Options!$B$9,B161*Options!$Z$5,0)</f>
        <v/>
      </c>
      <c r="M161" s="13" t="n">
        <v>0</v>
      </c>
      <c r="N161" s="13">
        <f>SUM(E161:M161)</f>
        <v/>
      </c>
    </row>
    <row r="162">
      <c r="A162" s="5">
        <f>IF(AND(C162&gt;=Options!$B$9,C162&lt;=Options!$B$10),"Chicago","")</f>
        <v/>
      </c>
      <c r="B162" s="5">
        <f>IF(A162="","",18)</f>
        <v/>
      </c>
      <c r="C162" s="17" t="n">
        <v>46453</v>
      </c>
      <c r="D162" s="5">
        <f>IF(A162="","",IF(C162=DATE(2026,11,29),"培训；注册午餐；早餐参数",IF(C162=DATE(2026,11,30),"培训；注册午餐",IF(C162=DATE(2026,12,1),"培训；注册午餐；机构晚餐",IF(C162=Options!$B$9,"抵达；"&amp;IF(C162=DATE(2026,11,28),"机构晚餐","无统一供餐"),IF(C162=Options!$B$10,"返程；"&amp;IF(C162=DATE(2026,12,2),"机构午餐","无统一供餐"),"差旅状态；无统一日程"))))))</f>
        <v/>
      </c>
      <c r="E162" s="13">
        <f>IF(C162=Options!$B$9,Options!$C$14,0)</f>
        <v/>
      </c>
      <c r="F162" s="13">
        <f>IF(AND(A162&lt;&gt;"",C162&lt;Options!$B$10),B162*Options!$X$5,0)</f>
        <v/>
      </c>
      <c r="G162" s="13">
        <f>F162*12%</f>
        <v/>
      </c>
      <c r="H162" s="13">
        <f>IF(A162="",0,B162*(92*IF(OR(C162=Options!$B$9,C162=Options!$B$10),75%,100%)-IF(C162=DATE(2026,11,29),26+IF(Options!$B$8="是",23,0),0)-IF(C162=DATE(2026,11,30),26,0)-IF(C162=DATE(2026,12,1),64,0)-IF(C162=DATE(2026,11,28),38,0)-IF(C162=DATE(2026,12,2),26,0)))</f>
        <v/>
      </c>
      <c r="I162" s="13">
        <f>IF(AND(C162&gt;=DATE(2026,11,29),C162&lt;=DATE(2026,12,1)),B162*60,0)</f>
        <v/>
      </c>
      <c r="J162" s="13">
        <f>IF(A162="",0,B162*(IF(C162=DATE(2026,11,28),38,0)+IF(C162=DATE(2026,12,1),38,0)+IF(C162=DATE(2026,12,2),26,0)))</f>
        <v/>
      </c>
      <c r="K162" s="13">
        <f>IF(C162=Options!$B$9,B162*12,0)</f>
        <v/>
      </c>
      <c r="L162" s="13">
        <f>IF(C162=Options!$B$9,B162*Options!$Z$5,0)</f>
        <v/>
      </c>
      <c r="M162" s="13" t="n">
        <v>0</v>
      </c>
      <c r="N162" s="13">
        <f>SUM(E162:M162)</f>
        <v/>
      </c>
    </row>
    <row r="163">
      <c r="A163" s="5">
        <f>IF(AND(C163&gt;=Options!$B$9,C163&lt;=Options!$B$10),"Chicago","")</f>
        <v/>
      </c>
      <c r="B163" s="5">
        <f>IF(A163="","",18)</f>
        <v/>
      </c>
      <c r="C163" s="17" t="n">
        <v>46454</v>
      </c>
      <c r="D163" s="5">
        <f>IF(A163="","",IF(C163=DATE(2026,11,29),"培训；注册午餐；早餐参数",IF(C163=DATE(2026,11,30),"培训；注册午餐",IF(C163=DATE(2026,12,1),"培训；注册午餐；机构晚餐",IF(C163=Options!$B$9,"抵达；"&amp;IF(C163=DATE(2026,11,28),"机构晚餐","无统一供餐"),IF(C163=Options!$B$10,"返程；"&amp;IF(C163=DATE(2026,12,2),"机构午餐","无统一供餐"),"差旅状态；无统一日程"))))))</f>
        <v/>
      </c>
      <c r="E163" s="13">
        <f>IF(C163=Options!$B$9,Options!$C$14,0)</f>
        <v/>
      </c>
      <c r="F163" s="13">
        <f>IF(AND(A163&lt;&gt;"",C163&lt;Options!$B$10),B163*Options!$X$5,0)</f>
        <v/>
      </c>
      <c r="G163" s="13">
        <f>F163*12%</f>
        <v/>
      </c>
      <c r="H163" s="13">
        <f>IF(A163="",0,B163*(92*IF(OR(C163=Options!$B$9,C163=Options!$B$10),75%,100%)-IF(C163=DATE(2026,11,29),26+IF(Options!$B$8="是",23,0),0)-IF(C163=DATE(2026,11,30),26,0)-IF(C163=DATE(2026,12,1),64,0)-IF(C163=DATE(2026,11,28),38,0)-IF(C163=DATE(2026,12,2),26,0)))</f>
        <v/>
      </c>
      <c r="I163" s="13">
        <f>IF(AND(C163&gt;=DATE(2026,11,29),C163&lt;=DATE(2026,12,1)),B163*60,0)</f>
        <v/>
      </c>
      <c r="J163" s="13">
        <f>IF(A163="",0,B163*(IF(C163=DATE(2026,11,28),38,0)+IF(C163=DATE(2026,12,1),38,0)+IF(C163=DATE(2026,12,2),26,0)))</f>
        <v/>
      </c>
      <c r="K163" s="13">
        <f>IF(C163=Options!$B$9,B163*12,0)</f>
        <v/>
      </c>
      <c r="L163" s="13">
        <f>IF(C163=Options!$B$9,B163*Options!$Z$5,0)</f>
        <v/>
      </c>
      <c r="M163" s="13" t="n">
        <v>0</v>
      </c>
      <c r="N163" s="13">
        <f>SUM(E163:M163)</f>
        <v/>
      </c>
    </row>
    <row r="164">
      <c r="A164" s="5">
        <f>IF(AND(C164&gt;=Options!$B$9,C164&lt;=Options!$B$10),"Chicago","")</f>
        <v/>
      </c>
      <c r="B164" s="5">
        <f>IF(A164="","",18)</f>
        <v/>
      </c>
      <c r="C164" s="17" t="n">
        <v>46455</v>
      </c>
      <c r="D164" s="5">
        <f>IF(A164="","",IF(C164=DATE(2026,11,29),"培训；注册午餐；早餐参数",IF(C164=DATE(2026,11,30),"培训；注册午餐",IF(C164=DATE(2026,12,1),"培训；注册午餐；机构晚餐",IF(C164=Options!$B$9,"抵达；"&amp;IF(C164=DATE(2026,11,28),"机构晚餐","无统一供餐"),IF(C164=Options!$B$10,"返程；"&amp;IF(C164=DATE(2026,12,2),"机构午餐","无统一供餐"),"差旅状态；无统一日程"))))))</f>
        <v/>
      </c>
      <c r="E164" s="13">
        <f>IF(C164=Options!$B$9,Options!$C$14,0)</f>
        <v/>
      </c>
      <c r="F164" s="13">
        <f>IF(AND(A164&lt;&gt;"",C164&lt;Options!$B$10),B164*Options!$X$5,0)</f>
        <v/>
      </c>
      <c r="G164" s="13">
        <f>F164*12%</f>
        <v/>
      </c>
      <c r="H164" s="13">
        <f>IF(A164="",0,B164*(92*IF(OR(C164=Options!$B$9,C164=Options!$B$10),75%,100%)-IF(C164=DATE(2026,11,29),26+IF(Options!$B$8="是",23,0),0)-IF(C164=DATE(2026,11,30),26,0)-IF(C164=DATE(2026,12,1),64,0)-IF(C164=DATE(2026,11,28),38,0)-IF(C164=DATE(2026,12,2),26,0)))</f>
        <v/>
      </c>
      <c r="I164" s="13">
        <f>IF(AND(C164&gt;=DATE(2026,11,29),C164&lt;=DATE(2026,12,1)),B164*60,0)</f>
        <v/>
      </c>
      <c r="J164" s="13">
        <f>IF(A164="",0,B164*(IF(C164=DATE(2026,11,28),38,0)+IF(C164=DATE(2026,12,1),38,0)+IF(C164=DATE(2026,12,2),26,0)))</f>
        <v/>
      </c>
      <c r="K164" s="13">
        <f>IF(C164=Options!$B$9,B164*12,0)</f>
        <v/>
      </c>
      <c r="L164" s="13">
        <f>IF(C164=Options!$B$9,B164*Options!$Z$5,0)</f>
        <v/>
      </c>
      <c r="M164" s="13" t="n">
        <v>0</v>
      </c>
      <c r="N164" s="13">
        <f>SUM(E164:M164)</f>
        <v/>
      </c>
    </row>
    <row r="165">
      <c r="A165" s="5">
        <f>IF(AND(C165&gt;=Options!$B$9,C165&lt;=Options!$B$10),"Chicago","")</f>
        <v/>
      </c>
      <c r="B165" s="5">
        <f>IF(A165="","",18)</f>
        <v/>
      </c>
      <c r="C165" s="17" t="n">
        <v>46456</v>
      </c>
      <c r="D165" s="5">
        <f>IF(A165="","",IF(C165=DATE(2026,11,29),"培训；注册午餐；早餐参数",IF(C165=DATE(2026,11,30),"培训；注册午餐",IF(C165=DATE(2026,12,1),"培训；注册午餐；机构晚餐",IF(C165=Options!$B$9,"抵达；"&amp;IF(C165=DATE(2026,11,28),"机构晚餐","无统一供餐"),IF(C165=Options!$B$10,"返程；"&amp;IF(C165=DATE(2026,12,2),"机构午餐","无统一供餐"),"差旅状态；无统一日程"))))))</f>
        <v/>
      </c>
      <c r="E165" s="13">
        <f>IF(C165=Options!$B$9,Options!$C$14,0)</f>
        <v/>
      </c>
      <c r="F165" s="13">
        <f>IF(AND(A165&lt;&gt;"",C165&lt;Options!$B$10),B165*Options!$X$5,0)</f>
        <v/>
      </c>
      <c r="G165" s="13">
        <f>F165*12%</f>
        <v/>
      </c>
      <c r="H165" s="13">
        <f>IF(A165="",0,B165*(92*IF(OR(C165=Options!$B$9,C165=Options!$B$10),75%,100%)-IF(C165=DATE(2026,11,29),26+IF(Options!$B$8="是",23,0),0)-IF(C165=DATE(2026,11,30),26,0)-IF(C165=DATE(2026,12,1),64,0)-IF(C165=DATE(2026,11,28),38,0)-IF(C165=DATE(2026,12,2),26,0)))</f>
        <v/>
      </c>
      <c r="I165" s="13">
        <f>IF(AND(C165&gt;=DATE(2026,11,29),C165&lt;=DATE(2026,12,1)),B165*60,0)</f>
        <v/>
      </c>
      <c r="J165" s="13">
        <f>IF(A165="",0,B165*(IF(C165=DATE(2026,11,28),38,0)+IF(C165=DATE(2026,12,1),38,0)+IF(C165=DATE(2026,12,2),26,0)))</f>
        <v/>
      </c>
      <c r="K165" s="13">
        <f>IF(C165=Options!$B$9,B165*12,0)</f>
        <v/>
      </c>
      <c r="L165" s="13">
        <f>IF(C165=Options!$B$9,B165*Options!$Z$5,0)</f>
        <v/>
      </c>
      <c r="M165" s="13" t="n">
        <v>0</v>
      </c>
      <c r="N165" s="13">
        <f>SUM(E165:M165)</f>
        <v/>
      </c>
    </row>
    <row r="166">
      <c r="A166" s="5">
        <f>IF(AND(C166&gt;=Options!$B$9,C166&lt;=Options!$B$10),"Chicago","")</f>
        <v/>
      </c>
      <c r="B166" s="5">
        <f>IF(A166="","",18)</f>
        <v/>
      </c>
      <c r="C166" s="17" t="n">
        <v>46457</v>
      </c>
      <c r="D166" s="5">
        <f>IF(A166="","",IF(C166=DATE(2026,11,29),"培训；注册午餐；早餐参数",IF(C166=DATE(2026,11,30),"培训；注册午餐",IF(C166=DATE(2026,12,1),"培训；注册午餐；机构晚餐",IF(C166=Options!$B$9,"抵达；"&amp;IF(C166=DATE(2026,11,28),"机构晚餐","无统一供餐"),IF(C166=Options!$B$10,"返程；"&amp;IF(C166=DATE(2026,12,2),"机构午餐","无统一供餐"),"差旅状态；无统一日程"))))))</f>
        <v/>
      </c>
      <c r="E166" s="13">
        <f>IF(C166=Options!$B$9,Options!$C$14,0)</f>
        <v/>
      </c>
      <c r="F166" s="13">
        <f>IF(AND(A166&lt;&gt;"",C166&lt;Options!$B$10),B166*Options!$X$5,0)</f>
        <v/>
      </c>
      <c r="G166" s="13">
        <f>F166*12%</f>
        <v/>
      </c>
      <c r="H166" s="13">
        <f>IF(A166="",0,B166*(92*IF(OR(C166=Options!$B$9,C166=Options!$B$10),75%,100%)-IF(C166=DATE(2026,11,29),26+IF(Options!$B$8="是",23,0),0)-IF(C166=DATE(2026,11,30),26,0)-IF(C166=DATE(2026,12,1),64,0)-IF(C166=DATE(2026,11,28),38,0)-IF(C166=DATE(2026,12,2),26,0)))</f>
        <v/>
      </c>
      <c r="I166" s="13">
        <f>IF(AND(C166&gt;=DATE(2026,11,29),C166&lt;=DATE(2026,12,1)),B166*60,0)</f>
        <v/>
      </c>
      <c r="J166" s="13">
        <f>IF(A166="",0,B166*(IF(C166=DATE(2026,11,28),38,0)+IF(C166=DATE(2026,12,1),38,0)+IF(C166=DATE(2026,12,2),26,0)))</f>
        <v/>
      </c>
      <c r="K166" s="13">
        <f>IF(C166=Options!$B$9,B166*12,0)</f>
        <v/>
      </c>
      <c r="L166" s="13">
        <f>IF(C166=Options!$B$9,B166*Options!$Z$5,0)</f>
        <v/>
      </c>
      <c r="M166" s="13" t="n">
        <v>0</v>
      </c>
      <c r="N166" s="13">
        <f>SUM(E166:M166)</f>
        <v/>
      </c>
    </row>
    <row r="167">
      <c r="A167" s="5">
        <f>IF(AND(C167&gt;=Options!$B$9,C167&lt;=Options!$B$10),"Chicago","")</f>
        <v/>
      </c>
      <c r="B167" s="5">
        <f>IF(A167="","",18)</f>
        <v/>
      </c>
      <c r="C167" s="17" t="n">
        <v>46458</v>
      </c>
      <c r="D167" s="5">
        <f>IF(A167="","",IF(C167=DATE(2026,11,29),"培训；注册午餐；早餐参数",IF(C167=DATE(2026,11,30),"培训；注册午餐",IF(C167=DATE(2026,12,1),"培训；注册午餐；机构晚餐",IF(C167=Options!$B$9,"抵达；"&amp;IF(C167=DATE(2026,11,28),"机构晚餐","无统一供餐"),IF(C167=Options!$B$10,"返程；"&amp;IF(C167=DATE(2026,12,2),"机构午餐","无统一供餐"),"差旅状态；无统一日程"))))))</f>
        <v/>
      </c>
      <c r="E167" s="13">
        <f>IF(C167=Options!$B$9,Options!$C$14,0)</f>
        <v/>
      </c>
      <c r="F167" s="13">
        <f>IF(AND(A167&lt;&gt;"",C167&lt;Options!$B$10),B167*Options!$X$5,0)</f>
        <v/>
      </c>
      <c r="G167" s="13">
        <f>F167*12%</f>
        <v/>
      </c>
      <c r="H167" s="13">
        <f>IF(A167="",0,B167*(92*IF(OR(C167=Options!$B$9,C167=Options!$B$10),75%,100%)-IF(C167=DATE(2026,11,29),26+IF(Options!$B$8="是",23,0),0)-IF(C167=DATE(2026,11,30),26,0)-IF(C167=DATE(2026,12,1),64,0)-IF(C167=DATE(2026,11,28),38,0)-IF(C167=DATE(2026,12,2),26,0)))</f>
        <v/>
      </c>
      <c r="I167" s="13">
        <f>IF(AND(C167&gt;=DATE(2026,11,29),C167&lt;=DATE(2026,12,1)),B167*60,0)</f>
        <v/>
      </c>
      <c r="J167" s="13">
        <f>IF(A167="",0,B167*(IF(C167=DATE(2026,11,28),38,0)+IF(C167=DATE(2026,12,1),38,0)+IF(C167=DATE(2026,12,2),26,0)))</f>
        <v/>
      </c>
      <c r="K167" s="13">
        <f>IF(C167=Options!$B$9,B167*12,0)</f>
        <v/>
      </c>
      <c r="L167" s="13">
        <f>IF(C167=Options!$B$9,B167*Options!$Z$5,0)</f>
        <v/>
      </c>
      <c r="M167" s="13" t="n">
        <v>0</v>
      </c>
      <c r="N167" s="13">
        <f>SUM(E167:M167)</f>
        <v/>
      </c>
    </row>
    <row r="168">
      <c r="A168" s="5">
        <f>IF(AND(C168&gt;=Options!$B$9,C168&lt;=Options!$B$10),"Chicago","")</f>
        <v/>
      </c>
      <c r="B168" s="5">
        <f>IF(A168="","",18)</f>
        <v/>
      </c>
      <c r="C168" s="17" t="n">
        <v>46459</v>
      </c>
      <c r="D168" s="5">
        <f>IF(A168="","",IF(C168=DATE(2026,11,29),"培训；注册午餐；早餐参数",IF(C168=DATE(2026,11,30),"培训；注册午餐",IF(C168=DATE(2026,12,1),"培训；注册午餐；机构晚餐",IF(C168=Options!$B$9,"抵达；"&amp;IF(C168=DATE(2026,11,28),"机构晚餐","无统一供餐"),IF(C168=Options!$B$10,"返程；"&amp;IF(C168=DATE(2026,12,2),"机构午餐","无统一供餐"),"差旅状态；无统一日程"))))))</f>
        <v/>
      </c>
      <c r="E168" s="13">
        <f>IF(C168=Options!$B$9,Options!$C$14,0)</f>
        <v/>
      </c>
      <c r="F168" s="13">
        <f>IF(AND(A168&lt;&gt;"",C168&lt;Options!$B$10),B168*Options!$X$5,0)</f>
        <v/>
      </c>
      <c r="G168" s="13">
        <f>F168*12%</f>
        <v/>
      </c>
      <c r="H168" s="13">
        <f>IF(A168="",0,B168*(92*IF(OR(C168=Options!$B$9,C168=Options!$B$10),75%,100%)-IF(C168=DATE(2026,11,29),26+IF(Options!$B$8="是",23,0),0)-IF(C168=DATE(2026,11,30),26,0)-IF(C168=DATE(2026,12,1),64,0)-IF(C168=DATE(2026,11,28),38,0)-IF(C168=DATE(2026,12,2),26,0)))</f>
        <v/>
      </c>
      <c r="I168" s="13">
        <f>IF(AND(C168&gt;=DATE(2026,11,29),C168&lt;=DATE(2026,12,1)),B168*60,0)</f>
        <v/>
      </c>
      <c r="J168" s="13">
        <f>IF(A168="",0,B168*(IF(C168=DATE(2026,11,28),38,0)+IF(C168=DATE(2026,12,1),38,0)+IF(C168=DATE(2026,12,2),26,0)))</f>
        <v/>
      </c>
      <c r="K168" s="13">
        <f>IF(C168=Options!$B$9,B168*12,0)</f>
        <v/>
      </c>
      <c r="L168" s="13">
        <f>IF(C168=Options!$B$9,B168*Options!$Z$5,0)</f>
        <v/>
      </c>
      <c r="M168" s="13" t="n">
        <v>0</v>
      </c>
      <c r="N168" s="13">
        <f>SUM(E168:M168)</f>
        <v/>
      </c>
    </row>
    <row r="169">
      <c r="A169" s="5">
        <f>IF(AND(C169&gt;=Options!$B$9,C169&lt;=Options!$B$10),"Chicago","")</f>
        <v/>
      </c>
      <c r="B169" s="5">
        <f>IF(A169="","",18)</f>
        <v/>
      </c>
      <c r="C169" s="17" t="n">
        <v>46460</v>
      </c>
      <c r="D169" s="5">
        <f>IF(A169="","",IF(C169=DATE(2026,11,29),"培训；注册午餐；早餐参数",IF(C169=DATE(2026,11,30),"培训；注册午餐",IF(C169=DATE(2026,12,1),"培训；注册午餐；机构晚餐",IF(C169=Options!$B$9,"抵达；"&amp;IF(C169=DATE(2026,11,28),"机构晚餐","无统一供餐"),IF(C169=Options!$B$10,"返程；"&amp;IF(C169=DATE(2026,12,2),"机构午餐","无统一供餐"),"差旅状态；无统一日程"))))))</f>
        <v/>
      </c>
      <c r="E169" s="13">
        <f>IF(C169=Options!$B$9,Options!$C$14,0)</f>
        <v/>
      </c>
      <c r="F169" s="13">
        <f>IF(AND(A169&lt;&gt;"",C169&lt;Options!$B$10),B169*Options!$X$5,0)</f>
        <v/>
      </c>
      <c r="G169" s="13">
        <f>F169*12%</f>
        <v/>
      </c>
      <c r="H169" s="13">
        <f>IF(A169="",0,B169*(92*IF(OR(C169=Options!$B$9,C169=Options!$B$10),75%,100%)-IF(C169=DATE(2026,11,29),26+IF(Options!$B$8="是",23,0),0)-IF(C169=DATE(2026,11,30),26,0)-IF(C169=DATE(2026,12,1),64,0)-IF(C169=DATE(2026,11,28),38,0)-IF(C169=DATE(2026,12,2),26,0)))</f>
        <v/>
      </c>
      <c r="I169" s="13">
        <f>IF(AND(C169&gt;=DATE(2026,11,29),C169&lt;=DATE(2026,12,1)),B169*60,0)</f>
        <v/>
      </c>
      <c r="J169" s="13">
        <f>IF(A169="",0,B169*(IF(C169=DATE(2026,11,28),38,0)+IF(C169=DATE(2026,12,1),38,0)+IF(C169=DATE(2026,12,2),26,0)))</f>
        <v/>
      </c>
      <c r="K169" s="13">
        <f>IF(C169=Options!$B$9,B169*12,0)</f>
        <v/>
      </c>
      <c r="L169" s="13">
        <f>IF(C169=Options!$B$9,B169*Options!$Z$5,0)</f>
        <v/>
      </c>
      <c r="M169" s="13" t="n">
        <v>0</v>
      </c>
      <c r="N169" s="13">
        <f>SUM(E169:M169)</f>
        <v/>
      </c>
    </row>
    <row r="170">
      <c r="A170" s="5">
        <f>IF(AND(C170&gt;=Options!$B$9,C170&lt;=Options!$B$10),"Chicago","")</f>
        <v/>
      </c>
      <c r="B170" s="5">
        <f>IF(A170="","",18)</f>
        <v/>
      </c>
      <c r="C170" s="17" t="n">
        <v>46461</v>
      </c>
      <c r="D170" s="5">
        <f>IF(A170="","",IF(C170=DATE(2026,11,29),"培训；注册午餐；早餐参数",IF(C170=DATE(2026,11,30),"培训；注册午餐",IF(C170=DATE(2026,12,1),"培训；注册午餐；机构晚餐",IF(C170=Options!$B$9,"抵达；"&amp;IF(C170=DATE(2026,11,28),"机构晚餐","无统一供餐"),IF(C170=Options!$B$10,"返程；"&amp;IF(C170=DATE(2026,12,2),"机构午餐","无统一供餐"),"差旅状态；无统一日程"))))))</f>
        <v/>
      </c>
      <c r="E170" s="13">
        <f>IF(C170=Options!$B$9,Options!$C$14,0)</f>
        <v/>
      </c>
      <c r="F170" s="13">
        <f>IF(AND(A170&lt;&gt;"",C170&lt;Options!$B$10),B170*Options!$X$5,0)</f>
        <v/>
      </c>
      <c r="G170" s="13">
        <f>F170*12%</f>
        <v/>
      </c>
      <c r="H170" s="13">
        <f>IF(A170="",0,B170*(92*IF(OR(C170=Options!$B$9,C170=Options!$B$10),75%,100%)-IF(C170=DATE(2026,11,29),26+IF(Options!$B$8="是",23,0),0)-IF(C170=DATE(2026,11,30),26,0)-IF(C170=DATE(2026,12,1),64,0)-IF(C170=DATE(2026,11,28),38,0)-IF(C170=DATE(2026,12,2),26,0)))</f>
        <v/>
      </c>
      <c r="I170" s="13">
        <f>IF(AND(C170&gt;=DATE(2026,11,29),C170&lt;=DATE(2026,12,1)),B170*60,0)</f>
        <v/>
      </c>
      <c r="J170" s="13">
        <f>IF(A170="",0,B170*(IF(C170=DATE(2026,11,28),38,0)+IF(C170=DATE(2026,12,1),38,0)+IF(C170=DATE(2026,12,2),26,0)))</f>
        <v/>
      </c>
      <c r="K170" s="13">
        <f>IF(C170=Options!$B$9,B170*12,0)</f>
        <v/>
      </c>
      <c r="L170" s="13">
        <f>IF(C170=Options!$B$9,B170*Options!$Z$5,0)</f>
        <v/>
      </c>
      <c r="M170" s="13" t="n">
        <v>0</v>
      </c>
      <c r="N170" s="13">
        <f>SUM(E170:M170)</f>
        <v/>
      </c>
    </row>
    <row r="171">
      <c r="A171" s="5">
        <f>IF(AND(C171&gt;=Options!$B$9,C171&lt;=Options!$B$10),"Chicago","")</f>
        <v/>
      </c>
      <c r="B171" s="5">
        <f>IF(A171="","",18)</f>
        <v/>
      </c>
      <c r="C171" s="17" t="n">
        <v>46462</v>
      </c>
      <c r="D171" s="5">
        <f>IF(A171="","",IF(C171=DATE(2026,11,29),"培训；注册午餐；早餐参数",IF(C171=DATE(2026,11,30),"培训；注册午餐",IF(C171=DATE(2026,12,1),"培训；注册午餐；机构晚餐",IF(C171=Options!$B$9,"抵达；"&amp;IF(C171=DATE(2026,11,28),"机构晚餐","无统一供餐"),IF(C171=Options!$B$10,"返程；"&amp;IF(C171=DATE(2026,12,2),"机构午餐","无统一供餐"),"差旅状态；无统一日程"))))))</f>
        <v/>
      </c>
      <c r="E171" s="13">
        <f>IF(C171=Options!$B$9,Options!$C$14,0)</f>
        <v/>
      </c>
      <c r="F171" s="13">
        <f>IF(AND(A171&lt;&gt;"",C171&lt;Options!$B$10),B171*Options!$X$5,0)</f>
        <v/>
      </c>
      <c r="G171" s="13">
        <f>F171*12%</f>
        <v/>
      </c>
      <c r="H171" s="13">
        <f>IF(A171="",0,B171*(92*IF(OR(C171=Options!$B$9,C171=Options!$B$10),75%,100%)-IF(C171=DATE(2026,11,29),26+IF(Options!$B$8="是",23,0),0)-IF(C171=DATE(2026,11,30),26,0)-IF(C171=DATE(2026,12,1),64,0)-IF(C171=DATE(2026,11,28),38,0)-IF(C171=DATE(2026,12,2),26,0)))</f>
        <v/>
      </c>
      <c r="I171" s="13">
        <f>IF(AND(C171&gt;=DATE(2026,11,29),C171&lt;=DATE(2026,12,1)),B171*60,0)</f>
        <v/>
      </c>
      <c r="J171" s="13">
        <f>IF(A171="",0,B171*(IF(C171=DATE(2026,11,28),38,0)+IF(C171=DATE(2026,12,1),38,0)+IF(C171=DATE(2026,12,2),26,0)))</f>
        <v/>
      </c>
      <c r="K171" s="13">
        <f>IF(C171=Options!$B$9,B171*12,0)</f>
        <v/>
      </c>
      <c r="L171" s="13">
        <f>IF(C171=Options!$B$9,B171*Options!$Z$5,0)</f>
        <v/>
      </c>
      <c r="M171" s="13" t="n">
        <v>0</v>
      </c>
      <c r="N171" s="13">
        <f>SUM(E171:M171)</f>
        <v/>
      </c>
    </row>
    <row r="172">
      <c r="A172" s="5">
        <f>IF(AND(C172&gt;=Options!$B$9,C172&lt;=Options!$B$10),"Chicago","")</f>
        <v/>
      </c>
      <c r="B172" s="5">
        <f>IF(A172="","",18)</f>
        <v/>
      </c>
      <c r="C172" s="17" t="n">
        <v>46463</v>
      </c>
      <c r="D172" s="5">
        <f>IF(A172="","",IF(C172=DATE(2026,11,29),"培训；注册午餐；早餐参数",IF(C172=DATE(2026,11,30),"培训；注册午餐",IF(C172=DATE(2026,12,1),"培训；注册午餐；机构晚餐",IF(C172=Options!$B$9,"抵达；"&amp;IF(C172=DATE(2026,11,28),"机构晚餐","无统一供餐"),IF(C172=Options!$B$10,"返程；"&amp;IF(C172=DATE(2026,12,2),"机构午餐","无统一供餐"),"差旅状态；无统一日程"))))))</f>
        <v/>
      </c>
      <c r="E172" s="13">
        <f>IF(C172=Options!$B$9,Options!$C$14,0)</f>
        <v/>
      </c>
      <c r="F172" s="13">
        <f>IF(AND(A172&lt;&gt;"",C172&lt;Options!$B$10),B172*Options!$X$5,0)</f>
        <v/>
      </c>
      <c r="G172" s="13">
        <f>F172*12%</f>
        <v/>
      </c>
      <c r="H172" s="13">
        <f>IF(A172="",0,B172*(92*IF(OR(C172=Options!$B$9,C172=Options!$B$10),75%,100%)-IF(C172=DATE(2026,11,29),26+IF(Options!$B$8="是",23,0),0)-IF(C172=DATE(2026,11,30),26,0)-IF(C172=DATE(2026,12,1),64,0)-IF(C172=DATE(2026,11,28),38,0)-IF(C172=DATE(2026,12,2),26,0)))</f>
        <v/>
      </c>
      <c r="I172" s="13">
        <f>IF(AND(C172&gt;=DATE(2026,11,29),C172&lt;=DATE(2026,12,1)),B172*60,0)</f>
        <v/>
      </c>
      <c r="J172" s="13">
        <f>IF(A172="",0,B172*(IF(C172=DATE(2026,11,28),38,0)+IF(C172=DATE(2026,12,1),38,0)+IF(C172=DATE(2026,12,2),26,0)))</f>
        <v/>
      </c>
      <c r="K172" s="13">
        <f>IF(C172=Options!$B$9,B172*12,0)</f>
        <v/>
      </c>
      <c r="L172" s="13">
        <f>IF(C172=Options!$B$9,B172*Options!$Z$5,0)</f>
        <v/>
      </c>
      <c r="M172" s="13" t="n">
        <v>0</v>
      </c>
      <c r="N172" s="13">
        <f>SUM(E172:M172)</f>
        <v/>
      </c>
    </row>
    <row r="173">
      <c r="A173" s="5">
        <f>IF(AND(C173&gt;=Options!$B$9,C173&lt;=Options!$B$10),"Chicago","")</f>
        <v/>
      </c>
      <c r="B173" s="5">
        <f>IF(A173="","",18)</f>
        <v/>
      </c>
      <c r="C173" s="17" t="n">
        <v>46464</v>
      </c>
      <c r="D173" s="5">
        <f>IF(A173="","",IF(C173=DATE(2026,11,29),"培训；注册午餐；早餐参数",IF(C173=DATE(2026,11,30),"培训；注册午餐",IF(C173=DATE(2026,12,1),"培训；注册午餐；机构晚餐",IF(C173=Options!$B$9,"抵达；"&amp;IF(C173=DATE(2026,11,28),"机构晚餐","无统一供餐"),IF(C173=Options!$B$10,"返程；"&amp;IF(C173=DATE(2026,12,2),"机构午餐","无统一供餐"),"差旅状态；无统一日程"))))))</f>
        <v/>
      </c>
      <c r="E173" s="13">
        <f>IF(C173=Options!$B$9,Options!$C$14,0)</f>
        <v/>
      </c>
      <c r="F173" s="13">
        <f>IF(AND(A173&lt;&gt;"",C173&lt;Options!$B$10),B173*Options!$X$5,0)</f>
        <v/>
      </c>
      <c r="G173" s="13">
        <f>F173*12%</f>
        <v/>
      </c>
      <c r="H173" s="13">
        <f>IF(A173="",0,B173*(92*IF(OR(C173=Options!$B$9,C173=Options!$B$10),75%,100%)-IF(C173=DATE(2026,11,29),26+IF(Options!$B$8="是",23,0),0)-IF(C173=DATE(2026,11,30),26,0)-IF(C173=DATE(2026,12,1),64,0)-IF(C173=DATE(2026,11,28),38,0)-IF(C173=DATE(2026,12,2),26,0)))</f>
        <v/>
      </c>
      <c r="I173" s="13">
        <f>IF(AND(C173&gt;=DATE(2026,11,29),C173&lt;=DATE(2026,12,1)),B173*60,0)</f>
        <v/>
      </c>
      <c r="J173" s="13">
        <f>IF(A173="",0,B173*(IF(C173=DATE(2026,11,28),38,0)+IF(C173=DATE(2026,12,1),38,0)+IF(C173=DATE(2026,12,2),26,0)))</f>
        <v/>
      </c>
      <c r="K173" s="13">
        <f>IF(C173=Options!$B$9,B173*12,0)</f>
        <v/>
      </c>
      <c r="L173" s="13">
        <f>IF(C173=Options!$B$9,B173*Options!$Z$5,0)</f>
        <v/>
      </c>
      <c r="M173" s="13" t="n">
        <v>0</v>
      </c>
      <c r="N173" s="13">
        <f>SUM(E173:M173)</f>
        <v/>
      </c>
    </row>
    <row r="174">
      <c r="A174" s="5">
        <f>IF(AND(C174&gt;=Options!$B$9,C174&lt;=Options!$B$10),"Chicago","")</f>
        <v/>
      </c>
      <c r="B174" s="5">
        <f>IF(A174="","",18)</f>
        <v/>
      </c>
      <c r="C174" s="17" t="n">
        <v>46465</v>
      </c>
      <c r="D174" s="5">
        <f>IF(A174="","",IF(C174=DATE(2026,11,29),"培训；注册午餐；早餐参数",IF(C174=DATE(2026,11,30),"培训；注册午餐",IF(C174=DATE(2026,12,1),"培训；注册午餐；机构晚餐",IF(C174=Options!$B$9,"抵达；"&amp;IF(C174=DATE(2026,11,28),"机构晚餐","无统一供餐"),IF(C174=Options!$B$10,"返程；"&amp;IF(C174=DATE(2026,12,2),"机构午餐","无统一供餐"),"差旅状态；无统一日程"))))))</f>
        <v/>
      </c>
      <c r="E174" s="13">
        <f>IF(C174=Options!$B$9,Options!$C$14,0)</f>
        <v/>
      </c>
      <c r="F174" s="13">
        <f>IF(AND(A174&lt;&gt;"",C174&lt;Options!$B$10),B174*Options!$X$5,0)</f>
        <v/>
      </c>
      <c r="G174" s="13">
        <f>F174*12%</f>
        <v/>
      </c>
      <c r="H174" s="13">
        <f>IF(A174="",0,B174*(92*IF(OR(C174=Options!$B$9,C174=Options!$B$10),75%,100%)-IF(C174=DATE(2026,11,29),26+IF(Options!$B$8="是",23,0),0)-IF(C174=DATE(2026,11,30),26,0)-IF(C174=DATE(2026,12,1),64,0)-IF(C174=DATE(2026,11,28),38,0)-IF(C174=DATE(2026,12,2),26,0)))</f>
        <v/>
      </c>
      <c r="I174" s="13">
        <f>IF(AND(C174&gt;=DATE(2026,11,29),C174&lt;=DATE(2026,12,1)),B174*60,0)</f>
        <v/>
      </c>
      <c r="J174" s="13">
        <f>IF(A174="",0,B174*(IF(C174=DATE(2026,11,28),38,0)+IF(C174=DATE(2026,12,1),38,0)+IF(C174=DATE(2026,12,2),26,0)))</f>
        <v/>
      </c>
      <c r="K174" s="13">
        <f>IF(C174=Options!$B$9,B174*12,0)</f>
        <v/>
      </c>
      <c r="L174" s="13">
        <f>IF(C174=Options!$B$9,B174*Options!$Z$5,0)</f>
        <v/>
      </c>
      <c r="M174" s="13" t="n">
        <v>0</v>
      </c>
      <c r="N174" s="13">
        <f>SUM(E174:M174)</f>
        <v/>
      </c>
    </row>
    <row r="175">
      <c r="A175" s="5">
        <f>IF(AND(C175&gt;=Options!$B$9,C175&lt;=Options!$B$10),"Chicago","")</f>
        <v/>
      </c>
      <c r="B175" s="5">
        <f>IF(A175="","",18)</f>
        <v/>
      </c>
      <c r="C175" s="17" t="n">
        <v>46466</v>
      </c>
      <c r="D175" s="5">
        <f>IF(A175="","",IF(C175=DATE(2026,11,29),"培训；注册午餐；早餐参数",IF(C175=DATE(2026,11,30),"培训；注册午餐",IF(C175=DATE(2026,12,1),"培训；注册午餐；机构晚餐",IF(C175=Options!$B$9,"抵达；"&amp;IF(C175=DATE(2026,11,28),"机构晚餐","无统一供餐"),IF(C175=Options!$B$10,"返程；"&amp;IF(C175=DATE(2026,12,2),"机构午餐","无统一供餐"),"差旅状态；无统一日程"))))))</f>
        <v/>
      </c>
      <c r="E175" s="13">
        <f>IF(C175=Options!$B$9,Options!$C$14,0)</f>
        <v/>
      </c>
      <c r="F175" s="13">
        <f>IF(AND(A175&lt;&gt;"",C175&lt;Options!$B$10),B175*Options!$X$5,0)</f>
        <v/>
      </c>
      <c r="G175" s="13">
        <f>F175*12%</f>
        <v/>
      </c>
      <c r="H175" s="13">
        <f>IF(A175="",0,B175*(92*IF(OR(C175=Options!$B$9,C175=Options!$B$10),75%,100%)-IF(C175=DATE(2026,11,29),26+IF(Options!$B$8="是",23,0),0)-IF(C175=DATE(2026,11,30),26,0)-IF(C175=DATE(2026,12,1),64,0)-IF(C175=DATE(2026,11,28),38,0)-IF(C175=DATE(2026,12,2),26,0)))</f>
        <v/>
      </c>
      <c r="I175" s="13">
        <f>IF(AND(C175&gt;=DATE(2026,11,29),C175&lt;=DATE(2026,12,1)),B175*60,0)</f>
        <v/>
      </c>
      <c r="J175" s="13">
        <f>IF(A175="",0,B175*(IF(C175=DATE(2026,11,28),38,0)+IF(C175=DATE(2026,12,1),38,0)+IF(C175=DATE(2026,12,2),26,0)))</f>
        <v/>
      </c>
      <c r="K175" s="13">
        <f>IF(C175=Options!$B$9,B175*12,0)</f>
        <v/>
      </c>
      <c r="L175" s="13">
        <f>IF(C175=Options!$B$9,B175*Options!$Z$5,0)</f>
        <v/>
      </c>
      <c r="M175" s="13" t="n">
        <v>0</v>
      </c>
      <c r="N175" s="13">
        <f>SUM(E175:M175)</f>
        <v/>
      </c>
    </row>
    <row r="176">
      <c r="A176" s="5">
        <f>IF(AND(C176&gt;=Options!$B$9,C176&lt;=Options!$B$10),"Chicago","")</f>
        <v/>
      </c>
      <c r="B176" s="5">
        <f>IF(A176="","",18)</f>
        <v/>
      </c>
      <c r="C176" s="17" t="n">
        <v>46467</v>
      </c>
      <c r="D176" s="5">
        <f>IF(A176="","",IF(C176=DATE(2026,11,29),"培训；注册午餐；早餐参数",IF(C176=DATE(2026,11,30),"培训；注册午餐",IF(C176=DATE(2026,12,1),"培训；注册午餐；机构晚餐",IF(C176=Options!$B$9,"抵达；"&amp;IF(C176=DATE(2026,11,28),"机构晚餐","无统一供餐"),IF(C176=Options!$B$10,"返程；"&amp;IF(C176=DATE(2026,12,2),"机构午餐","无统一供餐"),"差旅状态；无统一日程"))))))</f>
        <v/>
      </c>
      <c r="E176" s="13">
        <f>IF(C176=Options!$B$9,Options!$C$14,0)</f>
        <v/>
      </c>
      <c r="F176" s="13">
        <f>IF(AND(A176&lt;&gt;"",C176&lt;Options!$B$10),B176*Options!$X$5,0)</f>
        <v/>
      </c>
      <c r="G176" s="13">
        <f>F176*12%</f>
        <v/>
      </c>
      <c r="H176" s="13">
        <f>IF(A176="",0,B176*(92*IF(OR(C176=Options!$B$9,C176=Options!$B$10),75%,100%)-IF(C176=DATE(2026,11,29),26+IF(Options!$B$8="是",23,0),0)-IF(C176=DATE(2026,11,30),26,0)-IF(C176=DATE(2026,12,1),64,0)-IF(C176=DATE(2026,11,28),38,0)-IF(C176=DATE(2026,12,2),26,0)))</f>
        <v/>
      </c>
      <c r="I176" s="13">
        <f>IF(AND(C176&gt;=DATE(2026,11,29),C176&lt;=DATE(2026,12,1)),B176*60,0)</f>
        <v/>
      </c>
      <c r="J176" s="13">
        <f>IF(A176="",0,B176*(IF(C176=DATE(2026,11,28),38,0)+IF(C176=DATE(2026,12,1),38,0)+IF(C176=DATE(2026,12,2),26,0)))</f>
        <v/>
      </c>
      <c r="K176" s="13">
        <f>IF(C176=Options!$B$9,B176*12,0)</f>
        <v/>
      </c>
      <c r="L176" s="13">
        <f>IF(C176=Options!$B$9,B176*Options!$Z$5,0)</f>
        <v/>
      </c>
      <c r="M176" s="13" t="n">
        <v>0</v>
      </c>
      <c r="N176" s="13">
        <f>SUM(E176:M176)</f>
        <v/>
      </c>
    </row>
    <row r="177">
      <c r="A177" s="5">
        <f>IF(AND(C177&gt;=Options!$B$9,C177&lt;=Options!$B$10),"Chicago","")</f>
        <v/>
      </c>
      <c r="B177" s="5">
        <f>IF(A177="","",18)</f>
        <v/>
      </c>
      <c r="C177" s="17" t="n">
        <v>46468</v>
      </c>
      <c r="D177" s="5">
        <f>IF(A177="","",IF(C177=DATE(2026,11,29),"培训；注册午餐；早餐参数",IF(C177=DATE(2026,11,30),"培训；注册午餐",IF(C177=DATE(2026,12,1),"培训；注册午餐；机构晚餐",IF(C177=Options!$B$9,"抵达；"&amp;IF(C177=DATE(2026,11,28),"机构晚餐","无统一供餐"),IF(C177=Options!$B$10,"返程；"&amp;IF(C177=DATE(2026,12,2),"机构午餐","无统一供餐"),"差旅状态；无统一日程"))))))</f>
        <v/>
      </c>
      <c r="E177" s="13">
        <f>IF(C177=Options!$B$9,Options!$C$14,0)</f>
        <v/>
      </c>
      <c r="F177" s="13">
        <f>IF(AND(A177&lt;&gt;"",C177&lt;Options!$B$10),B177*Options!$X$5,0)</f>
        <v/>
      </c>
      <c r="G177" s="13">
        <f>F177*12%</f>
        <v/>
      </c>
      <c r="H177" s="13">
        <f>IF(A177="",0,B177*(92*IF(OR(C177=Options!$B$9,C177=Options!$B$10),75%,100%)-IF(C177=DATE(2026,11,29),26+IF(Options!$B$8="是",23,0),0)-IF(C177=DATE(2026,11,30),26,0)-IF(C177=DATE(2026,12,1),64,0)-IF(C177=DATE(2026,11,28),38,0)-IF(C177=DATE(2026,12,2),26,0)))</f>
        <v/>
      </c>
      <c r="I177" s="13">
        <f>IF(AND(C177&gt;=DATE(2026,11,29),C177&lt;=DATE(2026,12,1)),B177*60,0)</f>
        <v/>
      </c>
      <c r="J177" s="13">
        <f>IF(A177="",0,B177*(IF(C177=DATE(2026,11,28),38,0)+IF(C177=DATE(2026,12,1),38,0)+IF(C177=DATE(2026,12,2),26,0)))</f>
        <v/>
      </c>
      <c r="K177" s="13">
        <f>IF(C177=Options!$B$9,B177*12,0)</f>
        <v/>
      </c>
      <c r="L177" s="13">
        <f>IF(C177=Options!$B$9,B177*Options!$Z$5,0)</f>
        <v/>
      </c>
      <c r="M177" s="13" t="n">
        <v>0</v>
      </c>
      <c r="N177" s="13">
        <f>SUM(E177:M177)</f>
        <v/>
      </c>
    </row>
    <row r="178">
      <c r="A178" s="5">
        <f>IF(AND(C178&gt;=Options!$B$9,C178&lt;=Options!$B$10),"Chicago","")</f>
        <v/>
      </c>
      <c r="B178" s="5">
        <f>IF(A178="","",18)</f>
        <v/>
      </c>
      <c r="C178" s="17" t="n">
        <v>46469</v>
      </c>
      <c r="D178" s="5">
        <f>IF(A178="","",IF(C178=DATE(2026,11,29),"培训；注册午餐；早餐参数",IF(C178=DATE(2026,11,30),"培训；注册午餐",IF(C178=DATE(2026,12,1),"培训；注册午餐；机构晚餐",IF(C178=Options!$B$9,"抵达；"&amp;IF(C178=DATE(2026,11,28),"机构晚餐","无统一供餐"),IF(C178=Options!$B$10,"返程；"&amp;IF(C178=DATE(2026,12,2),"机构午餐","无统一供餐"),"差旅状态；无统一日程"))))))</f>
        <v/>
      </c>
      <c r="E178" s="13">
        <f>IF(C178=Options!$B$9,Options!$C$14,0)</f>
        <v/>
      </c>
      <c r="F178" s="13">
        <f>IF(AND(A178&lt;&gt;"",C178&lt;Options!$B$10),B178*Options!$X$5,0)</f>
        <v/>
      </c>
      <c r="G178" s="13">
        <f>F178*12%</f>
        <v/>
      </c>
      <c r="H178" s="13">
        <f>IF(A178="",0,B178*(92*IF(OR(C178=Options!$B$9,C178=Options!$B$10),75%,100%)-IF(C178=DATE(2026,11,29),26+IF(Options!$B$8="是",23,0),0)-IF(C178=DATE(2026,11,30),26,0)-IF(C178=DATE(2026,12,1),64,0)-IF(C178=DATE(2026,11,28),38,0)-IF(C178=DATE(2026,12,2),26,0)))</f>
        <v/>
      </c>
      <c r="I178" s="13">
        <f>IF(AND(C178&gt;=DATE(2026,11,29),C178&lt;=DATE(2026,12,1)),B178*60,0)</f>
        <v/>
      </c>
      <c r="J178" s="13">
        <f>IF(A178="",0,B178*(IF(C178=DATE(2026,11,28),38,0)+IF(C178=DATE(2026,12,1),38,0)+IF(C178=DATE(2026,12,2),26,0)))</f>
        <v/>
      </c>
      <c r="K178" s="13">
        <f>IF(C178=Options!$B$9,B178*12,0)</f>
        <v/>
      </c>
      <c r="L178" s="13">
        <f>IF(C178=Options!$B$9,B178*Options!$Z$5,0)</f>
        <v/>
      </c>
      <c r="M178" s="13" t="n">
        <v>0</v>
      </c>
      <c r="N178" s="13">
        <f>SUM(E178:M178)</f>
        <v/>
      </c>
    </row>
    <row r="179">
      <c r="A179" s="5">
        <f>IF(AND(C179&gt;=Options!$B$9,C179&lt;=Options!$B$10),"Chicago","")</f>
        <v/>
      </c>
      <c r="B179" s="5">
        <f>IF(A179="","",18)</f>
        <v/>
      </c>
      <c r="C179" s="17" t="n">
        <v>46470</v>
      </c>
      <c r="D179" s="5">
        <f>IF(A179="","",IF(C179=DATE(2026,11,29),"培训；注册午餐；早餐参数",IF(C179=DATE(2026,11,30),"培训；注册午餐",IF(C179=DATE(2026,12,1),"培训；注册午餐；机构晚餐",IF(C179=Options!$B$9,"抵达；"&amp;IF(C179=DATE(2026,11,28),"机构晚餐","无统一供餐"),IF(C179=Options!$B$10,"返程；"&amp;IF(C179=DATE(2026,12,2),"机构午餐","无统一供餐"),"差旅状态；无统一日程"))))))</f>
        <v/>
      </c>
      <c r="E179" s="13">
        <f>IF(C179=Options!$B$9,Options!$C$14,0)</f>
        <v/>
      </c>
      <c r="F179" s="13">
        <f>IF(AND(A179&lt;&gt;"",C179&lt;Options!$B$10),B179*Options!$X$5,0)</f>
        <v/>
      </c>
      <c r="G179" s="13">
        <f>F179*12%</f>
        <v/>
      </c>
      <c r="H179" s="13">
        <f>IF(A179="",0,B179*(92*IF(OR(C179=Options!$B$9,C179=Options!$B$10),75%,100%)-IF(C179=DATE(2026,11,29),26+IF(Options!$B$8="是",23,0),0)-IF(C179=DATE(2026,11,30),26,0)-IF(C179=DATE(2026,12,1),64,0)-IF(C179=DATE(2026,11,28),38,0)-IF(C179=DATE(2026,12,2),26,0)))</f>
        <v/>
      </c>
      <c r="I179" s="13">
        <f>IF(AND(C179&gt;=DATE(2026,11,29),C179&lt;=DATE(2026,12,1)),B179*60,0)</f>
        <v/>
      </c>
      <c r="J179" s="13">
        <f>IF(A179="",0,B179*(IF(C179=DATE(2026,11,28),38,0)+IF(C179=DATE(2026,12,1),38,0)+IF(C179=DATE(2026,12,2),26,0)))</f>
        <v/>
      </c>
      <c r="K179" s="13">
        <f>IF(C179=Options!$B$9,B179*12,0)</f>
        <v/>
      </c>
      <c r="L179" s="13">
        <f>IF(C179=Options!$B$9,B179*Options!$Z$5,0)</f>
        <v/>
      </c>
      <c r="M179" s="13" t="n">
        <v>0</v>
      </c>
      <c r="N179" s="13">
        <f>SUM(E179:M179)</f>
        <v/>
      </c>
    </row>
    <row r="180">
      <c r="A180" s="5">
        <f>IF(AND(C180&gt;=Options!$B$9,C180&lt;=Options!$B$10),"Chicago","")</f>
        <v/>
      </c>
      <c r="B180" s="5">
        <f>IF(A180="","",18)</f>
        <v/>
      </c>
      <c r="C180" s="17" t="n">
        <v>46471</v>
      </c>
      <c r="D180" s="5">
        <f>IF(A180="","",IF(C180=DATE(2026,11,29),"培训；注册午餐；早餐参数",IF(C180=DATE(2026,11,30),"培训；注册午餐",IF(C180=DATE(2026,12,1),"培训；注册午餐；机构晚餐",IF(C180=Options!$B$9,"抵达；"&amp;IF(C180=DATE(2026,11,28),"机构晚餐","无统一供餐"),IF(C180=Options!$B$10,"返程；"&amp;IF(C180=DATE(2026,12,2),"机构午餐","无统一供餐"),"差旅状态；无统一日程"))))))</f>
        <v/>
      </c>
      <c r="E180" s="13">
        <f>IF(C180=Options!$B$9,Options!$C$14,0)</f>
        <v/>
      </c>
      <c r="F180" s="13">
        <f>IF(AND(A180&lt;&gt;"",C180&lt;Options!$B$10),B180*Options!$X$5,0)</f>
        <v/>
      </c>
      <c r="G180" s="13">
        <f>F180*12%</f>
        <v/>
      </c>
      <c r="H180" s="13">
        <f>IF(A180="",0,B180*(92*IF(OR(C180=Options!$B$9,C180=Options!$B$10),75%,100%)-IF(C180=DATE(2026,11,29),26+IF(Options!$B$8="是",23,0),0)-IF(C180=DATE(2026,11,30),26,0)-IF(C180=DATE(2026,12,1),64,0)-IF(C180=DATE(2026,11,28),38,0)-IF(C180=DATE(2026,12,2),26,0)))</f>
        <v/>
      </c>
      <c r="I180" s="13">
        <f>IF(AND(C180&gt;=DATE(2026,11,29),C180&lt;=DATE(2026,12,1)),B180*60,0)</f>
        <v/>
      </c>
      <c r="J180" s="13">
        <f>IF(A180="",0,B180*(IF(C180=DATE(2026,11,28),38,0)+IF(C180=DATE(2026,12,1),38,0)+IF(C180=DATE(2026,12,2),26,0)))</f>
        <v/>
      </c>
      <c r="K180" s="13">
        <f>IF(C180=Options!$B$9,B180*12,0)</f>
        <v/>
      </c>
      <c r="L180" s="13">
        <f>IF(C180=Options!$B$9,B180*Options!$Z$5,0)</f>
        <v/>
      </c>
      <c r="M180" s="13" t="n">
        <v>0</v>
      </c>
      <c r="N180" s="13">
        <f>SUM(E180:M180)</f>
        <v/>
      </c>
    </row>
    <row r="181">
      <c r="A181" s="5">
        <f>IF(AND(C181&gt;=Options!$B$9,C181&lt;=Options!$B$10),"Chicago","")</f>
        <v/>
      </c>
      <c r="B181" s="5">
        <f>IF(A181="","",18)</f>
        <v/>
      </c>
      <c r="C181" s="17" t="n">
        <v>46472</v>
      </c>
      <c r="D181" s="5">
        <f>IF(A181="","",IF(C181=DATE(2026,11,29),"培训；注册午餐；早餐参数",IF(C181=DATE(2026,11,30),"培训；注册午餐",IF(C181=DATE(2026,12,1),"培训；注册午餐；机构晚餐",IF(C181=Options!$B$9,"抵达；"&amp;IF(C181=DATE(2026,11,28),"机构晚餐","无统一供餐"),IF(C181=Options!$B$10,"返程；"&amp;IF(C181=DATE(2026,12,2),"机构午餐","无统一供餐"),"差旅状态；无统一日程"))))))</f>
        <v/>
      </c>
      <c r="E181" s="13">
        <f>IF(C181=Options!$B$9,Options!$C$14,0)</f>
        <v/>
      </c>
      <c r="F181" s="13">
        <f>IF(AND(A181&lt;&gt;"",C181&lt;Options!$B$10),B181*Options!$X$5,0)</f>
        <v/>
      </c>
      <c r="G181" s="13">
        <f>F181*12%</f>
        <v/>
      </c>
      <c r="H181" s="13">
        <f>IF(A181="",0,B181*(92*IF(OR(C181=Options!$B$9,C181=Options!$B$10),75%,100%)-IF(C181=DATE(2026,11,29),26+IF(Options!$B$8="是",23,0),0)-IF(C181=DATE(2026,11,30),26,0)-IF(C181=DATE(2026,12,1),64,0)-IF(C181=DATE(2026,11,28),38,0)-IF(C181=DATE(2026,12,2),26,0)))</f>
        <v/>
      </c>
      <c r="I181" s="13">
        <f>IF(AND(C181&gt;=DATE(2026,11,29),C181&lt;=DATE(2026,12,1)),B181*60,0)</f>
        <v/>
      </c>
      <c r="J181" s="13">
        <f>IF(A181="",0,B181*(IF(C181=DATE(2026,11,28),38,0)+IF(C181=DATE(2026,12,1),38,0)+IF(C181=DATE(2026,12,2),26,0)))</f>
        <v/>
      </c>
      <c r="K181" s="13">
        <f>IF(C181=Options!$B$9,B181*12,0)</f>
        <v/>
      </c>
      <c r="L181" s="13">
        <f>IF(C181=Options!$B$9,B181*Options!$Z$5,0)</f>
        <v/>
      </c>
      <c r="M181" s="13" t="n">
        <v>0</v>
      </c>
      <c r="N181" s="13">
        <f>SUM(E181:M181)</f>
        <v/>
      </c>
    </row>
    <row r="182">
      <c r="A182" s="5">
        <f>IF(AND(C182&gt;=Options!$B$9,C182&lt;=Options!$B$10),"Chicago","")</f>
        <v/>
      </c>
      <c r="B182" s="5">
        <f>IF(A182="","",18)</f>
        <v/>
      </c>
      <c r="C182" s="17" t="n">
        <v>46473</v>
      </c>
      <c r="D182" s="5">
        <f>IF(A182="","",IF(C182=DATE(2026,11,29),"培训；注册午餐；早餐参数",IF(C182=DATE(2026,11,30),"培训；注册午餐",IF(C182=DATE(2026,12,1),"培训；注册午餐；机构晚餐",IF(C182=Options!$B$9,"抵达；"&amp;IF(C182=DATE(2026,11,28),"机构晚餐","无统一供餐"),IF(C182=Options!$B$10,"返程；"&amp;IF(C182=DATE(2026,12,2),"机构午餐","无统一供餐"),"差旅状态；无统一日程"))))))</f>
        <v/>
      </c>
      <c r="E182" s="13">
        <f>IF(C182=Options!$B$9,Options!$C$14,0)</f>
        <v/>
      </c>
      <c r="F182" s="13">
        <f>IF(AND(A182&lt;&gt;"",C182&lt;Options!$B$10),B182*Options!$X$5,0)</f>
        <v/>
      </c>
      <c r="G182" s="13">
        <f>F182*12%</f>
        <v/>
      </c>
      <c r="H182" s="13">
        <f>IF(A182="",0,B182*(92*IF(OR(C182=Options!$B$9,C182=Options!$B$10),75%,100%)-IF(C182=DATE(2026,11,29),26+IF(Options!$B$8="是",23,0),0)-IF(C182=DATE(2026,11,30),26,0)-IF(C182=DATE(2026,12,1),64,0)-IF(C182=DATE(2026,11,28),38,0)-IF(C182=DATE(2026,12,2),26,0)))</f>
        <v/>
      </c>
      <c r="I182" s="13">
        <f>IF(AND(C182&gt;=DATE(2026,11,29),C182&lt;=DATE(2026,12,1)),B182*60,0)</f>
        <v/>
      </c>
      <c r="J182" s="13">
        <f>IF(A182="",0,B182*(IF(C182=DATE(2026,11,28),38,0)+IF(C182=DATE(2026,12,1),38,0)+IF(C182=DATE(2026,12,2),26,0)))</f>
        <v/>
      </c>
      <c r="K182" s="13">
        <f>IF(C182=Options!$B$9,B182*12,0)</f>
        <v/>
      </c>
      <c r="L182" s="13">
        <f>IF(C182=Options!$B$9,B182*Options!$Z$5,0)</f>
        <v/>
      </c>
      <c r="M182" s="13" t="n">
        <v>0</v>
      </c>
      <c r="N182" s="13">
        <f>SUM(E182:M182)</f>
        <v/>
      </c>
    </row>
    <row r="183">
      <c r="A183" s="5">
        <f>IF(AND(C183&gt;=Options!$B$9,C183&lt;=Options!$B$10),"Chicago","")</f>
        <v/>
      </c>
      <c r="B183" s="5">
        <f>IF(A183="","",18)</f>
        <v/>
      </c>
      <c r="C183" s="17" t="n">
        <v>46474</v>
      </c>
      <c r="D183" s="5">
        <f>IF(A183="","",IF(C183=DATE(2026,11,29),"培训；注册午餐；早餐参数",IF(C183=DATE(2026,11,30),"培训；注册午餐",IF(C183=DATE(2026,12,1),"培训；注册午餐；机构晚餐",IF(C183=Options!$B$9,"抵达；"&amp;IF(C183=DATE(2026,11,28),"机构晚餐","无统一供餐"),IF(C183=Options!$B$10,"返程；"&amp;IF(C183=DATE(2026,12,2),"机构午餐","无统一供餐"),"差旅状态；无统一日程"))))))</f>
        <v/>
      </c>
      <c r="E183" s="13">
        <f>IF(C183=Options!$B$9,Options!$C$14,0)</f>
        <v/>
      </c>
      <c r="F183" s="13">
        <f>IF(AND(A183&lt;&gt;"",C183&lt;Options!$B$10),B183*Options!$X$5,0)</f>
        <v/>
      </c>
      <c r="G183" s="13">
        <f>F183*12%</f>
        <v/>
      </c>
      <c r="H183" s="13">
        <f>IF(A183="",0,B183*(92*IF(OR(C183=Options!$B$9,C183=Options!$B$10),75%,100%)-IF(C183=DATE(2026,11,29),26+IF(Options!$B$8="是",23,0),0)-IF(C183=DATE(2026,11,30),26,0)-IF(C183=DATE(2026,12,1),64,0)-IF(C183=DATE(2026,11,28),38,0)-IF(C183=DATE(2026,12,2),26,0)))</f>
        <v/>
      </c>
      <c r="I183" s="13">
        <f>IF(AND(C183&gt;=DATE(2026,11,29),C183&lt;=DATE(2026,12,1)),B183*60,0)</f>
        <v/>
      </c>
      <c r="J183" s="13">
        <f>IF(A183="",0,B183*(IF(C183=DATE(2026,11,28),38,0)+IF(C183=DATE(2026,12,1),38,0)+IF(C183=DATE(2026,12,2),26,0)))</f>
        <v/>
      </c>
      <c r="K183" s="13">
        <f>IF(C183=Options!$B$9,B183*12,0)</f>
        <v/>
      </c>
      <c r="L183" s="13">
        <f>IF(C183=Options!$B$9,B183*Options!$Z$5,0)</f>
        <v/>
      </c>
      <c r="M183" s="13" t="n">
        <v>0</v>
      </c>
      <c r="N183" s="13">
        <f>SUM(E183:M183)</f>
        <v/>
      </c>
    </row>
    <row r="184">
      <c r="A184" s="5">
        <f>IF(AND(C184&gt;=Options!$B$9,C184&lt;=Options!$B$10),"Chicago","")</f>
        <v/>
      </c>
      <c r="B184" s="5">
        <f>IF(A184="","",18)</f>
        <v/>
      </c>
      <c r="C184" s="17" t="n">
        <v>46475</v>
      </c>
      <c r="D184" s="5">
        <f>IF(A184="","",IF(C184=DATE(2026,11,29),"培训；注册午餐；早餐参数",IF(C184=DATE(2026,11,30),"培训；注册午餐",IF(C184=DATE(2026,12,1),"培训；注册午餐；机构晚餐",IF(C184=Options!$B$9,"抵达；"&amp;IF(C184=DATE(2026,11,28),"机构晚餐","无统一供餐"),IF(C184=Options!$B$10,"返程；"&amp;IF(C184=DATE(2026,12,2),"机构午餐","无统一供餐"),"差旅状态；无统一日程"))))))</f>
        <v/>
      </c>
      <c r="E184" s="13">
        <f>IF(C184=Options!$B$9,Options!$C$14,0)</f>
        <v/>
      </c>
      <c r="F184" s="13">
        <f>IF(AND(A184&lt;&gt;"",C184&lt;Options!$B$10),B184*Options!$X$5,0)</f>
        <v/>
      </c>
      <c r="G184" s="13">
        <f>F184*12%</f>
        <v/>
      </c>
      <c r="H184" s="13">
        <f>IF(A184="",0,B184*(92*IF(OR(C184=Options!$B$9,C184=Options!$B$10),75%,100%)-IF(C184=DATE(2026,11,29),26+IF(Options!$B$8="是",23,0),0)-IF(C184=DATE(2026,11,30),26,0)-IF(C184=DATE(2026,12,1),64,0)-IF(C184=DATE(2026,11,28),38,0)-IF(C184=DATE(2026,12,2),26,0)))</f>
        <v/>
      </c>
      <c r="I184" s="13">
        <f>IF(AND(C184&gt;=DATE(2026,11,29),C184&lt;=DATE(2026,12,1)),B184*60,0)</f>
        <v/>
      </c>
      <c r="J184" s="13">
        <f>IF(A184="",0,B184*(IF(C184=DATE(2026,11,28),38,0)+IF(C184=DATE(2026,12,1),38,0)+IF(C184=DATE(2026,12,2),26,0)))</f>
        <v/>
      </c>
      <c r="K184" s="13">
        <f>IF(C184=Options!$B$9,B184*12,0)</f>
        <v/>
      </c>
      <c r="L184" s="13">
        <f>IF(C184=Options!$B$9,B184*Options!$Z$5,0)</f>
        <v/>
      </c>
      <c r="M184" s="13" t="n">
        <v>0</v>
      </c>
      <c r="N184" s="13">
        <f>SUM(E184:M184)</f>
        <v/>
      </c>
    </row>
    <row r="185">
      <c r="A185" s="5">
        <f>IF(AND(C185&gt;=Options!$B$9,C185&lt;=Options!$B$10),"Chicago","")</f>
        <v/>
      </c>
      <c r="B185" s="5">
        <f>IF(A185="","",18)</f>
        <v/>
      </c>
      <c r="C185" s="17" t="n">
        <v>46476</v>
      </c>
      <c r="D185" s="5">
        <f>IF(A185="","",IF(C185=DATE(2026,11,29),"培训；注册午餐；早餐参数",IF(C185=DATE(2026,11,30),"培训；注册午餐",IF(C185=DATE(2026,12,1),"培训；注册午餐；机构晚餐",IF(C185=Options!$B$9,"抵达；"&amp;IF(C185=DATE(2026,11,28),"机构晚餐","无统一供餐"),IF(C185=Options!$B$10,"返程；"&amp;IF(C185=DATE(2026,12,2),"机构午餐","无统一供餐"),"差旅状态；无统一日程"))))))</f>
        <v/>
      </c>
      <c r="E185" s="13">
        <f>IF(C185=Options!$B$9,Options!$C$14,0)</f>
        <v/>
      </c>
      <c r="F185" s="13">
        <f>IF(AND(A185&lt;&gt;"",C185&lt;Options!$B$10),B185*Options!$X$5,0)</f>
        <v/>
      </c>
      <c r="G185" s="13">
        <f>F185*12%</f>
        <v/>
      </c>
      <c r="H185" s="13">
        <f>IF(A185="",0,B185*(92*IF(OR(C185=Options!$B$9,C185=Options!$B$10),75%,100%)-IF(C185=DATE(2026,11,29),26+IF(Options!$B$8="是",23,0),0)-IF(C185=DATE(2026,11,30),26,0)-IF(C185=DATE(2026,12,1),64,0)-IF(C185=DATE(2026,11,28),38,0)-IF(C185=DATE(2026,12,2),26,0)))</f>
        <v/>
      </c>
      <c r="I185" s="13">
        <f>IF(AND(C185&gt;=DATE(2026,11,29),C185&lt;=DATE(2026,12,1)),B185*60,0)</f>
        <v/>
      </c>
      <c r="J185" s="13">
        <f>IF(A185="",0,B185*(IF(C185=DATE(2026,11,28),38,0)+IF(C185=DATE(2026,12,1),38,0)+IF(C185=DATE(2026,12,2),26,0)))</f>
        <v/>
      </c>
      <c r="K185" s="13">
        <f>IF(C185=Options!$B$9,B185*12,0)</f>
        <v/>
      </c>
      <c r="L185" s="13">
        <f>IF(C185=Options!$B$9,B185*Options!$Z$5,0)</f>
        <v/>
      </c>
      <c r="M185" s="13" t="n">
        <v>0</v>
      </c>
      <c r="N185" s="13">
        <f>SUM(E185:M185)</f>
        <v/>
      </c>
    </row>
    <row r="186">
      <c r="A186" s="5">
        <f>IF(AND(C186&gt;=Options!$B$9,C186&lt;=Options!$B$10),"Chicago","")</f>
        <v/>
      </c>
      <c r="B186" s="5">
        <f>IF(A186="","",18)</f>
        <v/>
      </c>
      <c r="C186" s="17" t="n">
        <v>46477</v>
      </c>
      <c r="D186" s="5">
        <f>IF(A186="","",IF(C186=DATE(2026,11,29),"培训；注册午餐；早餐参数",IF(C186=DATE(2026,11,30),"培训；注册午餐",IF(C186=DATE(2026,12,1),"培训；注册午餐；机构晚餐",IF(C186=Options!$B$9,"抵达；"&amp;IF(C186=DATE(2026,11,28),"机构晚餐","无统一供餐"),IF(C186=Options!$B$10,"返程；"&amp;IF(C186=DATE(2026,12,2),"机构午餐","无统一供餐"),"差旅状态；无统一日程"))))))</f>
        <v/>
      </c>
      <c r="E186" s="13">
        <f>IF(C186=Options!$B$9,Options!$C$14,0)</f>
        <v/>
      </c>
      <c r="F186" s="13">
        <f>IF(AND(A186&lt;&gt;"",C186&lt;Options!$B$10),B186*Options!$X$5,0)</f>
        <v/>
      </c>
      <c r="G186" s="13">
        <f>F186*12%</f>
        <v/>
      </c>
      <c r="H186" s="13">
        <f>IF(A186="",0,B186*(92*IF(OR(C186=Options!$B$9,C186=Options!$B$10),75%,100%)-IF(C186=DATE(2026,11,29),26+IF(Options!$B$8="是",23,0),0)-IF(C186=DATE(2026,11,30),26,0)-IF(C186=DATE(2026,12,1),64,0)-IF(C186=DATE(2026,11,28),38,0)-IF(C186=DATE(2026,12,2),26,0)))</f>
        <v/>
      </c>
      <c r="I186" s="13">
        <f>IF(AND(C186&gt;=DATE(2026,11,29),C186&lt;=DATE(2026,12,1)),B186*60,0)</f>
        <v/>
      </c>
      <c r="J186" s="13">
        <f>IF(A186="",0,B186*(IF(C186=DATE(2026,11,28),38,0)+IF(C186=DATE(2026,12,1),38,0)+IF(C186=DATE(2026,12,2),26,0)))</f>
        <v/>
      </c>
      <c r="K186" s="13">
        <f>IF(C186=Options!$B$9,B186*12,0)</f>
        <v/>
      </c>
      <c r="L186" s="13">
        <f>IF(C186=Options!$B$9,B186*Options!$Z$5,0)</f>
        <v/>
      </c>
      <c r="M186" s="13" t="n">
        <v>0</v>
      </c>
      <c r="N186" s="13">
        <f>SUM(E186:M186)</f>
        <v/>
      </c>
    </row>
    <row r="187">
      <c r="A187" s="5">
        <f>IF(AND(C187&gt;=Options!$B$9,C187&lt;=Options!$B$10),"Chicago","")</f>
        <v/>
      </c>
      <c r="B187" s="5">
        <f>IF(A187="","",18)</f>
        <v/>
      </c>
      <c r="C187" s="17" t="n">
        <v>46478</v>
      </c>
      <c r="D187" s="5">
        <f>IF(A187="","",IF(C187=DATE(2026,11,29),"培训；注册午餐；早餐参数",IF(C187=DATE(2026,11,30),"培训；注册午餐",IF(C187=DATE(2026,12,1),"培训；注册午餐；机构晚餐",IF(C187=Options!$B$9,"抵达；"&amp;IF(C187=DATE(2026,11,28),"机构晚餐","无统一供餐"),IF(C187=Options!$B$10,"返程；"&amp;IF(C187=DATE(2026,12,2),"机构午餐","无统一供餐"),"差旅状态；无统一日程"))))))</f>
        <v/>
      </c>
      <c r="E187" s="13">
        <f>IF(C187=Options!$B$9,Options!$C$14,0)</f>
        <v/>
      </c>
      <c r="F187" s="13">
        <f>IF(AND(A187&lt;&gt;"",C187&lt;Options!$B$10),B187*Options!$X$5,0)</f>
        <v/>
      </c>
      <c r="G187" s="13">
        <f>F187*12%</f>
        <v/>
      </c>
      <c r="H187" s="13">
        <f>IF(A187="",0,B187*(92*IF(OR(C187=Options!$B$9,C187=Options!$B$10),75%,100%)-IF(C187=DATE(2026,11,29),26+IF(Options!$B$8="是",23,0),0)-IF(C187=DATE(2026,11,30),26,0)-IF(C187=DATE(2026,12,1),64,0)-IF(C187=DATE(2026,11,28),38,0)-IF(C187=DATE(2026,12,2),26,0)))</f>
        <v/>
      </c>
      <c r="I187" s="13">
        <f>IF(AND(C187&gt;=DATE(2026,11,29),C187&lt;=DATE(2026,12,1)),B187*60,0)</f>
        <v/>
      </c>
      <c r="J187" s="13">
        <f>IF(A187="",0,B187*(IF(C187=DATE(2026,11,28),38,0)+IF(C187=DATE(2026,12,1),38,0)+IF(C187=DATE(2026,12,2),26,0)))</f>
        <v/>
      </c>
      <c r="K187" s="13">
        <f>IF(C187=Options!$B$9,B187*12,0)</f>
        <v/>
      </c>
      <c r="L187" s="13">
        <f>IF(C187=Options!$B$9,B187*Options!$Z$5,0)</f>
        <v/>
      </c>
      <c r="M187" s="13" t="n">
        <v>0</v>
      </c>
      <c r="N187" s="13">
        <f>SUM(E187:M187)</f>
        <v/>
      </c>
    </row>
    <row r="188">
      <c r="A188" s="5">
        <f>IF(AND(C188&gt;=Options!$B$9,C188&lt;=Options!$B$10),"Chicago","")</f>
        <v/>
      </c>
      <c r="B188" s="5">
        <f>IF(A188="","",18)</f>
        <v/>
      </c>
      <c r="C188" s="17" t="n">
        <v>46479</v>
      </c>
      <c r="D188" s="5">
        <f>IF(A188="","",IF(C188=DATE(2026,11,29),"培训；注册午餐；早餐参数",IF(C188=DATE(2026,11,30),"培训；注册午餐",IF(C188=DATE(2026,12,1),"培训；注册午餐；机构晚餐",IF(C188=Options!$B$9,"抵达；"&amp;IF(C188=DATE(2026,11,28),"机构晚餐","无统一供餐"),IF(C188=Options!$B$10,"返程；"&amp;IF(C188=DATE(2026,12,2),"机构午餐","无统一供餐"),"差旅状态；无统一日程"))))))</f>
        <v/>
      </c>
      <c r="E188" s="13">
        <f>IF(C188=Options!$B$9,Options!$C$14,0)</f>
        <v/>
      </c>
      <c r="F188" s="13">
        <f>IF(AND(A188&lt;&gt;"",C188&lt;Options!$B$10),B188*Options!$X$5,0)</f>
        <v/>
      </c>
      <c r="G188" s="13">
        <f>F188*12%</f>
        <v/>
      </c>
      <c r="H188" s="13">
        <f>IF(A188="",0,B188*(92*IF(OR(C188=Options!$B$9,C188=Options!$B$10),75%,100%)-IF(C188=DATE(2026,11,29),26+IF(Options!$B$8="是",23,0),0)-IF(C188=DATE(2026,11,30),26,0)-IF(C188=DATE(2026,12,1),64,0)-IF(C188=DATE(2026,11,28),38,0)-IF(C188=DATE(2026,12,2),26,0)))</f>
        <v/>
      </c>
      <c r="I188" s="13">
        <f>IF(AND(C188&gt;=DATE(2026,11,29),C188&lt;=DATE(2026,12,1)),B188*60,0)</f>
        <v/>
      </c>
      <c r="J188" s="13">
        <f>IF(A188="",0,B188*(IF(C188=DATE(2026,11,28),38,0)+IF(C188=DATE(2026,12,1),38,0)+IF(C188=DATE(2026,12,2),26,0)))</f>
        <v/>
      </c>
      <c r="K188" s="13">
        <f>IF(C188=Options!$B$9,B188*12,0)</f>
        <v/>
      </c>
      <c r="L188" s="13">
        <f>IF(C188=Options!$B$9,B188*Options!$Z$5,0)</f>
        <v/>
      </c>
      <c r="M188" s="13" t="n">
        <v>0</v>
      </c>
      <c r="N188" s="13">
        <f>SUM(E188:M188)</f>
        <v/>
      </c>
    </row>
    <row r="189">
      <c r="A189" s="5">
        <f>IF(AND(C189&gt;=Options!$B$9,C189&lt;=Options!$B$10),"Chicago","")</f>
        <v/>
      </c>
      <c r="B189" s="5">
        <f>IF(A189="","",18)</f>
        <v/>
      </c>
      <c r="C189" s="17" t="n">
        <v>46480</v>
      </c>
      <c r="D189" s="5">
        <f>IF(A189="","",IF(C189=DATE(2026,11,29),"培训；注册午餐；早餐参数",IF(C189=DATE(2026,11,30),"培训；注册午餐",IF(C189=DATE(2026,12,1),"培训；注册午餐；机构晚餐",IF(C189=Options!$B$9,"抵达；"&amp;IF(C189=DATE(2026,11,28),"机构晚餐","无统一供餐"),IF(C189=Options!$B$10,"返程；"&amp;IF(C189=DATE(2026,12,2),"机构午餐","无统一供餐"),"差旅状态；无统一日程"))))))</f>
        <v/>
      </c>
      <c r="E189" s="13">
        <f>IF(C189=Options!$B$9,Options!$C$14,0)</f>
        <v/>
      </c>
      <c r="F189" s="13">
        <f>IF(AND(A189&lt;&gt;"",C189&lt;Options!$B$10),B189*Options!$X$5,0)</f>
        <v/>
      </c>
      <c r="G189" s="13">
        <f>F189*12%</f>
        <v/>
      </c>
      <c r="H189" s="13">
        <f>IF(A189="",0,B189*(92*IF(OR(C189=Options!$B$9,C189=Options!$B$10),75%,100%)-IF(C189=DATE(2026,11,29),26+IF(Options!$B$8="是",23,0),0)-IF(C189=DATE(2026,11,30),26,0)-IF(C189=DATE(2026,12,1),64,0)-IF(C189=DATE(2026,11,28),38,0)-IF(C189=DATE(2026,12,2),26,0)))</f>
        <v/>
      </c>
      <c r="I189" s="13">
        <f>IF(AND(C189&gt;=DATE(2026,11,29),C189&lt;=DATE(2026,12,1)),B189*60,0)</f>
        <v/>
      </c>
      <c r="J189" s="13">
        <f>IF(A189="",0,B189*(IF(C189=DATE(2026,11,28),38,0)+IF(C189=DATE(2026,12,1),38,0)+IF(C189=DATE(2026,12,2),26,0)))</f>
        <v/>
      </c>
      <c r="K189" s="13">
        <f>IF(C189=Options!$B$9,B189*12,0)</f>
        <v/>
      </c>
      <c r="L189" s="13">
        <f>IF(C189=Options!$B$9,B189*Options!$Z$5,0)</f>
        <v/>
      </c>
      <c r="M189" s="13" t="n">
        <v>0</v>
      </c>
      <c r="N189" s="13">
        <f>SUM(E189:M189)</f>
        <v/>
      </c>
    </row>
    <row r="190">
      <c r="A190" s="5">
        <f>IF(AND(C190&gt;=Options!$B$9,C190&lt;=Options!$B$10),"Chicago","")</f>
        <v/>
      </c>
      <c r="B190" s="5">
        <f>IF(A190="","",18)</f>
        <v/>
      </c>
      <c r="C190" s="17" t="n">
        <v>46481</v>
      </c>
      <c r="D190" s="5">
        <f>IF(A190="","",IF(C190=DATE(2026,11,29),"培训；注册午餐；早餐参数",IF(C190=DATE(2026,11,30),"培训；注册午餐",IF(C190=DATE(2026,12,1),"培训；注册午餐；机构晚餐",IF(C190=Options!$B$9,"抵达；"&amp;IF(C190=DATE(2026,11,28),"机构晚餐","无统一供餐"),IF(C190=Options!$B$10,"返程；"&amp;IF(C190=DATE(2026,12,2),"机构午餐","无统一供餐"),"差旅状态；无统一日程"))))))</f>
        <v/>
      </c>
      <c r="E190" s="13">
        <f>IF(C190=Options!$B$9,Options!$C$14,0)</f>
        <v/>
      </c>
      <c r="F190" s="13">
        <f>IF(AND(A190&lt;&gt;"",C190&lt;Options!$B$10),B190*Options!$X$5,0)</f>
        <v/>
      </c>
      <c r="G190" s="13">
        <f>F190*12%</f>
        <v/>
      </c>
      <c r="H190" s="13">
        <f>IF(A190="",0,B190*(92*IF(OR(C190=Options!$B$9,C190=Options!$B$10),75%,100%)-IF(C190=DATE(2026,11,29),26+IF(Options!$B$8="是",23,0),0)-IF(C190=DATE(2026,11,30),26,0)-IF(C190=DATE(2026,12,1),64,0)-IF(C190=DATE(2026,11,28),38,0)-IF(C190=DATE(2026,12,2),26,0)))</f>
        <v/>
      </c>
      <c r="I190" s="13">
        <f>IF(AND(C190&gt;=DATE(2026,11,29),C190&lt;=DATE(2026,12,1)),B190*60,0)</f>
        <v/>
      </c>
      <c r="J190" s="13">
        <f>IF(A190="",0,B190*(IF(C190=DATE(2026,11,28),38,0)+IF(C190=DATE(2026,12,1),38,0)+IF(C190=DATE(2026,12,2),26,0)))</f>
        <v/>
      </c>
      <c r="K190" s="13">
        <f>IF(C190=Options!$B$9,B190*12,0)</f>
        <v/>
      </c>
      <c r="L190" s="13">
        <f>IF(C190=Options!$B$9,B190*Options!$Z$5,0)</f>
        <v/>
      </c>
      <c r="M190" s="13" t="n">
        <v>0</v>
      </c>
      <c r="N190" s="13">
        <f>SUM(E190:M190)</f>
        <v/>
      </c>
    </row>
    <row r="191">
      <c r="A191" s="5">
        <f>IF(AND(C191&gt;=Options!$B$9,C191&lt;=Options!$B$10),"Chicago","")</f>
        <v/>
      </c>
      <c r="B191" s="5">
        <f>IF(A191="","",18)</f>
        <v/>
      </c>
      <c r="C191" s="17" t="n">
        <v>46482</v>
      </c>
      <c r="D191" s="5">
        <f>IF(A191="","",IF(C191=DATE(2026,11,29),"培训；注册午餐；早餐参数",IF(C191=DATE(2026,11,30),"培训；注册午餐",IF(C191=DATE(2026,12,1),"培训；注册午餐；机构晚餐",IF(C191=Options!$B$9,"抵达；"&amp;IF(C191=DATE(2026,11,28),"机构晚餐","无统一供餐"),IF(C191=Options!$B$10,"返程；"&amp;IF(C191=DATE(2026,12,2),"机构午餐","无统一供餐"),"差旅状态；无统一日程"))))))</f>
        <v/>
      </c>
      <c r="E191" s="13">
        <f>IF(C191=Options!$B$9,Options!$C$14,0)</f>
        <v/>
      </c>
      <c r="F191" s="13">
        <f>IF(AND(A191&lt;&gt;"",C191&lt;Options!$B$10),B191*Options!$X$5,0)</f>
        <v/>
      </c>
      <c r="G191" s="13">
        <f>F191*12%</f>
        <v/>
      </c>
      <c r="H191" s="13">
        <f>IF(A191="",0,B191*(92*IF(OR(C191=Options!$B$9,C191=Options!$B$10),75%,100%)-IF(C191=DATE(2026,11,29),26+IF(Options!$B$8="是",23,0),0)-IF(C191=DATE(2026,11,30),26,0)-IF(C191=DATE(2026,12,1),64,0)-IF(C191=DATE(2026,11,28),38,0)-IF(C191=DATE(2026,12,2),26,0)))</f>
        <v/>
      </c>
      <c r="I191" s="13">
        <f>IF(AND(C191&gt;=DATE(2026,11,29),C191&lt;=DATE(2026,12,1)),B191*60,0)</f>
        <v/>
      </c>
      <c r="J191" s="13">
        <f>IF(A191="",0,B191*(IF(C191=DATE(2026,11,28),38,0)+IF(C191=DATE(2026,12,1),38,0)+IF(C191=DATE(2026,12,2),26,0)))</f>
        <v/>
      </c>
      <c r="K191" s="13">
        <f>IF(C191=Options!$B$9,B191*12,0)</f>
        <v/>
      </c>
      <c r="L191" s="13">
        <f>IF(C191=Options!$B$9,B191*Options!$Z$5,0)</f>
        <v/>
      </c>
      <c r="M191" s="13" t="n">
        <v>0</v>
      </c>
      <c r="N191" s="13">
        <f>SUM(E191:M191)</f>
        <v/>
      </c>
    </row>
    <row r="192">
      <c r="A192" s="5">
        <f>IF(AND(C192&gt;=Options!$B$9,C192&lt;=Options!$B$10),"Chicago","")</f>
        <v/>
      </c>
      <c r="B192" s="5">
        <f>IF(A192="","",18)</f>
        <v/>
      </c>
      <c r="C192" s="17" t="n">
        <v>46483</v>
      </c>
      <c r="D192" s="5">
        <f>IF(A192="","",IF(C192=DATE(2026,11,29),"培训；注册午餐；早餐参数",IF(C192=DATE(2026,11,30),"培训；注册午餐",IF(C192=DATE(2026,12,1),"培训；注册午餐；机构晚餐",IF(C192=Options!$B$9,"抵达；"&amp;IF(C192=DATE(2026,11,28),"机构晚餐","无统一供餐"),IF(C192=Options!$B$10,"返程；"&amp;IF(C192=DATE(2026,12,2),"机构午餐","无统一供餐"),"差旅状态；无统一日程"))))))</f>
        <v/>
      </c>
      <c r="E192" s="13">
        <f>IF(C192=Options!$B$9,Options!$C$14,0)</f>
        <v/>
      </c>
      <c r="F192" s="13">
        <f>IF(AND(A192&lt;&gt;"",C192&lt;Options!$B$10),B192*Options!$X$5,0)</f>
        <v/>
      </c>
      <c r="G192" s="13">
        <f>F192*12%</f>
        <v/>
      </c>
      <c r="H192" s="13">
        <f>IF(A192="",0,B192*(92*IF(OR(C192=Options!$B$9,C192=Options!$B$10),75%,100%)-IF(C192=DATE(2026,11,29),26+IF(Options!$B$8="是",23,0),0)-IF(C192=DATE(2026,11,30),26,0)-IF(C192=DATE(2026,12,1),64,0)-IF(C192=DATE(2026,11,28),38,0)-IF(C192=DATE(2026,12,2),26,0)))</f>
        <v/>
      </c>
      <c r="I192" s="13">
        <f>IF(AND(C192&gt;=DATE(2026,11,29),C192&lt;=DATE(2026,12,1)),B192*60,0)</f>
        <v/>
      </c>
      <c r="J192" s="13">
        <f>IF(A192="",0,B192*(IF(C192=DATE(2026,11,28),38,0)+IF(C192=DATE(2026,12,1),38,0)+IF(C192=DATE(2026,12,2),26,0)))</f>
        <v/>
      </c>
      <c r="K192" s="13">
        <f>IF(C192=Options!$B$9,B192*12,0)</f>
        <v/>
      </c>
      <c r="L192" s="13">
        <f>IF(C192=Options!$B$9,B192*Options!$Z$5,0)</f>
        <v/>
      </c>
      <c r="M192" s="13" t="n">
        <v>0</v>
      </c>
      <c r="N192" s="13">
        <f>SUM(E192:M192)</f>
        <v/>
      </c>
    </row>
    <row r="193">
      <c r="A193" s="5">
        <f>IF(AND(C193&gt;=Options!$B$9,C193&lt;=Options!$B$10),"Chicago","")</f>
        <v/>
      </c>
      <c r="B193" s="5">
        <f>IF(A193="","",18)</f>
        <v/>
      </c>
      <c r="C193" s="17" t="n">
        <v>46484</v>
      </c>
      <c r="D193" s="5">
        <f>IF(A193="","",IF(C193=DATE(2026,11,29),"培训；注册午餐；早餐参数",IF(C193=DATE(2026,11,30),"培训；注册午餐",IF(C193=DATE(2026,12,1),"培训；注册午餐；机构晚餐",IF(C193=Options!$B$9,"抵达；"&amp;IF(C193=DATE(2026,11,28),"机构晚餐","无统一供餐"),IF(C193=Options!$B$10,"返程；"&amp;IF(C193=DATE(2026,12,2),"机构午餐","无统一供餐"),"差旅状态；无统一日程"))))))</f>
        <v/>
      </c>
      <c r="E193" s="13">
        <f>IF(C193=Options!$B$9,Options!$C$14,0)</f>
        <v/>
      </c>
      <c r="F193" s="13">
        <f>IF(AND(A193&lt;&gt;"",C193&lt;Options!$B$10),B193*Options!$X$5,0)</f>
        <v/>
      </c>
      <c r="G193" s="13">
        <f>F193*12%</f>
        <v/>
      </c>
      <c r="H193" s="13">
        <f>IF(A193="",0,B193*(92*IF(OR(C193=Options!$B$9,C193=Options!$B$10),75%,100%)-IF(C193=DATE(2026,11,29),26+IF(Options!$B$8="是",23,0),0)-IF(C193=DATE(2026,11,30),26,0)-IF(C193=DATE(2026,12,1),64,0)-IF(C193=DATE(2026,11,28),38,0)-IF(C193=DATE(2026,12,2),26,0)))</f>
        <v/>
      </c>
      <c r="I193" s="13">
        <f>IF(AND(C193&gt;=DATE(2026,11,29),C193&lt;=DATE(2026,12,1)),B193*60,0)</f>
        <v/>
      </c>
      <c r="J193" s="13">
        <f>IF(A193="",0,B193*(IF(C193=DATE(2026,11,28),38,0)+IF(C193=DATE(2026,12,1),38,0)+IF(C193=DATE(2026,12,2),26,0)))</f>
        <v/>
      </c>
      <c r="K193" s="13">
        <f>IF(C193=Options!$B$9,B193*12,0)</f>
        <v/>
      </c>
      <c r="L193" s="13">
        <f>IF(C193=Options!$B$9,B193*Options!$Z$5,0)</f>
        <v/>
      </c>
      <c r="M193" s="13" t="n">
        <v>0</v>
      </c>
      <c r="N193" s="13">
        <f>SUM(E193:M193)</f>
        <v/>
      </c>
    </row>
    <row r="194">
      <c r="A194" s="5">
        <f>IF(AND(C194&gt;=Options!$B$9,C194&lt;=Options!$B$10),"Chicago","")</f>
        <v/>
      </c>
      <c r="B194" s="5">
        <f>IF(A194="","",18)</f>
        <v/>
      </c>
      <c r="C194" s="17" t="n">
        <v>46485</v>
      </c>
      <c r="D194" s="5">
        <f>IF(A194="","",IF(C194=DATE(2026,11,29),"培训；注册午餐；早餐参数",IF(C194=DATE(2026,11,30),"培训；注册午餐",IF(C194=DATE(2026,12,1),"培训；注册午餐；机构晚餐",IF(C194=Options!$B$9,"抵达；"&amp;IF(C194=DATE(2026,11,28),"机构晚餐","无统一供餐"),IF(C194=Options!$B$10,"返程；"&amp;IF(C194=DATE(2026,12,2),"机构午餐","无统一供餐"),"差旅状态；无统一日程"))))))</f>
        <v/>
      </c>
      <c r="E194" s="13">
        <f>IF(C194=Options!$B$9,Options!$C$14,0)</f>
        <v/>
      </c>
      <c r="F194" s="13">
        <f>IF(AND(A194&lt;&gt;"",C194&lt;Options!$B$10),B194*Options!$X$5,0)</f>
        <v/>
      </c>
      <c r="G194" s="13">
        <f>F194*12%</f>
        <v/>
      </c>
      <c r="H194" s="13">
        <f>IF(A194="",0,B194*(92*IF(OR(C194=Options!$B$9,C194=Options!$B$10),75%,100%)-IF(C194=DATE(2026,11,29),26+IF(Options!$B$8="是",23,0),0)-IF(C194=DATE(2026,11,30),26,0)-IF(C194=DATE(2026,12,1),64,0)-IF(C194=DATE(2026,11,28),38,0)-IF(C194=DATE(2026,12,2),26,0)))</f>
        <v/>
      </c>
      <c r="I194" s="13">
        <f>IF(AND(C194&gt;=DATE(2026,11,29),C194&lt;=DATE(2026,12,1)),B194*60,0)</f>
        <v/>
      </c>
      <c r="J194" s="13">
        <f>IF(A194="",0,B194*(IF(C194=DATE(2026,11,28),38,0)+IF(C194=DATE(2026,12,1),38,0)+IF(C194=DATE(2026,12,2),26,0)))</f>
        <v/>
      </c>
      <c r="K194" s="13">
        <f>IF(C194=Options!$B$9,B194*12,0)</f>
        <v/>
      </c>
      <c r="L194" s="13">
        <f>IF(C194=Options!$B$9,B194*Options!$Z$5,0)</f>
        <v/>
      </c>
      <c r="M194" s="13" t="n">
        <v>0</v>
      </c>
      <c r="N194" s="13">
        <f>SUM(E194:M194)</f>
        <v/>
      </c>
    </row>
    <row r="195">
      <c r="A195" s="5">
        <f>IF(AND(C195&gt;=Options!$B$9,C195&lt;=Options!$B$10),"Chicago","")</f>
        <v/>
      </c>
      <c r="B195" s="5">
        <f>IF(A195="","",18)</f>
        <v/>
      </c>
      <c r="C195" s="17" t="n">
        <v>46486</v>
      </c>
      <c r="D195" s="5">
        <f>IF(A195="","",IF(C195=DATE(2026,11,29),"培训；注册午餐；早餐参数",IF(C195=DATE(2026,11,30),"培训；注册午餐",IF(C195=DATE(2026,12,1),"培训；注册午餐；机构晚餐",IF(C195=Options!$B$9,"抵达；"&amp;IF(C195=DATE(2026,11,28),"机构晚餐","无统一供餐"),IF(C195=Options!$B$10,"返程；"&amp;IF(C195=DATE(2026,12,2),"机构午餐","无统一供餐"),"差旅状态；无统一日程"))))))</f>
        <v/>
      </c>
      <c r="E195" s="13">
        <f>IF(C195=Options!$B$9,Options!$C$14,0)</f>
        <v/>
      </c>
      <c r="F195" s="13">
        <f>IF(AND(A195&lt;&gt;"",C195&lt;Options!$B$10),B195*Options!$X$5,0)</f>
        <v/>
      </c>
      <c r="G195" s="13">
        <f>F195*12%</f>
        <v/>
      </c>
      <c r="H195" s="13">
        <f>IF(A195="",0,B195*(92*IF(OR(C195=Options!$B$9,C195=Options!$B$10),75%,100%)-IF(C195=DATE(2026,11,29),26+IF(Options!$B$8="是",23,0),0)-IF(C195=DATE(2026,11,30),26,0)-IF(C195=DATE(2026,12,1),64,0)-IF(C195=DATE(2026,11,28),38,0)-IF(C195=DATE(2026,12,2),26,0)))</f>
        <v/>
      </c>
      <c r="I195" s="13">
        <f>IF(AND(C195&gt;=DATE(2026,11,29),C195&lt;=DATE(2026,12,1)),B195*60,0)</f>
        <v/>
      </c>
      <c r="J195" s="13">
        <f>IF(A195="",0,B195*(IF(C195=DATE(2026,11,28),38,0)+IF(C195=DATE(2026,12,1),38,0)+IF(C195=DATE(2026,12,2),26,0)))</f>
        <v/>
      </c>
      <c r="K195" s="13">
        <f>IF(C195=Options!$B$9,B195*12,0)</f>
        <v/>
      </c>
      <c r="L195" s="13">
        <f>IF(C195=Options!$B$9,B195*Options!$Z$5,0)</f>
        <v/>
      </c>
      <c r="M195" s="13" t="n">
        <v>0</v>
      </c>
      <c r="N195" s="13">
        <f>SUM(E195:M195)</f>
        <v/>
      </c>
    </row>
    <row r="196">
      <c r="A196" s="5">
        <f>IF(AND(C196&gt;=Options!$B$9,C196&lt;=Options!$B$10),"Chicago","")</f>
        <v/>
      </c>
      <c r="B196" s="5">
        <f>IF(A196="","",18)</f>
        <v/>
      </c>
      <c r="C196" s="17" t="n">
        <v>46487</v>
      </c>
      <c r="D196" s="5">
        <f>IF(A196="","",IF(C196=DATE(2026,11,29),"培训；注册午餐；早餐参数",IF(C196=DATE(2026,11,30),"培训；注册午餐",IF(C196=DATE(2026,12,1),"培训；注册午餐；机构晚餐",IF(C196=Options!$B$9,"抵达；"&amp;IF(C196=DATE(2026,11,28),"机构晚餐","无统一供餐"),IF(C196=Options!$B$10,"返程；"&amp;IF(C196=DATE(2026,12,2),"机构午餐","无统一供餐"),"差旅状态；无统一日程"))))))</f>
        <v/>
      </c>
      <c r="E196" s="13">
        <f>IF(C196=Options!$B$9,Options!$C$14,0)</f>
        <v/>
      </c>
      <c r="F196" s="13">
        <f>IF(AND(A196&lt;&gt;"",C196&lt;Options!$B$10),B196*Options!$X$5,0)</f>
        <v/>
      </c>
      <c r="G196" s="13">
        <f>F196*12%</f>
        <v/>
      </c>
      <c r="H196" s="13">
        <f>IF(A196="",0,B196*(92*IF(OR(C196=Options!$B$9,C196=Options!$B$10),75%,100%)-IF(C196=DATE(2026,11,29),26+IF(Options!$B$8="是",23,0),0)-IF(C196=DATE(2026,11,30),26,0)-IF(C196=DATE(2026,12,1),64,0)-IF(C196=DATE(2026,11,28),38,0)-IF(C196=DATE(2026,12,2),26,0)))</f>
        <v/>
      </c>
      <c r="I196" s="13">
        <f>IF(AND(C196&gt;=DATE(2026,11,29),C196&lt;=DATE(2026,12,1)),B196*60,0)</f>
        <v/>
      </c>
      <c r="J196" s="13">
        <f>IF(A196="",0,B196*(IF(C196=DATE(2026,11,28),38,0)+IF(C196=DATE(2026,12,1),38,0)+IF(C196=DATE(2026,12,2),26,0)))</f>
        <v/>
      </c>
      <c r="K196" s="13">
        <f>IF(C196=Options!$B$9,B196*12,0)</f>
        <v/>
      </c>
      <c r="L196" s="13">
        <f>IF(C196=Options!$B$9,B196*Options!$Z$5,0)</f>
        <v/>
      </c>
      <c r="M196" s="13" t="n">
        <v>0</v>
      </c>
      <c r="N196" s="13">
        <f>SUM(E196:M196)</f>
        <v/>
      </c>
    </row>
    <row r="197">
      <c r="A197" s="5">
        <f>IF(AND(C197&gt;=Options!$B$9,C197&lt;=Options!$B$10),"Chicago","")</f>
        <v/>
      </c>
      <c r="B197" s="5">
        <f>IF(A197="","",18)</f>
        <v/>
      </c>
      <c r="C197" s="17" t="n">
        <v>46488</v>
      </c>
      <c r="D197" s="5">
        <f>IF(A197="","",IF(C197=DATE(2026,11,29),"培训；注册午餐；早餐参数",IF(C197=DATE(2026,11,30),"培训；注册午餐",IF(C197=DATE(2026,12,1),"培训；注册午餐；机构晚餐",IF(C197=Options!$B$9,"抵达；"&amp;IF(C197=DATE(2026,11,28),"机构晚餐","无统一供餐"),IF(C197=Options!$B$10,"返程；"&amp;IF(C197=DATE(2026,12,2),"机构午餐","无统一供餐"),"差旅状态；无统一日程"))))))</f>
        <v/>
      </c>
      <c r="E197" s="13">
        <f>IF(C197=Options!$B$9,Options!$C$14,0)</f>
        <v/>
      </c>
      <c r="F197" s="13">
        <f>IF(AND(A197&lt;&gt;"",C197&lt;Options!$B$10),B197*Options!$X$5,0)</f>
        <v/>
      </c>
      <c r="G197" s="13">
        <f>F197*12%</f>
        <v/>
      </c>
      <c r="H197" s="13">
        <f>IF(A197="",0,B197*(92*IF(OR(C197=Options!$B$9,C197=Options!$B$10),75%,100%)-IF(C197=DATE(2026,11,29),26+IF(Options!$B$8="是",23,0),0)-IF(C197=DATE(2026,11,30),26,0)-IF(C197=DATE(2026,12,1),64,0)-IF(C197=DATE(2026,11,28),38,0)-IF(C197=DATE(2026,12,2),26,0)))</f>
        <v/>
      </c>
      <c r="I197" s="13">
        <f>IF(AND(C197&gt;=DATE(2026,11,29),C197&lt;=DATE(2026,12,1)),B197*60,0)</f>
        <v/>
      </c>
      <c r="J197" s="13">
        <f>IF(A197="",0,B197*(IF(C197=DATE(2026,11,28),38,0)+IF(C197=DATE(2026,12,1),38,0)+IF(C197=DATE(2026,12,2),26,0)))</f>
        <v/>
      </c>
      <c r="K197" s="13">
        <f>IF(C197=Options!$B$9,B197*12,0)</f>
        <v/>
      </c>
      <c r="L197" s="13">
        <f>IF(C197=Options!$B$9,B197*Options!$Z$5,0)</f>
        <v/>
      </c>
      <c r="M197" s="13" t="n">
        <v>0</v>
      </c>
      <c r="N197" s="13">
        <f>SUM(E197:M197)</f>
        <v/>
      </c>
    </row>
    <row r="198">
      <c r="A198" s="5">
        <f>IF(AND(C198&gt;=Options!$B$9,C198&lt;=Options!$B$10),"Chicago","")</f>
        <v/>
      </c>
      <c r="B198" s="5">
        <f>IF(A198="","",18)</f>
        <v/>
      </c>
      <c r="C198" s="17" t="n">
        <v>46489</v>
      </c>
      <c r="D198" s="5">
        <f>IF(A198="","",IF(C198=DATE(2026,11,29),"培训；注册午餐；早餐参数",IF(C198=DATE(2026,11,30),"培训；注册午餐",IF(C198=DATE(2026,12,1),"培训；注册午餐；机构晚餐",IF(C198=Options!$B$9,"抵达；"&amp;IF(C198=DATE(2026,11,28),"机构晚餐","无统一供餐"),IF(C198=Options!$B$10,"返程；"&amp;IF(C198=DATE(2026,12,2),"机构午餐","无统一供餐"),"差旅状态；无统一日程"))))))</f>
        <v/>
      </c>
      <c r="E198" s="13">
        <f>IF(C198=Options!$B$9,Options!$C$14,0)</f>
        <v/>
      </c>
      <c r="F198" s="13">
        <f>IF(AND(A198&lt;&gt;"",C198&lt;Options!$B$10),B198*Options!$X$5,0)</f>
        <v/>
      </c>
      <c r="G198" s="13">
        <f>F198*12%</f>
        <v/>
      </c>
      <c r="H198" s="13">
        <f>IF(A198="",0,B198*(92*IF(OR(C198=Options!$B$9,C198=Options!$B$10),75%,100%)-IF(C198=DATE(2026,11,29),26+IF(Options!$B$8="是",23,0),0)-IF(C198=DATE(2026,11,30),26,0)-IF(C198=DATE(2026,12,1),64,0)-IF(C198=DATE(2026,11,28),38,0)-IF(C198=DATE(2026,12,2),26,0)))</f>
        <v/>
      </c>
      <c r="I198" s="13">
        <f>IF(AND(C198&gt;=DATE(2026,11,29),C198&lt;=DATE(2026,12,1)),B198*60,0)</f>
        <v/>
      </c>
      <c r="J198" s="13">
        <f>IF(A198="",0,B198*(IF(C198=DATE(2026,11,28),38,0)+IF(C198=DATE(2026,12,1),38,0)+IF(C198=DATE(2026,12,2),26,0)))</f>
        <v/>
      </c>
      <c r="K198" s="13">
        <f>IF(C198=Options!$B$9,B198*12,0)</f>
        <v/>
      </c>
      <c r="L198" s="13">
        <f>IF(C198=Options!$B$9,B198*Options!$Z$5,0)</f>
        <v/>
      </c>
      <c r="M198" s="13" t="n">
        <v>0</v>
      </c>
      <c r="N198" s="13">
        <f>SUM(E198:M198)</f>
        <v/>
      </c>
    </row>
    <row r="199">
      <c r="A199" s="5">
        <f>IF(AND(C199&gt;=Options!$B$9,C199&lt;=Options!$B$10),"Chicago","")</f>
        <v/>
      </c>
      <c r="B199" s="5">
        <f>IF(A199="","",18)</f>
        <v/>
      </c>
      <c r="C199" s="17" t="n">
        <v>46490</v>
      </c>
      <c r="D199" s="5">
        <f>IF(A199="","",IF(C199=DATE(2026,11,29),"培训；注册午餐；早餐参数",IF(C199=DATE(2026,11,30),"培训；注册午餐",IF(C199=DATE(2026,12,1),"培训；注册午餐；机构晚餐",IF(C199=Options!$B$9,"抵达；"&amp;IF(C199=DATE(2026,11,28),"机构晚餐","无统一供餐"),IF(C199=Options!$B$10,"返程；"&amp;IF(C199=DATE(2026,12,2),"机构午餐","无统一供餐"),"差旅状态；无统一日程"))))))</f>
        <v/>
      </c>
      <c r="E199" s="13">
        <f>IF(C199=Options!$B$9,Options!$C$14,0)</f>
        <v/>
      </c>
      <c r="F199" s="13">
        <f>IF(AND(A199&lt;&gt;"",C199&lt;Options!$B$10),B199*Options!$X$5,0)</f>
        <v/>
      </c>
      <c r="G199" s="13">
        <f>F199*12%</f>
        <v/>
      </c>
      <c r="H199" s="13">
        <f>IF(A199="",0,B199*(92*IF(OR(C199=Options!$B$9,C199=Options!$B$10),75%,100%)-IF(C199=DATE(2026,11,29),26+IF(Options!$B$8="是",23,0),0)-IF(C199=DATE(2026,11,30),26,0)-IF(C199=DATE(2026,12,1),64,0)-IF(C199=DATE(2026,11,28),38,0)-IF(C199=DATE(2026,12,2),26,0)))</f>
        <v/>
      </c>
      <c r="I199" s="13">
        <f>IF(AND(C199&gt;=DATE(2026,11,29),C199&lt;=DATE(2026,12,1)),B199*60,0)</f>
        <v/>
      </c>
      <c r="J199" s="13">
        <f>IF(A199="",0,B199*(IF(C199=DATE(2026,11,28),38,0)+IF(C199=DATE(2026,12,1),38,0)+IF(C199=DATE(2026,12,2),26,0)))</f>
        <v/>
      </c>
      <c r="K199" s="13">
        <f>IF(C199=Options!$B$9,B199*12,0)</f>
        <v/>
      </c>
      <c r="L199" s="13">
        <f>IF(C199=Options!$B$9,B199*Options!$Z$5,0)</f>
        <v/>
      </c>
      <c r="M199" s="13" t="n">
        <v>0</v>
      </c>
      <c r="N199" s="13">
        <f>SUM(E199:M199)</f>
        <v/>
      </c>
    </row>
    <row r="200">
      <c r="A200" s="5">
        <f>IF(AND(C200&gt;=Options!$B$9,C200&lt;=Options!$B$10),"Chicago","")</f>
        <v/>
      </c>
      <c r="B200" s="5">
        <f>IF(A200="","",18)</f>
        <v/>
      </c>
      <c r="C200" s="17" t="n">
        <v>46491</v>
      </c>
      <c r="D200" s="5">
        <f>IF(A200="","",IF(C200=DATE(2026,11,29),"培训；注册午餐；早餐参数",IF(C200=DATE(2026,11,30),"培训；注册午餐",IF(C200=DATE(2026,12,1),"培训；注册午餐；机构晚餐",IF(C200=Options!$B$9,"抵达；"&amp;IF(C200=DATE(2026,11,28),"机构晚餐","无统一供餐"),IF(C200=Options!$B$10,"返程；"&amp;IF(C200=DATE(2026,12,2),"机构午餐","无统一供餐"),"差旅状态；无统一日程"))))))</f>
        <v/>
      </c>
      <c r="E200" s="13">
        <f>IF(C200=Options!$B$9,Options!$C$14,0)</f>
        <v/>
      </c>
      <c r="F200" s="13">
        <f>IF(AND(A200&lt;&gt;"",C200&lt;Options!$B$10),B200*Options!$X$5,0)</f>
        <v/>
      </c>
      <c r="G200" s="13">
        <f>F200*12%</f>
        <v/>
      </c>
      <c r="H200" s="13">
        <f>IF(A200="",0,B200*(92*IF(OR(C200=Options!$B$9,C200=Options!$B$10),75%,100%)-IF(C200=DATE(2026,11,29),26+IF(Options!$B$8="是",23,0),0)-IF(C200=DATE(2026,11,30),26,0)-IF(C200=DATE(2026,12,1),64,0)-IF(C200=DATE(2026,11,28),38,0)-IF(C200=DATE(2026,12,2),26,0)))</f>
        <v/>
      </c>
      <c r="I200" s="13">
        <f>IF(AND(C200&gt;=DATE(2026,11,29),C200&lt;=DATE(2026,12,1)),B200*60,0)</f>
        <v/>
      </c>
      <c r="J200" s="13">
        <f>IF(A200="",0,B200*(IF(C200=DATE(2026,11,28),38,0)+IF(C200=DATE(2026,12,1),38,0)+IF(C200=DATE(2026,12,2),26,0)))</f>
        <v/>
      </c>
      <c r="K200" s="13">
        <f>IF(C200=Options!$B$9,B200*12,0)</f>
        <v/>
      </c>
      <c r="L200" s="13">
        <f>IF(C200=Options!$B$9,B200*Options!$Z$5,0)</f>
        <v/>
      </c>
      <c r="M200" s="13" t="n">
        <v>0</v>
      </c>
      <c r="N200" s="13">
        <f>SUM(E200:M200)</f>
        <v/>
      </c>
    </row>
    <row r="201">
      <c r="A201" s="5">
        <f>IF(AND(C201&gt;=Options!$B$9,C201&lt;=Options!$B$10),"Chicago","")</f>
        <v/>
      </c>
      <c r="B201" s="5">
        <f>IF(A201="","",18)</f>
        <v/>
      </c>
      <c r="C201" s="17" t="n">
        <v>46492</v>
      </c>
      <c r="D201" s="5">
        <f>IF(A201="","",IF(C201=DATE(2026,11,29),"培训；注册午餐；早餐参数",IF(C201=DATE(2026,11,30),"培训；注册午餐",IF(C201=DATE(2026,12,1),"培训；注册午餐；机构晚餐",IF(C201=Options!$B$9,"抵达；"&amp;IF(C201=DATE(2026,11,28),"机构晚餐","无统一供餐"),IF(C201=Options!$B$10,"返程；"&amp;IF(C201=DATE(2026,12,2),"机构午餐","无统一供餐"),"差旅状态；无统一日程"))))))</f>
        <v/>
      </c>
      <c r="E201" s="13">
        <f>IF(C201=Options!$B$9,Options!$C$14,0)</f>
        <v/>
      </c>
      <c r="F201" s="13">
        <f>IF(AND(A201&lt;&gt;"",C201&lt;Options!$B$10),B201*Options!$X$5,0)</f>
        <v/>
      </c>
      <c r="G201" s="13">
        <f>F201*12%</f>
        <v/>
      </c>
      <c r="H201" s="13">
        <f>IF(A201="",0,B201*(92*IF(OR(C201=Options!$B$9,C201=Options!$B$10),75%,100%)-IF(C201=DATE(2026,11,29),26+IF(Options!$B$8="是",23,0),0)-IF(C201=DATE(2026,11,30),26,0)-IF(C201=DATE(2026,12,1),64,0)-IF(C201=DATE(2026,11,28),38,0)-IF(C201=DATE(2026,12,2),26,0)))</f>
        <v/>
      </c>
      <c r="I201" s="13">
        <f>IF(AND(C201&gt;=DATE(2026,11,29),C201&lt;=DATE(2026,12,1)),B201*60,0)</f>
        <v/>
      </c>
      <c r="J201" s="13">
        <f>IF(A201="",0,B201*(IF(C201=DATE(2026,11,28),38,0)+IF(C201=DATE(2026,12,1),38,0)+IF(C201=DATE(2026,12,2),26,0)))</f>
        <v/>
      </c>
      <c r="K201" s="13">
        <f>IF(C201=Options!$B$9,B201*12,0)</f>
        <v/>
      </c>
      <c r="L201" s="13">
        <f>IF(C201=Options!$B$9,B201*Options!$Z$5,0)</f>
        <v/>
      </c>
      <c r="M201" s="13" t="n">
        <v>0</v>
      </c>
      <c r="N201" s="13">
        <f>SUM(E201:M201)</f>
        <v/>
      </c>
    </row>
    <row r="202">
      <c r="A202" s="5">
        <f>IF(AND(C202&gt;=Options!$B$9,C202&lt;=Options!$B$10),"Chicago","")</f>
        <v/>
      </c>
      <c r="B202" s="5">
        <f>IF(A202="","",18)</f>
        <v/>
      </c>
      <c r="C202" s="17" t="n">
        <v>46493</v>
      </c>
      <c r="D202" s="5">
        <f>IF(A202="","",IF(C202=DATE(2026,11,29),"培训；注册午餐；早餐参数",IF(C202=DATE(2026,11,30),"培训；注册午餐",IF(C202=DATE(2026,12,1),"培训；注册午餐；机构晚餐",IF(C202=Options!$B$9,"抵达；"&amp;IF(C202=DATE(2026,11,28),"机构晚餐","无统一供餐"),IF(C202=Options!$B$10,"返程；"&amp;IF(C202=DATE(2026,12,2),"机构午餐","无统一供餐"),"差旅状态；无统一日程"))))))</f>
        <v/>
      </c>
      <c r="E202" s="13">
        <f>IF(C202=Options!$B$9,Options!$C$14,0)</f>
        <v/>
      </c>
      <c r="F202" s="13">
        <f>IF(AND(A202&lt;&gt;"",C202&lt;Options!$B$10),B202*Options!$X$5,0)</f>
        <v/>
      </c>
      <c r="G202" s="13">
        <f>F202*12%</f>
        <v/>
      </c>
      <c r="H202" s="13">
        <f>IF(A202="",0,B202*(92*IF(OR(C202=Options!$B$9,C202=Options!$B$10),75%,100%)-IF(C202=DATE(2026,11,29),26+IF(Options!$B$8="是",23,0),0)-IF(C202=DATE(2026,11,30),26,0)-IF(C202=DATE(2026,12,1),64,0)-IF(C202=DATE(2026,11,28),38,0)-IF(C202=DATE(2026,12,2),26,0)))</f>
        <v/>
      </c>
      <c r="I202" s="13">
        <f>IF(AND(C202&gt;=DATE(2026,11,29),C202&lt;=DATE(2026,12,1)),B202*60,0)</f>
        <v/>
      </c>
      <c r="J202" s="13">
        <f>IF(A202="",0,B202*(IF(C202=DATE(2026,11,28),38,0)+IF(C202=DATE(2026,12,1),38,0)+IF(C202=DATE(2026,12,2),26,0)))</f>
        <v/>
      </c>
      <c r="K202" s="13">
        <f>IF(C202=Options!$B$9,B202*12,0)</f>
        <v/>
      </c>
      <c r="L202" s="13">
        <f>IF(C202=Options!$B$9,B202*Options!$Z$5,0)</f>
        <v/>
      </c>
      <c r="M202" s="13" t="n">
        <v>0</v>
      </c>
      <c r="N202" s="13">
        <f>SUM(E202:M202)</f>
        <v/>
      </c>
    </row>
    <row r="203">
      <c r="A203" s="5">
        <f>IF(AND(C203&gt;=Options!$B$9,C203&lt;=Options!$B$10),"Chicago","")</f>
        <v/>
      </c>
      <c r="B203" s="5">
        <f>IF(A203="","",18)</f>
        <v/>
      </c>
      <c r="C203" s="17" t="n">
        <v>46494</v>
      </c>
      <c r="D203" s="5">
        <f>IF(A203="","",IF(C203=DATE(2026,11,29),"培训；注册午餐；早餐参数",IF(C203=DATE(2026,11,30),"培训；注册午餐",IF(C203=DATE(2026,12,1),"培训；注册午餐；机构晚餐",IF(C203=Options!$B$9,"抵达；"&amp;IF(C203=DATE(2026,11,28),"机构晚餐","无统一供餐"),IF(C203=Options!$B$10,"返程；"&amp;IF(C203=DATE(2026,12,2),"机构午餐","无统一供餐"),"差旅状态；无统一日程"))))))</f>
        <v/>
      </c>
      <c r="E203" s="13">
        <f>IF(C203=Options!$B$9,Options!$C$14,0)</f>
        <v/>
      </c>
      <c r="F203" s="13">
        <f>IF(AND(A203&lt;&gt;"",C203&lt;Options!$B$10),B203*Options!$X$5,0)</f>
        <v/>
      </c>
      <c r="G203" s="13">
        <f>F203*12%</f>
        <v/>
      </c>
      <c r="H203" s="13">
        <f>IF(A203="",0,B203*(92*IF(OR(C203=Options!$B$9,C203=Options!$B$10),75%,100%)-IF(C203=DATE(2026,11,29),26+IF(Options!$B$8="是",23,0),0)-IF(C203=DATE(2026,11,30),26,0)-IF(C203=DATE(2026,12,1),64,0)-IF(C203=DATE(2026,11,28),38,0)-IF(C203=DATE(2026,12,2),26,0)))</f>
        <v/>
      </c>
      <c r="I203" s="13">
        <f>IF(AND(C203&gt;=DATE(2026,11,29),C203&lt;=DATE(2026,12,1)),B203*60,0)</f>
        <v/>
      </c>
      <c r="J203" s="13">
        <f>IF(A203="",0,B203*(IF(C203=DATE(2026,11,28),38,0)+IF(C203=DATE(2026,12,1),38,0)+IF(C203=DATE(2026,12,2),26,0)))</f>
        <v/>
      </c>
      <c r="K203" s="13">
        <f>IF(C203=Options!$B$9,B203*12,0)</f>
        <v/>
      </c>
      <c r="L203" s="13">
        <f>IF(C203=Options!$B$9,B203*Options!$Z$5,0)</f>
        <v/>
      </c>
      <c r="M203" s="13" t="n">
        <v>0</v>
      </c>
      <c r="N203" s="13">
        <f>SUM(E203:M203)</f>
        <v/>
      </c>
    </row>
    <row r="204">
      <c r="A204" s="5">
        <f>IF(AND(C204&gt;=Options!$B$9,C204&lt;=Options!$B$10),"Chicago","")</f>
        <v/>
      </c>
      <c r="B204" s="5">
        <f>IF(A204="","",18)</f>
        <v/>
      </c>
      <c r="C204" s="17" t="n">
        <v>46495</v>
      </c>
      <c r="D204" s="5">
        <f>IF(A204="","",IF(C204=DATE(2026,11,29),"培训；注册午餐；早餐参数",IF(C204=DATE(2026,11,30),"培训；注册午餐",IF(C204=DATE(2026,12,1),"培训；注册午餐；机构晚餐",IF(C204=Options!$B$9,"抵达；"&amp;IF(C204=DATE(2026,11,28),"机构晚餐","无统一供餐"),IF(C204=Options!$B$10,"返程；"&amp;IF(C204=DATE(2026,12,2),"机构午餐","无统一供餐"),"差旅状态；无统一日程"))))))</f>
        <v/>
      </c>
      <c r="E204" s="13">
        <f>IF(C204=Options!$B$9,Options!$C$14,0)</f>
        <v/>
      </c>
      <c r="F204" s="13">
        <f>IF(AND(A204&lt;&gt;"",C204&lt;Options!$B$10),B204*Options!$X$5,0)</f>
        <v/>
      </c>
      <c r="G204" s="13">
        <f>F204*12%</f>
        <v/>
      </c>
      <c r="H204" s="13">
        <f>IF(A204="",0,B204*(92*IF(OR(C204=Options!$B$9,C204=Options!$B$10),75%,100%)-IF(C204=DATE(2026,11,29),26+IF(Options!$B$8="是",23,0),0)-IF(C204=DATE(2026,11,30),26,0)-IF(C204=DATE(2026,12,1),64,0)-IF(C204=DATE(2026,11,28),38,0)-IF(C204=DATE(2026,12,2),26,0)))</f>
        <v/>
      </c>
      <c r="I204" s="13">
        <f>IF(AND(C204&gt;=DATE(2026,11,29),C204&lt;=DATE(2026,12,1)),B204*60,0)</f>
        <v/>
      </c>
      <c r="J204" s="13">
        <f>IF(A204="",0,B204*(IF(C204=DATE(2026,11,28),38,0)+IF(C204=DATE(2026,12,1),38,0)+IF(C204=DATE(2026,12,2),26,0)))</f>
        <v/>
      </c>
      <c r="K204" s="13">
        <f>IF(C204=Options!$B$9,B204*12,0)</f>
        <v/>
      </c>
      <c r="L204" s="13">
        <f>IF(C204=Options!$B$9,B204*Options!$Z$5,0)</f>
        <v/>
      </c>
      <c r="M204" s="13" t="n">
        <v>0</v>
      </c>
      <c r="N204" s="13">
        <f>SUM(E204:M204)</f>
        <v/>
      </c>
    </row>
    <row r="205">
      <c r="A205" s="5">
        <f>IF(AND(C205&gt;=Options!$B$9,C205&lt;=Options!$B$10),"Chicago","")</f>
        <v/>
      </c>
      <c r="B205" s="5">
        <f>IF(A205="","",18)</f>
        <v/>
      </c>
      <c r="C205" s="17" t="n">
        <v>46496</v>
      </c>
      <c r="D205" s="5">
        <f>IF(A205="","",IF(C205=DATE(2026,11,29),"培训；注册午餐；早餐参数",IF(C205=DATE(2026,11,30),"培训；注册午餐",IF(C205=DATE(2026,12,1),"培训；注册午餐；机构晚餐",IF(C205=Options!$B$9,"抵达；"&amp;IF(C205=DATE(2026,11,28),"机构晚餐","无统一供餐"),IF(C205=Options!$B$10,"返程；"&amp;IF(C205=DATE(2026,12,2),"机构午餐","无统一供餐"),"差旅状态；无统一日程"))))))</f>
        <v/>
      </c>
      <c r="E205" s="13">
        <f>IF(C205=Options!$B$9,Options!$C$14,0)</f>
        <v/>
      </c>
      <c r="F205" s="13">
        <f>IF(AND(A205&lt;&gt;"",C205&lt;Options!$B$10),B205*Options!$X$5,0)</f>
        <v/>
      </c>
      <c r="G205" s="13">
        <f>F205*12%</f>
        <v/>
      </c>
      <c r="H205" s="13">
        <f>IF(A205="",0,B205*(92*IF(OR(C205=Options!$B$9,C205=Options!$B$10),75%,100%)-IF(C205=DATE(2026,11,29),26+IF(Options!$B$8="是",23,0),0)-IF(C205=DATE(2026,11,30),26,0)-IF(C205=DATE(2026,12,1),64,0)-IF(C205=DATE(2026,11,28),38,0)-IF(C205=DATE(2026,12,2),26,0)))</f>
        <v/>
      </c>
      <c r="I205" s="13">
        <f>IF(AND(C205&gt;=DATE(2026,11,29),C205&lt;=DATE(2026,12,1)),B205*60,0)</f>
        <v/>
      </c>
      <c r="J205" s="13">
        <f>IF(A205="",0,B205*(IF(C205=DATE(2026,11,28),38,0)+IF(C205=DATE(2026,12,1),38,0)+IF(C205=DATE(2026,12,2),26,0)))</f>
        <v/>
      </c>
      <c r="K205" s="13">
        <f>IF(C205=Options!$B$9,B205*12,0)</f>
        <v/>
      </c>
      <c r="L205" s="13">
        <f>IF(C205=Options!$B$9,B205*Options!$Z$5,0)</f>
        <v/>
      </c>
      <c r="M205" s="13" t="n">
        <v>0</v>
      </c>
      <c r="N205" s="13">
        <f>SUM(E205:M205)</f>
        <v/>
      </c>
    </row>
    <row r="206">
      <c r="A206" s="5">
        <f>IF(AND(C206&gt;=Options!$B$9,C206&lt;=Options!$B$10),"Chicago","")</f>
        <v/>
      </c>
      <c r="B206" s="5">
        <f>IF(A206="","",18)</f>
        <v/>
      </c>
      <c r="C206" s="17" t="n">
        <v>46497</v>
      </c>
      <c r="D206" s="5">
        <f>IF(A206="","",IF(C206=DATE(2026,11,29),"培训；注册午餐；早餐参数",IF(C206=DATE(2026,11,30),"培训；注册午餐",IF(C206=DATE(2026,12,1),"培训；注册午餐；机构晚餐",IF(C206=Options!$B$9,"抵达；"&amp;IF(C206=DATE(2026,11,28),"机构晚餐","无统一供餐"),IF(C206=Options!$B$10,"返程；"&amp;IF(C206=DATE(2026,12,2),"机构午餐","无统一供餐"),"差旅状态；无统一日程"))))))</f>
        <v/>
      </c>
      <c r="E206" s="13">
        <f>IF(C206=Options!$B$9,Options!$C$14,0)</f>
        <v/>
      </c>
      <c r="F206" s="13">
        <f>IF(AND(A206&lt;&gt;"",C206&lt;Options!$B$10),B206*Options!$X$5,0)</f>
        <v/>
      </c>
      <c r="G206" s="13">
        <f>F206*12%</f>
        <v/>
      </c>
      <c r="H206" s="13">
        <f>IF(A206="",0,B206*(92*IF(OR(C206=Options!$B$9,C206=Options!$B$10),75%,100%)-IF(C206=DATE(2026,11,29),26+IF(Options!$B$8="是",23,0),0)-IF(C206=DATE(2026,11,30),26,0)-IF(C206=DATE(2026,12,1),64,0)-IF(C206=DATE(2026,11,28),38,0)-IF(C206=DATE(2026,12,2),26,0)))</f>
        <v/>
      </c>
      <c r="I206" s="13">
        <f>IF(AND(C206&gt;=DATE(2026,11,29),C206&lt;=DATE(2026,12,1)),B206*60,0)</f>
        <v/>
      </c>
      <c r="J206" s="13">
        <f>IF(A206="",0,B206*(IF(C206=DATE(2026,11,28),38,0)+IF(C206=DATE(2026,12,1),38,0)+IF(C206=DATE(2026,12,2),26,0)))</f>
        <v/>
      </c>
      <c r="K206" s="13">
        <f>IF(C206=Options!$B$9,B206*12,0)</f>
        <v/>
      </c>
      <c r="L206" s="13">
        <f>IF(C206=Options!$B$9,B206*Options!$Z$5,0)</f>
        <v/>
      </c>
      <c r="M206" s="13" t="n">
        <v>0</v>
      </c>
      <c r="N206" s="13">
        <f>SUM(E206:M206)</f>
        <v/>
      </c>
    </row>
    <row r="207">
      <c r="A207" s="5">
        <f>IF(AND(C207&gt;=Options!$B$9,C207&lt;=Options!$B$10),"Chicago","")</f>
        <v/>
      </c>
      <c r="B207" s="5">
        <f>IF(A207="","",18)</f>
        <v/>
      </c>
      <c r="C207" s="17" t="n">
        <v>46498</v>
      </c>
      <c r="D207" s="5">
        <f>IF(A207="","",IF(C207=DATE(2026,11,29),"培训；注册午餐；早餐参数",IF(C207=DATE(2026,11,30),"培训；注册午餐",IF(C207=DATE(2026,12,1),"培训；注册午餐；机构晚餐",IF(C207=Options!$B$9,"抵达；"&amp;IF(C207=DATE(2026,11,28),"机构晚餐","无统一供餐"),IF(C207=Options!$B$10,"返程；"&amp;IF(C207=DATE(2026,12,2),"机构午餐","无统一供餐"),"差旅状态；无统一日程"))))))</f>
        <v/>
      </c>
      <c r="E207" s="13">
        <f>IF(C207=Options!$B$9,Options!$C$14,0)</f>
        <v/>
      </c>
      <c r="F207" s="13">
        <f>IF(AND(A207&lt;&gt;"",C207&lt;Options!$B$10),B207*Options!$X$5,0)</f>
        <v/>
      </c>
      <c r="G207" s="13">
        <f>F207*12%</f>
        <v/>
      </c>
      <c r="H207" s="13">
        <f>IF(A207="",0,B207*(92*IF(OR(C207=Options!$B$9,C207=Options!$B$10),75%,100%)-IF(C207=DATE(2026,11,29),26+IF(Options!$B$8="是",23,0),0)-IF(C207=DATE(2026,11,30),26,0)-IF(C207=DATE(2026,12,1),64,0)-IF(C207=DATE(2026,11,28),38,0)-IF(C207=DATE(2026,12,2),26,0)))</f>
        <v/>
      </c>
      <c r="I207" s="13">
        <f>IF(AND(C207&gt;=DATE(2026,11,29),C207&lt;=DATE(2026,12,1)),B207*60,0)</f>
        <v/>
      </c>
      <c r="J207" s="13">
        <f>IF(A207="",0,B207*(IF(C207=DATE(2026,11,28),38,0)+IF(C207=DATE(2026,12,1),38,0)+IF(C207=DATE(2026,12,2),26,0)))</f>
        <v/>
      </c>
      <c r="K207" s="13">
        <f>IF(C207=Options!$B$9,B207*12,0)</f>
        <v/>
      </c>
      <c r="L207" s="13">
        <f>IF(C207=Options!$B$9,B207*Options!$Z$5,0)</f>
        <v/>
      </c>
      <c r="M207" s="13" t="n">
        <v>0</v>
      </c>
      <c r="N207" s="13">
        <f>SUM(E207:M207)</f>
        <v/>
      </c>
    </row>
    <row r="208">
      <c r="A208" s="5">
        <f>IF(AND(C208&gt;=Options!$B$9,C208&lt;=Options!$B$10),"Chicago","")</f>
        <v/>
      </c>
      <c r="B208" s="5">
        <f>IF(A208="","",18)</f>
        <v/>
      </c>
      <c r="C208" s="17" t="n">
        <v>46499</v>
      </c>
      <c r="D208" s="5">
        <f>IF(A208="","",IF(C208=DATE(2026,11,29),"培训；注册午餐；早餐参数",IF(C208=DATE(2026,11,30),"培训；注册午餐",IF(C208=DATE(2026,12,1),"培训；注册午餐；机构晚餐",IF(C208=Options!$B$9,"抵达；"&amp;IF(C208=DATE(2026,11,28),"机构晚餐","无统一供餐"),IF(C208=Options!$B$10,"返程；"&amp;IF(C208=DATE(2026,12,2),"机构午餐","无统一供餐"),"差旅状态；无统一日程"))))))</f>
        <v/>
      </c>
      <c r="E208" s="13">
        <f>IF(C208=Options!$B$9,Options!$C$14,0)</f>
        <v/>
      </c>
      <c r="F208" s="13">
        <f>IF(AND(A208&lt;&gt;"",C208&lt;Options!$B$10),B208*Options!$X$5,0)</f>
        <v/>
      </c>
      <c r="G208" s="13">
        <f>F208*12%</f>
        <v/>
      </c>
      <c r="H208" s="13">
        <f>IF(A208="",0,B208*(92*IF(OR(C208=Options!$B$9,C208=Options!$B$10),75%,100%)-IF(C208=DATE(2026,11,29),26+IF(Options!$B$8="是",23,0),0)-IF(C208=DATE(2026,11,30),26,0)-IF(C208=DATE(2026,12,1),64,0)-IF(C208=DATE(2026,11,28),38,0)-IF(C208=DATE(2026,12,2),26,0)))</f>
        <v/>
      </c>
      <c r="I208" s="13">
        <f>IF(AND(C208&gt;=DATE(2026,11,29),C208&lt;=DATE(2026,12,1)),B208*60,0)</f>
        <v/>
      </c>
      <c r="J208" s="13">
        <f>IF(A208="",0,B208*(IF(C208=DATE(2026,11,28),38,0)+IF(C208=DATE(2026,12,1),38,0)+IF(C208=DATE(2026,12,2),26,0)))</f>
        <v/>
      </c>
      <c r="K208" s="13">
        <f>IF(C208=Options!$B$9,B208*12,0)</f>
        <v/>
      </c>
      <c r="L208" s="13">
        <f>IF(C208=Options!$B$9,B208*Options!$Z$5,0)</f>
        <v/>
      </c>
      <c r="M208" s="13" t="n">
        <v>0</v>
      </c>
      <c r="N208" s="13">
        <f>SUM(E208:M208)</f>
        <v/>
      </c>
    </row>
    <row r="209">
      <c r="A209" s="5">
        <f>IF(AND(C209&gt;=Options!$B$9,C209&lt;=Options!$B$10),"Chicago","")</f>
        <v/>
      </c>
      <c r="B209" s="5">
        <f>IF(A209="","",18)</f>
        <v/>
      </c>
      <c r="C209" s="17" t="n">
        <v>46500</v>
      </c>
      <c r="D209" s="5">
        <f>IF(A209="","",IF(C209=DATE(2026,11,29),"培训；注册午餐；早餐参数",IF(C209=DATE(2026,11,30),"培训；注册午餐",IF(C209=DATE(2026,12,1),"培训；注册午餐；机构晚餐",IF(C209=Options!$B$9,"抵达；"&amp;IF(C209=DATE(2026,11,28),"机构晚餐","无统一供餐"),IF(C209=Options!$B$10,"返程；"&amp;IF(C209=DATE(2026,12,2),"机构午餐","无统一供餐"),"差旅状态；无统一日程"))))))</f>
        <v/>
      </c>
      <c r="E209" s="13">
        <f>IF(C209=Options!$B$9,Options!$C$14,0)</f>
        <v/>
      </c>
      <c r="F209" s="13">
        <f>IF(AND(A209&lt;&gt;"",C209&lt;Options!$B$10),B209*Options!$X$5,0)</f>
        <v/>
      </c>
      <c r="G209" s="13">
        <f>F209*12%</f>
        <v/>
      </c>
      <c r="H209" s="13">
        <f>IF(A209="",0,B209*(92*IF(OR(C209=Options!$B$9,C209=Options!$B$10),75%,100%)-IF(C209=DATE(2026,11,29),26+IF(Options!$B$8="是",23,0),0)-IF(C209=DATE(2026,11,30),26,0)-IF(C209=DATE(2026,12,1),64,0)-IF(C209=DATE(2026,11,28),38,0)-IF(C209=DATE(2026,12,2),26,0)))</f>
        <v/>
      </c>
      <c r="I209" s="13">
        <f>IF(AND(C209&gt;=DATE(2026,11,29),C209&lt;=DATE(2026,12,1)),B209*60,0)</f>
        <v/>
      </c>
      <c r="J209" s="13">
        <f>IF(A209="",0,B209*(IF(C209=DATE(2026,11,28),38,0)+IF(C209=DATE(2026,12,1),38,0)+IF(C209=DATE(2026,12,2),26,0)))</f>
        <v/>
      </c>
      <c r="K209" s="13">
        <f>IF(C209=Options!$B$9,B209*12,0)</f>
        <v/>
      </c>
      <c r="L209" s="13">
        <f>IF(C209=Options!$B$9,B209*Options!$Z$5,0)</f>
        <v/>
      </c>
      <c r="M209" s="13" t="n">
        <v>0</v>
      </c>
      <c r="N209" s="13">
        <f>SUM(E209:M209)</f>
        <v/>
      </c>
    </row>
    <row r="210">
      <c r="A210" s="5">
        <f>IF(AND(C210&gt;=Options!$B$9,C210&lt;=Options!$B$10),"Chicago","")</f>
        <v/>
      </c>
      <c r="B210" s="5">
        <f>IF(A210="","",18)</f>
        <v/>
      </c>
      <c r="C210" s="17" t="n">
        <v>46501</v>
      </c>
      <c r="D210" s="5">
        <f>IF(A210="","",IF(C210=DATE(2026,11,29),"培训；注册午餐；早餐参数",IF(C210=DATE(2026,11,30),"培训；注册午餐",IF(C210=DATE(2026,12,1),"培训；注册午餐；机构晚餐",IF(C210=Options!$B$9,"抵达；"&amp;IF(C210=DATE(2026,11,28),"机构晚餐","无统一供餐"),IF(C210=Options!$B$10,"返程；"&amp;IF(C210=DATE(2026,12,2),"机构午餐","无统一供餐"),"差旅状态；无统一日程"))))))</f>
        <v/>
      </c>
      <c r="E210" s="13">
        <f>IF(C210=Options!$B$9,Options!$C$14,0)</f>
        <v/>
      </c>
      <c r="F210" s="13">
        <f>IF(AND(A210&lt;&gt;"",C210&lt;Options!$B$10),B210*Options!$X$5,0)</f>
        <v/>
      </c>
      <c r="G210" s="13">
        <f>F210*12%</f>
        <v/>
      </c>
      <c r="H210" s="13">
        <f>IF(A210="",0,B210*(92*IF(OR(C210=Options!$B$9,C210=Options!$B$10),75%,100%)-IF(C210=DATE(2026,11,29),26+IF(Options!$B$8="是",23,0),0)-IF(C210=DATE(2026,11,30),26,0)-IF(C210=DATE(2026,12,1),64,0)-IF(C210=DATE(2026,11,28),38,0)-IF(C210=DATE(2026,12,2),26,0)))</f>
        <v/>
      </c>
      <c r="I210" s="13">
        <f>IF(AND(C210&gt;=DATE(2026,11,29),C210&lt;=DATE(2026,12,1)),B210*60,0)</f>
        <v/>
      </c>
      <c r="J210" s="13">
        <f>IF(A210="",0,B210*(IF(C210=DATE(2026,11,28),38,0)+IF(C210=DATE(2026,12,1),38,0)+IF(C210=DATE(2026,12,2),26,0)))</f>
        <v/>
      </c>
      <c r="K210" s="13">
        <f>IF(C210=Options!$B$9,B210*12,0)</f>
        <v/>
      </c>
      <c r="L210" s="13">
        <f>IF(C210=Options!$B$9,B210*Options!$Z$5,0)</f>
        <v/>
      </c>
      <c r="M210" s="13" t="n">
        <v>0</v>
      </c>
      <c r="N210" s="13">
        <f>SUM(E210:M210)</f>
        <v/>
      </c>
    </row>
    <row r="211">
      <c r="A211" s="5">
        <f>IF(AND(C211&gt;=Options!$B$9,C211&lt;=Options!$B$10),"Chicago","")</f>
        <v/>
      </c>
      <c r="B211" s="5">
        <f>IF(A211="","",18)</f>
        <v/>
      </c>
      <c r="C211" s="17" t="n">
        <v>46502</v>
      </c>
      <c r="D211" s="5">
        <f>IF(A211="","",IF(C211=DATE(2026,11,29),"培训；注册午餐；早餐参数",IF(C211=DATE(2026,11,30),"培训；注册午餐",IF(C211=DATE(2026,12,1),"培训；注册午餐；机构晚餐",IF(C211=Options!$B$9,"抵达；"&amp;IF(C211=DATE(2026,11,28),"机构晚餐","无统一供餐"),IF(C211=Options!$B$10,"返程；"&amp;IF(C211=DATE(2026,12,2),"机构午餐","无统一供餐"),"差旅状态；无统一日程"))))))</f>
        <v/>
      </c>
      <c r="E211" s="13">
        <f>IF(C211=Options!$B$9,Options!$C$14,0)</f>
        <v/>
      </c>
      <c r="F211" s="13">
        <f>IF(AND(A211&lt;&gt;"",C211&lt;Options!$B$10),B211*Options!$X$5,0)</f>
        <v/>
      </c>
      <c r="G211" s="13">
        <f>F211*12%</f>
        <v/>
      </c>
      <c r="H211" s="13">
        <f>IF(A211="",0,B211*(92*IF(OR(C211=Options!$B$9,C211=Options!$B$10),75%,100%)-IF(C211=DATE(2026,11,29),26+IF(Options!$B$8="是",23,0),0)-IF(C211=DATE(2026,11,30),26,0)-IF(C211=DATE(2026,12,1),64,0)-IF(C211=DATE(2026,11,28),38,0)-IF(C211=DATE(2026,12,2),26,0)))</f>
        <v/>
      </c>
      <c r="I211" s="13">
        <f>IF(AND(C211&gt;=DATE(2026,11,29),C211&lt;=DATE(2026,12,1)),B211*60,0)</f>
        <v/>
      </c>
      <c r="J211" s="13">
        <f>IF(A211="",0,B211*(IF(C211=DATE(2026,11,28),38,0)+IF(C211=DATE(2026,12,1),38,0)+IF(C211=DATE(2026,12,2),26,0)))</f>
        <v/>
      </c>
      <c r="K211" s="13">
        <f>IF(C211=Options!$B$9,B211*12,0)</f>
        <v/>
      </c>
      <c r="L211" s="13">
        <f>IF(C211=Options!$B$9,B211*Options!$Z$5,0)</f>
        <v/>
      </c>
      <c r="M211" s="13" t="n">
        <v>0</v>
      </c>
      <c r="N211" s="13">
        <f>SUM(E211:M211)</f>
        <v/>
      </c>
    </row>
    <row r="212">
      <c r="A212" s="5">
        <f>IF(AND(C212&gt;=Options!$B$9,C212&lt;=Options!$B$10),"Chicago","")</f>
        <v/>
      </c>
      <c r="B212" s="5">
        <f>IF(A212="","",18)</f>
        <v/>
      </c>
      <c r="C212" s="17" t="n">
        <v>46503</v>
      </c>
      <c r="D212" s="5">
        <f>IF(A212="","",IF(C212=DATE(2026,11,29),"培训；注册午餐；早餐参数",IF(C212=DATE(2026,11,30),"培训；注册午餐",IF(C212=DATE(2026,12,1),"培训；注册午餐；机构晚餐",IF(C212=Options!$B$9,"抵达；"&amp;IF(C212=DATE(2026,11,28),"机构晚餐","无统一供餐"),IF(C212=Options!$B$10,"返程；"&amp;IF(C212=DATE(2026,12,2),"机构午餐","无统一供餐"),"差旅状态；无统一日程"))))))</f>
        <v/>
      </c>
      <c r="E212" s="13">
        <f>IF(C212=Options!$B$9,Options!$C$14,0)</f>
        <v/>
      </c>
      <c r="F212" s="13">
        <f>IF(AND(A212&lt;&gt;"",C212&lt;Options!$B$10),B212*Options!$X$5,0)</f>
        <v/>
      </c>
      <c r="G212" s="13">
        <f>F212*12%</f>
        <v/>
      </c>
      <c r="H212" s="13">
        <f>IF(A212="",0,B212*(92*IF(OR(C212=Options!$B$9,C212=Options!$B$10),75%,100%)-IF(C212=DATE(2026,11,29),26+IF(Options!$B$8="是",23,0),0)-IF(C212=DATE(2026,11,30),26,0)-IF(C212=DATE(2026,12,1),64,0)-IF(C212=DATE(2026,11,28),38,0)-IF(C212=DATE(2026,12,2),26,0)))</f>
        <v/>
      </c>
      <c r="I212" s="13">
        <f>IF(AND(C212&gt;=DATE(2026,11,29),C212&lt;=DATE(2026,12,1)),B212*60,0)</f>
        <v/>
      </c>
      <c r="J212" s="13">
        <f>IF(A212="",0,B212*(IF(C212=DATE(2026,11,28),38,0)+IF(C212=DATE(2026,12,1),38,0)+IF(C212=DATE(2026,12,2),26,0)))</f>
        <v/>
      </c>
      <c r="K212" s="13">
        <f>IF(C212=Options!$B$9,B212*12,0)</f>
        <v/>
      </c>
      <c r="L212" s="13">
        <f>IF(C212=Options!$B$9,B212*Options!$Z$5,0)</f>
        <v/>
      </c>
      <c r="M212" s="13" t="n">
        <v>0</v>
      </c>
      <c r="N212" s="13">
        <f>SUM(E212:M212)</f>
        <v/>
      </c>
    </row>
    <row r="213">
      <c r="A213" s="5">
        <f>IF(AND(C213&gt;=Options!$B$9,C213&lt;=Options!$B$10),"Chicago","")</f>
        <v/>
      </c>
      <c r="B213" s="5">
        <f>IF(A213="","",18)</f>
        <v/>
      </c>
      <c r="C213" s="17" t="n">
        <v>46504</v>
      </c>
      <c r="D213" s="5">
        <f>IF(A213="","",IF(C213=DATE(2026,11,29),"培训；注册午餐；早餐参数",IF(C213=DATE(2026,11,30),"培训；注册午餐",IF(C213=DATE(2026,12,1),"培训；注册午餐；机构晚餐",IF(C213=Options!$B$9,"抵达；"&amp;IF(C213=DATE(2026,11,28),"机构晚餐","无统一供餐"),IF(C213=Options!$B$10,"返程；"&amp;IF(C213=DATE(2026,12,2),"机构午餐","无统一供餐"),"差旅状态；无统一日程"))))))</f>
        <v/>
      </c>
      <c r="E213" s="13">
        <f>IF(C213=Options!$B$9,Options!$C$14,0)</f>
        <v/>
      </c>
      <c r="F213" s="13">
        <f>IF(AND(A213&lt;&gt;"",C213&lt;Options!$B$10),B213*Options!$X$5,0)</f>
        <v/>
      </c>
      <c r="G213" s="13">
        <f>F213*12%</f>
        <v/>
      </c>
      <c r="H213" s="13">
        <f>IF(A213="",0,B213*(92*IF(OR(C213=Options!$B$9,C213=Options!$B$10),75%,100%)-IF(C213=DATE(2026,11,29),26+IF(Options!$B$8="是",23,0),0)-IF(C213=DATE(2026,11,30),26,0)-IF(C213=DATE(2026,12,1),64,0)-IF(C213=DATE(2026,11,28),38,0)-IF(C213=DATE(2026,12,2),26,0)))</f>
        <v/>
      </c>
      <c r="I213" s="13">
        <f>IF(AND(C213&gt;=DATE(2026,11,29),C213&lt;=DATE(2026,12,1)),B213*60,0)</f>
        <v/>
      </c>
      <c r="J213" s="13">
        <f>IF(A213="",0,B213*(IF(C213=DATE(2026,11,28),38,0)+IF(C213=DATE(2026,12,1),38,0)+IF(C213=DATE(2026,12,2),26,0)))</f>
        <v/>
      </c>
      <c r="K213" s="13">
        <f>IF(C213=Options!$B$9,B213*12,0)</f>
        <v/>
      </c>
      <c r="L213" s="13">
        <f>IF(C213=Options!$B$9,B213*Options!$Z$5,0)</f>
        <v/>
      </c>
      <c r="M213" s="13" t="n">
        <v>0</v>
      </c>
      <c r="N213" s="13">
        <f>SUM(E213:M213)</f>
        <v/>
      </c>
    </row>
    <row r="214">
      <c r="A214" s="5">
        <f>IF(AND(C214&gt;=Options!$B$9,C214&lt;=Options!$B$10),"Chicago","")</f>
        <v/>
      </c>
      <c r="B214" s="5">
        <f>IF(A214="","",18)</f>
        <v/>
      </c>
      <c r="C214" s="17" t="n">
        <v>46505</v>
      </c>
      <c r="D214" s="5">
        <f>IF(A214="","",IF(C214=DATE(2026,11,29),"培训；注册午餐；早餐参数",IF(C214=DATE(2026,11,30),"培训；注册午餐",IF(C214=DATE(2026,12,1),"培训；注册午餐；机构晚餐",IF(C214=Options!$B$9,"抵达；"&amp;IF(C214=DATE(2026,11,28),"机构晚餐","无统一供餐"),IF(C214=Options!$B$10,"返程；"&amp;IF(C214=DATE(2026,12,2),"机构午餐","无统一供餐"),"差旅状态；无统一日程"))))))</f>
        <v/>
      </c>
      <c r="E214" s="13">
        <f>IF(C214=Options!$B$9,Options!$C$14,0)</f>
        <v/>
      </c>
      <c r="F214" s="13">
        <f>IF(AND(A214&lt;&gt;"",C214&lt;Options!$B$10),B214*Options!$X$5,0)</f>
        <v/>
      </c>
      <c r="G214" s="13">
        <f>F214*12%</f>
        <v/>
      </c>
      <c r="H214" s="13">
        <f>IF(A214="",0,B214*(92*IF(OR(C214=Options!$B$9,C214=Options!$B$10),75%,100%)-IF(C214=DATE(2026,11,29),26+IF(Options!$B$8="是",23,0),0)-IF(C214=DATE(2026,11,30),26,0)-IF(C214=DATE(2026,12,1),64,0)-IF(C214=DATE(2026,11,28),38,0)-IF(C214=DATE(2026,12,2),26,0)))</f>
        <v/>
      </c>
      <c r="I214" s="13">
        <f>IF(AND(C214&gt;=DATE(2026,11,29),C214&lt;=DATE(2026,12,1)),B214*60,0)</f>
        <v/>
      </c>
      <c r="J214" s="13">
        <f>IF(A214="",0,B214*(IF(C214=DATE(2026,11,28),38,0)+IF(C214=DATE(2026,12,1),38,0)+IF(C214=DATE(2026,12,2),26,0)))</f>
        <v/>
      </c>
      <c r="K214" s="13">
        <f>IF(C214=Options!$B$9,B214*12,0)</f>
        <v/>
      </c>
      <c r="L214" s="13">
        <f>IF(C214=Options!$B$9,B214*Options!$Z$5,0)</f>
        <v/>
      </c>
      <c r="M214" s="13" t="n">
        <v>0</v>
      </c>
      <c r="N214" s="13">
        <f>SUM(E214:M214)</f>
        <v/>
      </c>
    </row>
    <row r="215">
      <c r="A215" s="5">
        <f>IF(AND(C215&gt;=Options!$B$9,C215&lt;=Options!$B$10),"Chicago","")</f>
        <v/>
      </c>
      <c r="B215" s="5">
        <f>IF(A215="","",18)</f>
        <v/>
      </c>
      <c r="C215" s="17" t="n">
        <v>46506</v>
      </c>
      <c r="D215" s="5">
        <f>IF(A215="","",IF(C215=DATE(2026,11,29),"培训；注册午餐；早餐参数",IF(C215=DATE(2026,11,30),"培训；注册午餐",IF(C215=DATE(2026,12,1),"培训；注册午餐；机构晚餐",IF(C215=Options!$B$9,"抵达；"&amp;IF(C215=DATE(2026,11,28),"机构晚餐","无统一供餐"),IF(C215=Options!$B$10,"返程；"&amp;IF(C215=DATE(2026,12,2),"机构午餐","无统一供餐"),"差旅状态；无统一日程"))))))</f>
        <v/>
      </c>
      <c r="E215" s="13">
        <f>IF(C215=Options!$B$9,Options!$C$14,0)</f>
        <v/>
      </c>
      <c r="F215" s="13">
        <f>IF(AND(A215&lt;&gt;"",C215&lt;Options!$B$10),B215*Options!$X$5,0)</f>
        <v/>
      </c>
      <c r="G215" s="13">
        <f>F215*12%</f>
        <v/>
      </c>
      <c r="H215" s="13">
        <f>IF(A215="",0,B215*(92*IF(OR(C215=Options!$B$9,C215=Options!$B$10),75%,100%)-IF(C215=DATE(2026,11,29),26+IF(Options!$B$8="是",23,0),0)-IF(C215=DATE(2026,11,30),26,0)-IF(C215=DATE(2026,12,1),64,0)-IF(C215=DATE(2026,11,28),38,0)-IF(C215=DATE(2026,12,2),26,0)))</f>
        <v/>
      </c>
      <c r="I215" s="13">
        <f>IF(AND(C215&gt;=DATE(2026,11,29),C215&lt;=DATE(2026,12,1)),B215*60,0)</f>
        <v/>
      </c>
      <c r="J215" s="13">
        <f>IF(A215="",0,B215*(IF(C215=DATE(2026,11,28),38,0)+IF(C215=DATE(2026,12,1),38,0)+IF(C215=DATE(2026,12,2),26,0)))</f>
        <v/>
      </c>
      <c r="K215" s="13">
        <f>IF(C215=Options!$B$9,B215*12,0)</f>
        <v/>
      </c>
      <c r="L215" s="13">
        <f>IF(C215=Options!$B$9,B215*Options!$Z$5,0)</f>
        <v/>
      </c>
      <c r="M215" s="13" t="n">
        <v>0</v>
      </c>
      <c r="N215" s="13">
        <f>SUM(E215:M215)</f>
        <v/>
      </c>
    </row>
    <row r="216">
      <c r="A216" s="5">
        <f>IF(AND(C216&gt;=Options!$B$9,C216&lt;=Options!$B$10),"Chicago","")</f>
        <v/>
      </c>
      <c r="B216" s="5">
        <f>IF(A216="","",18)</f>
        <v/>
      </c>
      <c r="C216" s="17" t="n">
        <v>46507</v>
      </c>
      <c r="D216" s="5">
        <f>IF(A216="","",IF(C216=DATE(2026,11,29),"培训；注册午餐；早餐参数",IF(C216=DATE(2026,11,30),"培训；注册午餐",IF(C216=DATE(2026,12,1),"培训；注册午餐；机构晚餐",IF(C216=Options!$B$9,"抵达；"&amp;IF(C216=DATE(2026,11,28),"机构晚餐","无统一供餐"),IF(C216=Options!$B$10,"返程；"&amp;IF(C216=DATE(2026,12,2),"机构午餐","无统一供餐"),"差旅状态；无统一日程"))))))</f>
        <v/>
      </c>
      <c r="E216" s="13">
        <f>IF(C216=Options!$B$9,Options!$C$14,0)</f>
        <v/>
      </c>
      <c r="F216" s="13">
        <f>IF(AND(A216&lt;&gt;"",C216&lt;Options!$B$10),B216*Options!$X$5,0)</f>
        <v/>
      </c>
      <c r="G216" s="13">
        <f>F216*12%</f>
        <v/>
      </c>
      <c r="H216" s="13">
        <f>IF(A216="",0,B216*(92*IF(OR(C216=Options!$B$9,C216=Options!$B$10),75%,100%)-IF(C216=DATE(2026,11,29),26+IF(Options!$B$8="是",23,0),0)-IF(C216=DATE(2026,11,30),26,0)-IF(C216=DATE(2026,12,1),64,0)-IF(C216=DATE(2026,11,28),38,0)-IF(C216=DATE(2026,12,2),26,0)))</f>
        <v/>
      </c>
      <c r="I216" s="13">
        <f>IF(AND(C216&gt;=DATE(2026,11,29),C216&lt;=DATE(2026,12,1)),B216*60,0)</f>
        <v/>
      </c>
      <c r="J216" s="13">
        <f>IF(A216="",0,B216*(IF(C216=DATE(2026,11,28),38,0)+IF(C216=DATE(2026,12,1),38,0)+IF(C216=DATE(2026,12,2),26,0)))</f>
        <v/>
      </c>
      <c r="K216" s="13">
        <f>IF(C216=Options!$B$9,B216*12,0)</f>
        <v/>
      </c>
      <c r="L216" s="13">
        <f>IF(C216=Options!$B$9,B216*Options!$Z$5,0)</f>
        <v/>
      </c>
      <c r="M216" s="13" t="n">
        <v>0</v>
      </c>
      <c r="N216" s="13">
        <f>SUM(E216:M216)</f>
        <v/>
      </c>
    </row>
    <row r="217">
      <c r="A217" s="5">
        <f>IF(AND(C217&gt;=Options!$B$9,C217&lt;=Options!$B$10),"Chicago","")</f>
        <v/>
      </c>
      <c r="B217" s="5">
        <f>IF(A217="","",18)</f>
        <v/>
      </c>
      <c r="C217" s="17" t="n">
        <v>46508</v>
      </c>
      <c r="D217" s="5">
        <f>IF(A217="","",IF(C217=DATE(2026,11,29),"培训；注册午餐；早餐参数",IF(C217=DATE(2026,11,30),"培训；注册午餐",IF(C217=DATE(2026,12,1),"培训；注册午餐；机构晚餐",IF(C217=Options!$B$9,"抵达；"&amp;IF(C217=DATE(2026,11,28),"机构晚餐","无统一供餐"),IF(C217=Options!$B$10,"返程；"&amp;IF(C217=DATE(2026,12,2),"机构午餐","无统一供餐"),"差旅状态；无统一日程"))))))</f>
        <v/>
      </c>
      <c r="E217" s="13">
        <f>IF(C217=Options!$B$9,Options!$C$14,0)</f>
        <v/>
      </c>
      <c r="F217" s="13">
        <f>IF(AND(A217&lt;&gt;"",C217&lt;Options!$B$10),B217*Options!$X$5,0)</f>
        <v/>
      </c>
      <c r="G217" s="13">
        <f>F217*12%</f>
        <v/>
      </c>
      <c r="H217" s="13">
        <f>IF(A217="",0,B217*(92*IF(OR(C217=Options!$B$9,C217=Options!$B$10),75%,100%)-IF(C217=DATE(2026,11,29),26+IF(Options!$B$8="是",23,0),0)-IF(C217=DATE(2026,11,30),26,0)-IF(C217=DATE(2026,12,1),64,0)-IF(C217=DATE(2026,11,28),38,0)-IF(C217=DATE(2026,12,2),26,0)))</f>
        <v/>
      </c>
      <c r="I217" s="13">
        <f>IF(AND(C217&gt;=DATE(2026,11,29),C217&lt;=DATE(2026,12,1)),B217*60,0)</f>
        <v/>
      </c>
      <c r="J217" s="13">
        <f>IF(A217="",0,B217*(IF(C217=DATE(2026,11,28),38,0)+IF(C217=DATE(2026,12,1),38,0)+IF(C217=DATE(2026,12,2),26,0)))</f>
        <v/>
      </c>
      <c r="K217" s="13">
        <f>IF(C217=Options!$B$9,B217*12,0)</f>
        <v/>
      </c>
      <c r="L217" s="13">
        <f>IF(C217=Options!$B$9,B217*Options!$Z$5,0)</f>
        <v/>
      </c>
      <c r="M217" s="13" t="n">
        <v>0</v>
      </c>
      <c r="N217" s="13">
        <f>SUM(E217:M217)</f>
        <v/>
      </c>
    </row>
    <row r="218">
      <c r="A218" s="5">
        <f>IF(AND(C218&gt;=Options!$B$9,C218&lt;=Options!$B$10),"Chicago","")</f>
        <v/>
      </c>
      <c r="B218" s="5">
        <f>IF(A218="","",18)</f>
        <v/>
      </c>
      <c r="C218" s="17" t="n">
        <v>46509</v>
      </c>
      <c r="D218" s="5">
        <f>IF(A218="","",IF(C218=DATE(2026,11,29),"培训；注册午餐；早餐参数",IF(C218=DATE(2026,11,30),"培训；注册午餐",IF(C218=DATE(2026,12,1),"培训；注册午餐；机构晚餐",IF(C218=Options!$B$9,"抵达；"&amp;IF(C218=DATE(2026,11,28),"机构晚餐","无统一供餐"),IF(C218=Options!$B$10,"返程；"&amp;IF(C218=DATE(2026,12,2),"机构午餐","无统一供餐"),"差旅状态；无统一日程"))))))</f>
        <v/>
      </c>
      <c r="E218" s="13">
        <f>IF(C218=Options!$B$9,Options!$C$14,0)</f>
        <v/>
      </c>
      <c r="F218" s="13">
        <f>IF(AND(A218&lt;&gt;"",C218&lt;Options!$B$10),B218*Options!$X$5,0)</f>
        <v/>
      </c>
      <c r="G218" s="13">
        <f>F218*12%</f>
        <v/>
      </c>
      <c r="H218" s="13">
        <f>IF(A218="",0,B218*(92*IF(OR(C218=Options!$B$9,C218=Options!$B$10),75%,100%)-IF(C218=DATE(2026,11,29),26+IF(Options!$B$8="是",23,0),0)-IF(C218=DATE(2026,11,30),26,0)-IF(C218=DATE(2026,12,1),64,0)-IF(C218=DATE(2026,11,28),38,0)-IF(C218=DATE(2026,12,2),26,0)))</f>
        <v/>
      </c>
      <c r="I218" s="13">
        <f>IF(AND(C218&gt;=DATE(2026,11,29),C218&lt;=DATE(2026,12,1)),B218*60,0)</f>
        <v/>
      </c>
      <c r="J218" s="13">
        <f>IF(A218="",0,B218*(IF(C218=DATE(2026,11,28),38,0)+IF(C218=DATE(2026,12,1),38,0)+IF(C218=DATE(2026,12,2),26,0)))</f>
        <v/>
      </c>
      <c r="K218" s="13">
        <f>IF(C218=Options!$B$9,B218*12,0)</f>
        <v/>
      </c>
      <c r="L218" s="13">
        <f>IF(C218=Options!$B$9,B218*Options!$Z$5,0)</f>
        <v/>
      </c>
      <c r="M218" s="13" t="n">
        <v>0</v>
      </c>
      <c r="N218" s="13">
        <f>SUM(E218:M218)</f>
        <v/>
      </c>
    </row>
    <row r="219">
      <c r="A219" s="5">
        <f>IF(AND(C219&gt;=Options!$B$9,C219&lt;=Options!$B$10),"Chicago","")</f>
        <v/>
      </c>
      <c r="B219" s="5">
        <f>IF(A219="","",18)</f>
        <v/>
      </c>
      <c r="C219" s="17" t="n">
        <v>46510</v>
      </c>
      <c r="D219" s="5">
        <f>IF(A219="","",IF(C219=DATE(2026,11,29),"培训；注册午餐；早餐参数",IF(C219=DATE(2026,11,30),"培训；注册午餐",IF(C219=DATE(2026,12,1),"培训；注册午餐；机构晚餐",IF(C219=Options!$B$9,"抵达；"&amp;IF(C219=DATE(2026,11,28),"机构晚餐","无统一供餐"),IF(C219=Options!$B$10,"返程；"&amp;IF(C219=DATE(2026,12,2),"机构午餐","无统一供餐"),"差旅状态；无统一日程"))))))</f>
        <v/>
      </c>
      <c r="E219" s="13">
        <f>IF(C219=Options!$B$9,Options!$C$14,0)</f>
        <v/>
      </c>
      <c r="F219" s="13">
        <f>IF(AND(A219&lt;&gt;"",C219&lt;Options!$B$10),B219*Options!$X$5,0)</f>
        <v/>
      </c>
      <c r="G219" s="13">
        <f>F219*12%</f>
        <v/>
      </c>
      <c r="H219" s="13">
        <f>IF(A219="",0,B219*(92*IF(OR(C219=Options!$B$9,C219=Options!$B$10),75%,100%)-IF(C219=DATE(2026,11,29),26+IF(Options!$B$8="是",23,0),0)-IF(C219=DATE(2026,11,30),26,0)-IF(C219=DATE(2026,12,1),64,0)-IF(C219=DATE(2026,11,28),38,0)-IF(C219=DATE(2026,12,2),26,0)))</f>
        <v/>
      </c>
      <c r="I219" s="13">
        <f>IF(AND(C219&gt;=DATE(2026,11,29),C219&lt;=DATE(2026,12,1)),B219*60,0)</f>
        <v/>
      </c>
      <c r="J219" s="13">
        <f>IF(A219="",0,B219*(IF(C219=DATE(2026,11,28),38,0)+IF(C219=DATE(2026,12,1),38,0)+IF(C219=DATE(2026,12,2),26,0)))</f>
        <v/>
      </c>
      <c r="K219" s="13">
        <f>IF(C219=Options!$B$9,B219*12,0)</f>
        <v/>
      </c>
      <c r="L219" s="13">
        <f>IF(C219=Options!$B$9,B219*Options!$Z$5,0)</f>
        <v/>
      </c>
      <c r="M219" s="13" t="n">
        <v>0</v>
      </c>
      <c r="N219" s="13">
        <f>SUM(E219:M219)</f>
        <v/>
      </c>
    </row>
    <row r="220">
      <c r="A220" s="5">
        <f>IF(AND(C220&gt;=Options!$B$9,C220&lt;=Options!$B$10),"Chicago","")</f>
        <v/>
      </c>
      <c r="B220" s="5">
        <f>IF(A220="","",18)</f>
        <v/>
      </c>
      <c r="C220" s="17" t="n">
        <v>46511</v>
      </c>
      <c r="D220" s="5">
        <f>IF(A220="","",IF(C220=DATE(2026,11,29),"培训；注册午餐；早餐参数",IF(C220=DATE(2026,11,30),"培训；注册午餐",IF(C220=DATE(2026,12,1),"培训；注册午餐；机构晚餐",IF(C220=Options!$B$9,"抵达；"&amp;IF(C220=DATE(2026,11,28),"机构晚餐","无统一供餐"),IF(C220=Options!$B$10,"返程；"&amp;IF(C220=DATE(2026,12,2),"机构午餐","无统一供餐"),"差旅状态；无统一日程"))))))</f>
        <v/>
      </c>
      <c r="E220" s="13">
        <f>IF(C220=Options!$B$9,Options!$C$14,0)</f>
        <v/>
      </c>
      <c r="F220" s="13">
        <f>IF(AND(A220&lt;&gt;"",C220&lt;Options!$B$10),B220*Options!$X$5,0)</f>
        <v/>
      </c>
      <c r="G220" s="13">
        <f>F220*12%</f>
        <v/>
      </c>
      <c r="H220" s="13">
        <f>IF(A220="",0,B220*(92*IF(OR(C220=Options!$B$9,C220=Options!$B$10),75%,100%)-IF(C220=DATE(2026,11,29),26+IF(Options!$B$8="是",23,0),0)-IF(C220=DATE(2026,11,30),26,0)-IF(C220=DATE(2026,12,1),64,0)-IF(C220=DATE(2026,11,28),38,0)-IF(C220=DATE(2026,12,2),26,0)))</f>
        <v/>
      </c>
      <c r="I220" s="13">
        <f>IF(AND(C220&gt;=DATE(2026,11,29),C220&lt;=DATE(2026,12,1)),B220*60,0)</f>
        <v/>
      </c>
      <c r="J220" s="13">
        <f>IF(A220="",0,B220*(IF(C220=DATE(2026,11,28),38,0)+IF(C220=DATE(2026,12,1),38,0)+IF(C220=DATE(2026,12,2),26,0)))</f>
        <v/>
      </c>
      <c r="K220" s="13">
        <f>IF(C220=Options!$B$9,B220*12,0)</f>
        <v/>
      </c>
      <c r="L220" s="13">
        <f>IF(C220=Options!$B$9,B220*Options!$Z$5,0)</f>
        <v/>
      </c>
      <c r="M220" s="13" t="n">
        <v>0</v>
      </c>
      <c r="N220" s="13">
        <f>SUM(E220:M220)</f>
        <v/>
      </c>
    </row>
    <row r="221">
      <c r="A221" s="5">
        <f>IF(AND(C221&gt;=Options!$B$9,C221&lt;=Options!$B$10),"Chicago","")</f>
        <v/>
      </c>
      <c r="B221" s="5">
        <f>IF(A221="","",18)</f>
        <v/>
      </c>
      <c r="C221" s="17" t="n">
        <v>46512</v>
      </c>
      <c r="D221" s="5">
        <f>IF(A221="","",IF(C221=DATE(2026,11,29),"培训；注册午餐；早餐参数",IF(C221=DATE(2026,11,30),"培训；注册午餐",IF(C221=DATE(2026,12,1),"培训；注册午餐；机构晚餐",IF(C221=Options!$B$9,"抵达；"&amp;IF(C221=DATE(2026,11,28),"机构晚餐","无统一供餐"),IF(C221=Options!$B$10,"返程；"&amp;IF(C221=DATE(2026,12,2),"机构午餐","无统一供餐"),"差旅状态；无统一日程"))))))</f>
        <v/>
      </c>
      <c r="E221" s="13">
        <f>IF(C221=Options!$B$9,Options!$C$14,0)</f>
        <v/>
      </c>
      <c r="F221" s="13">
        <f>IF(AND(A221&lt;&gt;"",C221&lt;Options!$B$10),B221*Options!$X$5,0)</f>
        <v/>
      </c>
      <c r="G221" s="13">
        <f>F221*12%</f>
        <v/>
      </c>
      <c r="H221" s="13">
        <f>IF(A221="",0,B221*(92*IF(OR(C221=Options!$B$9,C221=Options!$B$10),75%,100%)-IF(C221=DATE(2026,11,29),26+IF(Options!$B$8="是",23,0),0)-IF(C221=DATE(2026,11,30),26,0)-IF(C221=DATE(2026,12,1),64,0)-IF(C221=DATE(2026,11,28),38,0)-IF(C221=DATE(2026,12,2),26,0)))</f>
        <v/>
      </c>
      <c r="I221" s="13">
        <f>IF(AND(C221&gt;=DATE(2026,11,29),C221&lt;=DATE(2026,12,1)),B221*60,0)</f>
        <v/>
      </c>
      <c r="J221" s="13">
        <f>IF(A221="",0,B221*(IF(C221=DATE(2026,11,28),38,0)+IF(C221=DATE(2026,12,1),38,0)+IF(C221=DATE(2026,12,2),26,0)))</f>
        <v/>
      </c>
      <c r="K221" s="13">
        <f>IF(C221=Options!$B$9,B221*12,0)</f>
        <v/>
      </c>
      <c r="L221" s="13">
        <f>IF(C221=Options!$B$9,B221*Options!$Z$5,0)</f>
        <v/>
      </c>
      <c r="M221" s="13" t="n">
        <v>0</v>
      </c>
      <c r="N221" s="13">
        <f>SUM(E221:M221)</f>
        <v/>
      </c>
    </row>
    <row r="222">
      <c r="A222" s="5">
        <f>IF(AND(C222&gt;=Options!$B$9,C222&lt;=Options!$B$10),"Chicago","")</f>
        <v/>
      </c>
      <c r="B222" s="5">
        <f>IF(A222="","",18)</f>
        <v/>
      </c>
      <c r="C222" s="17" t="n">
        <v>46513</v>
      </c>
      <c r="D222" s="5">
        <f>IF(A222="","",IF(C222=DATE(2026,11,29),"培训；注册午餐；早餐参数",IF(C222=DATE(2026,11,30),"培训；注册午餐",IF(C222=DATE(2026,12,1),"培训；注册午餐；机构晚餐",IF(C222=Options!$B$9,"抵达；"&amp;IF(C222=DATE(2026,11,28),"机构晚餐","无统一供餐"),IF(C222=Options!$B$10,"返程；"&amp;IF(C222=DATE(2026,12,2),"机构午餐","无统一供餐"),"差旅状态；无统一日程"))))))</f>
        <v/>
      </c>
      <c r="E222" s="13">
        <f>IF(C222=Options!$B$9,Options!$C$14,0)</f>
        <v/>
      </c>
      <c r="F222" s="13">
        <f>IF(AND(A222&lt;&gt;"",C222&lt;Options!$B$10),B222*Options!$X$5,0)</f>
        <v/>
      </c>
      <c r="G222" s="13">
        <f>F222*12%</f>
        <v/>
      </c>
      <c r="H222" s="13">
        <f>IF(A222="",0,B222*(92*IF(OR(C222=Options!$B$9,C222=Options!$B$10),75%,100%)-IF(C222=DATE(2026,11,29),26+IF(Options!$B$8="是",23,0),0)-IF(C222=DATE(2026,11,30),26,0)-IF(C222=DATE(2026,12,1),64,0)-IF(C222=DATE(2026,11,28),38,0)-IF(C222=DATE(2026,12,2),26,0)))</f>
        <v/>
      </c>
      <c r="I222" s="13">
        <f>IF(AND(C222&gt;=DATE(2026,11,29),C222&lt;=DATE(2026,12,1)),B222*60,0)</f>
        <v/>
      </c>
      <c r="J222" s="13">
        <f>IF(A222="",0,B222*(IF(C222=DATE(2026,11,28),38,0)+IF(C222=DATE(2026,12,1),38,0)+IF(C222=DATE(2026,12,2),26,0)))</f>
        <v/>
      </c>
      <c r="K222" s="13">
        <f>IF(C222=Options!$B$9,B222*12,0)</f>
        <v/>
      </c>
      <c r="L222" s="13">
        <f>IF(C222=Options!$B$9,B222*Options!$Z$5,0)</f>
        <v/>
      </c>
      <c r="M222" s="13" t="n">
        <v>0</v>
      </c>
      <c r="N222" s="13">
        <f>SUM(E222:M222)</f>
        <v/>
      </c>
    </row>
    <row r="223">
      <c r="A223" s="5">
        <f>IF(AND(C223&gt;=Options!$B$9,C223&lt;=Options!$B$10),"Chicago","")</f>
        <v/>
      </c>
      <c r="B223" s="5">
        <f>IF(A223="","",18)</f>
        <v/>
      </c>
      <c r="C223" s="17" t="n">
        <v>46514</v>
      </c>
      <c r="D223" s="5">
        <f>IF(A223="","",IF(C223=DATE(2026,11,29),"培训；注册午餐；早餐参数",IF(C223=DATE(2026,11,30),"培训；注册午餐",IF(C223=DATE(2026,12,1),"培训；注册午餐；机构晚餐",IF(C223=Options!$B$9,"抵达；"&amp;IF(C223=DATE(2026,11,28),"机构晚餐","无统一供餐"),IF(C223=Options!$B$10,"返程；"&amp;IF(C223=DATE(2026,12,2),"机构午餐","无统一供餐"),"差旅状态；无统一日程"))))))</f>
        <v/>
      </c>
      <c r="E223" s="13">
        <f>IF(C223=Options!$B$9,Options!$C$14,0)</f>
        <v/>
      </c>
      <c r="F223" s="13">
        <f>IF(AND(A223&lt;&gt;"",C223&lt;Options!$B$10),B223*Options!$X$5,0)</f>
        <v/>
      </c>
      <c r="G223" s="13">
        <f>F223*12%</f>
        <v/>
      </c>
      <c r="H223" s="13">
        <f>IF(A223="",0,B223*(92*IF(OR(C223=Options!$B$9,C223=Options!$B$10),75%,100%)-IF(C223=DATE(2026,11,29),26+IF(Options!$B$8="是",23,0),0)-IF(C223=DATE(2026,11,30),26,0)-IF(C223=DATE(2026,12,1),64,0)-IF(C223=DATE(2026,11,28),38,0)-IF(C223=DATE(2026,12,2),26,0)))</f>
        <v/>
      </c>
      <c r="I223" s="13">
        <f>IF(AND(C223&gt;=DATE(2026,11,29),C223&lt;=DATE(2026,12,1)),B223*60,0)</f>
        <v/>
      </c>
      <c r="J223" s="13">
        <f>IF(A223="",0,B223*(IF(C223=DATE(2026,11,28),38,0)+IF(C223=DATE(2026,12,1),38,0)+IF(C223=DATE(2026,12,2),26,0)))</f>
        <v/>
      </c>
      <c r="K223" s="13">
        <f>IF(C223=Options!$B$9,B223*12,0)</f>
        <v/>
      </c>
      <c r="L223" s="13">
        <f>IF(C223=Options!$B$9,B223*Options!$Z$5,0)</f>
        <v/>
      </c>
      <c r="M223" s="13" t="n">
        <v>0</v>
      </c>
      <c r="N223" s="13">
        <f>SUM(E223:M223)</f>
        <v/>
      </c>
    </row>
    <row r="224">
      <c r="A224" s="5">
        <f>IF(AND(C224&gt;=Options!$B$9,C224&lt;=Options!$B$10),"Chicago","")</f>
        <v/>
      </c>
      <c r="B224" s="5">
        <f>IF(A224="","",18)</f>
        <v/>
      </c>
      <c r="C224" s="17" t="n">
        <v>46515</v>
      </c>
      <c r="D224" s="5">
        <f>IF(A224="","",IF(C224=DATE(2026,11,29),"培训；注册午餐；早餐参数",IF(C224=DATE(2026,11,30),"培训；注册午餐",IF(C224=DATE(2026,12,1),"培训；注册午餐；机构晚餐",IF(C224=Options!$B$9,"抵达；"&amp;IF(C224=DATE(2026,11,28),"机构晚餐","无统一供餐"),IF(C224=Options!$B$10,"返程；"&amp;IF(C224=DATE(2026,12,2),"机构午餐","无统一供餐"),"差旅状态；无统一日程"))))))</f>
        <v/>
      </c>
      <c r="E224" s="13">
        <f>IF(C224=Options!$B$9,Options!$C$14,0)</f>
        <v/>
      </c>
      <c r="F224" s="13">
        <f>IF(AND(A224&lt;&gt;"",C224&lt;Options!$B$10),B224*Options!$X$5,0)</f>
        <v/>
      </c>
      <c r="G224" s="13">
        <f>F224*12%</f>
        <v/>
      </c>
      <c r="H224" s="13">
        <f>IF(A224="",0,B224*(92*IF(OR(C224=Options!$B$9,C224=Options!$B$10),75%,100%)-IF(C224=DATE(2026,11,29),26+IF(Options!$B$8="是",23,0),0)-IF(C224=DATE(2026,11,30),26,0)-IF(C224=DATE(2026,12,1),64,0)-IF(C224=DATE(2026,11,28),38,0)-IF(C224=DATE(2026,12,2),26,0)))</f>
        <v/>
      </c>
      <c r="I224" s="13">
        <f>IF(AND(C224&gt;=DATE(2026,11,29),C224&lt;=DATE(2026,12,1)),B224*60,0)</f>
        <v/>
      </c>
      <c r="J224" s="13">
        <f>IF(A224="",0,B224*(IF(C224=DATE(2026,11,28),38,0)+IF(C224=DATE(2026,12,1),38,0)+IF(C224=DATE(2026,12,2),26,0)))</f>
        <v/>
      </c>
      <c r="K224" s="13">
        <f>IF(C224=Options!$B$9,B224*12,0)</f>
        <v/>
      </c>
      <c r="L224" s="13">
        <f>IF(C224=Options!$B$9,B224*Options!$Z$5,0)</f>
        <v/>
      </c>
      <c r="M224" s="13" t="n">
        <v>0</v>
      </c>
      <c r="N224" s="13">
        <f>SUM(E224:M224)</f>
        <v/>
      </c>
    </row>
    <row r="225">
      <c r="A225" s="5">
        <f>IF(AND(C225&gt;=Options!$B$9,C225&lt;=Options!$B$10),"Chicago","")</f>
        <v/>
      </c>
      <c r="B225" s="5">
        <f>IF(A225="","",18)</f>
        <v/>
      </c>
      <c r="C225" s="17" t="n">
        <v>46516</v>
      </c>
      <c r="D225" s="5">
        <f>IF(A225="","",IF(C225=DATE(2026,11,29),"培训；注册午餐；早餐参数",IF(C225=DATE(2026,11,30),"培训；注册午餐",IF(C225=DATE(2026,12,1),"培训；注册午餐；机构晚餐",IF(C225=Options!$B$9,"抵达；"&amp;IF(C225=DATE(2026,11,28),"机构晚餐","无统一供餐"),IF(C225=Options!$B$10,"返程；"&amp;IF(C225=DATE(2026,12,2),"机构午餐","无统一供餐"),"差旅状态；无统一日程"))))))</f>
        <v/>
      </c>
      <c r="E225" s="13">
        <f>IF(C225=Options!$B$9,Options!$C$14,0)</f>
        <v/>
      </c>
      <c r="F225" s="13">
        <f>IF(AND(A225&lt;&gt;"",C225&lt;Options!$B$10),B225*Options!$X$5,0)</f>
        <v/>
      </c>
      <c r="G225" s="13">
        <f>F225*12%</f>
        <v/>
      </c>
      <c r="H225" s="13">
        <f>IF(A225="",0,B225*(92*IF(OR(C225=Options!$B$9,C225=Options!$B$10),75%,100%)-IF(C225=DATE(2026,11,29),26+IF(Options!$B$8="是",23,0),0)-IF(C225=DATE(2026,11,30),26,0)-IF(C225=DATE(2026,12,1),64,0)-IF(C225=DATE(2026,11,28),38,0)-IF(C225=DATE(2026,12,2),26,0)))</f>
        <v/>
      </c>
      <c r="I225" s="13">
        <f>IF(AND(C225&gt;=DATE(2026,11,29),C225&lt;=DATE(2026,12,1)),B225*60,0)</f>
        <v/>
      </c>
      <c r="J225" s="13">
        <f>IF(A225="",0,B225*(IF(C225=DATE(2026,11,28),38,0)+IF(C225=DATE(2026,12,1),38,0)+IF(C225=DATE(2026,12,2),26,0)))</f>
        <v/>
      </c>
      <c r="K225" s="13">
        <f>IF(C225=Options!$B$9,B225*12,0)</f>
        <v/>
      </c>
      <c r="L225" s="13">
        <f>IF(C225=Options!$B$9,B225*Options!$Z$5,0)</f>
        <v/>
      </c>
      <c r="M225" s="13" t="n">
        <v>0</v>
      </c>
      <c r="N225" s="13">
        <f>SUM(E225:M225)</f>
        <v/>
      </c>
    </row>
    <row r="226">
      <c r="A226" s="5">
        <f>IF(AND(C226&gt;=Options!$B$9,C226&lt;=Options!$B$10),"Chicago","")</f>
        <v/>
      </c>
      <c r="B226" s="5">
        <f>IF(A226="","",18)</f>
        <v/>
      </c>
      <c r="C226" s="17" t="n">
        <v>46517</v>
      </c>
      <c r="D226" s="5">
        <f>IF(A226="","",IF(C226=DATE(2026,11,29),"培训；注册午餐；早餐参数",IF(C226=DATE(2026,11,30),"培训；注册午餐",IF(C226=DATE(2026,12,1),"培训；注册午餐；机构晚餐",IF(C226=Options!$B$9,"抵达；"&amp;IF(C226=DATE(2026,11,28),"机构晚餐","无统一供餐"),IF(C226=Options!$B$10,"返程；"&amp;IF(C226=DATE(2026,12,2),"机构午餐","无统一供餐"),"差旅状态；无统一日程"))))))</f>
        <v/>
      </c>
      <c r="E226" s="13">
        <f>IF(C226=Options!$B$9,Options!$C$14,0)</f>
        <v/>
      </c>
      <c r="F226" s="13">
        <f>IF(AND(A226&lt;&gt;"",C226&lt;Options!$B$10),B226*Options!$X$5,0)</f>
        <v/>
      </c>
      <c r="G226" s="13">
        <f>F226*12%</f>
        <v/>
      </c>
      <c r="H226" s="13">
        <f>IF(A226="",0,B226*(92*IF(OR(C226=Options!$B$9,C226=Options!$B$10),75%,100%)-IF(C226=DATE(2026,11,29),26+IF(Options!$B$8="是",23,0),0)-IF(C226=DATE(2026,11,30),26,0)-IF(C226=DATE(2026,12,1),64,0)-IF(C226=DATE(2026,11,28),38,0)-IF(C226=DATE(2026,12,2),26,0)))</f>
        <v/>
      </c>
      <c r="I226" s="13">
        <f>IF(AND(C226&gt;=DATE(2026,11,29),C226&lt;=DATE(2026,12,1)),B226*60,0)</f>
        <v/>
      </c>
      <c r="J226" s="13">
        <f>IF(A226="",0,B226*(IF(C226=DATE(2026,11,28),38,0)+IF(C226=DATE(2026,12,1),38,0)+IF(C226=DATE(2026,12,2),26,0)))</f>
        <v/>
      </c>
      <c r="K226" s="13">
        <f>IF(C226=Options!$B$9,B226*12,0)</f>
        <v/>
      </c>
      <c r="L226" s="13">
        <f>IF(C226=Options!$B$9,B226*Options!$Z$5,0)</f>
        <v/>
      </c>
      <c r="M226" s="13" t="n">
        <v>0</v>
      </c>
      <c r="N226" s="13">
        <f>SUM(E226:M226)</f>
        <v/>
      </c>
    </row>
    <row r="227">
      <c r="A227" s="5">
        <f>IF(AND(C227&gt;=Options!$B$9,C227&lt;=Options!$B$10),"Chicago","")</f>
        <v/>
      </c>
      <c r="B227" s="5">
        <f>IF(A227="","",18)</f>
        <v/>
      </c>
      <c r="C227" s="17" t="n">
        <v>46518</v>
      </c>
      <c r="D227" s="5">
        <f>IF(A227="","",IF(C227=DATE(2026,11,29),"培训；注册午餐；早餐参数",IF(C227=DATE(2026,11,30),"培训；注册午餐",IF(C227=DATE(2026,12,1),"培训；注册午餐；机构晚餐",IF(C227=Options!$B$9,"抵达；"&amp;IF(C227=DATE(2026,11,28),"机构晚餐","无统一供餐"),IF(C227=Options!$B$10,"返程；"&amp;IF(C227=DATE(2026,12,2),"机构午餐","无统一供餐"),"差旅状态；无统一日程"))))))</f>
        <v/>
      </c>
      <c r="E227" s="13">
        <f>IF(C227=Options!$B$9,Options!$C$14,0)</f>
        <v/>
      </c>
      <c r="F227" s="13">
        <f>IF(AND(A227&lt;&gt;"",C227&lt;Options!$B$10),B227*Options!$X$5,0)</f>
        <v/>
      </c>
      <c r="G227" s="13">
        <f>F227*12%</f>
        <v/>
      </c>
      <c r="H227" s="13">
        <f>IF(A227="",0,B227*(92*IF(OR(C227=Options!$B$9,C227=Options!$B$10),75%,100%)-IF(C227=DATE(2026,11,29),26+IF(Options!$B$8="是",23,0),0)-IF(C227=DATE(2026,11,30),26,0)-IF(C227=DATE(2026,12,1),64,0)-IF(C227=DATE(2026,11,28),38,0)-IF(C227=DATE(2026,12,2),26,0)))</f>
        <v/>
      </c>
      <c r="I227" s="13">
        <f>IF(AND(C227&gt;=DATE(2026,11,29),C227&lt;=DATE(2026,12,1)),B227*60,0)</f>
        <v/>
      </c>
      <c r="J227" s="13">
        <f>IF(A227="",0,B227*(IF(C227=DATE(2026,11,28),38,0)+IF(C227=DATE(2026,12,1),38,0)+IF(C227=DATE(2026,12,2),26,0)))</f>
        <v/>
      </c>
      <c r="K227" s="13">
        <f>IF(C227=Options!$B$9,B227*12,0)</f>
        <v/>
      </c>
      <c r="L227" s="13">
        <f>IF(C227=Options!$B$9,B227*Options!$Z$5,0)</f>
        <v/>
      </c>
      <c r="M227" s="13" t="n">
        <v>0</v>
      </c>
      <c r="N227" s="13">
        <f>SUM(E227:M227)</f>
        <v/>
      </c>
    </row>
    <row r="228">
      <c r="A228" s="5">
        <f>IF(AND(C228&gt;=Options!$B$9,C228&lt;=Options!$B$10),"Chicago","")</f>
        <v/>
      </c>
      <c r="B228" s="5">
        <f>IF(A228="","",18)</f>
        <v/>
      </c>
      <c r="C228" s="17" t="n">
        <v>46519</v>
      </c>
      <c r="D228" s="5">
        <f>IF(A228="","",IF(C228=DATE(2026,11,29),"培训；注册午餐；早餐参数",IF(C228=DATE(2026,11,30),"培训；注册午餐",IF(C228=DATE(2026,12,1),"培训；注册午餐；机构晚餐",IF(C228=Options!$B$9,"抵达；"&amp;IF(C228=DATE(2026,11,28),"机构晚餐","无统一供餐"),IF(C228=Options!$B$10,"返程；"&amp;IF(C228=DATE(2026,12,2),"机构午餐","无统一供餐"),"差旅状态；无统一日程"))))))</f>
        <v/>
      </c>
      <c r="E228" s="13">
        <f>IF(C228=Options!$B$9,Options!$C$14,0)</f>
        <v/>
      </c>
      <c r="F228" s="13">
        <f>IF(AND(A228&lt;&gt;"",C228&lt;Options!$B$10),B228*Options!$X$5,0)</f>
        <v/>
      </c>
      <c r="G228" s="13">
        <f>F228*12%</f>
        <v/>
      </c>
      <c r="H228" s="13">
        <f>IF(A228="",0,B228*(92*IF(OR(C228=Options!$B$9,C228=Options!$B$10),75%,100%)-IF(C228=DATE(2026,11,29),26+IF(Options!$B$8="是",23,0),0)-IF(C228=DATE(2026,11,30),26,0)-IF(C228=DATE(2026,12,1),64,0)-IF(C228=DATE(2026,11,28),38,0)-IF(C228=DATE(2026,12,2),26,0)))</f>
        <v/>
      </c>
      <c r="I228" s="13">
        <f>IF(AND(C228&gt;=DATE(2026,11,29),C228&lt;=DATE(2026,12,1)),B228*60,0)</f>
        <v/>
      </c>
      <c r="J228" s="13">
        <f>IF(A228="",0,B228*(IF(C228=DATE(2026,11,28),38,0)+IF(C228=DATE(2026,12,1),38,0)+IF(C228=DATE(2026,12,2),26,0)))</f>
        <v/>
      </c>
      <c r="K228" s="13">
        <f>IF(C228=Options!$B$9,B228*12,0)</f>
        <v/>
      </c>
      <c r="L228" s="13">
        <f>IF(C228=Options!$B$9,B228*Options!$Z$5,0)</f>
        <v/>
      </c>
      <c r="M228" s="13" t="n">
        <v>0</v>
      </c>
      <c r="N228" s="13">
        <f>SUM(E228:M228)</f>
        <v/>
      </c>
    </row>
    <row r="229">
      <c r="A229" s="5">
        <f>IF(AND(C229&gt;=Options!$B$9,C229&lt;=Options!$B$10),"Chicago","")</f>
        <v/>
      </c>
      <c r="B229" s="5">
        <f>IF(A229="","",18)</f>
        <v/>
      </c>
      <c r="C229" s="17" t="n">
        <v>46520</v>
      </c>
      <c r="D229" s="5">
        <f>IF(A229="","",IF(C229=DATE(2026,11,29),"培训；注册午餐；早餐参数",IF(C229=DATE(2026,11,30),"培训；注册午餐",IF(C229=DATE(2026,12,1),"培训；注册午餐；机构晚餐",IF(C229=Options!$B$9,"抵达；"&amp;IF(C229=DATE(2026,11,28),"机构晚餐","无统一供餐"),IF(C229=Options!$B$10,"返程；"&amp;IF(C229=DATE(2026,12,2),"机构午餐","无统一供餐"),"差旅状态；无统一日程"))))))</f>
        <v/>
      </c>
      <c r="E229" s="13">
        <f>IF(C229=Options!$B$9,Options!$C$14,0)</f>
        <v/>
      </c>
      <c r="F229" s="13">
        <f>IF(AND(A229&lt;&gt;"",C229&lt;Options!$B$10),B229*Options!$X$5,0)</f>
        <v/>
      </c>
      <c r="G229" s="13">
        <f>F229*12%</f>
        <v/>
      </c>
      <c r="H229" s="13">
        <f>IF(A229="",0,B229*(92*IF(OR(C229=Options!$B$9,C229=Options!$B$10),75%,100%)-IF(C229=DATE(2026,11,29),26+IF(Options!$B$8="是",23,0),0)-IF(C229=DATE(2026,11,30),26,0)-IF(C229=DATE(2026,12,1),64,0)-IF(C229=DATE(2026,11,28),38,0)-IF(C229=DATE(2026,12,2),26,0)))</f>
        <v/>
      </c>
      <c r="I229" s="13">
        <f>IF(AND(C229&gt;=DATE(2026,11,29),C229&lt;=DATE(2026,12,1)),B229*60,0)</f>
        <v/>
      </c>
      <c r="J229" s="13">
        <f>IF(A229="",0,B229*(IF(C229=DATE(2026,11,28),38,0)+IF(C229=DATE(2026,12,1),38,0)+IF(C229=DATE(2026,12,2),26,0)))</f>
        <v/>
      </c>
      <c r="K229" s="13">
        <f>IF(C229=Options!$B$9,B229*12,0)</f>
        <v/>
      </c>
      <c r="L229" s="13">
        <f>IF(C229=Options!$B$9,B229*Options!$Z$5,0)</f>
        <v/>
      </c>
      <c r="M229" s="13" t="n">
        <v>0</v>
      </c>
      <c r="N229" s="13">
        <f>SUM(E229:M229)</f>
        <v/>
      </c>
    </row>
    <row r="230">
      <c r="A230" s="5">
        <f>IF(AND(C230&gt;=Options!$B$9,C230&lt;=Options!$B$10),"Chicago","")</f>
        <v/>
      </c>
      <c r="B230" s="5">
        <f>IF(A230="","",18)</f>
        <v/>
      </c>
      <c r="C230" s="17" t="n">
        <v>46521</v>
      </c>
      <c r="D230" s="5">
        <f>IF(A230="","",IF(C230=DATE(2026,11,29),"培训；注册午餐；早餐参数",IF(C230=DATE(2026,11,30),"培训；注册午餐",IF(C230=DATE(2026,12,1),"培训；注册午餐；机构晚餐",IF(C230=Options!$B$9,"抵达；"&amp;IF(C230=DATE(2026,11,28),"机构晚餐","无统一供餐"),IF(C230=Options!$B$10,"返程；"&amp;IF(C230=DATE(2026,12,2),"机构午餐","无统一供餐"),"差旅状态；无统一日程"))))))</f>
        <v/>
      </c>
      <c r="E230" s="13">
        <f>IF(C230=Options!$B$9,Options!$C$14,0)</f>
        <v/>
      </c>
      <c r="F230" s="13">
        <f>IF(AND(A230&lt;&gt;"",C230&lt;Options!$B$10),B230*Options!$X$5,0)</f>
        <v/>
      </c>
      <c r="G230" s="13">
        <f>F230*12%</f>
        <v/>
      </c>
      <c r="H230" s="13">
        <f>IF(A230="",0,B230*(92*IF(OR(C230=Options!$B$9,C230=Options!$B$10),75%,100%)-IF(C230=DATE(2026,11,29),26+IF(Options!$B$8="是",23,0),0)-IF(C230=DATE(2026,11,30),26,0)-IF(C230=DATE(2026,12,1),64,0)-IF(C230=DATE(2026,11,28),38,0)-IF(C230=DATE(2026,12,2),26,0)))</f>
        <v/>
      </c>
      <c r="I230" s="13">
        <f>IF(AND(C230&gt;=DATE(2026,11,29),C230&lt;=DATE(2026,12,1)),B230*60,0)</f>
        <v/>
      </c>
      <c r="J230" s="13">
        <f>IF(A230="",0,B230*(IF(C230=DATE(2026,11,28),38,0)+IF(C230=DATE(2026,12,1),38,0)+IF(C230=DATE(2026,12,2),26,0)))</f>
        <v/>
      </c>
      <c r="K230" s="13">
        <f>IF(C230=Options!$B$9,B230*12,0)</f>
        <v/>
      </c>
      <c r="L230" s="13">
        <f>IF(C230=Options!$B$9,B230*Options!$Z$5,0)</f>
        <v/>
      </c>
      <c r="M230" s="13" t="n">
        <v>0</v>
      </c>
      <c r="N230" s="13">
        <f>SUM(E230:M230)</f>
        <v/>
      </c>
    </row>
    <row r="231">
      <c r="A231" s="5">
        <f>IF(AND(C231&gt;=Options!$B$9,C231&lt;=Options!$B$10),"Chicago","")</f>
        <v/>
      </c>
      <c r="B231" s="5">
        <f>IF(A231="","",18)</f>
        <v/>
      </c>
      <c r="C231" s="17" t="n">
        <v>46522</v>
      </c>
      <c r="D231" s="5">
        <f>IF(A231="","",IF(C231=DATE(2026,11,29),"培训；注册午餐；早餐参数",IF(C231=DATE(2026,11,30),"培训；注册午餐",IF(C231=DATE(2026,12,1),"培训；注册午餐；机构晚餐",IF(C231=Options!$B$9,"抵达；"&amp;IF(C231=DATE(2026,11,28),"机构晚餐","无统一供餐"),IF(C231=Options!$B$10,"返程；"&amp;IF(C231=DATE(2026,12,2),"机构午餐","无统一供餐"),"差旅状态；无统一日程"))))))</f>
        <v/>
      </c>
      <c r="E231" s="13">
        <f>IF(C231=Options!$B$9,Options!$C$14,0)</f>
        <v/>
      </c>
      <c r="F231" s="13">
        <f>IF(AND(A231&lt;&gt;"",C231&lt;Options!$B$10),B231*Options!$X$5,0)</f>
        <v/>
      </c>
      <c r="G231" s="13">
        <f>F231*12%</f>
        <v/>
      </c>
      <c r="H231" s="13">
        <f>IF(A231="",0,B231*(92*IF(OR(C231=Options!$B$9,C231=Options!$B$10),75%,100%)-IF(C231=DATE(2026,11,29),26+IF(Options!$B$8="是",23,0),0)-IF(C231=DATE(2026,11,30),26,0)-IF(C231=DATE(2026,12,1),64,0)-IF(C231=DATE(2026,11,28),38,0)-IF(C231=DATE(2026,12,2),26,0)))</f>
        <v/>
      </c>
      <c r="I231" s="13">
        <f>IF(AND(C231&gt;=DATE(2026,11,29),C231&lt;=DATE(2026,12,1)),B231*60,0)</f>
        <v/>
      </c>
      <c r="J231" s="13">
        <f>IF(A231="",0,B231*(IF(C231=DATE(2026,11,28),38,0)+IF(C231=DATE(2026,12,1),38,0)+IF(C231=DATE(2026,12,2),26,0)))</f>
        <v/>
      </c>
      <c r="K231" s="13">
        <f>IF(C231=Options!$B$9,B231*12,0)</f>
        <v/>
      </c>
      <c r="L231" s="13">
        <f>IF(C231=Options!$B$9,B231*Options!$Z$5,0)</f>
        <v/>
      </c>
      <c r="M231" s="13" t="n">
        <v>0</v>
      </c>
      <c r="N231" s="13">
        <f>SUM(E231:M231)</f>
        <v/>
      </c>
    </row>
    <row r="232">
      <c r="A232" s="5">
        <f>IF(AND(C232&gt;=Options!$B$9,C232&lt;=Options!$B$10),"Chicago","")</f>
        <v/>
      </c>
      <c r="B232" s="5">
        <f>IF(A232="","",18)</f>
        <v/>
      </c>
      <c r="C232" s="17" t="n">
        <v>46523</v>
      </c>
      <c r="D232" s="5">
        <f>IF(A232="","",IF(C232=DATE(2026,11,29),"培训；注册午餐；早餐参数",IF(C232=DATE(2026,11,30),"培训；注册午餐",IF(C232=DATE(2026,12,1),"培训；注册午餐；机构晚餐",IF(C232=Options!$B$9,"抵达；"&amp;IF(C232=DATE(2026,11,28),"机构晚餐","无统一供餐"),IF(C232=Options!$B$10,"返程；"&amp;IF(C232=DATE(2026,12,2),"机构午餐","无统一供餐"),"差旅状态；无统一日程"))))))</f>
        <v/>
      </c>
      <c r="E232" s="13">
        <f>IF(C232=Options!$B$9,Options!$C$14,0)</f>
        <v/>
      </c>
      <c r="F232" s="13">
        <f>IF(AND(A232&lt;&gt;"",C232&lt;Options!$B$10),B232*Options!$X$5,0)</f>
        <v/>
      </c>
      <c r="G232" s="13">
        <f>F232*12%</f>
        <v/>
      </c>
      <c r="H232" s="13">
        <f>IF(A232="",0,B232*(92*IF(OR(C232=Options!$B$9,C232=Options!$B$10),75%,100%)-IF(C232=DATE(2026,11,29),26+IF(Options!$B$8="是",23,0),0)-IF(C232=DATE(2026,11,30),26,0)-IF(C232=DATE(2026,12,1),64,0)-IF(C232=DATE(2026,11,28),38,0)-IF(C232=DATE(2026,12,2),26,0)))</f>
        <v/>
      </c>
      <c r="I232" s="13">
        <f>IF(AND(C232&gt;=DATE(2026,11,29),C232&lt;=DATE(2026,12,1)),B232*60,0)</f>
        <v/>
      </c>
      <c r="J232" s="13">
        <f>IF(A232="",0,B232*(IF(C232=DATE(2026,11,28),38,0)+IF(C232=DATE(2026,12,1),38,0)+IF(C232=DATE(2026,12,2),26,0)))</f>
        <v/>
      </c>
      <c r="K232" s="13">
        <f>IF(C232=Options!$B$9,B232*12,0)</f>
        <v/>
      </c>
      <c r="L232" s="13">
        <f>IF(C232=Options!$B$9,B232*Options!$Z$5,0)</f>
        <v/>
      </c>
      <c r="M232" s="13" t="n">
        <v>0</v>
      </c>
      <c r="N232" s="13">
        <f>SUM(E232:M232)</f>
        <v/>
      </c>
    </row>
    <row r="233">
      <c r="A233" s="5">
        <f>IF(AND(C233&gt;=Options!$B$9,C233&lt;=Options!$B$10),"Chicago","")</f>
        <v/>
      </c>
      <c r="B233" s="5">
        <f>IF(A233="","",18)</f>
        <v/>
      </c>
      <c r="C233" s="17" t="n">
        <v>46524</v>
      </c>
      <c r="D233" s="5">
        <f>IF(A233="","",IF(C233=DATE(2026,11,29),"培训；注册午餐；早餐参数",IF(C233=DATE(2026,11,30),"培训；注册午餐",IF(C233=DATE(2026,12,1),"培训；注册午餐；机构晚餐",IF(C233=Options!$B$9,"抵达；"&amp;IF(C233=DATE(2026,11,28),"机构晚餐","无统一供餐"),IF(C233=Options!$B$10,"返程；"&amp;IF(C233=DATE(2026,12,2),"机构午餐","无统一供餐"),"差旅状态；无统一日程"))))))</f>
        <v/>
      </c>
      <c r="E233" s="13">
        <f>IF(C233=Options!$B$9,Options!$C$14,0)</f>
        <v/>
      </c>
      <c r="F233" s="13">
        <f>IF(AND(A233&lt;&gt;"",C233&lt;Options!$B$10),B233*Options!$X$5,0)</f>
        <v/>
      </c>
      <c r="G233" s="13">
        <f>F233*12%</f>
        <v/>
      </c>
      <c r="H233" s="13">
        <f>IF(A233="",0,B233*(92*IF(OR(C233=Options!$B$9,C233=Options!$B$10),75%,100%)-IF(C233=DATE(2026,11,29),26+IF(Options!$B$8="是",23,0),0)-IF(C233=DATE(2026,11,30),26,0)-IF(C233=DATE(2026,12,1),64,0)-IF(C233=DATE(2026,11,28),38,0)-IF(C233=DATE(2026,12,2),26,0)))</f>
        <v/>
      </c>
      <c r="I233" s="13">
        <f>IF(AND(C233&gt;=DATE(2026,11,29),C233&lt;=DATE(2026,12,1)),B233*60,0)</f>
        <v/>
      </c>
      <c r="J233" s="13">
        <f>IF(A233="",0,B233*(IF(C233=DATE(2026,11,28),38,0)+IF(C233=DATE(2026,12,1),38,0)+IF(C233=DATE(2026,12,2),26,0)))</f>
        <v/>
      </c>
      <c r="K233" s="13">
        <f>IF(C233=Options!$B$9,B233*12,0)</f>
        <v/>
      </c>
      <c r="L233" s="13">
        <f>IF(C233=Options!$B$9,B233*Options!$Z$5,0)</f>
        <v/>
      </c>
      <c r="M233" s="13" t="n">
        <v>0</v>
      </c>
      <c r="N233" s="13">
        <f>SUM(E233:M233)</f>
        <v/>
      </c>
    </row>
    <row r="234">
      <c r="A234" s="5">
        <f>IF(AND(C234&gt;=Options!$B$9,C234&lt;=Options!$B$10),"Chicago","")</f>
        <v/>
      </c>
      <c r="B234" s="5">
        <f>IF(A234="","",18)</f>
        <v/>
      </c>
      <c r="C234" s="17" t="n">
        <v>46525</v>
      </c>
      <c r="D234" s="5">
        <f>IF(A234="","",IF(C234=DATE(2026,11,29),"培训；注册午餐；早餐参数",IF(C234=DATE(2026,11,30),"培训；注册午餐",IF(C234=DATE(2026,12,1),"培训；注册午餐；机构晚餐",IF(C234=Options!$B$9,"抵达；"&amp;IF(C234=DATE(2026,11,28),"机构晚餐","无统一供餐"),IF(C234=Options!$B$10,"返程；"&amp;IF(C234=DATE(2026,12,2),"机构午餐","无统一供餐"),"差旅状态；无统一日程"))))))</f>
        <v/>
      </c>
      <c r="E234" s="13">
        <f>IF(C234=Options!$B$9,Options!$C$14,0)</f>
        <v/>
      </c>
      <c r="F234" s="13">
        <f>IF(AND(A234&lt;&gt;"",C234&lt;Options!$B$10),B234*Options!$X$5,0)</f>
        <v/>
      </c>
      <c r="G234" s="13">
        <f>F234*12%</f>
        <v/>
      </c>
      <c r="H234" s="13">
        <f>IF(A234="",0,B234*(92*IF(OR(C234=Options!$B$9,C234=Options!$B$10),75%,100%)-IF(C234=DATE(2026,11,29),26+IF(Options!$B$8="是",23,0),0)-IF(C234=DATE(2026,11,30),26,0)-IF(C234=DATE(2026,12,1),64,0)-IF(C234=DATE(2026,11,28),38,0)-IF(C234=DATE(2026,12,2),26,0)))</f>
        <v/>
      </c>
      <c r="I234" s="13">
        <f>IF(AND(C234&gt;=DATE(2026,11,29),C234&lt;=DATE(2026,12,1)),B234*60,0)</f>
        <v/>
      </c>
      <c r="J234" s="13">
        <f>IF(A234="",0,B234*(IF(C234=DATE(2026,11,28),38,0)+IF(C234=DATE(2026,12,1),38,0)+IF(C234=DATE(2026,12,2),26,0)))</f>
        <v/>
      </c>
      <c r="K234" s="13">
        <f>IF(C234=Options!$B$9,B234*12,0)</f>
        <v/>
      </c>
      <c r="L234" s="13">
        <f>IF(C234=Options!$B$9,B234*Options!$Z$5,0)</f>
        <v/>
      </c>
      <c r="M234" s="13" t="n">
        <v>0</v>
      </c>
      <c r="N234" s="13">
        <f>SUM(E234:M234)</f>
        <v/>
      </c>
    </row>
    <row r="235">
      <c r="A235" s="5">
        <f>IF(AND(C235&gt;=Options!$B$9,C235&lt;=Options!$B$10),"Chicago","")</f>
        <v/>
      </c>
      <c r="B235" s="5">
        <f>IF(A235="","",18)</f>
        <v/>
      </c>
      <c r="C235" s="17" t="n">
        <v>46526</v>
      </c>
      <c r="D235" s="5">
        <f>IF(A235="","",IF(C235=DATE(2026,11,29),"培训；注册午餐；早餐参数",IF(C235=DATE(2026,11,30),"培训；注册午餐",IF(C235=DATE(2026,12,1),"培训；注册午餐；机构晚餐",IF(C235=Options!$B$9,"抵达；"&amp;IF(C235=DATE(2026,11,28),"机构晚餐","无统一供餐"),IF(C235=Options!$B$10,"返程；"&amp;IF(C235=DATE(2026,12,2),"机构午餐","无统一供餐"),"差旅状态；无统一日程"))))))</f>
        <v/>
      </c>
      <c r="E235" s="13">
        <f>IF(C235=Options!$B$9,Options!$C$14,0)</f>
        <v/>
      </c>
      <c r="F235" s="13">
        <f>IF(AND(A235&lt;&gt;"",C235&lt;Options!$B$10),B235*Options!$X$5,0)</f>
        <v/>
      </c>
      <c r="G235" s="13">
        <f>F235*12%</f>
        <v/>
      </c>
      <c r="H235" s="13">
        <f>IF(A235="",0,B235*(92*IF(OR(C235=Options!$B$9,C235=Options!$B$10),75%,100%)-IF(C235=DATE(2026,11,29),26+IF(Options!$B$8="是",23,0),0)-IF(C235=DATE(2026,11,30),26,0)-IF(C235=DATE(2026,12,1),64,0)-IF(C235=DATE(2026,11,28),38,0)-IF(C235=DATE(2026,12,2),26,0)))</f>
        <v/>
      </c>
      <c r="I235" s="13">
        <f>IF(AND(C235&gt;=DATE(2026,11,29),C235&lt;=DATE(2026,12,1)),B235*60,0)</f>
        <v/>
      </c>
      <c r="J235" s="13">
        <f>IF(A235="",0,B235*(IF(C235=DATE(2026,11,28),38,0)+IF(C235=DATE(2026,12,1),38,0)+IF(C235=DATE(2026,12,2),26,0)))</f>
        <v/>
      </c>
      <c r="K235" s="13">
        <f>IF(C235=Options!$B$9,B235*12,0)</f>
        <v/>
      </c>
      <c r="L235" s="13">
        <f>IF(C235=Options!$B$9,B235*Options!$Z$5,0)</f>
        <v/>
      </c>
      <c r="M235" s="13" t="n">
        <v>0</v>
      </c>
      <c r="N235" s="13">
        <f>SUM(E235:M235)</f>
        <v/>
      </c>
    </row>
    <row r="236">
      <c r="A236" s="5">
        <f>IF(AND(C236&gt;=Options!$B$9,C236&lt;=Options!$B$10),"Chicago","")</f>
        <v/>
      </c>
      <c r="B236" s="5">
        <f>IF(A236="","",18)</f>
        <v/>
      </c>
      <c r="C236" s="17" t="n">
        <v>46527</v>
      </c>
      <c r="D236" s="5">
        <f>IF(A236="","",IF(C236=DATE(2026,11,29),"培训；注册午餐；早餐参数",IF(C236=DATE(2026,11,30),"培训；注册午餐",IF(C236=DATE(2026,12,1),"培训；注册午餐；机构晚餐",IF(C236=Options!$B$9,"抵达；"&amp;IF(C236=DATE(2026,11,28),"机构晚餐","无统一供餐"),IF(C236=Options!$B$10,"返程；"&amp;IF(C236=DATE(2026,12,2),"机构午餐","无统一供餐"),"差旅状态；无统一日程"))))))</f>
        <v/>
      </c>
      <c r="E236" s="13">
        <f>IF(C236=Options!$B$9,Options!$C$14,0)</f>
        <v/>
      </c>
      <c r="F236" s="13">
        <f>IF(AND(A236&lt;&gt;"",C236&lt;Options!$B$10),B236*Options!$X$5,0)</f>
        <v/>
      </c>
      <c r="G236" s="13">
        <f>F236*12%</f>
        <v/>
      </c>
      <c r="H236" s="13">
        <f>IF(A236="",0,B236*(92*IF(OR(C236=Options!$B$9,C236=Options!$B$10),75%,100%)-IF(C236=DATE(2026,11,29),26+IF(Options!$B$8="是",23,0),0)-IF(C236=DATE(2026,11,30),26,0)-IF(C236=DATE(2026,12,1),64,0)-IF(C236=DATE(2026,11,28),38,0)-IF(C236=DATE(2026,12,2),26,0)))</f>
        <v/>
      </c>
      <c r="I236" s="13">
        <f>IF(AND(C236&gt;=DATE(2026,11,29),C236&lt;=DATE(2026,12,1)),B236*60,0)</f>
        <v/>
      </c>
      <c r="J236" s="13">
        <f>IF(A236="",0,B236*(IF(C236=DATE(2026,11,28),38,0)+IF(C236=DATE(2026,12,1),38,0)+IF(C236=DATE(2026,12,2),26,0)))</f>
        <v/>
      </c>
      <c r="K236" s="13">
        <f>IF(C236=Options!$B$9,B236*12,0)</f>
        <v/>
      </c>
      <c r="L236" s="13">
        <f>IF(C236=Options!$B$9,B236*Options!$Z$5,0)</f>
        <v/>
      </c>
      <c r="M236" s="13" t="n">
        <v>0</v>
      </c>
      <c r="N236" s="13">
        <f>SUM(E236:M236)</f>
        <v/>
      </c>
    </row>
    <row r="237">
      <c r="A237" s="5">
        <f>IF(AND(C237&gt;=Options!$B$9,C237&lt;=Options!$B$10),"Chicago","")</f>
        <v/>
      </c>
      <c r="B237" s="5">
        <f>IF(A237="","",18)</f>
        <v/>
      </c>
      <c r="C237" s="17" t="n">
        <v>46528</v>
      </c>
      <c r="D237" s="5">
        <f>IF(A237="","",IF(C237=DATE(2026,11,29),"培训；注册午餐；早餐参数",IF(C237=DATE(2026,11,30),"培训；注册午餐",IF(C237=DATE(2026,12,1),"培训；注册午餐；机构晚餐",IF(C237=Options!$B$9,"抵达；"&amp;IF(C237=DATE(2026,11,28),"机构晚餐","无统一供餐"),IF(C237=Options!$B$10,"返程；"&amp;IF(C237=DATE(2026,12,2),"机构午餐","无统一供餐"),"差旅状态；无统一日程"))))))</f>
        <v/>
      </c>
      <c r="E237" s="13">
        <f>IF(C237=Options!$B$9,Options!$C$14,0)</f>
        <v/>
      </c>
      <c r="F237" s="13">
        <f>IF(AND(A237&lt;&gt;"",C237&lt;Options!$B$10),B237*Options!$X$5,0)</f>
        <v/>
      </c>
      <c r="G237" s="13">
        <f>F237*12%</f>
        <v/>
      </c>
      <c r="H237" s="13">
        <f>IF(A237="",0,B237*(92*IF(OR(C237=Options!$B$9,C237=Options!$B$10),75%,100%)-IF(C237=DATE(2026,11,29),26+IF(Options!$B$8="是",23,0),0)-IF(C237=DATE(2026,11,30),26,0)-IF(C237=DATE(2026,12,1),64,0)-IF(C237=DATE(2026,11,28),38,0)-IF(C237=DATE(2026,12,2),26,0)))</f>
        <v/>
      </c>
      <c r="I237" s="13">
        <f>IF(AND(C237&gt;=DATE(2026,11,29),C237&lt;=DATE(2026,12,1)),B237*60,0)</f>
        <v/>
      </c>
      <c r="J237" s="13">
        <f>IF(A237="",0,B237*(IF(C237=DATE(2026,11,28),38,0)+IF(C237=DATE(2026,12,1),38,0)+IF(C237=DATE(2026,12,2),26,0)))</f>
        <v/>
      </c>
      <c r="K237" s="13">
        <f>IF(C237=Options!$B$9,B237*12,0)</f>
        <v/>
      </c>
      <c r="L237" s="13">
        <f>IF(C237=Options!$B$9,B237*Options!$Z$5,0)</f>
        <v/>
      </c>
      <c r="M237" s="13" t="n">
        <v>0</v>
      </c>
      <c r="N237" s="13">
        <f>SUM(E237:M237)</f>
        <v/>
      </c>
    </row>
    <row r="238">
      <c r="A238" s="5">
        <f>IF(AND(C238&gt;=Options!$B$9,C238&lt;=Options!$B$10),"Chicago","")</f>
        <v/>
      </c>
      <c r="B238" s="5">
        <f>IF(A238="","",18)</f>
        <v/>
      </c>
      <c r="C238" s="17" t="n">
        <v>46529</v>
      </c>
      <c r="D238" s="5">
        <f>IF(A238="","",IF(C238=DATE(2026,11,29),"培训；注册午餐；早餐参数",IF(C238=DATE(2026,11,30),"培训；注册午餐",IF(C238=DATE(2026,12,1),"培训；注册午餐；机构晚餐",IF(C238=Options!$B$9,"抵达；"&amp;IF(C238=DATE(2026,11,28),"机构晚餐","无统一供餐"),IF(C238=Options!$B$10,"返程；"&amp;IF(C238=DATE(2026,12,2),"机构午餐","无统一供餐"),"差旅状态；无统一日程"))))))</f>
        <v/>
      </c>
      <c r="E238" s="13">
        <f>IF(C238=Options!$B$9,Options!$C$14,0)</f>
        <v/>
      </c>
      <c r="F238" s="13">
        <f>IF(AND(A238&lt;&gt;"",C238&lt;Options!$B$10),B238*Options!$X$5,0)</f>
        <v/>
      </c>
      <c r="G238" s="13">
        <f>F238*12%</f>
        <v/>
      </c>
      <c r="H238" s="13">
        <f>IF(A238="",0,B238*(92*IF(OR(C238=Options!$B$9,C238=Options!$B$10),75%,100%)-IF(C238=DATE(2026,11,29),26+IF(Options!$B$8="是",23,0),0)-IF(C238=DATE(2026,11,30),26,0)-IF(C238=DATE(2026,12,1),64,0)-IF(C238=DATE(2026,11,28),38,0)-IF(C238=DATE(2026,12,2),26,0)))</f>
        <v/>
      </c>
      <c r="I238" s="13">
        <f>IF(AND(C238&gt;=DATE(2026,11,29),C238&lt;=DATE(2026,12,1)),B238*60,0)</f>
        <v/>
      </c>
      <c r="J238" s="13">
        <f>IF(A238="",0,B238*(IF(C238=DATE(2026,11,28),38,0)+IF(C238=DATE(2026,12,1),38,0)+IF(C238=DATE(2026,12,2),26,0)))</f>
        <v/>
      </c>
      <c r="K238" s="13">
        <f>IF(C238=Options!$B$9,B238*12,0)</f>
        <v/>
      </c>
      <c r="L238" s="13">
        <f>IF(C238=Options!$B$9,B238*Options!$Z$5,0)</f>
        <v/>
      </c>
      <c r="M238" s="13" t="n">
        <v>0</v>
      </c>
      <c r="N238" s="13">
        <f>SUM(E238:M238)</f>
        <v/>
      </c>
    </row>
    <row r="239">
      <c r="A239" s="5">
        <f>IF(AND(C239&gt;=Options!$B$9,C239&lt;=Options!$B$10),"Chicago","")</f>
        <v/>
      </c>
      <c r="B239" s="5">
        <f>IF(A239="","",18)</f>
        <v/>
      </c>
      <c r="C239" s="17" t="n">
        <v>46530</v>
      </c>
      <c r="D239" s="5">
        <f>IF(A239="","",IF(C239=DATE(2026,11,29),"培训；注册午餐；早餐参数",IF(C239=DATE(2026,11,30),"培训；注册午餐",IF(C239=DATE(2026,12,1),"培训；注册午餐；机构晚餐",IF(C239=Options!$B$9,"抵达；"&amp;IF(C239=DATE(2026,11,28),"机构晚餐","无统一供餐"),IF(C239=Options!$B$10,"返程；"&amp;IF(C239=DATE(2026,12,2),"机构午餐","无统一供餐"),"差旅状态；无统一日程"))))))</f>
        <v/>
      </c>
      <c r="E239" s="13">
        <f>IF(C239=Options!$B$9,Options!$C$14,0)</f>
        <v/>
      </c>
      <c r="F239" s="13">
        <f>IF(AND(A239&lt;&gt;"",C239&lt;Options!$B$10),B239*Options!$X$5,0)</f>
        <v/>
      </c>
      <c r="G239" s="13">
        <f>F239*12%</f>
        <v/>
      </c>
      <c r="H239" s="13">
        <f>IF(A239="",0,B239*(92*IF(OR(C239=Options!$B$9,C239=Options!$B$10),75%,100%)-IF(C239=DATE(2026,11,29),26+IF(Options!$B$8="是",23,0),0)-IF(C239=DATE(2026,11,30),26,0)-IF(C239=DATE(2026,12,1),64,0)-IF(C239=DATE(2026,11,28),38,0)-IF(C239=DATE(2026,12,2),26,0)))</f>
        <v/>
      </c>
      <c r="I239" s="13">
        <f>IF(AND(C239&gt;=DATE(2026,11,29),C239&lt;=DATE(2026,12,1)),B239*60,0)</f>
        <v/>
      </c>
      <c r="J239" s="13">
        <f>IF(A239="",0,B239*(IF(C239=DATE(2026,11,28),38,0)+IF(C239=DATE(2026,12,1),38,0)+IF(C239=DATE(2026,12,2),26,0)))</f>
        <v/>
      </c>
      <c r="K239" s="13">
        <f>IF(C239=Options!$B$9,B239*12,0)</f>
        <v/>
      </c>
      <c r="L239" s="13">
        <f>IF(C239=Options!$B$9,B239*Options!$Z$5,0)</f>
        <v/>
      </c>
      <c r="M239" s="13" t="n">
        <v>0</v>
      </c>
      <c r="N239" s="13">
        <f>SUM(E239:M239)</f>
        <v/>
      </c>
    </row>
    <row r="240">
      <c r="A240" s="5">
        <f>IF(AND(C240&gt;=Options!$B$9,C240&lt;=Options!$B$10),"Chicago","")</f>
        <v/>
      </c>
      <c r="B240" s="5">
        <f>IF(A240="","",18)</f>
        <v/>
      </c>
      <c r="C240" s="17" t="n">
        <v>46531</v>
      </c>
      <c r="D240" s="5">
        <f>IF(A240="","",IF(C240=DATE(2026,11,29),"培训；注册午餐；早餐参数",IF(C240=DATE(2026,11,30),"培训；注册午餐",IF(C240=DATE(2026,12,1),"培训；注册午餐；机构晚餐",IF(C240=Options!$B$9,"抵达；"&amp;IF(C240=DATE(2026,11,28),"机构晚餐","无统一供餐"),IF(C240=Options!$B$10,"返程；"&amp;IF(C240=DATE(2026,12,2),"机构午餐","无统一供餐"),"差旅状态；无统一日程"))))))</f>
        <v/>
      </c>
      <c r="E240" s="13">
        <f>IF(C240=Options!$B$9,Options!$C$14,0)</f>
        <v/>
      </c>
      <c r="F240" s="13">
        <f>IF(AND(A240&lt;&gt;"",C240&lt;Options!$B$10),B240*Options!$X$5,0)</f>
        <v/>
      </c>
      <c r="G240" s="13">
        <f>F240*12%</f>
        <v/>
      </c>
      <c r="H240" s="13">
        <f>IF(A240="",0,B240*(92*IF(OR(C240=Options!$B$9,C240=Options!$B$10),75%,100%)-IF(C240=DATE(2026,11,29),26+IF(Options!$B$8="是",23,0),0)-IF(C240=DATE(2026,11,30),26,0)-IF(C240=DATE(2026,12,1),64,0)-IF(C240=DATE(2026,11,28),38,0)-IF(C240=DATE(2026,12,2),26,0)))</f>
        <v/>
      </c>
      <c r="I240" s="13">
        <f>IF(AND(C240&gt;=DATE(2026,11,29),C240&lt;=DATE(2026,12,1)),B240*60,0)</f>
        <v/>
      </c>
      <c r="J240" s="13">
        <f>IF(A240="",0,B240*(IF(C240=DATE(2026,11,28),38,0)+IF(C240=DATE(2026,12,1),38,0)+IF(C240=DATE(2026,12,2),26,0)))</f>
        <v/>
      </c>
      <c r="K240" s="13">
        <f>IF(C240=Options!$B$9,B240*12,0)</f>
        <v/>
      </c>
      <c r="L240" s="13">
        <f>IF(C240=Options!$B$9,B240*Options!$Z$5,0)</f>
        <v/>
      </c>
      <c r="M240" s="13" t="n">
        <v>0</v>
      </c>
      <c r="N240" s="13">
        <f>SUM(E240:M240)</f>
        <v/>
      </c>
    </row>
    <row r="241">
      <c r="A241" s="5">
        <f>IF(AND(C241&gt;=Options!$B$9,C241&lt;=Options!$B$10),"Chicago","")</f>
        <v/>
      </c>
      <c r="B241" s="5">
        <f>IF(A241="","",18)</f>
        <v/>
      </c>
      <c r="C241" s="17" t="n">
        <v>46532</v>
      </c>
      <c r="D241" s="5">
        <f>IF(A241="","",IF(C241=DATE(2026,11,29),"培训；注册午餐；早餐参数",IF(C241=DATE(2026,11,30),"培训；注册午餐",IF(C241=DATE(2026,12,1),"培训；注册午餐；机构晚餐",IF(C241=Options!$B$9,"抵达；"&amp;IF(C241=DATE(2026,11,28),"机构晚餐","无统一供餐"),IF(C241=Options!$B$10,"返程；"&amp;IF(C241=DATE(2026,12,2),"机构午餐","无统一供餐"),"差旅状态；无统一日程"))))))</f>
        <v/>
      </c>
      <c r="E241" s="13">
        <f>IF(C241=Options!$B$9,Options!$C$14,0)</f>
        <v/>
      </c>
      <c r="F241" s="13">
        <f>IF(AND(A241&lt;&gt;"",C241&lt;Options!$B$10),B241*Options!$X$5,0)</f>
        <v/>
      </c>
      <c r="G241" s="13">
        <f>F241*12%</f>
        <v/>
      </c>
      <c r="H241" s="13">
        <f>IF(A241="",0,B241*(92*IF(OR(C241=Options!$B$9,C241=Options!$B$10),75%,100%)-IF(C241=DATE(2026,11,29),26+IF(Options!$B$8="是",23,0),0)-IF(C241=DATE(2026,11,30),26,0)-IF(C241=DATE(2026,12,1),64,0)-IF(C241=DATE(2026,11,28),38,0)-IF(C241=DATE(2026,12,2),26,0)))</f>
        <v/>
      </c>
      <c r="I241" s="13">
        <f>IF(AND(C241&gt;=DATE(2026,11,29),C241&lt;=DATE(2026,12,1)),B241*60,0)</f>
        <v/>
      </c>
      <c r="J241" s="13">
        <f>IF(A241="",0,B241*(IF(C241=DATE(2026,11,28),38,0)+IF(C241=DATE(2026,12,1),38,0)+IF(C241=DATE(2026,12,2),26,0)))</f>
        <v/>
      </c>
      <c r="K241" s="13">
        <f>IF(C241=Options!$B$9,B241*12,0)</f>
        <v/>
      </c>
      <c r="L241" s="13">
        <f>IF(C241=Options!$B$9,B241*Options!$Z$5,0)</f>
        <v/>
      </c>
      <c r="M241" s="13" t="n">
        <v>0</v>
      </c>
      <c r="N241" s="13">
        <f>SUM(E241:M241)</f>
        <v/>
      </c>
    </row>
    <row r="242">
      <c r="A242" s="5">
        <f>IF(AND(C242&gt;=Options!$B$9,C242&lt;=Options!$B$10),"Chicago","")</f>
        <v/>
      </c>
      <c r="B242" s="5">
        <f>IF(A242="","",18)</f>
        <v/>
      </c>
      <c r="C242" s="17" t="n">
        <v>46533</v>
      </c>
      <c r="D242" s="5">
        <f>IF(A242="","",IF(C242=DATE(2026,11,29),"培训；注册午餐；早餐参数",IF(C242=DATE(2026,11,30),"培训；注册午餐",IF(C242=DATE(2026,12,1),"培训；注册午餐；机构晚餐",IF(C242=Options!$B$9,"抵达；"&amp;IF(C242=DATE(2026,11,28),"机构晚餐","无统一供餐"),IF(C242=Options!$B$10,"返程；"&amp;IF(C242=DATE(2026,12,2),"机构午餐","无统一供餐"),"差旅状态；无统一日程"))))))</f>
        <v/>
      </c>
      <c r="E242" s="13">
        <f>IF(C242=Options!$B$9,Options!$C$14,0)</f>
        <v/>
      </c>
      <c r="F242" s="13">
        <f>IF(AND(A242&lt;&gt;"",C242&lt;Options!$B$10),B242*Options!$X$5,0)</f>
        <v/>
      </c>
      <c r="G242" s="13">
        <f>F242*12%</f>
        <v/>
      </c>
      <c r="H242" s="13">
        <f>IF(A242="",0,B242*(92*IF(OR(C242=Options!$B$9,C242=Options!$B$10),75%,100%)-IF(C242=DATE(2026,11,29),26+IF(Options!$B$8="是",23,0),0)-IF(C242=DATE(2026,11,30),26,0)-IF(C242=DATE(2026,12,1),64,0)-IF(C242=DATE(2026,11,28),38,0)-IF(C242=DATE(2026,12,2),26,0)))</f>
        <v/>
      </c>
      <c r="I242" s="13">
        <f>IF(AND(C242&gt;=DATE(2026,11,29),C242&lt;=DATE(2026,12,1)),B242*60,0)</f>
        <v/>
      </c>
      <c r="J242" s="13">
        <f>IF(A242="",0,B242*(IF(C242=DATE(2026,11,28),38,0)+IF(C242=DATE(2026,12,1),38,0)+IF(C242=DATE(2026,12,2),26,0)))</f>
        <v/>
      </c>
      <c r="K242" s="13">
        <f>IF(C242=Options!$B$9,B242*12,0)</f>
        <v/>
      </c>
      <c r="L242" s="13">
        <f>IF(C242=Options!$B$9,B242*Options!$Z$5,0)</f>
        <v/>
      </c>
      <c r="M242" s="13" t="n">
        <v>0</v>
      </c>
      <c r="N242" s="13">
        <f>SUM(E242:M242)</f>
        <v/>
      </c>
    </row>
    <row r="243">
      <c r="A243" s="5">
        <f>IF(AND(C243&gt;=Options!$B$9,C243&lt;=Options!$B$10),"Chicago","")</f>
        <v/>
      </c>
      <c r="B243" s="5">
        <f>IF(A243="","",18)</f>
        <v/>
      </c>
      <c r="C243" s="17" t="n">
        <v>46534</v>
      </c>
      <c r="D243" s="5">
        <f>IF(A243="","",IF(C243=DATE(2026,11,29),"培训；注册午餐；早餐参数",IF(C243=DATE(2026,11,30),"培训；注册午餐",IF(C243=DATE(2026,12,1),"培训；注册午餐；机构晚餐",IF(C243=Options!$B$9,"抵达；"&amp;IF(C243=DATE(2026,11,28),"机构晚餐","无统一供餐"),IF(C243=Options!$B$10,"返程；"&amp;IF(C243=DATE(2026,12,2),"机构午餐","无统一供餐"),"差旅状态；无统一日程"))))))</f>
        <v/>
      </c>
      <c r="E243" s="13">
        <f>IF(C243=Options!$B$9,Options!$C$14,0)</f>
        <v/>
      </c>
      <c r="F243" s="13">
        <f>IF(AND(A243&lt;&gt;"",C243&lt;Options!$B$10),B243*Options!$X$5,0)</f>
        <v/>
      </c>
      <c r="G243" s="13">
        <f>F243*12%</f>
        <v/>
      </c>
      <c r="H243" s="13">
        <f>IF(A243="",0,B243*(92*IF(OR(C243=Options!$B$9,C243=Options!$B$10),75%,100%)-IF(C243=DATE(2026,11,29),26+IF(Options!$B$8="是",23,0),0)-IF(C243=DATE(2026,11,30),26,0)-IF(C243=DATE(2026,12,1),64,0)-IF(C243=DATE(2026,11,28),38,0)-IF(C243=DATE(2026,12,2),26,0)))</f>
        <v/>
      </c>
      <c r="I243" s="13">
        <f>IF(AND(C243&gt;=DATE(2026,11,29),C243&lt;=DATE(2026,12,1)),B243*60,0)</f>
        <v/>
      </c>
      <c r="J243" s="13">
        <f>IF(A243="",0,B243*(IF(C243=DATE(2026,11,28),38,0)+IF(C243=DATE(2026,12,1),38,0)+IF(C243=DATE(2026,12,2),26,0)))</f>
        <v/>
      </c>
      <c r="K243" s="13">
        <f>IF(C243=Options!$B$9,B243*12,0)</f>
        <v/>
      </c>
      <c r="L243" s="13">
        <f>IF(C243=Options!$B$9,B243*Options!$Z$5,0)</f>
        <v/>
      </c>
      <c r="M243" s="13" t="n">
        <v>0</v>
      </c>
      <c r="N243" s="13">
        <f>SUM(E243:M243)</f>
        <v/>
      </c>
    </row>
    <row r="244">
      <c r="A244" s="5">
        <f>IF(AND(C244&gt;=Options!$B$9,C244&lt;=Options!$B$10),"Chicago","")</f>
        <v/>
      </c>
      <c r="B244" s="5">
        <f>IF(A244="","",18)</f>
        <v/>
      </c>
      <c r="C244" s="17" t="n">
        <v>46535</v>
      </c>
      <c r="D244" s="5">
        <f>IF(A244="","",IF(C244=DATE(2026,11,29),"培训；注册午餐；早餐参数",IF(C244=DATE(2026,11,30),"培训；注册午餐",IF(C244=DATE(2026,12,1),"培训；注册午餐；机构晚餐",IF(C244=Options!$B$9,"抵达；"&amp;IF(C244=DATE(2026,11,28),"机构晚餐","无统一供餐"),IF(C244=Options!$B$10,"返程；"&amp;IF(C244=DATE(2026,12,2),"机构午餐","无统一供餐"),"差旅状态；无统一日程"))))))</f>
        <v/>
      </c>
      <c r="E244" s="13">
        <f>IF(C244=Options!$B$9,Options!$C$14,0)</f>
        <v/>
      </c>
      <c r="F244" s="13">
        <f>IF(AND(A244&lt;&gt;"",C244&lt;Options!$B$10),B244*Options!$X$5,0)</f>
        <v/>
      </c>
      <c r="G244" s="13">
        <f>F244*12%</f>
        <v/>
      </c>
      <c r="H244" s="13">
        <f>IF(A244="",0,B244*(92*IF(OR(C244=Options!$B$9,C244=Options!$B$10),75%,100%)-IF(C244=DATE(2026,11,29),26+IF(Options!$B$8="是",23,0),0)-IF(C244=DATE(2026,11,30),26,0)-IF(C244=DATE(2026,12,1),64,0)-IF(C244=DATE(2026,11,28),38,0)-IF(C244=DATE(2026,12,2),26,0)))</f>
        <v/>
      </c>
      <c r="I244" s="13">
        <f>IF(AND(C244&gt;=DATE(2026,11,29),C244&lt;=DATE(2026,12,1)),B244*60,0)</f>
        <v/>
      </c>
      <c r="J244" s="13">
        <f>IF(A244="",0,B244*(IF(C244=DATE(2026,11,28),38,0)+IF(C244=DATE(2026,12,1),38,0)+IF(C244=DATE(2026,12,2),26,0)))</f>
        <v/>
      </c>
      <c r="K244" s="13">
        <f>IF(C244=Options!$B$9,B244*12,0)</f>
        <v/>
      </c>
      <c r="L244" s="13">
        <f>IF(C244=Options!$B$9,B244*Options!$Z$5,0)</f>
        <v/>
      </c>
      <c r="M244" s="13" t="n">
        <v>0</v>
      </c>
      <c r="N244" s="13">
        <f>SUM(E244:M244)</f>
        <v/>
      </c>
    </row>
    <row r="245">
      <c r="A245" s="5">
        <f>IF(AND(C245&gt;=Options!$B$9,C245&lt;=Options!$B$10),"Chicago","")</f>
        <v/>
      </c>
      <c r="B245" s="5">
        <f>IF(A245="","",18)</f>
        <v/>
      </c>
      <c r="C245" s="17" t="n">
        <v>46536</v>
      </c>
      <c r="D245" s="5">
        <f>IF(A245="","",IF(C245=DATE(2026,11,29),"培训；注册午餐；早餐参数",IF(C245=DATE(2026,11,30),"培训；注册午餐",IF(C245=DATE(2026,12,1),"培训；注册午餐；机构晚餐",IF(C245=Options!$B$9,"抵达；"&amp;IF(C245=DATE(2026,11,28),"机构晚餐","无统一供餐"),IF(C245=Options!$B$10,"返程；"&amp;IF(C245=DATE(2026,12,2),"机构午餐","无统一供餐"),"差旅状态；无统一日程"))))))</f>
        <v/>
      </c>
      <c r="E245" s="13">
        <f>IF(C245=Options!$B$9,Options!$C$14,0)</f>
        <v/>
      </c>
      <c r="F245" s="13">
        <f>IF(AND(A245&lt;&gt;"",C245&lt;Options!$B$10),B245*Options!$X$5,0)</f>
        <v/>
      </c>
      <c r="G245" s="13">
        <f>F245*12%</f>
        <v/>
      </c>
      <c r="H245" s="13">
        <f>IF(A245="",0,B245*(92*IF(OR(C245=Options!$B$9,C245=Options!$B$10),75%,100%)-IF(C245=DATE(2026,11,29),26+IF(Options!$B$8="是",23,0),0)-IF(C245=DATE(2026,11,30),26,0)-IF(C245=DATE(2026,12,1),64,0)-IF(C245=DATE(2026,11,28),38,0)-IF(C245=DATE(2026,12,2),26,0)))</f>
        <v/>
      </c>
      <c r="I245" s="13">
        <f>IF(AND(C245&gt;=DATE(2026,11,29),C245&lt;=DATE(2026,12,1)),B245*60,0)</f>
        <v/>
      </c>
      <c r="J245" s="13">
        <f>IF(A245="",0,B245*(IF(C245=DATE(2026,11,28),38,0)+IF(C245=DATE(2026,12,1),38,0)+IF(C245=DATE(2026,12,2),26,0)))</f>
        <v/>
      </c>
      <c r="K245" s="13">
        <f>IF(C245=Options!$B$9,B245*12,0)</f>
        <v/>
      </c>
      <c r="L245" s="13">
        <f>IF(C245=Options!$B$9,B245*Options!$Z$5,0)</f>
        <v/>
      </c>
      <c r="M245" s="13" t="n">
        <v>0</v>
      </c>
      <c r="N245" s="13">
        <f>SUM(E245:M245)</f>
        <v/>
      </c>
    </row>
    <row r="246">
      <c r="A246" s="5">
        <f>IF(AND(C246&gt;=Options!$B$9,C246&lt;=Options!$B$10),"Chicago","")</f>
        <v/>
      </c>
      <c r="B246" s="5">
        <f>IF(A246="","",18)</f>
        <v/>
      </c>
      <c r="C246" s="17" t="n">
        <v>46537</v>
      </c>
      <c r="D246" s="5">
        <f>IF(A246="","",IF(C246=DATE(2026,11,29),"培训；注册午餐；早餐参数",IF(C246=DATE(2026,11,30),"培训；注册午餐",IF(C246=DATE(2026,12,1),"培训；注册午餐；机构晚餐",IF(C246=Options!$B$9,"抵达；"&amp;IF(C246=DATE(2026,11,28),"机构晚餐","无统一供餐"),IF(C246=Options!$B$10,"返程；"&amp;IF(C246=DATE(2026,12,2),"机构午餐","无统一供餐"),"差旅状态；无统一日程"))))))</f>
        <v/>
      </c>
      <c r="E246" s="13">
        <f>IF(C246=Options!$B$9,Options!$C$14,0)</f>
        <v/>
      </c>
      <c r="F246" s="13">
        <f>IF(AND(A246&lt;&gt;"",C246&lt;Options!$B$10),B246*Options!$X$5,0)</f>
        <v/>
      </c>
      <c r="G246" s="13">
        <f>F246*12%</f>
        <v/>
      </c>
      <c r="H246" s="13">
        <f>IF(A246="",0,B246*(92*IF(OR(C246=Options!$B$9,C246=Options!$B$10),75%,100%)-IF(C246=DATE(2026,11,29),26+IF(Options!$B$8="是",23,0),0)-IF(C246=DATE(2026,11,30),26,0)-IF(C246=DATE(2026,12,1),64,0)-IF(C246=DATE(2026,11,28),38,0)-IF(C246=DATE(2026,12,2),26,0)))</f>
        <v/>
      </c>
      <c r="I246" s="13">
        <f>IF(AND(C246&gt;=DATE(2026,11,29),C246&lt;=DATE(2026,12,1)),B246*60,0)</f>
        <v/>
      </c>
      <c r="J246" s="13">
        <f>IF(A246="",0,B246*(IF(C246=DATE(2026,11,28),38,0)+IF(C246=DATE(2026,12,1),38,0)+IF(C246=DATE(2026,12,2),26,0)))</f>
        <v/>
      </c>
      <c r="K246" s="13">
        <f>IF(C246=Options!$B$9,B246*12,0)</f>
        <v/>
      </c>
      <c r="L246" s="13">
        <f>IF(C246=Options!$B$9,B246*Options!$Z$5,0)</f>
        <v/>
      </c>
      <c r="M246" s="13" t="n">
        <v>0</v>
      </c>
      <c r="N246" s="13">
        <f>SUM(E246:M246)</f>
        <v/>
      </c>
    </row>
    <row r="247">
      <c r="A247" s="5">
        <f>IF(AND(C247&gt;=Options!$B$9,C247&lt;=Options!$B$10),"Chicago","")</f>
        <v/>
      </c>
      <c r="B247" s="5">
        <f>IF(A247="","",18)</f>
        <v/>
      </c>
      <c r="C247" s="17" t="n">
        <v>46538</v>
      </c>
      <c r="D247" s="5">
        <f>IF(A247="","",IF(C247=DATE(2026,11,29),"培训；注册午餐；早餐参数",IF(C247=DATE(2026,11,30),"培训；注册午餐",IF(C247=DATE(2026,12,1),"培训；注册午餐；机构晚餐",IF(C247=Options!$B$9,"抵达；"&amp;IF(C247=DATE(2026,11,28),"机构晚餐","无统一供餐"),IF(C247=Options!$B$10,"返程；"&amp;IF(C247=DATE(2026,12,2),"机构午餐","无统一供餐"),"差旅状态；无统一日程"))))))</f>
        <v/>
      </c>
      <c r="E247" s="13">
        <f>IF(C247=Options!$B$9,Options!$C$14,0)</f>
        <v/>
      </c>
      <c r="F247" s="13">
        <f>IF(AND(A247&lt;&gt;"",C247&lt;Options!$B$10),B247*Options!$X$5,0)</f>
        <v/>
      </c>
      <c r="G247" s="13">
        <f>F247*12%</f>
        <v/>
      </c>
      <c r="H247" s="13">
        <f>IF(A247="",0,B247*(92*IF(OR(C247=Options!$B$9,C247=Options!$B$10),75%,100%)-IF(C247=DATE(2026,11,29),26+IF(Options!$B$8="是",23,0),0)-IF(C247=DATE(2026,11,30),26,0)-IF(C247=DATE(2026,12,1),64,0)-IF(C247=DATE(2026,11,28),38,0)-IF(C247=DATE(2026,12,2),26,0)))</f>
        <v/>
      </c>
      <c r="I247" s="13">
        <f>IF(AND(C247&gt;=DATE(2026,11,29),C247&lt;=DATE(2026,12,1)),B247*60,0)</f>
        <v/>
      </c>
      <c r="J247" s="13">
        <f>IF(A247="",0,B247*(IF(C247=DATE(2026,11,28),38,0)+IF(C247=DATE(2026,12,1),38,0)+IF(C247=DATE(2026,12,2),26,0)))</f>
        <v/>
      </c>
      <c r="K247" s="13">
        <f>IF(C247=Options!$B$9,B247*12,0)</f>
        <v/>
      </c>
      <c r="L247" s="13">
        <f>IF(C247=Options!$B$9,B247*Options!$Z$5,0)</f>
        <v/>
      </c>
      <c r="M247" s="13" t="n">
        <v>0</v>
      </c>
      <c r="N247" s="13">
        <f>SUM(E247:M247)</f>
        <v/>
      </c>
    </row>
    <row r="248">
      <c r="A248" s="5">
        <f>IF(AND(C248&gt;=Options!$B$9,C248&lt;=Options!$B$10),"Chicago","")</f>
        <v/>
      </c>
      <c r="B248" s="5">
        <f>IF(A248="","",18)</f>
        <v/>
      </c>
      <c r="C248" s="17" t="n">
        <v>46539</v>
      </c>
      <c r="D248" s="5">
        <f>IF(A248="","",IF(C248=DATE(2026,11,29),"培训；注册午餐；早餐参数",IF(C248=DATE(2026,11,30),"培训；注册午餐",IF(C248=DATE(2026,12,1),"培训；注册午餐；机构晚餐",IF(C248=Options!$B$9,"抵达；"&amp;IF(C248=DATE(2026,11,28),"机构晚餐","无统一供餐"),IF(C248=Options!$B$10,"返程；"&amp;IF(C248=DATE(2026,12,2),"机构午餐","无统一供餐"),"差旅状态；无统一日程"))))))</f>
        <v/>
      </c>
      <c r="E248" s="13">
        <f>IF(C248=Options!$B$9,Options!$C$14,0)</f>
        <v/>
      </c>
      <c r="F248" s="13">
        <f>IF(AND(A248&lt;&gt;"",C248&lt;Options!$B$10),B248*Options!$X$5,0)</f>
        <v/>
      </c>
      <c r="G248" s="13">
        <f>F248*12%</f>
        <v/>
      </c>
      <c r="H248" s="13">
        <f>IF(A248="",0,B248*(92*IF(OR(C248=Options!$B$9,C248=Options!$B$10),75%,100%)-IF(C248=DATE(2026,11,29),26+IF(Options!$B$8="是",23,0),0)-IF(C248=DATE(2026,11,30),26,0)-IF(C248=DATE(2026,12,1),64,0)-IF(C248=DATE(2026,11,28),38,0)-IF(C248=DATE(2026,12,2),26,0)))</f>
        <v/>
      </c>
      <c r="I248" s="13">
        <f>IF(AND(C248&gt;=DATE(2026,11,29),C248&lt;=DATE(2026,12,1)),B248*60,0)</f>
        <v/>
      </c>
      <c r="J248" s="13">
        <f>IF(A248="",0,B248*(IF(C248=DATE(2026,11,28),38,0)+IF(C248=DATE(2026,12,1),38,0)+IF(C248=DATE(2026,12,2),26,0)))</f>
        <v/>
      </c>
      <c r="K248" s="13">
        <f>IF(C248=Options!$B$9,B248*12,0)</f>
        <v/>
      </c>
      <c r="L248" s="13">
        <f>IF(C248=Options!$B$9,B248*Options!$Z$5,0)</f>
        <v/>
      </c>
      <c r="M248" s="13" t="n">
        <v>0</v>
      </c>
      <c r="N248" s="13">
        <f>SUM(E248:M248)</f>
        <v/>
      </c>
    </row>
    <row r="249">
      <c r="A249" s="5">
        <f>IF(AND(C249&gt;=Options!$B$9,C249&lt;=Options!$B$10),"Chicago","")</f>
        <v/>
      </c>
      <c r="B249" s="5">
        <f>IF(A249="","",18)</f>
        <v/>
      </c>
      <c r="C249" s="17" t="n">
        <v>46540</v>
      </c>
      <c r="D249" s="5">
        <f>IF(A249="","",IF(C249=DATE(2026,11,29),"培训；注册午餐；早餐参数",IF(C249=DATE(2026,11,30),"培训；注册午餐",IF(C249=DATE(2026,12,1),"培训；注册午餐；机构晚餐",IF(C249=Options!$B$9,"抵达；"&amp;IF(C249=DATE(2026,11,28),"机构晚餐","无统一供餐"),IF(C249=Options!$B$10,"返程；"&amp;IF(C249=DATE(2026,12,2),"机构午餐","无统一供餐"),"差旅状态；无统一日程"))))))</f>
        <v/>
      </c>
      <c r="E249" s="13">
        <f>IF(C249=Options!$B$9,Options!$C$14,0)</f>
        <v/>
      </c>
      <c r="F249" s="13">
        <f>IF(AND(A249&lt;&gt;"",C249&lt;Options!$B$10),B249*Options!$X$5,0)</f>
        <v/>
      </c>
      <c r="G249" s="13">
        <f>F249*12%</f>
        <v/>
      </c>
      <c r="H249" s="13">
        <f>IF(A249="",0,B249*(92*IF(OR(C249=Options!$B$9,C249=Options!$B$10),75%,100%)-IF(C249=DATE(2026,11,29),26+IF(Options!$B$8="是",23,0),0)-IF(C249=DATE(2026,11,30),26,0)-IF(C249=DATE(2026,12,1),64,0)-IF(C249=DATE(2026,11,28),38,0)-IF(C249=DATE(2026,12,2),26,0)))</f>
        <v/>
      </c>
      <c r="I249" s="13">
        <f>IF(AND(C249&gt;=DATE(2026,11,29),C249&lt;=DATE(2026,12,1)),B249*60,0)</f>
        <v/>
      </c>
      <c r="J249" s="13">
        <f>IF(A249="",0,B249*(IF(C249=DATE(2026,11,28),38,0)+IF(C249=DATE(2026,12,1),38,0)+IF(C249=DATE(2026,12,2),26,0)))</f>
        <v/>
      </c>
      <c r="K249" s="13">
        <f>IF(C249=Options!$B$9,B249*12,0)</f>
        <v/>
      </c>
      <c r="L249" s="13">
        <f>IF(C249=Options!$B$9,B249*Options!$Z$5,0)</f>
        <v/>
      </c>
      <c r="M249" s="13" t="n">
        <v>0</v>
      </c>
      <c r="N249" s="13">
        <f>SUM(E249:M249)</f>
        <v/>
      </c>
    </row>
    <row r="250">
      <c r="A250" s="5">
        <f>IF(AND(C250&gt;=Options!$B$9,C250&lt;=Options!$B$10),"Chicago","")</f>
        <v/>
      </c>
      <c r="B250" s="5">
        <f>IF(A250="","",18)</f>
        <v/>
      </c>
      <c r="C250" s="17" t="n">
        <v>46541</v>
      </c>
      <c r="D250" s="5">
        <f>IF(A250="","",IF(C250=DATE(2026,11,29),"培训；注册午餐；早餐参数",IF(C250=DATE(2026,11,30),"培训；注册午餐",IF(C250=DATE(2026,12,1),"培训；注册午餐；机构晚餐",IF(C250=Options!$B$9,"抵达；"&amp;IF(C250=DATE(2026,11,28),"机构晚餐","无统一供餐"),IF(C250=Options!$B$10,"返程；"&amp;IF(C250=DATE(2026,12,2),"机构午餐","无统一供餐"),"差旅状态；无统一日程"))))))</f>
        <v/>
      </c>
      <c r="E250" s="13">
        <f>IF(C250=Options!$B$9,Options!$C$14,0)</f>
        <v/>
      </c>
      <c r="F250" s="13">
        <f>IF(AND(A250&lt;&gt;"",C250&lt;Options!$B$10),B250*Options!$X$5,0)</f>
        <v/>
      </c>
      <c r="G250" s="13">
        <f>F250*12%</f>
        <v/>
      </c>
      <c r="H250" s="13">
        <f>IF(A250="",0,B250*(92*IF(OR(C250=Options!$B$9,C250=Options!$B$10),75%,100%)-IF(C250=DATE(2026,11,29),26+IF(Options!$B$8="是",23,0),0)-IF(C250=DATE(2026,11,30),26,0)-IF(C250=DATE(2026,12,1),64,0)-IF(C250=DATE(2026,11,28),38,0)-IF(C250=DATE(2026,12,2),26,0)))</f>
        <v/>
      </c>
      <c r="I250" s="13">
        <f>IF(AND(C250&gt;=DATE(2026,11,29),C250&lt;=DATE(2026,12,1)),B250*60,0)</f>
        <v/>
      </c>
      <c r="J250" s="13">
        <f>IF(A250="",0,B250*(IF(C250=DATE(2026,11,28),38,0)+IF(C250=DATE(2026,12,1),38,0)+IF(C250=DATE(2026,12,2),26,0)))</f>
        <v/>
      </c>
      <c r="K250" s="13">
        <f>IF(C250=Options!$B$9,B250*12,0)</f>
        <v/>
      </c>
      <c r="L250" s="13">
        <f>IF(C250=Options!$B$9,B250*Options!$Z$5,0)</f>
        <v/>
      </c>
      <c r="M250" s="13" t="n">
        <v>0</v>
      </c>
      <c r="N250" s="13">
        <f>SUM(E250:M250)</f>
        <v/>
      </c>
    </row>
    <row r="251">
      <c r="A251" s="5">
        <f>IF(AND(C251&gt;=Options!$B$9,C251&lt;=Options!$B$10),"Chicago","")</f>
        <v/>
      </c>
      <c r="B251" s="5">
        <f>IF(A251="","",18)</f>
        <v/>
      </c>
      <c r="C251" s="17" t="n">
        <v>46542</v>
      </c>
      <c r="D251" s="5">
        <f>IF(A251="","",IF(C251=DATE(2026,11,29),"培训；注册午餐；早餐参数",IF(C251=DATE(2026,11,30),"培训；注册午餐",IF(C251=DATE(2026,12,1),"培训；注册午餐；机构晚餐",IF(C251=Options!$B$9,"抵达；"&amp;IF(C251=DATE(2026,11,28),"机构晚餐","无统一供餐"),IF(C251=Options!$B$10,"返程；"&amp;IF(C251=DATE(2026,12,2),"机构午餐","无统一供餐"),"差旅状态；无统一日程"))))))</f>
        <v/>
      </c>
      <c r="E251" s="13">
        <f>IF(C251=Options!$B$9,Options!$C$14,0)</f>
        <v/>
      </c>
      <c r="F251" s="13">
        <f>IF(AND(A251&lt;&gt;"",C251&lt;Options!$B$10),B251*Options!$X$5,0)</f>
        <v/>
      </c>
      <c r="G251" s="13">
        <f>F251*12%</f>
        <v/>
      </c>
      <c r="H251" s="13">
        <f>IF(A251="",0,B251*(92*IF(OR(C251=Options!$B$9,C251=Options!$B$10),75%,100%)-IF(C251=DATE(2026,11,29),26+IF(Options!$B$8="是",23,0),0)-IF(C251=DATE(2026,11,30),26,0)-IF(C251=DATE(2026,12,1),64,0)-IF(C251=DATE(2026,11,28),38,0)-IF(C251=DATE(2026,12,2),26,0)))</f>
        <v/>
      </c>
      <c r="I251" s="13">
        <f>IF(AND(C251&gt;=DATE(2026,11,29),C251&lt;=DATE(2026,12,1)),B251*60,0)</f>
        <v/>
      </c>
      <c r="J251" s="13">
        <f>IF(A251="",0,B251*(IF(C251=DATE(2026,11,28),38,0)+IF(C251=DATE(2026,12,1),38,0)+IF(C251=DATE(2026,12,2),26,0)))</f>
        <v/>
      </c>
      <c r="K251" s="13">
        <f>IF(C251=Options!$B$9,B251*12,0)</f>
        <v/>
      </c>
      <c r="L251" s="13">
        <f>IF(C251=Options!$B$9,B251*Options!$Z$5,0)</f>
        <v/>
      </c>
      <c r="M251" s="13" t="n">
        <v>0</v>
      </c>
      <c r="N251" s="13">
        <f>SUM(E251:M251)</f>
        <v/>
      </c>
    </row>
    <row r="252">
      <c r="A252" s="5">
        <f>IF(AND(C252&gt;=Options!$B$9,C252&lt;=Options!$B$10),"Chicago","")</f>
        <v/>
      </c>
      <c r="B252" s="5">
        <f>IF(A252="","",18)</f>
        <v/>
      </c>
      <c r="C252" s="17" t="n">
        <v>46543</v>
      </c>
      <c r="D252" s="5">
        <f>IF(A252="","",IF(C252=DATE(2026,11,29),"培训；注册午餐；早餐参数",IF(C252=DATE(2026,11,30),"培训；注册午餐",IF(C252=DATE(2026,12,1),"培训；注册午餐；机构晚餐",IF(C252=Options!$B$9,"抵达；"&amp;IF(C252=DATE(2026,11,28),"机构晚餐","无统一供餐"),IF(C252=Options!$B$10,"返程；"&amp;IF(C252=DATE(2026,12,2),"机构午餐","无统一供餐"),"差旅状态；无统一日程"))))))</f>
        <v/>
      </c>
      <c r="E252" s="13">
        <f>IF(C252=Options!$B$9,Options!$C$14,0)</f>
        <v/>
      </c>
      <c r="F252" s="13">
        <f>IF(AND(A252&lt;&gt;"",C252&lt;Options!$B$10),B252*Options!$X$5,0)</f>
        <v/>
      </c>
      <c r="G252" s="13">
        <f>F252*12%</f>
        <v/>
      </c>
      <c r="H252" s="13">
        <f>IF(A252="",0,B252*(92*IF(OR(C252=Options!$B$9,C252=Options!$B$10),75%,100%)-IF(C252=DATE(2026,11,29),26+IF(Options!$B$8="是",23,0),0)-IF(C252=DATE(2026,11,30),26,0)-IF(C252=DATE(2026,12,1),64,0)-IF(C252=DATE(2026,11,28),38,0)-IF(C252=DATE(2026,12,2),26,0)))</f>
        <v/>
      </c>
      <c r="I252" s="13">
        <f>IF(AND(C252&gt;=DATE(2026,11,29),C252&lt;=DATE(2026,12,1)),B252*60,0)</f>
        <v/>
      </c>
      <c r="J252" s="13">
        <f>IF(A252="",0,B252*(IF(C252=DATE(2026,11,28),38,0)+IF(C252=DATE(2026,12,1),38,0)+IF(C252=DATE(2026,12,2),26,0)))</f>
        <v/>
      </c>
      <c r="K252" s="13">
        <f>IF(C252=Options!$B$9,B252*12,0)</f>
        <v/>
      </c>
      <c r="L252" s="13">
        <f>IF(C252=Options!$B$9,B252*Options!$Z$5,0)</f>
        <v/>
      </c>
      <c r="M252" s="13" t="n">
        <v>0</v>
      </c>
      <c r="N252" s="13">
        <f>SUM(E252:M252)</f>
        <v/>
      </c>
    </row>
    <row r="253">
      <c r="A253" s="5">
        <f>IF(AND(C253&gt;=Options!$B$9,C253&lt;=Options!$B$10),"Chicago","")</f>
        <v/>
      </c>
      <c r="B253" s="5">
        <f>IF(A253="","",18)</f>
        <v/>
      </c>
      <c r="C253" s="17" t="n">
        <v>46544</v>
      </c>
      <c r="D253" s="5">
        <f>IF(A253="","",IF(C253=DATE(2026,11,29),"培训；注册午餐；早餐参数",IF(C253=DATE(2026,11,30),"培训；注册午餐",IF(C253=DATE(2026,12,1),"培训；注册午餐；机构晚餐",IF(C253=Options!$B$9,"抵达；"&amp;IF(C253=DATE(2026,11,28),"机构晚餐","无统一供餐"),IF(C253=Options!$B$10,"返程；"&amp;IF(C253=DATE(2026,12,2),"机构午餐","无统一供餐"),"差旅状态；无统一日程"))))))</f>
        <v/>
      </c>
      <c r="E253" s="13">
        <f>IF(C253=Options!$B$9,Options!$C$14,0)</f>
        <v/>
      </c>
      <c r="F253" s="13">
        <f>IF(AND(A253&lt;&gt;"",C253&lt;Options!$B$10),B253*Options!$X$5,0)</f>
        <v/>
      </c>
      <c r="G253" s="13">
        <f>F253*12%</f>
        <v/>
      </c>
      <c r="H253" s="13">
        <f>IF(A253="",0,B253*(92*IF(OR(C253=Options!$B$9,C253=Options!$B$10),75%,100%)-IF(C253=DATE(2026,11,29),26+IF(Options!$B$8="是",23,0),0)-IF(C253=DATE(2026,11,30),26,0)-IF(C253=DATE(2026,12,1),64,0)-IF(C253=DATE(2026,11,28),38,0)-IF(C253=DATE(2026,12,2),26,0)))</f>
        <v/>
      </c>
      <c r="I253" s="13">
        <f>IF(AND(C253&gt;=DATE(2026,11,29),C253&lt;=DATE(2026,12,1)),B253*60,0)</f>
        <v/>
      </c>
      <c r="J253" s="13">
        <f>IF(A253="",0,B253*(IF(C253=DATE(2026,11,28),38,0)+IF(C253=DATE(2026,12,1),38,0)+IF(C253=DATE(2026,12,2),26,0)))</f>
        <v/>
      </c>
      <c r="K253" s="13">
        <f>IF(C253=Options!$B$9,B253*12,0)</f>
        <v/>
      </c>
      <c r="L253" s="13">
        <f>IF(C253=Options!$B$9,B253*Options!$Z$5,0)</f>
        <v/>
      </c>
      <c r="M253" s="13" t="n">
        <v>0</v>
      </c>
      <c r="N253" s="13">
        <f>SUM(E253:M253)</f>
        <v/>
      </c>
    </row>
    <row r="254">
      <c r="A254" s="5">
        <f>IF(AND(C254&gt;=Options!$B$9,C254&lt;=Options!$B$10),"Chicago","")</f>
        <v/>
      </c>
      <c r="B254" s="5">
        <f>IF(A254="","",18)</f>
        <v/>
      </c>
      <c r="C254" s="17" t="n">
        <v>46545</v>
      </c>
      <c r="D254" s="5">
        <f>IF(A254="","",IF(C254=DATE(2026,11,29),"培训；注册午餐；早餐参数",IF(C254=DATE(2026,11,30),"培训；注册午餐",IF(C254=DATE(2026,12,1),"培训；注册午餐；机构晚餐",IF(C254=Options!$B$9,"抵达；"&amp;IF(C254=DATE(2026,11,28),"机构晚餐","无统一供餐"),IF(C254=Options!$B$10,"返程；"&amp;IF(C254=DATE(2026,12,2),"机构午餐","无统一供餐"),"差旅状态；无统一日程"))))))</f>
        <v/>
      </c>
      <c r="E254" s="13">
        <f>IF(C254=Options!$B$9,Options!$C$14,0)</f>
        <v/>
      </c>
      <c r="F254" s="13">
        <f>IF(AND(A254&lt;&gt;"",C254&lt;Options!$B$10),B254*Options!$X$5,0)</f>
        <v/>
      </c>
      <c r="G254" s="13">
        <f>F254*12%</f>
        <v/>
      </c>
      <c r="H254" s="13">
        <f>IF(A254="",0,B254*(92*IF(OR(C254=Options!$B$9,C254=Options!$B$10),75%,100%)-IF(C254=DATE(2026,11,29),26+IF(Options!$B$8="是",23,0),0)-IF(C254=DATE(2026,11,30),26,0)-IF(C254=DATE(2026,12,1),64,0)-IF(C254=DATE(2026,11,28),38,0)-IF(C254=DATE(2026,12,2),26,0)))</f>
        <v/>
      </c>
      <c r="I254" s="13">
        <f>IF(AND(C254&gt;=DATE(2026,11,29),C254&lt;=DATE(2026,12,1)),B254*60,0)</f>
        <v/>
      </c>
      <c r="J254" s="13">
        <f>IF(A254="",0,B254*(IF(C254=DATE(2026,11,28),38,0)+IF(C254=DATE(2026,12,1),38,0)+IF(C254=DATE(2026,12,2),26,0)))</f>
        <v/>
      </c>
      <c r="K254" s="13">
        <f>IF(C254=Options!$B$9,B254*12,0)</f>
        <v/>
      </c>
      <c r="L254" s="13">
        <f>IF(C254=Options!$B$9,B254*Options!$Z$5,0)</f>
        <v/>
      </c>
      <c r="M254" s="13" t="n">
        <v>0</v>
      </c>
      <c r="N254" s="13">
        <f>SUM(E254:M254)</f>
        <v/>
      </c>
    </row>
    <row r="255">
      <c r="A255" s="5">
        <f>IF(AND(C255&gt;=Options!$B$9,C255&lt;=Options!$B$10),"Chicago","")</f>
        <v/>
      </c>
      <c r="B255" s="5">
        <f>IF(A255="","",18)</f>
        <v/>
      </c>
      <c r="C255" s="17" t="n">
        <v>46546</v>
      </c>
      <c r="D255" s="5">
        <f>IF(A255="","",IF(C255=DATE(2026,11,29),"培训；注册午餐；早餐参数",IF(C255=DATE(2026,11,30),"培训；注册午餐",IF(C255=DATE(2026,12,1),"培训；注册午餐；机构晚餐",IF(C255=Options!$B$9,"抵达；"&amp;IF(C255=DATE(2026,11,28),"机构晚餐","无统一供餐"),IF(C255=Options!$B$10,"返程；"&amp;IF(C255=DATE(2026,12,2),"机构午餐","无统一供餐"),"差旅状态；无统一日程"))))))</f>
        <v/>
      </c>
      <c r="E255" s="13">
        <f>IF(C255=Options!$B$9,Options!$C$14,0)</f>
        <v/>
      </c>
      <c r="F255" s="13">
        <f>IF(AND(A255&lt;&gt;"",C255&lt;Options!$B$10),B255*Options!$X$5,0)</f>
        <v/>
      </c>
      <c r="G255" s="13">
        <f>F255*12%</f>
        <v/>
      </c>
      <c r="H255" s="13">
        <f>IF(A255="",0,B255*(92*IF(OR(C255=Options!$B$9,C255=Options!$B$10),75%,100%)-IF(C255=DATE(2026,11,29),26+IF(Options!$B$8="是",23,0),0)-IF(C255=DATE(2026,11,30),26,0)-IF(C255=DATE(2026,12,1),64,0)-IF(C255=DATE(2026,11,28),38,0)-IF(C255=DATE(2026,12,2),26,0)))</f>
        <v/>
      </c>
      <c r="I255" s="13">
        <f>IF(AND(C255&gt;=DATE(2026,11,29),C255&lt;=DATE(2026,12,1)),B255*60,0)</f>
        <v/>
      </c>
      <c r="J255" s="13">
        <f>IF(A255="",0,B255*(IF(C255=DATE(2026,11,28),38,0)+IF(C255=DATE(2026,12,1),38,0)+IF(C255=DATE(2026,12,2),26,0)))</f>
        <v/>
      </c>
      <c r="K255" s="13">
        <f>IF(C255=Options!$B$9,B255*12,0)</f>
        <v/>
      </c>
      <c r="L255" s="13">
        <f>IF(C255=Options!$B$9,B255*Options!$Z$5,0)</f>
        <v/>
      </c>
      <c r="M255" s="13" t="n">
        <v>0</v>
      </c>
      <c r="N255" s="13">
        <f>SUM(E255:M255)</f>
        <v/>
      </c>
    </row>
    <row r="256">
      <c r="A256" s="5">
        <f>IF(AND(C256&gt;=Options!$B$9,C256&lt;=Options!$B$10),"Chicago","")</f>
        <v/>
      </c>
      <c r="B256" s="5">
        <f>IF(A256="","",18)</f>
        <v/>
      </c>
      <c r="C256" s="17" t="n">
        <v>46547</v>
      </c>
      <c r="D256" s="5">
        <f>IF(A256="","",IF(C256=DATE(2026,11,29),"培训；注册午餐；早餐参数",IF(C256=DATE(2026,11,30),"培训；注册午餐",IF(C256=DATE(2026,12,1),"培训；注册午餐；机构晚餐",IF(C256=Options!$B$9,"抵达；"&amp;IF(C256=DATE(2026,11,28),"机构晚餐","无统一供餐"),IF(C256=Options!$B$10,"返程；"&amp;IF(C256=DATE(2026,12,2),"机构午餐","无统一供餐"),"差旅状态；无统一日程"))))))</f>
        <v/>
      </c>
      <c r="E256" s="13">
        <f>IF(C256=Options!$B$9,Options!$C$14,0)</f>
        <v/>
      </c>
      <c r="F256" s="13">
        <f>IF(AND(A256&lt;&gt;"",C256&lt;Options!$B$10),B256*Options!$X$5,0)</f>
        <v/>
      </c>
      <c r="G256" s="13">
        <f>F256*12%</f>
        <v/>
      </c>
      <c r="H256" s="13">
        <f>IF(A256="",0,B256*(92*IF(OR(C256=Options!$B$9,C256=Options!$B$10),75%,100%)-IF(C256=DATE(2026,11,29),26+IF(Options!$B$8="是",23,0),0)-IF(C256=DATE(2026,11,30),26,0)-IF(C256=DATE(2026,12,1),64,0)-IF(C256=DATE(2026,11,28),38,0)-IF(C256=DATE(2026,12,2),26,0)))</f>
        <v/>
      </c>
      <c r="I256" s="13">
        <f>IF(AND(C256&gt;=DATE(2026,11,29),C256&lt;=DATE(2026,12,1)),B256*60,0)</f>
        <v/>
      </c>
      <c r="J256" s="13">
        <f>IF(A256="",0,B256*(IF(C256=DATE(2026,11,28),38,0)+IF(C256=DATE(2026,12,1),38,0)+IF(C256=DATE(2026,12,2),26,0)))</f>
        <v/>
      </c>
      <c r="K256" s="13">
        <f>IF(C256=Options!$B$9,B256*12,0)</f>
        <v/>
      </c>
      <c r="L256" s="13">
        <f>IF(C256=Options!$B$9,B256*Options!$Z$5,0)</f>
        <v/>
      </c>
      <c r="M256" s="13" t="n">
        <v>0</v>
      </c>
      <c r="N256" s="13">
        <f>SUM(E256:M256)</f>
        <v/>
      </c>
    </row>
    <row r="257">
      <c r="A257" s="5">
        <f>IF(AND(C257&gt;=Options!$B$9,C257&lt;=Options!$B$10),"Chicago","")</f>
        <v/>
      </c>
      <c r="B257" s="5">
        <f>IF(A257="","",18)</f>
        <v/>
      </c>
      <c r="C257" s="17" t="n">
        <v>46548</v>
      </c>
      <c r="D257" s="5">
        <f>IF(A257="","",IF(C257=DATE(2026,11,29),"培训；注册午餐；早餐参数",IF(C257=DATE(2026,11,30),"培训；注册午餐",IF(C257=DATE(2026,12,1),"培训；注册午餐；机构晚餐",IF(C257=Options!$B$9,"抵达；"&amp;IF(C257=DATE(2026,11,28),"机构晚餐","无统一供餐"),IF(C257=Options!$B$10,"返程；"&amp;IF(C257=DATE(2026,12,2),"机构午餐","无统一供餐"),"差旅状态；无统一日程"))))))</f>
        <v/>
      </c>
      <c r="E257" s="13">
        <f>IF(C257=Options!$B$9,Options!$C$14,0)</f>
        <v/>
      </c>
      <c r="F257" s="13">
        <f>IF(AND(A257&lt;&gt;"",C257&lt;Options!$B$10),B257*Options!$X$5,0)</f>
        <v/>
      </c>
      <c r="G257" s="13">
        <f>F257*12%</f>
        <v/>
      </c>
      <c r="H257" s="13">
        <f>IF(A257="",0,B257*(92*IF(OR(C257=Options!$B$9,C257=Options!$B$10),75%,100%)-IF(C257=DATE(2026,11,29),26+IF(Options!$B$8="是",23,0),0)-IF(C257=DATE(2026,11,30),26,0)-IF(C257=DATE(2026,12,1),64,0)-IF(C257=DATE(2026,11,28),38,0)-IF(C257=DATE(2026,12,2),26,0)))</f>
        <v/>
      </c>
      <c r="I257" s="13">
        <f>IF(AND(C257&gt;=DATE(2026,11,29),C257&lt;=DATE(2026,12,1)),B257*60,0)</f>
        <v/>
      </c>
      <c r="J257" s="13">
        <f>IF(A257="",0,B257*(IF(C257=DATE(2026,11,28),38,0)+IF(C257=DATE(2026,12,1),38,0)+IF(C257=DATE(2026,12,2),26,0)))</f>
        <v/>
      </c>
      <c r="K257" s="13">
        <f>IF(C257=Options!$B$9,B257*12,0)</f>
        <v/>
      </c>
      <c r="L257" s="13">
        <f>IF(C257=Options!$B$9,B257*Options!$Z$5,0)</f>
        <v/>
      </c>
      <c r="M257" s="13" t="n">
        <v>0</v>
      </c>
      <c r="N257" s="13">
        <f>SUM(E257:M257)</f>
        <v/>
      </c>
    </row>
    <row r="258">
      <c r="A258" s="5">
        <f>IF(AND(C258&gt;=Options!$B$9,C258&lt;=Options!$B$10),"Chicago","")</f>
        <v/>
      </c>
      <c r="B258" s="5">
        <f>IF(A258="","",18)</f>
        <v/>
      </c>
      <c r="C258" s="17" t="n">
        <v>46549</v>
      </c>
      <c r="D258" s="5">
        <f>IF(A258="","",IF(C258=DATE(2026,11,29),"培训；注册午餐；早餐参数",IF(C258=DATE(2026,11,30),"培训；注册午餐",IF(C258=DATE(2026,12,1),"培训；注册午餐；机构晚餐",IF(C258=Options!$B$9,"抵达；"&amp;IF(C258=DATE(2026,11,28),"机构晚餐","无统一供餐"),IF(C258=Options!$B$10,"返程；"&amp;IF(C258=DATE(2026,12,2),"机构午餐","无统一供餐"),"差旅状态；无统一日程"))))))</f>
        <v/>
      </c>
      <c r="E258" s="13">
        <f>IF(C258=Options!$B$9,Options!$C$14,0)</f>
        <v/>
      </c>
      <c r="F258" s="13">
        <f>IF(AND(A258&lt;&gt;"",C258&lt;Options!$B$10),B258*Options!$X$5,0)</f>
        <v/>
      </c>
      <c r="G258" s="13">
        <f>F258*12%</f>
        <v/>
      </c>
      <c r="H258" s="13">
        <f>IF(A258="",0,B258*(92*IF(OR(C258=Options!$B$9,C258=Options!$B$10),75%,100%)-IF(C258=DATE(2026,11,29),26+IF(Options!$B$8="是",23,0),0)-IF(C258=DATE(2026,11,30),26,0)-IF(C258=DATE(2026,12,1),64,0)-IF(C258=DATE(2026,11,28),38,0)-IF(C258=DATE(2026,12,2),26,0)))</f>
        <v/>
      </c>
      <c r="I258" s="13">
        <f>IF(AND(C258&gt;=DATE(2026,11,29),C258&lt;=DATE(2026,12,1)),B258*60,0)</f>
        <v/>
      </c>
      <c r="J258" s="13">
        <f>IF(A258="",0,B258*(IF(C258=DATE(2026,11,28),38,0)+IF(C258=DATE(2026,12,1),38,0)+IF(C258=DATE(2026,12,2),26,0)))</f>
        <v/>
      </c>
      <c r="K258" s="13">
        <f>IF(C258=Options!$B$9,B258*12,0)</f>
        <v/>
      </c>
      <c r="L258" s="13">
        <f>IF(C258=Options!$B$9,B258*Options!$Z$5,0)</f>
        <v/>
      </c>
      <c r="M258" s="13" t="n">
        <v>0</v>
      </c>
      <c r="N258" s="13">
        <f>SUM(E258:M258)</f>
        <v/>
      </c>
    </row>
    <row r="259">
      <c r="A259" s="5">
        <f>IF(AND(C259&gt;=Options!$B$9,C259&lt;=Options!$B$10),"Chicago","")</f>
        <v/>
      </c>
      <c r="B259" s="5">
        <f>IF(A259="","",18)</f>
        <v/>
      </c>
      <c r="C259" s="17" t="n">
        <v>46550</v>
      </c>
      <c r="D259" s="5">
        <f>IF(A259="","",IF(C259=DATE(2026,11,29),"培训；注册午餐；早餐参数",IF(C259=DATE(2026,11,30),"培训；注册午餐",IF(C259=DATE(2026,12,1),"培训；注册午餐；机构晚餐",IF(C259=Options!$B$9,"抵达；"&amp;IF(C259=DATE(2026,11,28),"机构晚餐","无统一供餐"),IF(C259=Options!$B$10,"返程；"&amp;IF(C259=DATE(2026,12,2),"机构午餐","无统一供餐"),"差旅状态；无统一日程"))))))</f>
        <v/>
      </c>
      <c r="E259" s="13">
        <f>IF(C259=Options!$B$9,Options!$C$14,0)</f>
        <v/>
      </c>
      <c r="F259" s="13">
        <f>IF(AND(A259&lt;&gt;"",C259&lt;Options!$B$10),B259*Options!$X$5,0)</f>
        <v/>
      </c>
      <c r="G259" s="13">
        <f>F259*12%</f>
        <v/>
      </c>
      <c r="H259" s="13">
        <f>IF(A259="",0,B259*(92*IF(OR(C259=Options!$B$9,C259=Options!$B$10),75%,100%)-IF(C259=DATE(2026,11,29),26+IF(Options!$B$8="是",23,0),0)-IF(C259=DATE(2026,11,30),26,0)-IF(C259=DATE(2026,12,1),64,0)-IF(C259=DATE(2026,11,28),38,0)-IF(C259=DATE(2026,12,2),26,0)))</f>
        <v/>
      </c>
      <c r="I259" s="13">
        <f>IF(AND(C259&gt;=DATE(2026,11,29),C259&lt;=DATE(2026,12,1)),B259*60,0)</f>
        <v/>
      </c>
      <c r="J259" s="13">
        <f>IF(A259="",0,B259*(IF(C259=DATE(2026,11,28),38,0)+IF(C259=DATE(2026,12,1),38,0)+IF(C259=DATE(2026,12,2),26,0)))</f>
        <v/>
      </c>
      <c r="K259" s="13">
        <f>IF(C259=Options!$B$9,B259*12,0)</f>
        <v/>
      </c>
      <c r="L259" s="13">
        <f>IF(C259=Options!$B$9,B259*Options!$Z$5,0)</f>
        <v/>
      </c>
      <c r="M259" s="13" t="n">
        <v>0</v>
      </c>
      <c r="N259" s="13">
        <f>SUM(E259:M259)</f>
        <v/>
      </c>
    </row>
    <row r="260">
      <c r="A260" s="5">
        <f>IF(AND(C260&gt;=Options!$B$9,C260&lt;=Options!$B$10),"Chicago","")</f>
        <v/>
      </c>
      <c r="B260" s="5">
        <f>IF(A260="","",18)</f>
        <v/>
      </c>
      <c r="C260" s="17" t="n">
        <v>46551</v>
      </c>
      <c r="D260" s="5">
        <f>IF(A260="","",IF(C260=DATE(2026,11,29),"培训；注册午餐；早餐参数",IF(C260=DATE(2026,11,30),"培训；注册午餐",IF(C260=DATE(2026,12,1),"培训；注册午餐；机构晚餐",IF(C260=Options!$B$9,"抵达；"&amp;IF(C260=DATE(2026,11,28),"机构晚餐","无统一供餐"),IF(C260=Options!$B$10,"返程；"&amp;IF(C260=DATE(2026,12,2),"机构午餐","无统一供餐"),"差旅状态；无统一日程"))))))</f>
        <v/>
      </c>
      <c r="E260" s="13">
        <f>IF(C260=Options!$B$9,Options!$C$14,0)</f>
        <v/>
      </c>
      <c r="F260" s="13">
        <f>IF(AND(A260&lt;&gt;"",C260&lt;Options!$B$10),B260*Options!$X$5,0)</f>
        <v/>
      </c>
      <c r="G260" s="13">
        <f>F260*12%</f>
        <v/>
      </c>
      <c r="H260" s="13">
        <f>IF(A260="",0,B260*(92*IF(OR(C260=Options!$B$9,C260=Options!$B$10),75%,100%)-IF(C260=DATE(2026,11,29),26+IF(Options!$B$8="是",23,0),0)-IF(C260=DATE(2026,11,30),26,0)-IF(C260=DATE(2026,12,1),64,0)-IF(C260=DATE(2026,11,28),38,0)-IF(C260=DATE(2026,12,2),26,0)))</f>
        <v/>
      </c>
      <c r="I260" s="13">
        <f>IF(AND(C260&gt;=DATE(2026,11,29),C260&lt;=DATE(2026,12,1)),B260*60,0)</f>
        <v/>
      </c>
      <c r="J260" s="13">
        <f>IF(A260="",0,B260*(IF(C260=DATE(2026,11,28),38,0)+IF(C260=DATE(2026,12,1),38,0)+IF(C260=DATE(2026,12,2),26,0)))</f>
        <v/>
      </c>
      <c r="K260" s="13">
        <f>IF(C260=Options!$B$9,B260*12,0)</f>
        <v/>
      </c>
      <c r="L260" s="13">
        <f>IF(C260=Options!$B$9,B260*Options!$Z$5,0)</f>
        <v/>
      </c>
      <c r="M260" s="13" t="n">
        <v>0</v>
      </c>
      <c r="N260" s="13">
        <f>SUM(E260:M260)</f>
        <v/>
      </c>
    </row>
    <row r="261">
      <c r="A261" s="5">
        <f>IF(AND(C261&gt;=Options!$B$9,C261&lt;=Options!$B$10),"Chicago","")</f>
        <v/>
      </c>
      <c r="B261" s="5">
        <f>IF(A261="","",18)</f>
        <v/>
      </c>
      <c r="C261" s="17" t="n">
        <v>46552</v>
      </c>
      <c r="D261" s="5">
        <f>IF(A261="","",IF(C261=DATE(2026,11,29),"培训；注册午餐；早餐参数",IF(C261=DATE(2026,11,30),"培训；注册午餐",IF(C261=DATE(2026,12,1),"培训；注册午餐；机构晚餐",IF(C261=Options!$B$9,"抵达；"&amp;IF(C261=DATE(2026,11,28),"机构晚餐","无统一供餐"),IF(C261=Options!$B$10,"返程；"&amp;IF(C261=DATE(2026,12,2),"机构午餐","无统一供餐"),"差旅状态；无统一日程"))))))</f>
        <v/>
      </c>
      <c r="E261" s="13">
        <f>IF(C261=Options!$B$9,Options!$C$14,0)</f>
        <v/>
      </c>
      <c r="F261" s="13">
        <f>IF(AND(A261&lt;&gt;"",C261&lt;Options!$B$10),B261*Options!$X$5,0)</f>
        <v/>
      </c>
      <c r="G261" s="13">
        <f>F261*12%</f>
        <v/>
      </c>
      <c r="H261" s="13">
        <f>IF(A261="",0,B261*(92*IF(OR(C261=Options!$B$9,C261=Options!$B$10),75%,100%)-IF(C261=DATE(2026,11,29),26+IF(Options!$B$8="是",23,0),0)-IF(C261=DATE(2026,11,30),26,0)-IF(C261=DATE(2026,12,1),64,0)-IF(C261=DATE(2026,11,28),38,0)-IF(C261=DATE(2026,12,2),26,0)))</f>
        <v/>
      </c>
      <c r="I261" s="13">
        <f>IF(AND(C261&gt;=DATE(2026,11,29),C261&lt;=DATE(2026,12,1)),B261*60,0)</f>
        <v/>
      </c>
      <c r="J261" s="13">
        <f>IF(A261="",0,B261*(IF(C261=DATE(2026,11,28),38,0)+IF(C261=DATE(2026,12,1),38,0)+IF(C261=DATE(2026,12,2),26,0)))</f>
        <v/>
      </c>
      <c r="K261" s="13">
        <f>IF(C261=Options!$B$9,B261*12,0)</f>
        <v/>
      </c>
      <c r="L261" s="13">
        <f>IF(C261=Options!$B$9,B261*Options!$Z$5,0)</f>
        <v/>
      </c>
      <c r="M261" s="13" t="n">
        <v>0</v>
      </c>
      <c r="N261" s="13">
        <f>SUM(E261:M261)</f>
        <v/>
      </c>
    </row>
    <row r="262">
      <c r="A262" s="5">
        <f>IF(AND(C262&gt;=Options!$B$9,C262&lt;=Options!$B$10),"Chicago","")</f>
        <v/>
      </c>
      <c r="B262" s="5">
        <f>IF(A262="","",18)</f>
        <v/>
      </c>
      <c r="C262" s="17" t="n">
        <v>46553</v>
      </c>
      <c r="D262" s="5">
        <f>IF(A262="","",IF(C262=DATE(2026,11,29),"培训；注册午餐；早餐参数",IF(C262=DATE(2026,11,30),"培训；注册午餐",IF(C262=DATE(2026,12,1),"培训；注册午餐；机构晚餐",IF(C262=Options!$B$9,"抵达；"&amp;IF(C262=DATE(2026,11,28),"机构晚餐","无统一供餐"),IF(C262=Options!$B$10,"返程；"&amp;IF(C262=DATE(2026,12,2),"机构午餐","无统一供餐"),"差旅状态；无统一日程"))))))</f>
        <v/>
      </c>
      <c r="E262" s="13">
        <f>IF(C262=Options!$B$9,Options!$C$14,0)</f>
        <v/>
      </c>
      <c r="F262" s="13">
        <f>IF(AND(A262&lt;&gt;"",C262&lt;Options!$B$10),B262*Options!$X$5,0)</f>
        <v/>
      </c>
      <c r="G262" s="13">
        <f>F262*12%</f>
        <v/>
      </c>
      <c r="H262" s="13">
        <f>IF(A262="",0,B262*(92*IF(OR(C262=Options!$B$9,C262=Options!$B$10),75%,100%)-IF(C262=DATE(2026,11,29),26+IF(Options!$B$8="是",23,0),0)-IF(C262=DATE(2026,11,30),26,0)-IF(C262=DATE(2026,12,1),64,0)-IF(C262=DATE(2026,11,28),38,0)-IF(C262=DATE(2026,12,2),26,0)))</f>
        <v/>
      </c>
      <c r="I262" s="13">
        <f>IF(AND(C262&gt;=DATE(2026,11,29),C262&lt;=DATE(2026,12,1)),B262*60,0)</f>
        <v/>
      </c>
      <c r="J262" s="13">
        <f>IF(A262="",0,B262*(IF(C262=DATE(2026,11,28),38,0)+IF(C262=DATE(2026,12,1),38,0)+IF(C262=DATE(2026,12,2),26,0)))</f>
        <v/>
      </c>
      <c r="K262" s="13">
        <f>IF(C262=Options!$B$9,B262*12,0)</f>
        <v/>
      </c>
      <c r="L262" s="13">
        <f>IF(C262=Options!$B$9,B262*Options!$Z$5,0)</f>
        <v/>
      </c>
      <c r="M262" s="13" t="n">
        <v>0</v>
      </c>
      <c r="N262" s="13">
        <f>SUM(E262:M262)</f>
        <v/>
      </c>
    </row>
    <row r="263">
      <c r="A263" s="5">
        <f>IF(AND(C263&gt;=Options!$B$9,C263&lt;=Options!$B$10),"Chicago","")</f>
        <v/>
      </c>
      <c r="B263" s="5">
        <f>IF(A263="","",18)</f>
        <v/>
      </c>
      <c r="C263" s="17" t="n">
        <v>46554</v>
      </c>
      <c r="D263" s="5">
        <f>IF(A263="","",IF(C263=DATE(2026,11,29),"培训；注册午餐；早餐参数",IF(C263=DATE(2026,11,30),"培训；注册午餐",IF(C263=DATE(2026,12,1),"培训；注册午餐；机构晚餐",IF(C263=Options!$B$9,"抵达；"&amp;IF(C263=DATE(2026,11,28),"机构晚餐","无统一供餐"),IF(C263=Options!$B$10,"返程；"&amp;IF(C263=DATE(2026,12,2),"机构午餐","无统一供餐"),"差旅状态；无统一日程"))))))</f>
        <v/>
      </c>
      <c r="E263" s="13">
        <f>IF(C263=Options!$B$9,Options!$C$14,0)</f>
        <v/>
      </c>
      <c r="F263" s="13">
        <f>IF(AND(A263&lt;&gt;"",C263&lt;Options!$B$10),B263*Options!$X$5,0)</f>
        <v/>
      </c>
      <c r="G263" s="13">
        <f>F263*12%</f>
        <v/>
      </c>
      <c r="H263" s="13">
        <f>IF(A263="",0,B263*(92*IF(OR(C263=Options!$B$9,C263=Options!$B$10),75%,100%)-IF(C263=DATE(2026,11,29),26+IF(Options!$B$8="是",23,0),0)-IF(C263=DATE(2026,11,30),26,0)-IF(C263=DATE(2026,12,1),64,0)-IF(C263=DATE(2026,11,28),38,0)-IF(C263=DATE(2026,12,2),26,0)))</f>
        <v/>
      </c>
      <c r="I263" s="13">
        <f>IF(AND(C263&gt;=DATE(2026,11,29),C263&lt;=DATE(2026,12,1)),B263*60,0)</f>
        <v/>
      </c>
      <c r="J263" s="13">
        <f>IF(A263="",0,B263*(IF(C263=DATE(2026,11,28),38,0)+IF(C263=DATE(2026,12,1),38,0)+IF(C263=DATE(2026,12,2),26,0)))</f>
        <v/>
      </c>
      <c r="K263" s="13">
        <f>IF(C263=Options!$B$9,B263*12,0)</f>
        <v/>
      </c>
      <c r="L263" s="13">
        <f>IF(C263=Options!$B$9,B263*Options!$Z$5,0)</f>
        <v/>
      </c>
      <c r="M263" s="13" t="n">
        <v>0</v>
      </c>
      <c r="N263" s="13">
        <f>SUM(E263:M263)</f>
        <v/>
      </c>
    </row>
    <row r="264">
      <c r="A264" s="5">
        <f>IF(AND(C264&gt;=Options!$B$9,C264&lt;=Options!$B$10),"Chicago","")</f>
        <v/>
      </c>
      <c r="B264" s="5">
        <f>IF(A264="","",18)</f>
        <v/>
      </c>
      <c r="C264" s="17" t="n">
        <v>46555</v>
      </c>
      <c r="D264" s="5">
        <f>IF(A264="","",IF(C264=DATE(2026,11,29),"培训；注册午餐；早餐参数",IF(C264=DATE(2026,11,30),"培训；注册午餐",IF(C264=DATE(2026,12,1),"培训；注册午餐；机构晚餐",IF(C264=Options!$B$9,"抵达；"&amp;IF(C264=DATE(2026,11,28),"机构晚餐","无统一供餐"),IF(C264=Options!$B$10,"返程；"&amp;IF(C264=DATE(2026,12,2),"机构午餐","无统一供餐"),"差旅状态；无统一日程"))))))</f>
        <v/>
      </c>
      <c r="E264" s="13">
        <f>IF(C264=Options!$B$9,Options!$C$14,0)</f>
        <v/>
      </c>
      <c r="F264" s="13">
        <f>IF(AND(A264&lt;&gt;"",C264&lt;Options!$B$10),B264*Options!$X$5,0)</f>
        <v/>
      </c>
      <c r="G264" s="13">
        <f>F264*12%</f>
        <v/>
      </c>
      <c r="H264" s="13">
        <f>IF(A264="",0,B264*(92*IF(OR(C264=Options!$B$9,C264=Options!$B$10),75%,100%)-IF(C264=DATE(2026,11,29),26+IF(Options!$B$8="是",23,0),0)-IF(C264=DATE(2026,11,30),26,0)-IF(C264=DATE(2026,12,1),64,0)-IF(C264=DATE(2026,11,28),38,0)-IF(C264=DATE(2026,12,2),26,0)))</f>
        <v/>
      </c>
      <c r="I264" s="13">
        <f>IF(AND(C264&gt;=DATE(2026,11,29),C264&lt;=DATE(2026,12,1)),B264*60,0)</f>
        <v/>
      </c>
      <c r="J264" s="13">
        <f>IF(A264="",0,B264*(IF(C264=DATE(2026,11,28),38,0)+IF(C264=DATE(2026,12,1),38,0)+IF(C264=DATE(2026,12,2),26,0)))</f>
        <v/>
      </c>
      <c r="K264" s="13">
        <f>IF(C264=Options!$B$9,B264*12,0)</f>
        <v/>
      </c>
      <c r="L264" s="13">
        <f>IF(C264=Options!$B$9,B264*Options!$Z$5,0)</f>
        <v/>
      </c>
      <c r="M264" s="13" t="n">
        <v>0</v>
      </c>
      <c r="N264" s="13">
        <f>SUM(E264:M264)</f>
        <v/>
      </c>
    </row>
    <row r="265">
      <c r="A265" s="5">
        <f>IF(AND(C265&gt;=Options!$B$9,C265&lt;=Options!$B$10),"Chicago","")</f>
        <v/>
      </c>
      <c r="B265" s="5">
        <f>IF(A265="","",18)</f>
        <v/>
      </c>
      <c r="C265" s="17" t="n">
        <v>46556</v>
      </c>
      <c r="D265" s="5">
        <f>IF(A265="","",IF(C265=DATE(2026,11,29),"培训；注册午餐；早餐参数",IF(C265=DATE(2026,11,30),"培训；注册午餐",IF(C265=DATE(2026,12,1),"培训；注册午餐；机构晚餐",IF(C265=Options!$B$9,"抵达；"&amp;IF(C265=DATE(2026,11,28),"机构晚餐","无统一供餐"),IF(C265=Options!$B$10,"返程；"&amp;IF(C265=DATE(2026,12,2),"机构午餐","无统一供餐"),"差旅状态；无统一日程"))))))</f>
        <v/>
      </c>
      <c r="E265" s="13">
        <f>IF(C265=Options!$B$9,Options!$C$14,0)</f>
        <v/>
      </c>
      <c r="F265" s="13">
        <f>IF(AND(A265&lt;&gt;"",C265&lt;Options!$B$10),B265*Options!$X$5,0)</f>
        <v/>
      </c>
      <c r="G265" s="13">
        <f>F265*12%</f>
        <v/>
      </c>
      <c r="H265" s="13">
        <f>IF(A265="",0,B265*(92*IF(OR(C265=Options!$B$9,C265=Options!$B$10),75%,100%)-IF(C265=DATE(2026,11,29),26+IF(Options!$B$8="是",23,0),0)-IF(C265=DATE(2026,11,30),26,0)-IF(C265=DATE(2026,12,1),64,0)-IF(C265=DATE(2026,11,28),38,0)-IF(C265=DATE(2026,12,2),26,0)))</f>
        <v/>
      </c>
      <c r="I265" s="13">
        <f>IF(AND(C265&gt;=DATE(2026,11,29),C265&lt;=DATE(2026,12,1)),B265*60,0)</f>
        <v/>
      </c>
      <c r="J265" s="13">
        <f>IF(A265="",0,B265*(IF(C265=DATE(2026,11,28),38,0)+IF(C265=DATE(2026,12,1),38,0)+IF(C265=DATE(2026,12,2),26,0)))</f>
        <v/>
      </c>
      <c r="K265" s="13">
        <f>IF(C265=Options!$B$9,B265*12,0)</f>
        <v/>
      </c>
      <c r="L265" s="13">
        <f>IF(C265=Options!$B$9,B265*Options!$Z$5,0)</f>
        <v/>
      </c>
      <c r="M265" s="13" t="n">
        <v>0</v>
      </c>
      <c r="N265" s="13">
        <f>SUM(E265:M265)</f>
        <v/>
      </c>
    </row>
    <row r="266">
      <c r="A266" s="5">
        <f>IF(AND(C266&gt;=Options!$B$9,C266&lt;=Options!$B$10),"Chicago","")</f>
        <v/>
      </c>
      <c r="B266" s="5">
        <f>IF(A266="","",18)</f>
        <v/>
      </c>
      <c r="C266" s="17" t="n">
        <v>46557</v>
      </c>
      <c r="D266" s="5">
        <f>IF(A266="","",IF(C266=DATE(2026,11,29),"培训；注册午餐；早餐参数",IF(C266=DATE(2026,11,30),"培训；注册午餐",IF(C266=DATE(2026,12,1),"培训；注册午餐；机构晚餐",IF(C266=Options!$B$9,"抵达；"&amp;IF(C266=DATE(2026,11,28),"机构晚餐","无统一供餐"),IF(C266=Options!$B$10,"返程；"&amp;IF(C266=DATE(2026,12,2),"机构午餐","无统一供餐"),"差旅状态；无统一日程"))))))</f>
        <v/>
      </c>
      <c r="E266" s="13">
        <f>IF(C266=Options!$B$9,Options!$C$14,0)</f>
        <v/>
      </c>
      <c r="F266" s="13">
        <f>IF(AND(A266&lt;&gt;"",C266&lt;Options!$B$10),B266*Options!$X$5,0)</f>
        <v/>
      </c>
      <c r="G266" s="13">
        <f>F266*12%</f>
        <v/>
      </c>
      <c r="H266" s="13">
        <f>IF(A266="",0,B266*(92*IF(OR(C266=Options!$B$9,C266=Options!$B$10),75%,100%)-IF(C266=DATE(2026,11,29),26+IF(Options!$B$8="是",23,0),0)-IF(C266=DATE(2026,11,30),26,0)-IF(C266=DATE(2026,12,1),64,0)-IF(C266=DATE(2026,11,28),38,0)-IF(C266=DATE(2026,12,2),26,0)))</f>
        <v/>
      </c>
      <c r="I266" s="13">
        <f>IF(AND(C266&gt;=DATE(2026,11,29),C266&lt;=DATE(2026,12,1)),B266*60,0)</f>
        <v/>
      </c>
      <c r="J266" s="13">
        <f>IF(A266="",0,B266*(IF(C266=DATE(2026,11,28),38,0)+IF(C266=DATE(2026,12,1),38,0)+IF(C266=DATE(2026,12,2),26,0)))</f>
        <v/>
      </c>
      <c r="K266" s="13">
        <f>IF(C266=Options!$B$9,B266*12,0)</f>
        <v/>
      </c>
      <c r="L266" s="13">
        <f>IF(C266=Options!$B$9,B266*Options!$Z$5,0)</f>
        <v/>
      </c>
      <c r="M266" s="13" t="n">
        <v>0</v>
      </c>
      <c r="N266" s="13">
        <f>SUM(E266:M266)</f>
        <v/>
      </c>
    </row>
    <row r="267">
      <c r="A267" s="5">
        <f>IF(AND(C267&gt;=Options!$B$9,C267&lt;=Options!$B$10),"Chicago","")</f>
        <v/>
      </c>
      <c r="B267" s="5">
        <f>IF(A267="","",18)</f>
        <v/>
      </c>
      <c r="C267" s="17" t="n">
        <v>46558</v>
      </c>
      <c r="D267" s="5">
        <f>IF(A267="","",IF(C267=DATE(2026,11,29),"培训；注册午餐；早餐参数",IF(C267=DATE(2026,11,30),"培训；注册午餐",IF(C267=DATE(2026,12,1),"培训；注册午餐；机构晚餐",IF(C267=Options!$B$9,"抵达；"&amp;IF(C267=DATE(2026,11,28),"机构晚餐","无统一供餐"),IF(C267=Options!$B$10,"返程；"&amp;IF(C267=DATE(2026,12,2),"机构午餐","无统一供餐"),"差旅状态；无统一日程"))))))</f>
        <v/>
      </c>
      <c r="E267" s="13">
        <f>IF(C267=Options!$B$9,Options!$C$14,0)</f>
        <v/>
      </c>
      <c r="F267" s="13">
        <f>IF(AND(A267&lt;&gt;"",C267&lt;Options!$B$10),B267*Options!$X$5,0)</f>
        <v/>
      </c>
      <c r="G267" s="13">
        <f>F267*12%</f>
        <v/>
      </c>
      <c r="H267" s="13">
        <f>IF(A267="",0,B267*(92*IF(OR(C267=Options!$B$9,C267=Options!$B$10),75%,100%)-IF(C267=DATE(2026,11,29),26+IF(Options!$B$8="是",23,0),0)-IF(C267=DATE(2026,11,30),26,0)-IF(C267=DATE(2026,12,1),64,0)-IF(C267=DATE(2026,11,28),38,0)-IF(C267=DATE(2026,12,2),26,0)))</f>
        <v/>
      </c>
      <c r="I267" s="13">
        <f>IF(AND(C267&gt;=DATE(2026,11,29),C267&lt;=DATE(2026,12,1)),B267*60,0)</f>
        <v/>
      </c>
      <c r="J267" s="13">
        <f>IF(A267="",0,B267*(IF(C267=DATE(2026,11,28),38,0)+IF(C267=DATE(2026,12,1),38,0)+IF(C267=DATE(2026,12,2),26,0)))</f>
        <v/>
      </c>
      <c r="K267" s="13">
        <f>IF(C267=Options!$B$9,B267*12,0)</f>
        <v/>
      </c>
      <c r="L267" s="13">
        <f>IF(C267=Options!$B$9,B267*Options!$Z$5,0)</f>
        <v/>
      </c>
      <c r="M267" s="13" t="n">
        <v>0</v>
      </c>
      <c r="N267" s="13">
        <f>SUM(E267:M267)</f>
        <v/>
      </c>
    </row>
    <row r="268">
      <c r="A268" s="5">
        <f>IF(AND(C268&gt;=Options!$B$9,C268&lt;=Options!$B$10),"Chicago","")</f>
        <v/>
      </c>
      <c r="B268" s="5">
        <f>IF(A268="","",18)</f>
        <v/>
      </c>
      <c r="C268" s="17" t="n">
        <v>46559</v>
      </c>
      <c r="D268" s="5">
        <f>IF(A268="","",IF(C268=DATE(2026,11,29),"培训；注册午餐；早餐参数",IF(C268=DATE(2026,11,30),"培训；注册午餐",IF(C268=DATE(2026,12,1),"培训；注册午餐；机构晚餐",IF(C268=Options!$B$9,"抵达；"&amp;IF(C268=DATE(2026,11,28),"机构晚餐","无统一供餐"),IF(C268=Options!$B$10,"返程；"&amp;IF(C268=DATE(2026,12,2),"机构午餐","无统一供餐"),"差旅状态；无统一日程"))))))</f>
        <v/>
      </c>
      <c r="E268" s="13">
        <f>IF(C268=Options!$B$9,Options!$C$14,0)</f>
        <v/>
      </c>
      <c r="F268" s="13">
        <f>IF(AND(A268&lt;&gt;"",C268&lt;Options!$B$10),B268*Options!$X$5,0)</f>
        <v/>
      </c>
      <c r="G268" s="13">
        <f>F268*12%</f>
        <v/>
      </c>
      <c r="H268" s="13">
        <f>IF(A268="",0,B268*(92*IF(OR(C268=Options!$B$9,C268=Options!$B$10),75%,100%)-IF(C268=DATE(2026,11,29),26+IF(Options!$B$8="是",23,0),0)-IF(C268=DATE(2026,11,30),26,0)-IF(C268=DATE(2026,12,1),64,0)-IF(C268=DATE(2026,11,28),38,0)-IF(C268=DATE(2026,12,2),26,0)))</f>
        <v/>
      </c>
      <c r="I268" s="13">
        <f>IF(AND(C268&gt;=DATE(2026,11,29),C268&lt;=DATE(2026,12,1)),B268*60,0)</f>
        <v/>
      </c>
      <c r="J268" s="13">
        <f>IF(A268="",0,B268*(IF(C268=DATE(2026,11,28),38,0)+IF(C268=DATE(2026,12,1),38,0)+IF(C268=DATE(2026,12,2),26,0)))</f>
        <v/>
      </c>
      <c r="K268" s="13">
        <f>IF(C268=Options!$B$9,B268*12,0)</f>
        <v/>
      </c>
      <c r="L268" s="13">
        <f>IF(C268=Options!$B$9,B268*Options!$Z$5,0)</f>
        <v/>
      </c>
      <c r="M268" s="13" t="n">
        <v>0</v>
      </c>
      <c r="N268" s="13">
        <f>SUM(E268:M268)</f>
        <v/>
      </c>
    </row>
    <row r="269">
      <c r="A269" s="5">
        <f>IF(AND(C269&gt;=Options!$B$9,C269&lt;=Options!$B$10),"Chicago","")</f>
        <v/>
      </c>
      <c r="B269" s="5">
        <f>IF(A269="","",18)</f>
        <v/>
      </c>
      <c r="C269" s="17" t="n">
        <v>46560</v>
      </c>
      <c r="D269" s="5">
        <f>IF(A269="","",IF(C269=DATE(2026,11,29),"培训；注册午餐；早餐参数",IF(C269=DATE(2026,11,30),"培训；注册午餐",IF(C269=DATE(2026,12,1),"培训；注册午餐；机构晚餐",IF(C269=Options!$B$9,"抵达；"&amp;IF(C269=DATE(2026,11,28),"机构晚餐","无统一供餐"),IF(C269=Options!$B$10,"返程；"&amp;IF(C269=DATE(2026,12,2),"机构午餐","无统一供餐"),"差旅状态；无统一日程"))))))</f>
        <v/>
      </c>
      <c r="E269" s="13">
        <f>IF(C269=Options!$B$9,Options!$C$14,0)</f>
        <v/>
      </c>
      <c r="F269" s="13">
        <f>IF(AND(A269&lt;&gt;"",C269&lt;Options!$B$10),B269*Options!$X$5,0)</f>
        <v/>
      </c>
      <c r="G269" s="13">
        <f>F269*12%</f>
        <v/>
      </c>
      <c r="H269" s="13">
        <f>IF(A269="",0,B269*(92*IF(OR(C269=Options!$B$9,C269=Options!$B$10),75%,100%)-IF(C269=DATE(2026,11,29),26+IF(Options!$B$8="是",23,0),0)-IF(C269=DATE(2026,11,30),26,0)-IF(C269=DATE(2026,12,1),64,0)-IF(C269=DATE(2026,11,28),38,0)-IF(C269=DATE(2026,12,2),26,0)))</f>
        <v/>
      </c>
      <c r="I269" s="13">
        <f>IF(AND(C269&gt;=DATE(2026,11,29),C269&lt;=DATE(2026,12,1)),B269*60,0)</f>
        <v/>
      </c>
      <c r="J269" s="13">
        <f>IF(A269="",0,B269*(IF(C269=DATE(2026,11,28),38,0)+IF(C269=DATE(2026,12,1),38,0)+IF(C269=DATE(2026,12,2),26,0)))</f>
        <v/>
      </c>
      <c r="K269" s="13">
        <f>IF(C269=Options!$B$9,B269*12,0)</f>
        <v/>
      </c>
      <c r="L269" s="13">
        <f>IF(C269=Options!$B$9,B269*Options!$Z$5,0)</f>
        <v/>
      </c>
      <c r="M269" s="13" t="n">
        <v>0</v>
      </c>
      <c r="N269" s="13">
        <f>SUM(E269:M269)</f>
        <v/>
      </c>
    </row>
    <row r="270">
      <c r="A270" s="5">
        <f>IF(AND(C270&gt;=Options!$B$9,C270&lt;=Options!$B$10),"Chicago","")</f>
        <v/>
      </c>
      <c r="B270" s="5">
        <f>IF(A270="","",18)</f>
        <v/>
      </c>
      <c r="C270" s="17" t="n">
        <v>46561</v>
      </c>
      <c r="D270" s="5">
        <f>IF(A270="","",IF(C270=DATE(2026,11,29),"培训；注册午餐；早餐参数",IF(C270=DATE(2026,11,30),"培训；注册午餐",IF(C270=DATE(2026,12,1),"培训；注册午餐；机构晚餐",IF(C270=Options!$B$9,"抵达；"&amp;IF(C270=DATE(2026,11,28),"机构晚餐","无统一供餐"),IF(C270=Options!$B$10,"返程；"&amp;IF(C270=DATE(2026,12,2),"机构午餐","无统一供餐"),"差旅状态；无统一日程"))))))</f>
        <v/>
      </c>
      <c r="E270" s="13">
        <f>IF(C270=Options!$B$9,Options!$C$14,0)</f>
        <v/>
      </c>
      <c r="F270" s="13">
        <f>IF(AND(A270&lt;&gt;"",C270&lt;Options!$B$10),B270*Options!$X$5,0)</f>
        <v/>
      </c>
      <c r="G270" s="13">
        <f>F270*12%</f>
        <v/>
      </c>
      <c r="H270" s="13">
        <f>IF(A270="",0,B270*(92*IF(OR(C270=Options!$B$9,C270=Options!$B$10),75%,100%)-IF(C270=DATE(2026,11,29),26+IF(Options!$B$8="是",23,0),0)-IF(C270=DATE(2026,11,30),26,0)-IF(C270=DATE(2026,12,1),64,0)-IF(C270=DATE(2026,11,28),38,0)-IF(C270=DATE(2026,12,2),26,0)))</f>
        <v/>
      </c>
      <c r="I270" s="13">
        <f>IF(AND(C270&gt;=DATE(2026,11,29),C270&lt;=DATE(2026,12,1)),B270*60,0)</f>
        <v/>
      </c>
      <c r="J270" s="13">
        <f>IF(A270="",0,B270*(IF(C270=DATE(2026,11,28),38,0)+IF(C270=DATE(2026,12,1),38,0)+IF(C270=DATE(2026,12,2),26,0)))</f>
        <v/>
      </c>
      <c r="K270" s="13">
        <f>IF(C270=Options!$B$9,B270*12,0)</f>
        <v/>
      </c>
      <c r="L270" s="13">
        <f>IF(C270=Options!$B$9,B270*Options!$Z$5,0)</f>
        <v/>
      </c>
      <c r="M270" s="13" t="n">
        <v>0</v>
      </c>
      <c r="N270" s="13">
        <f>SUM(E270:M270)</f>
        <v/>
      </c>
    </row>
    <row r="271">
      <c r="A271" s="5">
        <f>IF(AND(C271&gt;=Options!$B$9,C271&lt;=Options!$B$10),"Chicago","")</f>
        <v/>
      </c>
      <c r="B271" s="5">
        <f>IF(A271="","",18)</f>
        <v/>
      </c>
      <c r="C271" s="17" t="n">
        <v>46562</v>
      </c>
      <c r="D271" s="5">
        <f>IF(A271="","",IF(C271=DATE(2026,11,29),"培训；注册午餐；早餐参数",IF(C271=DATE(2026,11,30),"培训；注册午餐",IF(C271=DATE(2026,12,1),"培训；注册午餐；机构晚餐",IF(C271=Options!$B$9,"抵达；"&amp;IF(C271=DATE(2026,11,28),"机构晚餐","无统一供餐"),IF(C271=Options!$B$10,"返程；"&amp;IF(C271=DATE(2026,12,2),"机构午餐","无统一供餐"),"差旅状态；无统一日程"))))))</f>
        <v/>
      </c>
      <c r="E271" s="13">
        <f>IF(C271=Options!$B$9,Options!$C$14,0)</f>
        <v/>
      </c>
      <c r="F271" s="13">
        <f>IF(AND(A271&lt;&gt;"",C271&lt;Options!$B$10),B271*Options!$X$5,0)</f>
        <v/>
      </c>
      <c r="G271" s="13">
        <f>F271*12%</f>
        <v/>
      </c>
      <c r="H271" s="13">
        <f>IF(A271="",0,B271*(92*IF(OR(C271=Options!$B$9,C271=Options!$B$10),75%,100%)-IF(C271=DATE(2026,11,29),26+IF(Options!$B$8="是",23,0),0)-IF(C271=DATE(2026,11,30),26,0)-IF(C271=DATE(2026,12,1),64,0)-IF(C271=DATE(2026,11,28),38,0)-IF(C271=DATE(2026,12,2),26,0)))</f>
        <v/>
      </c>
      <c r="I271" s="13">
        <f>IF(AND(C271&gt;=DATE(2026,11,29),C271&lt;=DATE(2026,12,1)),B271*60,0)</f>
        <v/>
      </c>
      <c r="J271" s="13">
        <f>IF(A271="",0,B271*(IF(C271=DATE(2026,11,28),38,0)+IF(C271=DATE(2026,12,1),38,0)+IF(C271=DATE(2026,12,2),26,0)))</f>
        <v/>
      </c>
      <c r="K271" s="13">
        <f>IF(C271=Options!$B$9,B271*12,0)</f>
        <v/>
      </c>
      <c r="L271" s="13">
        <f>IF(C271=Options!$B$9,B271*Options!$Z$5,0)</f>
        <v/>
      </c>
      <c r="M271" s="13" t="n">
        <v>0</v>
      </c>
      <c r="N271" s="13">
        <f>SUM(E271:M271)</f>
        <v/>
      </c>
    </row>
    <row r="272">
      <c r="A272" s="5">
        <f>IF(AND(C272&gt;=Options!$B$9,C272&lt;=Options!$B$10),"Chicago","")</f>
        <v/>
      </c>
      <c r="B272" s="5">
        <f>IF(A272="","",18)</f>
        <v/>
      </c>
      <c r="C272" s="17" t="n">
        <v>46563</v>
      </c>
      <c r="D272" s="5">
        <f>IF(A272="","",IF(C272=DATE(2026,11,29),"培训；注册午餐；早餐参数",IF(C272=DATE(2026,11,30),"培训；注册午餐",IF(C272=DATE(2026,12,1),"培训；注册午餐；机构晚餐",IF(C272=Options!$B$9,"抵达；"&amp;IF(C272=DATE(2026,11,28),"机构晚餐","无统一供餐"),IF(C272=Options!$B$10,"返程；"&amp;IF(C272=DATE(2026,12,2),"机构午餐","无统一供餐"),"差旅状态；无统一日程"))))))</f>
        <v/>
      </c>
      <c r="E272" s="13">
        <f>IF(C272=Options!$B$9,Options!$C$14,0)</f>
        <v/>
      </c>
      <c r="F272" s="13">
        <f>IF(AND(A272&lt;&gt;"",C272&lt;Options!$B$10),B272*Options!$X$5,0)</f>
        <v/>
      </c>
      <c r="G272" s="13">
        <f>F272*12%</f>
        <v/>
      </c>
      <c r="H272" s="13">
        <f>IF(A272="",0,B272*(92*IF(OR(C272=Options!$B$9,C272=Options!$B$10),75%,100%)-IF(C272=DATE(2026,11,29),26+IF(Options!$B$8="是",23,0),0)-IF(C272=DATE(2026,11,30),26,0)-IF(C272=DATE(2026,12,1),64,0)-IF(C272=DATE(2026,11,28),38,0)-IF(C272=DATE(2026,12,2),26,0)))</f>
        <v/>
      </c>
      <c r="I272" s="13">
        <f>IF(AND(C272&gt;=DATE(2026,11,29),C272&lt;=DATE(2026,12,1)),B272*60,0)</f>
        <v/>
      </c>
      <c r="J272" s="13">
        <f>IF(A272="",0,B272*(IF(C272=DATE(2026,11,28),38,0)+IF(C272=DATE(2026,12,1),38,0)+IF(C272=DATE(2026,12,2),26,0)))</f>
        <v/>
      </c>
      <c r="K272" s="13">
        <f>IF(C272=Options!$B$9,B272*12,0)</f>
        <v/>
      </c>
      <c r="L272" s="13">
        <f>IF(C272=Options!$B$9,B272*Options!$Z$5,0)</f>
        <v/>
      </c>
      <c r="M272" s="13" t="n">
        <v>0</v>
      </c>
      <c r="N272" s="13">
        <f>SUM(E272:M272)</f>
        <v/>
      </c>
    </row>
    <row r="273">
      <c r="A273" s="5">
        <f>IF(AND(C273&gt;=Options!$B$9,C273&lt;=Options!$B$10),"Chicago","")</f>
        <v/>
      </c>
      <c r="B273" s="5">
        <f>IF(A273="","",18)</f>
        <v/>
      </c>
      <c r="C273" s="17" t="n">
        <v>46564</v>
      </c>
      <c r="D273" s="5">
        <f>IF(A273="","",IF(C273=DATE(2026,11,29),"培训；注册午餐；早餐参数",IF(C273=DATE(2026,11,30),"培训；注册午餐",IF(C273=DATE(2026,12,1),"培训；注册午餐；机构晚餐",IF(C273=Options!$B$9,"抵达；"&amp;IF(C273=DATE(2026,11,28),"机构晚餐","无统一供餐"),IF(C273=Options!$B$10,"返程；"&amp;IF(C273=DATE(2026,12,2),"机构午餐","无统一供餐"),"差旅状态；无统一日程"))))))</f>
        <v/>
      </c>
      <c r="E273" s="13">
        <f>IF(C273=Options!$B$9,Options!$C$14,0)</f>
        <v/>
      </c>
      <c r="F273" s="13">
        <f>IF(AND(A273&lt;&gt;"",C273&lt;Options!$B$10),B273*Options!$X$5,0)</f>
        <v/>
      </c>
      <c r="G273" s="13">
        <f>F273*12%</f>
        <v/>
      </c>
      <c r="H273" s="13">
        <f>IF(A273="",0,B273*(92*IF(OR(C273=Options!$B$9,C273=Options!$B$10),75%,100%)-IF(C273=DATE(2026,11,29),26+IF(Options!$B$8="是",23,0),0)-IF(C273=DATE(2026,11,30),26,0)-IF(C273=DATE(2026,12,1),64,0)-IF(C273=DATE(2026,11,28),38,0)-IF(C273=DATE(2026,12,2),26,0)))</f>
        <v/>
      </c>
      <c r="I273" s="13">
        <f>IF(AND(C273&gt;=DATE(2026,11,29),C273&lt;=DATE(2026,12,1)),B273*60,0)</f>
        <v/>
      </c>
      <c r="J273" s="13">
        <f>IF(A273="",0,B273*(IF(C273=DATE(2026,11,28),38,0)+IF(C273=DATE(2026,12,1),38,0)+IF(C273=DATE(2026,12,2),26,0)))</f>
        <v/>
      </c>
      <c r="K273" s="13">
        <f>IF(C273=Options!$B$9,B273*12,0)</f>
        <v/>
      </c>
      <c r="L273" s="13">
        <f>IF(C273=Options!$B$9,B273*Options!$Z$5,0)</f>
        <v/>
      </c>
      <c r="M273" s="13" t="n">
        <v>0</v>
      </c>
      <c r="N273" s="13">
        <f>SUM(E273:M273)</f>
        <v/>
      </c>
    </row>
    <row r="274">
      <c r="A274" s="5">
        <f>IF(AND(C274&gt;=Options!$B$9,C274&lt;=Options!$B$10),"Chicago","")</f>
        <v/>
      </c>
      <c r="B274" s="5">
        <f>IF(A274="","",18)</f>
        <v/>
      </c>
      <c r="C274" s="17" t="n">
        <v>46565</v>
      </c>
      <c r="D274" s="5">
        <f>IF(A274="","",IF(C274=DATE(2026,11,29),"培训；注册午餐；早餐参数",IF(C274=DATE(2026,11,30),"培训；注册午餐",IF(C274=DATE(2026,12,1),"培训；注册午餐；机构晚餐",IF(C274=Options!$B$9,"抵达；"&amp;IF(C274=DATE(2026,11,28),"机构晚餐","无统一供餐"),IF(C274=Options!$B$10,"返程；"&amp;IF(C274=DATE(2026,12,2),"机构午餐","无统一供餐"),"差旅状态；无统一日程"))))))</f>
        <v/>
      </c>
      <c r="E274" s="13">
        <f>IF(C274=Options!$B$9,Options!$C$14,0)</f>
        <v/>
      </c>
      <c r="F274" s="13">
        <f>IF(AND(A274&lt;&gt;"",C274&lt;Options!$B$10),B274*Options!$X$5,0)</f>
        <v/>
      </c>
      <c r="G274" s="13">
        <f>F274*12%</f>
        <v/>
      </c>
      <c r="H274" s="13">
        <f>IF(A274="",0,B274*(92*IF(OR(C274=Options!$B$9,C274=Options!$B$10),75%,100%)-IF(C274=DATE(2026,11,29),26+IF(Options!$B$8="是",23,0),0)-IF(C274=DATE(2026,11,30),26,0)-IF(C274=DATE(2026,12,1),64,0)-IF(C274=DATE(2026,11,28),38,0)-IF(C274=DATE(2026,12,2),26,0)))</f>
        <v/>
      </c>
      <c r="I274" s="13">
        <f>IF(AND(C274&gt;=DATE(2026,11,29),C274&lt;=DATE(2026,12,1)),B274*60,0)</f>
        <v/>
      </c>
      <c r="J274" s="13">
        <f>IF(A274="",0,B274*(IF(C274=DATE(2026,11,28),38,0)+IF(C274=DATE(2026,12,1),38,0)+IF(C274=DATE(2026,12,2),26,0)))</f>
        <v/>
      </c>
      <c r="K274" s="13">
        <f>IF(C274=Options!$B$9,B274*12,0)</f>
        <v/>
      </c>
      <c r="L274" s="13">
        <f>IF(C274=Options!$B$9,B274*Options!$Z$5,0)</f>
        <v/>
      </c>
      <c r="M274" s="13" t="n">
        <v>0</v>
      </c>
      <c r="N274" s="13">
        <f>SUM(E274:M274)</f>
        <v/>
      </c>
    </row>
    <row r="275">
      <c r="A275" s="5">
        <f>IF(AND(C275&gt;=Options!$B$9,C275&lt;=Options!$B$10),"Chicago","")</f>
        <v/>
      </c>
      <c r="B275" s="5">
        <f>IF(A275="","",18)</f>
        <v/>
      </c>
      <c r="C275" s="17" t="n">
        <v>46566</v>
      </c>
      <c r="D275" s="5">
        <f>IF(A275="","",IF(C275=DATE(2026,11,29),"培训；注册午餐；早餐参数",IF(C275=DATE(2026,11,30),"培训；注册午餐",IF(C275=DATE(2026,12,1),"培训；注册午餐；机构晚餐",IF(C275=Options!$B$9,"抵达；"&amp;IF(C275=DATE(2026,11,28),"机构晚餐","无统一供餐"),IF(C275=Options!$B$10,"返程；"&amp;IF(C275=DATE(2026,12,2),"机构午餐","无统一供餐"),"差旅状态；无统一日程"))))))</f>
        <v/>
      </c>
      <c r="E275" s="13">
        <f>IF(C275=Options!$B$9,Options!$C$14,0)</f>
        <v/>
      </c>
      <c r="F275" s="13">
        <f>IF(AND(A275&lt;&gt;"",C275&lt;Options!$B$10),B275*Options!$X$5,0)</f>
        <v/>
      </c>
      <c r="G275" s="13">
        <f>F275*12%</f>
        <v/>
      </c>
      <c r="H275" s="13">
        <f>IF(A275="",0,B275*(92*IF(OR(C275=Options!$B$9,C275=Options!$B$10),75%,100%)-IF(C275=DATE(2026,11,29),26+IF(Options!$B$8="是",23,0),0)-IF(C275=DATE(2026,11,30),26,0)-IF(C275=DATE(2026,12,1),64,0)-IF(C275=DATE(2026,11,28),38,0)-IF(C275=DATE(2026,12,2),26,0)))</f>
        <v/>
      </c>
      <c r="I275" s="13">
        <f>IF(AND(C275&gt;=DATE(2026,11,29),C275&lt;=DATE(2026,12,1)),B275*60,0)</f>
        <v/>
      </c>
      <c r="J275" s="13">
        <f>IF(A275="",0,B275*(IF(C275=DATE(2026,11,28),38,0)+IF(C275=DATE(2026,12,1),38,0)+IF(C275=DATE(2026,12,2),26,0)))</f>
        <v/>
      </c>
      <c r="K275" s="13">
        <f>IF(C275=Options!$B$9,B275*12,0)</f>
        <v/>
      </c>
      <c r="L275" s="13">
        <f>IF(C275=Options!$B$9,B275*Options!$Z$5,0)</f>
        <v/>
      </c>
      <c r="M275" s="13" t="n">
        <v>0</v>
      </c>
      <c r="N275" s="13">
        <f>SUM(E275:M275)</f>
        <v/>
      </c>
    </row>
    <row r="276">
      <c r="A276" s="5">
        <f>IF(AND(C276&gt;=Options!$B$9,C276&lt;=Options!$B$10),"Chicago","")</f>
        <v/>
      </c>
      <c r="B276" s="5">
        <f>IF(A276="","",18)</f>
        <v/>
      </c>
      <c r="C276" s="17" t="n">
        <v>46567</v>
      </c>
      <c r="D276" s="5">
        <f>IF(A276="","",IF(C276=DATE(2026,11,29),"培训；注册午餐；早餐参数",IF(C276=DATE(2026,11,30),"培训；注册午餐",IF(C276=DATE(2026,12,1),"培训；注册午餐；机构晚餐",IF(C276=Options!$B$9,"抵达；"&amp;IF(C276=DATE(2026,11,28),"机构晚餐","无统一供餐"),IF(C276=Options!$B$10,"返程；"&amp;IF(C276=DATE(2026,12,2),"机构午餐","无统一供餐"),"差旅状态；无统一日程"))))))</f>
        <v/>
      </c>
      <c r="E276" s="13">
        <f>IF(C276=Options!$B$9,Options!$C$14,0)</f>
        <v/>
      </c>
      <c r="F276" s="13">
        <f>IF(AND(A276&lt;&gt;"",C276&lt;Options!$B$10),B276*Options!$X$5,0)</f>
        <v/>
      </c>
      <c r="G276" s="13">
        <f>F276*12%</f>
        <v/>
      </c>
      <c r="H276" s="13">
        <f>IF(A276="",0,B276*(92*IF(OR(C276=Options!$B$9,C276=Options!$B$10),75%,100%)-IF(C276=DATE(2026,11,29),26+IF(Options!$B$8="是",23,0),0)-IF(C276=DATE(2026,11,30),26,0)-IF(C276=DATE(2026,12,1),64,0)-IF(C276=DATE(2026,11,28),38,0)-IF(C276=DATE(2026,12,2),26,0)))</f>
        <v/>
      </c>
      <c r="I276" s="13">
        <f>IF(AND(C276&gt;=DATE(2026,11,29),C276&lt;=DATE(2026,12,1)),B276*60,0)</f>
        <v/>
      </c>
      <c r="J276" s="13">
        <f>IF(A276="",0,B276*(IF(C276=DATE(2026,11,28),38,0)+IF(C276=DATE(2026,12,1),38,0)+IF(C276=DATE(2026,12,2),26,0)))</f>
        <v/>
      </c>
      <c r="K276" s="13">
        <f>IF(C276=Options!$B$9,B276*12,0)</f>
        <v/>
      </c>
      <c r="L276" s="13">
        <f>IF(C276=Options!$B$9,B276*Options!$Z$5,0)</f>
        <v/>
      </c>
      <c r="M276" s="13" t="n">
        <v>0</v>
      </c>
      <c r="N276" s="13">
        <f>SUM(E276:M276)</f>
        <v/>
      </c>
    </row>
    <row r="277">
      <c r="A277" s="5">
        <f>IF(AND(C277&gt;=Options!$B$9,C277&lt;=Options!$B$10),"Chicago","")</f>
        <v/>
      </c>
      <c r="B277" s="5">
        <f>IF(A277="","",18)</f>
        <v/>
      </c>
      <c r="C277" s="17" t="n">
        <v>46568</v>
      </c>
      <c r="D277" s="5">
        <f>IF(A277="","",IF(C277=DATE(2026,11,29),"培训；注册午餐；早餐参数",IF(C277=DATE(2026,11,30),"培训；注册午餐",IF(C277=DATE(2026,12,1),"培训；注册午餐；机构晚餐",IF(C277=Options!$B$9,"抵达；"&amp;IF(C277=DATE(2026,11,28),"机构晚餐","无统一供餐"),IF(C277=Options!$B$10,"返程；"&amp;IF(C277=DATE(2026,12,2),"机构午餐","无统一供餐"),"差旅状态；无统一日程"))))))</f>
        <v/>
      </c>
      <c r="E277" s="13">
        <f>IF(C277=Options!$B$9,Options!$C$14,0)</f>
        <v/>
      </c>
      <c r="F277" s="13">
        <f>IF(AND(A277&lt;&gt;"",C277&lt;Options!$B$10),B277*Options!$X$5,0)</f>
        <v/>
      </c>
      <c r="G277" s="13">
        <f>F277*12%</f>
        <v/>
      </c>
      <c r="H277" s="13">
        <f>IF(A277="",0,B277*(92*IF(OR(C277=Options!$B$9,C277=Options!$B$10),75%,100%)-IF(C277=DATE(2026,11,29),26+IF(Options!$B$8="是",23,0),0)-IF(C277=DATE(2026,11,30),26,0)-IF(C277=DATE(2026,12,1),64,0)-IF(C277=DATE(2026,11,28),38,0)-IF(C277=DATE(2026,12,2),26,0)))</f>
        <v/>
      </c>
      <c r="I277" s="13">
        <f>IF(AND(C277&gt;=DATE(2026,11,29),C277&lt;=DATE(2026,12,1)),B277*60,0)</f>
        <v/>
      </c>
      <c r="J277" s="13">
        <f>IF(A277="",0,B277*(IF(C277=DATE(2026,11,28),38,0)+IF(C277=DATE(2026,12,1),38,0)+IF(C277=DATE(2026,12,2),26,0)))</f>
        <v/>
      </c>
      <c r="K277" s="13">
        <f>IF(C277=Options!$B$9,B277*12,0)</f>
        <v/>
      </c>
      <c r="L277" s="13">
        <f>IF(C277=Options!$B$9,B277*Options!$Z$5,0)</f>
        <v/>
      </c>
      <c r="M277" s="13" t="n">
        <v>0</v>
      </c>
      <c r="N277" s="13">
        <f>SUM(E277:M277)</f>
        <v/>
      </c>
    </row>
    <row r="278">
      <c r="A278" s="5">
        <f>IF(AND(C278&gt;=Options!$B$9,C278&lt;=Options!$B$10),"Chicago","")</f>
        <v/>
      </c>
      <c r="B278" s="5">
        <f>IF(A278="","",18)</f>
        <v/>
      </c>
      <c r="C278" s="17" t="n">
        <v>46569</v>
      </c>
      <c r="D278" s="5">
        <f>IF(A278="","",IF(C278=DATE(2026,11,29),"培训；注册午餐；早餐参数",IF(C278=DATE(2026,11,30),"培训；注册午餐",IF(C278=DATE(2026,12,1),"培训；注册午餐；机构晚餐",IF(C278=Options!$B$9,"抵达；"&amp;IF(C278=DATE(2026,11,28),"机构晚餐","无统一供餐"),IF(C278=Options!$B$10,"返程；"&amp;IF(C278=DATE(2026,12,2),"机构午餐","无统一供餐"),"差旅状态；无统一日程"))))))</f>
        <v/>
      </c>
      <c r="E278" s="13">
        <f>IF(C278=Options!$B$9,Options!$C$14,0)</f>
        <v/>
      </c>
      <c r="F278" s="13">
        <f>IF(AND(A278&lt;&gt;"",C278&lt;Options!$B$10),B278*Options!$X$5,0)</f>
        <v/>
      </c>
      <c r="G278" s="13">
        <f>F278*12%</f>
        <v/>
      </c>
      <c r="H278" s="13">
        <f>IF(A278="",0,B278*(92*IF(OR(C278=Options!$B$9,C278=Options!$B$10),75%,100%)-IF(C278=DATE(2026,11,29),26+IF(Options!$B$8="是",23,0),0)-IF(C278=DATE(2026,11,30),26,0)-IF(C278=DATE(2026,12,1),64,0)-IF(C278=DATE(2026,11,28),38,0)-IF(C278=DATE(2026,12,2),26,0)))</f>
        <v/>
      </c>
      <c r="I278" s="13">
        <f>IF(AND(C278&gt;=DATE(2026,11,29),C278&lt;=DATE(2026,12,1)),B278*60,0)</f>
        <v/>
      </c>
      <c r="J278" s="13">
        <f>IF(A278="",0,B278*(IF(C278=DATE(2026,11,28),38,0)+IF(C278=DATE(2026,12,1),38,0)+IF(C278=DATE(2026,12,2),26,0)))</f>
        <v/>
      </c>
      <c r="K278" s="13">
        <f>IF(C278=Options!$B$9,B278*12,0)</f>
        <v/>
      </c>
      <c r="L278" s="13">
        <f>IF(C278=Options!$B$9,B278*Options!$Z$5,0)</f>
        <v/>
      </c>
      <c r="M278" s="13" t="n">
        <v>0</v>
      </c>
      <c r="N278" s="13">
        <f>SUM(E278:M278)</f>
        <v/>
      </c>
    </row>
    <row r="279">
      <c r="A279" s="5">
        <f>IF(AND(C279&gt;=Options!$B$9,C279&lt;=Options!$B$10),"Chicago","")</f>
        <v/>
      </c>
      <c r="B279" s="5">
        <f>IF(A279="","",18)</f>
        <v/>
      </c>
      <c r="C279" s="17" t="n">
        <v>46570</v>
      </c>
      <c r="D279" s="5">
        <f>IF(A279="","",IF(C279=DATE(2026,11,29),"培训；注册午餐；早餐参数",IF(C279=DATE(2026,11,30),"培训；注册午餐",IF(C279=DATE(2026,12,1),"培训；注册午餐；机构晚餐",IF(C279=Options!$B$9,"抵达；"&amp;IF(C279=DATE(2026,11,28),"机构晚餐","无统一供餐"),IF(C279=Options!$B$10,"返程；"&amp;IF(C279=DATE(2026,12,2),"机构午餐","无统一供餐"),"差旅状态；无统一日程"))))))</f>
        <v/>
      </c>
      <c r="E279" s="13">
        <f>IF(C279=Options!$B$9,Options!$C$14,0)</f>
        <v/>
      </c>
      <c r="F279" s="13">
        <f>IF(AND(A279&lt;&gt;"",C279&lt;Options!$B$10),B279*Options!$X$5,0)</f>
        <v/>
      </c>
      <c r="G279" s="13">
        <f>F279*12%</f>
        <v/>
      </c>
      <c r="H279" s="13">
        <f>IF(A279="",0,B279*(92*IF(OR(C279=Options!$B$9,C279=Options!$B$10),75%,100%)-IF(C279=DATE(2026,11,29),26+IF(Options!$B$8="是",23,0),0)-IF(C279=DATE(2026,11,30),26,0)-IF(C279=DATE(2026,12,1),64,0)-IF(C279=DATE(2026,11,28),38,0)-IF(C279=DATE(2026,12,2),26,0)))</f>
        <v/>
      </c>
      <c r="I279" s="13">
        <f>IF(AND(C279&gt;=DATE(2026,11,29),C279&lt;=DATE(2026,12,1)),B279*60,0)</f>
        <v/>
      </c>
      <c r="J279" s="13">
        <f>IF(A279="",0,B279*(IF(C279=DATE(2026,11,28),38,0)+IF(C279=DATE(2026,12,1),38,0)+IF(C279=DATE(2026,12,2),26,0)))</f>
        <v/>
      </c>
      <c r="K279" s="13">
        <f>IF(C279=Options!$B$9,B279*12,0)</f>
        <v/>
      </c>
      <c r="L279" s="13">
        <f>IF(C279=Options!$B$9,B279*Options!$Z$5,0)</f>
        <v/>
      </c>
      <c r="M279" s="13" t="n">
        <v>0</v>
      </c>
      <c r="N279" s="13">
        <f>SUM(E279:M279)</f>
        <v/>
      </c>
    </row>
    <row r="280">
      <c r="A280" s="5">
        <f>IF(AND(C280&gt;=Options!$B$9,C280&lt;=Options!$B$10),"Chicago","")</f>
        <v/>
      </c>
      <c r="B280" s="5">
        <f>IF(A280="","",18)</f>
        <v/>
      </c>
      <c r="C280" s="17" t="n">
        <v>46571</v>
      </c>
      <c r="D280" s="5">
        <f>IF(A280="","",IF(C280=DATE(2026,11,29),"培训；注册午餐；早餐参数",IF(C280=DATE(2026,11,30),"培训；注册午餐",IF(C280=DATE(2026,12,1),"培训；注册午餐；机构晚餐",IF(C280=Options!$B$9,"抵达；"&amp;IF(C280=DATE(2026,11,28),"机构晚餐","无统一供餐"),IF(C280=Options!$B$10,"返程；"&amp;IF(C280=DATE(2026,12,2),"机构午餐","无统一供餐"),"差旅状态；无统一日程"))))))</f>
        <v/>
      </c>
      <c r="E280" s="13">
        <f>IF(C280=Options!$B$9,Options!$C$14,0)</f>
        <v/>
      </c>
      <c r="F280" s="13">
        <f>IF(AND(A280&lt;&gt;"",C280&lt;Options!$B$10),B280*Options!$X$5,0)</f>
        <v/>
      </c>
      <c r="G280" s="13">
        <f>F280*12%</f>
        <v/>
      </c>
      <c r="H280" s="13">
        <f>IF(A280="",0,B280*(92*IF(OR(C280=Options!$B$9,C280=Options!$B$10),75%,100%)-IF(C280=DATE(2026,11,29),26+IF(Options!$B$8="是",23,0),0)-IF(C280=DATE(2026,11,30),26,0)-IF(C280=DATE(2026,12,1),64,0)-IF(C280=DATE(2026,11,28),38,0)-IF(C280=DATE(2026,12,2),26,0)))</f>
        <v/>
      </c>
      <c r="I280" s="13">
        <f>IF(AND(C280&gt;=DATE(2026,11,29),C280&lt;=DATE(2026,12,1)),B280*60,0)</f>
        <v/>
      </c>
      <c r="J280" s="13">
        <f>IF(A280="",0,B280*(IF(C280=DATE(2026,11,28),38,0)+IF(C280=DATE(2026,12,1),38,0)+IF(C280=DATE(2026,12,2),26,0)))</f>
        <v/>
      </c>
      <c r="K280" s="13">
        <f>IF(C280=Options!$B$9,B280*12,0)</f>
        <v/>
      </c>
      <c r="L280" s="13">
        <f>IF(C280=Options!$B$9,B280*Options!$Z$5,0)</f>
        <v/>
      </c>
      <c r="M280" s="13" t="n">
        <v>0</v>
      </c>
      <c r="N280" s="13">
        <f>SUM(E280:M280)</f>
        <v/>
      </c>
    </row>
    <row r="281">
      <c r="A281" s="5">
        <f>IF(AND(C281&gt;=Options!$B$9,C281&lt;=Options!$B$10),"Chicago","")</f>
        <v/>
      </c>
      <c r="B281" s="5">
        <f>IF(A281="","",18)</f>
        <v/>
      </c>
      <c r="C281" s="17" t="n">
        <v>46572</v>
      </c>
      <c r="D281" s="5">
        <f>IF(A281="","",IF(C281=DATE(2026,11,29),"培训；注册午餐；早餐参数",IF(C281=DATE(2026,11,30),"培训；注册午餐",IF(C281=DATE(2026,12,1),"培训；注册午餐；机构晚餐",IF(C281=Options!$B$9,"抵达；"&amp;IF(C281=DATE(2026,11,28),"机构晚餐","无统一供餐"),IF(C281=Options!$B$10,"返程；"&amp;IF(C281=DATE(2026,12,2),"机构午餐","无统一供餐"),"差旅状态；无统一日程"))))))</f>
        <v/>
      </c>
      <c r="E281" s="13">
        <f>IF(C281=Options!$B$9,Options!$C$14,0)</f>
        <v/>
      </c>
      <c r="F281" s="13">
        <f>IF(AND(A281&lt;&gt;"",C281&lt;Options!$B$10),B281*Options!$X$5,0)</f>
        <v/>
      </c>
      <c r="G281" s="13">
        <f>F281*12%</f>
        <v/>
      </c>
      <c r="H281" s="13">
        <f>IF(A281="",0,B281*(92*IF(OR(C281=Options!$B$9,C281=Options!$B$10),75%,100%)-IF(C281=DATE(2026,11,29),26+IF(Options!$B$8="是",23,0),0)-IF(C281=DATE(2026,11,30),26,0)-IF(C281=DATE(2026,12,1),64,0)-IF(C281=DATE(2026,11,28),38,0)-IF(C281=DATE(2026,12,2),26,0)))</f>
        <v/>
      </c>
      <c r="I281" s="13">
        <f>IF(AND(C281&gt;=DATE(2026,11,29),C281&lt;=DATE(2026,12,1)),B281*60,0)</f>
        <v/>
      </c>
      <c r="J281" s="13">
        <f>IF(A281="",0,B281*(IF(C281=DATE(2026,11,28),38,0)+IF(C281=DATE(2026,12,1),38,0)+IF(C281=DATE(2026,12,2),26,0)))</f>
        <v/>
      </c>
      <c r="K281" s="13">
        <f>IF(C281=Options!$B$9,B281*12,0)</f>
        <v/>
      </c>
      <c r="L281" s="13">
        <f>IF(C281=Options!$B$9,B281*Options!$Z$5,0)</f>
        <v/>
      </c>
      <c r="M281" s="13" t="n">
        <v>0</v>
      </c>
      <c r="N281" s="13">
        <f>SUM(E281:M281)</f>
        <v/>
      </c>
    </row>
    <row r="282">
      <c r="A282" s="5">
        <f>IF(AND(C282&gt;=Options!$B$9,C282&lt;=Options!$B$10),"Chicago","")</f>
        <v/>
      </c>
      <c r="B282" s="5">
        <f>IF(A282="","",18)</f>
        <v/>
      </c>
      <c r="C282" s="17" t="n">
        <v>46573</v>
      </c>
      <c r="D282" s="5">
        <f>IF(A282="","",IF(C282=DATE(2026,11,29),"培训；注册午餐；早餐参数",IF(C282=DATE(2026,11,30),"培训；注册午餐",IF(C282=DATE(2026,12,1),"培训；注册午餐；机构晚餐",IF(C282=Options!$B$9,"抵达；"&amp;IF(C282=DATE(2026,11,28),"机构晚餐","无统一供餐"),IF(C282=Options!$B$10,"返程；"&amp;IF(C282=DATE(2026,12,2),"机构午餐","无统一供餐"),"差旅状态；无统一日程"))))))</f>
        <v/>
      </c>
      <c r="E282" s="13">
        <f>IF(C282=Options!$B$9,Options!$C$14,0)</f>
        <v/>
      </c>
      <c r="F282" s="13">
        <f>IF(AND(A282&lt;&gt;"",C282&lt;Options!$B$10),B282*Options!$X$5,0)</f>
        <v/>
      </c>
      <c r="G282" s="13">
        <f>F282*12%</f>
        <v/>
      </c>
      <c r="H282" s="13">
        <f>IF(A282="",0,B282*(92*IF(OR(C282=Options!$B$9,C282=Options!$B$10),75%,100%)-IF(C282=DATE(2026,11,29),26+IF(Options!$B$8="是",23,0),0)-IF(C282=DATE(2026,11,30),26,0)-IF(C282=DATE(2026,12,1),64,0)-IF(C282=DATE(2026,11,28),38,0)-IF(C282=DATE(2026,12,2),26,0)))</f>
        <v/>
      </c>
      <c r="I282" s="13">
        <f>IF(AND(C282&gt;=DATE(2026,11,29),C282&lt;=DATE(2026,12,1)),B282*60,0)</f>
        <v/>
      </c>
      <c r="J282" s="13">
        <f>IF(A282="",0,B282*(IF(C282=DATE(2026,11,28),38,0)+IF(C282=DATE(2026,12,1),38,0)+IF(C282=DATE(2026,12,2),26,0)))</f>
        <v/>
      </c>
      <c r="K282" s="13">
        <f>IF(C282=Options!$B$9,B282*12,0)</f>
        <v/>
      </c>
      <c r="L282" s="13">
        <f>IF(C282=Options!$B$9,B282*Options!$Z$5,0)</f>
        <v/>
      </c>
      <c r="M282" s="13" t="n">
        <v>0</v>
      </c>
      <c r="N282" s="13">
        <f>SUM(E282:M282)</f>
        <v/>
      </c>
    </row>
    <row r="283">
      <c r="A283" s="5">
        <f>IF(AND(C283&gt;=Options!$B$9,C283&lt;=Options!$B$10),"Chicago","")</f>
        <v/>
      </c>
      <c r="B283" s="5">
        <f>IF(A283="","",18)</f>
        <v/>
      </c>
      <c r="C283" s="17" t="n">
        <v>46574</v>
      </c>
      <c r="D283" s="5">
        <f>IF(A283="","",IF(C283=DATE(2026,11,29),"培训；注册午餐；早餐参数",IF(C283=DATE(2026,11,30),"培训；注册午餐",IF(C283=DATE(2026,12,1),"培训；注册午餐；机构晚餐",IF(C283=Options!$B$9,"抵达；"&amp;IF(C283=DATE(2026,11,28),"机构晚餐","无统一供餐"),IF(C283=Options!$B$10,"返程；"&amp;IF(C283=DATE(2026,12,2),"机构午餐","无统一供餐"),"差旅状态；无统一日程"))))))</f>
        <v/>
      </c>
      <c r="E283" s="13">
        <f>IF(C283=Options!$B$9,Options!$C$14,0)</f>
        <v/>
      </c>
      <c r="F283" s="13">
        <f>IF(AND(A283&lt;&gt;"",C283&lt;Options!$B$10),B283*Options!$X$5,0)</f>
        <v/>
      </c>
      <c r="G283" s="13">
        <f>F283*12%</f>
        <v/>
      </c>
      <c r="H283" s="13">
        <f>IF(A283="",0,B283*(92*IF(OR(C283=Options!$B$9,C283=Options!$B$10),75%,100%)-IF(C283=DATE(2026,11,29),26+IF(Options!$B$8="是",23,0),0)-IF(C283=DATE(2026,11,30),26,0)-IF(C283=DATE(2026,12,1),64,0)-IF(C283=DATE(2026,11,28),38,0)-IF(C283=DATE(2026,12,2),26,0)))</f>
        <v/>
      </c>
      <c r="I283" s="13">
        <f>IF(AND(C283&gt;=DATE(2026,11,29),C283&lt;=DATE(2026,12,1)),B283*60,0)</f>
        <v/>
      </c>
      <c r="J283" s="13">
        <f>IF(A283="",0,B283*(IF(C283=DATE(2026,11,28),38,0)+IF(C283=DATE(2026,12,1),38,0)+IF(C283=DATE(2026,12,2),26,0)))</f>
        <v/>
      </c>
      <c r="K283" s="13">
        <f>IF(C283=Options!$B$9,B283*12,0)</f>
        <v/>
      </c>
      <c r="L283" s="13">
        <f>IF(C283=Options!$B$9,B283*Options!$Z$5,0)</f>
        <v/>
      </c>
      <c r="M283" s="13" t="n">
        <v>0</v>
      </c>
      <c r="N283" s="13">
        <f>SUM(E283:M283)</f>
        <v/>
      </c>
    </row>
    <row r="284">
      <c r="A284" s="5">
        <f>IF(AND(C284&gt;=Options!$B$9,C284&lt;=Options!$B$10),"Chicago","")</f>
        <v/>
      </c>
      <c r="B284" s="5">
        <f>IF(A284="","",18)</f>
        <v/>
      </c>
      <c r="C284" s="17" t="n">
        <v>46575</v>
      </c>
      <c r="D284" s="5">
        <f>IF(A284="","",IF(C284=DATE(2026,11,29),"培训；注册午餐；早餐参数",IF(C284=DATE(2026,11,30),"培训；注册午餐",IF(C284=DATE(2026,12,1),"培训；注册午餐；机构晚餐",IF(C284=Options!$B$9,"抵达；"&amp;IF(C284=DATE(2026,11,28),"机构晚餐","无统一供餐"),IF(C284=Options!$B$10,"返程；"&amp;IF(C284=DATE(2026,12,2),"机构午餐","无统一供餐"),"差旅状态；无统一日程"))))))</f>
        <v/>
      </c>
      <c r="E284" s="13">
        <f>IF(C284=Options!$B$9,Options!$C$14,0)</f>
        <v/>
      </c>
      <c r="F284" s="13">
        <f>IF(AND(A284&lt;&gt;"",C284&lt;Options!$B$10),B284*Options!$X$5,0)</f>
        <v/>
      </c>
      <c r="G284" s="13">
        <f>F284*12%</f>
        <v/>
      </c>
      <c r="H284" s="13">
        <f>IF(A284="",0,B284*(92*IF(OR(C284=Options!$B$9,C284=Options!$B$10),75%,100%)-IF(C284=DATE(2026,11,29),26+IF(Options!$B$8="是",23,0),0)-IF(C284=DATE(2026,11,30),26,0)-IF(C284=DATE(2026,12,1),64,0)-IF(C284=DATE(2026,11,28),38,0)-IF(C284=DATE(2026,12,2),26,0)))</f>
        <v/>
      </c>
      <c r="I284" s="13">
        <f>IF(AND(C284&gt;=DATE(2026,11,29),C284&lt;=DATE(2026,12,1)),B284*60,0)</f>
        <v/>
      </c>
      <c r="J284" s="13">
        <f>IF(A284="",0,B284*(IF(C284=DATE(2026,11,28),38,0)+IF(C284=DATE(2026,12,1),38,0)+IF(C284=DATE(2026,12,2),26,0)))</f>
        <v/>
      </c>
      <c r="K284" s="13">
        <f>IF(C284=Options!$B$9,B284*12,0)</f>
        <v/>
      </c>
      <c r="L284" s="13">
        <f>IF(C284=Options!$B$9,B284*Options!$Z$5,0)</f>
        <v/>
      </c>
      <c r="M284" s="13" t="n">
        <v>0</v>
      </c>
      <c r="N284" s="13">
        <f>SUM(E284:M284)</f>
        <v/>
      </c>
    </row>
    <row r="285">
      <c r="A285" s="5">
        <f>IF(AND(C285&gt;=Options!$B$9,C285&lt;=Options!$B$10),"Chicago","")</f>
        <v/>
      </c>
      <c r="B285" s="5">
        <f>IF(A285="","",18)</f>
        <v/>
      </c>
      <c r="C285" s="17" t="n">
        <v>46576</v>
      </c>
      <c r="D285" s="5">
        <f>IF(A285="","",IF(C285=DATE(2026,11,29),"培训；注册午餐；早餐参数",IF(C285=DATE(2026,11,30),"培训；注册午餐",IF(C285=DATE(2026,12,1),"培训；注册午餐；机构晚餐",IF(C285=Options!$B$9,"抵达；"&amp;IF(C285=DATE(2026,11,28),"机构晚餐","无统一供餐"),IF(C285=Options!$B$10,"返程；"&amp;IF(C285=DATE(2026,12,2),"机构午餐","无统一供餐"),"差旅状态；无统一日程"))))))</f>
        <v/>
      </c>
      <c r="E285" s="13">
        <f>IF(C285=Options!$B$9,Options!$C$14,0)</f>
        <v/>
      </c>
      <c r="F285" s="13">
        <f>IF(AND(A285&lt;&gt;"",C285&lt;Options!$B$10),B285*Options!$X$5,0)</f>
        <v/>
      </c>
      <c r="G285" s="13">
        <f>F285*12%</f>
        <v/>
      </c>
      <c r="H285" s="13">
        <f>IF(A285="",0,B285*(92*IF(OR(C285=Options!$B$9,C285=Options!$B$10),75%,100%)-IF(C285=DATE(2026,11,29),26+IF(Options!$B$8="是",23,0),0)-IF(C285=DATE(2026,11,30),26,0)-IF(C285=DATE(2026,12,1),64,0)-IF(C285=DATE(2026,11,28),38,0)-IF(C285=DATE(2026,12,2),26,0)))</f>
        <v/>
      </c>
      <c r="I285" s="13">
        <f>IF(AND(C285&gt;=DATE(2026,11,29),C285&lt;=DATE(2026,12,1)),B285*60,0)</f>
        <v/>
      </c>
      <c r="J285" s="13">
        <f>IF(A285="",0,B285*(IF(C285=DATE(2026,11,28),38,0)+IF(C285=DATE(2026,12,1),38,0)+IF(C285=DATE(2026,12,2),26,0)))</f>
        <v/>
      </c>
      <c r="K285" s="13">
        <f>IF(C285=Options!$B$9,B285*12,0)</f>
        <v/>
      </c>
      <c r="L285" s="13">
        <f>IF(C285=Options!$B$9,B285*Options!$Z$5,0)</f>
        <v/>
      </c>
      <c r="M285" s="13" t="n">
        <v>0</v>
      </c>
      <c r="N285" s="13">
        <f>SUM(E285:M285)</f>
        <v/>
      </c>
    </row>
    <row r="286">
      <c r="A286" s="5">
        <f>IF(AND(C286&gt;=Options!$B$9,C286&lt;=Options!$B$10),"Chicago","")</f>
        <v/>
      </c>
      <c r="B286" s="5">
        <f>IF(A286="","",18)</f>
        <v/>
      </c>
      <c r="C286" s="17" t="n">
        <v>46577</v>
      </c>
      <c r="D286" s="5">
        <f>IF(A286="","",IF(C286=DATE(2026,11,29),"培训；注册午餐；早餐参数",IF(C286=DATE(2026,11,30),"培训；注册午餐",IF(C286=DATE(2026,12,1),"培训；注册午餐；机构晚餐",IF(C286=Options!$B$9,"抵达；"&amp;IF(C286=DATE(2026,11,28),"机构晚餐","无统一供餐"),IF(C286=Options!$B$10,"返程；"&amp;IF(C286=DATE(2026,12,2),"机构午餐","无统一供餐"),"差旅状态；无统一日程"))))))</f>
        <v/>
      </c>
      <c r="E286" s="13">
        <f>IF(C286=Options!$B$9,Options!$C$14,0)</f>
        <v/>
      </c>
      <c r="F286" s="13">
        <f>IF(AND(A286&lt;&gt;"",C286&lt;Options!$B$10),B286*Options!$X$5,0)</f>
        <v/>
      </c>
      <c r="G286" s="13">
        <f>F286*12%</f>
        <v/>
      </c>
      <c r="H286" s="13">
        <f>IF(A286="",0,B286*(92*IF(OR(C286=Options!$B$9,C286=Options!$B$10),75%,100%)-IF(C286=DATE(2026,11,29),26+IF(Options!$B$8="是",23,0),0)-IF(C286=DATE(2026,11,30),26,0)-IF(C286=DATE(2026,12,1),64,0)-IF(C286=DATE(2026,11,28),38,0)-IF(C286=DATE(2026,12,2),26,0)))</f>
        <v/>
      </c>
      <c r="I286" s="13">
        <f>IF(AND(C286&gt;=DATE(2026,11,29),C286&lt;=DATE(2026,12,1)),B286*60,0)</f>
        <v/>
      </c>
      <c r="J286" s="13">
        <f>IF(A286="",0,B286*(IF(C286=DATE(2026,11,28),38,0)+IF(C286=DATE(2026,12,1),38,0)+IF(C286=DATE(2026,12,2),26,0)))</f>
        <v/>
      </c>
      <c r="K286" s="13">
        <f>IF(C286=Options!$B$9,B286*12,0)</f>
        <v/>
      </c>
      <c r="L286" s="13">
        <f>IF(C286=Options!$B$9,B286*Options!$Z$5,0)</f>
        <v/>
      </c>
      <c r="M286" s="13" t="n">
        <v>0</v>
      </c>
      <c r="N286" s="13">
        <f>SUM(E286:M286)</f>
        <v/>
      </c>
    </row>
    <row r="287">
      <c r="A287" s="5">
        <f>IF(AND(C287&gt;=Options!$B$9,C287&lt;=Options!$B$10),"Chicago","")</f>
        <v/>
      </c>
      <c r="B287" s="5">
        <f>IF(A287="","",18)</f>
        <v/>
      </c>
      <c r="C287" s="17" t="n">
        <v>46578</v>
      </c>
      <c r="D287" s="5">
        <f>IF(A287="","",IF(C287=DATE(2026,11,29),"培训；注册午餐；早餐参数",IF(C287=DATE(2026,11,30),"培训；注册午餐",IF(C287=DATE(2026,12,1),"培训；注册午餐；机构晚餐",IF(C287=Options!$B$9,"抵达；"&amp;IF(C287=DATE(2026,11,28),"机构晚餐","无统一供餐"),IF(C287=Options!$B$10,"返程；"&amp;IF(C287=DATE(2026,12,2),"机构午餐","无统一供餐"),"差旅状态；无统一日程"))))))</f>
        <v/>
      </c>
      <c r="E287" s="13">
        <f>IF(C287=Options!$B$9,Options!$C$14,0)</f>
        <v/>
      </c>
      <c r="F287" s="13">
        <f>IF(AND(A287&lt;&gt;"",C287&lt;Options!$B$10),B287*Options!$X$5,0)</f>
        <v/>
      </c>
      <c r="G287" s="13">
        <f>F287*12%</f>
        <v/>
      </c>
      <c r="H287" s="13">
        <f>IF(A287="",0,B287*(92*IF(OR(C287=Options!$B$9,C287=Options!$B$10),75%,100%)-IF(C287=DATE(2026,11,29),26+IF(Options!$B$8="是",23,0),0)-IF(C287=DATE(2026,11,30),26,0)-IF(C287=DATE(2026,12,1),64,0)-IF(C287=DATE(2026,11,28),38,0)-IF(C287=DATE(2026,12,2),26,0)))</f>
        <v/>
      </c>
      <c r="I287" s="13">
        <f>IF(AND(C287&gt;=DATE(2026,11,29),C287&lt;=DATE(2026,12,1)),B287*60,0)</f>
        <v/>
      </c>
      <c r="J287" s="13">
        <f>IF(A287="",0,B287*(IF(C287=DATE(2026,11,28),38,0)+IF(C287=DATE(2026,12,1),38,0)+IF(C287=DATE(2026,12,2),26,0)))</f>
        <v/>
      </c>
      <c r="K287" s="13">
        <f>IF(C287=Options!$B$9,B287*12,0)</f>
        <v/>
      </c>
      <c r="L287" s="13">
        <f>IF(C287=Options!$B$9,B287*Options!$Z$5,0)</f>
        <v/>
      </c>
      <c r="M287" s="13" t="n">
        <v>0</v>
      </c>
      <c r="N287" s="13">
        <f>SUM(E287:M287)</f>
        <v/>
      </c>
    </row>
    <row r="288">
      <c r="A288" s="5">
        <f>IF(AND(C288&gt;=Options!$B$9,C288&lt;=Options!$B$10),"Chicago","")</f>
        <v/>
      </c>
      <c r="B288" s="5">
        <f>IF(A288="","",18)</f>
        <v/>
      </c>
      <c r="C288" s="17" t="n">
        <v>46579</v>
      </c>
      <c r="D288" s="5">
        <f>IF(A288="","",IF(C288=DATE(2026,11,29),"培训；注册午餐；早餐参数",IF(C288=DATE(2026,11,30),"培训；注册午餐",IF(C288=DATE(2026,12,1),"培训；注册午餐；机构晚餐",IF(C288=Options!$B$9,"抵达；"&amp;IF(C288=DATE(2026,11,28),"机构晚餐","无统一供餐"),IF(C288=Options!$B$10,"返程；"&amp;IF(C288=DATE(2026,12,2),"机构午餐","无统一供餐"),"差旅状态；无统一日程"))))))</f>
        <v/>
      </c>
      <c r="E288" s="13">
        <f>IF(C288=Options!$B$9,Options!$C$14,0)</f>
        <v/>
      </c>
      <c r="F288" s="13">
        <f>IF(AND(A288&lt;&gt;"",C288&lt;Options!$B$10),B288*Options!$X$5,0)</f>
        <v/>
      </c>
      <c r="G288" s="13">
        <f>F288*12%</f>
        <v/>
      </c>
      <c r="H288" s="13">
        <f>IF(A288="",0,B288*(92*IF(OR(C288=Options!$B$9,C288=Options!$B$10),75%,100%)-IF(C288=DATE(2026,11,29),26+IF(Options!$B$8="是",23,0),0)-IF(C288=DATE(2026,11,30),26,0)-IF(C288=DATE(2026,12,1),64,0)-IF(C288=DATE(2026,11,28),38,0)-IF(C288=DATE(2026,12,2),26,0)))</f>
        <v/>
      </c>
      <c r="I288" s="13">
        <f>IF(AND(C288&gt;=DATE(2026,11,29),C288&lt;=DATE(2026,12,1)),B288*60,0)</f>
        <v/>
      </c>
      <c r="J288" s="13">
        <f>IF(A288="",0,B288*(IF(C288=DATE(2026,11,28),38,0)+IF(C288=DATE(2026,12,1),38,0)+IF(C288=DATE(2026,12,2),26,0)))</f>
        <v/>
      </c>
      <c r="K288" s="13">
        <f>IF(C288=Options!$B$9,B288*12,0)</f>
        <v/>
      </c>
      <c r="L288" s="13">
        <f>IF(C288=Options!$B$9,B288*Options!$Z$5,0)</f>
        <v/>
      </c>
      <c r="M288" s="13" t="n">
        <v>0</v>
      </c>
      <c r="N288" s="13">
        <f>SUM(E288:M288)</f>
        <v/>
      </c>
    </row>
    <row r="289">
      <c r="A289" s="5">
        <f>IF(AND(C289&gt;=Options!$B$9,C289&lt;=Options!$B$10),"Chicago","")</f>
        <v/>
      </c>
      <c r="B289" s="5">
        <f>IF(A289="","",18)</f>
        <v/>
      </c>
      <c r="C289" s="17" t="n">
        <v>46580</v>
      </c>
      <c r="D289" s="5">
        <f>IF(A289="","",IF(C289=DATE(2026,11,29),"培训；注册午餐；早餐参数",IF(C289=DATE(2026,11,30),"培训；注册午餐",IF(C289=DATE(2026,12,1),"培训；注册午餐；机构晚餐",IF(C289=Options!$B$9,"抵达；"&amp;IF(C289=DATE(2026,11,28),"机构晚餐","无统一供餐"),IF(C289=Options!$B$10,"返程；"&amp;IF(C289=DATE(2026,12,2),"机构午餐","无统一供餐"),"差旅状态；无统一日程"))))))</f>
        <v/>
      </c>
      <c r="E289" s="13">
        <f>IF(C289=Options!$B$9,Options!$C$14,0)</f>
        <v/>
      </c>
      <c r="F289" s="13">
        <f>IF(AND(A289&lt;&gt;"",C289&lt;Options!$B$10),B289*Options!$X$5,0)</f>
        <v/>
      </c>
      <c r="G289" s="13">
        <f>F289*12%</f>
        <v/>
      </c>
      <c r="H289" s="13">
        <f>IF(A289="",0,B289*(92*IF(OR(C289=Options!$B$9,C289=Options!$B$10),75%,100%)-IF(C289=DATE(2026,11,29),26+IF(Options!$B$8="是",23,0),0)-IF(C289=DATE(2026,11,30),26,0)-IF(C289=DATE(2026,12,1),64,0)-IF(C289=DATE(2026,11,28),38,0)-IF(C289=DATE(2026,12,2),26,0)))</f>
        <v/>
      </c>
      <c r="I289" s="13">
        <f>IF(AND(C289&gt;=DATE(2026,11,29),C289&lt;=DATE(2026,12,1)),B289*60,0)</f>
        <v/>
      </c>
      <c r="J289" s="13">
        <f>IF(A289="",0,B289*(IF(C289=DATE(2026,11,28),38,0)+IF(C289=DATE(2026,12,1),38,0)+IF(C289=DATE(2026,12,2),26,0)))</f>
        <v/>
      </c>
      <c r="K289" s="13">
        <f>IF(C289=Options!$B$9,B289*12,0)</f>
        <v/>
      </c>
      <c r="L289" s="13">
        <f>IF(C289=Options!$B$9,B289*Options!$Z$5,0)</f>
        <v/>
      </c>
      <c r="M289" s="13" t="n">
        <v>0</v>
      </c>
      <c r="N289" s="13">
        <f>SUM(E289:M289)</f>
        <v/>
      </c>
    </row>
    <row r="290">
      <c r="A290" s="5">
        <f>IF(AND(C290&gt;=Options!$B$9,C290&lt;=Options!$B$10),"Chicago","")</f>
        <v/>
      </c>
      <c r="B290" s="5">
        <f>IF(A290="","",18)</f>
        <v/>
      </c>
      <c r="C290" s="17" t="n">
        <v>46581</v>
      </c>
      <c r="D290" s="5">
        <f>IF(A290="","",IF(C290=DATE(2026,11,29),"培训；注册午餐；早餐参数",IF(C290=DATE(2026,11,30),"培训；注册午餐",IF(C290=DATE(2026,12,1),"培训；注册午餐；机构晚餐",IF(C290=Options!$B$9,"抵达；"&amp;IF(C290=DATE(2026,11,28),"机构晚餐","无统一供餐"),IF(C290=Options!$B$10,"返程；"&amp;IF(C290=DATE(2026,12,2),"机构午餐","无统一供餐"),"差旅状态；无统一日程"))))))</f>
        <v/>
      </c>
      <c r="E290" s="13">
        <f>IF(C290=Options!$B$9,Options!$C$14,0)</f>
        <v/>
      </c>
      <c r="F290" s="13">
        <f>IF(AND(A290&lt;&gt;"",C290&lt;Options!$B$10),B290*Options!$X$5,0)</f>
        <v/>
      </c>
      <c r="G290" s="13">
        <f>F290*12%</f>
        <v/>
      </c>
      <c r="H290" s="13">
        <f>IF(A290="",0,B290*(92*IF(OR(C290=Options!$B$9,C290=Options!$B$10),75%,100%)-IF(C290=DATE(2026,11,29),26+IF(Options!$B$8="是",23,0),0)-IF(C290=DATE(2026,11,30),26,0)-IF(C290=DATE(2026,12,1),64,0)-IF(C290=DATE(2026,11,28),38,0)-IF(C290=DATE(2026,12,2),26,0)))</f>
        <v/>
      </c>
      <c r="I290" s="13">
        <f>IF(AND(C290&gt;=DATE(2026,11,29),C290&lt;=DATE(2026,12,1)),B290*60,0)</f>
        <v/>
      </c>
      <c r="J290" s="13">
        <f>IF(A290="",0,B290*(IF(C290=DATE(2026,11,28),38,0)+IF(C290=DATE(2026,12,1),38,0)+IF(C290=DATE(2026,12,2),26,0)))</f>
        <v/>
      </c>
      <c r="K290" s="13">
        <f>IF(C290=Options!$B$9,B290*12,0)</f>
        <v/>
      </c>
      <c r="L290" s="13">
        <f>IF(C290=Options!$B$9,B290*Options!$Z$5,0)</f>
        <v/>
      </c>
      <c r="M290" s="13" t="n">
        <v>0</v>
      </c>
      <c r="N290" s="13">
        <f>SUM(E290:M290)</f>
        <v/>
      </c>
    </row>
    <row r="291">
      <c r="A291" s="5">
        <f>IF(AND(C291&gt;=Options!$B$9,C291&lt;=Options!$B$10),"Chicago","")</f>
        <v/>
      </c>
      <c r="B291" s="5">
        <f>IF(A291="","",18)</f>
        <v/>
      </c>
      <c r="C291" s="17" t="n">
        <v>46582</v>
      </c>
      <c r="D291" s="5">
        <f>IF(A291="","",IF(C291=DATE(2026,11,29),"培训；注册午餐；早餐参数",IF(C291=DATE(2026,11,30),"培训；注册午餐",IF(C291=DATE(2026,12,1),"培训；注册午餐；机构晚餐",IF(C291=Options!$B$9,"抵达；"&amp;IF(C291=DATE(2026,11,28),"机构晚餐","无统一供餐"),IF(C291=Options!$B$10,"返程；"&amp;IF(C291=DATE(2026,12,2),"机构午餐","无统一供餐"),"差旅状态；无统一日程"))))))</f>
        <v/>
      </c>
      <c r="E291" s="13">
        <f>IF(C291=Options!$B$9,Options!$C$14,0)</f>
        <v/>
      </c>
      <c r="F291" s="13">
        <f>IF(AND(A291&lt;&gt;"",C291&lt;Options!$B$10),B291*Options!$X$5,0)</f>
        <v/>
      </c>
      <c r="G291" s="13">
        <f>F291*12%</f>
        <v/>
      </c>
      <c r="H291" s="13">
        <f>IF(A291="",0,B291*(92*IF(OR(C291=Options!$B$9,C291=Options!$B$10),75%,100%)-IF(C291=DATE(2026,11,29),26+IF(Options!$B$8="是",23,0),0)-IF(C291=DATE(2026,11,30),26,0)-IF(C291=DATE(2026,12,1),64,0)-IF(C291=DATE(2026,11,28),38,0)-IF(C291=DATE(2026,12,2),26,0)))</f>
        <v/>
      </c>
      <c r="I291" s="13">
        <f>IF(AND(C291&gt;=DATE(2026,11,29),C291&lt;=DATE(2026,12,1)),B291*60,0)</f>
        <v/>
      </c>
      <c r="J291" s="13">
        <f>IF(A291="",0,B291*(IF(C291=DATE(2026,11,28),38,0)+IF(C291=DATE(2026,12,1),38,0)+IF(C291=DATE(2026,12,2),26,0)))</f>
        <v/>
      </c>
      <c r="K291" s="13">
        <f>IF(C291=Options!$B$9,B291*12,0)</f>
        <v/>
      </c>
      <c r="L291" s="13">
        <f>IF(C291=Options!$B$9,B291*Options!$Z$5,0)</f>
        <v/>
      </c>
      <c r="M291" s="13" t="n">
        <v>0</v>
      </c>
      <c r="N291" s="13">
        <f>SUM(E291:M291)</f>
        <v/>
      </c>
    </row>
    <row r="292">
      <c r="A292" s="5">
        <f>IF(AND(C292&gt;=Options!$B$9,C292&lt;=Options!$B$10),"Chicago","")</f>
        <v/>
      </c>
      <c r="B292" s="5">
        <f>IF(A292="","",18)</f>
        <v/>
      </c>
      <c r="C292" s="17" t="n">
        <v>46583</v>
      </c>
      <c r="D292" s="5">
        <f>IF(A292="","",IF(C292=DATE(2026,11,29),"培训；注册午餐；早餐参数",IF(C292=DATE(2026,11,30),"培训；注册午餐",IF(C292=DATE(2026,12,1),"培训；注册午餐；机构晚餐",IF(C292=Options!$B$9,"抵达；"&amp;IF(C292=DATE(2026,11,28),"机构晚餐","无统一供餐"),IF(C292=Options!$B$10,"返程；"&amp;IF(C292=DATE(2026,12,2),"机构午餐","无统一供餐"),"差旅状态；无统一日程"))))))</f>
        <v/>
      </c>
      <c r="E292" s="13">
        <f>IF(C292=Options!$B$9,Options!$C$14,0)</f>
        <v/>
      </c>
      <c r="F292" s="13">
        <f>IF(AND(A292&lt;&gt;"",C292&lt;Options!$B$10),B292*Options!$X$5,0)</f>
        <v/>
      </c>
      <c r="G292" s="13">
        <f>F292*12%</f>
        <v/>
      </c>
      <c r="H292" s="13">
        <f>IF(A292="",0,B292*(92*IF(OR(C292=Options!$B$9,C292=Options!$B$10),75%,100%)-IF(C292=DATE(2026,11,29),26+IF(Options!$B$8="是",23,0),0)-IF(C292=DATE(2026,11,30),26,0)-IF(C292=DATE(2026,12,1),64,0)-IF(C292=DATE(2026,11,28),38,0)-IF(C292=DATE(2026,12,2),26,0)))</f>
        <v/>
      </c>
      <c r="I292" s="13">
        <f>IF(AND(C292&gt;=DATE(2026,11,29),C292&lt;=DATE(2026,12,1)),B292*60,0)</f>
        <v/>
      </c>
      <c r="J292" s="13">
        <f>IF(A292="",0,B292*(IF(C292=DATE(2026,11,28),38,0)+IF(C292=DATE(2026,12,1),38,0)+IF(C292=DATE(2026,12,2),26,0)))</f>
        <v/>
      </c>
      <c r="K292" s="13">
        <f>IF(C292=Options!$B$9,B292*12,0)</f>
        <v/>
      </c>
      <c r="L292" s="13">
        <f>IF(C292=Options!$B$9,B292*Options!$Z$5,0)</f>
        <v/>
      </c>
      <c r="M292" s="13" t="n">
        <v>0</v>
      </c>
      <c r="N292" s="13">
        <f>SUM(E292:M292)</f>
        <v/>
      </c>
    </row>
    <row r="293">
      <c r="A293" s="5">
        <f>IF(AND(C293&gt;=Options!$B$9,C293&lt;=Options!$B$10),"Chicago","")</f>
        <v/>
      </c>
      <c r="B293" s="5">
        <f>IF(A293="","",18)</f>
        <v/>
      </c>
      <c r="C293" s="17" t="n">
        <v>46584</v>
      </c>
      <c r="D293" s="5">
        <f>IF(A293="","",IF(C293=DATE(2026,11,29),"培训；注册午餐；早餐参数",IF(C293=DATE(2026,11,30),"培训；注册午餐",IF(C293=DATE(2026,12,1),"培训；注册午餐；机构晚餐",IF(C293=Options!$B$9,"抵达；"&amp;IF(C293=DATE(2026,11,28),"机构晚餐","无统一供餐"),IF(C293=Options!$B$10,"返程；"&amp;IF(C293=DATE(2026,12,2),"机构午餐","无统一供餐"),"差旅状态；无统一日程"))))))</f>
        <v/>
      </c>
      <c r="E293" s="13">
        <f>IF(C293=Options!$B$9,Options!$C$14,0)</f>
        <v/>
      </c>
      <c r="F293" s="13">
        <f>IF(AND(A293&lt;&gt;"",C293&lt;Options!$B$10),B293*Options!$X$5,0)</f>
        <v/>
      </c>
      <c r="G293" s="13">
        <f>F293*12%</f>
        <v/>
      </c>
      <c r="H293" s="13">
        <f>IF(A293="",0,B293*(92*IF(OR(C293=Options!$B$9,C293=Options!$B$10),75%,100%)-IF(C293=DATE(2026,11,29),26+IF(Options!$B$8="是",23,0),0)-IF(C293=DATE(2026,11,30),26,0)-IF(C293=DATE(2026,12,1),64,0)-IF(C293=DATE(2026,11,28),38,0)-IF(C293=DATE(2026,12,2),26,0)))</f>
        <v/>
      </c>
      <c r="I293" s="13">
        <f>IF(AND(C293&gt;=DATE(2026,11,29),C293&lt;=DATE(2026,12,1)),B293*60,0)</f>
        <v/>
      </c>
      <c r="J293" s="13">
        <f>IF(A293="",0,B293*(IF(C293=DATE(2026,11,28),38,0)+IF(C293=DATE(2026,12,1),38,0)+IF(C293=DATE(2026,12,2),26,0)))</f>
        <v/>
      </c>
      <c r="K293" s="13">
        <f>IF(C293=Options!$B$9,B293*12,0)</f>
        <v/>
      </c>
      <c r="L293" s="13">
        <f>IF(C293=Options!$B$9,B293*Options!$Z$5,0)</f>
        <v/>
      </c>
      <c r="M293" s="13" t="n">
        <v>0</v>
      </c>
      <c r="N293" s="13">
        <f>SUM(E293:M293)</f>
        <v/>
      </c>
    </row>
    <row r="294">
      <c r="A294" s="5">
        <f>IF(AND(C294&gt;=Options!$B$9,C294&lt;=Options!$B$10),"Chicago","")</f>
        <v/>
      </c>
      <c r="B294" s="5">
        <f>IF(A294="","",18)</f>
        <v/>
      </c>
      <c r="C294" s="17" t="n">
        <v>46585</v>
      </c>
      <c r="D294" s="5">
        <f>IF(A294="","",IF(C294=DATE(2026,11,29),"培训；注册午餐；早餐参数",IF(C294=DATE(2026,11,30),"培训；注册午餐",IF(C294=DATE(2026,12,1),"培训；注册午餐；机构晚餐",IF(C294=Options!$B$9,"抵达；"&amp;IF(C294=DATE(2026,11,28),"机构晚餐","无统一供餐"),IF(C294=Options!$B$10,"返程；"&amp;IF(C294=DATE(2026,12,2),"机构午餐","无统一供餐"),"差旅状态；无统一日程"))))))</f>
        <v/>
      </c>
      <c r="E294" s="13">
        <f>IF(C294=Options!$B$9,Options!$C$14,0)</f>
        <v/>
      </c>
      <c r="F294" s="13">
        <f>IF(AND(A294&lt;&gt;"",C294&lt;Options!$B$10),B294*Options!$X$5,0)</f>
        <v/>
      </c>
      <c r="G294" s="13">
        <f>F294*12%</f>
        <v/>
      </c>
      <c r="H294" s="13">
        <f>IF(A294="",0,B294*(92*IF(OR(C294=Options!$B$9,C294=Options!$B$10),75%,100%)-IF(C294=DATE(2026,11,29),26+IF(Options!$B$8="是",23,0),0)-IF(C294=DATE(2026,11,30),26,0)-IF(C294=DATE(2026,12,1),64,0)-IF(C294=DATE(2026,11,28),38,0)-IF(C294=DATE(2026,12,2),26,0)))</f>
        <v/>
      </c>
      <c r="I294" s="13">
        <f>IF(AND(C294&gt;=DATE(2026,11,29),C294&lt;=DATE(2026,12,1)),B294*60,0)</f>
        <v/>
      </c>
      <c r="J294" s="13">
        <f>IF(A294="",0,B294*(IF(C294=DATE(2026,11,28),38,0)+IF(C294=DATE(2026,12,1),38,0)+IF(C294=DATE(2026,12,2),26,0)))</f>
        <v/>
      </c>
      <c r="K294" s="13">
        <f>IF(C294=Options!$B$9,B294*12,0)</f>
        <v/>
      </c>
      <c r="L294" s="13">
        <f>IF(C294=Options!$B$9,B294*Options!$Z$5,0)</f>
        <v/>
      </c>
      <c r="M294" s="13" t="n">
        <v>0</v>
      </c>
      <c r="N294" s="13">
        <f>SUM(E294:M294)</f>
        <v/>
      </c>
    </row>
    <row r="295">
      <c r="A295" s="5">
        <f>IF(AND(C295&gt;=Options!$B$9,C295&lt;=Options!$B$10),"Chicago","")</f>
        <v/>
      </c>
      <c r="B295" s="5">
        <f>IF(A295="","",18)</f>
        <v/>
      </c>
      <c r="C295" s="17" t="n">
        <v>46586</v>
      </c>
      <c r="D295" s="5">
        <f>IF(A295="","",IF(C295=DATE(2026,11,29),"培训；注册午餐；早餐参数",IF(C295=DATE(2026,11,30),"培训；注册午餐",IF(C295=DATE(2026,12,1),"培训；注册午餐；机构晚餐",IF(C295=Options!$B$9,"抵达；"&amp;IF(C295=DATE(2026,11,28),"机构晚餐","无统一供餐"),IF(C295=Options!$B$10,"返程；"&amp;IF(C295=DATE(2026,12,2),"机构午餐","无统一供餐"),"差旅状态；无统一日程"))))))</f>
        <v/>
      </c>
      <c r="E295" s="13">
        <f>IF(C295=Options!$B$9,Options!$C$14,0)</f>
        <v/>
      </c>
      <c r="F295" s="13">
        <f>IF(AND(A295&lt;&gt;"",C295&lt;Options!$B$10),B295*Options!$X$5,0)</f>
        <v/>
      </c>
      <c r="G295" s="13">
        <f>F295*12%</f>
        <v/>
      </c>
      <c r="H295" s="13">
        <f>IF(A295="",0,B295*(92*IF(OR(C295=Options!$B$9,C295=Options!$B$10),75%,100%)-IF(C295=DATE(2026,11,29),26+IF(Options!$B$8="是",23,0),0)-IF(C295=DATE(2026,11,30),26,0)-IF(C295=DATE(2026,12,1),64,0)-IF(C295=DATE(2026,11,28),38,0)-IF(C295=DATE(2026,12,2),26,0)))</f>
        <v/>
      </c>
      <c r="I295" s="13">
        <f>IF(AND(C295&gt;=DATE(2026,11,29),C295&lt;=DATE(2026,12,1)),B295*60,0)</f>
        <v/>
      </c>
      <c r="J295" s="13">
        <f>IF(A295="",0,B295*(IF(C295=DATE(2026,11,28),38,0)+IF(C295=DATE(2026,12,1),38,0)+IF(C295=DATE(2026,12,2),26,0)))</f>
        <v/>
      </c>
      <c r="K295" s="13">
        <f>IF(C295=Options!$B$9,B295*12,0)</f>
        <v/>
      </c>
      <c r="L295" s="13">
        <f>IF(C295=Options!$B$9,B295*Options!$Z$5,0)</f>
        <v/>
      </c>
      <c r="M295" s="13" t="n">
        <v>0</v>
      </c>
      <c r="N295" s="13">
        <f>SUM(E295:M295)</f>
        <v/>
      </c>
    </row>
    <row r="296">
      <c r="A296" s="5">
        <f>IF(AND(C296&gt;=Options!$B$9,C296&lt;=Options!$B$10),"Chicago","")</f>
        <v/>
      </c>
      <c r="B296" s="5">
        <f>IF(A296="","",18)</f>
        <v/>
      </c>
      <c r="C296" s="17" t="n">
        <v>46587</v>
      </c>
      <c r="D296" s="5">
        <f>IF(A296="","",IF(C296=DATE(2026,11,29),"培训；注册午餐；早餐参数",IF(C296=DATE(2026,11,30),"培训；注册午餐",IF(C296=DATE(2026,12,1),"培训；注册午餐；机构晚餐",IF(C296=Options!$B$9,"抵达；"&amp;IF(C296=DATE(2026,11,28),"机构晚餐","无统一供餐"),IF(C296=Options!$B$10,"返程；"&amp;IF(C296=DATE(2026,12,2),"机构午餐","无统一供餐"),"差旅状态；无统一日程"))))))</f>
        <v/>
      </c>
      <c r="E296" s="13">
        <f>IF(C296=Options!$B$9,Options!$C$14,0)</f>
        <v/>
      </c>
      <c r="F296" s="13">
        <f>IF(AND(A296&lt;&gt;"",C296&lt;Options!$B$10),B296*Options!$X$5,0)</f>
        <v/>
      </c>
      <c r="G296" s="13">
        <f>F296*12%</f>
        <v/>
      </c>
      <c r="H296" s="13">
        <f>IF(A296="",0,B296*(92*IF(OR(C296=Options!$B$9,C296=Options!$B$10),75%,100%)-IF(C296=DATE(2026,11,29),26+IF(Options!$B$8="是",23,0),0)-IF(C296=DATE(2026,11,30),26,0)-IF(C296=DATE(2026,12,1),64,0)-IF(C296=DATE(2026,11,28),38,0)-IF(C296=DATE(2026,12,2),26,0)))</f>
        <v/>
      </c>
      <c r="I296" s="13">
        <f>IF(AND(C296&gt;=DATE(2026,11,29),C296&lt;=DATE(2026,12,1)),B296*60,0)</f>
        <v/>
      </c>
      <c r="J296" s="13">
        <f>IF(A296="",0,B296*(IF(C296=DATE(2026,11,28),38,0)+IF(C296=DATE(2026,12,1),38,0)+IF(C296=DATE(2026,12,2),26,0)))</f>
        <v/>
      </c>
      <c r="K296" s="13">
        <f>IF(C296=Options!$B$9,B296*12,0)</f>
        <v/>
      </c>
      <c r="L296" s="13">
        <f>IF(C296=Options!$B$9,B296*Options!$Z$5,0)</f>
        <v/>
      </c>
      <c r="M296" s="13" t="n">
        <v>0</v>
      </c>
      <c r="N296" s="13">
        <f>SUM(E296:M296)</f>
        <v/>
      </c>
    </row>
    <row r="297">
      <c r="A297" s="5">
        <f>IF(AND(C297&gt;=Options!$B$9,C297&lt;=Options!$B$10),"Chicago","")</f>
        <v/>
      </c>
      <c r="B297" s="5">
        <f>IF(A297="","",18)</f>
        <v/>
      </c>
      <c r="C297" s="17" t="n">
        <v>46588</v>
      </c>
      <c r="D297" s="5">
        <f>IF(A297="","",IF(C297=DATE(2026,11,29),"培训；注册午餐；早餐参数",IF(C297=DATE(2026,11,30),"培训；注册午餐",IF(C297=DATE(2026,12,1),"培训；注册午餐；机构晚餐",IF(C297=Options!$B$9,"抵达；"&amp;IF(C297=DATE(2026,11,28),"机构晚餐","无统一供餐"),IF(C297=Options!$B$10,"返程；"&amp;IF(C297=DATE(2026,12,2),"机构午餐","无统一供餐"),"差旅状态；无统一日程"))))))</f>
        <v/>
      </c>
      <c r="E297" s="13">
        <f>IF(C297=Options!$B$9,Options!$C$14,0)</f>
        <v/>
      </c>
      <c r="F297" s="13">
        <f>IF(AND(A297&lt;&gt;"",C297&lt;Options!$B$10),B297*Options!$X$5,0)</f>
        <v/>
      </c>
      <c r="G297" s="13">
        <f>F297*12%</f>
        <v/>
      </c>
      <c r="H297" s="13">
        <f>IF(A297="",0,B297*(92*IF(OR(C297=Options!$B$9,C297=Options!$B$10),75%,100%)-IF(C297=DATE(2026,11,29),26+IF(Options!$B$8="是",23,0),0)-IF(C297=DATE(2026,11,30),26,0)-IF(C297=DATE(2026,12,1),64,0)-IF(C297=DATE(2026,11,28),38,0)-IF(C297=DATE(2026,12,2),26,0)))</f>
        <v/>
      </c>
      <c r="I297" s="13">
        <f>IF(AND(C297&gt;=DATE(2026,11,29),C297&lt;=DATE(2026,12,1)),B297*60,0)</f>
        <v/>
      </c>
      <c r="J297" s="13">
        <f>IF(A297="",0,B297*(IF(C297=DATE(2026,11,28),38,0)+IF(C297=DATE(2026,12,1),38,0)+IF(C297=DATE(2026,12,2),26,0)))</f>
        <v/>
      </c>
      <c r="K297" s="13">
        <f>IF(C297=Options!$B$9,B297*12,0)</f>
        <v/>
      </c>
      <c r="L297" s="13">
        <f>IF(C297=Options!$B$9,B297*Options!$Z$5,0)</f>
        <v/>
      </c>
      <c r="M297" s="13" t="n">
        <v>0</v>
      </c>
      <c r="N297" s="13">
        <f>SUM(E297:M297)</f>
        <v/>
      </c>
    </row>
    <row r="298">
      <c r="A298" s="5">
        <f>IF(AND(C298&gt;=Options!$B$9,C298&lt;=Options!$B$10),"Chicago","")</f>
        <v/>
      </c>
      <c r="B298" s="5">
        <f>IF(A298="","",18)</f>
        <v/>
      </c>
      <c r="C298" s="17" t="n">
        <v>46589</v>
      </c>
      <c r="D298" s="5">
        <f>IF(A298="","",IF(C298=DATE(2026,11,29),"培训；注册午餐；早餐参数",IF(C298=DATE(2026,11,30),"培训；注册午餐",IF(C298=DATE(2026,12,1),"培训；注册午餐；机构晚餐",IF(C298=Options!$B$9,"抵达；"&amp;IF(C298=DATE(2026,11,28),"机构晚餐","无统一供餐"),IF(C298=Options!$B$10,"返程；"&amp;IF(C298=DATE(2026,12,2),"机构午餐","无统一供餐"),"差旅状态；无统一日程"))))))</f>
        <v/>
      </c>
      <c r="E298" s="13">
        <f>IF(C298=Options!$B$9,Options!$C$14,0)</f>
        <v/>
      </c>
      <c r="F298" s="13">
        <f>IF(AND(A298&lt;&gt;"",C298&lt;Options!$B$10),B298*Options!$X$5,0)</f>
        <v/>
      </c>
      <c r="G298" s="13">
        <f>F298*12%</f>
        <v/>
      </c>
      <c r="H298" s="13">
        <f>IF(A298="",0,B298*(92*IF(OR(C298=Options!$B$9,C298=Options!$B$10),75%,100%)-IF(C298=DATE(2026,11,29),26+IF(Options!$B$8="是",23,0),0)-IF(C298=DATE(2026,11,30),26,0)-IF(C298=DATE(2026,12,1),64,0)-IF(C298=DATE(2026,11,28),38,0)-IF(C298=DATE(2026,12,2),26,0)))</f>
        <v/>
      </c>
      <c r="I298" s="13">
        <f>IF(AND(C298&gt;=DATE(2026,11,29),C298&lt;=DATE(2026,12,1)),B298*60,0)</f>
        <v/>
      </c>
      <c r="J298" s="13">
        <f>IF(A298="",0,B298*(IF(C298=DATE(2026,11,28),38,0)+IF(C298=DATE(2026,12,1),38,0)+IF(C298=DATE(2026,12,2),26,0)))</f>
        <v/>
      </c>
      <c r="K298" s="13">
        <f>IF(C298=Options!$B$9,B298*12,0)</f>
        <v/>
      </c>
      <c r="L298" s="13">
        <f>IF(C298=Options!$B$9,B298*Options!$Z$5,0)</f>
        <v/>
      </c>
      <c r="M298" s="13" t="n">
        <v>0</v>
      </c>
      <c r="N298" s="13">
        <f>SUM(E298:M298)</f>
        <v/>
      </c>
    </row>
    <row r="299">
      <c r="A299" s="5">
        <f>IF(AND(C299&gt;=Options!$B$9,C299&lt;=Options!$B$10),"Chicago","")</f>
        <v/>
      </c>
      <c r="B299" s="5">
        <f>IF(A299="","",18)</f>
        <v/>
      </c>
      <c r="C299" s="17" t="n">
        <v>46590</v>
      </c>
      <c r="D299" s="5">
        <f>IF(A299="","",IF(C299=DATE(2026,11,29),"培训；注册午餐；早餐参数",IF(C299=DATE(2026,11,30),"培训；注册午餐",IF(C299=DATE(2026,12,1),"培训；注册午餐；机构晚餐",IF(C299=Options!$B$9,"抵达；"&amp;IF(C299=DATE(2026,11,28),"机构晚餐","无统一供餐"),IF(C299=Options!$B$10,"返程；"&amp;IF(C299=DATE(2026,12,2),"机构午餐","无统一供餐"),"差旅状态；无统一日程"))))))</f>
        <v/>
      </c>
      <c r="E299" s="13">
        <f>IF(C299=Options!$B$9,Options!$C$14,0)</f>
        <v/>
      </c>
      <c r="F299" s="13">
        <f>IF(AND(A299&lt;&gt;"",C299&lt;Options!$B$10),B299*Options!$X$5,0)</f>
        <v/>
      </c>
      <c r="G299" s="13">
        <f>F299*12%</f>
        <v/>
      </c>
      <c r="H299" s="13">
        <f>IF(A299="",0,B299*(92*IF(OR(C299=Options!$B$9,C299=Options!$B$10),75%,100%)-IF(C299=DATE(2026,11,29),26+IF(Options!$B$8="是",23,0),0)-IF(C299=DATE(2026,11,30),26,0)-IF(C299=DATE(2026,12,1),64,0)-IF(C299=DATE(2026,11,28),38,0)-IF(C299=DATE(2026,12,2),26,0)))</f>
        <v/>
      </c>
      <c r="I299" s="13">
        <f>IF(AND(C299&gt;=DATE(2026,11,29),C299&lt;=DATE(2026,12,1)),B299*60,0)</f>
        <v/>
      </c>
      <c r="J299" s="13">
        <f>IF(A299="",0,B299*(IF(C299=DATE(2026,11,28),38,0)+IF(C299=DATE(2026,12,1),38,0)+IF(C299=DATE(2026,12,2),26,0)))</f>
        <v/>
      </c>
      <c r="K299" s="13">
        <f>IF(C299=Options!$B$9,B299*12,0)</f>
        <v/>
      </c>
      <c r="L299" s="13">
        <f>IF(C299=Options!$B$9,B299*Options!$Z$5,0)</f>
        <v/>
      </c>
      <c r="M299" s="13" t="n">
        <v>0</v>
      </c>
      <c r="N299" s="13">
        <f>SUM(E299:M299)</f>
        <v/>
      </c>
    </row>
    <row r="300">
      <c r="A300" s="5">
        <f>IF(AND(C300&gt;=Options!$B$9,C300&lt;=Options!$B$10),"Chicago","")</f>
        <v/>
      </c>
      <c r="B300" s="5">
        <f>IF(A300="","",18)</f>
        <v/>
      </c>
      <c r="C300" s="17" t="n">
        <v>46591</v>
      </c>
      <c r="D300" s="5">
        <f>IF(A300="","",IF(C300=DATE(2026,11,29),"培训；注册午餐；早餐参数",IF(C300=DATE(2026,11,30),"培训；注册午餐",IF(C300=DATE(2026,12,1),"培训；注册午餐；机构晚餐",IF(C300=Options!$B$9,"抵达；"&amp;IF(C300=DATE(2026,11,28),"机构晚餐","无统一供餐"),IF(C300=Options!$B$10,"返程；"&amp;IF(C300=DATE(2026,12,2),"机构午餐","无统一供餐"),"差旅状态；无统一日程"))))))</f>
        <v/>
      </c>
      <c r="E300" s="13">
        <f>IF(C300=Options!$B$9,Options!$C$14,0)</f>
        <v/>
      </c>
      <c r="F300" s="13">
        <f>IF(AND(A300&lt;&gt;"",C300&lt;Options!$B$10),B300*Options!$X$5,0)</f>
        <v/>
      </c>
      <c r="G300" s="13">
        <f>F300*12%</f>
        <v/>
      </c>
      <c r="H300" s="13">
        <f>IF(A300="",0,B300*(92*IF(OR(C300=Options!$B$9,C300=Options!$B$10),75%,100%)-IF(C300=DATE(2026,11,29),26+IF(Options!$B$8="是",23,0),0)-IF(C300=DATE(2026,11,30),26,0)-IF(C300=DATE(2026,12,1),64,0)-IF(C300=DATE(2026,11,28),38,0)-IF(C300=DATE(2026,12,2),26,0)))</f>
        <v/>
      </c>
      <c r="I300" s="13">
        <f>IF(AND(C300&gt;=DATE(2026,11,29),C300&lt;=DATE(2026,12,1)),B300*60,0)</f>
        <v/>
      </c>
      <c r="J300" s="13">
        <f>IF(A300="",0,B300*(IF(C300=DATE(2026,11,28),38,0)+IF(C300=DATE(2026,12,1),38,0)+IF(C300=DATE(2026,12,2),26,0)))</f>
        <v/>
      </c>
      <c r="K300" s="13">
        <f>IF(C300=Options!$B$9,B300*12,0)</f>
        <v/>
      </c>
      <c r="L300" s="13">
        <f>IF(C300=Options!$B$9,B300*Options!$Z$5,0)</f>
        <v/>
      </c>
      <c r="M300" s="13" t="n">
        <v>0</v>
      </c>
      <c r="N300" s="13">
        <f>SUM(E300:M300)</f>
        <v/>
      </c>
    </row>
    <row r="301">
      <c r="A301" s="5">
        <f>IF(AND(C301&gt;=Options!$B$9,C301&lt;=Options!$B$10),"Chicago","")</f>
        <v/>
      </c>
      <c r="B301" s="5">
        <f>IF(A301="","",18)</f>
        <v/>
      </c>
      <c r="C301" s="17" t="n">
        <v>46592</v>
      </c>
      <c r="D301" s="5">
        <f>IF(A301="","",IF(C301=DATE(2026,11,29),"培训；注册午餐；早餐参数",IF(C301=DATE(2026,11,30),"培训；注册午餐",IF(C301=DATE(2026,12,1),"培训；注册午餐；机构晚餐",IF(C301=Options!$B$9,"抵达；"&amp;IF(C301=DATE(2026,11,28),"机构晚餐","无统一供餐"),IF(C301=Options!$B$10,"返程；"&amp;IF(C301=DATE(2026,12,2),"机构午餐","无统一供餐"),"差旅状态；无统一日程"))))))</f>
        <v/>
      </c>
      <c r="E301" s="13">
        <f>IF(C301=Options!$B$9,Options!$C$14,0)</f>
        <v/>
      </c>
      <c r="F301" s="13">
        <f>IF(AND(A301&lt;&gt;"",C301&lt;Options!$B$10),B301*Options!$X$5,0)</f>
        <v/>
      </c>
      <c r="G301" s="13">
        <f>F301*12%</f>
        <v/>
      </c>
      <c r="H301" s="13">
        <f>IF(A301="",0,B301*(92*IF(OR(C301=Options!$B$9,C301=Options!$B$10),75%,100%)-IF(C301=DATE(2026,11,29),26+IF(Options!$B$8="是",23,0),0)-IF(C301=DATE(2026,11,30),26,0)-IF(C301=DATE(2026,12,1),64,0)-IF(C301=DATE(2026,11,28),38,0)-IF(C301=DATE(2026,12,2),26,0)))</f>
        <v/>
      </c>
      <c r="I301" s="13">
        <f>IF(AND(C301&gt;=DATE(2026,11,29),C301&lt;=DATE(2026,12,1)),B301*60,0)</f>
        <v/>
      </c>
      <c r="J301" s="13">
        <f>IF(A301="",0,B301*(IF(C301=DATE(2026,11,28),38,0)+IF(C301=DATE(2026,12,1),38,0)+IF(C301=DATE(2026,12,2),26,0)))</f>
        <v/>
      </c>
      <c r="K301" s="13">
        <f>IF(C301=Options!$B$9,B301*12,0)</f>
        <v/>
      </c>
      <c r="L301" s="13">
        <f>IF(C301=Options!$B$9,B301*Options!$Z$5,0)</f>
        <v/>
      </c>
      <c r="M301" s="13" t="n">
        <v>0</v>
      </c>
      <c r="N301" s="13">
        <f>SUM(E301:M301)</f>
        <v/>
      </c>
    </row>
    <row r="302">
      <c r="A302" s="5">
        <f>IF(AND(C302&gt;=Options!$B$9,C302&lt;=Options!$B$10),"Chicago","")</f>
        <v/>
      </c>
      <c r="B302" s="5">
        <f>IF(A302="","",18)</f>
        <v/>
      </c>
      <c r="C302" s="17" t="n">
        <v>46593</v>
      </c>
      <c r="D302" s="5">
        <f>IF(A302="","",IF(C302=DATE(2026,11,29),"培训；注册午餐；早餐参数",IF(C302=DATE(2026,11,30),"培训；注册午餐",IF(C302=DATE(2026,12,1),"培训；注册午餐；机构晚餐",IF(C302=Options!$B$9,"抵达；"&amp;IF(C302=DATE(2026,11,28),"机构晚餐","无统一供餐"),IF(C302=Options!$B$10,"返程；"&amp;IF(C302=DATE(2026,12,2),"机构午餐","无统一供餐"),"差旅状态；无统一日程"))))))</f>
        <v/>
      </c>
      <c r="E302" s="13">
        <f>IF(C302=Options!$B$9,Options!$C$14,0)</f>
        <v/>
      </c>
      <c r="F302" s="13">
        <f>IF(AND(A302&lt;&gt;"",C302&lt;Options!$B$10),B302*Options!$X$5,0)</f>
        <v/>
      </c>
      <c r="G302" s="13">
        <f>F302*12%</f>
        <v/>
      </c>
      <c r="H302" s="13">
        <f>IF(A302="",0,B302*(92*IF(OR(C302=Options!$B$9,C302=Options!$B$10),75%,100%)-IF(C302=DATE(2026,11,29),26+IF(Options!$B$8="是",23,0),0)-IF(C302=DATE(2026,11,30),26,0)-IF(C302=DATE(2026,12,1),64,0)-IF(C302=DATE(2026,11,28),38,0)-IF(C302=DATE(2026,12,2),26,0)))</f>
        <v/>
      </c>
      <c r="I302" s="13">
        <f>IF(AND(C302&gt;=DATE(2026,11,29),C302&lt;=DATE(2026,12,1)),B302*60,0)</f>
        <v/>
      </c>
      <c r="J302" s="13">
        <f>IF(A302="",0,B302*(IF(C302=DATE(2026,11,28),38,0)+IF(C302=DATE(2026,12,1),38,0)+IF(C302=DATE(2026,12,2),26,0)))</f>
        <v/>
      </c>
      <c r="K302" s="13">
        <f>IF(C302=Options!$B$9,B302*12,0)</f>
        <v/>
      </c>
      <c r="L302" s="13">
        <f>IF(C302=Options!$B$9,B302*Options!$Z$5,0)</f>
        <v/>
      </c>
      <c r="M302" s="13" t="n">
        <v>0</v>
      </c>
      <c r="N302" s="13">
        <f>SUM(E302:M302)</f>
        <v/>
      </c>
    </row>
    <row r="303">
      <c r="A303" s="5">
        <f>IF(AND(C303&gt;=Options!$B$9,C303&lt;=Options!$B$10),"Chicago","")</f>
        <v/>
      </c>
      <c r="B303" s="5">
        <f>IF(A303="","",18)</f>
        <v/>
      </c>
      <c r="C303" s="17" t="n">
        <v>46594</v>
      </c>
      <c r="D303" s="5">
        <f>IF(A303="","",IF(C303=DATE(2026,11,29),"培训；注册午餐；早餐参数",IF(C303=DATE(2026,11,30),"培训；注册午餐",IF(C303=DATE(2026,12,1),"培训；注册午餐；机构晚餐",IF(C303=Options!$B$9,"抵达；"&amp;IF(C303=DATE(2026,11,28),"机构晚餐","无统一供餐"),IF(C303=Options!$B$10,"返程；"&amp;IF(C303=DATE(2026,12,2),"机构午餐","无统一供餐"),"差旅状态；无统一日程"))))))</f>
        <v/>
      </c>
      <c r="E303" s="13">
        <f>IF(C303=Options!$B$9,Options!$C$14,0)</f>
        <v/>
      </c>
      <c r="F303" s="13">
        <f>IF(AND(A303&lt;&gt;"",C303&lt;Options!$B$10),B303*Options!$X$5,0)</f>
        <v/>
      </c>
      <c r="G303" s="13">
        <f>F303*12%</f>
        <v/>
      </c>
      <c r="H303" s="13">
        <f>IF(A303="",0,B303*(92*IF(OR(C303=Options!$B$9,C303=Options!$B$10),75%,100%)-IF(C303=DATE(2026,11,29),26+IF(Options!$B$8="是",23,0),0)-IF(C303=DATE(2026,11,30),26,0)-IF(C303=DATE(2026,12,1),64,0)-IF(C303=DATE(2026,11,28),38,0)-IF(C303=DATE(2026,12,2),26,0)))</f>
        <v/>
      </c>
      <c r="I303" s="13">
        <f>IF(AND(C303&gt;=DATE(2026,11,29),C303&lt;=DATE(2026,12,1)),B303*60,0)</f>
        <v/>
      </c>
      <c r="J303" s="13">
        <f>IF(A303="",0,B303*(IF(C303=DATE(2026,11,28),38,0)+IF(C303=DATE(2026,12,1),38,0)+IF(C303=DATE(2026,12,2),26,0)))</f>
        <v/>
      </c>
      <c r="K303" s="13">
        <f>IF(C303=Options!$B$9,B303*12,0)</f>
        <v/>
      </c>
      <c r="L303" s="13">
        <f>IF(C303=Options!$B$9,B303*Options!$Z$5,0)</f>
        <v/>
      </c>
      <c r="M303" s="13" t="n">
        <v>0</v>
      </c>
      <c r="N303" s="13">
        <f>SUM(E303:M303)</f>
        <v/>
      </c>
    </row>
    <row r="304">
      <c r="A304" s="5">
        <f>IF(AND(C304&gt;=Options!$B$9,C304&lt;=Options!$B$10),"Chicago","")</f>
        <v/>
      </c>
      <c r="B304" s="5">
        <f>IF(A304="","",18)</f>
        <v/>
      </c>
      <c r="C304" s="17" t="n">
        <v>46595</v>
      </c>
      <c r="D304" s="5">
        <f>IF(A304="","",IF(C304=DATE(2026,11,29),"培训；注册午餐；早餐参数",IF(C304=DATE(2026,11,30),"培训；注册午餐",IF(C304=DATE(2026,12,1),"培训；注册午餐；机构晚餐",IF(C304=Options!$B$9,"抵达；"&amp;IF(C304=DATE(2026,11,28),"机构晚餐","无统一供餐"),IF(C304=Options!$B$10,"返程；"&amp;IF(C304=DATE(2026,12,2),"机构午餐","无统一供餐"),"差旅状态；无统一日程"))))))</f>
        <v/>
      </c>
      <c r="E304" s="13">
        <f>IF(C304=Options!$B$9,Options!$C$14,0)</f>
        <v/>
      </c>
      <c r="F304" s="13">
        <f>IF(AND(A304&lt;&gt;"",C304&lt;Options!$B$10),B304*Options!$X$5,0)</f>
        <v/>
      </c>
      <c r="G304" s="13">
        <f>F304*12%</f>
        <v/>
      </c>
      <c r="H304" s="13">
        <f>IF(A304="",0,B304*(92*IF(OR(C304=Options!$B$9,C304=Options!$B$10),75%,100%)-IF(C304=DATE(2026,11,29),26+IF(Options!$B$8="是",23,0),0)-IF(C304=DATE(2026,11,30),26,0)-IF(C304=DATE(2026,12,1),64,0)-IF(C304=DATE(2026,11,28),38,0)-IF(C304=DATE(2026,12,2),26,0)))</f>
        <v/>
      </c>
      <c r="I304" s="13">
        <f>IF(AND(C304&gt;=DATE(2026,11,29),C304&lt;=DATE(2026,12,1)),B304*60,0)</f>
        <v/>
      </c>
      <c r="J304" s="13">
        <f>IF(A304="",0,B304*(IF(C304=DATE(2026,11,28),38,0)+IF(C304=DATE(2026,12,1),38,0)+IF(C304=DATE(2026,12,2),26,0)))</f>
        <v/>
      </c>
      <c r="K304" s="13">
        <f>IF(C304=Options!$B$9,B304*12,0)</f>
        <v/>
      </c>
      <c r="L304" s="13">
        <f>IF(C304=Options!$B$9,B304*Options!$Z$5,0)</f>
        <v/>
      </c>
      <c r="M304" s="13" t="n">
        <v>0</v>
      </c>
      <c r="N304" s="13">
        <f>SUM(E304:M304)</f>
        <v/>
      </c>
    </row>
    <row r="305">
      <c r="A305" s="5">
        <f>IF(AND(C305&gt;=Options!$B$9,C305&lt;=Options!$B$10),"Chicago","")</f>
        <v/>
      </c>
      <c r="B305" s="5">
        <f>IF(A305="","",18)</f>
        <v/>
      </c>
      <c r="C305" s="17" t="n">
        <v>46596</v>
      </c>
      <c r="D305" s="5">
        <f>IF(A305="","",IF(C305=DATE(2026,11,29),"培训；注册午餐；早餐参数",IF(C305=DATE(2026,11,30),"培训；注册午餐",IF(C305=DATE(2026,12,1),"培训；注册午餐；机构晚餐",IF(C305=Options!$B$9,"抵达；"&amp;IF(C305=DATE(2026,11,28),"机构晚餐","无统一供餐"),IF(C305=Options!$B$10,"返程；"&amp;IF(C305=DATE(2026,12,2),"机构午餐","无统一供餐"),"差旅状态；无统一日程"))))))</f>
        <v/>
      </c>
      <c r="E305" s="13">
        <f>IF(C305=Options!$B$9,Options!$C$14,0)</f>
        <v/>
      </c>
      <c r="F305" s="13">
        <f>IF(AND(A305&lt;&gt;"",C305&lt;Options!$B$10),B305*Options!$X$5,0)</f>
        <v/>
      </c>
      <c r="G305" s="13">
        <f>F305*12%</f>
        <v/>
      </c>
      <c r="H305" s="13">
        <f>IF(A305="",0,B305*(92*IF(OR(C305=Options!$B$9,C305=Options!$B$10),75%,100%)-IF(C305=DATE(2026,11,29),26+IF(Options!$B$8="是",23,0),0)-IF(C305=DATE(2026,11,30),26,0)-IF(C305=DATE(2026,12,1),64,0)-IF(C305=DATE(2026,11,28),38,0)-IF(C305=DATE(2026,12,2),26,0)))</f>
        <v/>
      </c>
      <c r="I305" s="13">
        <f>IF(AND(C305&gt;=DATE(2026,11,29),C305&lt;=DATE(2026,12,1)),B305*60,0)</f>
        <v/>
      </c>
      <c r="J305" s="13">
        <f>IF(A305="",0,B305*(IF(C305=DATE(2026,11,28),38,0)+IF(C305=DATE(2026,12,1),38,0)+IF(C305=DATE(2026,12,2),26,0)))</f>
        <v/>
      </c>
      <c r="K305" s="13">
        <f>IF(C305=Options!$B$9,B305*12,0)</f>
        <v/>
      </c>
      <c r="L305" s="13">
        <f>IF(C305=Options!$B$9,B305*Options!$Z$5,0)</f>
        <v/>
      </c>
      <c r="M305" s="13" t="n">
        <v>0</v>
      </c>
      <c r="N305" s="13">
        <f>SUM(E305:M305)</f>
        <v/>
      </c>
    </row>
    <row r="306">
      <c r="A306" s="5">
        <f>IF(AND(C306&gt;=Options!$B$9,C306&lt;=Options!$B$10),"Chicago","")</f>
        <v/>
      </c>
      <c r="B306" s="5">
        <f>IF(A306="","",18)</f>
        <v/>
      </c>
      <c r="C306" s="17" t="n">
        <v>46597</v>
      </c>
      <c r="D306" s="5">
        <f>IF(A306="","",IF(C306=DATE(2026,11,29),"培训；注册午餐；早餐参数",IF(C306=DATE(2026,11,30),"培训；注册午餐",IF(C306=DATE(2026,12,1),"培训；注册午餐；机构晚餐",IF(C306=Options!$B$9,"抵达；"&amp;IF(C306=DATE(2026,11,28),"机构晚餐","无统一供餐"),IF(C306=Options!$B$10,"返程；"&amp;IF(C306=DATE(2026,12,2),"机构午餐","无统一供餐"),"差旅状态；无统一日程"))))))</f>
        <v/>
      </c>
      <c r="E306" s="13">
        <f>IF(C306=Options!$B$9,Options!$C$14,0)</f>
        <v/>
      </c>
      <c r="F306" s="13">
        <f>IF(AND(A306&lt;&gt;"",C306&lt;Options!$B$10),B306*Options!$X$5,0)</f>
        <v/>
      </c>
      <c r="G306" s="13">
        <f>F306*12%</f>
        <v/>
      </c>
      <c r="H306" s="13">
        <f>IF(A306="",0,B306*(92*IF(OR(C306=Options!$B$9,C306=Options!$B$10),75%,100%)-IF(C306=DATE(2026,11,29),26+IF(Options!$B$8="是",23,0),0)-IF(C306=DATE(2026,11,30),26,0)-IF(C306=DATE(2026,12,1),64,0)-IF(C306=DATE(2026,11,28),38,0)-IF(C306=DATE(2026,12,2),26,0)))</f>
        <v/>
      </c>
      <c r="I306" s="13">
        <f>IF(AND(C306&gt;=DATE(2026,11,29),C306&lt;=DATE(2026,12,1)),B306*60,0)</f>
        <v/>
      </c>
      <c r="J306" s="13">
        <f>IF(A306="",0,B306*(IF(C306=DATE(2026,11,28),38,0)+IF(C306=DATE(2026,12,1),38,0)+IF(C306=DATE(2026,12,2),26,0)))</f>
        <v/>
      </c>
      <c r="K306" s="13">
        <f>IF(C306=Options!$B$9,B306*12,0)</f>
        <v/>
      </c>
      <c r="L306" s="13">
        <f>IF(C306=Options!$B$9,B306*Options!$Z$5,0)</f>
        <v/>
      </c>
      <c r="M306" s="13" t="n">
        <v>0</v>
      </c>
      <c r="N306" s="13">
        <f>SUM(E306:M306)</f>
        <v/>
      </c>
    </row>
    <row r="307">
      <c r="A307" s="5">
        <f>IF(AND(C307&gt;=Options!$B$9,C307&lt;=Options!$B$10),"Chicago","")</f>
        <v/>
      </c>
      <c r="B307" s="5">
        <f>IF(A307="","",18)</f>
        <v/>
      </c>
      <c r="C307" s="17" t="n">
        <v>46598</v>
      </c>
      <c r="D307" s="5">
        <f>IF(A307="","",IF(C307=DATE(2026,11,29),"培训；注册午餐；早餐参数",IF(C307=DATE(2026,11,30),"培训；注册午餐",IF(C307=DATE(2026,12,1),"培训；注册午餐；机构晚餐",IF(C307=Options!$B$9,"抵达；"&amp;IF(C307=DATE(2026,11,28),"机构晚餐","无统一供餐"),IF(C307=Options!$B$10,"返程；"&amp;IF(C307=DATE(2026,12,2),"机构午餐","无统一供餐"),"差旅状态；无统一日程"))))))</f>
        <v/>
      </c>
      <c r="E307" s="13">
        <f>IF(C307=Options!$B$9,Options!$C$14,0)</f>
        <v/>
      </c>
      <c r="F307" s="13">
        <f>IF(AND(A307&lt;&gt;"",C307&lt;Options!$B$10),B307*Options!$X$5,0)</f>
        <v/>
      </c>
      <c r="G307" s="13">
        <f>F307*12%</f>
        <v/>
      </c>
      <c r="H307" s="13">
        <f>IF(A307="",0,B307*(92*IF(OR(C307=Options!$B$9,C307=Options!$B$10),75%,100%)-IF(C307=DATE(2026,11,29),26+IF(Options!$B$8="是",23,0),0)-IF(C307=DATE(2026,11,30),26,0)-IF(C307=DATE(2026,12,1),64,0)-IF(C307=DATE(2026,11,28),38,0)-IF(C307=DATE(2026,12,2),26,0)))</f>
        <v/>
      </c>
      <c r="I307" s="13">
        <f>IF(AND(C307&gt;=DATE(2026,11,29),C307&lt;=DATE(2026,12,1)),B307*60,0)</f>
        <v/>
      </c>
      <c r="J307" s="13">
        <f>IF(A307="",0,B307*(IF(C307=DATE(2026,11,28),38,0)+IF(C307=DATE(2026,12,1),38,0)+IF(C307=DATE(2026,12,2),26,0)))</f>
        <v/>
      </c>
      <c r="K307" s="13">
        <f>IF(C307=Options!$B$9,B307*12,0)</f>
        <v/>
      </c>
      <c r="L307" s="13">
        <f>IF(C307=Options!$B$9,B307*Options!$Z$5,0)</f>
        <v/>
      </c>
      <c r="M307" s="13" t="n">
        <v>0</v>
      </c>
      <c r="N307" s="13">
        <f>SUM(E307:M307)</f>
        <v/>
      </c>
    </row>
    <row r="308">
      <c r="A308" s="5">
        <f>IF(AND(C308&gt;=Options!$B$9,C308&lt;=Options!$B$10),"Chicago","")</f>
        <v/>
      </c>
      <c r="B308" s="5">
        <f>IF(A308="","",18)</f>
        <v/>
      </c>
      <c r="C308" s="17" t="n">
        <v>46599</v>
      </c>
      <c r="D308" s="5">
        <f>IF(A308="","",IF(C308=DATE(2026,11,29),"培训；注册午餐；早餐参数",IF(C308=DATE(2026,11,30),"培训；注册午餐",IF(C308=DATE(2026,12,1),"培训；注册午餐；机构晚餐",IF(C308=Options!$B$9,"抵达；"&amp;IF(C308=DATE(2026,11,28),"机构晚餐","无统一供餐"),IF(C308=Options!$B$10,"返程；"&amp;IF(C308=DATE(2026,12,2),"机构午餐","无统一供餐"),"差旅状态；无统一日程"))))))</f>
        <v/>
      </c>
      <c r="E308" s="13">
        <f>IF(C308=Options!$B$9,Options!$C$14,0)</f>
        <v/>
      </c>
      <c r="F308" s="13">
        <f>IF(AND(A308&lt;&gt;"",C308&lt;Options!$B$10),B308*Options!$X$5,0)</f>
        <v/>
      </c>
      <c r="G308" s="13">
        <f>F308*12%</f>
        <v/>
      </c>
      <c r="H308" s="13">
        <f>IF(A308="",0,B308*(92*IF(OR(C308=Options!$B$9,C308=Options!$B$10),75%,100%)-IF(C308=DATE(2026,11,29),26+IF(Options!$B$8="是",23,0),0)-IF(C308=DATE(2026,11,30),26,0)-IF(C308=DATE(2026,12,1),64,0)-IF(C308=DATE(2026,11,28),38,0)-IF(C308=DATE(2026,12,2),26,0)))</f>
        <v/>
      </c>
      <c r="I308" s="13">
        <f>IF(AND(C308&gt;=DATE(2026,11,29),C308&lt;=DATE(2026,12,1)),B308*60,0)</f>
        <v/>
      </c>
      <c r="J308" s="13">
        <f>IF(A308="",0,B308*(IF(C308=DATE(2026,11,28),38,0)+IF(C308=DATE(2026,12,1),38,0)+IF(C308=DATE(2026,12,2),26,0)))</f>
        <v/>
      </c>
      <c r="K308" s="13">
        <f>IF(C308=Options!$B$9,B308*12,0)</f>
        <v/>
      </c>
      <c r="L308" s="13">
        <f>IF(C308=Options!$B$9,B308*Options!$Z$5,0)</f>
        <v/>
      </c>
      <c r="M308" s="13" t="n">
        <v>0</v>
      </c>
      <c r="N308" s="13">
        <f>SUM(E308:M308)</f>
        <v/>
      </c>
    </row>
    <row r="309">
      <c r="A309" s="5">
        <f>IF(AND(C309&gt;=Options!$B$9,C309&lt;=Options!$B$10),"Chicago","")</f>
        <v/>
      </c>
      <c r="B309" s="5">
        <f>IF(A309="","",18)</f>
        <v/>
      </c>
      <c r="C309" s="17" t="n">
        <v>46600</v>
      </c>
      <c r="D309" s="5">
        <f>IF(A309="","",IF(C309=DATE(2026,11,29),"培训；注册午餐；早餐参数",IF(C309=DATE(2026,11,30),"培训；注册午餐",IF(C309=DATE(2026,12,1),"培训；注册午餐；机构晚餐",IF(C309=Options!$B$9,"抵达；"&amp;IF(C309=DATE(2026,11,28),"机构晚餐","无统一供餐"),IF(C309=Options!$B$10,"返程；"&amp;IF(C309=DATE(2026,12,2),"机构午餐","无统一供餐"),"差旅状态；无统一日程"))))))</f>
        <v/>
      </c>
      <c r="E309" s="13">
        <f>IF(C309=Options!$B$9,Options!$C$14,0)</f>
        <v/>
      </c>
      <c r="F309" s="13">
        <f>IF(AND(A309&lt;&gt;"",C309&lt;Options!$B$10),B309*Options!$X$5,0)</f>
        <v/>
      </c>
      <c r="G309" s="13">
        <f>F309*12%</f>
        <v/>
      </c>
      <c r="H309" s="13">
        <f>IF(A309="",0,B309*(92*IF(OR(C309=Options!$B$9,C309=Options!$B$10),75%,100%)-IF(C309=DATE(2026,11,29),26+IF(Options!$B$8="是",23,0),0)-IF(C309=DATE(2026,11,30),26,0)-IF(C309=DATE(2026,12,1),64,0)-IF(C309=DATE(2026,11,28),38,0)-IF(C309=DATE(2026,12,2),26,0)))</f>
        <v/>
      </c>
      <c r="I309" s="13">
        <f>IF(AND(C309&gt;=DATE(2026,11,29),C309&lt;=DATE(2026,12,1)),B309*60,0)</f>
        <v/>
      </c>
      <c r="J309" s="13">
        <f>IF(A309="",0,B309*(IF(C309=DATE(2026,11,28),38,0)+IF(C309=DATE(2026,12,1),38,0)+IF(C309=DATE(2026,12,2),26,0)))</f>
        <v/>
      </c>
      <c r="K309" s="13">
        <f>IF(C309=Options!$B$9,B309*12,0)</f>
        <v/>
      </c>
      <c r="L309" s="13">
        <f>IF(C309=Options!$B$9,B309*Options!$Z$5,0)</f>
        <v/>
      </c>
      <c r="M309" s="13" t="n">
        <v>0</v>
      </c>
      <c r="N309" s="13">
        <f>SUM(E309:M309)</f>
        <v/>
      </c>
    </row>
    <row r="310">
      <c r="A310" s="5">
        <f>IF(AND(C310&gt;=Options!$B$9,C310&lt;=Options!$B$10),"Chicago","")</f>
        <v/>
      </c>
      <c r="B310" s="5">
        <f>IF(A310="","",18)</f>
        <v/>
      </c>
      <c r="C310" s="17" t="n">
        <v>46601</v>
      </c>
      <c r="D310" s="5">
        <f>IF(A310="","",IF(C310=DATE(2026,11,29),"培训；注册午餐；早餐参数",IF(C310=DATE(2026,11,30),"培训；注册午餐",IF(C310=DATE(2026,12,1),"培训；注册午餐；机构晚餐",IF(C310=Options!$B$9,"抵达；"&amp;IF(C310=DATE(2026,11,28),"机构晚餐","无统一供餐"),IF(C310=Options!$B$10,"返程；"&amp;IF(C310=DATE(2026,12,2),"机构午餐","无统一供餐"),"差旅状态；无统一日程"))))))</f>
        <v/>
      </c>
      <c r="E310" s="13">
        <f>IF(C310=Options!$B$9,Options!$C$14,0)</f>
        <v/>
      </c>
      <c r="F310" s="13">
        <f>IF(AND(A310&lt;&gt;"",C310&lt;Options!$B$10),B310*Options!$X$5,0)</f>
        <v/>
      </c>
      <c r="G310" s="13">
        <f>F310*12%</f>
        <v/>
      </c>
      <c r="H310" s="13">
        <f>IF(A310="",0,B310*(92*IF(OR(C310=Options!$B$9,C310=Options!$B$10),75%,100%)-IF(C310=DATE(2026,11,29),26+IF(Options!$B$8="是",23,0),0)-IF(C310=DATE(2026,11,30),26,0)-IF(C310=DATE(2026,12,1),64,0)-IF(C310=DATE(2026,11,28),38,0)-IF(C310=DATE(2026,12,2),26,0)))</f>
        <v/>
      </c>
      <c r="I310" s="13">
        <f>IF(AND(C310&gt;=DATE(2026,11,29),C310&lt;=DATE(2026,12,1)),B310*60,0)</f>
        <v/>
      </c>
      <c r="J310" s="13">
        <f>IF(A310="",0,B310*(IF(C310=DATE(2026,11,28),38,0)+IF(C310=DATE(2026,12,1),38,0)+IF(C310=DATE(2026,12,2),26,0)))</f>
        <v/>
      </c>
      <c r="K310" s="13">
        <f>IF(C310=Options!$B$9,B310*12,0)</f>
        <v/>
      </c>
      <c r="L310" s="13">
        <f>IF(C310=Options!$B$9,B310*Options!$Z$5,0)</f>
        <v/>
      </c>
      <c r="M310" s="13" t="n">
        <v>0</v>
      </c>
      <c r="N310" s="13">
        <f>SUM(E310:M310)</f>
        <v/>
      </c>
    </row>
    <row r="311">
      <c r="A311" s="5">
        <f>IF(AND(C311&gt;=Options!$B$9,C311&lt;=Options!$B$10),"Chicago","")</f>
        <v/>
      </c>
      <c r="B311" s="5">
        <f>IF(A311="","",18)</f>
        <v/>
      </c>
      <c r="C311" s="17" t="n">
        <v>46602</v>
      </c>
      <c r="D311" s="5">
        <f>IF(A311="","",IF(C311=DATE(2026,11,29),"培训；注册午餐；早餐参数",IF(C311=DATE(2026,11,30),"培训；注册午餐",IF(C311=DATE(2026,12,1),"培训；注册午餐；机构晚餐",IF(C311=Options!$B$9,"抵达；"&amp;IF(C311=DATE(2026,11,28),"机构晚餐","无统一供餐"),IF(C311=Options!$B$10,"返程；"&amp;IF(C311=DATE(2026,12,2),"机构午餐","无统一供餐"),"差旅状态；无统一日程"))))))</f>
        <v/>
      </c>
      <c r="E311" s="13">
        <f>IF(C311=Options!$B$9,Options!$C$14,0)</f>
        <v/>
      </c>
      <c r="F311" s="13">
        <f>IF(AND(A311&lt;&gt;"",C311&lt;Options!$B$10),B311*Options!$X$5,0)</f>
        <v/>
      </c>
      <c r="G311" s="13">
        <f>F311*12%</f>
        <v/>
      </c>
      <c r="H311" s="13">
        <f>IF(A311="",0,B311*(92*IF(OR(C311=Options!$B$9,C311=Options!$B$10),75%,100%)-IF(C311=DATE(2026,11,29),26+IF(Options!$B$8="是",23,0),0)-IF(C311=DATE(2026,11,30),26,0)-IF(C311=DATE(2026,12,1),64,0)-IF(C311=DATE(2026,11,28),38,0)-IF(C311=DATE(2026,12,2),26,0)))</f>
        <v/>
      </c>
      <c r="I311" s="13">
        <f>IF(AND(C311&gt;=DATE(2026,11,29),C311&lt;=DATE(2026,12,1)),B311*60,0)</f>
        <v/>
      </c>
      <c r="J311" s="13">
        <f>IF(A311="",0,B311*(IF(C311=DATE(2026,11,28),38,0)+IF(C311=DATE(2026,12,1),38,0)+IF(C311=DATE(2026,12,2),26,0)))</f>
        <v/>
      </c>
      <c r="K311" s="13">
        <f>IF(C311=Options!$B$9,B311*12,0)</f>
        <v/>
      </c>
      <c r="L311" s="13">
        <f>IF(C311=Options!$B$9,B311*Options!$Z$5,0)</f>
        <v/>
      </c>
      <c r="M311" s="13" t="n">
        <v>0</v>
      </c>
      <c r="N311" s="13">
        <f>SUM(E311:M311)</f>
        <v/>
      </c>
    </row>
    <row r="312">
      <c r="A312" s="5">
        <f>IF(AND(C312&gt;=Options!$B$9,C312&lt;=Options!$B$10),"Chicago","")</f>
        <v/>
      </c>
      <c r="B312" s="5">
        <f>IF(A312="","",18)</f>
        <v/>
      </c>
      <c r="C312" s="17" t="n">
        <v>46603</v>
      </c>
      <c r="D312" s="5">
        <f>IF(A312="","",IF(C312=DATE(2026,11,29),"培训；注册午餐；早餐参数",IF(C312=DATE(2026,11,30),"培训；注册午餐",IF(C312=DATE(2026,12,1),"培训；注册午餐；机构晚餐",IF(C312=Options!$B$9,"抵达；"&amp;IF(C312=DATE(2026,11,28),"机构晚餐","无统一供餐"),IF(C312=Options!$B$10,"返程；"&amp;IF(C312=DATE(2026,12,2),"机构午餐","无统一供餐"),"差旅状态；无统一日程"))))))</f>
        <v/>
      </c>
      <c r="E312" s="13">
        <f>IF(C312=Options!$B$9,Options!$C$14,0)</f>
        <v/>
      </c>
      <c r="F312" s="13">
        <f>IF(AND(A312&lt;&gt;"",C312&lt;Options!$B$10),B312*Options!$X$5,0)</f>
        <v/>
      </c>
      <c r="G312" s="13">
        <f>F312*12%</f>
        <v/>
      </c>
      <c r="H312" s="13">
        <f>IF(A312="",0,B312*(92*IF(OR(C312=Options!$B$9,C312=Options!$B$10),75%,100%)-IF(C312=DATE(2026,11,29),26+IF(Options!$B$8="是",23,0),0)-IF(C312=DATE(2026,11,30),26,0)-IF(C312=DATE(2026,12,1),64,0)-IF(C312=DATE(2026,11,28),38,0)-IF(C312=DATE(2026,12,2),26,0)))</f>
        <v/>
      </c>
      <c r="I312" s="13">
        <f>IF(AND(C312&gt;=DATE(2026,11,29),C312&lt;=DATE(2026,12,1)),B312*60,0)</f>
        <v/>
      </c>
      <c r="J312" s="13">
        <f>IF(A312="",0,B312*(IF(C312=DATE(2026,11,28),38,0)+IF(C312=DATE(2026,12,1),38,0)+IF(C312=DATE(2026,12,2),26,0)))</f>
        <v/>
      </c>
      <c r="K312" s="13">
        <f>IF(C312=Options!$B$9,B312*12,0)</f>
        <v/>
      </c>
      <c r="L312" s="13">
        <f>IF(C312=Options!$B$9,B312*Options!$Z$5,0)</f>
        <v/>
      </c>
      <c r="M312" s="13" t="n">
        <v>0</v>
      </c>
      <c r="N312" s="13">
        <f>SUM(E312:M312)</f>
        <v/>
      </c>
    </row>
    <row r="313">
      <c r="A313" s="5">
        <f>IF(AND(C313&gt;=Options!$B$9,C313&lt;=Options!$B$10),"Chicago","")</f>
        <v/>
      </c>
      <c r="B313" s="5">
        <f>IF(A313="","",18)</f>
        <v/>
      </c>
      <c r="C313" s="17" t="n">
        <v>46604</v>
      </c>
      <c r="D313" s="5">
        <f>IF(A313="","",IF(C313=DATE(2026,11,29),"培训；注册午餐；早餐参数",IF(C313=DATE(2026,11,30),"培训；注册午餐",IF(C313=DATE(2026,12,1),"培训；注册午餐；机构晚餐",IF(C313=Options!$B$9,"抵达；"&amp;IF(C313=DATE(2026,11,28),"机构晚餐","无统一供餐"),IF(C313=Options!$B$10,"返程；"&amp;IF(C313=DATE(2026,12,2),"机构午餐","无统一供餐"),"差旅状态；无统一日程"))))))</f>
        <v/>
      </c>
      <c r="E313" s="13">
        <f>IF(C313=Options!$B$9,Options!$C$14,0)</f>
        <v/>
      </c>
      <c r="F313" s="13">
        <f>IF(AND(A313&lt;&gt;"",C313&lt;Options!$B$10),B313*Options!$X$5,0)</f>
        <v/>
      </c>
      <c r="G313" s="13">
        <f>F313*12%</f>
        <v/>
      </c>
      <c r="H313" s="13">
        <f>IF(A313="",0,B313*(92*IF(OR(C313=Options!$B$9,C313=Options!$B$10),75%,100%)-IF(C313=DATE(2026,11,29),26+IF(Options!$B$8="是",23,0),0)-IF(C313=DATE(2026,11,30),26,0)-IF(C313=DATE(2026,12,1),64,0)-IF(C313=DATE(2026,11,28),38,0)-IF(C313=DATE(2026,12,2),26,0)))</f>
        <v/>
      </c>
      <c r="I313" s="13">
        <f>IF(AND(C313&gt;=DATE(2026,11,29),C313&lt;=DATE(2026,12,1)),B313*60,0)</f>
        <v/>
      </c>
      <c r="J313" s="13">
        <f>IF(A313="",0,B313*(IF(C313=DATE(2026,11,28),38,0)+IF(C313=DATE(2026,12,1),38,0)+IF(C313=DATE(2026,12,2),26,0)))</f>
        <v/>
      </c>
      <c r="K313" s="13">
        <f>IF(C313=Options!$B$9,B313*12,0)</f>
        <v/>
      </c>
      <c r="L313" s="13">
        <f>IF(C313=Options!$B$9,B313*Options!$Z$5,0)</f>
        <v/>
      </c>
      <c r="M313" s="13" t="n">
        <v>0</v>
      </c>
      <c r="N313" s="13">
        <f>SUM(E313:M313)</f>
        <v/>
      </c>
    </row>
    <row r="314">
      <c r="A314" s="5">
        <f>IF(AND(C314&gt;=Options!$B$9,C314&lt;=Options!$B$10),"Chicago","")</f>
        <v/>
      </c>
      <c r="B314" s="5">
        <f>IF(A314="","",18)</f>
        <v/>
      </c>
      <c r="C314" s="17" t="n">
        <v>46605</v>
      </c>
      <c r="D314" s="5">
        <f>IF(A314="","",IF(C314=DATE(2026,11,29),"培训；注册午餐；早餐参数",IF(C314=DATE(2026,11,30),"培训；注册午餐",IF(C314=DATE(2026,12,1),"培训；注册午餐；机构晚餐",IF(C314=Options!$B$9,"抵达；"&amp;IF(C314=DATE(2026,11,28),"机构晚餐","无统一供餐"),IF(C314=Options!$B$10,"返程；"&amp;IF(C314=DATE(2026,12,2),"机构午餐","无统一供餐"),"差旅状态；无统一日程"))))))</f>
        <v/>
      </c>
      <c r="E314" s="13">
        <f>IF(C314=Options!$B$9,Options!$C$14,0)</f>
        <v/>
      </c>
      <c r="F314" s="13">
        <f>IF(AND(A314&lt;&gt;"",C314&lt;Options!$B$10),B314*Options!$X$5,0)</f>
        <v/>
      </c>
      <c r="G314" s="13">
        <f>F314*12%</f>
        <v/>
      </c>
      <c r="H314" s="13">
        <f>IF(A314="",0,B314*(92*IF(OR(C314=Options!$B$9,C314=Options!$B$10),75%,100%)-IF(C314=DATE(2026,11,29),26+IF(Options!$B$8="是",23,0),0)-IF(C314=DATE(2026,11,30),26,0)-IF(C314=DATE(2026,12,1),64,0)-IF(C314=DATE(2026,11,28),38,0)-IF(C314=DATE(2026,12,2),26,0)))</f>
        <v/>
      </c>
      <c r="I314" s="13">
        <f>IF(AND(C314&gt;=DATE(2026,11,29),C314&lt;=DATE(2026,12,1)),B314*60,0)</f>
        <v/>
      </c>
      <c r="J314" s="13">
        <f>IF(A314="",0,B314*(IF(C314=DATE(2026,11,28),38,0)+IF(C314=DATE(2026,12,1),38,0)+IF(C314=DATE(2026,12,2),26,0)))</f>
        <v/>
      </c>
      <c r="K314" s="13">
        <f>IF(C314=Options!$B$9,B314*12,0)</f>
        <v/>
      </c>
      <c r="L314" s="13">
        <f>IF(C314=Options!$B$9,B314*Options!$Z$5,0)</f>
        <v/>
      </c>
      <c r="M314" s="13" t="n">
        <v>0</v>
      </c>
      <c r="N314" s="13">
        <f>SUM(E314:M314)</f>
        <v/>
      </c>
    </row>
    <row r="315">
      <c r="A315" s="5">
        <f>IF(AND(C315&gt;=Options!$B$9,C315&lt;=Options!$B$10),"Chicago","")</f>
        <v/>
      </c>
      <c r="B315" s="5">
        <f>IF(A315="","",18)</f>
        <v/>
      </c>
      <c r="C315" s="17" t="n">
        <v>46606</v>
      </c>
      <c r="D315" s="5">
        <f>IF(A315="","",IF(C315=DATE(2026,11,29),"培训；注册午餐；早餐参数",IF(C315=DATE(2026,11,30),"培训；注册午餐",IF(C315=DATE(2026,12,1),"培训；注册午餐；机构晚餐",IF(C315=Options!$B$9,"抵达；"&amp;IF(C315=DATE(2026,11,28),"机构晚餐","无统一供餐"),IF(C315=Options!$B$10,"返程；"&amp;IF(C315=DATE(2026,12,2),"机构午餐","无统一供餐"),"差旅状态；无统一日程"))))))</f>
        <v/>
      </c>
      <c r="E315" s="13">
        <f>IF(C315=Options!$B$9,Options!$C$14,0)</f>
        <v/>
      </c>
      <c r="F315" s="13">
        <f>IF(AND(A315&lt;&gt;"",C315&lt;Options!$B$10),B315*Options!$X$5,0)</f>
        <v/>
      </c>
      <c r="G315" s="13">
        <f>F315*12%</f>
        <v/>
      </c>
      <c r="H315" s="13">
        <f>IF(A315="",0,B315*(92*IF(OR(C315=Options!$B$9,C315=Options!$B$10),75%,100%)-IF(C315=DATE(2026,11,29),26+IF(Options!$B$8="是",23,0),0)-IF(C315=DATE(2026,11,30),26,0)-IF(C315=DATE(2026,12,1),64,0)-IF(C315=DATE(2026,11,28),38,0)-IF(C315=DATE(2026,12,2),26,0)))</f>
        <v/>
      </c>
      <c r="I315" s="13">
        <f>IF(AND(C315&gt;=DATE(2026,11,29),C315&lt;=DATE(2026,12,1)),B315*60,0)</f>
        <v/>
      </c>
      <c r="J315" s="13">
        <f>IF(A315="",0,B315*(IF(C315=DATE(2026,11,28),38,0)+IF(C315=DATE(2026,12,1),38,0)+IF(C315=DATE(2026,12,2),26,0)))</f>
        <v/>
      </c>
      <c r="K315" s="13">
        <f>IF(C315=Options!$B$9,B315*12,0)</f>
        <v/>
      </c>
      <c r="L315" s="13">
        <f>IF(C315=Options!$B$9,B315*Options!$Z$5,0)</f>
        <v/>
      </c>
      <c r="M315" s="13" t="n">
        <v>0</v>
      </c>
      <c r="N315" s="13">
        <f>SUM(E315:M315)</f>
        <v/>
      </c>
    </row>
    <row r="316">
      <c r="A316" s="5">
        <f>IF(AND(C316&gt;=Options!$B$9,C316&lt;=Options!$B$10),"Chicago","")</f>
        <v/>
      </c>
      <c r="B316" s="5">
        <f>IF(A316="","",18)</f>
        <v/>
      </c>
      <c r="C316" s="17" t="n">
        <v>46607</v>
      </c>
      <c r="D316" s="5">
        <f>IF(A316="","",IF(C316=DATE(2026,11,29),"培训；注册午餐；早餐参数",IF(C316=DATE(2026,11,30),"培训；注册午餐",IF(C316=DATE(2026,12,1),"培训；注册午餐；机构晚餐",IF(C316=Options!$B$9,"抵达；"&amp;IF(C316=DATE(2026,11,28),"机构晚餐","无统一供餐"),IF(C316=Options!$B$10,"返程；"&amp;IF(C316=DATE(2026,12,2),"机构午餐","无统一供餐"),"差旅状态；无统一日程"))))))</f>
        <v/>
      </c>
      <c r="E316" s="13">
        <f>IF(C316=Options!$B$9,Options!$C$14,0)</f>
        <v/>
      </c>
      <c r="F316" s="13">
        <f>IF(AND(A316&lt;&gt;"",C316&lt;Options!$B$10),B316*Options!$X$5,0)</f>
        <v/>
      </c>
      <c r="G316" s="13">
        <f>F316*12%</f>
        <v/>
      </c>
      <c r="H316" s="13">
        <f>IF(A316="",0,B316*(92*IF(OR(C316=Options!$B$9,C316=Options!$B$10),75%,100%)-IF(C316=DATE(2026,11,29),26+IF(Options!$B$8="是",23,0),0)-IF(C316=DATE(2026,11,30),26,0)-IF(C316=DATE(2026,12,1),64,0)-IF(C316=DATE(2026,11,28),38,0)-IF(C316=DATE(2026,12,2),26,0)))</f>
        <v/>
      </c>
      <c r="I316" s="13">
        <f>IF(AND(C316&gt;=DATE(2026,11,29),C316&lt;=DATE(2026,12,1)),B316*60,0)</f>
        <v/>
      </c>
      <c r="J316" s="13">
        <f>IF(A316="",0,B316*(IF(C316=DATE(2026,11,28),38,0)+IF(C316=DATE(2026,12,1),38,0)+IF(C316=DATE(2026,12,2),26,0)))</f>
        <v/>
      </c>
      <c r="K316" s="13">
        <f>IF(C316=Options!$B$9,B316*12,0)</f>
        <v/>
      </c>
      <c r="L316" s="13">
        <f>IF(C316=Options!$B$9,B316*Options!$Z$5,0)</f>
        <v/>
      </c>
      <c r="M316" s="13" t="n">
        <v>0</v>
      </c>
      <c r="N316" s="13">
        <f>SUM(E316:M316)</f>
        <v/>
      </c>
    </row>
    <row r="317">
      <c r="A317" s="5">
        <f>IF(AND(C317&gt;=Options!$B$9,C317&lt;=Options!$B$10),"Chicago","")</f>
        <v/>
      </c>
      <c r="B317" s="5">
        <f>IF(A317="","",18)</f>
        <v/>
      </c>
      <c r="C317" s="17" t="n">
        <v>46608</v>
      </c>
      <c r="D317" s="5">
        <f>IF(A317="","",IF(C317=DATE(2026,11,29),"培训；注册午餐；早餐参数",IF(C317=DATE(2026,11,30),"培训；注册午餐",IF(C317=DATE(2026,12,1),"培训；注册午餐；机构晚餐",IF(C317=Options!$B$9,"抵达；"&amp;IF(C317=DATE(2026,11,28),"机构晚餐","无统一供餐"),IF(C317=Options!$B$10,"返程；"&amp;IF(C317=DATE(2026,12,2),"机构午餐","无统一供餐"),"差旅状态；无统一日程"))))))</f>
        <v/>
      </c>
      <c r="E317" s="13">
        <f>IF(C317=Options!$B$9,Options!$C$14,0)</f>
        <v/>
      </c>
      <c r="F317" s="13">
        <f>IF(AND(A317&lt;&gt;"",C317&lt;Options!$B$10),B317*Options!$X$5,0)</f>
        <v/>
      </c>
      <c r="G317" s="13">
        <f>F317*12%</f>
        <v/>
      </c>
      <c r="H317" s="13">
        <f>IF(A317="",0,B317*(92*IF(OR(C317=Options!$B$9,C317=Options!$B$10),75%,100%)-IF(C317=DATE(2026,11,29),26+IF(Options!$B$8="是",23,0),0)-IF(C317=DATE(2026,11,30),26,0)-IF(C317=DATE(2026,12,1),64,0)-IF(C317=DATE(2026,11,28),38,0)-IF(C317=DATE(2026,12,2),26,0)))</f>
        <v/>
      </c>
      <c r="I317" s="13">
        <f>IF(AND(C317&gt;=DATE(2026,11,29),C317&lt;=DATE(2026,12,1)),B317*60,0)</f>
        <v/>
      </c>
      <c r="J317" s="13">
        <f>IF(A317="",0,B317*(IF(C317=DATE(2026,11,28),38,0)+IF(C317=DATE(2026,12,1),38,0)+IF(C317=DATE(2026,12,2),26,0)))</f>
        <v/>
      </c>
      <c r="K317" s="13">
        <f>IF(C317=Options!$B$9,B317*12,0)</f>
        <v/>
      </c>
      <c r="L317" s="13">
        <f>IF(C317=Options!$B$9,B317*Options!$Z$5,0)</f>
        <v/>
      </c>
      <c r="M317" s="13" t="n">
        <v>0</v>
      </c>
      <c r="N317" s="13">
        <f>SUM(E317:M317)</f>
        <v/>
      </c>
    </row>
    <row r="318">
      <c r="A318" s="5">
        <f>IF(AND(C318&gt;=Options!$B$9,C318&lt;=Options!$B$10),"Chicago","")</f>
        <v/>
      </c>
      <c r="B318" s="5">
        <f>IF(A318="","",18)</f>
        <v/>
      </c>
      <c r="C318" s="17" t="n">
        <v>46609</v>
      </c>
      <c r="D318" s="5">
        <f>IF(A318="","",IF(C318=DATE(2026,11,29),"培训；注册午餐；早餐参数",IF(C318=DATE(2026,11,30),"培训；注册午餐",IF(C318=DATE(2026,12,1),"培训；注册午餐；机构晚餐",IF(C318=Options!$B$9,"抵达；"&amp;IF(C318=DATE(2026,11,28),"机构晚餐","无统一供餐"),IF(C318=Options!$B$10,"返程；"&amp;IF(C318=DATE(2026,12,2),"机构午餐","无统一供餐"),"差旅状态；无统一日程"))))))</f>
        <v/>
      </c>
      <c r="E318" s="13">
        <f>IF(C318=Options!$B$9,Options!$C$14,0)</f>
        <v/>
      </c>
      <c r="F318" s="13">
        <f>IF(AND(A318&lt;&gt;"",C318&lt;Options!$B$10),B318*Options!$X$5,0)</f>
        <v/>
      </c>
      <c r="G318" s="13">
        <f>F318*12%</f>
        <v/>
      </c>
      <c r="H318" s="13">
        <f>IF(A318="",0,B318*(92*IF(OR(C318=Options!$B$9,C318=Options!$B$10),75%,100%)-IF(C318=DATE(2026,11,29),26+IF(Options!$B$8="是",23,0),0)-IF(C318=DATE(2026,11,30),26,0)-IF(C318=DATE(2026,12,1),64,0)-IF(C318=DATE(2026,11,28),38,0)-IF(C318=DATE(2026,12,2),26,0)))</f>
        <v/>
      </c>
      <c r="I318" s="13">
        <f>IF(AND(C318&gt;=DATE(2026,11,29),C318&lt;=DATE(2026,12,1)),B318*60,0)</f>
        <v/>
      </c>
      <c r="J318" s="13">
        <f>IF(A318="",0,B318*(IF(C318=DATE(2026,11,28),38,0)+IF(C318=DATE(2026,12,1),38,0)+IF(C318=DATE(2026,12,2),26,0)))</f>
        <v/>
      </c>
      <c r="K318" s="13">
        <f>IF(C318=Options!$B$9,B318*12,0)</f>
        <v/>
      </c>
      <c r="L318" s="13">
        <f>IF(C318=Options!$B$9,B318*Options!$Z$5,0)</f>
        <v/>
      </c>
      <c r="M318" s="13" t="n">
        <v>0</v>
      </c>
      <c r="N318" s="13">
        <f>SUM(E318:M318)</f>
        <v/>
      </c>
    </row>
    <row r="319">
      <c r="A319" s="5">
        <f>IF(AND(C319&gt;=Options!$B$9,C319&lt;=Options!$B$10),"Chicago","")</f>
        <v/>
      </c>
      <c r="B319" s="5">
        <f>IF(A319="","",18)</f>
        <v/>
      </c>
      <c r="C319" s="17" t="n">
        <v>46610</v>
      </c>
      <c r="D319" s="5">
        <f>IF(A319="","",IF(C319=DATE(2026,11,29),"培训；注册午餐；早餐参数",IF(C319=DATE(2026,11,30),"培训；注册午餐",IF(C319=DATE(2026,12,1),"培训；注册午餐；机构晚餐",IF(C319=Options!$B$9,"抵达；"&amp;IF(C319=DATE(2026,11,28),"机构晚餐","无统一供餐"),IF(C319=Options!$B$10,"返程；"&amp;IF(C319=DATE(2026,12,2),"机构午餐","无统一供餐"),"差旅状态；无统一日程"))))))</f>
        <v/>
      </c>
      <c r="E319" s="13">
        <f>IF(C319=Options!$B$9,Options!$C$14,0)</f>
        <v/>
      </c>
      <c r="F319" s="13">
        <f>IF(AND(A319&lt;&gt;"",C319&lt;Options!$B$10),B319*Options!$X$5,0)</f>
        <v/>
      </c>
      <c r="G319" s="13">
        <f>F319*12%</f>
        <v/>
      </c>
      <c r="H319" s="13">
        <f>IF(A319="",0,B319*(92*IF(OR(C319=Options!$B$9,C319=Options!$B$10),75%,100%)-IF(C319=DATE(2026,11,29),26+IF(Options!$B$8="是",23,0),0)-IF(C319=DATE(2026,11,30),26,0)-IF(C319=DATE(2026,12,1),64,0)-IF(C319=DATE(2026,11,28),38,0)-IF(C319=DATE(2026,12,2),26,0)))</f>
        <v/>
      </c>
      <c r="I319" s="13">
        <f>IF(AND(C319&gt;=DATE(2026,11,29),C319&lt;=DATE(2026,12,1)),B319*60,0)</f>
        <v/>
      </c>
      <c r="J319" s="13">
        <f>IF(A319="",0,B319*(IF(C319=DATE(2026,11,28),38,0)+IF(C319=DATE(2026,12,1),38,0)+IF(C319=DATE(2026,12,2),26,0)))</f>
        <v/>
      </c>
      <c r="K319" s="13">
        <f>IF(C319=Options!$B$9,B319*12,0)</f>
        <v/>
      </c>
      <c r="L319" s="13">
        <f>IF(C319=Options!$B$9,B319*Options!$Z$5,0)</f>
        <v/>
      </c>
      <c r="M319" s="13" t="n">
        <v>0</v>
      </c>
      <c r="N319" s="13">
        <f>SUM(E319:M319)</f>
        <v/>
      </c>
    </row>
    <row r="320">
      <c r="A320" s="5">
        <f>IF(AND(C320&gt;=Options!$B$9,C320&lt;=Options!$B$10),"Chicago","")</f>
        <v/>
      </c>
      <c r="B320" s="5">
        <f>IF(A320="","",18)</f>
        <v/>
      </c>
      <c r="C320" s="17" t="n">
        <v>46611</v>
      </c>
      <c r="D320" s="5">
        <f>IF(A320="","",IF(C320=DATE(2026,11,29),"培训；注册午餐；早餐参数",IF(C320=DATE(2026,11,30),"培训；注册午餐",IF(C320=DATE(2026,12,1),"培训；注册午餐；机构晚餐",IF(C320=Options!$B$9,"抵达；"&amp;IF(C320=DATE(2026,11,28),"机构晚餐","无统一供餐"),IF(C320=Options!$B$10,"返程；"&amp;IF(C320=DATE(2026,12,2),"机构午餐","无统一供餐"),"差旅状态；无统一日程"))))))</f>
        <v/>
      </c>
      <c r="E320" s="13">
        <f>IF(C320=Options!$B$9,Options!$C$14,0)</f>
        <v/>
      </c>
      <c r="F320" s="13">
        <f>IF(AND(A320&lt;&gt;"",C320&lt;Options!$B$10),B320*Options!$X$5,0)</f>
        <v/>
      </c>
      <c r="G320" s="13">
        <f>F320*12%</f>
        <v/>
      </c>
      <c r="H320" s="13">
        <f>IF(A320="",0,B320*(92*IF(OR(C320=Options!$B$9,C320=Options!$B$10),75%,100%)-IF(C320=DATE(2026,11,29),26+IF(Options!$B$8="是",23,0),0)-IF(C320=DATE(2026,11,30),26,0)-IF(C320=DATE(2026,12,1),64,0)-IF(C320=DATE(2026,11,28),38,0)-IF(C320=DATE(2026,12,2),26,0)))</f>
        <v/>
      </c>
      <c r="I320" s="13">
        <f>IF(AND(C320&gt;=DATE(2026,11,29),C320&lt;=DATE(2026,12,1)),B320*60,0)</f>
        <v/>
      </c>
      <c r="J320" s="13">
        <f>IF(A320="",0,B320*(IF(C320=DATE(2026,11,28),38,0)+IF(C320=DATE(2026,12,1),38,0)+IF(C320=DATE(2026,12,2),26,0)))</f>
        <v/>
      </c>
      <c r="K320" s="13">
        <f>IF(C320=Options!$B$9,B320*12,0)</f>
        <v/>
      </c>
      <c r="L320" s="13">
        <f>IF(C320=Options!$B$9,B320*Options!$Z$5,0)</f>
        <v/>
      </c>
      <c r="M320" s="13" t="n">
        <v>0</v>
      </c>
      <c r="N320" s="13">
        <f>SUM(E320:M320)</f>
        <v/>
      </c>
    </row>
    <row r="321">
      <c r="A321" s="5">
        <f>IF(AND(C321&gt;=Options!$B$9,C321&lt;=Options!$B$10),"Chicago","")</f>
        <v/>
      </c>
      <c r="B321" s="5">
        <f>IF(A321="","",18)</f>
        <v/>
      </c>
      <c r="C321" s="17" t="n">
        <v>46612</v>
      </c>
      <c r="D321" s="5">
        <f>IF(A321="","",IF(C321=DATE(2026,11,29),"培训；注册午餐；早餐参数",IF(C321=DATE(2026,11,30),"培训；注册午餐",IF(C321=DATE(2026,12,1),"培训；注册午餐；机构晚餐",IF(C321=Options!$B$9,"抵达；"&amp;IF(C321=DATE(2026,11,28),"机构晚餐","无统一供餐"),IF(C321=Options!$B$10,"返程；"&amp;IF(C321=DATE(2026,12,2),"机构午餐","无统一供餐"),"差旅状态；无统一日程"))))))</f>
        <v/>
      </c>
      <c r="E321" s="13">
        <f>IF(C321=Options!$B$9,Options!$C$14,0)</f>
        <v/>
      </c>
      <c r="F321" s="13">
        <f>IF(AND(A321&lt;&gt;"",C321&lt;Options!$B$10),B321*Options!$X$5,0)</f>
        <v/>
      </c>
      <c r="G321" s="13">
        <f>F321*12%</f>
        <v/>
      </c>
      <c r="H321" s="13">
        <f>IF(A321="",0,B321*(92*IF(OR(C321=Options!$B$9,C321=Options!$B$10),75%,100%)-IF(C321=DATE(2026,11,29),26+IF(Options!$B$8="是",23,0),0)-IF(C321=DATE(2026,11,30),26,0)-IF(C321=DATE(2026,12,1),64,0)-IF(C321=DATE(2026,11,28),38,0)-IF(C321=DATE(2026,12,2),26,0)))</f>
        <v/>
      </c>
      <c r="I321" s="13">
        <f>IF(AND(C321&gt;=DATE(2026,11,29),C321&lt;=DATE(2026,12,1)),B321*60,0)</f>
        <v/>
      </c>
      <c r="J321" s="13">
        <f>IF(A321="",0,B321*(IF(C321=DATE(2026,11,28),38,0)+IF(C321=DATE(2026,12,1),38,0)+IF(C321=DATE(2026,12,2),26,0)))</f>
        <v/>
      </c>
      <c r="K321" s="13">
        <f>IF(C321=Options!$B$9,B321*12,0)</f>
        <v/>
      </c>
      <c r="L321" s="13">
        <f>IF(C321=Options!$B$9,B321*Options!$Z$5,0)</f>
        <v/>
      </c>
      <c r="M321" s="13" t="n">
        <v>0</v>
      </c>
      <c r="N321" s="13">
        <f>SUM(E321:M321)</f>
        <v/>
      </c>
    </row>
    <row r="322">
      <c r="A322" s="5">
        <f>IF(AND(C322&gt;=Options!$B$9,C322&lt;=Options!$B$10),"Chicago","")</f>
        <v/>
      </c>
      <c r="B322" s="5">
        <f>IF(A322="","",18)</f>
        <v/>
      </c>
      <c r="C322" s="17" t="n">
        <v>46613</v>
      </c>
      <c r="D322" s="5">
        <f>IF(A322="","",IF(C322=DATE(2026,11,29),"培训；注册午餐；早餐参数",IF(C322=DATE(2026,11,30),"培训；注册午餐",IF(C322=DATE(2026,12,1),"培训；注册午餐；机构晚餐",IF(C322=Options!$B$9,"抵达；"&amp;IF(C322=DATE(2026,11,28),"机构晚餐","无统一供餐"),IF(C322=Options!$B$10,"返程；"&amp;IF(C322=DATE(2026,12,2),"机构午餐","无统一供餐"),"差旅状态；无统一日程"))))))</f>
        <v/>
      </c>
      <c r="E322" s="13">
        <f>IF(C322=Options!$B$9,Options!$C$14,0)</f>
        <v/>
      </c>
      <c r="F322" s="13">
        <f>IF(AND(A322&lt;&gt;"",C322&lt;Options!$B$10),B322*Options!$X$5,0)</f>
        <v/>
      </c>
      <c r="G322" s="13">
        <f>F322*12%</f>
        <v/>
      </c>
      <c r="H322" s="13">
        <f>IF(A322="",0,B322*(92*IF(OR(C322=Options!$B$9,C322=Options!$B$10),75%,100%)-IF(C322=DATE(2026,11,29),26+IF(Options!$B$8="是",23,0),0)-IF(C322=DATE(2026,11,30),26,0)-IF(C322=DATE(2026,12,1),64,0)-IF(C322=DATE(2026,11,28),38,0)-IF(C322=DATE(2026,12,2),26,0)))</f>
        <v/>
      </c>
      <c r="I322" s="13">
        <f>IF(AND(C322&gt;=DATE(2026,11,29),C322&lt;=DATE(2026,12,1)),B322*60,0)</f>
        <v/>
      </c>
      <c r="J322" s="13">
        <f>IF(A322="",0,B322*(IF(C322=DATE(2026,11,28),38,0)+IF(C322=DATE(2026,12,1),38,0)+IF(C322=DATE(2026,12,2),26,0)))</f>
        <v/>
      </c>
      <c r="K322" s="13">
        <f>IF(C322=Options!$B$9,B322*12,0)</f>
        <v/>
      </c>
      <c r="L322" s="13">
        <f>IF(C322=Options!$B$9,B322*Options!$Z$5,0)</f>
        <v/>
      </c>
      <c r="M322" s="13" t="n">
        <v>0</v>
      </c>
      <c r="N322" s="13">
        <f>SUM(E322:M322)</f>
        <v/>
      </c>
    </row>
    <row r="323">
      <c r="A323" s="5">
        <f>IF(AND(C323&gt;=Options!$B$9,C323&lt;=Options!$B$10),"Chicago","")</f>
        <v/>
      </c>
      <c r="B323" s="5">
        <f>IF(A323="","",18)</f>
        <v/>
      </c>
      <c r="C323" s="17" t="n">
        <v>46614</v>
      </c>
      <c r="D323" s="5">
        <f>IF(A323="","",IF(C323=DATE(2026,11,29),"培训；注册午餐；早餐参数",IF(C323=DATE(2026,11,30),"培训；注册午餐",IF(C323=DATE(2026,12,1),"培训；注册午餐；机构晚餐",IF(C323=Options!$B$9,"抵达；"&amp;IF(C323=DATE(2026,11,28),"机构晚餐","无统一供餐"),IF(C323=Options!$B$10,"返程；"&amp;IF(C323=DATE(2026,12,2),"机构午餐","无统一供餐"),"差旅状态；无统一日程"))))))</f>
        <v/>
      </c>
      <c r="E323" s="13">
        <f>IF(C323=Options!$B$9,Options!$C$14,0)</f>
        <v/>
      </c>
      <c r="F323" s="13">
        <f>IF(AND(A323&lt;&gt;"",C323&lt;Options!$B$10),B323*Options!$X$5,0)</f>
        <v/>
      </c>
      <c r="G323" s="13">
        <f>F323*12%</f>
        <v/>
      </c>
      <c r="H323" s="13">
        <f>IF(A323="",0,B323*(92*IF(OR(C323=Options!$B$9,C323=Options!$B$10),75%,100%)-IF(C323=DATE(2026,11,29),26+IF(Options!$B$8="是",23,0),0)-IF(C323=DATE(2026,11,30),26,0)-IF(C323=DATE(2026,12,1),64,0)-IF(C323=DATE(2026,11,28),38,0)-IF(C323=DATE(2026,12,2),26,0)))</f>
        <v/>
      </c>
      <c r="I323" s="13">
        <f>IF(AND(C323&gt;=DATE(2026,11,29),C323&lt;=DATE(2026,12,1)),B323*60,0)</f>
        <v/>
      </c>
      <c r="J323" s="13">
        <f>IF(A323="",0,B323*(IF(C323=DATE(2026,11,28),38,0)+IF(C323=DATE(2026,12,1),38,0)+IF(C323=DATE(2026,12,2),26,0)))</f>
        <v/>
      </c>
      <c r="K323" s="13">
        <f>IF(C323=Options!$B$9,B323*12,0)</f>
        <v/>
      </c>
      <c r="L323" s="13">
        <f>IF(C323=Options!$B$9,B323*Options!$Z$5,0)</f>
        <v/>
      </c>
      <c r="M323" s="13" t="n">
        <v>0</v>
      </c>
      <c r="N323" s="13">
        <f>SUM(E323:M323)</f>
        <v/>
      </c>
    </row>
    <row r="324">
      <c r="A324" s="5">
        <f>IF(AND(C324&gt;=Options!$B$9,C324&lt;=Options!$B$10),"Chicago","")</f>
        <v/>
      </c>
      <c r="B324" s="5">
        <f>IF(A324="","",18)</f>
        <v/>
      </c>
      <c r="C324" s="17" t="n">
        <v>46615</v>
      </c>
      <c r="D324" s="5">
        <f>IF(A324="","",IF(C324=DATE(2026,11,29),"培训；注册午餐；早餐参数",IF(C324=DATE(2026,11,30),"培训；注册午餐",IF(C324=DATE(2026,12,1),"培训；注册午餐；机构晚餐",IF(C324=Options!$B$9,"抵达；"&amp;IF(C324=DATE(2026,11,28),"机构晚餐","无统一供餐"),IF(C324=Options!$B$10,"返程；"&amp;IF(C324=DATE(2026,12,2),"机构午餐","无统一供餐"),"差旅状态；无统一日程"))))))</f>
        <v/>
      </c>
      <c r="E324" s="13">
        <f>IF(C324=Options!$B$9,Options!$C$14,0)</f>
        <v/>
      </c>
      <c r="F324" s="13">
        <f>IF(AND(A324&lt;&gt;"",C324&lt;Options!$B$10),B324*Options!$X$5,0)</f>
        <v/>
      </c>
      <c r="G324" s="13">
        <f>F324*12%</f>
        <v/>
      </c>
      <c r="H324" s="13">
        <f>IF(A324="",0,B324*(92*IF(OR(C324=Options!$B$9,C324=Options!$B$10),75%,100%)-IF(C324=DATE(2026,11,29),26+IF(Options!$B$8="是",23,0),0)-IF(C324=DATE(2026,11,30),26,0)-IF(C324=DATE(2026,12,1),64,0)-IF(C324=DATE(2026,11,28),38,0)-IF(C324=DATE(2026,12,2),26,0)))</f>
        <v/>
      </c>
      <c r="I324" s="13">
        <f>IF(AND(C324&gt;=DATE(2026,11,29),C324&lt;=DATE(2026,12,1)),B324*60,0)</f>
        <v/>
      </c>
      <c r="J324" s="13">
        <f>IF(A324="",0,B324*(IF(C324=DATE(2026,11,28),38,0)+IF(C324=DATE(2026,12,1),38,0)+IF(C324=DATE(2026,12,2),26,0)))</f>
        <v/>
      </c>
      <c r="K324" s="13">
        <f>IF(C324=Options!$B$9,B324*12,0)</f>
        <v/>
      </c>
      <c r="L324" s="13">
        <f>IF(C324=Options!$B$9,B324*Options!$Z$5,0)</f>
        <v/>
      </c>
      <c r="M324" s="13" t="n">
        <v>0</v>
      </c>
      <c r="N324" s="13">
        <f>SUM(E324:M324)</f>
        <v/>
      </c>
    </row>
    <row r="325">
      <c r="A325" s="5">
        <f>IF(AND(C325&gt;=Options!$B$9,C325&lt;=Options!$B$10),"Chicago","")</f>
        <v/>
      </c>
      <c r="B325" s="5">
        <f>IF(A325="","",18)</f>
        <v/>
      </c>
      <c r="C325" s="17" t="n">
        <v>46616</v>
      </c>
      <c r="D325" s="5">
        <f>IF(A325="","",IF(C325=DATE(2026,11,29),"培训；注册午餐；早餐参数",IF(C325=DATE(2026,11,30),"培训；注册午餐",IF(C325=DATE(2026,12,1),"培训；注册午餐；机构晚餐",IF(C325=Options!$B$9,"抵达；"&amp;IF(C325=DATE(2026,11,28),"机构晚餐","无统一供餐"),IF(C325=Options!$B$10,"返程；"&amp;IF(C325=DATE(2026,12,2),"机构午餐","无统一供餐"),"差旅状态；无统一日程"))))))</f>
        <v/>
      </c>
      <c r="E325" s="13">
        <f>IF(C325=Options!$B$9,Options!$C$14,0)</f>
        <v/>
      </c>
      <c r="F325" s="13">
        <f>IF(AND(A325&lt;&gt;"",C325&lt;Options!$B$10),B325*Options!$X$5,0)</f>
        <v/>
      </c>
      <c r="G325" s="13">
        <f>F325*12%</f>
        <v/>
      </c>
      <c r="H325" s="13">
        <f>IF(A325="",0,B325*(92*IF(OR(C325=Options!$B$9,C325=Options!$B$10),75%,100%)-IF(C325=DATE(2026,11,29),26+IF(Options!$B$8="是",23,0),0)-IF(C325=DATE(2026,11,30),26,0)-IF(C325=DATE(2026,12,1),64,0)-IF(C325=DATE(2026,11,28),38,0)-IF(C325=DATE(2026,12,2),26,0)))</f>
        <v/>
      </c>
      <c r="I325" s="13">
        <f>IF(AND(C325&gt;=DATE(2026,11,29),C325&lt;=DATE(2026,12,1)),B325*60,0)</f>
        <v/>
      </c>
      <c r="J325" s="13">
        <f>IF(A325="",0,B325*(IF(C325=DATE(2026,11,28),38,0)+IF(C325=DATE(2026,12,1),38,0)+IF(C325=DATE(2026,12,2),26,0)))</f>
        <v/>
      </c>
      <c r="K325" s="13">
        <f>IF(C325=Options!$B$9,B325*12,0)</f>
        <v/>
      </c>
      <c r="L325" s="13">
        <f>IF(C325=Options!$B$9,B325*Options!$Z$5,0)</f>
        <v/>
      </c>
      <c r="M325" s="13" t="n">
        <v>0</v>
      </c>
      <c r="N325" s="13">
        <f>SUM(E325:M325)</f>
        <v/>
      </c>
    </row>
    <row r="326">
      <c r="A326" s="5">
        <f>IF(AND(C326&gt;=Options!$B$9,C326&lt;=Options!$B$10),"Chicago","")</f>
        <v/>
      </c>
      <c r="B326" s="5">
        <f>IF(A326="","",18)</f>
        <v/>
      </c>
      <c r="C326" s="17" t="n">
        <v>46617</v>
      </c>
      <c r="D326" s="5">
        <f>IF(A326="","",IF(C326=DATE(2026,11,29),"培训；注册午餐；早餐参数",IF(C326=DATE(2026,11,30),"培训；注册午餐",IF(C326=DATE(2026,12,1),"培训；注册午餐；机构晚餐",IF(C326=Options!$B$9,"抵达；"&amp;IF(C326=DATE(2026,11,28),"机构晚餐","无统一供餐"),IF(C326=Options!$B$10,"返程；"&amp;IF(C326=DATE(2026,12,2),"机构午餐","无统一供餐"),"差旅状态；无统一日程"))))))</f>
        <v/>
      </c>
      <c r="E326" s="13">
        <f>IF(C326=Options!$B$9,Options!$C$14,0)</f>
        <v/>
      </c>
      <c r="F326" s="13">
        <f>IF(AND(A326&lt;&gt;"",C326&lt;Options!$B$10),B326*Options!$X$5,0)</f>
        <v/>
      </c>
      <c r="G326" s="13">
        <f>F326*12%</f>
        <v/>
      </c>
      <c r="H326" s="13">
        <f>IF(A326="",0,B326*(92*IF(OR(C326=Options!$B$9,C326=Options!$B$10),75%,100%)-IF(C326=DATE(2026,11,29),26+IF(Options!$B$8="是",23,0),0)-IF(C326=DATE(2026,11,30),26,0)-IF(C326=DATE(2026,12,1),64,0)-IF(C326=DATE(2026,11,28),38,0)-IF(C326=DATE(2026,12,2),26,0)))</f>
        <v/>
      </c>
      <c r="I326" s="13">
        <f>IF(AND(C326&gt;=DATE(2026,11,29),C326&lt;=DATE(2026,12,1)),B326*60,0)</f>
        <v/>
      </c>
      <c r="J326" s="13">
        <f>IF(A326="",0,B326*(IF(C326=DATE(2026,11,28),38,0)+IF(C326=DATE(2026,12,1),38,0)+IF(C326=DATE(2026,12,2),26,0)))</f>
        <v/>
      </c>
      <c r="K326" s="13">
        <f>IF(C326=Options!$B$9,B326*12,0)</f>
        <v/>
      </c>
      <c r="L326" s="13">
        <f>IF(C326=Options!$B$9,B326*Options!$Z$5,0)</f>
        <v/>
      </c>
      <c r="M326" s="13" t="n">
        <v>0</v>
      </c>
      <c r="N326" s="13">
        <f>SUM(E326:M326)</f>
        <v/>
      </c>
    </row>
    <row r="327">
      <c r="A327" s="5">
        <f>IF(AND(C327&gt;=Options!$B$9,C327&lt;=Options!$B$10),"Chicago","")</f>
        <v/>
      </c>
      <c r="B327" s="5">
        <f>IF(A327="","",18)</f>
        <v/>
      </c>
      <c r="C327" s="17" t="n">
        <v>46618</v>
      </c>
      <c r="D327" s="5">
        <f>IF(A327="","",IF(C327=DATE(2026,11,29),"培训；注册午餐；早餐参数",IF(C327=DATE(2026,11,30),"培训；注册午餐",IF(C327=DATE(2026,12,1),"培训；注册午餐；机构晚餐",IF(C327=Options!$B$9,"抵达；"&amp;IF(C327=DATE(2026,11,28),"机构晚餐","无统一供餐"),IF(C327=Options!$B$10,"返程；"&amp;IF(C327=DATE(2026,12,2),"机构午餐","无统一供餐"),"差旅状态；无统一日程"))))))</f>
        <v/>
      </c>
      <c r="E327" s="13">
        <f>IF(C327=Options!$B$9,Options!$C$14,0)</f>
        <v/>
      </c>
      <c r="F327" s="13">
        <f>IF(AND(A327&lt;&gt;"",C327&lt;Options!$B$10),B327*Options!$X$5,0)</f>
        <v/>
      </c>
      <c r="G327" s="13">
        <f>F327*12%</f>
        <v/>
      </c>
      <c r="H327" s="13">
        <f>IF(A327="",0,B327*(92*IF(OR(C327=Options!$B$9,C327=Options!$B$10),75%,100%)-IF(C327=DATE(2026,11,29),26+IF(Options!$B$8="是",23,0),0)-IF(C327=DATE(2026,11,30),26,0)-IF(C327=DATE(2026,12,1),64,0)-IF(C327=DATE(2026,11,28),38,0)-IF(C327=DATE(2026,12,2),26,0)))</f>
        <v/>
      </c>
      <c r="I327" s="13">
        <f>IF(AND(C327&gt;=DATE(2026,11,29),C327&lt;=DATE(2026,12,1)),B327*60,0)</f>
        <v/>
      </c>
      <c r="J327" s="13">
        <f>IF(A327="",0,B327*(IF(C327=DATE(2026,11,28),38,0)+IF(C327=DATE(2026,12,1),38,0)+IF(C327=DATE(2026,12,2),26,0)))</f>
        <v/>
      </c>
      <c r="K327" s="13">
        <f>IF(C327=Options!$B$9,B327*12,0)</f>
        <v/>
      </c>
      <c r="L327" s="13">
        <f>IF(C327=Options!$B$9,B327*Options!$Z$5,0)</f>
        <v/>
      </c>
      <c r="M327" s="13" t="n">
        <v>0</v>
      </c>
      <c r="N327" s="13">
        <f>SUM(E327:M327)</f>
        <v/>
      </c>
    </row>
    <row r="328">
      <c r="A328" s="5">
        <f>IF(AND(C328&gt;=Options!$B$9,C328&lt;=Options!$B$10),"Chicago","")</f>
        <v/>
      </c>
      <c r="B328" s="5">
        <f>IF(A328="","",18)</f>
        <v/>
      </c>
      <c r="C328" s="17" t="n">
        <v>46619</v>
      </c>
      <c r="D328" s="5">
        <f>IF(A328="","",IF(C328=DATE(2026,11,29),"培训；注册午餐；早餐参数",IF(C328=DATE(2026,11,30),"培训；注册午餐",IF(C328=DATE(2026,12,1),"培训；注册午餐；机构晚餐",IF(C328=Options!$B$9,"抵达；"&amp;IF(C328=DATE(2026,11,28),"机构晚餐","无统一供餐"),IF(C328=Options!$B$10,"返程；"&amp;IF(C328=DATE(2026,12,2),"机构午餐","无统一供餐"),"差旅状态；无统一日程"))))))</f>
        <v/>
      </c>
      <c r="E328" s="13">
        <f>IF(C328=Options!$B$9,Options!$C$14,0)</f>
        <v/>
      </c>
      <c r="F328" s="13">
        <f>IF(AND(A328&lt;&gt;"",C328&lt;Options!$B$10),B328*Options!$X$5,0)</f>
        <v/>
      </c>
      <c r="G328" s="13">
        <f>F328*12%</f>
        <v/>
      </c>
      <c r="H328" s="13">
        <f>IF(A328="",0,B328*(92*IF(OR(C328=Options!$B$9,C328=Options!$B$10),75%,100%)-IF(C328=DATE(2026,11,29),26+IF(Options!$B$8="是",23,0),0)-IF(C328=DATE(2026,11,30),26,0)-IF(C328=DATE(2026,12,1),64,0)-IF(C328=DATE(2026,11,28),38,0)-IF(C328=DATE(2026,12,2),26,0)))</f>
        <v/>
      </c>
      <c r="I328" s="13">
        <f>IF(AND(C328&gt;=DATE(2026,11,29),C328&lt;=DATE(2026,12,1)),B328*60,0)</f>
        <v/>
      </c>
      <c r="J328" s="13">
        <f>IF(A328="",0,B328*(IF(C328=DATE(2026,11,28),38,0)+IF(C328=DATE(2026,12,1),38,0)+IF(C328=DATE(2026,12,2),26,0)))</f>
        <v/>
      </c>
      <c r="K328" s="13">
        <f>IF(C328=Options!$B$9,B328*12,0)</f>
        <v/>
      </c>
      <c r="L328" s="13">
        <f>IF(C328=Options!$B$9,B328*Options!$Z$5,0)</f>
        <v/>
      </c>
      <c r="M328" s="13" t="n">
        <v>0</v>
      </c>
      <c r="N328" s="13">
        <f>SUM(E328:M328)</f>
        <v/>
      </c>
    </row>
    <row r="329">
      <c r="A329" s="5">
        <f>IF(AND(C329&gt;=Options!$B$9,C329&lt;=Options!$B$10),"Chicago","")</f>
        <v/>
      </c>
      <c r="B329" s="5">
        <f>IF(A329="","",18)</f>
        <v/>
      </c>
      <c r="C329" s="17" t="n">
        <v>46620</v>
      </c>
      <c r="D329" s="5">
        <f>IF(A329="","",IF(C329=DATE(2026,11,29),"培训；注册午餐；早餐参数",IF(C329=DATE(2026,11,30),"培训；注册午餐",IF(C329=DATE(2026,12,1),"培训；注册午餐；机构晚餐",IF(C329=Options!$B$9,"抵达；"&amp;IF(C329=DATE(2026,11,28),"机构晚餐","无统一供餐"),IF(C329=Options!$B$10,"返程；"&amp;IF(C329=DATE(2026,12,2),"机构午餐","无统一供餐"),"差旅状态；无统一日程"))))))</f>
        <v/>
      </c>
      <c r="E329" s="13">
        <f>IF(C329=Options!$B$9,Options!$C$14,0)</f>
        <v/>
      </c>
      <c r="F329" s="13">
        <f>IF(AND(A329&lt;&gt;"",C329&lt;Options!$B$10),B329*Options!$X$5,0)</f>
        <v/>
      </c>
      <c r="G329" s="13">
        <f>F329*12%</f>
        <v/>
      </c>
      <c r="H329" s="13">
        <f>IF(A329="",0,B329*(92*IF(OR(C329=Options!$B$9,C329=Options!$B$10),75%,100%)-IF(C329=DATE(2026,11,29),26+IF(Options!$B$8="是",23,0),0)-IF(C329=DATE(2026,11,30),26,0)-IF(C329=DATE(2026,12,1),64,0)-IF(C329=DATE(2026,11,28),38,0)-IF(C329=DATE(2026,12,2),26,0)))</f>
        <v/>
      </c>
      <c r="I329" s="13">
        <f>IF(AND(C329&gt;=DATE(2026,11,29),C329&lt;=DATE(2026,12,1)),B329*60,0)</f>
        <v/>
      </c>
      <c r="J329" s="13">
        <f>IF(A329="",0,B329*(IF(C329=DATE(2026,11,28),38,0)+IF(C329=DATE(2026,12,1),38,0)+IF(C329=DATE(2026,12,2),26,0)))</f>
        <v/>
      </c>
      <c r="K329" s="13">
        <f>IF(C329=Options!$B$9,B329*12,0)</f>
        <v/>
      </c>
      <c r="L329" s="13">
        <f>IF(C329=Options!$B$9,B329*Options!$Z$5,0)</f>
        <v/>
      </c>
      <c r="M329" s="13" t="n">
        <v>0</v>
      </c>
      <c r="N329" s="13">
        <f>SUM(E329:M329)</f>
        <v/>
      </c>
    </row>
    <row r="330">
      <c r="A330" s="5">
        <f>IF(AND(C330&gt;=Options!$B$9,C330&lt;=Options!$B$10),"Chicago","")</f>
        <v/>
      </c>
      <c r="B330" s="5">
        <f>IF(A330="","",18)</f>
        <v/>
      </c>
      <c r="C330" s="17" t="n">
        <v>46621</v>
      </c>
      <c r="D330" s="5">
        <f>IF(A330="","",IF(C330=DATE(2026,11,29),"培训；注册午餐；早餐参数",IF(C330=DATE(2026,11,30),"培训；注册午餐",IF(C330=DATE(2026,12,1),"培训；注册午餐；机构晚餐",IF(C330=Options!$B$9,"抵达；"&amp;IF(C330=DATE(2026,11,28),"机构晚餐","无统一供餐"),IF(C330=Options!$B$10,"返程；"&amp;IF(C330=DATE(2026,12,2),"机构午餐","无统一供餐"),"差旅状态；无统一日程"))))))</f>
        <v/>
      </c>
      <c r="E330" s="13">
        <f>IF(C330=Options!$B$9,Options!$C$14,0)</f>
        <v/>
      </c>
      <c r="F330" s="13">
        <f>IF(AND(A330&lt;&gt;"",C330&lt;Options!$B$10),B330*Options!$X$5,0)</f>
        <v/>
      </c>
      <c r="G330" s="13">
        <f>F330*12%</f>
        <v/>
      </c>
      <c r="H330" s="13">
        <f>IF(A330="",0,B330*(92*IF(OR(C330=Options!$B$9,C330=Options!$B$10),75%,100%)-IF(C330=DATE(2026,11,29),26+IF(Options!$B$8="是",23,0),0)-IF(C330=DATE(2026,11,30),26,0)-IF(C330=DATE(2026,12,1),64,0)-IF(C330=DATE(2026,11,28),38,0)-IF(C330=DATE(2026,12,2),26,0)))</f>
        <v/>
      </c>
      <c r="I330" s="13">
        <f>IF(AND(C330&gt;=DATE(2026,11,29),C330&lt;=DATE(2026,12,1)),B330*60,0)</f>
        <v/>
      </c>
      <c r="J330" s="13">
        <f>IF(A330="",0,B330*(IF(C330=DATE(2026,11,28),38,0)+IF(C330=DATE(2026,12,1),38,0)+IF(C330=DATE(2026,12,2),26,0)))</f>
        <v/>
      </c>
      <c r="K330" s="13">
        <f>IF(C330=Options!$B$9,B330*12,0)</f>
        <v/>
      </c>
      <c r="L330" s="13">
        <f>IF(C330=Options!$B$9,B330*Options!$Z$5,0)</f>
        <v/>
      </c>
      <c r="M330" s="13" t="n">
        <v>0</v>
      </c>
      <c r="N330" s="13">
        <f>SUM(E330:M330)</f>
        <v/>
      </c>
    </row>
    <row r="331">
      <c r="A331" s="5">
        <f>IF(AND(C331&gt;=Options!$B$9,C331&lt;=Options!$B$10),"Chicago","")</f>
        <v/>
      </c>
      <c r="B331" s="5">
        <f>IF(A331="","",18)</f>
        <v/>
      </c>
      <c r="C331" s="17" t="n">
        <v>46622</v>
      </c>
      <c r="D331" s="5">
        <f>IF(A331="","",IF(C331=DATE(2026,11,29),"培训；注册午餐；早餐参数",IF(C331=DATE(2026,11,30),"培训；注册午餐",IF(C331=DATE(2026,12,1),"培训；注册午餐；机构晚餐",IF(C331=Options!$B$9,"抵达；"&amp;IF(C331=DATE(2026,11,28),"机构晚餐","无统一供餐"),IF(C331=Options!$B$10,"返程；"&amp;IF(C331=DATE(2026,12,2),"机构午餐","无统一供餐"),"差旅状态；无统一日程"))))))</f>
        <v/>
      </c>
      <c r="E331" s="13">
        <f>IF(C331=Options!$B$9,Options!$C$14,0)</f>
        <v/>
      </c>
      <c r="F331" s="13">
        <f>IF(AND(A331&lt;&gt;"",C331&lt;Options!$B$10),B331*Options!$X$5,0)</f>
        <v/>
      </c>
      <c r="G331" s="13">
        <f>F331*12%</f>
        <v/>
      </c>
      <c r="H331" s="13">
        <f>IF(A331="",0,B331*(92*IF(OR(C331=Options!$B$9,C331=Options!$B$10),75%,100%)-IF(C331=DATE(2026,11,29),26+IF(Options!$B$8="是",23,0),0)-IF(C331=DATE(2026,11,30),26,0)-IF(C331=DATE(2026,12,1),64,0)-IF(C331=DATE(2026,11,28),38,0)-IF(C331=DATE(2026,12,2),26,0)))</f>
        <v/>
      </c>
      <c r="I331" s="13">
        <f>IF(AND(C331&gt;=DATE(2026,11,29),C331&lt;=DATE(2026,12,1)),B331*60,0)</f>
        <v/>
      </c>
      <c r="J331" s="13">
        <f>IF(A331="",0,B331*(IF(C331=DATE(2026,11,28),38,0)+IF(C331=DATE(2026,12,1),38,0)+IF(C331=DATE(2026,12,2),26,0)))</f>
        <v/>
      </c>
      <c r="K331" s="13">
        <f>IF(C331=Options!$B$9,B331*12,0)</f>
        <v/>
      </c>
      <c r="L331" s="13">
        <f>IF(C331=Options!$B$9,B331*Options!$Z$5,0)</f>
        <v/>
      </c>
      <c r="M331" s="13" t="n">
        <v>0</v>
      </c>
      <c r="N331" s="13">
        <f>SUM(E331:M331)</f>
        <v/>
      </c>
    </row>
    <row r="332">
      <c r="A332" s="5">
        <f>IF(AND(C332&gt;=Options!$B$9,C332&lt;=Options!$B$10),"Chicago","")</f>
        <v/>
      </c>
      <c r="B332" s="5">
        <f>IF(A332="","",18)</f>
        <v/>
      </c>
      <c r="C332" s="17" t="n">
        <v>46623</v>
      </c>
      <c r="D332" s="5">
        <f>IF(A332="","",IF(C332=DATE(2026,11,29),"培训；注册午餐；早餐参数",IF(C332=DATE(2026,11,30),"培训；注册午餐",IF(C332=DATE(2026,12,1),"培训；注册午餐；机构晚餐",IF(C332=Options!$B$9,"抵达；"&amp;IF(C332=DATE(2026,11,28),"机构晚餐","无统一供餐"),IF(C332=Options!$B$10,"返程；"&amp;IF(C332=DATE(2026,12,2),"机构午餐","无统一供餐"),"差旅状态；无统一日程"))))))</f>
        <v/>
      </c>
      <c r="E332" s="13">
        <f>IF(C332=Options!$B$9,Options!$C$14,0)</f>
        <v/>
      </c>
      <c r="F332" s="13">
        <f>IF(AND(A332&lt;&gt;"",C332&lt;Options!$B$10),B332*Options!$X$5,0)</f>
        <v/>
      </c>
      <c r="G332" s="13">
        <f>F332*12%</f>
        <v/>
      </c>
      <c r="H332" s="13">
        <f>IF(A332="",0,B332*(92*IF(OR(C332=Options!$B$9,C332=Options!$B$10),75%,100%)-IF(C332=DATE(2026,11,29),26+IF(Options!$B$8="是",23,0),0)-IF(C332=DATE(2026,11,30),26,0)-IF(C332=DATE(2026,12,1),64,0)-IF(C332=DATE(2026,11,28),38,0)-IF(C332=DATE(2026,12,2),26,0)))</f>
        <v/>
      </c>
      <c r="I332" s="13">
        <f>IF(AND(C332&gt;=DATE(2026,11,29),C332&lt;=DATE(2026,12,1)),B332*60,0)</f>
        <v/>
      </c>
      <c r="J332" s="13">
        <f>IF(A332="",0,B332*(IF(C332=DATE(2026,11,28),38,0)+IF(C332=DATE(2026,12,1),38,0)+IF(C332=DATE(2026,12,2),26,0)))</f>
        <v/>
      </c>
      <c r="K332" s="13">
        <f>IF(C332=Options!$B$9,B332*12,0)</f>
        <v/>
      </c>
      <c r="L332" s="13">
        <f>IF(C332=Options!$B$9,B332*Options!$Z$5,0)</f>
        <v/>
      </c>
      <c r="M332" s="13" t="n">
        <v>0</v>
      </c>
      <c r="N332" s="13">
        <f>SUM(E332:M332)</f>
        <v/>
      </c>
    </row>
    <row r="333">
      <c r="A333" s="5">
        <f>IF(AND(C333&gt;=Options!$B$9,C333&lt;=Options!$B$10),"Chicago","")</f>
        <v/>
      </c>
      <c r="B333" s="5">
        <f>IF(A333="","",18)</f>
        <v/>
      </c>
      <c r="C333" s="17" t="n">
        <v>46624</v>
      </c>
      <c r="D333" s="5">
        <f>IF(A333="","",IF(C333=DATE(2026,11,29),"培训；注册午餐；早餐参数",IF(C333=DATE(2026,11,30),"培训；注册午餐",IF(C333=DATE(2026,12,1),"培训；注册午餐；机构晚餐",IF(C333=Options!$B$9,"抵达；"&amp;IF(C333=DATE(2026,11,28),"机构晚餐","无统一供餐"),IF(C333=Options!$B$10,"返程；"&amp;IF(C333=DATE(2026,12,2),"机构午餐","无统一供餐"),"差旅状态；无统一日程"))))))</f>
        <v/>
      </c>
      <c r="E333" s="13">
        <f>IF(C333=Options!$B$9,Options!$C$14,0)</f>
        <v/>
      </c>
      <c r="F333" s="13">
        <f>IF(AND(A333&lt;&gt;"",C333&lt;Options!$B$10),B333*Options!$X$5,0)</f>
        <v/>
      </c>
      <c r="G333" s="13">
        <f>F333*12%</f>
        <v/>
      </c>
      <c r="H333" s="13">
        <f>IF(A333="",0,B333*(92*IF(OR(C333=Options!$B$9,C333=Options!$B$10),75%,100%)-IF(C333=DATE(2026,11,29),26+IF(Options!$B$8="是",23,0),0)-IF(C333=DATE(2026,11,30),26,0)-IF(C333=DATE(2026,12,1),64,0)-IF(C333=DATE(2026,11,28),38,0)-IF(C333=DATE(2026,12,2),26,0)))</f>
        <v/>
      </c>
      <c r="I333" s="13">
        <f>IF(AND(C333&gt;=DATE(2026,11,29),C333&lt;=DATE(2026,12,1)),B333*60,0)</f>
        <v/>
      </c>
      <c r="J333" s="13">
        <f>IF(A333="",0,B333*(IF(C333=DATE(2026,11,28),38,0)+IF(C333=DATE(2026,12,1),38,0)+IF(C333=DATE(2026,12,2),26,0)))</f>
        <v/>
      </c>
      <c r="K333" s="13">
        <f>IF(C333=Options!$B$9,B333*12,0)</f>
        <v/>
      </c>
      <c r="L333" s="13">
        <f>IF(C333=Options!$B$9,B333*Options!$Z$5,0)</f>
        <v/>
      </c>
      <c r="M333" s="13" t="n">
        <v>0</v>
      </c>
      <c r="N333" s="13">
        <f>SUM(E333:M333)</f>
        <v/>
      </c>
    </row>
    <row r="334">
      <c r="A334" s="5">
        <f>IF(AND(C334&gt;=Options!$B$9,C334&lt;=Options!$B$10),"Chicago","")</f>
        <v/>
      </c>
      <c r="B334" s="5">
        <f>IF(A334="","",18)</f>
        <v/>
      </c>
      <c r="C334" s="17" t="n">
        <v>46625</v>
      </c>
      <c r="D334" s="5">
        <f>IF(A334="","",IF(C334=DATE(2026,11,29),"培训；注册午餐；早餐参数",IF(C334=DATE(2026,11,30),"培训；注册午餐",IF(C334=DATE(2026,12,1),"培训；注册午餐；机构晚餐",IF(C334=Options!$B$9,"抵达；"&amp;IF(C334=DATE(2026,11,28),"机构晚餐","无统一供餐"),IF(C334=Options!$B$10,"返程；"&amp;IF(C334=DATE(2026,12,2),"机构午餐","无统一供餐"),"差旅状态；无统一日程"))))))</f>
        <v/>
      </c>
      <c r="E334" s="13">
        <f>IF(C334=Options!$B$9,Options!$C$14,0)</f>
        <v/>
      </c>
      <c r="F334" s="13">
        <f>IF(AND(A334&lt;&gt;"",C334&lt;Options!$B$10),B334*Options!$X$5,0)</f>
        <v/>
      </c>
      <c r="G334" s="13">
        <f>F334*12%</f>
        <v/>
      </c>
      <c r="H334" s="13">
        <f>IF(A334="",0,B334*(92*IF(OR(C334=Options!$B$9,C334=Options!$B$10),75%,100%)-IF(C334=DATE(2026,11,29),26+IF(Options!$B$8="是",23,0),0)-IF(C334=DATE(2026,11,30),26,0)-IF(C334=DATE(2026,12,1),64,0)-IF(C334=DATE(2026,11,28),38,0)-IF(C334=DATE(2026,12,2),26,0)))</f>
        <v/>
      </c>
      <c r="I334" s="13">
        <f>IF(AND(C334&gt;=DATE(2026,11,29),C334&lt;=DATE(2026,12,1)),B334*60,0)</f>
        <v/>
      </c>
      <c r="J334" s="13">
        <f>IF(A334="",0,B334*(IF(C334=DATE(2026,11,28),38,0)+IF(C334=DATE(2026,12,1),38,0)+IF(C334=DATE(2026,12,2),26,0)))</f>
        <v/>
      </c>
      <c r="K334" s="13">
        <f>IF(C334=Options!$B$9,B334*12,0)</f>
        <v/>
      </c>
      <c r="L334" s="13">
        <f>IF(C334=Options!$B$9,B334*Options!$Z$5,0)</f>
        <v/>
      </c>
      <c r="M334" s="13" t="n">
        <v>0</v>
      </c>
      <c r="N334" s="13">
        <f>SUM(E334:M334)</f>
        <v/>
      </c>
    </row>
    <row r="335">
      <c r="A335" s="5">
        <f>IF(AND(C335&gt;=Options!$B$9,C335&lt;=Options!$B$10),"Chicago","")</f>
        <v/>
      </c>
      <c r="B335" s="5">
        <f>IF(A335="","",18)</f>
        <v/>
      </c>
      <c r="C335" s="17" t="n">
        <v>46626</v>
      </c>
      <c r="D335" s="5">
        <f>IF(A335="","",IF(C335=DATE(2026,11,29),"培训；注册午餐；早餐参数",IF(C335=DATE(2026,11,30),"培训；注册午餐",IF(C335=DATE(2026,12,1),"培训；注册午餐；机构晚餐",IF(C335=Options!$B$9,"抵达；"&amp;IF(C335=DATE(2026,11,28),"机构晚餐","无统一供餐"),IF(C335=Options!$B$10,"返程；"&amp;IF(C335=DATE(2026,12,2),"机构午餐","无统一供餐"),"差旅状态；无统一日程"))))))</f>
        <v/>
      </c>
      <c r="E335" s="13">
        <f>IF(C335=Options!$B$9,Options!$C$14,0)</f>
        <v/>
      </c>
      <c r="F335" s="13">
        <f>IF(AND(A335&lt;&gt;"",C335&lt;Options!$B$10),B335*Options!$X$5,0)</f>
        <v/>
      </c>
      <c r="G335" s="13">
        <f>F335*12%</f>
        <v/>
      </c>
      <c r="H335" s="13">
        <f>IF(A335="",0,B335*(92*IF(OR(C335=Options!$B$9,C335=Options!$B$10),75%,100%)-IF(C335=DATE(2026,11,29),26+IF(Options!$B$8="是",23,0),0)-IF(C335=DATE(2026,11,30),26,0)-IF(C335=DATE(2026,12,1),64,0)-IF(C335=DATE(2026,11,28),38,0)-IF(C335=DATE(2026,12,2),26,0)))</f>
        <v/>
      </c>
      <c r="I335" s="13">
        <f>IF(AND(C335&gt;=DATE(2026,11,29),C335&lt;=DATE(2026,12,1)),B335*60,0)</f>
        <v/>
      </c>
      <c r="J335" s="13">
        <f>IF(A335="",0,B335*(IF(C335=DATE(2026,11,28),38,0)+IF(C335=DATE(2026,12,1),38,0)+IF(C335=DATE(2026,12,2),26,0)))</f>
        <v/>
      </c>
      <c r="K335" s="13">
        <f>IF(C335=Options!$B$9,B335*12,0)</f>
        <v/>
      </c>
      <c r="L335" s="13">
        <f>IF(C335=Options!$B$9,B335*Options!$Z$5,0)</f>
        <v/>
      </c>
      <c r="M335" s="13" t="n">
        <v>0</v>
      </c>
      <c r="N335" s="13">
        <f>SUM(E335:M335)</f>
        <v/>
      </c>
    </row>
    <row r="336">
      <c r="A336" s="5">
        <f>IF(AND(C336&gt;=Options!$B$9,C336&lt;=Options!$B$10),"Chicago","")</f>
        <v/>
      </c>
      <c r="B336" s="5">
        <f>IF(A336="","",18)</f>
        <v/>
      </c>
      <c r="C336" s="17" t="n">
        <v>46627</v>
      </c>
      <c r="D336" s="5">
        <f>IF(A336="","",IF(C336=DATE(2026,11,29),"培训；注册午餐；早餐参数",IF(C336=DATE(2026,11,30),"培训；注册午餐",IF(C336=DATE(2026,12,1),"培训；注册午餐；机构晚餐",IF(C336=Options!$B$9,"抵达；"&amp;IF(C336=DATE(2026,11,28),"机构晚餐","无统一供餐"),IF(C336=Options!$B$10,"返程；"&amp;IF(C336=DATE(2026,12,2),"机构午餐","无统一供餐"),"差旅状态；无统一日程"))))))</f>
        <v/>
      </c>
      <c r="E336" s="13">
        <f>IF(C336=Options!$B$9,Options!$C$14,0)</f>
        <v/>
      </c>
      <c r="F336" s="13">
        <f>IF(AND(A336&lt;&gt;"",C336&lt;Options!$B$10),B336*Options!$X$5,0)</f>
        <v/>
      </c>
      <c r="G336" s="13">
        <f>F336*12%</f>
        <v/>
      </c>
      <c r="H336" s="13">
        <f>IF(A336="",0,B336*(92*IF(OR(C336=Options!$B$9,C336=Options!$B$10),75%,100%)-IF(C336=DATE(2026,11,29),26+IF(Options!$B$8="是",23,0),0)-IF(C336=DATE(2026,11,30),26,0)-IF(C336=DATE(2026,12,1),64,0)-IF(C336=DATE(2026,11,28),38,0)-IF(C336=DATE(2026,12,2),26,0)))</f>
        <v/>
      </c>
      <c r="I336" s="13">
        <f>IF(AND(C336&gt;=DATE(2026,11,29),C336&lt;=DATE(2026,12,1)),B336*60,0)</f>
        <v/>
      </c>
      <c r="J336" s="13">
        <f>IF(A336="",0,B336*(IF(C336=DATE(2026,11,28),38,0)+IF(C336=DATE(2026,12,1),38,0)+IF(C336=DATE(2026,12,2),26,0)))</f>
        <v/>
      </c>
      <c r="K336" s="13">
        <f>IF(C336=Options!$B$9,B336*12,0)</f>
        <v/>
      </c>
      <c r="L336" s="13">
        <f>IF(C336=Options!$B$9,B336*Options!$Z$5,0)</f>
        <v/>
      </c>
      <c r="M336" s="13" t="n">
        <v>0</v>
      </c>
      <c r="N336" s="13">
        <f>SUM(E336:M336)</f>
        <v/>
      </c>
    </row>
    <row r="337">
      <c r="A337" s="5">
        <f>IF(AND(C337&gt;=Options!$B$9,C337&lt;=Options!$B$10),"Chicago","")</f>
        <v/>
      </c>
      <c r="B337" s="5">
        <f>IF(A337="","",18)</f>
        <v/>
      </c>
      <c r="C337" s="17" t="n">
        <v>46628</v>
      </c>
      <c r="D337" s="5">
        <f>IF(A337="","",IF(C337=DATE(2026,11,29),"培训；注册午餐；早餐参数",IF(C337=DATE(2026,11,30),"培训；注册午餐",IF(C337=DATE(2026,12,1),"培训；注册午餐；机构晚餐",IF(C337=Options!$B$9,"抵达；"&amp;IF(C337=DATE(2026,11,28),"机构晚餐","无统一供餐"),IF(C337=Options!$B$10,"返程；"&amp;IF(C337=DATE(2026,12,2),"机构午餐","无统一供餐"),"差旅状态；无统一日程"))))))</f>
        <v/>
      </c>
      <c r="E337" s="13">
        <f>IF(C337=Options!$B$9,Options!$C$14,0)</f>
        <v/>
      </c>
      <c r="F337" s="13">
        <f>IF(AND(A337&lt;&gt;"",C337&lt;Options!$B$10),B337*Options!$X$5,0)</f>
        <v/>
      </c>
      <c r="G337" s="13">
        <f>F337*12%</f>
        <v/>
      </c>
      <c r="H337" s="13">
        <f>IF(A337="",0,B337*(92*IF(OR(C337=Options!$B$9,C337=Options!$B$10),75%,100%)-IF(C337=DATE(2026,11,29),26+IF(Options!$B$8="是",23,0),0)-IF(C337=DATE(2026,11,30),26,0)-IF(C337=DATE(2026,12,1),64,0)-IF(C337=DATE(2026,11,28),38,0)-IF(C337=DATE(2026,12,2),26,0)))</f>
        <v/>
      </c>
      <c r="I337" s="13">
        <f>IF(AND(C337&gt;=DATE(2026,11,29),C337&lt;=DATE(2026,12,1)),B337*60,0)</f>
        <v/>
      </c>
      <c r="J337" s="13">
        <f>IF(A337="",0,B337*(IF(C337=DATE(2026,11,28),38,0)+IF(C337=DATE(2026,12,1),38,0)+IF(C337=DATE(2026,12,2),26,0)))</f>
        <v/>
      </c>
      <c r="K337" s="13">
        <f>IF(C337=Options!$B$9,B337*12,0)</f>
        <v/>
      </c>
      <c r="L337" s="13">
        <f>IF(C337=Options!$B$9,B337*Options!$Z$5,0)</f>
        <v/>
      </c>
      <c r="M337" s="13" t="n">
        <v>0</v>
      </c>
      <c r="N337" s="13">
        <f>SUM(E337:M337)</f>
        <v/>
      </c>
    </row>
    <row r="338">
      <c r="A338" s="5">
        <f>IF(AND(C338&gt;=Options!$B$9,C338&lt;=Options!$B$10),"Chicago","")</f>
        <v/>
      </c>
      <c r="B338" s="5">
        <f>IF(A338="","",18)</f>
        <v/>
      </c>
      <c r="C338" s="17" t="n">
        <v>46629</v>
      </c>
      <c r="D338" s="5">
        <f>IF(A338="","",IF(C338=DATE(2026,11,29),"培训；注册午餐；早餐参数",IF(C338=DATE(2026,11,30),"培训；注册午餐",IF(C338=DATE(2026,12,1),"培训；注册午餐；机构晚餐",IF(C338=Options!$B$9,"抵达；"&amp;IF(C338=DATE(2026,11,28),"机构晚餐","无统一供餐"),IF(C338=Options!$B$10,"返程；"&amp;IF(C338=DATE(2026,12,2),"机构午餐","无统一供餐"),"差旅状态；无统一日程"))))))</f>
        <v/>
      </c>
      <c r="E338" s="13">
        <f>IF(C338=Options!$B$9,Options!$C$14,0)</f>
        <v/>
      </c>
      <c r="F338" s="13">
        <f>IF(AND(A338&lt;&gt;"",C338&lt;Options!$B$10),B338*Options!$X$5,0)</f>
        <v/>
      </c>
      <c r="G338" s="13">
        <f>F338*12%</f>
        <v/>
      </c>
      <c r="H338" s="13">
        <f>IF(A338="",0,B338*(92*IF(OR(C338=Options!$B$9,C338=Options!$B$10),75%,100%)-IF(C338=DATE(2026,11,29),26+IF(Options!$B$8="是",23,0),0)-IF(C338=DATE(2026,11,30),26,0)-IF(C338=DATE(2026,12,1),64,0)-IF(C338=DATE(2026,11,28),38,0)-IF(C338=DATE(2026,12,2),26,0)))</f>
        <v/>
      </c>
      <c r="I338" s="13">
        <f>IF(AND(C338&gt;=DATE(2026,11,29),C338&lt;=DATE(2026,12,1)),B338*60,0)</f>
        <v/>
      </c>
      <c r="J338" s="13">
        <f>IF(A338="",0,B338*(IF(C338=DATE(2026,11,28),38,0)+IF(C338=DATE(2026,12,1),38,0)+IF(C338=DATE(2026,12,2),26,0)))</f>
        <v/>
      </c>
      <c r="K338" s="13">
        <f>IF(C338=Options!$B$9,B338*12,0)</f>
        <v/>
      </c>
      <c r="L338" s="13">
        <f>IF(C338=Options!$B$9,B338*Options!$Z$5,0)</f>
        <v/>
      </c>
      <c r="M338" s="13" t="n">
        <v>0</v>
      </c>
      <c r="N338" s="13">
        <f>SUM(E338:M338)</f>
        <v/>
      </c>
    </row>
    <row r="339">
      <c r="A339" s="5">
        <f>IF(AND(C339&gt;=Options!$B$9,C339&lt;=Options!$B$10),"Chicago","")</f>
        <v/>
      </c>
      <c r="B339" s="5">
        <f>IF(A339="","",18)</f>
        <v/>
      </c>
      <c r="C339" s="17" t="n">
        <v>46630</v>
      </c>
      <c r="D339" s="5">
        <f>IF(A339="","",IF(C339=DATE(2026,11,29),"培训；注册午餐；早餐参数",IF(C339=DATE(2026,11,30),"培训；注册午餐",IF(C339=DATE(2026,12,1),"培训；注册午餐；机构晚餐",IF(C339=Options!$B$9,"抵达；"&amp;IF(C339=DATE(2026,11,28),"机构晚餐","无统一供餐"),IF(C339=Options!$B$10,"返程；"&amp;IF(C339=DATE(2026,12,2),"机构午餐","无统一供餐"),"差旅状态；无统一日程"))))))</f>
        <v/>
      </c>
      <c r="E339" s="13">
        <f>IF(C339=Options!$B$9,Options!$C$14,0)</f>
        <v/>
      </c>
      <c r="F339" s="13">
        <f>IF(AND(A339&lt;&gt;"",C339&lt;Options!$B$10),B339*Options!$X$5,0)</f>
        <v/>
      </c>
      <c r="G339" s="13">
        <f>F339*12%</f>
        <v/>
      </c>
      <c r="H339" s="13">
        <f>IF(A339="",0,B339*(92*IF(OR(C339=Options!$B$9,C339=Options!$B$10),75%,100%)-IF(C339=DATE(2026,11,29),26+IF(Options!$B$8="是",23,0),0)-IF(C339=DATE(2026,11,30),26,0)-IF(C339=DATE(2026,12,1),64,0)-IF(C339=DATE(2026,11,28),38,0)-IF(C339=DATE(2026,12,2),26,0)))</f>
        <v/>
      </c>
      <c r="I339" s="13">
        <f>IF(AND(C339&gt;=DATE(2026,11,29),C339&lt;=DATE(2026,12,1)),B339*60,0)</f>
        <v/>
      </c>
      <c r="J339" s="13">
        <f>IF(A339="",0,B339*(IF(C339=DATE(2026,11,28),38,0)+IF(C339=DATE(2026,12,1),38,0)+IF(C339=DATE(2026,12,2),26,0)))</f>
        <v/>
      </c>
      <c r="K339" s="13">
        <f>IF(C339=Options!$B$9,B339*12,0)</f>
        <v/>
      </c>
      <c r="L339" s="13">
        <f>IF(C339=Options!$B$9,B339*Options!$Z$5,0)</f>
        <v/>
      </c>
      <c r="M339" s="13" t="n">
        <v>0</v>
      </c>
      <c r="N339" s="13">
        <f>SUM(E339:M339)</f>
        <v/>
      </c>
    </row>
    <row r="340">
      <c r="A340" s="5">
        <f>IF(AND(C340&gt;=Options!$B$9,C340&lt;=Options!$B$10),"Chicago","")</f>
        <v/>
      </c>
      <c r="B340" s="5">
        <f>IF(A340="","",18)</f>
        <v/>
      </c>
      <c r="C340" s="17" t="n">
        <v>46631</v>
      </c>
      <c r="D340" s="5">
        <f>IF(A340="","",IF(C340=DATE(2026,11,29),"培训；注册午餐；早餐参数",IF(C340=DATE(2026,11,30),"培训；注册午餐",IF(C340=DATE(2026,12,1),"培训；注册午餐；机构晚餐",IF(C340=Options!$B$9,"抵达；"&amp;IF(C340=DATE(2026,11,28),"机构晚餐","无统一供餐"),IF(C340=Options!$B$10,"返程；"&amp;IF(C340=DATE(2026,12,2),"机构午餐","无统一供餐"),"差旅状态；无统一日程"))))))</f>
        <v/>
      </c>
      <c r="E340" s="13">
        <f>IF(C340=Options!$B$9,Options!$C$14,0)</f>
        <v/>
      </c>
      <c r="F340" s="13">
        <f>IF(AND(A340&lt;&gt;"",C340&lt;Options!$B$10),B340*Options!$X$5,0)</f>
        <v/>
      </c>
      <c r="G340" s="13">
        <f>F340*12%</f>
        <v/>
      </c>
      <c r="H340" s="13">
        <f>IF(A340="",0,B340*(92*IF(OR(C340=Options!$B$9,C340=Options!$B$10),75%,100%)-IF(C340=DATE(2026,11,29),26+IF(Options!$B$8="是",23,0),0)-IF(C340=DATE(2026,11,30),26,0)-IF(C340=DATE(2026,12,1),64,0)-IF(C340=DATE(2026,11,28),38,0)-IF(C340=DATE(2026,12,2),26,0)))</f>
        <v/>
      </c>
      <c r="I340" s="13">
        <f>IF(AND(C340&gt;=DATE(2026,11,29),C340&lt;=DATE(2026,12,1)),B340*60,0)</f>
        <v/>
      </c>
      <c r="J340" s="13">
        <f>IF(A340="",0,B340*(IF(C340=DATE(2026,11,28),38,0)+IF(C340=DATE(2026,12,1),38,0)+IF(C340=DATE(2026,12,2),26,0)))</f>
        <v/>
      </c>
      <c r="K340" s="13">
        <f>IF(C340=Options!$B$9,B340*12,0)</f>
        <v/>
      </c>
      <c r="L340" s="13">
        <f>IF(C340=Options!$B$9,B340*Options!$Z$5,0)</f>
        <v/>
      </c>
      <c r="M340" s="13" t="n">
        <v>0</v>
      </c>
      <c r="N340" s="13">
        <f>SUM(E340:M340)</f>
        <v/>
      </c>
    </row>
    <row r="341">
      <c r="A341" s="5">
        <f>IF(AND(C341&gt;=Options!$B$9,C341&lt;=Options!$B$10),"Chicago","")</f>
        <v/>
      </c>
      <c r="B341" s="5">
        <f>IF(A341="","",18)</f>
        <v/>
      </c>
      <c r="C341" s="17" t="n">
        <v>46632</v>
      </c>
      <c r="D341" s="5">
        <f>IF(A341="","",IF(C341=DATE(2026,11,29),"培训；注册午餐；早餐参数",IF(C341=DATE(2026,11,30),"培训；注册午餐",IF(C341=DATE(2026,12,1),"培训；注册午餐；机构晚餐",IF(C341=Options!$B$9,"抵达；"&amp;IF(C341=DATE(2026,11,28),"机构晚餐","无统一供餐"),IF(C341=Options!$B$10,"返程；"&amp;IF(C341=DATE(2026,12,2),"机构午餐","无统一供餐"),"差旅状态；无统一日程"))))))</f>
        <v/>
      </c>
      <c r="E341" s="13">
        <f>IF(C341=Options!$B$9,Options!$C$14,0)</f>
        <v/>
      </c>
      <c r="F341" s="13">
        <f>IF(AND(A341&lt;&gt;"",C341&lt;Options!$B$10),B341*Options!$X$5,0)</f>
        <v/>
      </c>
      <c r="G341" s="13">
        <f>F341*12%</f>
        <v/>
      </c>
      <c r="H341" s="13">
        <f>IF(A341="",0,B341*(92*IF(OR(C341=Options!$B$9,C341=Options!$B$10),75%,100%)-IF(C341=DATE(2026,11,29),26+IF(Options!$B$8="是",23,0),0)-IF(C341=DATE(2026,11,30),26,0)-IF(C341=DATE(2026,12,1),64,0)-IF(C341=DATE(2026,11,28),38,0)-IF(C341=DATE(2026,12,2),26,0)))</f>
        <v/>
      </c>
      <c r="I341" s="13">
        <f>IF(AND(C341&gt;=DATE(2026,11,29),C341&lt;=DATE(2026,12,1)),B341*60,0)</f>
        <v/>
      </c>
      <c r="J341" s="13">
        <f>IF(A341="",0,B341*(IF(C341=DATE(2026,11,28),38,0)+IF(C341=DATE(2026,12,1),38,0)+IF(C341=DATE(2026,12,2),26,0)))</f>
        <v/>
      </c>
      <c r="K341" s="13">
        <f>IF(C341=Options!$B$9,B341*12,0)</f>
        <v/>
      </c>
      <c r="L341" s="13">
        <f>IF(C341=Options!$B$9,B341*Options!$Z$5,0)</f>
        <v/>
      </c>
      <c r="M341" s="13" t="n">
        <v>0</v>
      </c>
      <c r="N341" s="13">
        <f>SUM(E341:M341)</f>
        <v/>
      </c>
    </row>
    <row r="342">
      <c r="A342" s="5">
        <f>IF(AND(C342&gt;=Options!$B$9,C342&lt;=Options!$B$10),"Chicago","")</f>
        <v/>
      </c>
      <c r="B342" s="5">
        <f>IF(A342="","",18)</f>
        <v/>
      </c>
      <c r="C342" s="17" t="n">
        <v>46633</v>
      </c>
      <c r="D342" s="5">
        <f>IF(A342="","",IF(C342=DATE(2026,11,29),"培训；注册午餐；早餐参数",IF(C342=DATE(2026,11,30),"培训；注册午餐",IF(C342=DATE(2026,12,1),"培训；注册午餐；机构晚餐",IF(C342=Options!$B$9,"抵达；"&amp;IF(C342=DATE(2026,11,28),"机构晚餐","无统一供餐"),IF(C342=Options!$B$10,"返程；"&amp;IF(C342=DATE(2026,12,2),"机构午餐","无统一供餐"),"差旅状态；无统一日程"))))))</f>
        <v/>
      </c>
      <c r="E342" s="13">
        <f>IF(C342=Options!$B$9,Options!$C$14,0)</f>
        <v/>
      </c>
      <c r="F342" s="13">
        <f>IF(AND(A342&lt;&gt;"",C342&lt;Options!$B$10),B342*Options!$X$5,0)</f>
        <v/>
      </c>
      <c r="G342" s="13">
        <f>F342*12%</f>
        <v/>
      </c>
      <c r="H342" s="13">
        <f>IF(A342="",0,B342*(92*IF(OR(C342=Options!$B$9,C342=Options!$B$10),75%,100%)-IF(C342=DATE(2026,11,29),26+IF(Options!$B$8="是",23,0),0)-IF(C342=DATE(2026,11,30),26,0)-IF(C342=DATE(2026,12,1),64,0)-IF(C342=DATE(2026,11,28),38,0)-IF(C342=DATE(2026,12,2),26,0)))</f>
        <v/>
      </c>
      <c r="I342" s="13">
        <f>IF(AND(C342&gt;=DATE(2026,11,29),C342&lt;=DATE(2026,12,1)),B342*60,0)</f>
        <v/>
      </c>
      <c r="J342" s="13">
        <f>IF(A342="",0,B342*(IF(C342=DATE(2026,11,28),38,0)+IF(C342=DATE(2026,12,1),38,0)+IF(C342=DATE(2026,12,2),26,0)))</f>
        <v/>
      </c>
      <c r="K342" s="13">
        <f>IF(C342=Options!$B$9,B342*12,0)</f>
        <v/>
      </c>
      <c r="L342" s="13">
        <f>IF(C342=Options!$B$9,B342*Options!$Z$5,0)</f>
        <v/>
      </c>
      <c r="M342" s="13" t="n">
        <v>0</v>
      </c>
      <c r="N342" s="13">
        <f>SUM(E342:M342)</f>
        <v/>
      </c>
    </row>
    <row r="343">
      <c r="A343" s="5">
        <f>IF(AND(C343&gt;=Options!$B$9,C343&lt;=Options!$B$10),"Chicago","")</f>
        <v/>
      </c>
      <c r="B343" s="5">
        <f>IF(A343="","",18)</f>
        <v/>
      </c>
      <c r="C343" s="17" t="n">
        <v>46634</v>
      </c>
      <c r="D343" s="5">
        <f>IF(A343="","",IF(C343=DATE(2026,11,29),"培训；注册午餐；早餐参数",IF(C343=DATE(2026,11,30),"培训；注册午餐",IF(C343=DATE(2026,12,1),"培训；注册午餐；机构晚餐",IF(C343=Options!$B$9,"抵达；"&amp;IF(C343=DATE(2026,11,28),"机构晚餐","无统一供餐"),IF(C343=Options!$B$10,"返程；"&amp;IF(C343=DATE(2026,12,2),"机构午餐","无统一供餐"),"差旅状态；无统一日程"))))))</f>
        <v/>
      </c>
      <c r="E343" s="13">
        <f>IF(C343=Options!$B$9,Options!$C$14,0)</f>
        <v/>
      </c>
      <c r="F343" s="13">
        <f>IF(AND(A343&lt;&gt;"",C343&lt;Options!$B$10),B343*Options!$X$5,0)</f>
        <v/>
      </c>
      <c r="G343" s="13">
        <f>F343*12%</f>
        <v/>
      </c>
      <c r="H343" s="13">
        <f>IF(A343="",0,B343*(92*IF(OR(C343=Options!$B$9,C343=Options!$B$10),75%,100%)-IF(C343=DATE(2026,11,29),26+IF(Options!$B$8="是",23,0),0)-IF(C343=DATE(2026,11,30),26,0)-IF(C343=DATE(2026,12,1),64,0)-IF(C343=DATE(2026,11,28),38,0)-IF(C343=DATE(2026,12,2),26,0)))</f>
        <v/>
      </c>
      <c r="I343" s="13">
        <f>IF(AND(C343&gt;=DATE(2026,11,29),C343&lt;=DATE(2026,12,1)),B343*60,0)</f>
        <v/>
      </c>
      <c r="J343" s="13">
        <f>IF(A343="",0,B343*(IF(C343=DATE(2026,11,28),38,0)+IF(C343=DATE(2026,12,1),38,0)+IF(C343=DATE(2026,12,2),26,0)))</f>
        <v/>
      </c>
      <c r="K343" s="13">
        <f>IF(C343=Options!$B$9,B343*12,0)</f>
        <v/>
      </c>
      <c r="L343" s="13">
        <f>IF(C343=Options!$B$9,B343*Options!$Z$5,0)</f>
        <v/>
      </c>
      <c r="M343" s="13" t="n">
        <v>0</v>
      </c>
      <c r="N343" s="13">
        <f>SUM(E343:M343)</f>
        <v/>
      </c>
    </row>
    <row r="344">
      <c r="A344" s="5">
        <f>IF(AND(C344&gt;=Options!$B$9,C344&lt;=Options!$B$10),"Chicago","")</f>
        <v/>
      </c>
      <c r="B344" s="5">
        <f>IF(A344="","",18)</f>
        <v/>
      </c>
      <c r="C344" s="17" t="n">
        <v>46635</v>
      </c>
      <c r="D344" s="5">
        <f>IF(A344="","",IF(C344=DATE(2026,11,29),"培训；注册午餐；早餐参数",IF(C344=DATE(2026,11,30),"培训；注册午餐",IF(C344=DATE(2026,12,1),"培训；注册午餐；机构晚餐",IF(C344=Options!$B$9,"抵达；"&amp;IF(C344=DATE(2026,11,28),"机构晚餐","无统一供餐"),IF(C344=Options!$B$10,"返程；"&amp;IF(C344=DATE(2026,12,2),"机构午餐","无统一供餐"),"差旅状态；无统一日程"))))))</f>
        <v/>
      </c>
      <c r="E344" s="13">
        <f>IF(C344=Options!$B$9,Options!$C$14,0)</f>
        <v/>
      </c>
      <c r="F344" s="13">
        <f>IF(AND(A344&lt;&gt;"",C344&lt;Options!$B$10),B344*Options!$X$5,0)</f>
        <v/>
      </c>
      <c r="G344" s="13">
        <f>F344*12%</f>
        <v/>
      </c>
      <c r="H344" s="13">
        <f>IF(A344="",0,B344*(92*IF(OR(C344=Options!$B$9,C344=Options!$B$10),75%,100%)-IF(C344=DATE(2026,11,29),26+IF(Options!$B$8="是",23,0),0)-IF(C344=DATE(2026,11,30),26,0)-IF(C344=DATE(2026,12,1),64,0)-IF(C344=DATE(2026,11,28),38,0)-IF(C344=DATE(2026,12,2),26,0)))</f>
        <v/>
      </c>
      <c r="I344" s="13">
        <f>IF(AND(C344&gt;=DATE(2026,11,29),C344&lt;=DATE(2026,12,1)),B344*60,0)</f>
        <v/>
      </c>
      <c r="J344" s="13">
        <f>IF(A344="",0,B344*(IF(C344=DATE(2026,11,28),38,0)+IF(C344=DATE(2026,12,1),38,0)+IF(C344=DATE(2026,12,2),26,0)))</f>
        <v/>
      </c>
      <c r="K344" s="13">
        <f>IF(C344=Options!$B$9,B344*12,0)</f>
        <v/>
      </c>
      <c r="L344" s="13">
        <f>IF(C344=Options!$B$9,B344*Options!$Z$5,0)</f>
        <v/>
      </c>
      <c r="M344" s="13" t="n">
        <v>0</v>
      </c>
      <c r="N344" s="13">
        <f>SUM(E344:M344)</f>
        <v/>
      </c>
    </row>
    <row r="345">
      <c r="A345" s="5">
        <f>IF(AND(C345&gt;=Options!$B$9,C345&lt;=Options!$B$10),"Chicago","")</f>
        <v/>
      </c>
      <c r="B345" s="5">
        <f>IF(A345="","",18)</f>
        <v/>
      </c>
      <c r="C345" s="17" t="n">
        <v>46636</v>
      </c>
      <c r="D345" s="5">
        <f>IF(A345="","",IF(C345=DATE(2026,11,29),"培训；注册午餐；早餐参数",IF(C345=DATE(2026,11,30),"培训；注册午餐",IF(C345=DATE(2026,12,1),"培训；注册午餐；机构晚餐",IF(C345=Options!$B$9,"抵达；"&amp;IF(C345=DATE(2026,11,28),"机构晚餐","无统一供餐"),IF(C345=Options!$B$10,"返程；"&amp;IF(C345=DATE(2026,12,2),"机构午餐","无统一供餐"),"差旅状态；无统一日程"))))))</f>
        <v/>
      </c>
      <c r="E345" s="13">
        <f>IF(C345=Options!$B$9,Options!$C$14,0)</f>
        <v/>
      </c>
      <c r="F345" s="13">
        <f>IF(AND(A345&lt;&gt;"",C345&lt;Options!$B$10),B345*Options!$X$5,0)</f>
        <v/>
      </c>
      <c r="G345" s="13">
        <f>F345*12%</f>
        <v/>
      </c>
      <c r="H345" s="13">
        <f>IF(A345="",0,B345*(92*IF(OR(C345=Options!$B$9,C345=Options!$B$10),75%,100%)-IF(C345=DATE(2026,11,29),26+IF(Options!$B$8="是",23,0),0)-IF(C345=DATE(2026,11,30),26,0)-IF(C345=DATE(2026,12,1),64,0)-IF(C345=DATE(2026,11,28),38,0)-IF(C345=DATE(2026,12,2),26,0)))</f>
        <v/>
      </c>
      <c r="I345" s="13">
        <f>IF(AND(C345&gt;=DATE(2026,11,29),C345&lt;=DATE(2026,12,1)),B345*60,0)</f>
        <v/>
      </c>
      <c r="J345" s="13">
        <f>IF(A345="",0,B345*(IF(C345=DATE(2026,11,28),38,0)+IF(C345=DATE(2026,12,1),38,0)+IF(C345=DATE(2026,12,2),26,0)))</f>
        <v/>
      </c>
      <c r="K345" s="13">
        <f>IF(C345=Options!$B$9,B345*12,0)</f>
        <v/>
      </c>
      <c r="L345" s="13">
        <f>IF(C345=Options!$B$9,B345*Options!$Z$5,0)</f>
        <v/>
      </c>
      <c r="M345" s="13" t="n">
        <v>0</v>
      </c>
      <c r="N345" s="13">
        <f>SUM(E345:M345)</f>
        <v/>
      </c>
    </row>
    <row r="346">
      <c r="A346" s="5">
        <f>IF(AND(C346&gt;=Options!$B$9,C346&lt;=Options!$B$10),"Chicago","")</f>
        <v/>
      </c>
      <c r="B346" s="5">
        <f>IF(A346="","",18)</f>
        <v/>
      </c>
      <c r="C346" s="17" t="n">
        <v>46637</v>
      </c>
      <c r="D346" s="5">
        <f>IF(A346="","",IF(C346=DATE(2026,11,29),"培训；注册午餐；早餐参数",IF(C346=DATE(2026,11,30),"培训；注册午餐",IF(C346=DATE(2026,12,1),"培训；注册午餐；机构晚餐",IF(C346=Options!$B$9,"抵达；"&amp;IF(C346=DATE(2026,11,28),"机构晚餐","无统一供餐"),IF(C346=Options!$B$10,"返程；"&amp;IF(C346=DATE(2026,12,2),"机构午餐","无统一供餐"),"差旅状态；无统一日程"))))))</f>
        <v/>
      </c>
      <c r="E346" s="13">
        <f>IF(C346=Options!$B$9,Options!$C$14,0)</f>
        <v/>
      </c>
      <c r="F346" s="13">
        <f>IF(AND(A346&lt;&gt;"",C346&lt;Options!$B$10),B346*Options!$X$5,0)</f>
        <v/>
      </c>
      <c r="G346" s="13">
        <f>F346*12%</f>
        <v/>
      </c>
      <c r="H346" s="13">
        <f>IF(A346="",0,B346*(92*IF(OR(C346=Options!$B$9,C346=Options!$B$10),75%,100%)-IF(C346=DATE(2026,11,29),26+IF(Options!$B$8="是",23,0),0)-IF(C346=DATE(2026,11,30),26,0)-IF(C346=DATE(2026,12,1),64,0)-IF(C346=DATE(2026,11,28),38,0)-IF(C346=DATE(2026,12,2),26,0)))</f>
        <v/>
      </c>
      <c r="I346" s="13">
        <f>IF(AND(C346&gt;=DATE(2026,11,29),C346&lt;=DATE(2026,12,1)),B346*60,0)</f>
        <v/>
      </c>
      <c r="J346" s="13">
        <f>IF(A346="",0,B346*(IF(C346=DATE(2026,11,28),38,0)+IF(C346=DATE(2026,12,1),38,0)+IF(C346=DATE(2026,12,2),26,0)))</f>
        <v/>
      </c>
      <c r="K346" s="13">
        <f>IF(C346=Options!$B$9,B346*12,0)</f>
        <v/>
      </c>
      <c r="L346" s="13">
        <f>IF(C346=Options!$B$9,B346*Options!$Z$5,0)</f>
        <v/>
      </c>
      <c r="M346" s="13" t="n">
        <v>0</v>
      </c>
      <c r="N346" s="13">
        <f>SUM(E346:M346)</f>
        <v/>
      </c>
    </row>
    <row r="347">
      <c r="A347" s="5">
        <f>IF(AND(C347&gt;=Options!$B$9,C347&lt;=Options!$B$10),"Chicago","")</f>
        <v/>
      </c>
      <c r="B347" s="5">
        <f>IF(A347="","",18)</f>
        <v/>
      </c>
      <c r="C347" s="17" t="n">
        <v>46638</v>
      </c>
      <c r="D347" s="5">
        <f>IF(A347="","",IF(C347=DATE(2026,11,29),"培训；注册午餐；早餐参数",IF(C347=DATE(2026,11,30),"培训；注册午餐",IF(C347=DATE(2026,12,1),"培训；注册午餐；机构晚餐",IF(C347=Options!$B$9,"抵达；"&amp;IF(C347=DATE(2026,11,28),"机构晚餐","无统一供餐"),IF(C347=Options!$B$10,"返程；"&amp;IF(C347=DATE(2026,12,2),"机构午餐","无统一供餐"),"差旅状态；无统一日程"))))))</f>
        <v/>
      </c>
      <c r="E347" s="13">
        <f>IF(C347=Options!$B$9,Options!$C$14,0)</f>
        <v/>
      </c>
      <c r="F347" s="13">
        <f>IF(AND(A347&lt;&gt;"",C347&lt;Options!$B$10),B347*Options!$X$5,0)</f>
        <v/>
      </c>
      <c r="G347" s="13">
        <f>F347*12%</f>
        <v/>
      </c>
      <c r="H347" s="13">
        <f>IF(A347="",0,B347*(92*IF(OR(C347=Options!$B$9,C347=Options!$B$10),75%,100%)-IF(C347=DATE(2026,11,29),26+IF(Options!$B$8="是",23,0),0)-IF(C347=DATE(2026,11,30),26,0)-IF(C347=DATE(2026,12,1),64,0)-IF(C347=DATE(2026,11,28),38,0)-IF(C347=DATE(2026,12,2),26,0)))</f>
        <v/>
      </c>
      <c r="I347" s="13">
        <f>IF(AND(C347&gt;=DATE(2026,11,29),C347&lt;=DATE(2026,12,1)),B347*60,0)</f>
        <v/>
      </c>
      <c r="J347" s="13">
        <f>IF(A347="",0,B347*(IF(C347=DATE(2026,11,28),38,0)+IF(C347=DATE(2026,12,1),38,0)+IF(C347=DATE(2026,12,2),26,0)))</f>
        <v/>
      </c>
      <c r="K347" s="13">
        <f>IF(C347=Options!$B$9,B347*12,0)</f>
        <v/>
      </c>
      <c r="L347" s="13">
        <f>IF(C347=Options!$B$9,B347*Options!$Z$5,0)</f>
        <v/>
      </c>
      <c r="M347" s="13" t="n">
        <v>0</v>
      </c>
      <c r="N347" s="13">
        <f>SUM(E347:M347)</f>
        <v/>
      </c>
    </row>
    <row r="348">
      <c r="A348" s="5">
        <f>IF(AND(C348&gt;=Options!$B$9,C348&lt;=Options!$B$10),"Chicago","")</f>
        <v/>
      </c>
      <c r="B348" s="5">
        <f>IF(A348="","",18)</f>
        <v/>
      </c>
      <c r="C348" s="17" t="n">
        <v>46639</v>
      </c>
      <c r="D348" s="5">
        <f>IF(A348="","",IF(C348=DATE(2026,11,29),"培训；注册午餐；早餐参数",IF(C348=DATE(2026,11,30),"培训；注册午餐",IF(C348=DATE(2026,12,1),"培训；注册午餐；机构晚餐",IF(C348=Options!$B$9,"抵达；"&amp;IF(C348=DATE(2026,11,28),"机构晚餐","无统一供餐"),IF(C348=Options!$B$10,"返程；"&amp;IF(C348=DATE(2026,12,2),"机构午餐","无统一供餐"),"差旅状态；无统一日程"))))))</f>
        <v/>
      </c>
      <c r="E348" s="13">
        <f>IF(C348=Options!$B$9,Options!$C$14,0)</f>
        <v/>
      </c>
      <c r="F348" s="13">
        <f>IF(AND(A348&lt;&gt;"",C348&lt;Options!$B$10),B348*Options!$X$5,0)</f>
        <v/>
      </c>
      <c r="G348" s="13">
        <f>F348*12%</f>
        <v/>
      </c>
      <c r="H348" s="13">
        <f>IF(A348="",0,B348*(92*IF(OR(C348=Options!$B$9,C348=Options!$B$10),75%,100%)-IF(C348=DATE(2026,11,29),26+IF(Options!$B$8="是",23,0),0)-IF(C348=DATE(2026,11,30),26,0)-IF(C348=DATE(2026,12,1),64,0)-IF(C348=DATE(2026,11,28),38,0)-IF(C348=DATE(2026,12,2),26,0)))</f>
        <v/>
      </c>
      <c r="I348" s="13">
        <f>IF(AND(C348&gt;=DATE(2026,11,29),C348&lt;=DATE(2026,12,1)),B348*60,0)</f>
        <v/>
      </c>
      <c r="J348" s="13">
        <f>IF(A348="",0,B348*(IF(C348=DATE(2026,11,28),38,0)+IF(C348=DATE(2026,12,1),38,0)+IF(C348=DATE(2026,12,2),26,0)))</f>
        <v/>
      </c>
      <c r="K348" s="13">
        <f>IF(C348=Options!$B$9,B348*12,0)</f>
        <v/>
      </c>
      <c r="L348" s="13">
        <f>IF(C348=Options!$B$9,B348*Options!$Z$5,0)</f>
        <v/>
      </c>
      <c r="M348" s="13" t="n">
        <v>0</v>
      </c>
      <c r="N348" s="13">
        <f>SUM(E348:M348)</f>
        <v/>
      </c>
    </row>
    <row r="349">
      <c r="A349" s="5">
        <f>IF(AND(C349&gt;=Options!$B$9,C349&lt;=Options!$B$10),"Chicago","")</f>
        <v/>
      </c>
      <c r="B349" s="5">
        <f>IF(A349="","",18)</f>
        <v/>
      </c>
      <c r="C349" s="17" t="n">
        <v>46640</v>
      </c>
      <c r="D349" s="5">
        <f>IF(A349="","",IF(C349=DATE(2026,11,29),"培训；注册午餐；早餐参数",IF(C349=DATE(2026,11,30),"培训；注册午餐",IF(C349=DATE(2026,12,1),"培训；注册午餐；机构晚餐",IF(C349=Options!$B$9,"抵达；"&amp;IF(C349=DATE(2026,11,28),"机构晚餐","无统一供餐"),IF(C349=Options!$B$10,"返程；"&amp;IF(C349=DATE(2026,12,2),"机构午餐","无统一供餐"),"差旅状态；无统一日程"))))))</f>
        <v/>
      </c>
      <c r="E349" s="13">
        <f>IF(C349=Options!$B$9,Options!$C$14,0)</f>
        <v/>
      </c>
      <c r="F349" s="13">
        <f>IF(AND(A349&lt;&gt;"",C349&lt;Options!$B$10),B349*Options!$X$5,0)</f>
        <v/>
      </c>
      <c r="G349" s="13">
        <f>F349*12%</f>
        <v/>
      </c>
      <c r="H349" s="13">
        <f>IF(A349="",0,B349*(92*IF(OR(C349=Options!$B$9,C349=Options!$B$10),75%,100%)-IF(C349=DATE(2026,11,29),26+IF(Options!$B$8="是",23,0),0)-IF(C349=DATE(2026,11,30),26,0)-IF(C349=DATE(2026,12,1),64,0)-IF(C349=DATE(2026,11,28),38,0)-IF(C349=DATE(2026,12,2),26,0)))</f>
        <v/>
      </c>
      <c r="I349" s="13">
        <f>IF(AND(C349&gt;=DATE(2026,11,29),C349&lt;=DATE(2026,12,1)),B349*60,0)</f>
        <v/>
      </c>
      <c r="J349" s="13">
        <f>IF(A349="",0,B349*(IF(C349=DATE(2026,11,28),38,0)+IF(C349=DATE(2026,12,1),38,0)+IF(C349=DATE(2026,12,2),26,0)))</f>
        <v/>
      </c>
      <c r="K349" s="13">
        <f>IF(C349=Options!$B$9,B349*12,0)</f>
        <v/>
      </c>
      <c r="L349" s="13">
        <f>IF(C349=Options!$B$9,B349*Options!$Z$5,0)</f>
        <v/>
      </c>
      <c r="M349" s="13" t="n">
        <v>0</v>
      </c>
      <c r="N349" s="13">
        <f>SUM(E349:M349)</f>
        <v/>
      </c>
    </row>
    <row r="350">
      <c r="A350" s="5">
        <f>IF(AND(C350&gt;=Options!$B$9,C350&lt;=Options!$B$10),"Chicago","")</f>
        <v/>
      </c>
      <c r="B350" s="5">
        <f>IF(A350="","",18)</f>
        <v/>
      </c>
      <c r="C350" s="17" t="n">
        <v>46641</v>
      </c>
      <c r="D350" s="5">
        <f>IF(A350="","",IF(C350=DATE(2026,11,29),"培训；注册午餐；早餐参数",IF(C350=DATE(2026,11,30),"培训；注册午餐",IF(C350=DATE(2026,12,1),"培训；注册午餐；机构晚餐",IF(C350=Options!$B$9,"抵达；"&amp;IF(C350=DATE(2026,11,28),"机构晚餐","无统一供餐"),IF(C350=Options!$B$10,"返程；"&amp;IF(C350=DATE(2026,12,2),"机构午餐","无统一供餐"),"差旅状态；无统一日程"))))))</f>
        <v/>
      </c>
      <c r="E350" s="13">
        <f>IF(C350=Options!$B$9,Options!$C$14,0)</f>
        <v/>
      </c>
      <c r="F350" s="13">
        <f>IF(AND(A350&lt;&gt;"",C350&lt;Options!$B$10),B350*Options!$X$5,0)</f>
        <v/>
      </c>
      <c r="G350" s="13">
        <f>F350*12%</f>
        <v/>
      </c>
      <c r="H350" s="13">
        <f>IF(A350="",0,B350*(92*IF(OR(C350=Options!$B$9,C350=Options!$B$10),75%,100%)-IF(C350=DATE(2026,11,29),26+IF(Options!$B$8="是",23,0),0)-IF(C350=DATE(2026,11,30),26,0)-IF(C350=DATE(2026,12,1),64,0)-IF(C350=DATE(2026,11,28),38,0)-IF(C350=DATE(2026,12,2),26,0)))</f>
        <v/>
      </c>
      <c r="I350" s="13">
        <f>IF(AND(C350&gt;=DATE(2026,11,29),C350&lt;=DATE(2026,12,1)),B350*60,0)</f>
        <v/>
      </c>
      <c r="J350" s="13">
        <f>IF(A350="",0,B350*(IF(C350=DATE(2026,11,28),38,0)+IF(C350=DATE(2026,12,1),38,0)+IF(C350=DATE(2026,12,2),26,0)))</f>
        <v/>
      </c>
      <c r="K350" s="13">
        <f>IF(C350=Options!$B$9,B350*12,0)</f>
        <v/>
      </c>
      <c r="L350" s="13">
        <f>IF(C350=Options!$B$9,B350*Options!$Z$5,0)</f>
        <v/>
      </c>
      <c r="M350" s="13" t="n">
        <v>0</v>
      </c>
      <c r="N350" s="13">
        <f>SUM(E350:M350)</f>
        <v/>
      </c>
    </row>
    <row r="351">
      <c r="A351" s="5">
        <f>IF(AND(C351&gt;=Options!$B$9,C351&lt;=Options!$B$10),"Chicago","")</f>
        <v/>
      </c>
      <c r="B351" s="5">
        <f>IF(A351="","",18)</f>
        <v/>
      </c>
      <c r="C351" s="17" t="n">
        <v>46642</v>
      </c>
      <c r="D351" s="5">
        <f>IF(A351="","",IF(C351=DATE(2026,11,29),"培训；注册午餐；早餐参数",IF(C351=DATE(2026,11,30),"培训；注册午餐",IF(C351=DATE(2026,12,1),"培训；注册午餐；机构晚餐",IF(C351=Options!$B$9,"抵达；"&amp;IF(C351=DATE(2026,11,28),"机构晚餐","无统一供餐"),IF(C351=Options!$B$10,"返程；"&amp;IF(C351=DATE(2026,12,2),"机构午餐","无统一供餐"),"差旅状态；无统一日程"))))))</f>
        <v/>
      </c>
      <c r="E351" s="13">
        <f>IF(C351=Options!$B$9,Options!$C$14,0)</f>
        <v/>
      </c>
      <c r="F351" s="13">
        <f>IF(AND(A351&lt;&gt;"",C351&lt;Options!$B$10),B351*Options!$X$5,0)</f>
        <v/>
      </c>
      <c r="G351" s="13">
        <f>F351*12%</f>
        <v/>
      </c>
      <c r="H351" s="13">
        <f>IF(A351="",0,B351*(92*IF(OR(C351=Options!$B$9,C351=Options!$B$10),75%,100%)-IF(C351=DATE(2026,11,29),26+IF(Options!$B$8="是",23,0),0)-IF(C351=DATE(2026,11,30),26,0)-IF(C351=DATE(2026,12,1),64,0)-IF(C351=DATE(2026,11,28),38,0)-IF(C351=DATE(2026,12,2),26,0)))</f>
        <v/>
      </c>
      <c r="I351" s="13">
        <f>IF(AND(C351&gt;=DATE(2026,11,29),C351&lt;=DATE(2026,12,1)),B351*60,0)</f>
        <v/>
      </c>
      <c r="J351" s="13">
        <f>IF(A351="",0,B351*(IF(C351=DATE(2026,11,28),38,0)+IF(C351=DATE(2026,12,1),38,0)+IF(C351=DATE(2026,12,2),26,0)))</f>
        <v/>
      </c>
      <c r="K351" s="13">
        <f>IF(C351=Options!$B$9,B351*12,0)</f>
        <v/>
      </c>
      <c r="L351" s="13">
        <f>IF(C351=Options!$B$9,B351*Options!$Z$5,0)</f>
        <v/>
      </c>
      <c r="M351" s="13" t="n">
        <v>0</v>
      </c>
      <c r="N351" s="13">
        <f>SUM(E351:M351)</f>
        <v/>
      </c>
    </row>
    <row r="352">
      <c r="A352" s="5">
        <f>IF(AND(C352&gt;=Options!$B$9,C352&lt;=Options!$B$10),"Chicago","")</f>
        <v/>
      </c>
      <c r="B352" s="5">
        <f>IF(A352="","",18)</f>
        <v/>
      </c>
      <c r="C352" s="17" t="n">
        <v>46643</v>
      </c>
      <c r="D352" s="5">
        <f>IF(A352="","",IF(C352=DATE(2026,11,29),"培训；注册午餐；早餐参数",IF(C352=DATE(2026,11,30),"培训；注册午餐",IF(C352=DATE(2026,12,1),"培训；注册午餐；机构晚餐",IF(C352=Options!$B$9,"抵达；"&amp;IF(C352=DATE(2026,11,28),"机构晚餐","无统一供餐"),IF(C352=Options!$B$10,"返程；"&amp;IF(C352=DATE(2026,12,2),"机构午餐","无统一供餐"),"差旅状态；无统一日程"))))))</f>
        <v/>
      </c>
      <c r="E352" s="13">
        <f>IF(C352=Options!$B$9,Options!$C$14,0)</f>
        <v/>
      </c>
      <c r="F352" s="13">
        <f>IF(AND(A352&lt;&gt;"",C352&lt;Options!$B$10),B352*Options!$X$5,0)</f>
        <v/>
      </c>
      <c r="G352" s="13">
        <f>F352*12%</f>
        <v/>
      </c>
      <c r="H352" s="13">
        <f>IF(A352="",0,B352*(92*IF(OR(C352=Options!$B$9,C352=Options!$B$10),75%,100%)-IF(C352=DATE(2026,11,29),26+IF(Options!$B$8="是",23,0),0)-IF(C352=DATE(2026,11,30),26,0)-IF(C352=DATE(2026,12,1),64,0)-IF(C352=DATE(2026,11,28),38,0)-IF(C352=DATE(2026,12,2),26,0)))</f>
        <v/>
      </c>
      <c r="I352" s="13">
        <f>IF(AND(C352&gt;=DATE(2026,11,29),C352&lt;=DATE(2026,12,1)),B352*60,0)</f>
        <v/>
      </c>
      <c r="J352" s="13">
        <f>IF(A352="",0,B352*(IF(C352=DATE(2026,11,28),38,0)+IF(C352=DATE(2026,12,1),38,0)+IF(C352=DATE(2026,12,2),26,0)))</f>
        <v/>
      </c>
      <c r="K352" s="13">
        <f>IF(C352=Options!$B$9,B352*12,0)</f>
        <v/>
      </c>
      <c r="L352" s="13">
        <f>IF(C352=Options!$B$9,B352*Options!$Z$5,0)</f>
        <v/>
      </c>
      <c r="M352" s="13" t="n">
        <v>0</v>
      </c>
      <c r="N352" s="13">
        <f>SUM(E352:M352)</f>
        <v/>
      </c>
    </row>
    <row r="353">
      <c r="A353" s="5">
        <f>IF(AND(C353&gt;=Options!$B$9,C353&lt;=Options!$B$10),"Chicago","")</f>
        <v/>
      </c>
      <c r="B353" s="5">
        <f>IF(A353="","",18)</f>
        <v/>
      </c>
      <c r="C353" s="17" t="n">
        <v>46644</v>
      </c>
      <c r="D353" s="5">
        <f>IF(A353="","",IF(C353=DATE(2026,11,29),"培训；注册午餐；早餐参数",IF(C353=DATE(2026,11,30),"培训；注册午餐",IF(C353=DATE(2026,12,1),"培训；注册午餐；机构晚餐",IF(C353=Options!$B$9,"抵达；"&amp;IF(C353=DATE(2026,11,28),"机构晚餐","无统一供餐"),IF(C353=Options!$B$10,"返程；"&amp;IF(C353=DATE(2026,12,2),"机构午餐","无统一供餐"),"差旅状态；无统一日程"))))))</f>
        <v/>
      </c>
      <c r="E353" s="13">
        <f>IF(C353=Options!$B$9,Options!$C$14,0)</f>
        <v/>
      </c>
      <c r="F353" s="13">
        <f>IF(AND(A353&lt;&gt;"",C353&lt;Options!$B$10),B353*Options!$X$5,0)</f>
        <v/>
      </c>
      <c r="G353" s="13">
        <f>F353*12%</f>
        <v/>
      </c>
      <c r="H353" s="13">
        <f>IF(A353="",0,B353*(92*IF(OR(C353=Options!$B$9,C353=Options!$B$10),75%,100%)-IF(C353=DATE(2026,11,29),26+IF(Options!$B$8="是",23,0),0)-IF(C353=DATE(2026,11,30),26,0)-IF(C353=DATE(2026,12,1),64,0)-IF(C353=DATE(2026,11,28),38,0)-IF(C353=DATE(2026,12,2),26,0)))</f>
        <v/>
      </c>
      <c r="I353" s="13">
        <f>IF(AND(C353&gt;=DATE(2026,11,29),C353&lt;=DATE(2026,12,1)),B353*60,0)</f>
        <v/>
      </c>
      <c r="J353" s="13">
        <f>IF(A353="",0,B353*(IF(C353=DATE(2026,11,28),38,0)+IF(C353=DATE(2026,12,1),38,0)+IF(C353=DATE(2026,12,2),26,0)))</f>
        <v/>
      </c>
      <c r="K353" s="13">
        <f>IF(C353=Options!$B$9,B353*12,0)</f>
        <v/>
      </c>
      <c r="L353" s="13">
        <f>IF(C353=Options!$B$9,B353*Options!$Z$5,0)</f>
        <v/>
      </c>
      <c r="M353" s="13" t="n">
        <v>0</v>
      </c>
      <c r="N353" s="13">
        <f>SUM(E353:M353)</f>
        <v/>
      </c>
    </row>
    <row r="354">
      <c r="A354" s="5">
        <f>IF(AND(C354&gt;=Options!$B$9,C354&lt;=Options!$B$10),"Chicago","")</f>
        <v/>
      </c>
      <c r="B354" s="5">
        <f>IF(A354="","",18)</f>
        <v/>
      </c>
      <c r="C354" s="17" t="n">
        <v>46645</v>
      </c>
      <c r="D354" s="5">
        <f>IF(A354="","",IF(C354=DATE(2026,11,29),"培训；注册午餐；早餐参数",IF(C354=DATE(2026,11,30),"培训；注册午餐",IF(C354=DATE(2026,12,1),"培训；注册午餐；机构晚餐",IF(C354=Options!$B$9,"抵达；"&amp;IF(C354=DATE(2026,11,28),"机构晚餐","无统一供餐"),IF(C354=Options!$B$10,"返程；"&amp;IF(C354=DATE(2026,12,2),"机构午餐","无统一供餐"),"差旅状态；无统一日程"))))))</f>
        <v/>
      </c>
      <c r="E354" s="13">
        <f>IF(C354=Options!$B$9,Options!$C$14,0)</f>
        <v/>
      </c>
      <c r="F354" s="13">
        <f>IF(AND(A354&lt;&gt;"",C354&lt;Options!$B$10),B354*Options!$X$5,0)</f>
        <v/>
      </c>
      <c r="G354" s="13">
        <f>F354*12%</f>
        <v/>
      </c>
      <c r="H354" s="13">
        <f>IF(A354="",0,B354*(92*IF(OR(C354=Options!$B$9,C354=Options!$B$10),75%,100%)-IF(C354=DATE(2026,11,29),26+IF(Options!$B$8="是",23,0),0)-IF(C354=DATE(2026,11,30),26,0)-IF(C354=DATE(2026,12,1),64,0)-IF(C354=DATE(2026,11,28),38,0)-IF(C354=DATE(2026,12,2),26,0)))</f>
        <v/>
      </c>
      <c r="I354" s="13">
        <f>IF(AND(C354&gt;=DATE(2026,11,29),C354&lt;=DATE(2026,12,1)),B354*60,0)</f>
        <v/>
      </c>
      <c r="J354" s="13">
        <f>IF(A354="",0,B354*(IF(C354=DATE(2026,11,28),38,0)+IF(C354=DATE(2026,12,1),38,0)+IF(C354=DATE(2026,12,2),26,0)))</f>
        <v/>
      </c>
      <c r="K354" s="13">
        <f>IF(C354=Options!$B$9,B354*12,0)</f>
        <v/>
      </c>
      <c r="L354" s="13">
        <f>IF(C354=Options!$B$9,B354*Options!$Z$5,0)</f>
        <v/>
      </c>
      <c r="M354" s="13" t="n">
        <v>0</v>
      </c>
      <c r="N354" s="13">
        <f>SUM(E354:M354)</f>
        <v/>
      </c>
    </row>
    <row r="355">
      <c r="A355" s="5">
        <f>IF(AND(C355&gt;=Options!$B$9,C355&lt;=Options!$B$10),"Chicago","")</f>
        <v/>
      </c>
      <c r="B355" s="5">
        <f>IF(A355="","",18)</f>
        <v/>
      </c>
      <c r="C355" s="17" t="n">
        <v>46646</v>
      </c>
      <c r="D355" s="5">
        <f>IF(A355="","",IF(C355=DATE(2026,11,29),"培训；注册午餐；早餐参数",IF(C355=DATE(2026,11,30),"培训；注册午餐",IF(C355=DATE(2026,12,1),"培训；注册午餐；机构晚餐",IF(C355=Options!$B$9,"抵达；"&amp;IF(C355=DATE(2026,11,28),"机构晚餐","无统一供餐"),IF(C355=Options!$B$10,"返程；"&amp;IF(C355=DATE(2026,12,2),"机构午餐","无统一供餐"),"差旅状态；无统一日程"))))))</f>
        <v/>
      </c>
      <c r="E355" s="13">
        <f>IF(C355=Options!$B$9,Options!$C$14,0)</f>
        <v/>
      </c>
      <c r="F355" s="13">
        <f>IF(AND(A355&lt;&gt;"",C355&lt;Options!$B$10),B355*Options!$X$5,0)</f>
        <v/>
      </c>
      <c r="G355" s="13">
        <f>F355*12%</f>
        <v/>
      </c>
      <c r="H355" s="13">
        <f>IF(A355="",0,B355*(92*IF(OR(C355=Options!$B$9,C355=Options!$B$10),75%,100%)-IF(C355=DATE(2026,11,29),26+IF(Options!$B$8="是",23,0),0)-IF(C355=DATE(2026,11,30),26,0)-IF(C355=DATE(2026,12,1),64,0)-IF(C355=DATE(2026,11,28),38,0)-IF(C355=DATE(2026,12,2),26,0)))</f>
        <v/>
      </c>
      <c r="I355" s="13">
        <f>IF(AND(C355&gt;=DATE(2026,11,29),C355&lt;=DATE(2026,12,1)),B355*60,0)</f>
        <v/>
      </c>
      <c r="J355" s="13">
        <f>IF(A355="",0,B355*(IF(C355=DATE(2026,11,28),38,0)+IF(C355=DATE(2026,12,1),38,0)+IF(C355=DATE(2026,12,2),26,0)))</f>
        <v/>
      </c>
      <c r="K355" s="13">
        <f>IF(C355=Options!$B$9,B355*12,0)</f>
        <v/>
      </c>
      <c r="L355" s="13">
        <f>IF(C355=Options!$B$9,B355*Options!$Z$5,0)</f>
        <v/>
      </c>
      <c r="M355" s="13" t="n">
        <v>0</v>
      </c>
      <c r="N355" s="13">
        <f>SUM(E355:M355)</f>
        <v/>
      </c>
    </row>
    <row r="356">
      <c r="A356" s="5">
        <f>IF(AND(C356&gt;=Options!$B$9,C356&lt;=Options!$B$10),"Chicago","")</f>
        <v/>
      </c>
      <c r="B356" s="5">
        <f>IF(A356="","",18)</f>
        <v/>
      </c>
      <c r="C356" s="17" t="n">
        <v>46647</v>
      </c>
      <c r="D356" s="5">
        <f>IF(A356="","",IF(C356=DATE(2026,11,29),"培训；注册午餐；早餐参数",IF(C356=DATE(2026,11,30),"培训；注册午餐",IF(C356=DATE(2026,12,1),"培训；注册午餐；机构晚餐",IF(C356=Options!$B$9,"抵达；"&amp;IF(C356=DATE(2026,11,28),"机构晚餐","无统一供餐"),IF(C356=Options!$B$10,"返程；"&amp;IF(C356=DATE(2026,12,2),"机构午餐","无统一供餐"),"差旅状态；无统一日程"))))))</f>
        <v/>
      </c>
      <c r="E356" s="13">
        <f>IF(C356=Options!$B$9,Options!$C$14,0)</f>
        <v/>
      </c>
      <c r="F356" s="13">
        <f>IF(AND(A356&lt;&gt;"",C356&lt;Options!$B$10),B356*Options!$X$5,0)</f>
        <v/>
      </c>
      <c r="G356" s="13">
        <f>F356*12%</f>
        <v/>
      </c>
      <c r="H356" s="13">
        <f>IF(A356="",0,B356*(92*IF(OR(C356=Options!$B$9,C356=Options!$B$10),75%,100%)-IF(C356=DATE(2026,11,29),26+IF(Options!$B$8="是",23,0),0)-IF(C356=DATE(2026,11,30),26,0)-IF(C356=DATE(2026,12,1),64,0)-IF(C356=DATE(2026,11,28),38,0)-IF(C356=DATE(2026,12,2),26,0)))</f>
        <v/>
      </c>
      <c r="I356" s="13">
        <f>IF(AND(C356&gt;=DATE(2026,11,29),C356&lt;=DATE(2026,12,1)),B356*60,0)</f>
        <v/>
      </c>
      <c r="J356" s="13">
        <f>IF(A356="",0,B356*(IF(C356=DATE(2026,11,28),38,0)+IF(C356=DATE(2026,12,1),38,0)+IF(C356=DATE(2026,12,2),26,0)))</f>
        <v/>
      </c>
      <c r="K356" s="13">
        <f>IF(C356=Options!$B$9,B356*12,0)</f>
        <v/>
      </c>
      <c r="L356" s="13">
        <f>IF(C356=Options!$B$9,B356*Options!$Z$5,0)</f>
        <v/>
      </c>
      <c r="M356" s="13" t="n">
        <v>0</v>
      </c>
      <c r="N356" s="13">
        <f>SUM(E356:M356)</f>
        <v/>
      </c>
    </row>
    <row r="357">
      <c r="A357" s="5">
        <f>IF(AND(C357&gt;=Options!$B$9,C357&lt;=Options!$B$10),"Chicago","")</f>
        <v/>
      </c>
      <c r="B357" s="5">
        <f>IF(A357="","",18)</f>
        <v/>
      </c>
      <c r="C357" s="17" t="n">
        <v>46648</v>
      </c>
      <c r="D357" s="5">
        <f>IF(A357="","",IF(C357=DATE(2026,11,29),"培训；注册午餐；早餐参数",IF(C357=DATE(2026,11,30),"培训；注册午餐",IF(C357=DATE(2026,12,1),"培训；注册午餐；机构晚餐",IF(C357=Options!$B$9,"抵达；"&amp;IF(C357=DATE(2026,11,28),"机构晚餐","无统一供餐"),IF(C357=Options!$B$10,"返程；"&amp;IF(C357=DATE(2026,12,2),"机构午餐","无统一供餐"),"差旅状态；无统一日程"))))))</f>
        <v/>
      </c>
      <c r="E357" s="13">
        <f>IF(C357=Options!$B$9,Options!$C$14,0)</f>
        <v/>
      </c>
      <c r="F357" s="13">
        <f>IF(AND(A357&lt;&gt;"",C357&lt;Options!$B$10),B357*Options!$X$5,0)</f>
        <v/>
      </c>
      <c r="G357" s="13">
        <f>F357*12%</f>
        <v/>
      </c>
      <c r="H357" s="13">
        <f>IF(A357="",0,B357*(92*IF(OR(C357=Options!$B$9,C357=Options!$B$10),75%,100%)-IF(C357=DATE(2026,11,29),26+IF(Options!$B$8="是",23,0),0)-IF(C357=DATE(2026,11,30),26,0)-IF(C357=DATE(2026,12,1),64,0)-IF(C357=DATE(2026,11,28),38,0)-IF(C357=DATE(2026,12,2),26,0)))</f>
        <v/>
      </c>
      <c r="I357" s="13">
        <f>IF(AND(C357&gt;=DATE(2026,11,29),C357&lt;=DATE(2026,12,1)),B357*60,0)</f>
        <v/>
      </c>
      <c r="J357" s="13">
        <f>IF(A357="",0,B357*(IF(C357=DATE(2026,11,28),38,0)+IF(C357=DATE(2026,12,1),38,0)+IF(C357=DATE(2026,12,2),26,0)))</f>
        <v/>
      </c>
      <c r="K357" s="13">
        <f>IF(C357=Options!$B$9,B357*12,0)</f>
        <v/>
      </c>
      <c r="L357" s="13">
        <f>IF(C357=Options!$B$9,B357*Options!$Z$5,0)</f>
        <v/>
      </c>
      <c r="M357" s="13" t="n">
        <v>0</v>
      </c>
      <c r="N357" s="13">
        <f>SUM(E357:M357)</f>
        <v/>
      </c>
    </row>
    <row r="358">
      <c r="A358" s="5">
        <f>IF(AND(C358&gt;=Options!$B$9,C358&lt;=Options!$B$10),"Chicago","")</f>
        <v/>
      </c>
      <c r="B358" s="5">
        <f>IF(A358="","",18)</f>
        <v/>
      </c>
      <c r="C358" s="17" t="n">
        <v>46649</v>
      </c>
      <c r="D358" s="5">
        <f>IF(A358="","",IF(C358=DATE(2026,11,29),"培训；注册午餐；早餐参数",IF(C358=DATE(2026,11,30),"培训；注册午餐",IF(C358=DATE(2026,12,1),"培训；注册午餐；机构晚餐",IF(C358=Options!$B$9,"抵达；"&amp;IF(C358=DATE(2026,11,28),"机构晚餐","无统一供餐"),IF(C358=Options!$B$10,"返程；"&amp;IF(C358=DATE(2026,12,2),"机构午餐","无统一供餐"),"差旅状态；无统一日程"))))))</f>
        <v/>
      </c>
      <c r="E358" s="13">
        <f>IF(C358=Options!$B$9,Options!$C$14,0)</f>
        <v/>
      </c>
      <c r="F358" s="13">
        <f>IF(AND(A358&lt;&gt;"",C358&lt;Options!$B$10),B358*Options!$X$5,0)</f>
        <v/>
      </c>
      <c r="G358" s="13">
        <f>F358*12%</f>
        <v/>
      </c>
      <c r="H358" s="13">
        <f>IF(A358="",0,B358*(92*IF(OR(C358=Options!$B$9,C358=Options!$B$10),75%,100%)-IF(C358=DATE(2026,11,29),26+IF(Options!$B$8="是",23,0),0)-IF(C358=DATE(2026,11,30),26,0)-IF(C358=DATE(2026,12,1),64,0)-IF(C358=DATE(2026,11,28),38,0)-IF(C358=DATE(2026,12,2),26,0)))</f>
        <v/>
      </c>
      <c r="I358" s="13">
        <f>IF(AND(C358&gt;=DATE(2026,11,29),C358&lt;=DATE(2026,12,1)),B358*60,0)</f>
        <v/>
      </c>
      <c r="J358" s="13">
        <f>IF(A358="",0,B358*(IF(C358=DATE(2026,11,28),38,0)+IF(C358=DATE(2026,12,1),38,0)+IF(C358=DATE(2026,12,2),26,0)))</f>
        <v/>
      </c>
      <c r="K358" s="13">
        <f>IF(C358=Options!$B$9,B358*12,0)</f>
        <v/>
      </c>
      <c r="L358" s="13">
        <f>IF(C358=Options!$B$9,B358*Options!$Z$5,0)</f>
        <v/>
      </c>
      <c r="M358" s="13" t="n">
        <v>0</v>
      </c>
      <c r="N358" s="13">
        <f>SUM(E358:M358)</f>
        <v/>
      </c>
    </row>
    <row r="359">
      <c r="A359" s="5">
        <f>IF(AND(C359&gt;=Options!$B$9,C359&lt;=Options!$B$10),"Chicago","")</f>
        <v/>
      </c>
      <c r="B359" s="5">
        <f>IF(A359="","",18)</f>
        <v/>
      </c>
      <c r="C359" s="17" t="n">
        <v>46650</v>
      </c>
      <c r="D359" s="5">
        <f>IF(A359="","",IF(C359=DATE(2026,11,29),"培训；注册午餐；早餐参数",IF(C359=DATE(2026,11,30),"培训；注册午餐",IF(C359=DATE(2026,12,1),"培训；注册午餐；机构晚餐",IF(C359=Options!$B$9,"抵达；"&amp;IF(C359=DATE(2026,11,28),"机构晚餐","无统一供餐"),IF(C359=Options!$B$10,"返程；"&amp;IF(C359=DATE(2026,12,2),"机构午餐","无统一供餐"),"差旅状态；无统一日程"))))))</f>
        <v/>
      </c>
      <c r="E359" s="13">
        <f>IF(C359=Options!$B$9,Options!$C$14,0)</f>
        <v/>
      </c>
      <c r="F359" s="13">
        <f>IF(AND(A359&lt;&gt;"",C359&lt;Options!$B$10),B359*Options!$X$5,0)</f>
        <v/>
      </c>
      <c r="G359" s="13">
        <f>F359*12%</f>
        <v/>
      </c>
      <c r="H359" s="13">
        <f>IF(A359="",0,B359*(92*IF(OR(C359=Options!$B$9,C359=Options!$B$10),75%,100%)-IF(C359=DATE(2026,11,29),26+IF(Options!$B$8="是",23,0),0)-IF(C359=DATE(2026,11,30),26,0)-IF(C359=DATE(2026,12,1),64,0)-IF(C359=DATE(2026,11,28),38,0)-IF(C359=DATE(2026,12,2),26,0)))</f>
        <v/>
      </c>
      <c r="I359" s="13">
        <f>IF(AND(C359&gt;=DATE(2026,11,29),C359&lt;=DATE(2026,12,1)),B359*60,0)</f>
        <v/>
      </c>
      <c r="J359" s="13">
        <f>IF(A359="",0,B359*(IF(C359=DATE(2026,11,28),38,0)+IF(C359=DATE(2026,12,1),38,0)+IF(C359=DATE(2026,12,2),26,0)))</f>
        <v/>
      </c>
      <c r="K359" s="13">
        <f>IF(C359=Options!$B$9,B359*12,0)</f>
        <v/>
      </c>
      <c r="L359" s="13">
        <f>IF(C359=Options!$B$9,B359*Options!$Z$5,0)</f>
        <v/>
      </c>
      <c r="M359" s="13" t="n">
        <v>0</v>
      </c>
      <c r="N359" s="13">
        <f>SUM(E359:M359)</f>
        <v/>
      </c>
    </row>
    <row r="360">
      <c r="A360" s="5">
        <f>IF(AND(C360&gt;=Options!$B$9,C360&lt;=Options!$B$10),"Chicago","")</f>
        <v/>
      </c>
      <c r="B360" s="5">
        <f>IF(A360="","",18)</f>
        <v/>
      </c>
      <c r="C360" s="17" t="n">
        <v>46651</v>
      </c>
      <c r="D360" s="5">
        <f>IF(A360="","",IF(C360=DATE(2026,11,29),"培训；注册午餐；早餐参数",IF(C360=DATE(2026,11,30),"培训；注册午餐",IF(C360=DATE(2026,12,1),"培训；注册午餐；机构晚餐",IF(C360=Options!$B$9,"抵达；"&amp;IF(C360=DATE(2026,11,28),"机构晚餐","无统一供餐"),IF(C360=Options!$B$10,"返程；"&amp;IF(C360=DATE(2026,12,2),"机构午餐","无统一供餐"),"差旅状态；无统一日程"))))))</f>
        <v/>
      </c>
      <c r="E360" s="13">
        <f>IF(C360=Options!$B$9,Options!$C$14,0)</f>
        <v/>
      </c>
      <c r="F360" s="13">
        <f>IF(AND(A360&lt;&gt;"",C360&lt;Options!$B$10),B360*Options!$X$5,0)</f>
        <v/>
      </c>
      <c r="G360" s="13">
        <f>F360*12%</f>
        <v/>
      </c>
      <c r="H360" s="13">
        <f>IF(A360="",0,B360*(92*IF(OR(C360=Options!$B$9,C360=Options!$B$10),75%,100%)-IF(C360=DATE(2026,11,29),26+IF(Options!$B$8="是",23,0),0)-IF(C360=DATE(2026,11,30),26,0)-IF(C360=DATE(2026,12,1),64,0)-IF(C360=DATE(2026,11,28),38,0)-IF(C360=DATE(2026,12,2),26,0)))</f>
        <v/>
      </c>
      <c r="I360" s="13">
        <f>IF(AND(C360&gt;=DATE(2026,11,29),C360&lt;=DATE(2026,12,1)),B360*60,0)</f>
        <v/>
      </c>
      <c r="J360" s="13">
        <f>IF(A360="",0,B360*(IF(C360=DATE(2026,11,28),38,0)+IF(C360=DATE(2026,12,1),38,0)+IF(C360=DATE(2026,12,2),26,0)))</f>
        <v/>
      </c>
      <c r="K360" s="13">
        <f>IF(C360=Options!$B$9,B360*12,0)</f>
        <v/>
      </c>
      <c r="L360" s="13">
        <f>IF(C360=Options!$B$9,B360*Options!$Z$5,0)</f>
        <v/>
      </c>
      <c r="M360" s="13" t="n">
        <v>0</v>
      </c>
      <c r="N360" s="13">
        <f>SUM(E360:M360)</f>
        <v/>
      </c>
    </row>
    <row r="361">
      <c r="A361" s="5">
        <f>IF(AND(C361&gt;=Options!$B$9,C361&lt;=Options!$B$10),"Chicago","")</f>
        <v/>
      </c>
      <c r="B361" s="5">
        <f>IF(A361="","",18)</f>
        <v/>
      </c>
      <c r="C361" s="17" t="n">
        <v>46652</v>
      </c>
      <c r="D361" s="5">
        <f>IF(A361="","",IF(C361=DATE(2026,11,29),"培训；注册午餐；早餐参数",IF(C361=DATE(2026,11,30),"培训；注册午餐",IF(C361=DATE(2026,12,1),"培训；注册午餐；机构晚餐",IF(C361=Options!$B$9,"抵达；"&amp;IF(C361=DATE(2026,11,28),"机构晚餐","无统一供餐"),IF(C361=Options!$B$10,"返程；"&amp;IF(C361=DATE(2026,12,2),"机构午餐","无统一供餐"),"差旅状态；无统一日程"))))))</f>
        <v/>
      </c>
      <c r="E361" s="13">
        <f>IF(C361=Options!$B$9,Options!$C$14,0)</f>
        <v/>
      </c>
      <c r="F361" s="13">
        <f>IF(AND(A361&lt;&gt;"",C361&lt;Options!$B$10),B361*Options!$X$5,0)</f>
        <v/>
      </c>
      <c r="G361" s="13">
        <f>F361*12%</f>
        <v/>
      </c>
      <c r="H361" s="13">
        <f>IF(A361="",0,B361*(92*IF(OR(C361=Options!$B$9,C361=Options!$B$10),75%,100%)-IF(C361=DATE(2026,11,29),26+IF(Options!$B$8="是",23,0),0)-IF(C361=DATE(2026,11,30),26,0)-IF(C361=DATE(2026,12,1),64,0)-IF(C361=DATE(2026,11,28),38,0)-IF(C361=DATE(2026,12,2),26,0)))</f>
        <v/>
      </c>
      <c r="I361" s="13">
        <f>IF(AND(C361&gt;=DATE(2026,11,29),C361&lt;=DATE(2026,12,1)),B361*60,0)</f>
        <v/>
      </c>
      <c r="J361" s="13">
        <f>IF(A361="",0,B361*(IF(C361=DATE(2026,11,28),38,0)+IF(C361=DATE(2026,12,1),38,0)+IF(C361=DATE(2026,12,2),26,0)))</f>
        <v/>
      </c>
      <c r="K361" s="13">
        <f>IF(C361=Options!$B$9,B361*12,0)</f>
        <v/>
      </c>
      <c r="L361" s="13">
        <f>IF(C361=Options!$B$9,B361*Options!$Z$5,0)</f>
        <v/>
      </c>
      <c r="M361" s="13" t="n">
        <v>0</v>
      </c>
      <c r="N361" s="13">
        <f>SUM(E361:M361)</f>
        <v/>
      </c>
    </row>
    <row r="362">
      <c r="A362" s="5">
        <f>IF(AND(C362&gt;=Options!$B$9,C362&lt;=Options!$B$10),"Chicago","")</f>
        <v/>
      </c>
      <c r="B362" s="5">
        <f>IF(A362="","",18)</f>
        <v/>
      </c>
      <c r="C362" s="17" t="n">
        <v>46653</v>
      </c>
      <c r="D362" s="5">
        <f>IF(A362="","",IF(C362=DATE(2026,11,29),"培训；注册午餐；早餐参数",IF(C362=DATE(2026,11,30),"培训；注册午餐",IF(C362=DATE(2026,12,1),"培训；注册午餐；机构晚餐",IF(C362=Options!$B$9,"抵达；"&amp;IF(C362=DATE(2026,11,28),"机构晚餐","无统一供餐"),IF(C362=Options!$B$10,"返程；"&amp;IF(C362=DATE(2026,12,2),"机构午餐","无统一供餐"),"差旅状态；无统一日程"))))))</f>
        <v/>
      </c>
      <c r="E362" s="13">
        <f>IF(C362=Options!$B$9,Options!$C$14,0)</f>
        <v/>
      </c>
      <c r="F362" s="13">
        <f>IF(AND(A362&lt;&gt;"",C362&lt;Options!$B$10),B362*Options!$X$5,0)</f>
        <v/>
      </c>
      <c r="G362" s="13">
        <f>F362*12%</f>
        <v/>
      </c>
      <c r="H362" s="13">
        <f>IF(A362="",0,B362*(92*IF(OR(C362=Options!$B$9,C362=Options!$B$10),75%,100%)-IF(C362=DATE(2026,11,29),26+IF(Options!$B$8="是",23,0),0)-IF(C362=DATE(2026,11,30),26,0)-IF(C362=DATE(2026,12,1),64,0)-IF(C362=DATE(2026,11,28),38,0)-IF(C362=DATE(2026,12,2),26,0)))</f>
        <v/>
      </c>
      <c r="I362" s="13">
        <f>IF(AND(C362&gt;=DATE(2026,11,29),C362&lt;=DATE(2026,12,1)),B362*60,0)</f>
        <v/>
      </c>
      <c r="J362" s="13">
        <f>IF(A362="",0,B362*(IF(C362=DATE(2026,11,28),38,0)+IF(C362=DATE(2026,12,1),38,0)+IF(C362=DATE(2026,12,2),26,0)))</f>
        <v/>
      </c>
      <c r="K362" s="13">
        <f>IF(C362=Options!$B$9,B362*12,0)</f>
        <v/>
      </c>
      <c r="L362" s="13">
        <f>IF(C362=Options!$B$9,B362*Options!$Z$5,0)</f>
        <v/>
      </c>
      <c r="M362" s="13" t="n">
        <v>0</v>
      </c>
      <c r="N362" s="13">
        <f>SUM(E362:M362)</f>
        <v/>
      </c>
    </row>
    <row r="363">
      <c r="A363" s="5">
        <f>IF(AND(C363&gt;=Options!$B$9,C363&lt;=Options!$B$10),"Chicago","")</f>
        <v/>
      </c>
      <c r="B363" s="5">
        <f>IF(A363="","",18)</f>
        <v/>
      </c>
      <c r="C363" s="17" t="n">
        <v>46654</v>
      </c>
      <c r="D363" s="5">
        <f>IF(A363="","",IF(C363=DATE(2026,11,29),"培训；注册午餐；早餐参数",IF(C363=DATE(2026,11,30),"培训；注册午餐",IF(C363=DATE(2026,12,1),"培训；注册午餐；机构晚餐",IF(C363=Options!$B$9,"抵达；"&amp;IF(C363=DATE(2026,11,28),"机构晚餐","无统一供餐"),IF(C363=Options!$B$10,"返程；"&amp;IF(C363=DATE(2026,12,2),"机构午餐","无统一供餐"),"差旅状态；无统一日程"))))))</f>
        <v/>
      </c>
      <c r="E363" s="13">
        <f>IF(C363=Options!$B$9,Options!$C$14,0)</f>
        <v/>
      </c>
      <c r="F363" s="13">
        <f>IF(AND(A363&lt;&gt;"",C363&lt;Options!$B$10),B363*Options!$X$5,0)</f>
        <v/>
      </c>
      <c r="G363" s="13">
        <f>F363*12%</f>
        <v/>
      </c>
      <c r="H363" s="13">
        <f>IF(A363="",0,B363*(92*IF(OR(C363=Options!$B$9,C363=Options!$B$10),75%,100%)-IF(C363=DATE(2026,11,29),26+IF(Options!$B$8="是",23,0),0)-IF(C363=DATE(2026,11,30),26,0)-IF(C363=DATE(2026,12,1),64,0)-IF(C363=DATE(2026,11,28),38,0)-IF(C363=DATE(2026,12,2),26,0)))</f>
        <v/>
      </c>
      <c r="I363" s="13">
        <f>IF(AND(C363&gt;=DATE(2026,11,29),C363&lt;=DATE(2026,12,1)),B363*60,0)</f>
        <v/>
      </c>
      <c r="J363" s="13">
        <f>IF(A363="",0,B363*(IF(C363=DATE(2026,11,28),38,0)+IF(C363=DATE(2026,12,1),38,0)+IF(C363=DATE(2026,12,2),26,0)))</f>
        <v/>
      </c>
      <c r="K363" s="13">
        <f>IF(C363=Options!$B$9,B363*12,0)</f>
        <v/>
      </c>
      <c r="L363" s="13">
        <f>IF(C363=Options!$B$9,B363*Options!$Z$5,0)</f>
        <v/>
      </c>
      <c r="M363" s="13" t="n">
        <v>0</v>
      </c>
      <c r="N363" s="13">
        <f>SUM(E363:M363)</f>
        <v/>
      </c>
    </row>
    <row r="364">
      <c r="A364" s="5">
        <f>IF(AND(C364&gt;=Options!$B$9,C364&lt;=Options!$B$10),"Chicago","")</f>
        <v/>
      </c>
      <c r="B364" s="5">
        <f>IF(A364="","",18)</f>
        <v/>
      </c>
      <c r="C364" s="17" t="n">
        <v>46655</v>
      </c>
      <c r="D364" s="5">
        <f>IF(A364="","",IF(C364=DATE(2026,11,29),"培训；注册午餐；早餐参数",IF(C364=DATE(2026,11,30),"培训；注册午餐",IF(C364=DATE(2026,12,1),"培训；注册午餐；机构晚餐",IF(C364=Options!$B$9,"抵达；"&amp;IF(C364=DATE(2026,11,28),"机构晚餐","无统一供餐"),IF(C364=Options!$B$10,"返程；"&amp;IF(C364=DATE(2026,12,2),"机构午餐","无统一供餐"),"差旅状态；无统一日程"))))))</f>
        <v/>
      </c>
      <c r="E364" s="13">
        <f>IF(C364=Options!$B$9,Options!$C$14,0)</f>
        <v/>
      </c>
      <c r="F364" s="13">
        <f>IF(AND(A364&lt;&gt;"",C364&lt;Options!$B$10),B364*Options!$X$5,0)</f>
        <v/>
      </c>
      <c r="G364" s="13">
        <f>F364*12%</f>
        <v/>
      </c>
      <c r="H364" s="13">
        <f>IF(A364="",0,B364*(92*IF(OR(C364=Options!$B$9,C364=Options!$B$10),75%,100%)-IF(C364=DATE(2026,11,29),26+IF(Options!$B$8="是",23,0),0)-IF(C364=DATE(2026,11,30),26,0)-IF(C364=DATE(2026,12,1),64,0)-IF(C364=DATE(2026,11,28),38,0)-IF(C364=DATE(2026,12,2),26,0)))</f>
        <v/>
      </c>
      <c r="I364" s="13">
        <f>IF(AND(C364&gt;=DATE(2026,11,29),C364&lt;=DATE(2026,12,1)),B364*60,0)</f>
        <v/>
      </c>
      <c r="J364" s="13">
        <f>IF(A364="",0,B364*(IF(C364=DATE(2026,11,28),38,0)+IF(C364=DATE(2026,12,1),38,0)+IF(C364=DATE(2026,12,2),26,0)))</f>
        <v/>
      </c>
      <c r="K364" s="13">
        <f>IF(C364=Options!$B$9,B364*12,0)</f>
        <v/>
      </c>
      <c r="L364" s="13">
        <f>IF(C364=Options!$B$9,B364*Options!$Z$5,0)</f>
        <v/>
      </c>
      <c r="M364" s="13" t="n">
        <v>0</v>
      </c>
      <c r="N364" s="13">
        <f>SUM(E364:M364)</f>
        <v/>
      </c>
    </row>
    <row r="365">
      <c r="A365" s="5">
        <f>IF(AND(C365&gt;=Options!$B$9,C365&lt;=Options!$B$10),"Chicago","")</f>
        <v/>
      </c>
      <c r="B365" s="5">
        <f>IF(A365="","",18)</f>
        <v/>
      </c>
      <c r="C365" s="17" t="n">
        <v>46656</v>
      </c>
      <c r="D365" s="5">
        <f>IF(A365="","",IF(C365=DATE(2026,11,29),"培训；注册午餐；早餐参数",IF(C365=DATE(2026,11,30),"培训；注册午餐",IF(C365=DATE(2026,12,1),"培训；注册午餐；机构晚餐",IF(C365=Options!$B$9,"抵达；"&amp;IF(C365=DATE(2026,11,28),"机构晚餐","无统一供餐"),IF(C365=Options!$B$10,"返程；"&amp;IF(C365=DATE(2026,12,2),"机构午餐","无统一供餐"),"差旅状态；无统一日程"))))))</f>
        <v/>
      </c>
      <c r="E365" s="13">
        <f>IF(C365=Options!$B$9,Options!$C$14,0)</f>
        <v/>
      </c>
      <c r="F365" s="13">
        <f>IF(AND(A365&lt;&gt;"",C365&lt;Options!$B$10),B365*Options!$X$5,0)</f>
        <v/>
      </c>
      <c r="G365" s="13">
        <f>F365*12%</f>
        <v/>
      </c>
      <c r="H365" s="13">
        <f>IF(A365="",0,B365*(92*IF(OR(C365=Options!$B$9,C365=Options!$B$10),75%,100%)-IF(C365=DATE(2026,11,29),26+IF(Options!$B$8="是",23,0),0)-IF(C365=DATE(2026,11,30),26,0)-IF(C365=DATE(2026,12,1),64,0)-IF(C365=DATE(2026,11,28),38,0)-IF(C365=DATE(2026,12,2),26,0)))</f>
        <v/>
      </c>
      <c r="I365" s="13">
        <f>IF(AND(C365&gt;=DATE(2026,11,29),C365&lt;=DATE(2026,12,1)),B365*60,0)</f>
        <v/>
      </c>
      <c r="J365" s="13">
        <f>IF(A365="",0,B365*(IF(C365=DATE(2026,11,28),38,0)+IF(C365=DATE(2026,12,1),38,0)+IF(C365=DATE(2026,12,2),26,0)))</f>
        <v/>
      </c>
      <c r="K365" s="13">
        <f>IF(C365=Options!$B$9,B365*12,0)</f>
        <v/>
      </c>
      <c r="L365" s="13">
        <f>IF(C365=Options!$B$9,B365*Options!$Z$5,0)</f>
        <v/>
      </c>
      <c r="M365" s="13" t="n">
        <v>0</v>
      </c>
      <c r="N365" s="13">
        <f>SUM(E365:M365)</f>
        <v/>
      </c>
    </row>
    <row r="366">
      <c r="A366" s="5">
        <f>IF(AND(C366&gt;=Options!$B$9,C366&lt;=Options!$B$10),"Chicago","")</f>
        <v/>
      </c>
      <c r="B366" s="5">
        <f>IF(A366="","",18)</f>
        <v/>
      </c>
      <c r="C366" s="17" t="n">
        <v>46657</v>
      </c>
      <c r="D366" s="5">
        <f>IF(A366="","",IF(C366=DATE(2026,11,29),"培训；注册午餐；早餐参数",IF(C366=DATE(2026,11,30),"培训；注册午餐",IF(C366=DATE(2026,12,1),"培训；注册午餐；机构晚餐",IF(C366=Options!$B$9,"抵达；"&amp;IF(C366=DATE(2026,11,28),"机构晚餐","无统一供餐"),IF(C366=Options!$B$10,"返程；"&amp;IF(C366=DATE(2026,12,2),"机构午餐","无统一供餐"),"差旅状态；无统一日程"))))))</f>
        <v/>
      </c>
      <c r="E366" s="13">
        <f>IF(C366=Options!$B$9,Options!$C$14,0)</f>
        <v/>
      </c>
      <c r="F366" s="13">
        <f>IF(AND(A366&lt;&gt;"",C366&lt;Options!$B$10),B366*Options!$X$5,0)</f>
        <v/>
      </c>
      <c r="G366" s="13">
        <f>F366*12%</f>
        <v/>
      </c>
      <c r="H366" s="13">
        <f>IF(A366="",0,B366*(92*IF(OR(C366=Options!$B$9,C366=Options!$B$10),75%,100%)-IF(C366=DATE(2026,11,29),26+IF(Options!$B$8="是",23,0),0)-IF(C366=DATE(2026,11,30),26,0)-IF(C366=DATE(2026,12,1),64,0)-IF(C366=DATE(2026,11,28),38,0)-IF(C366=DATE(2026,12,2),26,0)))</f>
        <v/>
      </c>
      <c r="I366" s="13">
        <f>IF(AND(C366&gt;=DATE(2026,11,29),C366&lt;=DATE(2026,12,1)),B366*60,0)</f>
        <v/>
      </c>
      <c r="J366" s="13">
        <f>IF(A366="",0,B366*(IF(C366=DATE(2026,11,28),38,0)+IF(C366=DATE(2026,12,1),38,0)+IF(C366=DATE(2026,12,2),26,0)))</f>
        <v/>
      </c>
      <c r="K366" s="13">
        <f>IF(C366=Options!$B$9,B366*12,0)</f>
        <v/>
      </c>
      <c r="L366" s="13">
        <f>IF(C366=Options!$B$9,B366*Options!$Z$5,0)</f>
        <v/>
      </c>
      <c r="M366" s="13" t="n">
        <v>0</v>
      </c>
      <c r="N366" s="13">
        <f>SUM(E366:M366)</f>
        <v/>
      </c>
    </row>
    <row r="367">
      <c r="A367" s="5">
        <f>IF(AND(C367&gt;=Options!$B$9,C367&lt;=Options!$B$10),"Chicago","")</f>
        <v/>
      </c>
      <c r="B367" s="5">
        <f>IF(A367="","",18)</f>
        <v/>
      </c>
      <c r="C367" s="17" t="n">
        <v>46658</v>
      </c>
      <c r="D367" s="5">
        <f>IF(A367="","",IF(C367=DATE(2026,11,29),"培训；注册午餐；早餐参数",IF(C367=DATE(2026,11,30),"培训；注册午餐",IF(C367=DATE(2026,12,1),"培训；注册午餐；机构晚餐",IF(C367=Options!$B$9,"抵达；"&amp;IF(C367=DATE(2026,11,28),"机构晚餐","无统一供餐"),IF(C367=Options!$B$10,"返程；"&amp;IF(C367=DATE(2026,12,2),"机构午餐","无统一供餐"),"差旅状态；无统一日程"))))))</f>
        <v/>
      </c>
      <c r="E367" s="13">
        <f>IF(C367=Options!$B$9,Options!$C$14,0)</f>
        <v/>
      </c>
      <c r="F367" s="13">
        <f>IF(AND(A367&lt;&gt;"",C367&lt;Options!$B$10),B367*Options!$X$5,0)</f>
        <v/>
      </c>
      <c r="G367" s="13">
        <f>F367*12%</f>
        <v/>
      </c>
      <c r="H367" s="13">
        <f>IF(A367="",0,B367*(92*IF(OR(C367=Options!$B$9,C367=Options!$B$10),75%,100%)-IF(C367=DATE(2026,11,29),26+IF(Options!$B$8="是",23,0),0)-IF(C367=DATE(2026,11,30),26,0)-IF(C367=DATE(2026,12,1),64,0)-IF(C367=DATE(2026,11,28),38,0)-IF(C367=DATE(2026,12,2),26,0)))</f>
        <v/>
      </c>
      <c r="I367" s="13">
        <f>IF(AND(C367&gt;=DATE(2026,11,29),C367&lt;=DATE(2026,12,1)),B367*60,0)</f>
        <v/>
      </c>
      <c r="J367" s="13">
        <f>IF(A367="",0,B367*(IF(C367=DATE(2026,11,28),38,0)+IF(C367=DATE(2026,12,1),38,0)+IF(C367=DATE(2026,12,2),26,0)))</f>
        <v/>
      </c>
      <c r="K367" s="13">
        <f>IF(C367=Options!$B$9,B367*12,0)</f>
        <v/>
      </c>
      <c r="L367" s="13">
        <f>IF(C367=Options!$B$9,B367*Options!$Z$5,0)</f>
        <v/>
      </c>
      <c r="M367" s="13" t="n">
        <v>0</v>
      </c>
      <c r="N367" s="13">
        <f>SUM(E367:M367)</f>
        <v/>
      </c>
    </row>
    <row r="368">
      <c r="A368" s="5">
        <f>IF(AND(C368&gt;=Options!$B$9,C368&lt;=Options!$B$10),"Chicago","")</f>
        <v/>
      </c>
      <c r="B368" s="5">
        <f>IF(A368="","",18)</f>
        <v/>
      </c>
      <c r="C368" s="17" t="n">
        <v>46659</v>
      </c>
      <c r="D368" s="5">
        <f>IF(A368="","",IF(C368=DATE(2026,11,29),"培训；注册午餐；早餐参数",IF(C368=DATE(2026,11,30),"培训；注册午餐",IF(C368=DATE(2026,12,1),"培训；注册午餐；机构晚餐",IF(C368=Options!$B$9,"抵达；"&amp;IF(C368=DATE(2026,11,28),"机构晚餐","无统一供餐"),IF(C368=Options!$B$10,"返程；"&amp;IF(C368=DATE(2026,12,2),"机构午餐","无统一供餐"),"差旅状态；无统一日程"))))))</f>
        <v/>
      </c>
      <c r="E368" s="13">
        <f>IF(C368=Options!$B$9,Options!$C$14,0)</f>
        <v/>
      </c>
      <c r="F368" s="13">
        <f>IF(AND(A368&lt;&gt;"",C368&lt;Options!$B$10),B368*Options!$X$5,0)</f>
        <v/>
      </c>
      <c r="G368" s="13">
        <f>F368*12%</f>
        <v/>
      </c>
      <c r="H368" s="13">
        <f>IF(A368="",0,B368*(92*IF(OR(C368=Options!$B$9,C368=Options!$B$10),75%,100%)-IF(C368=DATE(2026,11,29),26+IF(Options!$B$8="是",23,0),0)-IF(C368=DATE(2026,11,30),26,0)-IF(C368=DATE(2026,12,1),64,0)-IF(C368=DATE(2026,11,28),38,0)-IF(C368=DATE(2026,12,2),26,0)))</f>
        <v/>
      </c>
      <c r="I368" s="13">
        <f>IF(AND(C368&gt;=DATE(2026,11,29),C368&lt;=DATE(2026,12,1)),B368*60,0)</f>
        <v/>
      </c>
      <c r="J368" s="13">
        <f>IF(A368="",0,B368*(IF(C368=DATE(2026,11,28),38,0)+IF(C368=DATE(2026,12,1),38,0)+IF(C368=DATE(2026,12,2),26,0)))</f>
        <v/>
      </c>
      <c r="K368" s="13">
        <f>IF(C368=Options!$B$9,B368*12,0)</f>
        <v/>
      </c>
      <c r="L368" s="13">
        <f>IF(C368=Options!$B$9,B368*Options!$Z$5,0)</f>
        <v/>
      </c>
      <c r="M368" s="13" t="n">
        <v>0</v>
      </c>
      <c r="N368" s="13">
        <f>SUM(E368:M368)</f>
        <v/>
      </c>
    </row>
    <row r="369">
      <c r="A369" s="5">
        <f>IF(AND(C369&gt;=Options!$B$9,C369&lt;=Options!$B$10),"Chicago","")</f>
        <v/>
      </c>
      <c r="B369" s="5">
        <f>IF(A369="","",18)</f>
        <v/>
      </c>
      <c r="C369" s="17" t="n">
        <v>46660</v>
      </c>
      <c r="D369" s="5">
        <f>IF(A369="","",IF(C369=DATE(2026,11,29),"培训；注册午餐；早餐参数",IF(C369=DATE(2026,11,30),"培训；注册午餐",IF(C369=DATE(2026,12,1),"培训；注册午餐；机构晚餐",IF(C369=Options!$B$9,"抵达；"&amp;IF(C369=DATE(2026,11,28),"机构晚餐","无统一供餐"),IF(C369=Options!$B$10,"返程；"&amp;IF(C369=DATE(2026,12,2),"机构午餐","无统一供餐"),"差旅状态；无统一日程"))))))</f>
        <v/>
      </c>
      <c r="E369" s="13">
        <f>IF(C369=Options!$B$9,Options!$C$14,0)</f>
        <v/>
      </c>
      <c r="F369" s="13">
        <f>IF(AND(A369&lt;&gt;"",C369&lt;Options!$B$10),B369*Options!$X$5,0)</f>
        <v/>
      </c>
      <c r="G369" s="13">
        <f>F369*12%</f>
        <v/>
      </c>
      <c r="H369" s="13">
        <f>IF(A369="",0,B369*(92*IF(OR(C369=Options!$B$9,C369=Options!$B$10),75%,100%)-IF(C369=DATE(2026,11,29),26+IF(Options!$B$8="是",23,0),0)-IF(C369=DATE(2026,11,30),26,0)-IF(C369=DATE(2026,12,1),64,0)-IF(C369=DATE(2026,11,28),38,0)-IF(C369=DATE(2026,12,2),26,0)))</f>
        <v/>
      </c>
      <c r="I369" s="13">
        <f>IF(AND(C369&gt;=DATE(2026,11,29),C369&lt;=DATE(2026,12,1)),B369*60,0)</f>
        <v/>
      </c>
      <c r="J369" s="13">
        <f>IF(A369="",0,B369*(IF(C369=DATE(2026,11,28),38,0)+IF(C369=DATE(2026,12,1),38,0)+IF(C369=DATE(2026,12,2),26,0)))</f>
        <v/>
      </c>
      <c r="K369" s="13">
        <f>IF(C369=Options!$B$9,B369*12,0)</f>
        <v/>
      </c>
      <c r="L369" s="13">
        <f>IF(C369=Options!$B$9,B369*Options!$Z$5,0)</f>
        <v/>
      </c>
      <c r="M369" s="13" t="n">
        <v>0</v>
      </c>
      <c r="N369" s="13">
        <f>SUM(E369:M369)</f>
        <v/>
      </c>
    </row>
    <row r="370">
      <c r="A370" s="5">
        <f>IF(AND(C370&gt;=Options!$B$9,C370&lt;=Options!$B$10),"Chicago","")</f>
        <v/>
      </c>
      <c r="B370" s="5">
        <f>IF(A370="","",24)</f>
        <v/>
      </c>
      <c r="C370" s="17" t="n">
        <v>46296</v>
      </c>
      <c r="D370" s="5">
        <f>IF(A370="","",IF(C370=DATE(2026,11,29),"培训；注册午餐；早餐参数",IF(C370=DATE(2026,11,30),"培训；注册午餐",IF(C370=DATE(2026,12,1),"培训；注册午餐；机构晚餐",IF(C370=Options!$B$9,"抵达；"&amp;IF(C370=DATE(2026,11,28),"机构晚餐","无统一供餐"),IF(C370=Options!$B$10,"返程；"&amp;IF(C370=DATE(2026,12,2),"机构午餐","无统一供餐"),"差旅状态；无统一日程"))))))</f>
        <v/>
      </c>
      <c r="E370" s="13">
        <f>IF(C370=Options!$B$9,Options!$C$15,0)</f>
        <v/>
      </c>
      <c r="F370" s="13">
        <f>IF(AND(A370&lt;&gt;"",C370&lt;Options!$B$10),B370*Options!$X$5,0)</f>
        <v/>
      </c>
      <c r="G370" s="13">
        <f>F370*12%</f>
        <v/>
      </c>
      <c r="H370" s="13">
        <f>IF(A370="",0,B370*(92*IF(OR(C370=Options!$B$9,C370=Options!$B$10),75%,100%)-IF(C370=DATE(2026,11,29),26+IF(Options!$B$8="是",23,0),0)-IF(C370=DATE(2026,11,30),26,0)-IF(C370=DATE(2026,12,1),64,0)-IF(C370=DATE(2026,11,28),38,0)-IF(C370=DATE(2026,12,2),26,0)))</f>
        <v/>
      </c>
      <c r="I370" s="13">
        <f>IF(AND(C370&gt;=DATE(2026,11,29),C370&lt;=DATE(2026,12,1)),B370*60,0)</f>
        <v/>
      </c>
      <c r="J370" s="13">
        <f>IF(A370="",0,B370*(IF(C370=DATE(2026,11,28),38,0)+IF(C370=DATE(2026,12,1),38,0)+IF(C370=DATE(2026,12,2),26,0)))</f>
        <v/>
      </c>
      <c r="K370" s="13">
        <f>IF(C370=Options!$B$9,B370*12,0)</f>
        <v/>
      </c>
      <c r="L370" s="13">
        <f>IF(C370=Options!$B$9,B370*Options!$Z$5,0)</f>
        <v/>
      </c>
      <c r="M370" s="13" t="n">
        <v>0</v>
      </c>
      <c r="N370" s="13">
        <f>SUM(E370:M370)</f>
        <v/>
      </c>
    </row>
    <row r="371">
      <c r="A371" s="5">
        <f>IF(AND(C371&gt;=Options!$B$9,C371&lt;=Options!$B$10),"Chicago","")</f>
        <v/>
      </c>
      <c r="B371" s="5">
        <f>IF(A371="","",24)</f>
        <v/>
      </c>
      <c r="C371" s="17" t="n">
        <v>46297</v>
      </c>
      <c r="D371" s="5">
        <f>IF(A371="","",IF(C371=DATE(2026,11,29),"培训；注册午餐；早餐参数",IF(C371=DATE(2026,11,30),"培训；注册午餐",IF(C371=DATE(2026,12,1),"培训；注册午餐；机构晚餐",IF(C371=Options!$B$9,"抵达；"&amp;IF(C371=DATE(2026,11,28),"机构晚餐","无统一供餐"),IF(C371=Options!$B$10,"返程；"&amp;IF(C371=DATE(2026,12,2),"机构午餐","无统一供餐"),"差旅状态；无统一日程"))))))</f>
        <v/>
      </c>
      <c r="E371" s="13">
        <f>IF(C371=Options!$B$9,Options!$C$15,0)</f>
        <v/>
      </c>
      <c r="F371" s="13">
        <f>IF(AND(A371&lt;&gt;"",C371&lt;Options!$B$10),B371*Options!$X$5,0)</f>
        <v/>
      </c>
      <c r="G371" s="13">
        <f>F371*12%</f>
        <v/>
      </c>
      <c r="H371" s="13">
        <f>IF(A371="",0,B371*(92*IF(OR(C371=Options!$B$9,C371=Options!$B$10),75%,100%)-IF(C371=DATE(2026,11,29),26+IF(Options!$B$8="是",23,0),0)-IF(C371=DATE(2026,11,30),26,0)-IF(C371=DATE(2026,12,1),64,0)-IF(C371=DATE(2026,11,28),38,0)-IF(C371=DATE(2026,12,2),26,0)))</f>
        <v/>
      </c>
      <c r="I371" s="13">
        <f>IF(AND(C371&gt;=DATE(2026,11,29),C371&lt;=DATE(2026,12,1)),B371*60,0)</f>
        <v/>
      </c>
      <c r="J371" s="13">
        <f>IF(A371="",0,B371*(IF(C371=DATE(2026,11,28),38,0)+IF(C371=DATE(2026,12,1),38,0)+IF(C371=DATE(2026,12,2),26,0)))</f>
        <v/>
      </c>
      <c r="K371" s="13">
        <f>IF(C371=Options!$B$9,B371*12,0)</f>
        <v/>
      </c>
      <c r="L371" s="13">
        <f>IF(C371=Options!$B$9,B371*Options!$Z$5,0)</f>
        <v/>
      </c>
      <c r="M371" s="13" t="n">
        <v>0</v>
      </c>
      <c r="N371" s="13">
        <f>SUM(E371:M371)</f>
        <v/>
      </c>
    </row>
    <row r="372">
      <c r="A372" s="5">
        <f>IF(AND(C372&gt;=Options!$B$9,C372&lt;=Options!$B$10),"Chicago","")</f>
        <v/>
      </c>
      <c r="B372" s="5">
        <f>IF(A372="","",24)</f>
        <v/>
      </c>
      <c r="C372" s="17" t="n">
        <v>46298</v>
      </c>
      <c r="D372" s="5">
        <f>IF(A372="","",IF(C372=DATE(2026,11,29),"培训；注册午餐；早餐参数",IF(C372=DATE(2026,11,30),"培训；注册午餐",IF(C372=DATE(2026,12,1),"培训；注册午餐；机构晚餐",IF(C372=Options!$B$9,"抵达；"&amp;IF(C372=DATE(2026,11,28),"机构晚餐","无统一供餐"),IF(C372=Options!$B$10,"返程；"&amp;IF(C372=DATE(2026,12,2),"机构午餐","无统一供餐"),"差旅状态；无统一日程"))))))</f>
        <v/>
      </c>
      <c r="E372" s="13">
        <f>IF(C372=Options!$B$9,Options!$C$15,0)</f>
        <v/>
      </c>
      <c r="F372" s="13">
        <f>IF(AND(A372&lt;&gt;"",C372&lt;Options!$B$10),B372*Options!$X$5,0)</f>
        <v/>
      </c>
      <c r="G372" s="13">
        <f>F372*12%</f>
        <v/>
      </c>
      <c r="H372" s="13">
        <f>IF(A372="",0,B372*(92*IF(OR(C372=Options!$B$9,C372=Options!$B$10),75%,100%)-IF(C372=DATE(2026,11,29),26+IF(Options!$B$8="是",23,0),0)-IF(C372=DATE(2026,11,30),26,0)-IF(C372=DATE(2026,12,1),64,0)-IF(C372=DATE(2026,11,28),38,0)-IF(C372=DATE(2026,12,2),26,0)))</f>
        <v/>
      </c>
      <c r="I372" s="13">
        <f>IF(AND(C372&gt;=DATE(2026,11,29),C372&lt;=DATE(2026,12,1)),B372*60,0)</f>
        <v/>
      </c>
      <c r="J372" s="13">
        <f>IF(A372="",0,B372*(IF(C372=DATE(2026,11,28),38,0)+IF(C372=DATE(2026,12,1),38,0)+IF(C372=DATE(2026,12,2),26,0)))</f>
        <v/>
      </c>
      <c r="K372" s="13">
        <f>IF(C372=Options!$B$9,B372*12,0)</f>
        <v/>
      </c>
      <c r="L372" s="13">
        <f>IF(C372=Options!$B$9,B372*Options!$Z$5,0)</f>
        <v/>
      </c>
      <c r="M372" s="13" t="n">
        <v>0</v>
      </c>
      <c r="N372" s="13">
        <f>SUM(E372:M372)</f>
        <v/>
      </c>
    </row>
    <row r="373">
      <c r="A373" s="5">
        <f>IF(AND(C373&gt;=Options!$B$9,C373&lt;=Options!$B$10),"Chicago","")</f>
        <v/>
      </c>
      <c r="B373" s="5">
        <f>IF(A373="","",24)</f>
        <v/>
      </c>
      <c r="C373" s="17" t="n">
        <v>46299</v>
      </c>
      <c r="D373" s="5">
        <f>IF(A373="","",IF(C373=DATE(2026,11,29),"培训；注册午餐；早餐参数",IF(C373=DATE(2026,11,30),"培训；注册午餐",IF(C373=DATE(2026,12,1),"培训；注册午餐；机构晚餐",IF(C373=Options!$B$9,"抵达；"&amp;IF(C373=DATE(2026,11,28),"机构晚餐","无统一供餐"),IF(C373=Options!$B$10,"返程；"&amp;IF(C373=DATE(2026,12,2),"机构午餐","无统一供餐"),"差旅状态；无统一日程"))))))</f>
        <v/>
      </c>
      <c r="E373" s="13">
        <f>IF(C373=Options!$B$9,Options!$C$15,0)</f>
        <v/>
      </c>
      <c r="F373" s="13">
        <f>IF(AND(A373&lt;&gt;"",C373&lt;Options!$B$10),B373*Options!$X$5,0)</f>
        <v/>
      </c>
      <c r="G373" s="13">
        <f>F373*12%</f>
        <v/>
      </c>
      <c r="H373" s="13">
        <f>IF(A373="",0,B373*(92*IF(OR(C373=Options!$B$9,C373=Options!$B$10),75%,100%)-IF(C373=DATE(2026,11,29),26+IF(Options!$B$8="是",23,0),0)-IF(C373=DATE(2026,11,30),26,0)-IF(C373=DATE(2026,12,1),64,0)-IF(C373=DATE(2026,11,28),38,0)-IF(C373=DATE(2026,12,2),26,0)))</f>
        <v/>
      </c>
      <c r="I373" s="13">
        <f>IF(AND(C373&gt;=DATE(2026,11,29),C373&lt;=DATE(2026,12,1)),B373*60,0)</f>
        <v/>
      </c>
      <c r="J373" s="13">
        <f>IF(A373="",0,B373*(IF(C373=DATE(2026,11,28),38,0)+IF(C373=DATE(2026,12,1),38,0)+IF(C373=DATE(2026,12,2),26,0)))</f>
        <v/>
      </c>
      <c r="K373" s="13">
        <f>IF(C373=Options!$B$9,B373*12,0)</f>
        <v/>
      </c>
      <c r="L373" s="13">
        <f>IF(C373=Options!$B$9,B373*Options!$Z$5,0)</f>
        <v/>
      </c>
      <c r="M373" s="13" t="n">
        <v>0</v>
      </c>
      <c r="N373" s="13">
        <f>SUM(E373:M373)</f>
        <v/>
      </c>
    </row>
    <row r="374">
      <c r="A374" s="5">
        <f>IF(AND(C374&gt;=Options!$B$9,C374&lt;=Options!$B$10),"Chicago","")</f>
        <v/>
      </c>
      <c r="B374" s="5">
        <f>IF(A374="","",24)</f>
        <v/>
      </c>
      <c r="C374" s="17" t="n">
        <v>46300</v>
      </c>
      <c r="D374" s="5">
        <f>IF(A374="","",IF(C374=DATE(2026,11,29),"培训；注册午餐；早餐参数",IF(C374=DATE(2026,11,30),"培训；注册午餐",IF(C374=DATE(2026,12,1),"培训；注册午餐；机构晚餐",IF(C374=Options!$B$9,"抵达；"&amp;IF(C374=DATE(2026,11,28),"机构晚餐","无统一供餐"),IF(C374=Options!$B$10,"返程；"&amp;IF(C374=DATE(2026,12,2),"机构午餐","无统一供餐"),"差旅状态；无统一日程"))))))</f>
        <v/>
      </c>
      <c r="E374" s="13">
        <f>IF(C374=Options!$B$9,Options!$C$15,0)</f>
        <v/>
      </c>
      <c r="F374" s="13">
        <f>IF(AND(A374&lt;&gt;"",C374&lt;Options!$B$10),B374*Options!$X$5,0)</f>
        <v/>
      </c>
      <c r="G374" s="13">
        <f>F374*12%</f>
        <v/>
      </c>
      <c r="H374" s="13">
        <f>IF(A374="",0,B374*(92*IF(OR(C374=Options!$B$9,C374=Options!$B$10),75%,100%)-IF(C374=DATE(2026,11,29),26+IF(Options!$B$8="是",23,0),0)-IF(C374=DATE(2026,11,30),26,0)-IF(C374=DATE(2026,12,1),64,0)-IF(C374=DATE(2026,11,28),38,0)-IF(C374=DATE(2026,12,2),26,0)))</f>
        <v/>
      </c>
      <c r="I374" s="13">
        <f>IF(AND(C374&gt;=DATE(2026,11,29),C374&lt;=DATE(2026,12,1)),B374*60,0)</f>
        <v/>
      </c>
      <c r="J374" s="13">
        <f>IF(A374="",0,B374*(IF(C374=DATE(2026,11,28),38,0)+IF(C374=DATE(2026,12,1),38,0)+IF(C374=DATE(2026,12,2),26,0)))</f>
        <v/>
      </c>
      <c r="K374" s="13">
        <f>IF(C374=Options!$B$9,B374*12,0)</f>
        <v/>
      </c>
      <c r="L374" s="13">
        <f>IF(C374=Options!$B$9,B374*Options!$Z$5,0)</f>
        <v/>
      </c>
      <c r="M374" s="13" t="n">
        <v>0</v>
      </c>
      <c r="N374" s="13">
        <f>SUM(E374:M374)</f>
        <v/>
      </c>
    </row>
    <row r="375">
      <c r="A375" s="5">
        <f>IF(AND(C375&gt;=Options!$B$9,C375&lt;=Options!$B$10),"Chicago","")</f>
        <v/>
      </c>
      <c r="B375" s="5">
        <f>IF(A375="","",24)</f>
        <v/>
      </c>
      <c r="C375" s="17" t="n">
        <v>46301</v>
      </c>
      <c r="D375" s="5">
        <f>IF(A375="","",IF(C375=DATE(2026,11,29),"培训；注册午餐；早餐参数",IF(C375=DATE(2026,11,30),"培训；注册午餐",IF(C375=DATE(2026,12,1),"培训；注册午餐；机构晚餐",IF(C375=Options!$B$9,"抵达；"&amp;IF(C375=DATE(2026,11,28),"机构晚餐","无统一供餐"),IF(C375=Options!$B$10,"返程；"&amp;IF(C375=DATE(2026,12,2),"机构午餐","无统一供餐"),"差旅状态；无统一日程"))))))</f>
        <v/>
      </c>
      <c r="E375" s="13">
        <f>IF(C375=Options!$B$9,Options!$C$15,0)</f>
        <v/>
      </c>
      <c r="F375" s="13">
        <f>IF(AND(A375&lt;&gt;"",C375&lt;Options!$B$10),B375*Options!$X$5,0)</f>
        <v/>
      </c>
      <c r="G375" s="13">
        <f>F375*12%</f>
        <v/>
      </c>
      <c r="H375" s="13">
        <f>IF(A375="",0,B375*(92*IF(OR(C375=Options!$B$9,C375=Options!$B$10),75%,100%)-IF(C375=DATE(2026,11,29),26+IF(Options!$B$8="是",23,0),0)-IF(C375=DATE(2026,11,30),26,0)-IF(C375=DATE(2026,12,1),64,0)-IF(C375=DATE(2026,11,28),38,0)-IF(C375=DATE(2026,12,2),26,0)))</f>
        <v/>
      </c>
      <c r="I375" s="13">
        <f>IF(AND(C375&gt;=DATE(2026,11,29),C375&lt;=DATE(2026,12,1)),B375*60,0)</f>
        <v/>
      </c>
      <c r="J375" s="13">
        <f>IF(A375="",0,B375*(IF(C375=DATE(2026,11,28),38,0)+IF(C375=DATE(2026,12,1),38,0)+IF(C375=DATE(2026,12,2),26,0)))</f>
        <v/>
      </c>
      <c r="K375" s="13">
        <f>IF(C375=Options!$B$9,B375*12,0)</f>
        <v/>
      </c>
      <c r="L375" s="13">
        <f>IF(C375=Options!$B$9,B375*Options!$Z$5,0)</f>
        <v/>
      </c>
      <c r="M375" s="13" t="n">
        <v>0</v>
      </c>
      <c r="N375" s="13">
        <f>SUM(E375:M375)</f>
        <v/>
      </c>
    </row>
    <row r="376">
      <c r="A376" s="5">
        <f>IF(AND(C376&gt;=Options!$B$9,C376&lt;=Options!$B$10),"Chicago","")</f>
        <v/>
      </c>
      <c r="B376" s="5">
        <f>IF(A376="","",24)</f>
        <v/>
      </c>
      <c r="C376" s="17" t="n">
        <v>46302</v>
      </c>
      <c r="D376" s="5">
        <f>IF(A376="","",IF(C376=DATE(2026,11,29),"培训；注册午餐；早餐参数",IF(C376=DATE(2026,11,30),"培训；注册午餐",IF(C376=DATE(2026,12,1),"培训；注册午餐；机构晚餐",IF(C376=Options!$B$9,"抵达；"&amp;IF(C376=DATE(2026,11,28),"机构晚餐","无统一供餐"),IF(C376=Options!$B$10,"返程；"&amp;IF(C376=DATE(2026,12,2),"机构午餐","无统一供餐"),"差旅状态；无统一日程"))))))</f>
        <v/>
      </c>
      <c r="E376" s="13">
        <f>IF(C376=Options!$B$9,Options!$C$15,0)</f>
        <v/>
      </c>
      <c r="F376" s="13">
        <f>IF(AND(A376&lt;&gt;"",C376&lt;Options!$B$10),B376*Options!$X$5,0)</f>
        <v/>
      </c>
      <c r="G376" s="13">
        <f>F376*12%</f>
        <v/>
      </c>
      <c r="H376" s="13">
        <f>IF(A376="",0,B376*(92*IF(OR(C376=Options!$B$9,C376=Options!$B$10),75%,100%)-IF(C376=DATE(2026,11,29),26+IF(Options!$B$8="是",23,0),0)-IF(C376=DATE(2026,11,30),26,0)-IF(C376=DATE(2026,12,1),64,0)-IF(C376=DATE(2026,11,28),38,0)-IF(C376=DATE(2026,12,2),26,0)))</f>
        <v/>
      </c>
      <c r="I376" s="13">
        <f>IF(AND(C376&gt;=DATE(2026,11,29),C376&lt;=DATE(2026,12,1)),B376*60,0)</f>
        <v/>
      </c>
      <c r="J376" s="13">
        <f>IF(A376="",0,B376*(IF(C376=DATE(2026,11,28),38,0)+IF(C376=DATE(2026,12,1),38,0)+IF(C376=DATE(2026,12,2),26,0)))</f>
        <v/>
      </c>
      <c r="K376" s="13">
        <f>IF(C376=Options!$B$9,B376*12,0)</f>
        <v/>
      </c>
      <c r="L376" s="13">
        <f>IF(C376=Options!$B$9,B376*Options!$Z$5,0)</f>
        <v/>
      </c>
      <c r="M376" s="13" t="n">
        <v>0</v>
      </c>
      <c r="N376" s="13">
        <f>SUM(E376:M376)</f>
        <v/>
      </c>
    </row>
    <row r="377">
      <c r="A377" s="5">
        <f>IF(AND(C377&gt;=Options!$B$9,C377&lt;=Options!$B$10),"Chicago","")</f>
        <v/>
      </c>
      <c r="B377" s="5">
        <f>IF(A377="","",24)</f>
        <v/>
      </c>
      <c r="C377" s="17" t="n">
        <v>46303</v>
      </c>
      <c r="D377" s="5">
        <f>IF(A377="","",IF(C377=DATE(2026,11,29),"培训；注册午餐；早餐参数",IF(C377=DATE(2026,11,30),"培训；注册午餐",IF(C377=DATE(2026,12,1),"培训；注册午餐；机构晚餐",IF(C377=Options!$B$9,"抵达；"&amp;IF(C377=DATE(2026,11,28),"机构晚餐","无统一供餐"),IF(C377=Options!$B$10,"返程；"&amp;IF(C377=DATE(2026,12,2),"机构午餐","无统一供餐"),"差旅状态；无统一日程"))))))</f>
        <v/>
      </c>
      <c r="E377" s="13">
        <f>IF(C377=Options!$B$9,Options!$C$15,0)</f>
        <v/>
      </c>
      <c r="F377" s="13">
        <f>IF(AND(A377&lt;&gt;"",C377&lt;Options!$B$10),B377*Options!$X$5,0)</f>
        <v/>
      </c>
      <c r="G377" s="13">
        <f>F377*12%</f>
        <v/>
      </c>
      <c r="H377" s="13">
        <f>IF(A377="",0,B377*(92*IF(OR(C377=Options!$B$9,C377=Options!$B$10),75%,100%)-IF(C377=DATE(2026,11,29),26+IF(Options!$B$8="是",23,0),0)-IF(C377=DATE(2026,11,30),26,0)-IF(C377=DATE(2026,12,1),64,0)-IF(C377=DATE(2026,11,28),38,0)-IF(C377=DATE(2026,12,2),26,0)))</f>
        <v/>
      </c>
      <c r="I377" s="13">
        <f>IF(AND(C377&gt;=DATE(2026,11,29),C377&lt;=DATE(2026,12,1)),B377*60,0)</f>
        <v/>
      </c>
      <c r="J377" s="13">
        <f>IF(A377="",0,B377*(IF(C377=DATE(2026,11,28),38,0)+IF(C377=DATE(2026,12,1),38,0)+IF(C377=DATE(2026,12,2),26,0)))</f>
        <v/>
      </c>
      <c r="K377" s="13">
        <f>IF(C377=Options!$B$9,B377*12,0)</f>
        <v/>
      </c>
      <c r="L377" s="13">
        <f>IF(C377=Options!$B$9,B377*Options!$Z$5,0)</f>
        <v/>
      </c>
      <c r="M377" s="13" t="n">
        <v>0</v>
      </c>
      <c r="N377" s="13">
        <f>SUM(E377:M377)</f>
        <v/>
      </c>
    </row>
    <row r="378">
      <c r="A378" s="5">
        <f>IF(AND(C378&gt;=Options!$B$9,C378&lt;=Options!$B$10),"Chicago","")</f>
        <v/>
      </c>
      <c r="B378" s="5">
        <f>IF(A378="","",24)</f>
        <v/>
      </c>
      <c r="C378" s="17" t="n">
        <v>46304</v>
      </c>
      <c r="D378" s="5">
        <f>IF(A378="","",IF(C378=DATE(2026,11,29),"培训；注册午餐；早餐参数",IF(C378=DATE(2026,11,30),"培训；注册午餐",IF(C378=DATE(2026,12,1),"培训；注册午餐；机构晚餐",IF(C378=Options!$B$9,"抵达；"&amp;IF(C378=DATE(2026,11,28),"机构晚餐","无统一供餐"),IF(C378=Options!$B$10,"返程；"&amp;IF(C378=DATE(2026,12,2),"机构午餐","无统一供餐"),"差旅状态；无统一日程"))))))</f>
        <v/>
      </c>
      <c r="E378" s="13">
        <f>IF(C378=Options!$B$9,Options!$C$15,0)</f>
        <v/>
      </c>
      <c r="F378" s="13">
        <f>IF(AND(A378&lt;&gt;"",C378&lt;Options!$B$10),B378*Options!$X$5,0)</f>
        <v/>
      </c>
      <c r="G378" s="13">
        <f>F378*12%</f>
        <v/>
      </c>
      <c r="H378" s="13">
        <f>IF(A378="",0,B378*(92*IF(OR(C378=Options!$B$9,C378=Options!$B$10),75%,100%)-IF(C378=DATE(2026,11,29),26+IF(Options!$B$8="是",23,0),0)-IF(C378=DATE(2026,11,30),26,0)-IF(C378=DATE(2026,12,1),64,0)-IF(C378=DATE(2026,11,28),38,0)-IF(C378=DATE(2026,12,2),26,0)))</f>
        <v/>
      </c>
      <c r="I378" s="13">
        <f>IF(AND(C378&gt;=DATE(2026,11,29),C378&lt;=DATE(2026,12,1)),B378*60,0)</f>
        <v/>
      </c>
      <c r="J378" s="13">
        <f>IF(A378="",0,B378*(IF(C378=DATE(2026,11,28),38,0)+IF(C378=DATE(2026,12,1),38,0)+IF(C378=DATE(2026,12,2),26,0)))</f>
        <v/>
      </c>
      <c r="K378" s="13">
        <f>IF(C378=Options!$B$9,B378*12,0)</f>
        <v/>
      </c>
      <c r="L378" s="13">
        <f>IF(C378=Options!$B$9,B378*Options!$Z$5,0)</f>
        <v/>
      </c>
      <c r="M378" s="13" t="n">
        <v>0</v>
      </c>
      <c r="N378" s="13">
        <f>SUM(E378:M378)</f>
        <v/>
      </c>
    </row>
    <row r="379">
      <c r="A379" s="5">
        <f>IF(AND(C379&gt;=Options!$B$9,C379&lt;=Options!$B$10),"Chicago","")</f>
        <v/>
      </c>
      <c r="B379" s="5">
        <f>IF(A379="","",24)</f>
        <v/>
      </c>
      <c r="C379" s="17" t="n">
        <v>46305</v>
      </c>
      <c r="D379" s="5">
        <f>IF(A379="","",IF(C379=DATE(2026,11,29),"培训；注册午餐；早餐参数",IF(C379=DATE(2026,11,30),"培训；注册午餐",IF(C379=DATE(2026,12,1),"培训；注册午餐；机构晚餐",IF(C379=Options!$B$9,"抵达；"&amp;IF(C379=DATE(2026,11,28),"机构晚餐","无统一供餐"),IF(C379=Options!$B$10,"返程；"&amp;IF(C379=DATE(2026,12,2),"机构午餐","无统一供餐"),"差旅状态；无统一日程"))))))</f>
        <v/>
      </c>
      <c r="E379" s="13">
        <f>IF(C379=Options!$B$9,Options!$C$15,0)</f>
        <v/>
      </c>
      <c r="F379" s="13">
        <f>IF(AND(A379&lt;&gt;"",C379&lt;Options!$B$10),B379*Options!$X$5,0)</f>
        <v/>
      </c>
      <c r="G379" s="13">
        <f>F379*12%</f>
        <v/>
      </c>
      <c r="H379" s="13">
        <f>IF(A379="",0,B379*(92*IF(OR(C379=Options!$B$9,C379=Options!$B$10),75%,100%)-IF(C379=DATE(2026,11,29),26+IF(Options!$B$8="是",23,0),0)-IF(C379=DATE(2026,11,30),26,0)-IF(C379=DATE(2026,12,1),64,0)-IF(C379=DATE(2026,11,28),38,0)-IF(C379=DATE(2026,12,2),26,0)))</f>
        <v/>
      </c>
      <c r="I379" s="13">
        <f>IF(AND(C379&gt;=DATE(2026,11,29),C379&lt;=DATE(2026,12,1)),B379*60,0)</f>
        <v/>
      </c>
      <c r="J379" s="13">
        <f>IF(A379="",0,B379*(IF(C379=DATE(2026,11,28),38,0)+IF(C379=DATE(2026,12,1),38,0)+IF(C379=DATE(2026,12,2),26,0)))</f>
        <v/>
      </c>
      <c r="K379" s="13">
        <f>IF(C379=Options!$B$9,B379*12,0)</f>
        <v/>
      </c>
      <c r="L379" s="13">
        <f>IF(C379=Options!$B$9,B379*Options!$Z$5,0)</f>
        <v/>
      </c>
      <c r="M379" s="13" t="n">
        <v>0</v>
      </c>
      <c r="N379" s="13">
        <f>SUM(E379:M379)</f>
        <v/>
      </c>
    </row>
    <row r="380">
      <c r="A380" s="5">
        <f>IF(AND(C380&gt;=Options!$B$9,C380&lt;=Options!$B$10),"Chicago","")</f>
        <v/>
      </c>
      <c r="B380" s="5">
        <f>IF(A380="","",24)</f>
        <v/>
      </c>
      <c r="C380" s="17" t="n">
        <v>46306</v>
      </c>
      <c r="D380" s="5">
        <f>IF(A380="","",IF(C380=DATE(2026,11,29),"培训；注册午餐；早餐参数",IF(C380=DATE(2026,11,30),"培训；注册午餐",IF(C380=DATE(2026,12,1),"培训；注册午餐；机构晚餐",IF(C380=Options!$B$9,"抵达；"&amp;IF(C380=DATE(2026,11,28),"机构晚餐","无统一供餐"),IF(C380=Options!$B$10,"返程；"&amp;IF(C380=DATE(2026,12,2),"机构午餐","无统一供餐"),"差旅状态；无统一日程"))))))</f>
        <v/>
      </c>
      <c r="E380" s="13">
        <f>IF(C380=Options!$B$9,Options!$C$15,0)</f>
        <v/>
      </c>
      <c r="F380" s="13">
        <f>IF(AND(A380&lt;&gt;"",C380&lt;Options!$B$10),B380*Options!$X$5,0)</f>
        <v/>
      </c>
      <c r="G380" s="13">
        <f>F380*12%</f>
        <v/>
      </c>
      <c r="H380" s="13">
        <f>IF(A380="",0,B380*(92*IF(OR(C380=Options!$B$9,C380=Options!$B$10),75%,100%)-IF(C380=DATE(2026,11,29),26+IF(Options!$B$8="是",23,0),0)-IF(C380=DATE(2026,11,30),26,0)-IF(C380=DATE(2026,12,1),64,0)-IF(C380=DATE(2026,11,28),38,0)-IF(C380=DATE(2026,12,2),26,0)))</f>
        <v/>
      </c>
      <c r="I380" s="13">
        <f>IF(AND(C380&gt;=DATE(2026,11,29),C380&lt;=DATE(2026,12,1)),B380*60,0)</f>
        <v/>
      </c>
      <c r="J380" s="13">
        <f>IF(A380="",0,B380*(IF(C380=DATE(2026,11,28),38,0)+IF(C380=DATE(2026,12,1),38,0)+IF(C380=DATE(2026,12,2),26,0)))</f>
        <v/>
      </c>
      <c r="K380" s="13">
        <f>IF(C380=Options!$B$9,B380*12,0)</f>
        <v/>
      </c>
      <c r="L380" s="13">
        <f>IF(C380=Options!$B$9,B380*Options!$Z$5,0)</f>
        <v/>
      </c>
      <c r="M380" s="13" t="n">
        <v>0</v>
      </c>
      <c r="N380" s="13">
        <f>SUM(E380:M380)</f>
        <v/>
      </c>
    </row>
    <row r="381">
      <c r="A381" s="5">
        <f>IF(AND(C381&gt;=Options!$B$9,C381&lt;=Options!$B$10),"Chicago","")</f>
        <v/>
      </c>
      <c r="B381" s="5">
        <f>IF(A381="","",24)</f>
        <v/>
      </c>
      <c r="C381" s="17" t="n">
        <v>46307</v>
      </c>
      <c r="D381" s="5">
        <f>IF(A381="","",IF(C381=DATE(2026,11,29),"培训；注册午餐；早餐参数",IF(C381=DATE(2026,11,30),"培训；注册午餐",IF(C381=DATE(2026,12,1),"培训；注册午餐；机构晚餐",IF(C381=Options!$B$9,"抵达；"&amp;IF(C381=DATE(2026,11,28),"机构晚餐","无统一供餐"),IF(C381=Options!$B$10,"返程；"&amp;IF(C381=DATE(2026,12,2),"机构午餐","无统一供餐"),"差旅状态；无统一日程"))))))</f>
        <v/>
      </c>
      <c r="E381" s="13">
        <f>IF(C381=Options!$B$9,Options!$C$15,0)</f>
        <v/>
      </c>
      <c r="F381" s="13">
        <f>IF(AND(A381&lt;&gt;"",C381&lt;Options!$B$10),B381*Options!$X$5,0)</f>
        <v/>
      </c>
      <c r="G381" s="13">
        <f>F381*12%</f>
        <v/>
      </c>
      <c r="H381" s="13">
        <f>IF(A381="",0,B381*(92*IF(OR(C381=Options!$B$9,C381=Options!$B$10),75%,100%)-IF(C381=DATE(2026,11,29),26+IF(Options!$B$8="是",23,0),0)-IF(C381=DATE(2026,11,30),26,0)-IF(C381=DATE(2026,12,1),64,0)-IF(C381=DATE(2026,11,28),38,0)-IF(C381=DATE(2026,12,2),26,0)))</f>
        <v/>
      </c>
      <c r="I381" s="13">
        <f>IF(AND(C381&gt;=DATE(2026,11,29),C381&lt;=DATE(2026,12,1)),B381*60,0)</f>
        <v/>
      </c>
      <c r="J381" s="13">
        <f>IF(A381="",0,B381*(IF(C381=DATE(2026,11,28),38,0)+IF(C381=DATE(2026,12,1),38,0)+IF(C381=DATE(2026,12,2),26,0)))</f>
        <v/>
      </c>
      <c r="K381" s="13">
        <f>IF(C381=Options!$B$9,B381*12,0)</f>
        <v/>
      </c>
      <c r="L381" s="13">
        <f>IF(C381=Options!$B$9,B381*Options!$Z$5,0)</f>
        <v/>
      </c>
      <c r="M381" s="13" t="n">
        <v>0</v>
      </c>
      <c r="N381" s="13">
        <f>SUM(E381:M381)</f>
        <v/>
      </c>
    </row>
    <row r="382">
      <c r="A382" s="5">
        <f>IF(AND(C382&gt;=Options!$B$9,C382&lt;=Options!$B$10),"Chicago","")</f>
        <v/>
      </c>
      <c r="B382" s="5">
        <f>IF(A382="","",24)</f>
        <v/>
      </c>
      <c r="C382" s="17" t="n">
        <v>46308</v>
      </c>
      <c r="D382" s="5">
        <f>IF(A382="","",IF(C382=DATE(2026,11,29),"培训；注册午餐；早餐参数",IF(C382=DATE(2026,11,30),"培训；注册午餐",IF(C382=DATE(2026,12,1),"培训；注册午餐；机构晚餐",IF(C382=Options!$B$9,"抵达；"&amp;IF(C382=DATE(2026,11,28),"机构晚餐","无统一供餐"),IF(C382=Options!$B$10,"返程；"&amp;IF(C382=DATE(2026,12,2),"机构午餐","无统一供餐"),"差旅状态；无统一日程"))))))</f>
        <v/>
      </c>
      <c r="E382" s="13">
        <f>IF(C382=Options!$B$9,Options!$C$15,0)</f>
        <v/>
      </c>
      <c r="F382" s="13">
        <f>IF(AND(A382&lt;&gt;"",C382&lt;Options!$B$10),B382*Options!$X$5,0)</f>
        <v/>
      </c>
      <c r="G382" s="13">
        <f>F382*12%</f>
        <v/>
      </c>
      <c r="H382" s="13">
        <f>IF(A382="",0,B382*(92*IF(OR(C382=Options!$B$9,C382=Options!$B$10),75%,100%)-IF(C382=DATE(2026,11,29),26+IF(Options!$B$8="是",23,0),0)-IF(C382=DATE(2026,11,30),26,0)-IF(C382=DATE(2026,12,1),64,0)-IF(C382=DATE(2026,11,28),38,0)-IF(C382=DATE(2026,12,2),26,0)))</f>
        <v/>
      </c>
      <c r="I382" s="13">
        <f>IF(AND(C382&gt;=DATE(2026,11,29),C382&lt;=DATE(2026,12,1)),B382*60,0)</f>
        <v/>
      </c>
      <c r="J382" s="13">
        <f>IF(A382="",0,B382*(IF(C382=DATE(2026,11,28),38,0)+IF(C382=DATE(2026,12,1),38,0)+IF(C382=DATE(2026,12,2),26,0)))</f>
        <v/>
      </c>
      <c r="K382" s="13">
        <f>IF(C382=Options!$B$9,B382*12,0)</f>
        <v/>
      </c>
      <c r="L382" s="13">
        <f>IF(C382=Options!$B$9,B382*Options!$Z$5,0)</f>
        <v/>
      </c>
      <c r="M382" s="13" t="n">
        <v>0</v>
      </c>
      <c r="N382" s="13">
        <f>SUM(E382:M382)</f>
        <v/>
      </c>
    </row>
    <row r="383">
      <c r="A383" s="5">
        <f>IF(AND(C383&gt;=Options!$B$9,C383&lt;=Options!$B$10),"Chicago","")</f>
        <v/>
      </c>
      <c r="B383" s="5">
        <f>IF(A383="","",24)</f>
        <v/>
      </c>
      <c r="C383" s="17" t="n">
        <v>46309</v>
      </c>
      <c r="D383" s="5">
        <f>IF(A383="","",IF(C383=DATE(2026,11,29),"培训；注册午餐；早餐参数",IF(C383=DATE(2026,11,30),"培训；注册午餐",IF(C383=DATE(2026,12,1),"培训；注册午餐；机构晚餐",IF(C383=Options!$B$9,"抵达；"&amp;IF(C383=DATE(2026,11,28),"机构晚餐","无统一供餐"),IF(C383=Options!$B$10,"返程；"&amp;IF(C383=DATE(2026,12,2),"机构午餐","无统一供餐"),"差旅状态；无统一日程"))))))</f>
        <v/>
      </c>
      <c r="E383" s="13">
        <f>IF(C383=Options!$B$9,Options!$C$15,0)</f>
        <v/>
      </c>
      <c r="F383" s="13">
        <f>IF(AND(A383&lt;&gt;"",C383&lt;Options!$B$10),B383*Options!$X$5,0)</f>
        <v/>
      </c>
      <c r="G383" s="13">
        <f>F383*12%</f>
        <v/>
      </c>
      <c r="H383" s="13">
        <f>IF(A383="",0,B383*(92*IF(OR(C383=Options!$B$9,C383=Options!$B$10),75%,100%)-IF(C383=DATE(2026,11,29),26+IF(Options!$B$8="是",23,0),0)-IF(C383=DATE(2026,11,30),26,0)-IF(C383=DATE(2026,12,1),64,0)-IF(C383=DATE(2026,11,28),38,0)-IF(C383=DATE(2026,12,2),26,0)))</f>
        <v/>
      </c>
      <c r="I383" s="13">
        <f>IF(AND(C383&gt;=DATE(2026,11,29),C383&lt;=DATE(2026,12,1)),B383*60,0)</f>
        <v/>
      </c>
      <c r="J383" s="13">
        <f>IF(A383="",0,B383*(IF(C383=DATE(2026,11,28),38,0)+IF(C383=DATE(2026,12,1),38,0)+IF(C383=DATE(2026,12,2),26,0)))</f>
        <v/>
      </c>
      <c r="K383" s="13">
        <f>IF(C383=Options!$B$9,B383*12,0)</f>
        <v/>
      </c>
      <c r="L383" s="13">
        <f>IF(C383=Options!$B$9,B383*Options!$Z$5,0)</f>
        <v/>
      </c>
      <c r="M383" s="13" t="n">
        <v>0</v>
      </c>
      <c r="N383" s="13">
        <f>SUM(E383:M383)</f>
        <v/>
      </c>
    </row>
    <row r="384">
      <c r="A384" s="5">
        <f>IF(AND(C384&gt;=Options!$B$9,C384&lt;=Options!$B$10),"Chicago","")</f>
        <v/>
      </c>
      <c r="B384" s="5">
        <f>IF(A384="","",24)</f>
        <v/>
      </c>
      <c r="C384" s="17" t="n">
        <v>46310</v>
      </c>
      <c r="D384" s="5">
        <f>IF(A384="","",IF(C384=DATE(2026,11,29),"培训；注册午餐；早餐参数",IF(C384=DATE(2026,11,30),"培训；注册午餐",IF(C384=DATE(2026,12,1),"培训；注册午餐；机构晚餐",IF(C384=Options!$B$9,"抵达；"&amp;IF(C384=DATE(2026,11,28),"机构晚餐","无统一供餐"),IF(C384=Options!$B$10,"返程；"&amp;IF(C384=DATE(2026,12,2),"机构午餐","无统一供餐"),"差旅状态；无统一日程"))))))</f>
        <v/>
      </c>
      <c r="E384" s="13">
        <f>IF(C384=Options!$B$9,Options!$C$15,0)</f>
        <v/>
      </c>
      <c r="F384" s="13">
        <f>IF(AND(A384&lt;&gt;"",C384&lt;Options!$B$10),B384*Options!$X$5,0)</f>
        <v/>
      </c>
      <c r="G384" s="13">
        <f>F384*12%</f>
        <v/>
      </c>
      <c r="H384" s="13">
        <f>IF(A384="",0,B384*(92*IF(OR(C384=Options!$B$9,C384=Options!$B$10),75%,100%)-IF(C384=DATE(2026,11,29),26+IF(Options!$B$8="是",23,0),0)-IF(C384=DATE(2026,11,30),26,0)-IF(C384=DATE(2026,12,1),64,0)-IF(C384=DATE(2026,11,28),38,0)-IF(C384=DATE(2026,12,2),26,0)))</f>
        <v/>
      </c>
      <c r="I384" s="13">
        <f>IF(AND(C384&gt;=DATE(2026,11,29),C384&lt;=DATE(2026,12,1)),B384*60,0)</f>
        <v/>
      </c>
      <c r="J384" s="13">
        <f>IF(A384="",0,B384*(IF(C384=DATE(2026,11,28),38,0)+IF(C384=DATE(2026,12,1),38,0)+IF(C384=DATE(2026,12,2),26,0)))</f>
        <v/>
      </c>
      <c r="K384" s="13">
        <f>IF(C384=Options!$B$9,B384*12,0)</f>
        <v/>
      </c>
      <c r="L384" s="13">
        <f>IF(C384=Options!$B$9,B384*Options!$Z$5,0)</f>
        <v/>
      </c>
      <c r="M384" s="13" t="n">
        <v>0</v>
      </c>
      <c r="N384" s="13">
        <f>SUM(E384:M384)</f>
        <v/>
      </c>
    </row>
    <row r="385">
      <c r="A385" s="5">
        <f>IF(AND(C385&gt;=Options!$B$9,C385&lt;=Options!$B$10),"Chicago","")</f>
        <v/>
      </c>
      <c r="B385" s="5">
        <f>IF(A385="","",24)</f>
        <v/>
      </c>
      <c r="C385" s="17" t="n">
        <v>46311</v>
      </c>
      <c r="D385" s="5">
        <f>IF(A385="","",IF(C385=DATE(2026,11,29),"培训；注册午餐；早餐参数",IF(C385=DATE(2026,11,30),"培训；注册午餐",IF(C385=DATE(2026,12,1),"培训；注册午餐；机构晚餐",IF(C385=Options!$B$9,"抵达；"&amp;IF(C385=DATE(2026,11,28),"机构晚餐","无统一供餐"),IF(C385=Options!$B$10,"返程；"&amp;IF(C385=DATE(2026,12,2),"机构午餐","无统一供餐"),"差旅状态；无统一日程"))))))</f>
        <v/>
      </c>
      <c r="E385" s="13">
        <f>IF(C385=Options!$B$9,Options!$C$15,0)</f>
        <v/>
      </c>
      <c r="F385" s="13">
        <f>IF(AND(A385&lt;&gt;"",C385&lt;Options!$B$10),B385*Options!$X$5,0)</f>
        <v/>
      </c>
      <c r="G385" s="13">
        <f>F385*12%</f>
        <v/>
      </c>
      <c r="H385" s="13">
        <f>IF(A385="",0,B385*(92*IF(OR(C385=Options!$B$9,C385=Options!$B$10),75%,100%)-IF(C385=DATE(2026,11,29),26+IF(Options!$B$8="是",23,0),0)-IF(C385=DATE(2026,11,30),26,0)-IF(C385=DATE(2026,12,1),64,0)-IF(C385=DATE(2026,11,28),38,0)-IF(C385=DATE(2026,12,2),26,0)))</f>
        <v/>
      </c>
      <c r="I385" s="13">
        <f>IF(AND(C385&gt;=DATE(2026,11,29),C385&lt;=DATE(2026,12,1)),B385*60,0)</f>
        <v/>
      </c>
      <c r="J385" s="13">
        <f>IF(A385="",0,B385*(IF(C385=DATE(2026,11,28),38,0)+IF(C385=DATE(2026,12,1),38,0)+IF(C385=DATE(2026,12,2),26,0)))</f>
        <v/>
      </c>
      <c r="K385" s="13">
        <f>IF(C385=Options!$B$9,B385*12,0)</f>
        <v/>
      </c>
      <c r="L385" s="13">
        <f>IF(C385=Options!$B$9,B385*Options!$Z$5,0)</f>
        <v/>
      </c>
      <c r="M385" s="13" t="n">
        <v>0</v>
      </c>
      <c r="N385" s="13">
        <f>SUM(E385:M385)</f>
        <v/>
      </c>
    </row>
    <row r="386">
      <c r="A386" s="5">
        <f>IF(AND(C386&gt;=Options!$B$9,C386&lt;=Options!$B$10),"Chicago","")</f>
        <v/>
      </c>
      <c r="B386" s="5">
        <f>IF(A386="","",24)</f>
        <v/>
      </c>
      <c r="C386" s="17" t="n">
        <v>46312</v>
      </c>
      <c r="D386" s="5">
        <f>IF(A386="","",IF(C386=DATE(2026,11,29),"培训；注册午餐；早餐参数",IF(C386=DATE(2026,11,30),"培训；注册午餐",IF(C386=DATE(2026,12,1),"培训；注册午餐；机构晚餐",IF(C386=Options!$B$9,"抵达；"&amp;IF(C386=DATE(2026,11,28),"机构晚餐","无统一供餐"),IF(C386=Options!$B$10,"返程；"&amp;IF(C386=DATE(2026,12,2),"机构午餐","无统一供餐"),"差旅状态；无统一日程"))))))</f>
        <v/>
      </c>
      <c r="E386" s="13">
        <f>IF(C386=Options!$B$9,Options!$C$15,0)</f>
        <v/>
      </c>
      <c r="F386" s="13">
        <f>IF(AND(A386&lt;&gt;"",C386&lt;Options!$B$10),B386*Options!$X$5,0)</f>
        <v/>
      </c>
      <c r="G386" s="13">
        <f>F386*12%</f>
        <v/>
      </c>
      <c r="H386" s="13">
        <f>IF(A386="",0,B386*(92*IF(OR(C386=Options!$B$9,C386=Options!$B$10),75%,100%)-IF(C386=DATE(2026,11,29),26+IF(Options!$B$8="是",23,0),0)-IF(C386=DATE(2026,11,30),26,0)-IF(C386=DATE(2026,12,1),64,0)-IF(C386=DATE(2026,11,28),38,0)-IF(C386=DATE(2026,12,2),26,0)))</f>
        <v/>
      </c>
      <c r="I386" s="13">
        <f>IF(AND(C386&gt;=DATE(2026,11,29),C386&lt;=DATE(2026,12,1)),B386*60,0)</f>
        <v/>
      </c>
      <c r="J386" s="13">
        <f>IF(A386="",0,B386*(IF(C386=DATE(2026,11,28),38,0)+IF(C386=DATE(2026,12,1),38,0)+IF(C386=DATE(2026,12,2),26,0)))</f>
        <v/>
      </c>
      <c r="K386" s="13">
        <f>IF(C386=Options!$B$9,B386*12,0)</f>
        <v/>
      </c>
      <c r="L386" s="13">
        <f>IF(C386=Options!$B$9,B386*Options!$Z$5,0)</f>
        <v/>
      </c>
      <c r="M386" s="13" t="n">
        <v>0</v>
      </c>
      <c r="N386" s="13">
        <f>SUM(E386:M386)</f>
        <v/>
      </c>
    </row>
    <row r="387">
      <c r="A387" s="5">
        <f>IF(AND(C387&gt;=Options!$B$9,C387&lt;=Options!$B$10),"Chicago","")</f>
        <v/>
      </c>
      <c r="B387" s="5">
        <f>IF(A387="","",24)</f>
        <v/>
      </c>
      <c r="C387" s="17" t="n">
        <v>46313</v>
      </c>
      <c r="D387" s="5">
        <f>IF(A387="","",IF(C387=DATE(2026,11,29),"培训；注册午餐；早餐参数",IF(C387=DATE(2026,11,30),"培训；注册午餐",IF(C387=DATE(2026,12,1),"培训；注册午餐；机构晚餐",IF(C387=Options!$B$9,"抵达；"&amp;IF(C387=DATE(2026,11,28),"机构晚餐","无统一供餐"),IF(C387=Options!$B$10,"返程；"&amp;IF(C387=DATE(2026,12,2),"机构午餐","无统一供餐"),"差旅状态；无统一日程"))))))</f>
        <v/>
      </c>
      <c r="E387" s="13">
        <f>IF(C387=Options!$B$9,Options!$C$15,0)</f>
        <v/>
      </c>
      <c r="F387" s="13">
        <f>IF(AND(A387&lt;&gt;"",C387&lt;Options!$B$10),B387*Options!$X$5,0)</f>
        <v/>
      </c>
      <c r="G387" s="13">
        <f>F387*12%</f>
        <v/>
      </c>
      <c r="H387" s="13">
        <f>IF(A387="",0,B387*(92*IF(OR(C387=Options!$B$9,C387=Options!$B$10),75%,100%)-IF(C387=DATE(2026,11,29),26+IF(Options!$B$8="是",23,0),0)-IF(C387=DATE(2026,11,30),26,0)-IF(C387=DATE(2026,12,1),64,0)-IF(C387=DATE(2026,11,28),38,0)-IF(C387=DATE(2026,12,2),26,0)))</f>
        <v/>
      </c>
      <c r="I387" s="13">
        <f>IF(AND(C387&gt;=DATE(2026,11,29),C387&lt;=DATE(2026,12,1)),B387*60,0)</f>
        <v/>
      </c>
      <c r="J387" s="13">
        <f>IF(A387="",0,B387*(IF(C387=DATE(2026,11,28),38,0)+IF(C387=DATE(2026,12,1),38,0)+IF(C387=DATE(2026,12,2),26,0)))</f>
        <v/>
      </c>
      <c r="K387" s="13">
        <f>IF(C387=Options!$B$9,B387*12,0)</f>
        <v/>
      </c>
      <c r="L387" s="13">
        <f>IF(C387=Options!$B$9,B387*Options!$Z$5,0)</f>
        <v/>
      </c>
      <c r="M387" s="13" t="n">
        <v>0</v>
      </c>
      <c r="N387" s="13">
        <f>SUM(E387:M387)</f>
        <v/>
      </c>
    </row>
    <row r="388">
      <c r="A388" s="5">
        <f>IF(AND(C388&gt;=Options!$B$9,C388&lt;=Options!$B$10),"Chicago","")</f>
        <v/>
      </c>
      <c r="B388" s="5">
        <f>IF(A388="","",24)</f>
        <v/>
      </c>
      <c r="C388" s="17" t="n">
        <v>46314</v>
      </c>
      <c r="D388" s="5">
        <f>IF(A388="","",IF(C388=DATE(2026,11,29),"培训；注册午餐；早餐参数",IF(C388=DATE(2026,11,30),"培训；注册午餐",IF(C388=DATE(2026,12,1),"培训；注册午餐；机构晚餐",IF(C388=Options!$B$9,"抵达；"&amp;IF(C388=DATE(2026,11,28),"机构晚餐","无统一供餐"),IF(C388=Options!$B$10,"返程；"&amp;IF(C388=DATE(2026,12,2),"机构午餐","无统一供餐"),"差旅状态；无统一日程"))))))</f>
        <v/>
      </c>
      <c r="E388" s="13">
        <f>IF(C388=Options!$B$9,Options!$C$15,0)</f>
        <v/>
      </c>
      <c r="F388" s="13">
        <f>IF(AND(A388&lt;&gt;"",C388&lt;Options!$B$10),B388*Options!$X$5,0)</f>
        <v/>
      </c>
      <c r="G388" s="13">
        <f>F388*12%</f>
        <v/>
      </c>
      <c r="H388" s="13">
        <f>IF(A388="",0,B388*(92*IF(OR(C388=Options!$B$9,C388=Options!$B$10),75%,100%)-IF(C388=DATE(2026,11,29),26+IF(Options!$B$8="是",23,0),0)-IF(C388=DATE(2026,11,30),26,0)-IF(C388=DATE(2026,12,1),64,0)-IF(C388=DATE(2026,11,28),38,0)-IF(C388=DATE(2026,12,2),26,0)))</f>
        <v/>
      </c>
      <c r="I388" s="13">
        <f>IF(AND(C388&gt;=DATE(2026,11,29),C388&lt;=DATE(2026,12,1)),B388*60,0)</f>
        <v/>
      </c>
      <c r="J388" s="13">
        <f>IF(A388="",0,B388*(IF(C388=DATE(2026,11,28),38,0)+IF(C388=DATE(2026,12,1),38,0)+IF(C388=DATE(2026,12,2),26,0)))</f>
        <v/>
      </c>
      <c r="K388" s="13">
        <f>IF(C388=Options!$B$9,B388*12,0)</f>
        <v/>
      </c>
      <c r="L388" s="13">
        <f>IF(C388=Options!$B$9,B388*Options!$Z$5,0)</f>
        <v/>
      </c>
      <c r="M388" s="13" t="n">
        <v>0</v>
      </c>
      <c r="N388" s="13">
        <f>SUM(E388:M388)</f>
        <v/>
      </c>
    </row>
    <row r="389">
      <c r="A389" s="5">
        <f>IF(AND(C389&gt;=Options!$B$9,C389&lt;=Options!$B$10),"Chicago","")</f>
        <v/>
      </c>
      <c r="B389" s="5">
        <f>IF(A389="","",24)</f>
        <v/>
      </c>
      <c r="C389" s="17" t="n">
        <v>46315</v>
      </c>
      <c r="D389" s="5">
        <f>IF(A389="","",IF(C389=DATE(2026,11,29),"培训；注册午餐；早餐参数",IF(C389=DATE(2026,11,30),"培训；注册午餐",IF(C389=DATE(2026,12,1),"培训；注册午餐；机构晚餐",IF(C389=Options!$B$9,"抵达；"&amp;IF(C389=DATE(2026,11,28),"机构晚餐","无统一供餐"),IF(C389=Options!$B$10,"返程；"&amp;IF(C389=DATE(2026,12,2),"机构午餐","无统一供餐"),"差旅状态；无统一日程"))))))</f>
        <v/>
      </c>
      <c r="E389" s="13">
        <f>IF(C389=Options!$B$9,Options!$C$15,0)</f>
        <v/>
      </c>
      <c r="F389" s="13">
        <f>IF(AND(A389&lt;&gt;"",C389&lt;Options!$B$10),B389*Options!$X$5,0)</f>
        <v/>
      </c>
      <c r="G389" s="13">
        <f>F389*12%</f>
        <v/>
      </c>
      <c r="H389" s="13">
        <f>IF(A389="",0,B389*(92*IF(OR(C389=Options!$B$9,C389=Options!$B$10),75%,100%)-IF(C389=DATE(2026,11,29),26+IF(Options!$B$8="是",23,0),0)-IF(C389=DATE(2026,11,30),26,0)-IF(C389=DATE(2026,12,1),64,0)-IF(C389=DATE(2026,11,28),38,0)-IF(C389=DATE(2026,12,2),26,0)))</f>
        <v/>
      </c>
      <c r="I389" s="13">
        <f>IF(AND(C389&gt;=DATE(2026,11,29),C389&lt;=DATE(2026,12,1)),B389*60,0)</f>
        <v/>
      </c>
      <c r="J389" s="13">
        <f>IF(A389="",0,B389*(IF(C389=DATE(2026,11,28),38,0)+IF(C389=DATE(2026,12,1),38,0)+IF(C389=DATE(2026,12,2),26,0)))</f>
        <v/>
      </c>
      <c r="K389" s="13">
        <f>IF(C389=Options!$B$9,B389*12,0)</f>
        <v/>
      </c>
      <c r="L389" s="13">
        <f>IF(C389=Options!$B$9,B389*Options!$Z$5,0)</f>
        <v/>
      </c>
      <c r="M389" s="13" t="n">
        <v>0</v>
      </c>
      <c r="N389" s="13">
        <f>SUM(E389:M389)</f>
        <v/>
      </c>
    </row>
    <row r="390">
      <c r="A390" s="5">
        <f>IF(AND(C390&gt;=Options!$B$9,C390&lt;=Options!$B$10),"Chicago","")</f>
        <v/>
      </c>
      <c r="B390" s="5">
        <f>IF(A390="","",24)</f>
        <v/>
      </c>
      <c r="C390" s="17" t="n">
        <v>46316</v>
      </c>
      <c r="D390" s="5">
        <f>IF(A390="","",IF(C390=DATE(2026,11,29),"培训；注册午餐；早餐参数",IF(C390=DATE(2026,11,30),"培训；注册午餐",IF(C390=DATE(2026,12,1),"培训；注册午餐；机构晚餐",IF(C390=Options!$B$9,"抵达；"&amp;IF(C390=DATE(2026,11,28),"机构晚餐","无统一供餐"),IF(C390=Options!$B$10,"返程；"&amp;IF(C390=DATE(2026,12,2),"机构午餐","无统一供餐"),"差旅状态；无统一日程"))))))</f>
        <v/>
      </c>
      <c r="E390" s="13">
        <f>IF(C390=Options!$B$9,Options!$C$15,0)</f>
        <v/>
      </c>
      <c r="F390" s="13">
        <f>IF(AND(A390&lt;&gt;"",C390&lt;Options!$B$10),B390*Options!$X$5,0)</f>
        <v/>
      </c>
      <c r="G390" s="13">
        <f>F390*12%</f>
        <v/>
      </c>
      <c r="H390" s="13">
        <f>IF(A390="",0,B390*(92*IF(OR(C390=Options!$B$9,C390=Options!$B$10),75%,100%)-IF(C390=DATE(2026,11,29),26+IF(Options!$B$8="是",23,0),0)-IF(C390=DATE(2026,11,30),26,0)-IF(C390=DATE(2026,12,1),64,0)-IF(C390=DATE(2026,11,28),38,0)-IF(C390=DATE(2026,12,2),26,0)))</f>
        <v/>
      </c>
      <c r="I390" s="13">
        <f>IF(AND(C390&gt;=DATE(2026,11,29),C390&lt;=DATE(2026,12,1)),B390*60,0)</f>
        <v/>
      </c>
      <c r="J390" s="13">
        <f>IF(A390="",0,B390*(IF(C390=DATE(2026,11,28),38,0)+IF(C390=DATE(2026,12,1),38,0)+IF(C390=DATE(2026,12,2),26,0)))</f>
        <v/>
      </c>
      <c r="K390" s="13">
        <f>IF(C390=Options!$B$9,B390*12,0)</f>
        <v/>
      </c>
      <c r="L390" s="13">
        <f>IF(C390=Options!$B$9,B390*Options!$Z$5,0)</f>
        <v/>
      </c>
      <c r="M390" s="13" t="n">
        <v>0</v>
      </c>
      <c r="N390" s="13">
        <f>SUM(E390:M390)</f>
        <v/>
      </c>
    </row>
    <row r="391">
      <c r="A391" s="5">
        <f>IF(AND(C391&gt;=Options!$B$9,C391&lt;=Options!$B$10),"Chicago","")</f>
        <v/>
      </c>
      <c r="B391" s="5">
        <f>IF(A391="","",24)</f>
        <v/>
      </c>
      <c r="C391" s="17" t="n">
        <v>46317</v>
      </c>
      <c r="D391" s="5">
        <f>IF(A391="","",IF(C391=DATE(2026,11,29),"培训；注册午餐；早餐参数",IF(C391=DATE(2026,11,30),"培训；注册午餐",IF(C391=DATE(2026,12,1),"培训；注册午餐；机构晚餐",IF(C391=Options!$B$9,"抵达；"&amp;IF(C391=DATE(2026,11,28),"机构晚餐","无统一供餐"),IF(C391=Options!$B$10,"返程；"&amp;IF(C391=DATE(2026,12,2),"机构午餐","无统一供餐"),"差旅状态；无统一日程"))))))</f>
        <v/>
      </c>
      <c r="E391" s="13">
        <f>IF(C391=Options!$B$9,Options!$C$15,0)</f>
        <v/>
      </c>
      <c r="F391" s="13">
        <f>IF(AND(A391&lt;&gt;"",C391&lt;Options!$B$10),B391*Options!$X$5,0)</f>
        <v/>
      </c>
      <c r="G391" s="13">
        <f>F391*12%</f>
        <v/>
      </c>
      <c r="H391" s="13">
        <f>IF(A391="",0,B391*(92*IF(OR(C391=Options!$B$9,C391=Options!$B$10),75%,100%)-IF(C391=DATE(2026,11,29),26+IF(Options!$B$8="是",23,0),0)-IF(C391=DATE(2026,11,30),26,0)-IF(C391=DATE(2026,12,1),64,0)-IF(C391=DATE(2026,11,28),38,0)-IF(C391=DATE(2026,12,2),26,0)))</f>
        <v/>
      </c>
      <c r="I391" s="13">
        <f>IF(AND(C391&gt;=DATE(2026,11,29),C391&lt;=DATE(2026,12,1)),B391*60,0)</f>
        <v/>
      </c>
      <c r="J391" s="13">
        <f>IF(A391="",0,B391*(IF(C391=DATE(2026,11,28),38,0)+IF(C391=DATE(2026,12,1),38,0)+IF(C391=DATE(2026,12,2),26,0)))</f>
        <v/>
      </c>
      <c r="K391" s="13">
        <f>IF(C391=Options!$B$9,B391*12,0)</f>
        <v/>
      </c>
      <c r="L391" s="13">
        <f>IF(C391=Options!$B$9,B391*Options!$Z$5,0)</f>
        <v/>
      </c>
      <c r="M391" s="13" t="n">
        <v>0</v>
      </c>
      <c r="N391" s="13">
        <f>SUM(E391:M391)</f>
        <v/>
      </c>
    </row>
    <row r="392">
      <c r="A392" s="5">
        <f>IF(AND(C392&gt;=Options!$B$9,C392&lt;=Options!$B$10),"Chicago","")</f>
        <v/>
      </c>
      <c r="B392" s="5">
        <f>IF(A392="","",24)</f>
        <v/>
      </c>
      <c r="C392" s="17" t="n">
        <v>46318</v>
      </c>
      <c r="D392" s="5">
        <f>IF(A392="","",IF(C392=DATE(2026,11,29),"培训；注册午餐；早餐参数",IF(C392=DATE(2026,11,30),"培训；注册午餐",IF(C392=DATE(2026,12,1),"培训；注册午餐；机构晚餐",IF(C392=Options!$B$9,"抵达；"&amp;IF(C392=DATE(2026,11,28),"机构晚餐","无统一供餐"),IF(C392=Options!$B$10,"返程；"&amp;IF(C392=DATE(2026,12,2),"机构午餐","无统一供餐"),"差旅状态；无统一日程"))))))</f>
        <v/>
      </c>
      <c r="E392" s="13">
        <f>IF(C392=Options!$B$9,Options!$C$15,0)</f>
        <v/>
      </c>
      <c r="F392" s="13">
        <f>IF(AND(A392&lt;&gt;"",C392&lt;Options!$B$10),B392*Options!$X$5,0)</f>
        <v/>
      </c>
      <c r="G392" s="13">
        <f>F392*12%</f>
        <v/>
      </c>
      <c r="H392" s="13">
        <f>IF(A392="",0,B392*(92*IF(OR(C392=Options!$B$9,C392=Options!$B$10),75%,100%)-IF(C392=DATE(2026,11,29),26+IF(Options!$B$8="是",23,0),0)-IF(C392=DATE(2026,11,30),26,0)-IF(C392=DATE(2026,12,1),64,0)-IF(C392=DATE(2026,11,28),38,0)-IF(C392=DATE(2026,12,2),26,0)))</f>
        <v/>
      </c>
      <c r="I392" s="13">
        <f>IF(AND(C392&gt;=DATE(2026,11,29),C392&lt;=DATE(2026,12,1)),B392*60,0)</f>
        <v/>
      </c>
      <c r="J392" s="13">
        <f>IF(A392="",0,B392*(IF(C392=DATE(2026,11,28),38,0)+IF(C392=DATE(2026,12,1),38,0)+IF(C392=DATE(2026,12,2),26,0)))</f>
        <v/>
      </c>
      <c r="K392" s="13">
        <f>IF(C392=Options!$B$9,B392*12,0)</f>
        <v/>
      </c>
      <c r="L392" s="13">
        <f>IF(C392=Options!$B$9,B392*Options!$Z$5,0)</f>
        <v/>
      </c>
      <c r="M392" s="13" t="n">
        <v>0</v>
      </c>
      <c r="N392" s="13">
        <f>SUM(E392:M392)</f>
        <v/>
      </c>
    </row>
    <row r="393">
      <c r="A393" s="5">
        <f>IF(AND(C393&gt;=Options!$B$9,C393&lt;=Options!$B$10),"Chicago","")</f>
        <v/>
      </c>
      <c r="B393" s="5">
        <f>IF(A393="","",24)</f>
        <v/>
      </c>
      <c r="C393" s="17" t="n">
        <v>46319</v>
      </c>
      <c r="D393" s="5">
        <f>IF(A393="","",IF(C393=DATE(2026,11,29),"培训；注册午餐；早餐参数",IF(C393=DATE(2026,11,30),"培训；注册午餐",IF(C393=DATE(2026,12,1),"培训；注册午餐；机构晚餐",IF(C393=Options!$B$9,"抵达；"&amp;IF(C393=DATE(2026,11,28),"机构晚餐","无统一供餐"),IF(C393=Options!$B$10,"返程；"&amp;IF(C393=DATE(2026,12,2),"机构午餐","无统一供餐"),"差旅状态；无统一日程"))))))</f>
        <v/>
      </c>
      <c r="E393" s="13">
        <f>IF(C393=Options!$B$9,Options!$C$15,0)</f>
        <v/>
      </c>
      <c r="F393" s="13">
        <f>IF(AND(A393&lt;&gt;"",C393&lt;Options!$B$10),B393*Options!$X$5,0)</f>
        <v/>
      </c>
      <c r="G393" s="13">
        <f>F393*12%</f>
        <v/>
      </c>
      <c r="H393" s="13">
        <f>IF(A393="",0,B393*(92*IF(OR(C393=Options!$B$9,C393=Options!$B$10),75%,100%)-IF(C393=DATE(2026,11,29),26+IF(Options!$B$8="是",23,0),0)-IF(C393=DATE(2026,11,30),26,0)-IF(C393=DATE(2026,12,1),64,0)-IF(C393=DATE(2026,11,28),38,0)-IF(C393=DATE(2026,12,2),26,0)))</f>
        <v/>
      </c>
      <c r="I393" s="13">
        <f>IF(AND(C393&gt;=DATE(2026,11,29),C393&lt;=DATE(2026,12,1)),B393*60,0)</f>
        <v/>
      </c>
      <c r="J393" s="13">
        <f>IF(A393="",0,B393*(IF(C393=DATE(2026,11,28),38,0)+IF(C393=DATE(2026,12,1),38,0)+IF(C393=DATE(2026,12,2),26,0)))</f>
        <v/>
      </c>
      <c r="K393" s="13">
        <f>IF(C393=Options!$B$9,B393*12,0)</f>
        <v/>
      </c>
      <c r="L393" s="13">
        <f>IF(C393=Options!$B$9,B393*Options!$Z$5,0)</f>
        <v/>
      </c>
      <c r="M393" s="13" t="n">
        <v>0</v>
      </c>
      <c r="N393" s="13">
        <f>SUM(E393:M393)</f>
        <v/>
      </c>
    </row>
    <row r="394">
      <c r="A394" s="5">
        <f>IF(AND(C394&gt;=Options!$B$9,C394&lt;=Options!$B$10),"Chicago","")</f>
        <v/>
      </c>
      <c r="B394" s="5">
        <f>IF(A394="","",24)</f>
        <v/>
      </c>
      <c r="C394" s="17" t="n">
        <v>46320</v>
      </c>
      <c r="D394" s="5">
        <f>IF(A394="","",IF(C394=DATE(2026,11,29),"培训；注册午餐；早餐参数",IF(C394=DATE(2026,11,30),"培训；注册午餐",IF(C394=DATE(2026,12,1),"培训；注册午餐；机构晚餐",IF(C394=Options!$B$9,"抵达；"&amp;IF(C394=DATE(2026,11,28),"机构晚餐","无统一供餐"),IF(C394=Options!$B$10,"返程；"&amp;IF(C394=DATE(2026,12,2),"机构午餐","无统一供餐"),"差旅状态；无统一日程"))))))</f>
        <v/>
      </c>
      <c r="E394" s="13">
        <f>IF(C394=Options!$B$9,Options!$C$15,0)</f>
        <v/>
      </c>
      <c r="F394" s="13">
        <f>IF(AND(A394&lt;&gt;"",C394&lt;Options!$B$10),B394*Options!$X$5,0)</f>
        <v/>
      </c>
      <c r="G394" s="13">
        <f>F394*12%</f>
        <v/>
      </c>
      <c r="H394" s="13">
        <f>IF(A394="",0,B394*(92*IF(OR(C394=Options!$B$9,C394=Options!$B$10),75%,100%)-IF(C394=DATE(2026,11,29),26+IF(Options!$B$8="是",23,0),0)-IF(C394=DATE(2026,11,30),26,0)-IF(C394=DATE(2026,12,1),64,0)-IF(C394=DATE(2026,11,28),38,0)-IF(C394=DATE(2026,12,2),26,0)))</f>
        <v/>
      </c>
      <c r="I394" s="13">
        <f>IF(AND(C394&gt;=DATE(2026,11,29),C394&lt;=DATE(2026,12,1)),B394*60,0)</f>
        <v/>
      </c>
      <c r="J394" s="13">
        <f>IF(A394="",0,B394*(IF(C394=DATE(2026,11,28),38,0)+IF(C394=DATE(2026,12,1),38,0)+IF(C394=DATE(2026,12,2),26,0)))</f>
        <v/>
      </c>
      <c r="K394" s="13">
        <f>IF(C394=Options!$B$9,B394*12,0)</f>
        <v/>
      </c>
      <c r="L394" s="13">
        <f>IF(C394=Options!$B$9,B394*Options!$Z$5,0)</f>
        <v/>
      </c>
      <c r="M394" s="13" t="n">
        <v>0</v>
      </c>
      <c r="N394" s="13">
        <f>SUM(E394:M394)</f>
        <v/>
      </c>
    </row>
    <row r="395">
      <c r="A395" s="5">
        <f>IF(AND(C395&gt;=Options!$B$9,C395&lt;=Options!$B$10),"Chicago","")</f>
        <v/>
      </c>
      <c r="B395" s="5">
        <f>IF(A395="","",24)</f>
        <v/>
      </c>
      <c r="C395" s="17" t="n">
        <v>46321</v>
      </c>
      <c r="D395" s="5">
        <f>IF(A395="","",IF(C395=DATE(2026,11,29),"培训；注册午餐；早餐参数",IF(C395=DATE(2026,11,30),"培训；注册午餐",IF(C395=DATE(2026,12,1),"培训；注册午餐；机构晚餐",IF(C395=Options!$B$9,"抵达；"&amp;IF(C395=DATE(2026,11,28),"机构晚餐","无统一供餐"),IF(C395=Options!$B$10,"返程；"&amp;IF(C395=DATE(2026,12,2),"机构午餐","无统一供餐"),"差旅状态；无统一日程"))))))</f>
        <v/>
      </c>
      <c r="E395" s="13">
        <f>IF(C395=Options!$B$9,Options!$C$15,0)</f>
        <v/>
      </c>
      <c r="F395" s="13">
        <f>IF(AND(A395&lt;&gt;"",C395&lt;Options!$B$10),B395*Options!$X$5,0)</f>
        <v/>
      </c>
      <c r="G395" s="13">
        <f>F395*12%</f>
        <v/>
      </c>
      <c r="H395" s="13">
        <f>IF(A395="",0,B395*(92*IF(OR(C395=Options!$B$9,C395=Options!$B$10),75%,100%)-IF(C395=DATE(2026,11,29),26+IF(Options!$B$8="是",23,0),0)-IF(C395=DATE(2026,11,30),26,0)-IF(C395=DATE(2026,12,1),64,0)-IF(C395=DATE(2026,11,28),38,0)-IF(C395=DATE(2026,12,2),26,0)))</f>
        <v/>
      </c>
      <c r="I395" s="13">
        <f>IF(AND(C395&gt;=DATE(2026,11,29),C395&lt;=DATE(2026,12,1)),B395*60,0)</f>
        <v/>
      </c>
      <c r="J395" s="13">
        <f>IF(A395="",0,B395*(IF(C395=DATE(2026,11,28),38,0)+IF(C395=DATE(2026,12,1),38,0)+IF(C395=DATE(2026,12,2),26,0)))</f>
        <v/>
      </c>
      <c r="K395" s="13">
        <f>IF(C395=Options!$B$9,B395*12,0)</f>
        <v/>
      </c>
      <c r="L395" s="13">
        <f>IF(C395=Options!$B$9,B395*Options!$Z$5,0)</f>
        <v/>
      </c>
      <c r="M395" s="13" t="n">
        <v>0</v>
      </c>
      <c r="N395" s="13">
        <f>SUM(E395:M395)</f>
        <v/>
      </c>
    </row>
    <row r="396">
      <c r="A396" s="5">
        <f>IF(AND(C396&gt;=Options!$B$9,C396&lt;=Options!$B$10),"Chicago","")</f>
        <v/>
      </c>
      <c r="B396" s="5">
        <f>IF(A396="","",24)</f>
        <v/>
      </c>
      <c r="C396" s="17" t="n">
        <v>46322</v>
      </c>
      <c r="D396" s="5">
        <f>IF(A396="","",IF(C396=DATE(2026,11,29),"培训；注册午餐；早餐参数",IF(C396=DATE(2026,11,30),"培训；注册午餐",IF(C396=DATE(2026,12,1),"培训；注册午餐；机构晚餐",IF(C396=Options!$B$9,"抵达；"&amp;IF(C396=DATE(2026,11,28),"机构晚餐","无统一供餐"),IF(C396=Options!$B$10,"返程；"&amp;IF(C396=DATE(2026,12,2),"机构午餐","无统一供餐"),"差旅状态；无统一日程"))))))</f>
        <v/>
      </c>
      <c r="E396" s="13">
        <f>IF(C396=Options!$B$9,Options!$C$15,0)</f>
        <v/>
      </c>
      <c r="F396" s="13">
        <f>IF(AND(A396&lt;&gt;"",C396&lt;Options!$B$10),B396*Options!$X$5,0)</f>
        <v/>
      </c>
      <c r="G396" s="13">
        <f>F396*12%</f>
        <v/>
      </c>
      <c r="H396" s="13">
        <f>IF(A396="",0,B396*(92*IF(OR(C396=Options!$B$9,C396=Options!$B$10),75%,100%)-IF(C396=DATE(2026,11,29),26+IF(Options!$B$8="是",23,0),0)-IF(C396=DATE(2026,11,30),26,0)-IF(C396=DATE(2026,12,1),64,0)-IF(C396=DATE(2026,11,28),38,0)-IF(C396=DATE(2026,12,2),26,0)))</f>
        <v/>
      </c>
      <c r="I396" s="13">
        <f>IF(AND(C396&gt;=DATE(2026,11,29),C396&lt;=DATE(2026,12,1)),B396*60,0)</f>
        <v/>
      </c>
      <c r="J396" s="13">
        <f>IF(A396="",0,B396*(IF(C396=DATE(2026,11,28),38,0)+IF(C396=DATE(2026,12,1),38,0)+IF(C396=DATE(2026,12,2),26,0)))</f>
        <v/>
      </c>
      <c r="K396" s="13">
        <f>IF(C396=Options!$B$9,B396*12,0)</f>
        <v/>
      </c>
      <c r="L396" s="13">
        <f>IF(C396=Options!$B$9,B396*Options!$Z$5,0)</f>
        <v/>
      </c>
      <c r="M396" s="13" t="n">
        <v>0</v>
      </c>
      <c r="N396" s="13">
        <f>SUM(E396:M396)</f>
        <v/>
      </c>
    </row>
    <row r="397">
      <c r="A397" s="5">
        <f>IF(AND(C397&gt;=Options!$B$9,C397&lt;=Options!$B$10),"Chicago","")</f>
        <v/>
      </c>
      <c r="B397" s="5">
        <f>IF(A397="","",24)</f>
        <v/>
      </c>
      <c r="C397" s="17" t="n">
        <v>46323</v>
      </c>
      <c r="D397" s="5">
        <f>IF(A397="","",IF(C397=DATE(2026,11,29),"培训；注册午餐；早餐参数",IF(C397=DATE(2026,11,30),"培训；注册午餐",IF(C397=DATE(2026,12,1),"培训；注册午餐；机构晚餐",IF(C397=Options!$B$9,"抵达；"&amp;IF(C397=DATE(2026,11,28),"机构晚餐","无统一供餐"),IF(C397=Options!$B$10,"返程；"&amp;IF(C397=DATE(2026,12,2),"机构午餐","无统一供餐"),"差旅状态；无统一日程"))))))</f>
        <v/>
      </c>
      <c r="E397" s="13">
        <f>IF(C397=Options!$B$9,Options!$C$15,0)</f>
        <v/>
      </c>
      <c r="F397" s="13">
        <f>IF(AND(A397&lt;&gt;"",C397&lt;Options!$B$10),B397*Options!$X$5,0)</f>
        <v/>
      </c>
      <c r="G397" s="13">
        <f>F397*12%</f>
        <v/>
      </c>
      <c r="H397" s="13">
        <f>IF(A397="",0,B397*(92*IF(OR(C397=Options!$B$9,C397=Options!$B$10),75%,100%)-IF(C397=DATE(2026,11,29),26+IF(Options!$B$8="是",23,0),0)-IF(C397=DATE(2026,11,30),26,0)-IF(C397=DATE(2026,12,1),64,0)-IF(C397=DATE(2026,11,28),38,0)-IF(C397=DATE(2026,12,2),26,0)))</f>
        <v/>
      </c>
      <c r="I397" s="13">
        <f>IF(AND(C397&gt;=DATE(2026,11,29),C397&lt;=DATE(2026,12,1)),B397*60,0)</f>
        <v/>
      </c>
      <c r="J397" s="13">
        <f>IF(A397="",0,B397*(IF(C397=DATE(2026,11,28),38,0)+IF(C397=DATE(2026,12,1),38,0)+IF(C397=DATE(2026,12,2),26,0)))</f>
        <v/>
      </c>
      <c r="K397" s="13">
        <f>IF(C397=Options!$B$9,B397*12,0)</f>
        <v/>
      </c>
      <c r="L397" s="13">
        <f>IF(C397=Options!$B$9,B397*Options!$Z$5,0)</f>
        <v/>
      </c>
      <c r="M397" s="13" t="n">
        <v>0</v>
      </c>
      <c r="N397" s="13">
        <f>SUM(E397:M397)</f>
        <v/>
      </c>
    </row>
    <row r="398">
      <c r="A398" s="5">
        <f>IF(AND(C398&gt;=Options!$B$9,C398&lt;=Options!$B$10),"Chicago","")</f>
        <v/>
      </c>
      <c r="B398" s="5">
        <f>IF(A398="","",24)</f>
        <v/>
      </c>
      <c r="C398" s="17" t="n">
        <v>46324</v>
      </c>
      <c r="D398" s="5">
        <f>IF(A398="","",IF(C398=DATE(2026,11,29),"培训；注册午餐；早餐参数",IF(C398=DATE(2026,11,30),"培训；注册午餐",IF(C398=DATE(2026,12,1),"培训；注册午餐；机构晚餐",IF(C398=Options!$B$9,"抵达；"&amp;IF(C398=DATE(2026,11,28),"机构晚餐","无统一供餐"),IF(C398=Options!$B$10,"返程；"&amp;IF(C398=DATE(2026,12,2),"机构午餐","无统一供餐"),"差旅状态；无统一日程"))))))</f>
        <v/>
      </c>
      <c r="E398" s="13">
        <f>IF(C398=Options!$B$9,Options!$C$15,0)</f>
        <v/>
      </c>
      <c r="F398" s="13">
        <f>IF(AND(A398&lt;&gt;"",C398&lt;Options!$B$10),B398*Options!$X$5,0)</f>
        <v/>
      </c>
      <c r="G398" s="13">
        <f>F398*12%</f>
        <v/>
      </c>
      <c r="H398" s="13">
        <f>IF(A398="",0,B398*(92*IF(OR(C398=Options!$B$9,C398=Options!$B$10),75%,100%)-IF(C398=DATE(2026,11,29),26+IF(Options!$B$8="是",23,0),0)-IF(C398=DATE(2026,11,30),26,0)-IF(C398=DATE(2026,12,1),64,0)-IF(C398=DATE(2026,11,28),38,0)-IF(C398=DATE(2026,12,2),26,0)))</f>
        <v/>
      </c>
      <c r="I398" s="13">
        <f>IF(AND(C398&gt;=DATE(2026,11,29),C398&lt;=DATE(2026,12,1)),B398*60,0)</f>
        <v/>
      </c>
      <c r="J398" s="13">
        <f>IF(A398="",0,B398*(IF(C398=DATE(2026,11,28),38,0)+IF(C398=DATE(2026,12,1),38,0)+IF(C398=DATE(2026,12,2),26,0)))</f>
        <v/>
      </c>
      <c r="K398" s="13">
        <f>IF(C398=Options!$B$9,B398*12,0)</f>
        <v/>
      </c>
      <c r="L398" s="13">
        <f>IF(C398=Options!$B$9,B398*Options!$Z$5,0)</f>
        <v/>
      </c>
      <c r="M398" s="13" t="n">
        <v>0</v>
      </c>
      <c r="N398" s="13">
        <f>SUM(E398:M398)</f>
        <v/>
      </c>
    </row>
    <row r="399">
      <c r="A399" s="5">
        <f>IF(AND(C399&gt;=Options!$B$9,C399&lt;=Options!$B$10),"Chicago","")</f>
        <v/>
      </c>
      <c r="B399" s="5">
        <f>IF(A399="","",24)</f>
        <v/>
      </c>
      <c r="C399" s="17" t="n">
        <v>46325</v>
      </c>
      <c r="D399" s="5">
        <f>IF(A399="","",IF(C399=DATE(2026,11,29),"培训；注册午餐；早餐参数",IF(C399=DATE(2026,11,30),"培训；注册午餐",IF(C399=DATE(2026,12,1),"培训；注册午餐；机构晚餐",IF(C399=Options!$B$9,"抵达；"&amp;IF(C399=DATE(2026,11,28),"机构晚餐","无统一供餐"),IF(C399=Options!$B$10,"返程；"&amp;IF(C399=DATE(2026,12,2),"机构午餐","无统一供餐"),"差旅状态；无统一日程"))))))</f>
        <v/>
      </c>
      <c r="E399" s="13">
        <f>IF(C399=Options!$B$9,Options!$C$15,0)</f>
        <v/>
      </c>
      <c r="F399" s="13">
        <f>IF(AND(A399&lt;&gt;"",C399&lt;Options!$B$10),B399*Options!$X$5,0)</f>
        <v/>
      </c>
      <c r="G399" s="13">
        <f>F399*12%</f>
        <v/>
      </c>
      <c r="H399" s="13">
        <f>IF(A399="",0,B399*(92*IF(OR(C399=Options!$B$9,C399=Options!$B$10),75%,100%)-IF(C399=DATE(2026,11,29),26+IF(Options!$B$8="是",23,0),0)-IF(C399=DATE(2026,11,30),26,0)-IF(C399=DATE(2026,12,1),64,0)-IF(C399=DATE(2026,11,28),38,0)-IF(C399=DATE(2026,12,2),26,0)))</f>
        <v/>
      </c>
      <c r="I399" s="13">
        <f>IF(AND(C399&gt;=DATE(2026,11,29),C399&lt;=DATE(2026,12,1)),B399*60,0)</f>
        <v/>
      </c>
      <c r="J399" s="13">
        <f>IF(A399="",0,B399*(IF(C399=DATE(2026,11,28),38,0)+IF(C399=DATE(2026,12,1),38,0)+IF(C399=DATE(2026,12,2),26,0)))</f>
        <v/>
      </c>
      <c r="K399" s="13">
        <f>IF(C399=Options!$B$9,B399*12,0)</f>
        <v/>
      </c>
      <c r="L399" s="13">
        <f>IF(C399=Options!$B$9,B399*Options!$Z$5,0)</f>
        <v/>
      </c>
      <c r="M399" s="13" t="n">
        <v>0</v>
      </c>
      <c r="N399" s="13">
        <f>SUM(E399:M399)</f>
        <v/>
      </c>
    </row>
    <row r="400">
      <c r="A400" s="5">
        <f>IF(AND(C400&gt;=Options!$B$9,C400&lt;=Options!$B$10),"Chicago","")</f>
        <v/>
      </c>
      <c r="B400" s="5">
        <f>IF(A400="","",24)</f>
        <v/>
      </c>
      <c r="C400" s="17" t="n">
        <v>46326</v>
      </c>
      <c r="D400" s="5">
        <f>IF(A400="","",IF(C400=DATE(2026,11,29),"培训；注册午餐；早餐参数",IF(C400=DATE(2026,11,30),"培训；注册午餐",IF(C400=DATE(2026,12,1),"培训；注册午餐；机构晚餐",IF(C400=Options!$B$9,"抵达；"&amp;IF(C400=DATE(2026,11,28),"机构晚餐","无统一供餐"),IF(C400=Options!$B$10,"返程；"&amp;IF(C400=DATE(2026,12,2),"机构午餐","无统一供餐"),"差旅状态；无统一日程"))))))</f>
        <v/>
      </c>
      <c r="E400" s="13">
        <f>IF(C400=Options!$B$9,Options!$C$15,0)</f>
        <v/>
      </c>
      <c r="F400" s="13">
        <f>IF(AND(A400&lt;&gt;"",C400&lt;Options!$B$10),B400*Options!$X$5,0)</f>
        <v/>
      </c>
      <c r="G400" s="13">
        <f>F400*12%</f>
        <v/>
      </c>
      <c r="H400" s="13">
        <f>IF(A400="",0,B400*(92*IF(OR(C400=Options!$B$9,C400=Options!$B$10),75%,100%)-IF(C400=DATE(2026,11,29),26+IF(Options!$B$8="是",23,0),0)-IF(C400=DATE(2026,11,30),26,0)-IF(C400=DATE(2026,12,1),64,0)-IF(C400=DATE(2026,11,28),38,0)-IF(C400=DATE(2026,12,2),26,0)))</f>
        <v/>
      </c>
      <c r="I400" s="13">
        <f>IF(AND(C400&gt;=DATE(2026,11,29),C400&lt;=DATE(2026,12,1)),B400*60,0)</f>
        <v/>
      </c>
      <c r="J400" s="13">
        <f>IF(A400="",0,B400*(IF(C400=DATE(2026,11,28),38,0)+IF(C400=DATE(2026,12,1),38,0)+IF(C400=DATE(2026,12,2),26,0)))</f>
        <v/>
      </c>
      <c r="K400" s="13">
        <f>IF(C400=Options!$B$9,B400*12,0)</f>
        <v/>
      </c>
      <c r="L400" s="13">
        <f>IF(C400=Options!$B$9,B400*Options!$Z$5,0)</f>
        <v/>
      </c>
      <c r="M400" s="13" t="n">
        <v>0</v>
      </c>
      <c r="N400" s="13">
        <f>SUM(E400:M400)</f>
        <v/>
      </c>
    </row>
    <row r="401">
      <c r="A401" s="5">
        <f>IF(AND(C401&gt;=Options!$B$9,C401&lt;=Options!$B$10),"Chicago","")</f>
        <v/>
      </c>
      <c r="B401" s="5">
        <f>IF(A401="","",24)</f>
        <v/>
      </c>
      <c r="C401" s="17" t="n">
        <v>46327</v>
      </c>
      <c r="D401" s="5">
        <f>IF(A401="","",IF(C401=DATE(2026,11,29),"培训；注册午餐；早餐参数",IF(C401=DATE(2026,11,30),"培训；注册午餐",IF(C401=DATE(2026,12,1),"培训；注册午餐；机构晚餐",IF(C401=Options!$B$9,"抵达；"&amp;IF(C401=DATE(2026,11,28),"机构晚餐","无统一供餐"),IF(C401=Options!$B$10,"返程；"&amp;IF(C401=DATE(2026,12,2),"机构午餐","无统一供餐"),"差旅状态；无统一日程"))))))</f>
        <v/>
      </c>
      <c r="E401" s="13">
        <f>IF(C401=Options!$B$9,Options!$C$15,0)</f>
        <v/>
      </c>
      <c r="F401" s="13">
        <f>IF(AND(A401&lt;&gt;"",C401&lt;Options!$B$10),B401*Options!$X$5,0)</f>
        <v/>
      </c>
      <c r="G401" s="13">
        <f>F401*12%</f>
        <v/>
      </c>
      <c r="H401" s="13">
        <f>IF(A401="",0,B401*(92*IF(OR(C401=Options!$B$9,C401=Options!$B$10),75%,100%)-IF(C401=DATE(2026,11,29),26+IF(Options!$B$8="是",23,0),0)-IF(C401=DATE(2026,11,30),26,0)-IF(C401=DATE(2026,12,1),64,0)-IF(C401=DATE(2026,11,28),38,0)-IF(C401=DATE(2026,12,2),26,0)))</f>
        <v/>
      </c>
      <c r="I401" s="13">
        <f>IF(AND(C401&gt;=DATE(2026,11,29),C401&lt;=DATE(2026,12,1)),B401*60,0)</f>
        <v/>
      </c>
      <c r="J401" s="13">
        <f>IF(A401="",0,B401*(IF(C401=DATE(2026,11,28),38,0)+IF(C401=DATE(2026,12,1),38,0)+IF(C401=DATE(2026,12,2),26,0)))</f>
        <v/>
      </c>
      <c r="K401" s="13">
        <f>IF(C401=Options!$B$9,B401*12,0)</f>
        <v/>
      </c>
      <c r="L401" s="13">
        <f>IF(C401=Options!$B$9,B401*Options!$Z$5,0)</f>
        <v/>
      </c>
      <c r="M401" s="13" t="n">
        <v>0</v>
      </c>
      <c r="N401" s="13">
        <f>SUM(E401:M401)</f>
        <v/>
      </c>
    </row>
    <row r="402">
      <c r="A402" s="5">
        <f>IF(AND(C402&gt;=Options!$B$9,C402&lt;=Options!$B$10),"Chicago","")</f>
        <v/>
      </c>
      <c r="B402" s="5">
        <f>IF(A402="","",24)</f>
        <v/>
      </c>
      <c r="C402" s="17" t="n">
        <v>46328</v>
      </c>
      <c r="D402" s="5">
        <f>IF(A402="","",IF(C402=DATE(2026,11,29),"培训；注册午餐；早餐参数",IF(C402=DATE(2026,11,30),"培训；注册午餐",IF(C402=DATE(2026,12,1),"培训；注册午餐；机构晚餐",IF(C402=Options!$B$9,"抵达；"&amp;IF(C402=DATE(2026,11,28),"机构晚餐","无统一供餐"),IF(C402=Options!$B$10,"返程；"&amp;IF(C402=DATE(2026,12,2),"机构午餐","无统一供餐"),"差旅状态；无统一日程"))))))</f>
        <v/>
      </c>
      <c r="E402" s="13">
        <f>IF(C402=Options!$B$9,Options!$C$15,0)</f>
        <v/>
      </c>
      <c r="F402" s="13">
        <f>IF(AND(A402&lt;&gt;"",C402&lt;Options!$B$10),B402*Options!$X$5,0)</f>
        <v/>
      </c>
      <c r="G402" s="13">
        <f>F402*12%</f>
        <v/>
      </c>
      <c r="H402" s="13">
        <f>IF(A402="",0,B402*(92*IF(OR(C402=Options!$B$9,C402=Options!$B$10),75%,100%)-IF(C402=DATE(2026,11,29),26+IF(Options!$B$8="是",23,0),0)-IF(C402=DATE(2026,11,30),26,0)-IF(C402=DATE(2026,12,1),64,0)-IF(C402=DATE(2026,11,28),38,0)-IF(C402=DATE(2026,12,2),26,0)))</f>
        <v/>
      </c>
      <c r="I402" s="13">
        <f>IF(AND(C402&gt;=DATE(2026,11,29),C402&lt;=DATE(2026,12,1)),B402*60,0)</f>
        <v/>
      </c>
      <c r="J402" s="13">
        <f>IF(A402="",0,B402*(IF(C402=DATE(2026,11,28),38,0)+IF(C402=DATE(2026,12,1),38,0)+IF(C402=DATE(2026,12,2),26,0)))</f>
        <v/>
      </c>
      <c r="K402" s="13">
        <f>IF(C402=Options!$B$9,B402*12,0)</f>
        <v/>
      </c>
      <c r="L402" s="13">
        <f>IF(C402=Options!$B$9,B402*Options!$Z$5,0)</f>
        <v/>
      </c>
      <c r="M402" s="13" t="n">
        <v>0</v>
      </c>
      <c r="N402" s="13">
        <f>SUM(E402:M402)</f>
        <v/>
      </c>
    </row>
    <row r="403">
      <c r="A403" s="5">
        <f>IF(AND(C403&gt;=Options!$B$9,C403&lt;=Options!$B$10),"Chicago","")</f>
        <v/>
      </c>
      <c r="B403" s="5">
        <f>IF(A403="","",24)</f>
        <v/>
      </c>
      <c r="C403" s="17" t="n">
        <v>46329</v>
      </c>
      <c r="D403" s="5">
        <f>IF(A403="","",IF(C403=DATE(2026,11,29),"培训；注册午餐；早餐参数",IF(C403=DATE(2026,11,30),"培训；注册午餐",IF(C403=DATE(2026,12,1),"培训；注册午餐；机构晚餐",IF(C403=Options!$B$9,"抵达；"&amp;IF(C403=DATE(2026,11,28),"机构晚餐","无统一供餐"),IF(C403=Options!$B$10,"返程；"&amp;IF(C403=DATE(2026,12,2),"机构午餐","无统一供餐"),"差旅状态；无统一日程"))))))</f>
        <v/>
      </c>
      <c r="E403" s="13">
        <f>IF(C403=Options!$B$9,Options!$C$15,0)</f>
        <v/>
      </c>
      <c r="F403" s="13">
        <f>IF(AND(A403&lt;&gt;"",C403&lt;Options!$B$10),B403*Options!$X$5,0)</f>
        <v/>
      </c>
      <c r="G403" s="13">
        <f>F403*12%</f>
        <v/>
      </c>
      <c r="H403" s="13">
        <f>IF(A403="",0,B403*(92*IF(OR(C403=Options!$B$9,C403=Options!$B$10),75%,100%)-IF(C403=DATE(2026,11,29),26+IF(Options!$B$8="是",23,0),0)-IF(C403=DATE(2026,11,30),26,0)-IF(C403=DATE(2026,12,1),64,0)-IF(C403=DATE(2026,11,28),38,0)-IF(C403=DATE(2026,12,2),26,0)))</f>
        <v/>
      </c>
      <c r="I403" s="13">
        <f>IF(AND(C403&gt;=DATE(2026,11,29),C403&lt;=DATE(2026,12,1)),B403*60,0)</f>
        <v/>
      </c>
      <c r="J403" s="13">
        <f>IF(A403="",0,B403*(IF(C403=DATE(2026,11,28),38,0)+IF(C403=DATE(2026,12,1),38,0)+IF(C403=DATE(2026,12,2),26,0)))</f>
        <v/>
      </c>
      <c r="K403" s="13">
        <f>IF(C403=Options!$B$9,B403*12,0)</f>
        <v/>
      </c>
      <c r="L403" s="13">
        <f>IF(C403=Options!$B$9,B403*Options!$Z$5,0)</f>
        <v/>
      </c>
      <c r="M403" s="13" t="n">
        <v>0</v>
      </c>
      <c r="N403" s="13">
        <f>SUM(E403:M403)</f>
        <v/>
      </c>
    </row>
    <row r="404">
      <c r="A404" s="5">
        <f>IF(AND(C404&gt;=Options!$B$9,C404&lt;=Options!$B$10),"Chicago","")</f>
        <v/>
      </c>
      <c r="B404" s="5">
        <f>IF(A404="","",24)</f>
        <v/>
      </c>
      <c r="C404" s="17" t="n">
        <v>46330</v>
      </c>
      <c r="D404" s="5">
        <f>IF(A404="","",IF(C404=DATE(2026,11,29),"培训；注册午餐；早餐参数",IF(C404=DATE(2026,11,30),"培训；注册午餐",IF(C404=DATE(2026,12,1),"培训；注册午餐；机构晚餐",IF(C404=Options!$B$9,"抵达；"&amp;IF(C404=DATE(2026,11,28),"机构晚餐","无统一供餐"),IF(C404=Options!$B$10,"返程；"&amp;IF(C404=DATE(2026,12,2),"机构午餐","无统一供餐"),"差旅状态；无统一日程"))))))</f>
        <v/>
      </c>
      <c r="E404" s="13">
        <f>IF(C404=Options!$B$9,Options!$C$15,0)</f>
        <v/>
      </c>
      <c r="F404" s="13">
        <f>IF(AND(A404&lt;&gt;"",C404&lt;Options!$B$10),B404*Options!$X$5,0)</f>
        <v/>
      </c>
      <c r="G404" s="13">
        <f>F404*12%</f>
        <v/>
      </c>
      <c r="H404" s="13">
        <f>IF(A404="",0,B404*(92*IF(OR(C404=Options!$B$9,C404=Options!$B$10),75%,100%)-IF(C404=DATE(2026,11,29),26+IF(Options!$B$8="是",23,0),0)-IF(C404=DATE(2026,11,30),26,0)-IF(C404=DATE(2026,12,1),64,0)-IF(C404=DATE(2026,11,28),38,0)-IF(C404=DATE(2026,12,2),26,0)))</f>
        <v/>
      </c>
      <c r="I404" s="13">
        <f>IF(AND(C404&gt;=DATE(2026,11,29),C404&lt;=DATE(2026,12,1)),B404*60,0)</f>
        <v/>
      </c>
      <c r="J404" s="13">
        <f>IF(A404="",0,B404*(IF(C404=DATE(2026,11,28),38,0)+IF(C404=DATE(2026,12,1),38,0)+IF(C404=DATE(2026,12,2),26,0)))</f>
        <v/>
      </c>
      <c r="K404" s="13">
        <f>IF(C404=Options!$B$9,B404*12,0)</f>
        <v/>
      </c>
      <c r="L404" s="13">
        <f>IF(C404=Options!$B$9,B404*Options!$Z$5,0)</f>
        <v/>
      </c>
      <c r="M404" s="13" t="n">
        <v>0</v>
      </c>
      <c r="N404" s="13">
        <f>SUM(E404:M404)</f>
        <v/>
      </c>
    </row>
    <row r="405">
      <c r="A405" s="5">
        <f>IF(AND(C405&gt;=Options!$B$9,C405&lt;=Options!$B$10),"Chicago","")</f>
        <v/>
      </c>
      <c r="B405" s="5">
        <f>IF(A405="","",24)</f>
        <v/>
      </c>
      <c r="C405" s="17" t="n">
        <v>46331</v>
      </c>
      <c r="D405" s="5">
        <f>IF(A405="","",IF(C405=DATE(2026,11,29),"培训；注册午餐；早餐参数",IF(C405=DATE(2026,11,30),"培训；注册午餐",IF(C405=DATE(2026,12,1),"培训；注册午餐；机构晚餐",IF(C405=Options!$B$9,"抵达；"&amp;IF(C405=DATE(2026,11,28),"机构晚餐","无统一供餐"),IF(C405=Options!$B$10,"返程；"&amp;IF(C405=DATE(2026,12,2),"机构午餐","无统一供餐"),"差旅状态；无统一日程"))))))</f>
        <v/>
      </c>
      <c r="E405" s="13">
        <f>IF(C405=Options!$B$9,Options!$C$15,0)</f>
        <v/>
      </c>
      <c r="F405" s="13">
        <f>IF(AND(A405&lt;&gt;"",C405&lt;Options!$B$10),B405*Options!$X$5,0)</f>
        <v/>
      </c>
      <c r="G405" s="13">
        <f>F405*12%</f>
        <v/>
      </c>
      <c r="H405" s="13">
        <f>IF(A405="",0,B405*(92*IF(OR(C405=Options!$B$9,C405=Options!$B$10),75%,100%)-IF(C405=DATE(2026,11,29),26+IF(Options!$B$8="是",23,0),0)-IF(C405=DATE(2026,11,30),26,0)-IF(C405=DATE(2026,12,1),64,0)-IF(C405=DATE(2026,11,28),38,0)-IF(C405=DATE(2026,12,2),26,0)))</f>
        <v/>
      </c>
      <c r="I405" s="13">
        <f>IF(AND(C405&gt;=DATE(2026,11,29),C405&lt;=DATE(2026,12,1)),B405*60,0)</f>
        <v/>
      </c>
      <c r="J405" s="13">
        <f>IF(A405="",0,B405*(IF(C405=DATE(2026,11,28),38,0)+IF(C405=DATE(2026,12,1),38,0)+IF(C405=DATE(2026,12,2),26,0)))</f>
        <v/>
      </c>
      <c r="K405" s="13">
        <f>IF(C405=Options!$B$9,B405*12,0)</f>
        <v/>
      </c>
      <c r="L405" s="13">
        <f>IF(C405=Options!$B$9,B405*Options!$Z$5,0)</f>
        <v/>
      </c>
      <c r="M405" s="13" t="n">
        <v>0</v>
      </c>
      <c r="N405" s="13">
        <f>SUM(E405:M405)</f>
        <v/>
      </c>
    </row>
    <row r="406">
      <c r="A406" s="5">
        <f>IF(AND(C406&gt;=Options!$B$9,C406&lt;=Options!$B$10),"Chicago","")</f>
        <v/>
      </c>
      <c r="B406" s="5">
        <f>IF(A406="","",24)</f>
        <v/>
      </c>
      <c r="C406" s="17" t="n">
        <v>46332</v>
      </c>
      <c r="D406" s="5">
        <f>IF(A406="","",IF(C406=DATE(2026,11,29),"培训；注册午餐；早餐参数",IF(C406=DATE(2026,11,30),"培训；注册午餐",IF(C406=DATE(2026,12,1),"培训；注册午餐；机构晚餐",IF(C406=Options!$B$9,"抵达；"&amp;IF(C406=DATE(2026,11,28),"机构晚餐","无统一供餐"),IF(C406=Options!$B$10,"返程；"&amp;IF(C406=DATE(2026,12,2),"机构午餐","无统一供餐"),"差旅状态；无统一日程"))))))</f>
        <v/>
      </c>
      <c r="E406" s="13">
        <f>IF(C406=Options!$B$9,Options!$C$15,0)</f>
        <v/>
      </c>
      <c r="F406" s="13">
        <f>IF(AND(A406&lt;&gt;"",C406&lt;Options!$B$10),B406*Options!$X$5,0)</f>
        <v/>
      </c>
      <c r="G406" s="13">
        <f>F406*12%</f>
        <v/>
      </c>
      <c r="H406" s="13">
        <f>IF(A406="",0,B406*(92*IF(OR(C406=Options!$B$9,C406=Options!$B$10),75%,100%)-IF(C406=DATE(2026,11,29),26+IF(Options!$B$8="是",23,0),0)-IF(C406=DATE(2026,11,30),26,0)-IF(C406=DATE(2026,12,1),64,0)-IF(C406=DATE(2026,11,28),38,0)-IF(C406=DATE(2026,12,2),26,0)))</f>
        <v/>
      </c>
      <c r="I406" s="13">
        <f>IF(AND(C406&gt;=DATE(2026,11,29),C406&lt;=DATE(2026,12,1)),B406*60,0)</f>
        <v/>
      </c>
      <c r="J406" s="13">
        <f>IF(A406="",0,B406*(IF(C406=DATE(2026,11,28),38,0)+IF(C406=DATE(2026,12,1),38,0)+IF(C406=DATE(2026,12,2),26,0)))</f>
        <v/>
      </c>
      <c r="K406" s="13">
        <f>IF(C406=Options!$B$9,B406*12,0)</f>
        <v/>
      </c>
      <c r="L406" s="13">
        <f>IF(C406=Options!$B$9,B406*Options!$Z$5,0)</f>
        <v/>
      </c>
      <c r="M406" s="13" t="n">
        <v>0</v>
      </c>
      <c r="N406" s="13">
        <f>SUM(E406:M406)</f>
        <v/>
      </c>
    </row>
    <row r="407">
      <c r="A407" s="5">
        <f>IF(AND(C407&gt;=Options!$B$9,C407&lt;=Options!$B$10),"Chicago","")</f>
        <v/>
      </c>
      <c r="B407" s="5">
        <f>IF(A407="","",24)</f>
        <v/>
      </c>
      <c r="C407" s="17" t="n">
        <v>46333</v>
      </c>
      <c r="D407" s="5">
        <f>IF(A407="","",IF(C407=DATE(2026,11,29),"培训；注册午餐；早餐参数",IF(C407=DATE(2026,11,30),"培训；注册午餐",IF(C407=DATE(2026,12,1),"培训；注册午餐；机构晚餐",IF(C407=Options!$B$9,"抵达；"&amp;IF(C407=DATE(2026,11,28),"机构晚餐","无统一供餐"),IF(C407=Options!$B$10,"返程；"&amp;IF(C407=DATE(2026,12,2),"机构午餐","无统一供餐"),"差旅状态；无统一日程"))))))</f>
        <v/>
      </c>
      <c r="E407" s="13">
        <f>IF(C407=Options!$B$9,Options!$C$15,0)</f>
        <v/>
      </c>
      <c r="F407" s="13">
        <f>IF(AND(A407&lt;&gt;"",C407&lt;Options!$B$10),B407*Options!$X$5,0)</f>
        <v/>
      </c>
      <c r="G407" s="13">
        <f>F407*12%</f>
        <v/>
      </c>
      <c r="H407" s="13">
        <f>IF(A407="",0,B407*(92*IF(OR(C407=Options!$B$9,C407=Options!$B$10),75%,100%)-IF(C407=DATE(2026,11,29),26+IF(Options!$B$8="是",23,0),0)-IF(C407=DATE(2026,11,30),26,0)-IF(C407=DATE(2026,12,1),64,0)-IF(C407=DATE(2026,11,28),38,0)-IF(C407=DATE(2026,12,2),26,0)))</f>
        <v/>
      </c>
      <c r="I407" s="13">
        <f>IF(AND(C407&gt;=DATE(2026,11,29),C407&lt;=DATE(2026,12,1)),B407*60,0)</f>
        <v/>
      </c>
      <c r="J407" s="13">
        <f>IF(A407="",0,B407*(IF(C407=DATE(2026,11,28),38,0)+IF(C407=DATE(2026,12,1),38,0)+IF(C407=DATE(2026,12,2),26,0)))</f>
        <v/>
      </c>
      <c r="K407" s="13">
        <f>IF(C407=Options!$B$9,B407*12,0)</f>
        <v/>
      </c>
      <c r="L407" s="13">
        <f>IF(C407=Options!$B$9,B407*Options!$Z$5,0)</f>
        <v/>
      </c>
      <c r="M407" s="13" t="n">
        <v>0</v>
      </c>
      <c r="N407" s="13">
        <f>SUM(E407:M407)</f>
        <v/>
      </c>
    </row>
    <row r="408">
      <c r="A408" s="5">
        <f>IF(AND(C408&gt;=Options!$B$9,C408&lt;=Options!$B$10),"Chicago","")</f>
        <v/>
      </c>
      <c r="B408" s="5">
        <f>IF(A408="","",24)</f>
        <v/>
      </c>
      <c r="C408" s="17" t="n">
        <v>46334</v>
      </c>
      <c r="D408" s="5">
        <f>IF(A408="","",IF(C408=DATE(2026,11,29),"培训；注册午餐；早餐参数",IF(C408=DATE(2026,11,30),"培训；注册午餐",IF(C408=DATE(2026,12,1),"培训；注册午餐；机构晚餐",IF(C408=Options!$B$9,"抵达；"&amp;IF(C408=DATE(2026,11,28),"机构晚餐","无统一供餐"),IF(C408=Options!$B$10,"返程；"&amp;IF(C408=DATE(2026,12,2),"机构午餐","无统一供餐"),"差旅状态；无统一日程"))))))</f>
        <v/>
      </c>
      <c r="E408" s="13">
        <f>IF(C408=Options!$B$9,Options!$C$15,0)</f>
        <v/>
      </c>
      <c r="F408" s="13">
        <f>IF(AND(A408&lt;&gt;"",C408&lt;Options!$B$10),B408*Options!$X$5,0)</f>
        <v/>
      </c>
      <c r="G408" s="13">
        <f>F408*12%</f>
        <v/>
      </c>
      <c r="H408" s="13">
        <f>IF(A408="",0,B408*(92*IF(OR(C408=Options!$B$9,C408=Options!$B$10),75%,100%)-IF(C408=DATE(2026,11,29),26+IF(Options!$B$8="是",23,0),0)-IF(C408=DATE(2026,11,30),26,0)-IF(C408=DATE(2026,12,1),64,0)-IF(C408=DATE(2026,11,28),38,0)-IF(C408=DATE(2026,12,2),26,0)))</f>
        <v/>
      </c>
      <c r="I408" s="13">
        <f>IF(AND(C408&gt;=DATE(2026,11,29),C408&lt;=DATE(2026,12,1)),B408*60,0)</f>
        <v/>
      </c>
      <c r="J408" s="13">
        <f>IF(A408="",0,B408*(IF(C408=DATE(2026,11,28),38,0)+IF(C408=DATE(2026,12,1),38,0)+IF(C408=DATE(2026,12,2),26,0)))</f>
        <v/>
      </c>
      <c r="K408" s="13">
        <f>IF(C408=Options!$B$9,B408*12,0)</f>
        <v/>
      </c>
      <c r="L408" s="13">
        <f>IF(C408=Options!$B$9,B408*Options!$Z$5,0)</f>
        <v/>
      </c>
      <c r="M408" s="13" t="n">
        <v>0</v>
      </c>
      <c r="N408" s="13">
        <f>SUM(E408:M408)</f>
        <v/>
      </c>
    </row>
    <row r="409">
      <c r="A409" s="5">
        <f>IF(AND(C409&gt;=Options!$B$9,C409&lt;=Options!$B$10),"Chicago","")</f>
        <v/>
      </c>
      <c r="B409" s="5">
        <f>IF(A409="","",24)</f>
        <v/>
      </c>
      <c r="C409" s="17" t="n">
        <v>46335</v>
      </c>
      <c r="D409" s="5">
        <f>IF(A409="","",IF(C409=DATE(2026,11,29),"培训；注册午餐；早餐参数",IF(C409=DATE(2026,11,30),"培训；注册午餐",IF(C409=DATE(2026,12,1),"培训；注册午餐；机构晚餐",IF(C409=Options!$B$9,"抵达；"&amp;IF(C409=DATE(2026,11,28),"机构晚餐","无统一供餐"),IF(C409=Options!$B$10,"返程；"&amp;IF(C409=DATE(2026,12,2),"机构午餐","无统一供餐"),"差旅状态；无统一日程"))))))</f>
        <v/>
      </c>
      <c r="E409" s="13">
        <f>IF(C409=Options!$B$9,Options!$C$15,0)</f>
        <v/>
      </c>
      <c r="F409" s="13">
        <f>IF(AND(A409&lt;&gt;"",C409&lt;Options!$B$10),B409*Options!$X$5,0)</f>
        <v/>
      </c>
      <c r="G409" s="13">
        <f>F409*12%</f>
        <v/>
      </c>
      <c r="H409" s="13">
        <f>IF(A409="",0,B409*(92*IF(OR(C409=Options!$B$9,C409=Options!$B$10),75%,100%)-IF(C409=DATE(2026,11,29),26+IF(Options!$B$8="是",23,0),0)-IF(C409=DATE(2026,11,30),26,0)-IF(C409=DATE(2026,12,1),64,0)-IF(C409=DATE(2026,11,28),38,0)-IF(C409=DATE(2026,12,2),26,0)))</f>
        <v/>
      </c>
      <c r="I409" s="13">
        <f>IF(AND(C409&gt;=DATE(2026,11,29),C409&lt;=DATE(2026,12,1)),B409*60,0)</f>
        <v/>
      </c>
      <c r="J409" s="13">
        <f>IF(A409="",0,B409*(IF(C409=DATE(2026,11,28),38,0)+IF(C409=DATE(2026,12,1),38,0)+IF(C409=DATE(2026,12,2),26,0)))</f>
        <v/>
      </c>
      <c r="K409" s="13">
        <f>IF(C409=Options!$B$9,B409*12,0)</f>
        <v/>
      </c>
      <c r="L409" s="13">
        <f>IF(C409=Options!$B$9,B409*Options!$Z$5,0)</f>
        <v/>
      </c>
      <c r="M409" s="13" t="n">
        <v>0</v>
      </c>
      <c r="N409" s="13">
        <f>SUM(E409:M409)</f>
        <v/>
      </c>
    </row>
    <row r="410">
      <c r="A410" s="5">
        <f>IF(AND(C410&gt;=Options!$B$9,C410&lt;=Options!$B$10),"Chicago","")</f>
        <v/>
      </c>
      <c r="B410" s="5">
        <f>IF(A410="","",24)</f>
        <v/>
      </c>
      <c r="C410" s="17" t="n">
        <v>46336</v>
      </c>
      <c r="D410" s="5">
        <f>IF(A410="","",IF(C410=DATE(2026,11,29),"培训；注册午餐；早餐参数",IF(C410=DATE(2026,11,30),"培训；注册午餐",IF(C410=DATE(2026,12,1),"培训；注册午餐；机构晚餐",IF(C410=Options!$B$9,"抵达；"&amp;IF(C410=DATE(2026,11,28),"机构晚餐","无统一供餐"),IF(C410=Options!$B$10,"返程；"&amp;IF(C410=DATE(2026,12,2),"机构午餐","无统一供餐"),"差旅状态；无统一日程"))))))</f>
        <v/>
      </c>
      <c r="E410" s="13">
        <f>IF(C410=Options!$B$9,Options!$C$15,0)</f>
        <v/>
      </c>
      <c r="F410" s="13">
        <f>IF(AND(A410&lt;&gt;"",C410&lt;Options!$B$10),B410*Options!$X$5,0)</f>
        <v/>
      </c>
      <c r="G410" s="13">
        <f>F410*12%</f>
        <v/>
      </c>
      <c r="H410" s="13">
        <f>IF(A410="",0,B410*(92*IF(OR(C410=Options!$B$9,C410=Options!$B$10),75%,100%)-IF(C410=DATE(2026,11,29),26+IF(Options!$B$8="是",23,0),0)-IF(C410=DATE(2026,11,30),26,0)-IF(C410=DATE(2026,12,1),64,0)-IF(C410=DATE(2026,11,28),38,0)-IF(C410=DATE(2026,12,2),26,0)))</f>
        <v/>
      </c>
      <c r="I410" s="13">
        <f>IF(AND(C410&gt;=DATE(2026,11,29),C410&lt;=DATE(2026,12,1)),B410*60,0)</f>
        <v/>
      </c>
      <c r="J410" s="13">
        <f>IF(A410="",0,B410*(IF(C410=DATE(2026,11,28),38,0)+IF(C410=DATE(2026,12,1),38,0)+IF(C410=DATE(2026,12,2),26,0)))</f>
        <v/>
      </c>
      <c r="K410" s="13">
        <f>IF(C410=Options!$B$9,B410*12,0)</f>
        <v/>
      </c>
      <c r="L410" s="13">
        <f>IF(C410=Options!$B$9,B410*Options!$Z$5,0)</f>
        <v/>
      </c>
      <c r="M410" s="13" t="n">
        <v>0</v>
      </c>
      <c r="N410" s="13">
        <f>SUM(E410:M410)</f>
        <v/>
      </c>
    </row>
    <row r="411">
      <c r="A411" s="5">
        <f>IF(AND(C411&gt;=Options!$B$9,C411&lt;=Options!$B$10),"Chicago","")</f>
        <v/>
      </c>
      <c r="B411" s="5">
        <f>IF(A411="","",24)</f>
        <v/>
      </c>
      <c r="C411" s="17" t="n">
        <v>46337</v>
      </c>
      <c r="D411" s="5">
        <f>IF(A411="","",IF(C411=DATE(2026,11,29),"培训；注册午餐；早餐参数",IF(C411=DATE(2026,11,30),"培训；注册午餐",IF(C411=DATE(2026,12,1),"培训；注册午餐；机构晚餐",IF(C411=Options!$B$9,"抵达；"&amp;IF(C411=DATE(2026,11,28),"机构晚餐","无统一供餐"),IF(C411=Options!$B$10,"返程；"&amp;IF(C411=DATE(2026,12,2),"机构午餐","无统一供餐"),"差旅状态；无统一日程"))))))</f>
        <v/>
      </c>
      <c r="E411" s="13">
        <f>IF(C411=Options!$B$9,Options!$C$15,0)</f>
        <v/>
      </c>
      <c r="F411" s="13">
        <f>IF(AND(A411&lt;&gt;"",C411&lt;Options!$B$10),B411*Options!$X$5,0)</f>
        <v/>
      </c>
      <c r="G411" s="13">
        <f>F411*12%</f>
        <v/>
      </c>
      <c r="H411" s="13">
        <f>IF(A411="",0,B411*(92*IF(OR(C411=Options!$B$9,C411=Options!$B$10),75%,100%)-IF(C411=DATE(2026,11,29),26+IF(Options!$B$8="是",23,0),0)-IF(C411=DATE(2026,11,30),26,0)-IF(C411=DATE(2026,12,1),64,0)-IF(C411=DATE(2026,11,28),38,0)-IF(C411=DATE(2026,12,2),26,0)))</f>
        <v/>
      </c>
      <c r="I411" s="13">
        <f>IF(AND(C411&gt;=DATE(2026,11,29),C411&lt;=DATE(2026,12,1)),B411*60,0)</f>
        <v/>
      </c>
      <c r="J411" s="13">
        <f>IF(A411="",0,B411*(IF(C411=DATE(2026,11,28),38,0)+IF(C411=DATE(2026,12,1),38,0)+IF(C411=DATE(2026,12,2),26,0)))</f>
        <v/>
      </c>
      <c r="K411" s="13">
        <f>IF(C411=Options!$B$9,B411*12,0)</f>
        <v/>
      </c>
      <c r="L411" s="13">
        <f>IF(C411=Options!$B$9,B411*Options!$Z$5,0)</f>
        <v/>
      </c>
      <c r="M411" s="13" t="n">
        <v>0</v>
      </c>
      <c r="N411" s="13">
        <f>SUM(E411:M411)</f>
        <v/>
      </c>
    </row>
    <row r="412">
      <c r="A412" s="5">
        <f>IF(AND(C412&gt;=Options!$B$9,C412&lt;=Options!$B$10),"Chicago","")</f>
        <v/>
      </c>
      <c r="B412" s="5">
        <f>IF(A412="","",24)</f>
        <v/>
      </c>
      <c r="C412" s="17" t="n">
        <v>46338</v>
      </c>
      <c r="D412" s="5">
        <f>IF(A412="","",IF(C412=DATE(2026,11,29),"培训；注册午餐；早餐参数",IF(C412=DATE(2026,11,30),"培训；注册午餐",IF(C412=DATE(2026,12,1),"培训；注册午餐；机构晚餐",IF(C412=Options!$B$9,"抵达；"&amp;IF(C412=DATE(2026,11,28),"机构晚餐","无统一供餐"),IF(C412=Options!$B$10,"返程；"&amp;IF(C412=DATE(2026,12,2),"机构午餐","无统一供餐"),"差旅状态；无统一日程"))))))</f>
        <v/>
      </c>
      <c r="E412" s="13">
        <f>IF(C412=Options!$B$9,Options!$C$15,0)</f>
        <v/>
      </c>
      <c r="F412" s="13">
        <f>IF(AND(A412&lt;&gt;"",C412&lt;Options!$B$10),B412*Options!$X$5,0)</f>
        <v/>
      </c>
      <c r="G412" s="13">
        <f>F412*12%</f>
        <v/>
      </c>
      <c r="H412" s="13">
        <f>IF(A412="",0,B412*(92*IF(OR(C412=Options!$B$9,C412=Options!$B$10),75%,100%)-IF(C412=DATE(2026,11,29),26+IF(Options!$B$8="是",23,0),0)-IF(C412=DATE(2026,11,30),26,0)-IF(C412=DATE(2026,12,1),64,0)-IF(C412=DATE(2026,11,28),38,0)-IF(C412=DATE(2026,12,2),26,0)))</f>
        <v/>
      </c>
      <c r="I412" s="13">
        <f>IF(AND(C412&gt;=DATE(2026,11,29),C412&lt;=DATE(2026,12,1)),B412*60,0)</f>
        <v/>
      </c>
      <c r="J412" s="13">
        <f>IF(A412="",0,B412*(IF(C412=DATE(2026,11,28),38,0)+IF(C412=DATE(2026,12,1),38,0)+IF(C412=DATE(2026,12,2),26,0)))</f>
        <v/>
      </c>
      <c r="K412" s="13">
        <f>IF(C412=Options!$B$9,B412*12,0)</f>
        <v/>
      </c>
      <c r="L412" s="13">
        <f>IF(C412=Options!$B$9,B412*Options!$Z$5,0)</f>
        <v/>
      </c>
      <c r="M412" s="13" t="n">
        <v>0</v>
      </c>
      <c r="N412" s="13">
        <f>SUM(E412:M412)</f>
        <v/>
      </c>
    </row>
    <row r="413">
      <c r="A413" s="5">
        <f>IF(AND(C413&gt;=Options!$B$9,C413&lt;=Options!$B$10),"Chicago","")</f>
        <v/>
      </c>
      <c r="B413" s="5">
        <f>IF(A413="","",24)</f>
        <v/>
      </c>
      <c r="C413" s="17" t="n">
        <v>46339</v>
      </c>
      <c r="D413" s="5">
        <f>IF(A413="","",IF(C413=DATE(2026,11,29),"培训；注册午餐；早餐参数",IF(C413=DATE(2026,11,30),"培训；注册午餐",IF(C413=DATE(2026,12,1),"培训；注册午餐；机构晚餐",IF(C413=Options!$B$9,"抵达；"&amp;IF(C413=DATE(2026,11,28),"机构晚餐","无统一供餐"),IF(C413=Options!$B$10,"返程；"&amp;IF(C413=DATE(2026,12,2),"机构午餐","无统一供餐"),"差旅状态；无统一日程"))))))</f>
        <v/>
      </c>
      <c r="E413" s="13">
        <f>IF(C413=Options!$B$9,Options!$C$15,0)</f>
        <v/>
      </c>
      <c r="F413" s="13">
        <f>IF(AND(A413&lt;&gt;"",C413&lt;Options!$B$10),B413*Options!$X$5,0)</f>
        <v/>
      </c>
      <c r="G413" s="13">
        <f>F413*12%</f>
        <v/>
      </c>
      <c r="H413" s="13">
        <f>IF(A413="",0,B413*(92*IF(OR(C413=Options!$B$9,C413=Options!$B$10),75%,100%)-IF(C413=DATE(2026,11,29),26+IF(Options!$B$8="是",23,0),0)-IF(C413=DATE(2026,11,30),26,0)-IF(C413=DATE(2026,12,1),64,0)-IF(C413=DATE(2026,11,28),38,0)-IF(C413=DATE(2026,12,2),26,0)))</f>
        <v/>
      </c>
      <c r="I413" s="13">
        <f>IF(AND(C413&gt;=DATE(2026,11,29),C413&lt;=DATE(2026,12,1)),B413*60,0)</f>
        <v/>
      </c>
      <c r="J413" s="13">
        <f>IF(A413="",0,B413*(IF(C413=DATE(2026,11,28),38,0)+IF(C413=DATE(2026,12,1),38,0)+IF(C413=DATE(2026,12,2),26,0)))</f>
        <v/>
      </c>
      <c r="K413" s="13">
        <f>IF(C413=Options!$B$9,B413*12,0)</f>
        <v/>
      </c>
      <c r="L413" s="13">
        <f>IF(C413=Options!$B$9,B413*Options!$Z$5,0)</f>
        <v/>
      </c>
      <c r="M413" s="13" t="n">
        <v>0</v>
      </c>
      <c r="N413" s="13">
        <f>SUM(E413:M413)</f>
        <v/>
      </c>
    </row>
    <row r="414">
      <c r="A414" s="5">
        <f>IF(AND(C414&gt;=Options!$B$9,C414&lt;=Options!$B$10),"Chicago","")</f>
        <v/>
      </c>
      <c r="B414" s="5">
        <f>IF(A414="","",24)</f>
        <v/>
      </c>
      <c r="C414" s="17" t="n">
        <v>46340</v>
      </c>
      <c r="D414" s="5">
        <f>IF(A414="","",IF(C414=DATE(2026,11,29),"培训；注册午餐；早餐参数",IF(C414=DATE(2026,11,30),"培训；注册午餐",IF(C414=DATE(2026,12,1),"培训；注册午餐；机构晚餐",IF(C414=Options!$B$9,"抵达；"&amp;IF(C414=DATE(2026,11,28),"机构晚餐","无统一供餐"),IF(C414=Options!$B$10,"返程；"&amp;IF(C414=DATE(2026,12,2),"机构午餐","无统一供餐"),"差旅状态；无统一日程"))))))</f>
        <v/>
      </c>
      <c r="E414" s="13">
        <f>IF(C414=Options!$B$9,Options!$C$15,0)</f>
        <v/>
      </c>
      <c r="F414" s="13">
        <f>IF(AND(A414&lt;&gt;"",C414&lt;Options!$B$10),B414*Options!$X$5,0)</f>
        <v/>
      </c>
      <c r="G414" s="13">
        <f>F414*12%</f>
        <v/>
      </c>
      <c r="H414" s="13">
        <f>IF(A414="",0,B414*(92*IF(OR(C414=Options!$B$9,C414=Options!$B$10),75%,100%)-IF(C414=DATE(2026,11,29),26+IF(Options!$B$8="是",23,0),0)-IF(C414=DATE(2026,11,30),26,0)-IF(C414=DATE(2026,12,1),64,0)-IF(C414=DATE(2026,11,28),38,0)-IF(C414=DATE(2026,12,2),26,0)))</f>
        <v/>
      </c>
      <c r="I414" s="13">
        <f>IF(AND(C414&gt;=DATE(2026,11,29),C414&lt;=DATE(2026,12,1)),B414*60,0)</f>
        <v/>
      </c>
      <c r="J414" s="13">
        <f>IF(A414="",0,B414*(IF(C414=DATE(2026,11,28),38,0)+IF(C414=DATE(2026,12,1),38,0)+IF(C414=DATE(2026,12,2),26,0)))</f>
        <v/>
      </c>
      <c r="K414" s="13">
        <f>IF(C414=Options!$B$9,B414*12,0)</f>
        <v/>
      </c>
      <c r="L414" s="13">
        <f>IF(C414=Options!$B$9,B414*Options!$Z$5,0)</f>
        <v/>
      </c>
      <c r="M414" s="13" t="n">
        <v>0</v>
      </c>
      <c r="N414" s="13">
        <f>SUM(E414:M414)</f>
        <v/>
      </c>
    </row>
    <row r="415">
      <c r="A415" s="5">
        <f>IF(AND(C415&gt;=Options!$B$9,C415&lt;=Options!$B$10),"Chicago","")</f>
        <v/>
      </c>
      <c r="B415" s="5">
        <f>IF(A415="","",24)</f>
        <v/>
      </c>
      <c r="C415" s="17" t="n">
        <v>46341</v>
      </c>
      <c r="D415" s="5">
        <f>IF(A415="","",IF(C415=DATE(2026,11,29),"培训；注册午餐；早餐参数",IF(C415=DATE(2026,11,30),"培训；注册午餐",IF(C415=DATE(2026,12,1),"培训；注册午餐；机构晚餐",IF(C415=Options!$B$9,"抵达；"&amp;IF(C415=DATE(2026,11,28),"机构晚餐","无统一供餐"),IF(C415=Options!$B$10,"返程；"&amp;IF(C415=DATE(2026,12,2),"机构午餐","无统一供餐"),"差旅状态；无统一日程"))))))</f>
        <v/>
      </c>
      <c r="E415" s="13">
        <f>IF(C415=Options!$B$9,Options!$C$15,0)</f>
        <v/>
      </c>
      <c r="F415" s="13">
        <f>IF(AND(A415&lt;&gt;"",C415&lt;Options!$B$10),B415*Options!$X$5,0)</f>
        <v/>
      </c>
      <c r="G415" s="13">
        <f>F415*12%</f>
        <v/>
      </c>
      <c r="H415" s="13">
        <f>IF(A415="",0,B415*(92*IF(OR(C415=Options!$B$9,C415=Options!$B$10),75%,100%)-IF(C415=DATE(2026,11,29),26+IF(Options!$B$8="是",23,0),0)-IF(C415=DATE(2026,11,30),26,0)-IF(C415=DATE(2026,12,1),64,0)-IF(C415=DATE(2026,11,28),38,0)-IF(C415=DATE(2026,12,2),26,0)))</f>
        <v/>
      </c>
      <c r="I415" s="13">
        <f>IF(AND(C415&gt;=DATE(2026,11,29),C415&lt;=DATE(2026,12,1)),B415*60,0)</f>
        <v/>
      </c>
      <c r="J415" s="13">
        <f>IF(A415="",0,B415*(IF(C415=DATE(2026,11,28),38,0)+IF(C415=DATE(2026,12,1),38,0)+IF(C415=DATE(2026,12,2),26,0)))</f>
        <v/>
      </c>
      <c r="K415" s="13">
        <f>IF(C415=Options!$B$9,B415*12,0)</f>
        <v/>
      </c>
      <c r="L415" s="13">
        <f>IF(C415=Options!$B$9,B415*Options!$Z$5,0)</f>
        <v/>
      </c>
      <c r="M415" s="13" t="n">
        <v>0</v>
      </c>
      <c r="N415" s="13">
        <f>SUM(E415:M415)</f>
        <v/>
      </c>
    </row>
    <row r="416">
      <c r="A416" s="5">
        <f>IF(AND(C416&gt;=Options!$B$9,C416&lt;=Options!$B$10),"Chicago","")</f>
        <v/>
      </c>
      <c r="B416" s="5">
        <f>IF(A416="","",24)</f>
        <v/>
      </c>
      <c r="C416" s="17" t="n">
        <v>46342</v>
      </c>
      <c r="D416" s="5">
        <f>IF(A416="","",IF(C416=DATE(2026,11,29),"培训；注册午餐；早餐参数",IF(C416=DATE(2026,11,30),"培训；注册午餐",IF(C416=DATE(2026,12,1),"培训；注册午餐；机构晚餐",IF(C416=Options!$B$9,"抵达；"&amp;IF(C416=DATE(2026,11,28),"机构晚餐","无统一供餐"),IF(C416=Options!$B$10,"返程；"&amp;IF(C416=DATE(2026,12,2),"机构午餐","无统一供餐"),"差旅状态；无统一日程"))))))</f>
        <v/>
      </c>
      <c r="E416" s="13">
        <f>IF(C416=Options!$B$9,Options!$C$15,0)</f>
        <v/>
      </c>
      <c r="F416" s="13">
        <f>IF(AND(A416&lt;&gt;"",C416&lt;Options!$B$10),B416*Options!$X$5,0)</f>
        <v/>
      </c>
      <c r="G416" s="13">
        <f>F416*12%</f>
        <v/>
      </c>
      <c r="H416" s="13">
        <f>IF(A416="",0,B416*(92*IF(OR(C416=Options!$B$9,C416=Options!$B$10),75%,100%)-IF(C416=DATE(2026,11,29),26+IF(Options!$B$8="是",23,0),0)-IF(C416=DATE(2026,11,30),26,0)-IF(C416=DATE(2026,12,1),64,0)-IF(C416=DATE(2026,11,28),38,0)-IF(C416=DATE(2026,12,2),26,0)))</f>
        <v/>
      </c>
      <c r="I416" s="13">
        <f>IF(AND(C416&gt;=DATE(2026,11,29),C416&lt;=DATE(2026,12,1)),B416*60,0)</f>
        <v/>
      </c>
      <c r="J416" s="13">
        <f>IF(A416="",0,B416*(IF(C416=DATE(2026,11,28),38,0)+IF(C416=DATE(2026,12,1),38,0)+IF(C416=DATE(2026,12,2),26,0)))</f>
        <v/>
      </c>
      <c r="K416" s="13">
        <f>IF(C416=Options!$B$9,B416*12,0)</f>
        <v/>
      </c>
      <c r="L416" s="13">
        <f>IF(C416=Options!$B$9,B416*Options!$Z$5,0)</f>
        <v/>
      </c>
      <c r="M416" s="13" t="n">
        <v>0</v>
      </c>
      <c r="N416" s="13">
        <f>SUM(E416:M416)</f>
        <v/>
      </c>
    </row>
    <row r="417">
      <c r="A417" s="5">
        <f>IF(AND(C417&gt;=Options!$B$9,C417&lt;=Options!$B$10),"Chicago","")</f>
        <v/>
      </c>
      <c r="B417" s="5">
        <f>IF(A417="","",24)</f>
        <v/>
      </c>
      <c r="C417" s="17" t="n">
        <v>46343</v>
      </c>
      <c r="D417" s="5">
        <f>IF(A417="","",IF(C417=DATE(2026,11,29),"培训；注册午餐；早餐参数",IF(C417=DATE(2026,11,30),"培训；注册午餐",IF(C417=DATE(2026,12,1),"培训；注册午餐；机构晚餐",IF(C417=Options!$B$9,"抵达；"&amp;IF(C417=DATE(2026,11,28),"机构晚餐","无统一供餐"),IF(C417=Options!$B$10,"返程；"&amp;IF(C417=DATE(2026,12,2),"机构午餐","无统一供餐"),"差旅状态；无统一日程"))))))</f>
        <v/>
      </c>
      <c r="E417" s="13">
        <f>IF(C417=Options!$B$9,Options!$C$15,0)</f>
        <v/>
      </c>
      <c r="F417" s="13">
        <f>IF(AND(A417&lt;&gt;"",C417&lt;Options!$B$10),B417*Options!$X$5,0)</f>
        <v/>
      </c>
      <c r="G417" s="13">
        <f>F417*12%</f>
        <v/>
      </c>
      <c r="H417" s="13">
        <f>IF(A417="",0,B417*(92*IF(OR(C417=Options!$B$9,C417=Options!$B$10),75%,100%)-IF(C417=DATE(2026,11,29),26+IF(Options!$B$8="是",23,0),0)-IF(C417=DATE(2026,11,30),26,0)-IF(C417=DATE(2026,12,1),64,0)-IF(C417=DATE(2026,11,28),38,0)-IF(C417=DATE(2026,12,2),26,0)))</f>
        <v/>
      </c>
      <c r="I417" s="13">
        <f>IF(AND(C417&gt;=DATE(2026,11,29),C417&lt;=DATE(2026,12,1)),B417*60,0)</f>
        <v/>
      </c>
      <c r="J417" s="13">
        <f>IF(A417="",0,B417*(IF(C417=DATE(2026,11,28),38,0)+IF(C417=DATE(2026,12,1),38,0)+IF(C417=DATE(2026,12,2),26,0)))</f>
        <v/>
      </c>
      <c r="K417" s="13">
        <f>IF(C417=Options!$B$9,B417*12,0)</f>
        <v/>
      </c>
      <c r="L417" s="13">
        <f>IF(C417=Options!$B$9,B417*Options!$Z$5,0)</f>
        <v/>
      </c>
      <c r="M417" s="13" t="n">
        <v>0</v>
      </c>
      <c r="N417" s="13">
        <f>SUM(E417:M417)</f>
        <v/>
      </c>
    </row>
    <row r="418">
      <c r="A418" s="5">
        <f>IF(AND(C418&gt;=Options!$B$9,C418&lt;=Options!$B$10),"Chicago","")</f>
        <v/>
      </c>
      <c r="B418" s="5">
        <f>IF(A418="","",24)</f>
        <v/>
      </c>
      <c r="C418" s="17" t="n">
        <v>46344</v>
      </c>
      <c r="D418" s="5">
        <f>IF(A418="","",IF(C418=DATE(2026,11,29),"培训；注册午餐；早餐参数",IF(C418=DATE(2026,11,30),"培训；注册午餐",IF(C418=DATE(2026,12,1),"培训；注册午餐；机构晚餐",IF(C418=Options!$B$9,"抵达；"&amp;IF(C418=DATE(2026,11,28),"机构晚餐","无统一供餐"),IF(C418=Options!$B$10,"返程；"&amp;IF(C418=DATE(2026,12,2),"机构午餐","无统一供餐"),"差旅状态；无统一日程"))))))</f>
        <v/>
      </c>
      <c r="E418" s="13">
        <f>IF(C418=Options!$B$9,Options!$C$15,0)</f>
        <v/>
      </c>
      <c r="F418" s="13">
        <f>IF(AND(A418&lt;&gt;"",C418&lt;Options!$B$10),B418*Options!$X$5,0)</f>
        <v/>
      </c>
      <c r="G418" s="13">
        <f>F418*12%</f>
        <v/>
      </c>
      <c r="H418" s="13">
        <f>IF(A418="",0,B418*(92*IF(OR(C418=Options!$B$9,C418=Options!$B$10),75%,100%)-IF(C418=DATE(2026,11,29),26+IF(Options!$B$8="是",23,0),0)-IF(C418=DATE(2026,11,30),26,0)-IF(C418=DATE(2026,12,1),64,0)-IF(C418=DATE(2026,11,28),38,0)-IF(C418=DATE(2026,12,2),26,0)))</f>
        <v/>
      </c>
      <c r="I418" s="13">
        <f>IF(AND(C418&gt;=DATE(2026,11,29),C418&lt;=DATE(2026,12,1)),B418*60,0)</f>
        <v/>
      </c>
      <c r="J418" s="13">
        <f>IF(A418="",0,B418*(IF(C418=DATE(2026,11,28),38,0)+IF(C418=DATE(2026,12,1),38,0)+IF(C418=DATE(2026,12,2),26,0)))</f>
        <v/>
      </c>
      <c r="K418" s="13">
        <f>IF(C418=Options!$B$9,B418*12,0)</f>
        <v/>
      </c>
      <c r="L418" s="13">
        <f>IF(C418=Options!$B$9,B418*Options!$Z$5,0)</f>
        <v/>
      </c>
      <c r="M418" s="13" t="n">
        <v>0</v>
      </c>
      <c r="N418" s="13">
        <f>SUM(E418:M418)</f>
        <v/>
      </c>
    </row>
    <row r="419">
      <c r="A419" s="5">
        <f>IF(AND(C419&gt;=Options!$B$9,C419&lt;=Options!$B$10),"Chicago","")</f>
        <v/>
      </c>
      <c r="B419" s="5">
        <f>IF(A419="","",24)</f>
        <v/>
      </c>
      <c r="C419" s="17" t="n">
        <v>46345</v>
      </c>
      <c r="D419" s="5">
        <f>IF(A419="","",IF(C419=DATE(2026,11,29),"培训；注册午餐；早餐参数",IF(C419=DATE(2026,11,30),"培训；注册午餐",IF(C419=DATE(2026,12,1),"培训；注册午餐；机构晚餐",IF(C419=Options!$B$9,"抵达；"&amp;IF(C419=DATE(2026,11,28),"机构晚餐","无统一供餐"),IF(C419=Options!$B$10,"返程；"&amp;IF(C419=DATE(2026,12,2),"机构午餐","无统一供餐"),"差旅状态；无统一日程"))))))</f>
        <v/>
      </c>
      <c r="E419" s="13">
        <f>IF(C419=Options!$B$9,Options!$C$15,0)</f>
        <v/>
      </c>
      <c r="F419" s="13">
        <f>IF(AND(A419&lt;&gt;"",C419&lt;Options!$B$10),B419*Options!$X$5,0)</f>
        <v/>
      </c>
      <c r="G419" s="13">
        <f>F419*12%</f>
        <v/>
      </c>
      <c r="H419" s="13">
        <f>IF(A419="",0,B419*(92*IF(OR(C419=Options!$B$9,C419=Options!$B$10),75%,100%)-IF(C419=DATE(2026,11,29),26+IF(Options!$B$8="是",23,0),0)-IF(C419=DATE(2026,11,30),26,0)-IF(C419=DATE(2026,12,1),64,0)-IF(C419=DATE(2026,11,28),38,0)-IF(C419=DATE(2026,12,2),26,0)))</f>
        <v/>
      </c>
      <c r="I419" s="13">
        <f>IF(AND(C419&gt;=DATE(2026,11,29),C419&lt;=DATE(2026,12,1)),B419*60,0)</f>
        <v/>
      </c>
      <c r="J419" s="13">
        <f>IF(A419="",0,B419*(IF(C419=DATE(2026,11,28),38,0)+IF(C419=DATE(2026,12,1),38,0)+IF(C419=DATE(2026,12,2),26,0)))</f>
        <v/>
      </c>
      <c r="K419" s="13">
        <f>IF(C419=Options!$B$9,B419*12,0)</f>
        <v/>
      </c>
      <c r="L419" s="13">
        <f>IF(C419=Options!$B$9,B419*Options!$Z$5,0)</f>
        <v/>
      </c>
      <c r="M419" s="13" t="n">
        <v>0</v>
      </c>
      <c r="N419" s="13">
        <f>SUM(E419:M419)</f>
        <v/>
      </c>
    </row>
    <row r="420">
      <c r="A420" s="5">
        <f>IF(AND(C420&gt;=Options!$B$9,C420&lt;=Options!$B$10),"Chicago","")</f>
        <v/>
      </c>
      <c r="B420" s="5">
        <f>IF(A420="","",24)</f>
        <v/>
      </c>
      <c r="C420" s="17" t="n">
        <v>46346</v>
      </c>
      <c r="D420" s="5">
        <f>IF(A420="","",IF(C420=DATE(2026,11,29),"培训；注册午餐；早餐参数",IF(C420=DATE(2026,11,30),"培训；注册午餐",IF(C420=DATE(2026,12,1),"培训；注册午餐；机构晚餐",IF(C420=Options!$B$9,"抵达；"&amp;IF(C420=DATE(2026,11,28),"机构晚餐","无统一供餐"),IF(C420=Options!$B$10,"返程；"&amp;IF(C420=DATE(2026,12,2),"机构午餐","无统一供餐"),"差旅状态；无统一日程"))))))</f>
        <v/>
      </c>
      <c r="E420" s="13">
        <f>IF(C420=Options!$B$9,Options!$C$15,0)</f>
        <v/>
      </c>
      <c r="F420" s="13">
        <f>IF(AND(A420&lt;&gt;"",C420&lt;Options!$B$10),B420*Options!$X$5,0)</f>
        <v/>
      </c>
      <c r="G420" s="13">
        <f>F420*12%</f>
        <v/>
      </c>
      <c r="H420" s="13">
        <f>IF(A420="",0,B420*(92*IF(OR(C420=Options!$B$9,C420=Options!$B$10),75%,100%)-IF(C420=DATE(2026,11,29),26+IF(Options!$B$8="是",23,0),0)-IF(C420=DATE(2026,11,30),26,0)-IF(C420=DATE(2026,12,1),64,0)-IF(C420=DATE(2026,11,28),38,0)-IF(C420=DATE(2026,12,2),26,0)))</f>
        <v/>
      </c>
      <c r="I420" s="13">
        <f>IF(AND(C420&gt;=DATE(2026,11,29),C420&lt;=DATE(2026,12,1)),B420*60,0)</f>
        <v/>
      </c>
      <c r="J420" s="13">
        <f>IF(A420="",0,B420*(IF(C420=DATE(2026,11,28),38,0)+IF(C420=DATE(2026,12,1),38,0)+IF(C420=DATE(2026,12,2),26,0)))</f>
        <v/>
      </c>
      <c r="K420" s="13">
        <f>IF(C420=Options!$B$9,B420*12,0)</f>
        <v/>
      </c>
      <c r="L420" s="13">
        <f>IF(C420=Options!$B$9,B420*Options!$Z$5,0)</f>
        <v/>
      </c>
      <c r="M420" s="13" t="n">
        <v>0</v>
      </c>
      <c r="N420" s="13">
        <f>SUM(E420:M420)</f>
        <v/>
      </c>
    </row>
    <row r="421">
      <c r="A421" s="5">
        <f>IF(AND(C421&gt;=Options!$B$9,C421&lt;=Options!$B$10),"Chicago","")</f>
        <v/>
      </c>
      <c r="B421" s="5">
        <f>IF(A421="","",24)</f>
        <v/>
      </c>
      <c r="C421" s="17" t="n">
        <v>46347</v>
      </c>
      <c r="D421" s="5">
        <f>IF(A421="","",IF(C421=DATE(2026,11,29),"培训；注册午餐；早餐参数",IF(C421=DATE(2026,11,30),"培训；注册午餐",IF(C421=DATE(2026,12,1),"培训；注册午餐；机构晚餐",IF(C421=Options!$B$9,"抵达；"&amp;IF(C421=DATE(2026,11,28),"机构晚餐","无统一供餐"),IF(C421=Options!$B$10,"返程；"&amp;IF(C421=DATE(2026,12,2),"机构午餐","无统一供餐"),"差旅状态；无统一日程"))))))</f>
        <v/>
      </c>
      <c r="E421" s="13">
        <f>IF(C421=Options!$B$9,Options!$C$15,0)</f>
        <v/>
      </c>
      <c r="F421" s="13">
        <f>IF(AND(A421&lt;&gt;"",C421&lt;Options!$B$10),B421*Options!$X$5,0)</f>
        <v/>
      </c>
      <c r="G421" s="13">
        <f>F421*12%</f>
        <v/>
      </c>
      <c r="H421" s="13">
        <f>IF(A421="",0,B421*(92*IF(OR(C421=Options!$B$9,C421=Options!$B$10),75%,100%)-IF(C421=DATE(2026,11,29),26+IF(Options!$B$8="是",23,0),0)-IF(C421=DATE(2026,11,30),26,0)-IF(C421=DATE(2026,12,1),64,0)-IF(C421=DATE(2026,11,28),38,0)-IF(C421=DATE(2026,12,2),26,0)))</f>
        <v/>
      </c>
      <c r="I421" s="13">
        <f>IF(AND(C421&gt;=DATE(2026,11,29),C421&lt;=DATE(2026,12,1)),B421*60,0)</f>
        <v/>
      </c>
      <c r="J421" s="13">
        <f>IF(A421="",0,B421*(IF(C421=DATE(2026,11,28),38,0)+IF(C421=DATE(2026,12,1),38,0)+IF(C421=DATE(2026,12,2),26,0)))</f>
        <v/>
      </c>
      <c r="K421" s="13">
        <f>IF(C421=Options!$B$9,B421*12,0)</f>
        <v/>
      </c>
      <c r="L421" s="13">
        <f>IF(C421=Options!$B$9,B421*Options!$Z$5,0)</f>
        <v/>
      </c>
      <c r="M421" s="13" t="n">
        <v>0</v>
      </c>
      <c r="N421" s="13">
        <f>SUM(E421:M421)</f>
        <v/>
      </c>
    </row>
    <row r="422">
      <c r="A422" s="5">
        <f>IF(AND(C422&gt;=Options!$B$9,C422&lt;=Options!$B$10),"Chicago","")</f>
        <v/>
      </c>
      <c r="B422" s="5">
        <f>IF(A422="","",24)</f>
        <v/>
      </c>
      <c r="C422" s="17" t="n">
        <v>46348</v>
      </c>
      <c r="D422" s="5">
        <f>IF(A422="","",IF(C422=DATE(2026,11,29),"培训；注册午餐；早餐参数",IF(C422=DATE(2026,11,30),"培训；注册午餐",IF(C422=DATE(2026,12,1),"培训；注册午餐；机构晚餐",IF(C422=Options!$B$9,"抵达；"&amp;IF(C422=DATE(2026,11,28),"机构晚餐","无统一供餐"),IF(C422=Options!$B$10,"返程；"&amp;IF(C422=DATE(2026,12,2),"机构午餐","无统一供餐"),"差旅状态；无统一日程"))))))</f>
        <v/>
      </c>
      <c r="E422" s="13">
        <f>IF(C422=Options!$B$9,Options!$C$15,0)</f>
        <v/>
      </c>
      <c r="F422" s="13">
        <f>IF(AND(A422&lt;&gt;"",C422&lt;Options!$B$10),B422*Options!$X$5,0)</f>
        <v/>
      </c>
      <c r="G422" s="13">
        <f>F422*12%</f>
        <v/>
      </c>
      <c r="H422" s="13">
        <f>IF(A422="",0,B422*(92*IF(OR(C422=Options!$B$9,C422=Options!$B$10),75%,100%)-IF(C422=DATE(2026,11,29),26+IF(Options!$B$8="是",23,0),0)-IF(C422=DATE(2026,11,30),26,0)-IF(C422=DATE(2026,12,1),64,0)-IF(C422=DATE(2026,11,28),38,0)-IF(C422=DATE(2026,12,2),26,0)))</f>
        <v/>
      </c>
      <c r="I422" s="13">
        <f>IF(AND(C422&gt;=DATE(2026,11,29),C422&lt;=DATE(2026,12,1)),B422*60,0)</f>
        <v/>
      </c>
      <c r="J422" s="13">
        <f>IF(A422="",0,B422*(IF(C422=DATE(2026,11,28),38,0)+IF(C422=DATE(2026,12,1),38,0)+IF(C422=DATE(2026,12,2),26,0)))</f>
        <v/>
      </c>
      <c r="K422" s="13">
        <f>IF(C422=Options!$B$9,B422*12,0)</f>
        <v/>
      </c>
      <c r="L422" s="13">
        <f>IF(C422=Options!$B$9,B422*Options!$Z$5,0)</f>
        <v/>
      </c>
      <c r="M422" s="13" t="n">
        <v>0</v>
      </c>
      <c r="N422" s="13">
        <f>SUM(E422:M422)</f>
        <v/>
      </c>
    </row>
    <row r="423">
      <c r="A423" s="5">
        <f>IF(AND(C423&gt;=Options!$B$9,C423&lt;=Options!$B$10),"Chicago","")</f>
        <v/>
      </c>
      <c r="B423" s="5">
        <f>IF(A423="","",24)</f>
        <v/>
      </c>
      <c r="C423" s="17" t="n">
        <v>46349</v>
      </c>
      <c r="D423" s="5">
        <f>IF(A423="","",IF(C423=DATE(2026,11,29),"培训；注册午餐；早餐参数",IF(C423=DATE(2026,11,30),"培训；注册午餐",IF(C423=DATE(2026,12,1),"培训；注册午餐；机构晚餐",IF(C423=Options!$B$9,"抵达；"&amp;IF(C423=DATE(2026,11,28),"机构晚餐","无统一供餐"),IF(C423=Options!$B$10,"返程；"&amp;IF(C423=DATE(2026,12,2),"机构午餐","无统一供餐"),"差旅状态；无统一日程"))))))</f>
        <v/>
      </c>
      <c r="E423" s="13">
        <f>IF(C423=Options!$B$9,Options!$C$15,0)</f>
        <v/>
      </c>
      <c r="F423" s="13">
        <f>IF(AND(A423&lt;&gt;"",C423&lt;Options!$B$10),B423*Options!$X$5,0)</f>
        <v/>
      </c>
      <c r="G423" s="13">
        <f>F423*12%</f>
        <v/>
      </c>
      <c r="H423" s="13">
        <f>IF(A423="",0,B423*(92*IF(OR(C423=Options!$B$9,C423=Options!$B$10),75%,100%)-IF(C423=DATE(2026,11,29),26+IF(Options!$B$8="是",23,0),0)-IF(C423=DATE(2026,11,30),26,0)-IF(C423=DATE(2026,12,1),64,0)-IF(C423=DATE(2026,11,28),38,0)-IF(C423=DATE(2026,12,2),26,0)))</f>
        <v/>
      </c>
      <c r="I423" s="13">
        <f>IF(AND(C423&gt;=DATE(2026,11,29),C423&lt;=DATE(2026,12,1)),B423*60,0)</f>
        <v/>
      </c>
      <c r="J423" s="13">
        <f>IF(A423="",0,B423*(IF(C423=DATE(2026,11,28),38,0)+IF(C423=DATE(2026,12,1),38,0)+IF(C423=DATE(2026,12,2),26,0)))</f>
        <v/>
      </c>
      <c r="K423" s="13">
        <f>IF(C423=Options!$B$9,B423*12,0)</f>
        <v/>
      </c>
      <c r="L423" s="13">
        <f>IF(C423=Options!$B$9,B423*Options!$Z$5,0)</f>
        <v/>
      </c>
      <c r="M423" s="13" t="n">
        <v>0</v>
      </c>
      <c r="N423" s="13">
        <f>SUM(E423:M423)</f>
        <v/>
      </c>
    </row>
    <row r="424">
      <c r="A424" s="5">
        <f>IF(AND(C424&gt;=Options!$B$9,C424&lt;=Options!$B$10),"Chicago","")</f>
        <v/>
      </c>
      <c r="B424" s="5">
        <f>IF(A424="","",24)</f>
        <v/>
      </c>
      <c r="C424" s="17" t="n">
        <v>46350</v>
      </c>
      <c r="D424" s="5">
        <f>IF(A424="","",IF(C424=DATE(2026,11,29),"培训；注册午餐；早餐参数",IF(C424=DATE(2026,11,30),"培训；注册午餐",IF(C424=DATE(2026,12,1),"培训；注册午餐；机构晚餐",IF(C424=Options!$B$9,"抵达；"&amp;IF(C424=DATE(2026,11,28),"机构晚餐","无统一供餐"),IF(C424=Options!$B$10,"返程；"&amp;IF(C424=DATE(2026,12,2),"机构午餐","无统一供餐"),"差旅状态；无统一日程"))))))</f>
        <v/>
      </c>
      <c r="E424" s="13">
        <f>IF(C424=Options!$B$9,Options!$C$15,0)</f>
        <v/>
      </c>
      <c r="F424" s="13">
        <f>IF(AND(A424&lt;&gt;"",C424&lt;Options!$B$10),B424*Options!$X$5,0)</f>
        <v/>
      </c>
      <c r="G424" s="13">
        <f>F424*12%</f>
        <v/>
      </c>
      <c r="H424" s="13">
        <f>IF(A424="",0,B424*(92*IF(OR(C424=Options!$B$9,C424=Options!$B$10),75%,100%)-IF(C424=DATE(2026,11,29),26+IF(Options!$B$8="是",23,0),0)-IF(C424=DATE(2026,11,30),26,0)-IF(C424=DATE(2026,12,1),64,0)-IF(C424=DATE(2026,11,28),38,0)-IF(C424=DATE(2026,12,2),26,0)))</f>
        <v/>
      </c>
      <c r="I424" s="13">
        <f>IF(AND(C424&gt;=DATE(2026,11,29),C424&lt;=DATE(2026,12,1)),B424*60,0)</f>
        <v/>
      </c>
      <c r="J424" s="13">
        <f>IF(A424="",0,B424*(IF(C424=DATE(2026,11,28),38,0)+IF(C424=DATE(2026,12,1),38,0)+IF(C424=DATE(2026,12,2),26,0)))</f>
        <v/>
      </c>
      <c r="K424" s="13">
        <f>IF(C424=Options!$B$9,B424*12,0)</f>
        <v/>
      </c>
      <c r="L424" s="13">
        <f>IF(C424=Options!$B$9,B424*Options!$Z$5,0)</f>
        <v/>
      </c>
      <c r="M424" s="13" t="n">
        <v>0</v>
      </c>
      <c r="N424" s="13">
        <f>SUM(E424:M424)</f>
        <v/>
      </c>
    </row>
    <row r="425">
      <c r="A425" s="5">
        <f>IF(AND(C425&gt;=Options!$B$9,C425&lt;=Options!$B$10),"Chicago","")</f>
        <v/>
      </c>
      <c r="B425" s="5">
        <f>IF(A425="","",24)</f>
        <v/>
      </c>
      <c r="C425" s="17" t="n">
        <v>46351</v>
      </c>
      <c r="D425" s="5">
        <f>IF(A425="","",IF(C425=DATE(2026,11,29),"培训；注册午餐；早餐参数",IF(C425=DATE(2026,11,30),"培训；注册午餐",IF(C425=DATE(2026,12,1),"培训；注册午餐；机构晚餐",IF(C425=Options!$B$9,"抵达；"&amp;IF(C425=DATE(2026,11,28),"机构晚餐","无统一供餐"),IF(C425=Options!$B$10,"返程；"&amp;IF(C425=DATE(2026,12,2),"机构午餐","无统一供餐"),"差旅状态；无统一日程"))))))</f>
        <v/>
      </c>
      <c r="E425" s="13">
        <f>IF(C425=Options!$B$9,Options!$C$15,0)</f>
        <v/>
      </c>
      <c r="F425" s="13">
        <f>IF(AND(A425&lt;&gt;"",C425&lt;Options!$B$10),B425*Options!$X$5,0)</f>
        <v/>
      </c>
      <c r="G425" s="13">
        <f>F425*12%</f>
        <v/>
      </c>
      <c r="H425" s="13">
        <f>IF(A425="",0,B425*(92*IF(OR(C425=Options!$B$9,C425=Options!$B$10),75%,100%)-IF(C425=DATE(2026,11,29),26+IF(Options!$B$8="是",23,0),0)-IF(C425=DATE(2026,11,30),26,0)-IF(C425=DATE(2026,12,1),64,0)-IF(C425=DATE(2026,11,28),38,0)-IF(C425=DATE(2026,12,2),26,0)))</f>
        <v/>
      </c>
      <c r="I425" s="13">
        <f>IF(AND(C425&gt;=DATE(2026,11,29),C425&lt;=DATE(2026,12,1)),B425*60,0)</f>
        <v/>
      </c>
      <c r="J425" s="13">
        <f>IF(A425="",0,B425*(IF(C425=DATE(2026,11,28),38,0)+IF(C425=DATE(2026,12,1),38,0)+IF(C425=DATE(2026,12,2),26,0)))</f>
        <v/>
      </c>
      <c r="K425" s="13">
        <f>IF(C425=Options!$B$9,B425*12,0)</f>
        <v/>
      </c>
      <c r="L425" s="13">
        <f>IF(C425=Options!$B$9,B425*Options!$Z$5,0)</f>
        <v/>
      </c>
      <c r="M425" s="13" t="n">
        <v>0</v>
      </c>
      <c r="N425" s="13">
        <f>SUM(E425:M425)</f>
        <v/>
      </c>
    </row>
    <row r="426">
      <c r="A426" s="5">
        <f>IF(AND(C426&gt;=Options!$B$9,C426&lt;=Options!$B$10),"Chicago","")</f>
        <v/>
      </c>
      <c r="B426" s="5">
        <f>IF(A426="","",24)</f>
        <v/>
      </c>
      <c r="C426" s="17" t="n">
        <v>46352</v>
      </c>
      <c r="D426" s="5">
        <f>IF(A426="","",IF(C426=DATE(2026,11,29),"培训；注册午餐；早餐参数",IF(C426=DATE(2026,11,30),"培训；注册午餐",IF(C426=DATE(2026,12,1),"培训；注册午餐；机构晚餐",IF(C426=Options!$B$9,"抵达；"&amp;IF(C426=DATE(2026,11,28),"机构晚餐","无统一供餐"),IF(C426=Options!$B$10,"返程；"&amp;IF(C426=DATE(2026,12,2),"机构午餐","无统一供餐"),"差旅状态；无统一日程"))))))</f>
        <v/>
      </c>
      <c r="E426" s="13">
        <f>IF(C426=Options!$B$9,Options!$C$15,0)</f>
        <v/>
      </c>
      <c r="F426" s="13">
        <f>IF(AND(A426&lt;&gt;"",C426&lt;Options!$B$10),B426*Options!$X$5,0)</f>
        <v/>
      </c>
      <c r="G426" s="13">
        <f>F426*12%</f>
        <v/>
      </c>
      <c r="H426" s="13">
        <f>IF(A426="",0,B426*(92*IF(OR(C426=Options!$B$9,C426=Options!$B$10),75%,100%)-IF(C426=DATE(2026,11,29),26+IF(Options!$B$8="是",23,0),0)-IF(C426=DATE(2026,11,30),26,0)-IF(C426=DATE(2026,12,1),64,0)-IF(C426=DATE(2026,11,28),38,0)-IF(C426=DATE(2026,12,2),26,0)))</f>
        <v/>
      </c>
      <c r="I426" s="13">
        <f>IF(AND(C426&gt;=DATE(2026,11,29),C426&lt;=DATE(2026,12,1)),B426*60,0)</f>
        <v/>
      </c>
      <c r="J426" s="13">
        <f>IF(A426="",0,B426*(IF(C426=DATE(2026,11,28),38,0)+IF(C426=DATE(2026,12,1),38,0)+IF(C426=DATE(2026,12,2),26,0)))</f>
        <v/>
      </c>
      <c r="K426" s="13">
        <f>IF(C426=Options!$B$9,B426*12,0)</f>
        <v/>
      </c>
      <c r="L426" s="13">
        <f>IF(C426=Options!$B$9,B426*Options!$Z$5,0)</f>
        <v/>
      </c>
      <c r="M426" s="13" t="n">
        <v>0</v>
      </c>
      <c r="N426" s="13">
        <f>SUM(E426:M426)</f>
        <v/>
      </c>
    </row>
    <row r="427">
      <c r="A427" s="5">
        <f>IF(AND(C427&gt;=Options!$B$9,C427&lt;=Options!$B$10),"Chicago","")</f>
        <v/>
      </c>
      <c r="B427" s="5">
        <f>IF(A427="","",24)</f>
        <v/>
      </c>
      <c r="C427" s="17" t="n">
        <v>46353</v>
      </c>
      <c r="D427" s="5">
        <f>IF(A427="","",IF(C427=DATE(2026,11,29),"培训；注册午餐；早餐参数",IF(C427=DATE(2026,11,30),"培训；注册午餐",IF(C427=DATE(2026,12,1),"培训；注册午餐；机构晚餐",IF(C427=Options!$B$9,"抵达；"&amp;IF(C427=DATE(2026,11,28),"机构晚餐","无统一供餐"),IF(C427=Options!$B$10,"返程；"&amp;IF(C427=DATE(2026,12,2),"机构午餐","无统一供餐"),"差旅状态；无统一日程"))))))</f>
        <v/>
      </c>
      <c r="E427" s="13">
        <f>IF(C427=Options!$B$9,Options!$C$15,0)</f>
        <v/>
      </c>
      <c r="F427" s="13">
        <f>IF(AND(A427&lt;&gt;"",C427&lt;Options!$B$10),B427*Options!$X$5,0)</f>
        <v/>
      </c>
      <c r="G427" s="13">
        <f>F427*12%</f>
        <v/>
      </c>
      <c r="H427" s="13">
        <f>IF(A427="",0,B427*(92*IF(OR(C427=Options!$B$9,C427=Options!$B$10),75%,100%)-IF(C427=DATE(2026,11,29),26+IF(Options!$B$8="是",23,0),0)-IF(C427=DATE(2026,11,30),26,0)-IF(C427=DATE(2026,12,1),64,0)-IF(C427=DATE(2026,11,28),38,0)-IF(C427=DATE(2026,12,2),26,0)))</f>
        <v/>
      </c>
      <c r="I427" s="13">
        <f>IF(AND(C427&gt;=DATE(2026,11,29),C427&lt;=DATE(2026,12,1)),B427*60,0)</f>
        <v/>
      </c>
      <c r="J427" s="13">
        <f>IF(A427="",0,B427*(IF(C427=DATE(2026,11,28),38,0)+IF(C427=DATE(2026,12,1),38,0)+IF(C427=DATE(2026,12,2),26,0)))</f>
        <v/>
      </c>
      <c r="K427" s="13">
        <f>IF(C427=Options!$B$9,B427*12,0)</f>
        <v/>
      </c>
      <c r="L427" s="13">
        <f>IF(C427=Options!$B$9,B427*Options!$Z$5,0)</f>
        <v/>
      </c>
      <c r="M427" s="13" t="n">
        <v>0</v>
      </c>
      <c r="N427" s="13">
        <f>SUM(E427:M427)</f>
        <v/>
      </c>
    </row>
    <row r="428">
      <c r="A428" s="5">
        <f>IF(AND(C428&gt;=Options!$B$9,C428&lt;=Options!$B$10),"Chicago","")</f>
        <v/>
      </c>
      <c r="B428" s="5">
        <f>IF(A428="","",24)</f>
        <v/>
      </c>
      <c r="C428" s="17" t="n">
        <v>46354</v>
      </c>
      <c r="D428" s="5">
        <f>IF(A428="","",IF(C428=DATE(2026,11,29),"培训；注册午餐；早餐参数",IF(C428=DATE(2026,11,30),"培训；注册午餐",IF(C428=DATE(2026,12,1),"培训；注册午餐；机构晚餐",IF(C428=Options!$B$9,"抵达；"&amp;IF(C428=DATE(2026,11,28),"机构晚餐","无统一供餐"),IF(C428=Options!$B$10,"返程；"&amp;IF(C428=DATE(2026,12,2),"机构午餐","无统一供餐"),"差旅状态；无统一日程"))))))</f>
        <v/>
      </c>
      <c r="E428" s="13">
        <f>IF(C428=Options!$B$9,Options!$C$15,0)</f>
        <v/>
      </c>
      <c r="F428" s="13">
        <f>IF(AND(A428&lt;&gt;"",C428&lt;Options!$B$10),B428*Options!$X$5,0)</f>
        <v/>
      </c>
      <c r="G428" s="13">
        <f>F428*12%</f>
        <v/>
      </c>
      <c r="H428" s="13">
        <f>IF(A428="",0,B428*(92*IF(OR(C428=Options!$B$9,C428=Options!$B$10),75%,100%)-IF(C428=DATE(2026,11,29),26+IF(Options!$B$8="是",23,0),0)-IF(C428=DATE(2026,11,30),26,0)-IF(C428=DATE(2026,12,1),64,0)-IF(C428=DATE(2026,11,28),38,0)-IF(C428=DATE(2026,12,2),26,0)))</f>
        <v/>
      </c>
      <c r="I428" s="13">
        <f>IF(AND(C428&gt;=DATE(2026,11,29),C428&lt;=DATE(2026,12,1)),B428*60,0)</f>
        <v/>
      </c>
      <c r="J428" s="13">
        <f>IF(A428="",0,B428*(IF(C428=DATE(2026,11,28),38,0)+IF(C428=DATE(2026,12,1),38,0)+IF(C428=DATE(2026,12,2),26,0)))</f>
        <v/>
      </c>
      <c r="K428" s="13">
        <f>IF(C428=Options!$B$9,B428*12,0)</f>
        <v/>
      </c>
      <c r="L428" s="13">
        <f>IF(C428=Options!$B$9,B428*Options!$Z$5,0)</f>
        <v/>
      </c>
      <c r="M428" s="13" t="n">
        <v>0</v>
      </c>
      <c r="N428" s="13">
        <f>SUM(E428:M428)</f>
        <v/>
      </c>
    </row>
    <row r="429">
      <c r="A429" s="5">
        <f>IF(AND(C429&gt;=Options!$B$9,C429&lt;=Options!$B$10),"Chicago","")</f>
        <v/>
      </c>
      <c r="B429" s="5">
        <f>IF(A429="","",24)</f>
        <v/>
      </c>
      <c r="C429" s="17" t="n">
        <v>46355</v>
      </c>
      <c r="D429" s="5">
        <f>IF(A429="","",IF(C429=DATE(2026,11,29),"培训；注册午餐；早餐参数",IF(C429=DATE(2026,11,30),"培训；注册午餐",IF(C429=DATE(2026,12,1),"培训；注册午餐；机构晚餐",IF(C429=Options!$B$9,"抵达；"&amp;IF(C429=DATE(2026,11,28),"机构晚餐","无统一供餐"),IF(C429=Options!$B$10,"返程；"&amp;IF(C429=DATE(2026,12,2),"机构午餐","无统一供餐"),"差旅状态；无统一日程"))))))</f>
        <v/>
      </c>
      <c r="E429" s="13">
        <f>IF(C429=Options!$B$9,Options!$C$15,0)</f>
        <v/>
      </c>
      <c r="F429" s="13">
        <f>IF(AND(A429&lt;&gt;"",C429&lt;Options!$B$10),B429*Options!$X$5,0)</f>
        <v/>
      </c>
      <c r="G429" s="13">
        <f>F429*12%</f>
        <v/>
      </c>
      <c r="H429" s="13">
        <f>IF(A429="",0,B429*(92*IF(OR(C429=Options!$B$9,C429=Options!$B$10),75%,100%)-IF(C429=DATE(2026,11,29),26+IF(Options!$B$8="是",23,0),0)-IF(C429=DATE(2026,11,30),26,0)-IF(C429=DATE(2026,12,1),64,0)-IF(C429=DATE(2026,11,28),38,0)-IF(C429=DATE(2026,12,2),26,0)))</f>
        <v/>
      </c>
      <c r="I429" s="13">
        <f>IF(AND(C429&gt;=DATE(2026,11,29),C429&lt;=DATE(2026,12,1)),B429*60,0)</f>
        <v/>
      </c>
      <c r="J429" s="13">
        <f>IF(A429="",0,B429*(IF(C429=DATE(2026,11,28),38,0)+IF(C429=DATE(2026,12,1),38,0)+IF(C429=DATE(2026,12,2),26,0)))</f>
        <v/>
      </c>
      <c r="K429" s="13">
        <f>IF(C429=Options!$B$9,B429*12,0)</f>
        <v/>
      </c>
      <c r="L429" s="13">
        <f>IF(C429=Options!$B$9,B429*Options!$Z$5,0)</f>
        <v/>
      </c>
      <c r="M429" s="13" t="n">
        <v>0</v>
      </c>
      <c r="N429" s="13">
        <f>SUM(E429:M429)</f>
        <v/>
      </c>
    </row>
    <row r="430">
      <c r="A430" s="5">
        <f>IF(AND(C430&gt;=Options!$B$9,C430&lt;=Options!$B$10),"Chicago","")</f>
        <v/>
      </c>
      <c r="B430" s="5">
        <f>IF(A430="","",24)</f>
        <v/>
      </c>
      <c r="C430" s="17" t="n">
        <v>46356</v>
      </c>
      <c r="D430" s="5">
        <f>IF(A430="","",IF(C430=DATE(2026,11,29),"培训；注册午餐；早餐参数",IF(C430=DATE(2026,11,30),"培训；注册午餐",IF(C430=DATE(2026,12,1),"培训；注册午餐；机构晚餐",IF(C430=Options!$B$9,"抵达；"&amp;IF(C430=DATE(2026,11,28),"机构晚餐","无统一供餐"),IF(C430=Options!$B$10,"返程；"&amp;IF(C430=DATE(2026,12,2),"机构午餐","无统一供餐"),"差旅状态；无统一日程"))))))</f>
        <v/>
      </c>
      <c r="E430" s="13">
        <f>IF(C430=Options!$B$9,Options!$C$15,0)</f>
        <v/>
      </c>
      <c r="F430" s="13">
        <f>IF(AND(A430&lt;&gt;"",C430&lt;Options!$B$10),B430*Options!$X$5,0)</f>
        <v/>
      </c>
      <c r="G430" s="13">
        <f>F430*12%</f>
        <v/>
      </c>
      <c r="H430" s="13">
        <f>IF(A430="",0,B430*(92*IF(OR(C430=Options!$B$9,C430=Options!$B$10),75%,100%)-IF(C430=DATE(2026,11,29),26+IF(Options!$B$8="是",23,0),0)-IF(C430=DATE(2026,11,30),26,0)-IF(C430=DATE(2026,12,1),64,0)-IF(C430=DATE(2026,11,28),38,0)-IF(C430=DATE(2026,12,2),26,0)))</f>
        <v/>
      </c>
      <c r="I430" s="13">
        <f>IF(AND(C430&gt;=DATE(2026,11,29),C430&lt;=DATE(2026,12,1)),B430*60,0)</f>
        <v/>
      </c>
      <c r="J430" s="13">
        <f>IF(A430="",0,B430*(IF(C430=DATE(2026,11,28),38,0)+IF(C430=DATE(2026,12,1),38,0)+IF(C430=DATE(2026,12,2),26,0)))</f>
        <v/>
      </c>
      <c r="K430" s="13">
        <f>IF(C430=Options!$B$9,B430*12,0)</f>
        <v/>
      </c>
      <c r="L430" s="13">
        <f>IF(C430=Options!$B$9,B430*Options!$Z$5,0)</f>
        <v/>
      </c>
      <c r="M430" s="13" t="n">
        <v>0</v>
      </c>
      <c r="N430" s="13">
        <f>SUM(E430:M430)</f>
        <v/>
      </c>
    </row>
    <row r="431">
      <c r="A431" s="5">
        <f>IF(AND(C431&gt;=Options!$B$9,C431&lt;=Options!$B$10),"Chicago","")</f>
        <v/>
      </c>
      <c r="B431" s="5">
        <f>IF(A431="","",24)</f>
        <v/>
      </c>
      <c r="C431" s="17" t="n">
        <v>46357</v>
      </c>
      <c r="D431" s="5">
        <f>IF(A431="","",IF(C431=DATE(2026,11,29),"培训；注册午餐；早餐参数",IF(C431=DATE(2026,11,30),"培训；注册午餐",IF(C431=DATE(2026,12,1),"培训；注册午餐；机构晚餐",IF(C431=Options!$B$9,"抵达；"&amp;IF(C431=DATE(2026,11,28),"机构晚餐","无统一供餐"),IF(C431=Options!$B$10,"返程；"&amp;IF(C431=DATE(2026,12,2),"机构午餐","无统一供餐"),"差旅状态；无统一日程"))))))</f>
        <v/>
      </c>
      <c r="E431" s="13">
        <f>IF(C431=Options!$B$9,Options!$C$15,0)</f>
        <v/>
      </c>
      <c r="F431" s="13">
        <f>IF(AND(A431&lt;&gt;"",C431&lt;Options!$B$10),B431*Options!$X$5,0)</f>
        <v/>
      </c>
      <c r="G431" s="13">
        <f>F431*12%</f>
        <v/>
      </c>
      <c r="H431" s="13">
        <f>IF(A431="",0,B431*(92*IF(OR(C431=Options!$B$9,C431=Options!$B$10),75%,100%)-IF(C431=DATE(2026,11,29),26+IF(Options!$B$8="是",23,0),0)-IF(C431=DATE(2026,11,30),26,0)-IF(C431=DATE(2026,12,1),64,0)-IF(C431=DATE(2026,11,28),38,0)-IF(C431=DATE(2026,12,2),26,0)))</f>
        <v/>
      </c>
      <c r="I431" s="13">
        <f>IF(AND(C431&gt;=DATE(2026,11,29),C431&lt;=DATE(2026,12,1)),B431*60,0)</f>
        <v/>
      </c>
      <c r="J431" s="13">
        <f>IF(A431="",0,B431*(IF(C431=DATE(2026,11,28),38,0)+IF(C431=DATE(2026,12,1),38,0)+IF(C431=DATE(2026,12,2),26,0)))</f>
        <v/>
      </c>
      <c r="K431" s="13">
        <f>IF(C431=Options!$B$9,B431*12,0)</f>
        <v/>
      </c>
      <c r="L431" s="13">
        <f>IF(C431=Options!$B$9,B431*Options!$Z$5,0)</f>
        <v/>
      </c>
      <c r="M431" s="13" t="n">
        <v>0</v>
      </c>
      <c r="N431" s="13">
        <f>SUM(E431:M431)</f>
        <v/>
      </c>
    </row>
    <row r="432">
      <c r="A432" s="5">
        <f>IF(AND(C432&gt;=Options!$B$9,C432&lt;=Options!$B$10),"Chicago","")</f>
        <v/>
      </c>
      <c r="B432" s="5">
        <f>IF(A432="","",24)</f>
        <v/>
      </c>
      <c r="C432" s="17" t="n">
        <v>46358</v>
      </c>
      <c r="D432" s="5">
        <f>IF(A432="","",IF(C432=DATE(2026,11,29),"培训；注册午餐；早餐参数",IF(C432=DATE(2026,11,30),"培训；注册午餐",IF(C432=DATE(2026,12,1),"培训；注册午餐；机构晚餐",IF(C432=Options!$B$9,"抵达；"&amp;IF(C432=DATE(2026,11,28),"机构晚餐","无统一供餐"),IF(C432=Options!$B$10,"返程；"&amp;IF(C432=DATE(2026,12,2),"机构午餐","无统一供餐"),"差旅状态；无统一日程"))))))</f>
        <v/>
      </c>
      <c r="E432" s="13">
        <f>IF(C432=Options!$B$9,Options!$C$15,0)</f>
        <v/>
      </c>
      <c r="F432" s="13">
        <f>IF(AND(A432&lt;&gt;"",C432&lt;Options!$B$10),B432*Options!$X$5,0)</f>
        <v/>
      </c>
      <c r="G432" s="13">
        <f>F432*12%</f>
        <v/>
      </c>
      <c r="H432" s="13">
        <f>IF(A432="",0,B432*(92*IF(OR(C432=Options!$B$9,C432=Options!$B$10),75%,100%)-IF(C432=DATE(2026,11,29),26+IF(Options!$B$8="是",23,0),0)-IF(C432=DATE(2026,11,30),26,0)-IF(C432=DATE(2026,12,1),64,0)-IF(C432=DATE(2026,11,28),38,0)-IF(C432=DATE(2026,12,2),26,0)))</f>
        <v/>
      </c>
      <c r="I432" s="13">
        <f>IF(AND(C432&gt;=DATE(2026,11,29),C432&lt;=DATE(2026,12,1)),B432*60,0)</f>
        <v/>
      </c>
      <c r="J432" s="13">
        <f>IF(A432="",0,B432*(IF(C432=DATE(2026,11,28),38,0)+IF(C432=DATE(2026,12,1),38,0)+IF(C432=DATE(2026,12,2),26,0)))</f>
        <v/>
      </c>
      <c r="K432" s="13">
        <f>IF(C432=Options!$B$9,B432*12,0)</f>
        <v/>
      </c>
      <c r="L432" s="13">
        <f>IF(C432=Options!$B$9,B432*Options!$Z$5,0)</f>
        <v/>
      </c>
      <c r="M432" s="13" t="n">
        <v>0</v>
      </c>
      <c r="N432" s="13">
        <f>SUM(E432:M432)</f>
        <v/>
      </c>
    </row>
    <row r="433">
      <c r="A433" s="5">
        <f>IF(AND(C433&gt;=Options!$B$9,C433&lt;=Options!$B$10),"Chicago","")</f>
        <v/>
      </c>
      <c r="B433" s="5">
        <f>IF(A433="","",24)</f>
        <v/>
      </c>
      <c r="C433" s="17" t="n">
        <v>46359</v>
      </c>
      <c r="D433" s="5">
        <f>IF(A433="","",IF(C433=DATE(2026,11,29),"培训；注册午餐；早餐参数",IF(C433=DATE(2026,11,30),"培训；注册午餐",IF(C433=DATE(2026,12,1),"培训；注册午餐；机构晚餐",IF(C433=Options!$B$9,"抵达；"&amp;IF(C433=DATE(2026,11,28),"机构晚餐","无统一供餐"),IF(C433=Options!$B$10,"返程；"&amp;IF(C433=DATE(2026,12,2),"机构午餐","无统一供餐"),"差旅状态；无统一日程"))))))</f>
        <v/>
      </c>
      <c r="E433" s="13">
        <f>IF(C433=Options!$B$9,Options!$C$15,0)</f>
        <v/>
      </c>
      <c r="F433" s="13">
        <f>IF(AND(A433&lt;&gt;"",C433&lt;Options!$B$10),B433*Options!$X$5,0)</f>
        <v/>
      </c>
      <c r="G433" s="13">
        <f>F433*12%</f>
        <v/>
      </c>
      <c r="H433" s="13">
        <f>IF(A433="",0,B433*(92*IF(OR(C433=Options!$B$9,C433=Options!$B$10),75%,100%)-IF(C433=DATE(2026,11,29),26+IF(Options!$B$8="是",23,0),0)-IF(C433=DATE(2026,11,30),26,0)-IF(C433=DATE(2026,12,1),64,0)-IF(C433=DATE(2026,11,28),38,0)-IF(C433=DATE(2026,12,2),26,0)))</f>
        <v/>
      </c>
      <c r="I433" s="13">
        <f>IF(AND(C433&gt;=DATE(2026,11,29),C433&lt;=DATE(2026,12,1)),B433*60,0)</f>
        <v/>
      </c>
      <c r="J433" s="13">
        <f>IF(A433="",0,B433*(IF(C433=DATE(2026,11,28),38,0)+IF(C433=DATE(2026,12,1),38,0)+IF(C433=DATE(2026,12,2),26,0)))</f>
        <v/>
      </c>
      <c r="K433" s="13">
        <f>IF(C433=Options!$B$9,B433*12,0)</f>
        <v/>
      </c>
      <c r="L433" s="13">
        <f>IF(C433=Options!$B$9,B433*Options!$Z$5,0)</f>
        <v/>
      </c>
      <c r="M433" s="13" t="n">
        <v>0</v>
      </c>
      <c r="N433" s="13">
        <f>SUM(E433:M433)</f>
        <v/>
      </c>
    </row>
    <row r="434">
      <c r="A434" s="5">
        <f>IF(AND(C434&gt;=Options!$B$9,C434&lt;=Options!$B$10),"Chicago","")</f>
        <v/>
      </c>
      <c r="B434" s="5">
        <f>IF(A434="","",24)</f>
        <v/>
      </c>
      <c r="C434" s="17" t="n">
        <v>46360</v>
      </c>
      <c r="D434" s="5">
        <f>IF(A434="","",IF(C434=DATE(2026,11,29),"培训；注册午餐；早餐参数",IF(C434=DATE(2026,11,30),"培训；注册午餐",IF(C434=DATE(2026,12,1),"培训；注册午餐；机构晚餐",IF(C434=Options!$B$9,"抵达；"&amp;IF(C434=DATE(2026,11,28),"机构晚餐","无统一供餐"),IF(C434=Options!$B$10,"返程；"&amp;IF(C434=DATE(2026,12,2),"机构午餐","无统一供餐"),"差旅状态；无统一日程"))))))</f>
        <v/>
      </c>
      <c r="E434" s="13">
        <f>IF(C434=Options!$B$9,Options!$C$15,0)</f>
        <v/>
      </c>
      <c r="F434" s="13">
        <f>IF(AND(A434&lt;&gt;"",C434&lt;Options!$B$10),B434*Options!$X$5,0)</f>
        <v/>
      </c>
      <c r="G434" s="13">
        <f>F434*12%</f>
        <v/>
      </c>
      <c r="H434" s="13">
        <f>IF(A434="",0,B434*(92*IF(OR(C434=Options!$B$9,C434=Options!$B$10),75%,100%)-IF(C434=DATE(2026,11,29),26+IF(Options!$B$8="是",23,0),0)-IF(C434=DATE(2026,11,30),26,0)-IF(C434=DATE(2026,12,1),64,0)-IF(C434=DATE(2026,11,28),38,0)-IF(C434=DATE(2026,12,2),26,0)))</f>
        <v/>
      </c>
      <c r="I434" s="13">
        <f>IF(AND(C434&gt;=DATE(2026,11,29),C434&lt;=DATE(2026,12,1)),B434*60,0)</f>
        <v/>
      </c>
      <c r="J434" s="13">
        <f>IF(A434="",0,B434*(IF(C434=DATE(2026,11,28),38,0)+IF(C434=DATE(2026,12,1),38,0)+IF(C434=DATE(2026,12,2),26,0)))</f>
        <v/>
      </c>
      <c r="K434" s="13">
        <f>IF(C434=Options!$B$9,B434*12,0)</f>
        <v/>
      </c>
      <c r="L434" s="13">
        <f>IF(C434=Options!$B$9,B434*Options!$Z$5,0)</f>
        <v/>
      </c>
      <c r="M434" s="13" t="n">
        <v>0</v>
      </c>
      <c r="N434" s="13">
        <f>SUM(E434:M434)</f>
        <v/>
      </c>
    </row>
    <row r="435">
      <c r="A435" s="5">
        <f>IF(AND(C435&gt;=Options!$B$9,C435&lt;=Options!$B$10),"Chicago","")</f>
        <v/>
      </c>
      <c r="B435" s="5">
        <f>IF(A435="","",24)</f>
        <v/>
      </c>
      <c r="C435" s="17" t="n">
        <v>46361</v>
      </c>
      <c r="D435" s="5">
        <f>IF(A435="","",IF(C435=DATE(2026,11,29),"培训；注册午餐；早餐参数",IF(C435=DATE(2026,11,30),"培训；注册午餐",IF(C435=DATE(2026,12,1),"培训；注册午餐；机构晚餐",IF(C435=Options!$B$9,"抵达；"&amp;IF(C435=DATE(2026,11,28),"机构晚餐","无统一供餐"),IF(C435=Options!$B$10,"返程；"&amp;IF(C435=DATE(2026,12,2),"机构午餐","无统一供餐"),"差旅状态；无统一日程"))))))</f>
        <v/>
      </c>
      <c r="E435" s="13">
        <f>IF(C435=Options!$B$9,Options!$C$15,0)</f>
        <v/>
      </c>
      <c r="F435" s="13">
        <f>IF(AND(A435&lt;&gt;"",C435&lt;Options!$B$10),B435*Options!$X$5,0)</f>
        <v/>
      </c>
      <c r="G435" s="13">
        <f>F435*12%</f>
        <v/>
      </c>
      <c r="H435" s="13">
        <f>IF(A435="",0,B435*(92*IF(OR(C435=Options!$B$9,C435=Options!$B$10),75%,100%)-IF(C435=DATE(2026,11,29),26+IF(Options!$B$8="是",23,0),0)-IF(C435=DATE(2026,11,30),26,0)-IF(C435=DATE(2026,12,1),64,0)-IF(C435=DATE(2026,11,28),38,0)-IF(C435=DATE(2026,12,2),26,0)))</f>
        <v/>
      </c>
      <c r="I435" s="13">
        <f>IF(AND(C435&gt;=DATE(2026,11,29),C435&lt;=DATE(2026,12,1)),B435*60,0)</f>
        <v/>
      </c>
      <c r="J435" s="13">
        <f>IF(A435="",0,B435*(IF(C435=DATE(2026,11,28),38,0)+IF(C435=DATE(2026,12,1),38,0)+IF(C435=DATE(2026,12,2),26,0)))</f>
        <v/>
      </c>
      <c r="K435" s="13">
        <f>IF(C435=Options!$B$9,B435*12,0)</f>
        <v/>
      </c>
      <c r="L435" s="13">
        <f>IF(C435=Options!$B$9,B435*Options!$Z$5,0)</f>
        <v/>
      </c>
      <c r="M435" s="13" t="n">
        <v>0</v>
      </c>
      <c r="N435" s="13">
        <f>SUM(E435:M435)</f>
        <v/>
      </c>
    </row>
    <row r="436">
      <c r="A436" s="5">
        <f>IF(AND(C436&gt;=Options!$B$9,C436&lt;=Options!$B$10),"Chicago","")</f>
        <v/>
      </c>
      <c r="B436" s="5">
        <f>IF(A436="","",24)</f>
        <v/>
      </c>
      <c r="C436" s="17" t="n">
        <v>46362</v>
      </c>
      <c r="D436" s="5">
        <f>IF(A436="","",IF(C436=DATE(2026,11,29),"培训；注册午餐；早餐参数",IF(C436=DATE(2026,11,30),"培训；注册午餐",IF(C436=DATE(2026,12,1),"培训；注册午餐；机构晚餐",IF(C436=Options!$B$9,"抵达；"&amp;IF(C436=DATE(2026,11,28),"机构晚餐","无统一供餐"),IF(C436=Options!$B$10,"返程；"&amp;IF(C436=DATE(2026,12,2),"机构午餐","无统一供餐"),"差旅状态；无统一日程"))))))</f>
        <v/>
      </c>
      <c r="E436" s="13">
        <f>IF(C436=Options!$B$9,Options!$C$15,0)</f>
        <v/>
      </c>
      <c r="F436" s="13">
        <f>IF(AND(A436&lt;&gt;"",C436&lt;Options!$B$10),B436*Options!$X$5,0)</f>
        <v/>
      </c>
      <c r="G436" s="13">
        <f>F436*12%</f>
        <v/>
      </c>
      <c r="H436" s="13">
        <f>IF(A436="",0,B436*(92*IF(OR(C436=Options!$B$9,C436=Options!$B$10),75%,100%)-IF(C436=DATE(2026,11,29),26+IF(Options!$B$8="是",23,0),0)-IF(C436=DATE(2026,11,30),26,0)-IF(C436=DATE(2026,12,1),64,0)-IF(C436=DATE(2026,11,28),38,0)-IF(C436=DATE(2026,12,2),26,0)))</f>
        <v/>
      </c>
      <c r="I436" s="13">
        <f>IF(AND(C436&gt;=DATE(2026,11,29),C436&lt;=DATE(2026,12,1)),B436*60,0)</f>
        <v/>
      </c>
      <c r="J436" s="13">
        <f>IF(A436="",0,B436*(IF(C436=DATE(2026,11,28),38,0)+IF(C436=DATE(2026,12,1),38,0)+IF(C436=DATE(2026,12,2),26,0)))</f>
        <v/>
      </c>
      <c r="K436" s="13">
        <f>IF(C436=Options!$B$9,B436*12,0)</f>
        <v/>
      </c>
      <c r="L436" s="13">
        <f>IF(C436=Options!$B$9,B436*Options!$Z$5,0)</f>
        <v/>
      </c>
      <c r="M436" s="13" t="n">
        <v>0</v>
      </c>
      <c r="N436" s="13">
        <f>SUM(E436:M436)</f>
        <v/>
      </c>
    </row>
    <row r="437">
      <c r="A437" s="5">
        <f>IF(AND(C437&gt;=Options!$B$9,C437&lt;=Options!$B$10),"Chicago","")</f>
        <v/>
      </c>
      <c r="B437" s="5">
        <f>IF(A437="","",24)</f>
        <v/>
      </c>
      <c r="C437" s="17" t="n">
        <v>46363</v>
      </c>
      <c r="D437" s="5">
        <f>IF(A437="","",IF(C437=DATE(2026,11,29),"培训；注册午餐；早餐参数",IF(C437=DATE(2026,11,30),"培训；注册午餐",IF(C437=DATE(2026,12,1),"培训；注册午餐；机构晚餐",IF(C437=Options!$B$9,"抵达；"&amp;IF(C437=DATE(2026,11,28),"机构晚餐","无统一供餐"),IF(C437=Options!$B$10,"返程；"&amp;IF(C437=DATE(2026,12,2),"机构午餐","无统一供餐"),"差旅状态；无统一日程"))))))</f>
        <v/>
      </c>
      <c r="E437" s="13">
        <f>IF(C437=Options!$B$9,Options!$C$15,0)</f>
        <v/>
      </c>
      <c r="F437" s="13">
        <f>IF(AND(A437&lt;&gt;"",C437&lt;Options!$B$10),B437*Options!$X$5,0)</f>
        <v/>
      </c>
      <c r="G437" s="13">
        <f>F437*12%</f>
        <v/>
      </c>
      <c r="H437" s="13">
        <f>IF(A437="",0,B437*(92*IF(OR(C437=Options!$B$9,C437=Options!$B$10),75%,100%)-IF(C437=DATE(2026,11,29),26+IF(Options!$B$8="是",23,0),0)-IF(C437=DATE(2026,11,30),26,0)-IF(C437=DATE(2026,12,1),64,0)-IF(C437=DATE(2026,11,28),38,0)-IF(C437=DATE(2026,12,2),26,0)))</f>
        <v/>
      </c>
      <c r="I437" s="13">
        <f>IF(AND(C437&gt;=DATE(2026,11,29),C437&lt;=DATE(2026,12,1)),B437*60,0)</f>
        <v/>
      </c>
      <c r="J437" s="13">
        <f>IF(A437="",0,B437*(IF(C437=DATE(2026,11,28),38,0)+IF(C437=DATE(2026,12,1),38,0)+IF(C437=DATE(2026,12,2),26,0)))</f>
        <v/>
      </c>
      <c r="K437" s="13">
        <f>IF(C437=Options!$B$9,B437*12,0)</f>
        <v/>
      </c>
      <c r="L437" s="13">
        <f>IF(C437=Options!$B$9,B437*Options!$Z$5,0)</f>
        <v/>
      </c>
      <c r="M437" s="13" t="n">
        <v>0</v>
      </c>
      <c r="N437" s="13">
        <f>SUM(E437:M437)</f>
        <v/>
      </c>
    </row>
    <row r="438">
      <c r="A438" s="5">
        <f>IF(AND(C438&gt;=Options!$B$9,C438&lt;=Options!$B$10),"Chicago","")</f>
        <v/>
      </c>
      <c r="B438" s="5">
        <f>IF(A438="","",24)</f>
        <v/>
      </c>
      <c r="C438" s="17" t="n">
        <v>46364</v>
      </c>
      <c r="D438" s="5">
        <f>IF(A438="","",IF(C438=DATE(2026,11,29),"培训；注册午餐；早餐参数",IF(C438=DATE(2026,11,30),"培训；注册午餐",IF(C438=DATE(2026,12,1),"培训；注册午餐；机构晚餐",IF(C438=Options!$B$9,"抵达；"&amp;IF(C438=DATE(2026,11,28),"机构晚餐","无统一供餐"),IF(C438=Options!$B$10,"返程；"&amp;IF(C438=DATE(2026,12,2),"机构午餐","无统一供餐"),"差旅状态；无统一日程"))))))</f>
        <v/>
      </c>
      <c r="E438" s="13">
        <f>IF(C438=Options!$B$9,Options!$C$15,0)</f>
        <v/>
      </c>
      <c r="F438" s="13">
        <f>IF(AND(A438&lt;&gt;"",C438&lt;Options!$B$10),B438*Options!$X$5,0)</f>
        <v/>
      </c>
      <c r="G438" s="13">
        <f>F438*12%</f>
        <v/>
      </c>
      <c r="H438" s="13">
        <f>IF(A438="",0,B438*(92*IF(OR(C438=Options!$B$9,C438=Options!$B$10),75%,100%)-IF(C438=DATE(2026,11,29),26+IF(Options!$B$8="是",23,0),0)-IF(C438=DATE(2026,11,30),26,0)-IF(C438=DATE(2026,12,1),64,0)-IF(C438=DATE(2026,11,28),38,0)-IF(C438=DATE(2026,12,2),26,0)))</f>
        <v/>
      </c>
      <c r="I438" s="13">
        <f>IF(AND(C438&gt;=DATE(2026,11,29),C438&lt;=DATE(2026,12,1)),B438*60,0)</f>
        <v/>
      </c>
      <c r="J438" s="13">
        <f>IF(A438="",0,B438*(IF(C438=DATE(2026,11,28),38,0)+IF(C438=DATE(2026,12,1),38,0)+IF(C438=DATE(2026,12,2),26,0)))</f>
        <v/>
      </c>
      <c r="K438" s="13">
        <f>IF(C438=Options!$B$9,B438*12,0)</f>
        <v/>
      </c>
      <c r="L438" s="13">
        <f>IF(C438=Options!$B$9,B438*Options!$Z$5,0)</f>
        <v/>
      </c>
      <c r="M438" s="13" t="n">
        <v>0</v>
      </c>
      <c r="N438" s="13">
        <f>SUM(E438:M438)</f>
        <v/>
      </c>
    </row>
    <row r="439">
      <c r="A439" s="5">
        <f>IF(AND(C439&gt;=Options!$B$9,C439&lt;=Options!$B$10),"Chicago","")</f>
        <v/>
      </c>
      <c r="B439" s="5">
        <f>IF(A439="","",24)</f>
        <v/>
      </c>
      <c r="C439" s="17" t="n">
        <v>46365</v>
      </c>
      <c r="D439" s="5">
        <f>IF(A439="","",IF(C439=DATE(2026,11,29),"培训；注册午餐；早餐参数",IF(C439=DATE(2026,11,30),"培训；注册午餐",IF(C439=DATE(2026,12,1),"培训；注册午餐；机构晚餐",IF(C439=Options!$B$9,"抵达；"&amp;IF(C439=DATE(2026,11,28),"机构晚餐","无统一供餐"),IF(C439=Options!$B$10,"返程；"&amp;IF(C439=DATE(2026,12,2),"机构午餐","无统一供餐"),"差旅状态；无统一日程"))))))</f>
        <v/>
      </c>
      <c r="E439" s="13">
        <f>IF(C439=Options!$B$9,Options!$C$15,0)</f>
        <v/>
      </c>
      <c r="F439" s="13">
        <f>IF(AND(A439&lt;&gt;"",C439&lt;Options!$B$10),B439*Options!$X$5,0)</f>
        <v/>
      </c>
      <c r="G439" s="13">
        <f>F439*12%</f>
        <v/>
      </c>
      <c r="H439" s="13">
        <f>IF(A439="",0,B439*(92*IF(OR(C439=Options!$B$9,C439=Options!$B$10),75%,100%)-IF(C439=DATE(2026,11,29),26+IF(Options!$B$8="是",23,0),0)-IF(C439=DATE(2026,11,30),26,0)-IF(C439=DATE(2026,12,1),64,0)-IF(C439=DATE(2026,11,28),38,0)-IF(C439=DATE(2026,12,2),26,0)))</f>
        <v/>
      </c>
      <c r="I439" s="13">
        <f>IF(AND(C439&gt;=DATE(2026,11,29),C439&lt;=DATE(2026,12,1)),B439*60,0)</f>
        <v/>
      </c>
      <c r="J439" s="13">
        <f>IF(A439="",0,B439*(IF(C439=DATE(2026,11,28),38,0)+IF(C439=DATE(2026,12,1),38,0)+IF(C439=DATE(2026,12,2),26,0)))</f>
        <v/>
      </c>
      <c r="K439" s="13">
        <f>IF(C439=Options!$B$9,B439*12,0)</f>
        <v/>
      </c>
      <c r="L439" s="13">
        <f>IF(C439=Options!$B$9,B439*Options!$Z$5,0)</f>
        <v/>
      </c>
      <c r="M439" s="13" t="n">
        <v>0</v>
      </c>
      <c r="N439" s="13">
        <f>SUM(E439:M439)</f>
        <v/>
      </c>
    </row>
    <row r="440">
      <c r="A440" s="5">
        <f>IF(AND(C440&gt;=Options!$B$9,C440&lt;=Options!$B$10),"Chicago","")</f>
        <v/>
      </c>
      <c r="B440" s="5">
        <f>IF(A440="","",24)</f>
        <v/>
      </c>
      <c r="C440" s="17" t="n">
        <v>46366</v>
      </c>
      <c r="D440" s="5">
        <f>IF(A440="","",IF(C440=DATE(2026,11,29),"培训；注册午餐；早餐参数",IF(C440=DATE(2026,11,30),"培训；注册午餐",IF(C440=DATE(2026,12,1),"培训；注册午餐；机构晚餐",IF(C440=Options!$B$9,"抵达；"&amp;IF(C440=DATE(2026,11,28),"机构晚餐","无统一供餐"),IF(C440=Options!$B$10,"返程；"&amp;IF(C440=DATE(2026,12,2),"机构午餐","无统一供餐"),"差旅状态；无统一日程"))))))</f>
        <v/>
      </c>
      <c r="E440" s="13">
        <f>IF(C440=Options!$B$9,Options!$C$15,0)</f>
        <v/>
      </c>
      <c r="F440" s="13">
        <f>IF(AND(A440&lt;&gt;"",C440&lt;Options!$B$10),B440*Options!$X$5,0)</f>
        <v/>
      </c>
      <c r="G440" s="13">
        <f>F440*12%</f>
        <v/>
      </c>
      <c r="H440" s="13">
        <f>IF(A440="",0,B440*(92*IF(OR(C440=Options!$B$9,C440=Options!$B$10),75%,100%)-IF(C440=DATE(2026,11,29),26+IF(Options!$B$8="是",23,0),0)-IF(C440=DATE(2026,11,30),26,0)-IF(C440=DATE(2026,12,1),64,0)-IF(C440=DATE(2026,11,28),38,0)-IF(C440=DATE(2026,12,2),26,0)))</f>
        <v/>
      </c>
      <c r="I440" s="13">
        <f>IF(AND(C440&gt;=DATE(2026,11,29),C440&lt;=DATE(2026,12,1)),B440*60,0)</f>
        <v/>
      </c>
      <c r="J440" s="13">
        <f>IF(A440="",0,B440*(IF(C440=DATE(2026,11,28),38,0)+IF(C440=DATE(2026,12,1),38,0)+IF(C440=DATE(2026,12,2),26,0)))</f>
        <v/>
      </c>
      <c r="K440" s="13">
        <f>IF(C440=Options!$B$9,B440*12,0)</f>
        <v/>
      </c>
      <c r="L440" s="13">
        <f>IF(C440=Options!$B$9,B440*Options!$Z$5,0)</f>
        <v/>
      </c>
      <c r="M440" s="13" t="n">
        <v>0</v>
      </c>
      <c r="N440" s="13">
        <f>SUM(E440:M440)</f>
        <v/>
      </c>
    </row>
    <row r="441">
      <c r="A441" s="5">
        <f>IF(AND(C441&gt;=Options!$B$9,C441&lt;=Options!$B$10),"Chicago","")</f>
        <v/>
      </c>
      <c r="B441" s="5">
        <f>IF(A441="","",24)</f>
        <v/>
      </c>
      <c r="C441" s="17" t="n">
        <v>46367</v>
      </c>
      <c r="D441" s="5">
        <f>IF(A441="","",IF(C441=DATE(2026,11,29),"培训；注册午餐；早餐参数",IF(C441=DATE(2026,11,30),"培训；注册午餐",IF(C441=DATE(2026,12,1),"培训；注册午餐；机构晚餐",IF(C441=Options!$B$9,"抵达；"&amp;IF(C441=DATE(2026,11,28),"机构晚餐","无统一供餐"),IF(C441=Options!$B$10,"返程；"&amp;IF(C441=DATE(2026,12,2),"机构午餐","无统一供餐"),"差旅状态；无统一日程"))))))</f>
        <v/>
      </c>
      <c r="E441" s="13">
        <f>IF(C441=Options!$B$9,Options!$C$15,0)</f>
        <v/>
      </c>
      <c r="F441" s="13">
        <f>IF(AND(A441&lt;&gt;"",C441&lt;Options!$B$10),B441*Options!$X$5,0)</f>
        <v/>
      </c>
      <c r="G441" s="13">
        <f>F441*12%</f>
        <v/>
      </c>
      <c r="H441" s="13">
        <f>IF(A441="",0,B441*(92*IF(OR(C441=Options!$B$9,C441=Options!$B$10),75%,100%)-IF(C441=DATE(2026,11,29),26+IF(Options!$B$8="是",23,0),0)-IF(C441=DATE(2026,11,30),26,0)-IF(C441=DATE(2026,12,1),64,0)-IF(C441=DATE(2026,11,28),38,0)-IF(C441=DATE(2026,12,2),26,0)))</f>
        <v/>
      </c>
      <c r="I441" s="13">
        <f>IF(AND(C441&gt;=DATE(2026,11,29),C441&lt;=DATE(2026,12,1)),B441*60,0)</f>
        <v/>
      </c>
      <c r="J441" s="13">
        <f>IF(A441="",0,B441*(IF(C441=DATE(2026,11,28),38,0)+IF(C441=DATE(2026,12,1),38,0)+IF(C441=DATE(2026,12,2),26,0)))</f>
        <v/>
      </c>
      <c r="K441" s="13">
        <f>IF(C441=Options!$B$9,B441*12,0)</f>
        <v/>
      </c>
      <c r="L441" s="13">
        <f>IF(C441=Options!$B$9,B441*Options!$Z$5,0)</f>
        <v/>
      </c>
      <c r="M441" s="13" t="n">
        <v>0</v>
      </c>
      <c r="N441" s="13">
        <f>SUM(E441:M441)</f>
        <v/>
      </c>
    </row>
    <row r="442">
      <c r="A442" s="5">
        <f>IF(AND(C442&gt;=Options!$B$9,C442&lt;=Options!$B$10),"Chicago","")</f>
        <v/>
      </c>
      <c r="B442" s="5">
        <f>IF(A442="","",24)</f>
        <v/>
      </c>
      <c r="C442" s="17" t="n">
        <v>46368</v>
      </c>
      <c r="D442" s="5">
        <f>IF(A442="","",IF(C442=DATE(2026,11,29),"培训；注册午餐；早餐参数",IF(C442=DATE(2026,11,30),"培训；注册午餐",IF(C442=DATE(2026,12,1),"培训；注册午餐；机构晚餐",IF(C442=Options!$B$9,"抵达；"&amp;IF(C442=DATE(2026,11,28),"机构晚餐","无统一供餐"),IF(C442=Options!$B$10,"返程；"&amp;IF(C442=DATE(2026,12,2),"机构午餐","无统一供餐"),"差旅状态；无统一日程"))))))</f>
        <v/>
      </c>
      <c r="E442" s="13">
        <f>IF(C442=Options!$B$9,Options!$C$15,0)</f>
        <v/>
      </c>
      <c r="F442" s="13">
        <f>IF(AND(A442&lt;&gt;"",C442&lt;Options!$B$10),B442*Options!$X$5,0)</f>
        <v/>
      </c>
      <c r="G442" s="13">
        <f>F442*12%</f>
        <v/>
      </c>
      <c r="H442" s="13">
        <f>IF(A442="",0,B442*(92*IF(OR(C442=Options!$B$9,C442=Options!$B$10),75%,100%)-IF(C442=DATE(2026,11,29),26+IF(Options!$B$8="是",23,0),0)-IF(C442=DATE(2026,11,30),26,0)-IF(C442=DATE(2026,12,1),64,0)-IF(C442=DATE(2026,11,28),38,0)-IF(C442=DATE(2026,12,2),26,0)))</f>
        <v/>
      </c>
      <c r="I442" s="13">
        <f>IF(AND(C442&gt;=DATE(2026,11,29),C442&lt;=DATE(2026,12,1)),B442*60,0)</f>
        <v/>
      </c>
      <c r="J442" s="13">
        <f>IF(A442="",0,B442*(IF(C442=DATE(2026,11,28),38,0)+IF(C442=DATE(2026,12,1),38,0)+IF(C442=DATE(2026,12,2),26,0)))</f>
        <v/>
      </c>
      <c r="K442" s="13">
        <f>IF(C442=Options!$B$9,B442*12,0)</f>
        <v/>
      </c>
      <c r="L442" s="13">
        <f>IF(C442=Options!$B$9,B442*Options!$Z$5,0)</f>
        <v/>
      </c>
      <c r="M442" s="13" t="n">
        <v>0</v>
      </c>
      <c r="N442" s="13">
        <f>SUM(E442:M442)</f>
        <v/>
      </c>
    </row>
    <row r="443">
      <c r="A443" s="5">
        <f>IF(AND(C443&gt;=Options!$B$9,C443&lt;=Options!$B$10),"Chicago","")</f>
        <v/>
      </c>
      <c r="B443" s="5">
        <f>IF(A443="","",24)</f>
        <v/>
      </c>
      <c r="C443" s="17" t="n">
        <v>46369</v>
      </c>
      <c r="D443" s="5">
        <f>IF(A443="","",IF(C443=DATE(2026,11,29),"培训；注册午餐；早餐参数",IF(C443=DATE(2026,11,30),"培训；注册午餐",IF(C443=DATE(2026,12,1),"培训；注册午餐；机构晚餐",IF(C443=Options!$B$9,"抵达；"&amp;IF(C443=DATE(2026,11,28),"机构晚餐","无统一供餐"),IF(C443=Options!$B$10,"返程；"&amp;IF(C443=DATE(2026,12,2),"机构午餐","无统一供餐"),"差旅状态；无统一日程"))))))</f>
        <v/>
      </c>
      <c r="E443" s="13">
        <f>IF(C443=Options!$B$9,Options!$C$15,0)</f>
        <v/>
      </c>
      <c r="F443" s="13">
        <f>IF(AND(A443&lt;&gt;"",C443&lt;Options!$B$10),B443*Options!$X$5,0)</f>
        <v/>
      </c>
      <c r="G443" s="13">
        <f>F443*12%</f>
        <v/>
      </c>
      <c r="H443" s="13">
        <f>IF(A443="",0,B443*(92*IF(OR(C443=Options!$B$9,C443=Options!$B$10),75%,100%)-IF(C443=DATE(2026,11,29),26+IF(Options!$B$8="是",23,0),0)-IF(C443=DATE(2026,11,30),26,0)-IF(C443=DATE(2026,12,1),64,0)-IF(C443=DATE(2026,11,28),38,0)-IF(C443=DATE(2026,12,2),26,0)))</f>
        <v/>
      </c>
      <c r="I443" s="13">
        <f>IF(AND(C443&gt;=DATE(2026,11,29),C443&lt;=DATE(2026,12,1)),B443*60,0)</f>
        <v/>
      </c>
      <c r="J443" s="13">
        <f>IF(A443="",0,B443*(IF(C443=DATE(2026,11,28),38,0)+IF(C443=DATE(2026,12,1),38,0)+IF(C443=DATE(2026,12,2),26,0)))</f>
        <v/>
      </c>
      <c r="K443" s="13">
        <f>IF(C443=Options!$B$9,B443*12,0)</f>
        <v/>
      </c>
      <c r="L443" s="13">
        <f>IF(C443=Options!$B$9,B443*Options!$Z$5,0)</f>
        <v/>
      </c>
      <c r="M443" s="13" t="n">
        <v>0</v>
      </c>
      <c r="N443" s="13">
        <f>SUM(E443:M443)</f>
        <v/>
      </c>
    </row>
    <row r="444">
      <c r="A444" s="5">
        <f>IF(AND(C444&gt;=Options!$B$9,C444&lt;=Options!$B$10),"Chicago","")</f>
        <v/>
      </c>
      <c r="B444" s="5">
        <f>IF(A444="","",24)</f>
        <v/>
      </c>
      <c r="C444" s="17" t="n">
        <v>46370</v>
      </c>
      <c r="D444" s="5">
        <f>IF(A444="","",IF(C444=DATE(2026,11,29),"培训；注册午餐；早餐参数",IF(C444=DATE(2026,11,30),"培训；注册午餐",IF(C444=DATE(2026,12,1),"培训；注册午餐；机构晚餐",IF(C444=Options!$B$9,"抵达；"&amp;IF(C444=DATE(2026,11,28),"机构晚餐","无统一供餐"),IF(C444=Options!$B$10,"返程；"&amp;IF(C444=DATE(2026,12,2),"机构午餐","无统一供餐"),"差旅状态；无统一日程"))))))</f>
        <v/>
      </c>
      <c r="E444" s="13">
        <f>IF(C444=Options!$B$9,Options!$C$15,0)</f>
        <v/>
      </c>
      <c r="F444" s="13">
        <f>IF(AND(A444&lt;&gt;"",C444&lt;Options!$B$10),B444*Options!$X$5,0)</f>
        <v/>
      </c>
      <c r="G444" s="13">
        <f>F444*12%</f>
        <v/>
      </c>
      <c r="H444" s="13">
        <f>IF(A444="",0,B444*(92*IF(OR(C444=Options!$B$9,C444=Options!$B$10),75%,100%)-IF(C444=DATE(2026,11,29),26+IF(Options!$B$8="是",23,0),0)-IF(C444=DATE(2026,11,30),26,0)-IF(C444=DATE(2026,12,1),64,0)-IF(C444=DATE(2026,11,28),38,0)-IF(C444=DATE(2026,12,2),26,0)))</f>
        <v/>
      </c>
      <c r="I444" s="13">
        <f>IF(AND(C444&gt;=DATE(2026,11,29),C444&lt;=DATE(2026,12,1)),B444*60,0)</f>
        <v/>
      </c>
      <c r="J444" s="13">
        <f>IF(A444="",0,B444*(IF(C444=DATE(2026,11,28),38,0)+IF(C444=DATE(2026,12,1),38,0)+IF(C444=DATE(2026,12,2),26,0)))</f>
        <v/>
      </c>
      <c r="K444" s="13">
        <f>IF(C444=Options!$B$9,B444*12,0)</f>
        <v/>
      </c>
      <c r="L444" s="13">
        <f>IF(C444=Options!$B$9,B444*Options!$Z$5,0)</f>
        <v/>
      </c>
      <c r="M444" s="13" t="n">
        <v>0</v>
      </c>
      <c r="N444" s="13">
        <f>SUM(E444:M444)</f>
        <v/>
      </c>
    </row>
    <row r="445">
      <c r="A445" s="5">
        <f>IF(AND(C445&gt;=Options!$B$9,C445&lt;=Options!$B$10),"Chicago","")</f>
        <v/>
      </c>
      <c r="B445" s="5">
        <f>IF(A445="","",24)</f>
        <v/>
      </c>
      <c r="C445" s="17" t="n">
        <v>46371</v>
      </c>
      <c r="D445" s="5">
        <f>IF(A445="","",IF(C445=DATE(2026,11,29),"培训；注册午餐；早餐参数",IF(C445=DATE(2026,11,30),"培训；注册午餐",IF(C445=DATE(2026,12,1),"培训；注册午餐；机构晚餐",IF(C445=Options!$B$9,"抵达；"&amp;IF(C445=DATE(2026,11,28),"机构晚餐","无统一供餐"),IF(C445=Options!$B$10,"返程；"&amp;IF(C445=DATE(2026,12,2),"机构午餐","无统一供餐"),"差旅状态；无统一日程"))))))</f>
        <v/>
      </c>
      <c r="E445" s="13">
        <f>IF(C445=Options!$B$9,Options!$C$15,0)</f>
        <v/>
      </c>
      <c r="F445" s="13">
        <f>IF(AND(A445&lt;&gt;"",C445&lt;Options!$B$10),B445*Options!$X$5,0)</f>
        <v/>
      </c>
      <c r="G445" s="13">
        <f>F445*12%</f>
        <v/>
      </c>
      <c r="H445" s="13">
        <f>IF(A445="",0,B445*(92*IF(OR(C445=Options!$B$9,C445=Options!$B$10),75%,100%)-IF(C445=DATE(2026,11,29),26+IF(Options!$B$8="是",23,0),0)-IF(C445=DATE(2026,11,30),26,0)-IF(C445=DATE(2026,12,1),64,0)-IF(C445=DATE(2026,11,28),38,0)-IF(C445=DATE(2026,12,2),26,0)))</f>
        <v/>
      </c>
      <c r="I445" s="13">
        <f>IF(AND(C445&gt;=DATE(2026,11,29),C445&lt;=DATE(2026,12,1)),B445*60,0)</f>
        <v/>
      </c>
      <c r="J445" s="13">
        <f>IF(A445="",0,B445*(IF(C445=DATE(2026,11,28),38,0)+IF(C445=DATE(2026,12,1),38,0)+IF(C445=DATE(2026,12,2),26,0)))</f>
        <v/>
      </c>
      <c r="K445" s="13">
        <f>IF(C445=Options!$B$9,B445*12,0)</f>
        <v/>
      </c>
      <c r="L445" s="13">
        <f>IF(C445=Options!$B$9,B445*Options!$Z$5,0)</f>
        <v/>
      </c>
      <c r="M445" s="13" t="n">
        <v>0</v>
      </c>
      <c r="N445" s="13">
        <f>SUM(E445:M445)</f>
        <v/>
      </c>
    </row>
    <row r="446">
      <c r="A446" s="5">
        <f>IF(AND(C446&gt;=Options!$B$9,C446&lt;=Options!$B$10),"Chicago","")</f>
        <v/>
      </c>
      <c r="B446" s="5">
        <f>IF(A446="","",24)</f>
        <v/>
      </c>
      <c r="C446" s="17" t="n">
        <v>46372</v>
      </c>
      <c r="D446" s="5">
        <f>IF(A446="","",IF(C446=DATE(2026,11,29),"培训；注册午餐；早餐参数",IF(C446=DATE(2026,11,30),"培训；注册午餐",IF(C446=DATE(2026,12,1),"培训；注册午餐；机构晚餐",IF(C446=Options!$B$9,"抵达；"&amp;IF(C446=DATE(2026,11,28),"机构晚餐","无统一供餐"),IF(C446=Options!$B$10,"返程；"&amp;IF(C446=DATE(2026,12,2),"机构午餐","无统一供餐"),"差旅状态；无统一日程"))))))</f>
        <v/>
      </c>
      <c r="E446" s="13">
        <f>IF(C446=Options!$B$9,Options!$C$15,0)</f>
        <v/>
      </c>
      <c r="F446" s="13">
        <f>IF(AND(A446&lt;&gt;"",C446&lt;Options!$B$10),B446*Options!$X$5,0)</f>
        <v/>
      </c>
      <c r="G446" s="13">
        <f>F446*12%</f>
        <v/>
      </c>
      <c r="H446" s="13">
        <f>IF(A446="",0,B446*(92*IF(OR(C446=Options!$B$9,C446=Options!$B$10),75%,100%)-IF(C446=DATE(2026,11,29),26+IF(Options!$B$8="是",23,0),0)-IF(C446=DATE(2026,11,30),26,0)-IF(C446=DATE(2026,12,1),64,0)-IF(C446=DATE(2026,11,28),38,0)-IF(C446=DATE(2026,12,2),26,0)))</f>
        <v/>
      </c>
      <c r="I446" s="13">
        <f>IF(AND(C446&gt;=DATE(2026,11,29),C446&lt;=DATE(2026,12,1)),B446*60,0)</f>
        <v/>
      </c>
      <c r="J446" s="13">
        <f>IF(A446="",0,B446*(IF(C446=DATE(2026,11,28),38,0)+IF(C446=DATE(2026,12,1),38,0)+IF(C446=DATE(2026,12,2),26,0)))</f>
        <v/>
      </c>
      <c r="K446" s="13">
        <f>IF(C446=Options!$B$9,B446*12,0)</f>
        <v/>
      </c>
      <c r="L446" s="13">
        <f>IF(C446=Options!$B$9,B446*Options!$Z$5,0)</f>
        <v/>
      </c>
      <c r="M446" s="13" t="n">
        <v>0</v>
      </c>
      <c r="N446" s="13">
        <f>SUM(E446:M446)</f>
        <v/>
      </c>
    </row>
    <row r="447">
      <c r="A447" s="5">
        <f>IF(AND(C447&gt;=Options!$B$9,C447&lt;=Options!$B$10),"Chicago","")</f>
        <v/>
      </c>
      <c r="B447" s="5">
        <f>IF(A447="","",24)</f>
        <v/>
      </c>
      <c r="C447" s="17" t="n">
        <v>46373</v>
      </c>
      <c r="D447" s="5">
        <f>IF(A447="","",IF(C447=DATE(2026,11,29),"培训；注册午餐；早餐参数",IF(C447=DATE(2026,11,30),"培训；注册午餐",IF(C447=DATE(2026,12,1),"培训；注册午餐；机构晚餐",IF(C447=Options!$B$9,"抵达；"&amp;IF(C447=DATE(2026,11,28),"机构晚餐","无统一供餐"),IF(C447=Options!$B$10,"返程；"&amp;IF(C447=DATE(2026,12,2),"机构午餐","无统一供餐"),"差旅状态；无统一日程"))))))</f>
        <v/>
      </c>
      <c r="E447" s="13">
        <f>IF(C447=Options!$B$9,Options!$C$15,0)</f>
        <v/>
      </c>
      <c r="F447" s="13">
        <f>IF(AND(A447&lt;&gt;"",C447&lt;Options!$B$10),B447*Options!$X$5,0)</f>
        <v/>
      </c>
      <c r="G447" s="13">
        <f>F447*12%</f>
        <v/>
      </c>
      <c r="H447" s="13">
        <f>IF(A447="",0,B447*(92*IF(OR(C447=Options!$B$9,C447=Options!$B$10),75%,100%)-IF(C447=DATE(2026,11,29),26+IF(Options!$B$8="是",23,0),0)-IF(C447=DATE(2026,11,30),26,0)-IF(C447=DATE(2026,12,1),64,0)-IF(C447=DATE(2026,11,28),38,0)-IF(C447=DATE(2026,12,2),26,0)))</f>
        <v/>
      </c>
      <c r="I447" s="13">
        <f>IF(AND(C447&gt;=DATE(2026,11,29),C447&lt;=DATE(2026,12,1)),B447*60,0)</f>
        <v/>
      </c>
      <c r="J447" s="13">
        <f>IF(A447="",0,B447*(IF(C447=DATE(2026,11,28),38,0)+IF(C447=DATE(2026,12,1),38,0)+IF(C447=DATE(2026,12,2),26,0)))</f>
        <v/>
      </c>
      <c r="K447" s="13">
        <f>IF(C447=Options!$B$9,B447*12,0)</f>
        <v/>
      </c>
      <c r="L447" s="13">
        <f>IF(C447=Options!$B$9,B447*Options!$Z$5,0)</f>
        <v/>
      </c>
      <c r="M447" s="13" t="n">
        <v>0</v>
      </c>
      <c r="N447" s="13">
        <f>SUM(E447:M447)</f>
        <v/>
      </c>
    </row>
    <row r="448">
      <c r="A448" s="5">
        <f>IF(AND(C448&gt;=Options!$B$9,C448&lt;=Options!$B$10),"Chicago","")</f>
        <v/>
      </c>
      <c r="B448" s="5">
        <f>IF(A448="","",24)</f>
        <v/>
      </c>
      <c r="C448" s="17" t="n">
        <v>46374</v>
      </c>
      <c r="D448" s="5">
        <f>IF(A448="","",IF(C448=DATE(2026,11,29),"培训；注册午餐；早餐参数",IF(C448=DATE(2026,11,30),"培训；注册午餐",IF(C448=DATE(2026,12,1),"培训；注册午餐；机构晚餐",IF(C448=Options!$B$9,"抵达；"&amp;IF(C448=DATE(2026,11,28),"机构晚餐","无统一供餐"),IF(C448=Options!$B$10,"返程；"&amp;IF(C448=DATE(2026,12,2),"机构午餐","无统一供餐"),"差旅状态；无统一日程"))))))</f>
        <v/>
      </c>
      <c r="E448" s="13">
        <f>IF(C448=Options!$B$9,Options!$C$15,0)</f>
        <v/>
      </c>
      <c r="F448" s="13">
        <f>IF(AND(A448&lt;&gt;"",C448&lt;Options!$B$10),B448*Options!$X$5,0)</f>
        <v/>
      </c>
      <c r="G448" s="13">
        <f>F448*12%</f>
        <v/>
      </c>
      <c r="H448" s="13">
        <f>IF(A448="",0,B448*(92*IF(OR(C448=Options!$B$9,C448=Options!$B$10),75%,100%)-IF(C448=DATE(2026,11,29),26+IF(Options!$B$8="是",23,0),0)-IF(C448=DATE(2026,11,30),26,0)-IF(C448=DATE(2026,12,1),64,0)-IF(C448=DATE(2026,11,28),38,0)-IF(C448=DATE(2026,12,2),26,0)))</f>
        <v/>
      </c>
      <c r="I448" s="13">
        <f>IF(AND(C448&gt;=DATE(2026,11,29),C448&lt;=DATE(2026,12,1)),B448*60,0)</f>
        <v/>
      </c>
      <c r="J448" s="13">
        <f>IF(A448="",0,B448*(IF(C448=DATE(2026,11,28),38,0)+IF(C448=DATE(2026,12,1),38,0)+IF(C448=DATE(2026,12,2),26,0)))</f>
        <v/>
      </c>
      <c r="K448" s="13">
        <f>IF(C448=Options!$B$9,B448*12,0)</f>
        <v/>
      </c>
      <c r="L448" s="13">
        <f>IF(C448=Options!$B$9,B448*Options!$Z$5,0)</f>
        <v/>
      </c>
      <c r="M448" s="13" t="n">
        <v>0</v>
      </c>
      <c r="N448" s="13">
        <f>SUM(E448:M448)</f>
        <v/>
      </c>
    </row>
    <row r="449">
      <c r="A449" s="5">
        <f>IF(AND(C449&gt;=Options!$B$9,C449&lt;=Options!$B$10),"Chicago","")</f>
        <v/>
      </c>
      <c r="B449" s="5">
        <f>IF(A449="","",24)</f>
        <v/>
      </c>
      <c r="C449" s="17" t="n">
        <v>46375</v>
      </c>
      <c r="D449" s="5">
        <f>IF(A449="","",IF(C449=DATE(2026,11,29),"培训；注册午餐；早餐参数",IF(C449=DATE(2026,11,30),"培训；注册午餐",IF(C449=DATE(2026,12,1),"培训；注册午餐；机构晚餐",IF(C449=Options!$B$9,"抵达；"&amp;IF(C449=DATE(2026,11,28),"机构晚餐","无统一供餐"),IF(C449=Options!$B$10,"返程；"&amp;IF(C449=DATE(2026,12,2),"机构午餐","无统一供餐"),"差旅状态；无统一日程"))))))</f>
        <v/>
      </c>
      <c r="E449" s="13">
        <f>IF(C449=Options!$B$9,Options!$C$15,0)</f>
        <v/>
      </c>
      <c r="F449" s="13">
        <f>IF(AND(A449&lt;&gt;"",C449&lt;Options!$B$10),B449*Options!$X$5,0)</f>
        <v/>
      </c>
      <c r="G449" s="13">
        <f>F449*12%</f>
        <v/>
      </c>
      <c r="H449" s="13">
        <f>IF(A449="",0,B449*(92*IF(OR(C449=Options!$B$9,C449=Options!$B$10),75%,100%)-IF(C449=DATE(2026,11,29),26+IF(Options!$B$8="是",23,0),0)-IF(C449=DATE(2026,11,30),26,0)-IF(C449=DATE(2026,12,1),64,0)-IF(C449=DATE(2026,11,28),38,0)-IF(C449=DATE(2026,12,2),26,0)))</f>
        <v/>
      </c>
      <c r="I449" s="13">
        <f>IF(AND(C449&gt;=DATE(2026,11,29),C449&lt;=DATE(2026,12,1)),B449*60,0)</f>
        <v/>
      </c>
      <c r="J449" s="13">
        <f>IF(A449="",0,B449*(IF(C449=DATE(2026,11,28),38,0)+IF(C449=DATE(2026,12,1),38,0)+IF(C449=DATE(2026,12,2),26,0)))</f>
        <v/>
      </c>
      <c r="K449" s="13">
        <f>IF(C449=Options!$B$9,B449*12,0)</f>
        <v/>
      </c>
      <c r="L449" s="13">
        <f>IF(C449=Options!$B$9,B449*Options!$Z$5,0)</f>
        <v/>
      </c>
      <c r="M449" s="13" t="n">
        <v>0</v>
      </c>
      <c r="N449" s="13">
        <f>SUM(E449:M449)</f>
        <v/>
      </c>
    </row>
    <row r="450">
      <c r="A450" s="5">
        <f>IF(AND(C450&gt;=Options!$B$9,C450&lt;=Options!$B$10),"Chicago","")</f>
        <v/>
      </c>
      <c r="B450" s="5">
        <f>IF(A450="","",24)</f>
        <v/>
      </c>
      <c r="C450" s="17" t="n">
        <v>46376</v>
      </c>
      <c r="D450" s="5">
        <f>IF(A450="","",IF(C450=DATE(2026,11,29),"培训；注册午餐；早餐参数",IF(C450=DATE(2026,11,30),"培训；注册午餐",IF(C450=DATE(2026,12,1),"培训；注册午餐；机构晚餐",IF(C450=Options!$B$9,"抵达；"&amp;IF(C450=DATE(2026,11,28),"机构晚餐","无统一供餐"),IF(C450=Options!$B$10,"返程；"&amp;IF(C450=DATE(2026,12,2),"机构午餐","无统一供餐"),"差旅状态；无统一日程"))))))</f>
        <v/>
      </c>
      <c r="E450" s="13">
        <f>IF(C450=Options!$B$9,Options!$C$15,0)</f>
        <v/>
      </c>
      <c r="F450" s="13">
        <f>IF(AND(A450&lt;&gt;"",C450&lt;Options!$B$10),B450*Options!$X$5,0)</f>
        <v/>
      </c>
      <c r="G450" s="13">
        <f>F450*12%</f>
        <v/>
      </c>
      <c r="H450" s="13">
        <f>IF(A450="",0,B450*(92*IF(OR(C450=Options!$B$9,C450=Options!$B$10),75%,100%)-IF(C450=DATE(2026,11,29),26+IF(Options!$B$8="是",23,0),0)-IF(C450=DATE(2026,11,30),26,0)-IF(C450=DATE(2026,12,1),64,0)-IF(C450=DATE(2026,11,28),38,0)-IF(C450=DATE(2026,12,2),26,0)))</f>
        <v/>
      </c>
      <c r="I450" s="13">
        <f>IF(AND(C450&gt;=DATE(2026,11,29),C450&lt;=DATE(2026,12,1)),B450*60,0)</f>
        <v/>
      </c>
      <c r="J450" s="13">
        <f>IF(A450="",0,B450*(IF(C450=DATE(2026,11,28),38,0)+IF(C450=DATE(2026,12,1),38,0)+IF(C450=DATE(2026,12,2),26,0)))</f>
        <v/>
      </c>
      <c r="K450" s="13">
        <f>IF(C450=Options!$B$9,B450*12,0)</f>
        <v/>
      </c>
      <c r="L450" s="13">
        <f>IF(C450=Options!$B$9,B450*Options!$Z$5,0)</f>
        <v/>
      </c>
      <c r="M450" s="13" t="n">
        <v>0</v>
      </c>
      <c r="N450" s="13">
        <f>SUM(E450:M450)</f>
        <v/>
      </c>
    </row>
    <row r="451">
      <c r="A451" s="5">
        <f>IF(AND(C451&gt;=Options!$B$9,C451&lt;=Options!$B$10),"Chicago","")</f>
        <v/>
      </c>
      <c r="B451" s="5">
        <f>IF(A451="","",24)</f>
        <v/>
      </c>
      <c r="C451" s="17" t="n">
        <v>46377</v>
      </c>
      <c r="D451" s="5">
        <f>IF(A451="","",IF(C451=DATE(2026,11,29),"培训；注册午餐；早餐参数",IF(C451=DATE(2026,11,30),"培训；注册午餐",IF(C451=DATE(2026,12,1),"培训；注册午餐；机构晚餐",IF(C451=Options!$B$9,"抵达；"&amp;IF(C451=DATE(2026,11,28),"机构晚餐","无统一供餐"),IF(C451=Options!$B$10,"返程；"&amp;IF(C451=DATE(2026,12,2),"机构午餐","无统一供餐"),"差旅状态；无统一日程"))))))</f>
        <v/>
      </c>
      <c r="E451" s="13">
        <f>IF(C451=Options!$B$9,Options!$C$15,0)</f>
        <v/>
      </c>
      <c r="F451" s="13">
        <f>IF(AND(A451&lt;&gt;"",C451&lt;Options!$B$10),B451*Options!$X$5,0)</f>
        <v/>
      </c>
      <c r="G451" s="13">
        <f>F451*12%</f>
        <v/>
      </c>
      <c r="H451" s="13">
        <f>IF(A451="",0,B451*(92*IF(OR(C451=Options!$B$9,C451=Options!$B$10),75%,100%)-IF(C451=DATE(2026,11,29),26+IF(Options!$B$8="是",23,0),0)-IF(C451=DATE(2026,11,30),26,0)-IF(C451=DATE(2026,12,1),64,0)-IF(C451=DATE(2026,11,28),38,0)-IF(C451=DATE(2026,12,2),26,0)))</f>
        <v/>
      </c>
      <c r="I451" s="13">
        <f>IF(AND(C451&gt;=DATE(2026,11,29),C451&lt;=DATE(2026,12,1)),B451*60,0)</f>
        <v/>
      </c>
      <c r="J451" s="13">
        <f>IF(A451="",0,B451*(IF(C451=DATE(2026,11,28),38,0)+IF(C451=DATE(2026,12,1),38,0)+IF(C451=DATE(2026,12,2),26,0)))</f>
        <v/>
      </c>
      <c r="K451" s="13">
        <f>IF(C451=Options!$B$9,B451*12,0)</f>
        <v/>
      </c>
      <c r="L451" s="13">
        <f>IF(C451=Options!$B$9,B451*Options!$Z$5,0)</f>
        <v/>
      </c>
      <c r="M451" s="13" t="n">
        <v>0</v>
      </c>
      <c r="N451" s="13">
        <f>SUM(E451:M451)</f>
        <v/>
      </c>
    </row>
    <row r="452">
      <c r="A452" s="5">
        <f>IF(AND(C452&gt;=Options!$B$9,C452&lt;=Options!$B$10),"Chicago","")</f>
        <v/>
      </c>
      <c r="B452" s="5">
        <f>IF(A452="","",24)</f>
        <v/>
      </c>
      <c r="C452" s="17" t="n">
        <v>46378</v>
      </c>
      <c r="D452" s="5">
        <f>IF(A452="","",IF(C452=DATE(2026,11,29),"培训；注册午餐；早餐参数",IF(C452=DATE(2026,11,30),"培训；注册午餐",IF(C452=DATE(2026,12,1),"培训；注册午餐；机构晚餐",IF(C452=Options!$B$9,"抵达；"&amp;IF(C452=DATE(2026,11,28),"机构晚餐","无统一供餐"),IF(C452=Options!$B$10,"返程；"&amp;IF(C452=DATE(2026,12,2),"机构午餐","无统一供餐"),"差旅状态；无统一日程"))))))</f>
        <v/>
      </c>
      <c r="E452" s="13">
        <f>IF(C452=Options!$B$9,Options!$C$15,0)</f>
        <v/>
      </c>
      <c r="F452" s="13">
        <f>IF(AND(A452&lt;&gt;"",C452&lt;Options!$B$10),B452*Options!$X$5,0)</f>
        <v/>
      </c>
      <c r="G452" s="13">
        <f>F452*12%</f>
        <v/>
      </c>
      <c r="H452" s="13">
        <f>IF(A452="",0,B452*(92*IF(OR(C452=Options!$B$9,C452=Options!$B$10),75%,100%)-IF(C452=DATE(2026,11,29),26+IF(Options!$B$8="是",23,0),0)-IF(C452=DATE(2026,11,30),26,0)-IF(C452=DATE(2026,12,1),64,0)-IF(C452=DATE(2026,11,28),38,0)-IF(C452=DATE(2026,12,2),26,0)))</f>
        <v/>
      </c>
      <c r="I452" s="13">
        <f>IF(AND(C452&gt;=DATE(2026,11,29),C452&lt;=DATE(2026,12,1)),B452*60,0)</f>
        <v/>
      </c>
      <c r="J452" s="13">
        <f>IF(A452="",0,B452*(IF(C452=DATE(2026,11,28),38,0)+IF(C452=DATE(2026,12,1),38,0)+IF(C452=DATE(2026,12,2),26,0)))</f>
        <v/>
      </c>
      <c r="K452" s="13">
        <f>IF(C452=Options!$B$9,B452*12,0)</f>
        <v/>
      </c>
      <c r="L452" s="13">
        <f>IF(C452=Options!$B$9,B452*Options!$Z$5,0)</f>
        <v/>
      </c>
      <c r="M452" s="13" t="n">
        <v>0</v>
      </c>
      <c r="N452" s="13">
        <f>SUM(E452:M452)</f>
        <v/>
      </c>
    </row>
    <row r="453">
      <c r="A453" s="5">
        <f>IF(AND(C453&gt;=Options!$B$9,C453&lt;=Options!$B$10),"Chicago","")</f>
        <v/>
      </c>
      <c r="B453" s="5">
        <f>IF(A453="","",24)</f>
        <v/>
      </c>
      <c r="C453" s="17" t="n">
        <v>46379</v>
      </c>
      <c r="D453" s="5">
        <f>IF(A453="","",IF(C453=DATE(2026,11,29),"培训；注册午餐；早餐参数",IF(C453=DATE(2026,11,30),"培训；注册午餐",IF(C453=DATE(2026,12,1),"培训；注册午餐；机构晚餐",IF(C453=Options!$B$9,"抵达；"&amp;IF(C453=DATE(2026,11,28),"机构晚餐","无统一供餐"),IF(C453=Options!$B$10,"返程；"&amp;IF(C453=DATE(2026,12,2),"机构午餐","无统一供餐"),"差旅状态；无统一日程"))))))</f>
        <v/>
      </c>
      <c r="E453" s="13">
        <f>IF(C453=Options!$B$9,Options!$C$15,0)</f>
        <v/>
      </c>
      <c r="F453" s="13">
        <f>IF(AND(A453&lt;&gt;"",C453&lt;Options!$B$10),B453*Options!$X$5,0)</f>
        <v/>
      </c>
      <c r="G453" s="13">
        <f>F453*12%</f>
        <v/>
      </c>
      <c r="H453" s="13">
        <f>IF(A453="",0,B453*(92*IF(OR(C453=Options!$B$9,C453=Options!$B$10),75%,100%)-IF(C453=DATE(2026,11,29),26+IF(Options!$B$8="是",23,0),0)-IF(C453=DATE(2026,11,30),26,0)-IF(C453=DATE(2026,12,1),64,0)-IF(C453=DATE(2026,11,28),38,0)-IF(C453=DATE(2026,12,2),26,0)))</f>
        <v/>
      </c>
      <c r="I453" s="13">
        <f>IF(AND(C453&gt;=DATE(2026,11,29),C453&lt;=DATE(2026,12,1)),B453*60,0)</f>
        <v/>
      </c>
      <c r="J453" s="13">
        <f>IF(A453="",0,B453*(IF(C453=DATE(2026,11,28),38,0)+IF(C453=DATE(2026,12,1),38,0)+IF(C453=DATE(2026,12,2),26,0)))</f>
        <v/>
      </c>
      <c r="K453" s="13">
        <f>IF(C453=Options!$B$9,B453*12,0)</f>
        <v/>
      </c>
      <c r="L453" s="13">
        <f>IF(C453=Options!$B$9,B453*Options!$Z$5,0)</f>
        <v/>
      </c>
      <c r="M453" s="13" t="n">
        <v>0</v>
      </c>
      <c r="N453" s="13">
        <f>SUM(E453:M453)</f>
        <v/>
      </c>
    </row>
    <row r="454">
      <c r="A454" s="5">
        <f>IF(AND(C454&gt;=Options!$B$9,C454&lt;=Options!$B$10),"Chicago","")</f>
        <v/>
      </c>
      <c r="B454" s="5">
        <f>IF(A454="","",24)</f>
        <v/>
      </c>
      <c r="C454" s="17" t="n">
        <v>46380</v>
      </c>
      <c r="D454" s="5">
        <f>IF(A454="","",IF(C454=DATE(2026,11,29),"培训；注册午餐；早餐参数",IF(C454=DATE(2026,11,30),"培训；注册午餐",IF(C454=DATE(2026,12,1),"培训；注册午餐；机构晚餐",IF(C454=Options!$B$9,"抵达；"&amp;IF(C454=DATE(2026,11,28),"机构晚餐","无统一供餐"),IF(C454=Options!$B$10,"返程；"&amp;IF(C454=DATE(2026,12,2),"机构午餐","无统一供餐"),"差旅状态；无统一日程"))))))</f>
        <v/>
      </c>
      <c r="E454" s="13">
        <f>IF(C454=Options!$B$9,Options!$C$15,0)</f>
        <v/>
      </c>
      <c r="F454" s="13">
        <f>IF(AND(A454&lt;&gt;"",C454&lt;Options!$B$10),B454*Options!$X$5,0)</f>
        <v/>
      </c>
      <c r="G454" s="13">
        <f>F454*12%</f>
        <v/>
      </c>
      <c r="H454" s="13">
        <f>IF(A454="",0,B454*(92*IF(OR(C454=Options!$B$9,C454=Options!$B$10),75%,100%)-IF(C454=DATE(2026,11,29),26+IF(Options!$B$8="是",23,0),0)-IF(C454=DATE(2026,11,30),26,0)-IF(C454=DATE(2026,12,1),64,0)-IF(C454=DATE(2026,11,28),38,0)-IF(C454=DATE(2026,12,2),26,0)))</f>
        <v/>
      </c>
      <c r="I454" s="13">
        <f>IF(AND(C454&gt;=DATE(2026,11,29),C454&lt;=DATE(2026,12,1)),B454*60,0)</f>
        <v/>
      </c>
      <c r="J454" s="13">
        <f>IF(A454="",0,B454*(IF(C454=DATE(2026,11,28),38,0)+IF(C454=DATE(2026,12,1),38,0)+IF(C454=DATE(2026,12,2),26,0)))</f>
        <v/>
      </c>
      <c r="K454" s="13">
        <f>IF(C454=Options!$B$9,B454*12,0)</f>
        <v/>
      </c>
      <c r="L454" s="13">
        <f>IF(C454=Options!$B$9,B454*Options!$Z$5,0)</f>
        <v/>
      </c>
      <c r="M454" s="13" t="n">
        <v>0</v>
      </c>
      <c r="N454" s="13">
        <f>SUM(E454:M454)</f>
        <v/>
      </c>
    </row>
    <row r="455">
      <c r="A455" s="5">
        <f>IF(AND(C455&gt;=Options!$B$9,C455&lt;=Options!$B$10),"Chicago","")</f>
        <v/>
      </c>
      <c r="B455" s="5">
        <f>IF(A455="","",24)</f>
        <v/>
      </c>
      <c r="C455" s="17" t="n">
        <v>46381</v>
      </c>
      <c r="D455" s="5">
        <f>IF(A455="","",IF(C455=DATE(2026,11,29),"培训；注册午餐；早餐参数",IF(C455=DATE(2026,11,30),"培训；注册午餐",IF(C455=DATE(2026,12,1),"培训；注册午餐；机构晚餐",IF(C455=Options!$B$9,"抵达；"&amp;IF(C455=DATE(2026,11,28),"机构晚餐","无统一供餐"),IF(C455=Options!$B$10,"返程；"&amp;IF(C455=DATE(2026,12,2),"机构午餐","无统一供餐"),"差旅状态；无统一日程"))))))</f>
        <v/>
      </c>
      <c r="E455" s="13">
        <f>IF(C455=Options!$B$9,Options!$C$15,0)</f>
        <v/>
      </c>
      <c r="F455" s="13">
        <f>IF(AND(A455&lt;&gt;"",C455&lt;Options!$B$10),B455*Options!$X$5,0)</f>
        <v/>
      </c>
      <c r="G455" s="13">
        <f>F455*12%</f>
        <v/>
      </c>
      <c r="H455" s="13">
        <f>IF(A455="",0,B455*(92*IF(OR(C455=Options!$B$9,C455=Options!$B$10),75%,100%)-IF(C455=DATE(2026,11,29),26+IF(Options!$B$8="是",23,0),0)-IF(C455=DATE(2026,11,30),26,0)-IF(C455=DATE(2026,12,1),64,0)-IF(C455=DATE(2026,11,28),38,0)-IF(C455=DATE(2026,12,2),26,0)))</f>
        <v/>
      </c>
      <c r="I455" s="13">
        <f>IF(AND(C455&gt;=DATE(2026,11,29),C455&lt;=DATE(2026,12,1)),B455*60,0)</f>
        <v/>
      </c>
      <c r="J455" s="13">
        <f>IF(A455="",0,B455*(IF(C455=DATE(2026,11,28),38,0)+IF(C455=DATE(2026,12,1),38,0)+IF(C455=DATE(2026,12,2),26,0)))</f>
        <v/>
      </c>
      <c r="K455" s="13">
        <f>IF(C455=Options!$B$9,B455*12,0)</f>
        <v/>
      </c>
      <c r="L455" s="13">
        <f>IF(C455=Options!$B$9,B455*Options!$Z$5,0)</f>
        <v/>
      </c>
      <c r="M455" s="13" t="n">
        <v>0</v>
      </c>
      <c r="N455" s="13">
        <f>SUM(E455:M455)</f>
        <v/>
      </c>
    </row>
    <row r="456">
      <c r="A456" s="5">
        <f>IF(AND(C456&gt;=Options!$B$9,C456&lt;=Options!$B$10),"Chicago","")</f>
        <v/>
      </c>
      <c r="B456" s="5">
        <f>IF(A456="","",24)</f>
        <v/>
      </c>
      <c r="C456" s="17" t="n">
        <v>46382</v>
      </c>
      <c r="D456" s="5">
        <f>IF(A456="","",IF(C456=DATE(2026,11,29),"培训；注册午餐；早餐参数",IF(C456=DATE(2026,11,30),"培训；注册午餐",IF(C456=DATE(2026,12,1),"培训；注册午餐；机构晚餐",IF(C456=Options!$B$9,"抵达；"&amp;IF(C456=DATE(2026,11,28),"机构晚餐","无统一供餐"),IF(C456=Options!$B$10,"返程；"&amp;IF(C456=DATE(2026,12,2),"机构午餐","无统一供餐"),"差旅状态；无统一日程"))))))</f>
        <v/>
      </c>
      <c r="E456" s="13">
        <f>IF(C456=Options!$B$9,Options!$C$15,0)</f>
        <v/>
      </c>
      <c r="F456" s="13">
        <f>IF(AND(A456&lt;&gt;"",C456&lt;Options!$B$10),B456*Options!$X$5,0)</f>
        <v/>
      </c>
      <c r="G456" s="13">
        <f>F456*12%</f>
        <v/>
      </c>
      <c r="H456" s="13">
        <f>IF(A456="",0,B456*(92*IF(OR(C456=Options!$B$9,C456=Options!$B$10),75%,100%)-IF(C456=DATE(2026,11,29),26+IF(Options!$B$8="是",23,0),0)-IF(C456=DATE(2026,11,30),26,0)-IF(C456=DATE(2026,12,1),64,0)-IF(C456=DATE(2026,11,28),38,0)-IF(C456=DATE(2026,12,2),26,0)))</f>
        <v/>
      </c>
      <c r="I456" s="13">
        <f>IF(AND(C456&gt;=DATE(2026,11,29),C456&lt;=DATE(2026,12,1)),B456*60,0)</f>
        <v/>
      </c>
      <c r="J456" s="13">
        <f>IF(A456="",0,B456*(IF(C456=DATE(2026,11,28),38,0)+IF(C456=DATE(2026,12,1),38,0)+IF(C456=DATE(2026,12,2),26,0)))</f>
        <v/>
      </c>
      <c r="K456" s="13">
        <f>IF(C456=Options!$B$9,B456*12,0)</f>
        <v/>
      </c>
      <c r="L456" s="13">
        <f>IF(C456=Options!$B$9,B456*Options!$Z$5,0)</f>
        <v/>
      </c>
      <c r="M456" s="13" t="n">
        <v>0</v>
      </c>
      <c r="N456" s="13">
        <f>SUM(E456:M456)</f>
        <v/>
      </c>
    </row>
    <row r="457">
      <c r="A457" s="5">
        <f>IF(AND(C457&gt;=Options!$B$9,C457&lt;=Options!$B$10),"Chicago","")</f>
        <v/>
      </c>
      <c r="B457" s="5">
        <f>IF(A457="","",24)</f>
        <v/>
      </c>
      <c r="C457" s="17" t="n">
        <v>46383</v>
      </c>
      <c r="D457" s="5">
        <f>IF(A457="","",IF(C457=DATE(2026,11,29),"培训；注册午餐；早餐参数",IF(C457=DATE(2026,11,30),"培训；注册午餐",IF(C457=DATE(2026,12,1),"培训；注册午餐；机构晚餐",IF(C457=Options!$B$9,"抵达；"&amp;IF(C457=DATE(2026,11,28),"机构晚餐","无统一供餐"),IF(C457=Options!$B$10,"返程；"&amp;IF(C457=DATE(2026,12,2),"机构午餐","无统一供餐"),"差旅状态；无统一日程"))))))</f>
        <v/>
      </c>
      <c r="E457" s="13">
        <f>IF(C457=Options!$B$9,Options!$C$15,0)</f>
        <v/>
      </c>
      <c r="F457" s="13">
        <f>IF(AND(A457&lt;&gt;"",C457&lt;Options!$B$10),B457*Options!$X$5,0)</f>
        <v/>
      </c>
      <c r="G457" s="13">
        <f>F457*12%</f>
        <v/>
      </c>
      <c r="H457" s="13">
        <f>IF(A457="",0,B457*(92*IF(OR(C457=Options!$B$9,C457=Options!$B$10),75%,100%)-IF(C457=DATE(2026,11,29),26+IF(Options!$B$8="是",23,0),0)-IF(C457=DATE(2026,11,30),26,0)-IF(C457=DATE(2026,12,1),64,0)-IF(C457=DATE(2026,11,28),38,0)-IF(C457=DATE(2026,12,2),26,0)))</f>
        <v/>
      </c>
      <c r="I457" s="13">
        <f>IF(AND(C457&gt;=DATE(2026,11,29),C457&lt;=DATE(2026,12,1)),B457*60,0)</f>
        <v/>
      </c>
      <c r="J457" s="13">
        <f>IF(A457="",0,B457*(IF(C457=DATE(2026,11,28),38,0)+IF(C457=DATE(2026,12,1),38,0)+IF(C457=DATE(2026,12,2),26,0)))</f>
        <v/>
      </c>
      <c r="K457" s="13">
        <f>IF(C457=Options!$B$9,B457*12,0)</f>
        <v/>
      </c>
      <c r="L457" s="13">
        <f>IF(C457=Options!$B$9,B457*Options!$Z$5,0)</f>
        <v/>
      </c>
      <c r="M457" s="13" t="n">
        <v>0</v>
      </c>
      <c r="N457" s="13">
        <f>SUM(E457:M457)</f>
        <v/>
      </c>
    </row>
    <row r="458">
      <c r="A458" s="5">
        <f>IF(AND(C458&gt;=Options!$B$9,C458&lt;=Options!$B$10),"Chicago","")</f>
        <v/>
      </c>
      <c r="B458" s="5">
        <f>IF(A458="","",24)</f>
        <v/>
      </c>
      <c r="C458" s="17" t="n">
        <v>46384</v>
      </c>
      <c r="D458" s="5">
        <f>IF(A458="","",IF(C458=DATE(2026,11,29),"培训；注册午餐；早餐参数",IF(C458=DATE(2026,11,30),"培训；注册午餐",IF(C458=DATE(2026,12,1),"培训；注册午餐；机构晚餐",IF(C458=Options!$B$9,"抵达；"&amp;IF(C458=DATE(2026,11,28),"机构晚餐","无统一供餐"),IF(C458=Options!$B$10,"返程；"&amp;IF(C458=DATE(2026,12,2),"机构午餐","无统一供餐"),"差旅状态；无统一日程"))))))</f>
        <v/>
      </c>
      <c r="E458" s="13">
        <f>IF(C458=Options!$B$9,Options!$C$15,0)</f>
        <v/>
      </c>
      <c r="F458" s="13">
        <f>IF(AND(A458&lt;&gt;"",C458&lt;Options!$B$10),B458*Options!$X$5,0)</f>
        <v/>
      </c>
      <c r="G458" s="13">
        <f>F458*12%</f>
        <v/>
      </c>
      <c r="H458" s="13">
        <f>IF(A458="",0,B458*(92*IF(OR(C458=Options!$B$9,C458=Options!$B$10),75%,100%)-IF(C458=DATE(2026,11,29),26+IF(Options!$B$8="是",23,0),0)-IF(C458=DATE(2026,11,30),26,0)-IF(C458=DATE(2026,12,1),64,0)-IF(C458=DATE(2026,11,28),38,0)-IF(C458=DATE(2026,12,2),26,0)))</f>
        <v/>
      </c>
      <c r="I458" s="13">
        <f>IF(AND(C458&gt;=DATE(2026,11,29),C458&lt;=DATE(2026,12,1)),B458*60,0)</f>
        <v/>
      </c>
      <c r="J458" s="13">
        <f>IF(A458="",0,B458*(IF(C458=DATE(2026,11,28),38,0)+IF(C458=DATE(2026,12,1),38,0)+IF(C458=DATE(2026,12,2),26,0)))</f>
        <v/>
      </c>
      <c r="K458" s="13">
        <f>IF(C458=Options!$B$9,B458*12,0)</f>
        <v/>
      </c>
      <c r="L458" s="13">
        <f>IF(C458=Options!$B$9,B458*Options!$Z$5,0)</f>
        <v/>
      </c>
      <c r="M458" s="13" t="n">
        <v>0</v>
      </c>
      <c r="N458" s="13">
        <f>SUM(E458:M458)</f>
        <v/>
      </c>
    </row>
    <row r="459">
      <c r="A459" s="5">
        <f>IF(AND(C459&gt;=Options!$B$9,C459&lt;=Options!$B$10),"Chicago","")</f>
        <v/>
      </c>
      <c r="B459" s="5">
        <f>IF(A459="","",24)</f>
        <v/>
      </c>
      <c r="C459" s="17" t="n">
        <v>46385</v>
      </c>
      <c r="D459" s="5">
        <f>IF(A459="","",IF(C459=DATE(2026,11,29),"培训；注册午餐；早餐参数",IF(C459=DATE(2026,11,30),"培训；注册午餐",IF(C459=DATE(2026,12,1),"培训；注册午餐；机构晚餐",IF(C459=Options!$B$9,"抵达；"&amp;IF(C459=DATE(2026,11,28),"机构晚餐","无统一供餐"),IF(C459=Options!$B$10,"返程；"&amp;IF(C459=DATE(2026,12,2),"机构午餐","无统一供餐"),"差旅状态；无统一日程"))))))</f>
        <v/>
      </c>
      <c r="E459" s="13">
        <f>IF(C459=Options!$B$9,Options!$C$15,0)</f>
        <v/>
      </c>
      <c r="F459" s="13">
        <f>IF(AND(A459&lt;&gt;"",C459&lt;Options!$B$10),B459*Options!$X$5,0)</f>
        <v/>
      </c>
      <c r="G459" s="13">
        <f>F459*12%</f>
        <v/>
      </c>
      <c r="H459" s="13">
        <f>IF(A459="",0,B459*(92*IF(OR(C459=Options!$B$9,C459=Options!$B$10),75%,100%)-IF(C459=DATE(2026,11,29),26+IF(Options!$B$8="是",23,0),0)-IF(C459=DATE(2026,11,30),26,0)-IF(C459=DATE(2026,12,1),64,0)-IF(C459=DATE(2026,11,28),38,0)-IF(C459=DATE(2026,12,2),26,0)))</f>
        <v/>
      </c>
      <c r="I459" s="13">
        <f>IF(AND(C459&gt;=DATE(2026,11,29),C459&lt;=DATE(2026,12,1)),B459*60,0)</f>
        <v/>
      </c>
      <c r="J459" s="13">
        <f>IF(A459="",0,B459*(IF(C459=DATE(2026,11,28),38,0)+IF(C459=DATE(2026,12,1),38,0)+IF(C459=DATE(2026,12,2),26,0)))</f>
        <v/>
      </c>
      <c r="K459" s="13">
        <f>IF(C459=Options!$B$9,B459*12,0)</f>
        <v/>
      </c>
      <c r="L459" s="13">
        <f>IF(C459=Options!$B$9,B459*Options!$Z$5,0)</f>
        <v/>
      </c>
      <c r="M459" s="13" t="n">
        <v>0</v>
      </c>
      <c r="N459" s="13">
        <f>SUM(E459:M459)</f>
        <v/>
      </c>
    </row>
    <row r="460">
      <c r="A460" s="5">
        <f>IF(AND(C460&gt;=Options!$B$9,C460&lt;=Options!$B$10),"Chicago","")</f>
        <v/>
      </c>
      <c r="B460" s="5">
        <f>IF(A460="","",24)</f>
        <v/>
      </c>
      <c r="C460" s="17" t="n">
        <v>46386</v>
      </c>
      <c r="D460" s="5">
        <f>IF(A460="","",IF(C460=DATE(2026,11,29),"培训；注册午餐；早餐参数",IF(C460=DATE(2026,11,30),"培训；注册午餐",IF(C460=DATE(2026,12,1),"培训；注册午餐；机构晚餐",IF(C460=Options!$B$9,"抵达；"&amp;IF(C460=DATE(2026,11,28),"机构晚餐","无统一供餐"),IF(C460=Options!$B$10,"返程；"&amp;IF(C460=DATE(2026,12,2),"机构午餐","无统一供餐"),"差旅状态；无统一日程"))))))</f>
        <v/>
      </c>
      <c r="E460" s="13">
        <f>IF(C460=Options!$B$9,Options!$C$15,0)</f>
        <v/>
      </c>
      <c r="F460" s="13">
        <f>IF(AND(A460&lt;&gt;"",C460&lt;Options!$B$10),B460*Options!$X$5,0)</f>
        <v/>
      </c>
      <c r="G460" s="13">
        <f>F460*12%</f>
        <v/>
      </c>
      <c r="H460" s="13">
        <f>IF(A460="",0,B460*(92*IF(OR(C460=Options!$B$9,C460=Options!$B$10),75%,100%)-IF(C460=DATE(2026,11,29),26+IF(Options!$B$8="是",23,0),0)-IF(C460=DATE(2026,11,30),26,0)-IF(C460=DATE(2026,12,1),64,0)-IF(C460=DATE(2026,11,28),38,0)-IF(C460=DATE(2026,12,2),26,0)))</f>
        <v/>
      </c>
      <c r="I460" s="13">
        <f>IF(AND(C460&gt;=DATE(2026,11,29),C460&lt;=DATE(2026,12,1)),B460*60,0)</f>
        <v/>
      </c>
      <c r="J460" s="13">
        <f>IF(A460="",0,B460*(IF(C460=DATE(2026,11,28),38,0)+IF(C460=DATE(2026,12,1),38,0)+IF(C460=DATE(2026,12,2),26,0)))</f>
        <v/>
      </c>
      <c r="K460" s="13">
        <f>IF(C460=Options!$B$9,B460*12,0)</f>
        <v/>
      </c>
      <c r="L460" s="13">
        <f>IF(C460=Options!$B$9,B460*Options!$Z$5,0)</f>
        <v/>
      </c>
      <c r="M460" s="13" t="n">
        <v>0</v>
      </c>
      <c r="N460" s="13">
        <f>SUM(E460:M460)</f>
        <v/>
      </c>
    </row>
    <row r="461">
      <c r="A461" s="5">
        <f>IF(AND(C461&gt;=Options!$B$9,C461&lt;=Options!$B$10),"Chicago","")</f>
        <v/>
      </c>
      <c r="B461" s="5">
        <f>IF(A461="","",24)</f>
        <v/>
      </c>
      <c r="C461" s="17" t="n">
        <v>46387</v>
      </c>
      <c r="D461" s="5">
        <f>IF(A461="","",IF(C461=DATE(2026,11,29),"培训；注册午餐；早餐参数",IF(C461=DATE(2026,11,30),"培训；注册午餐",IF(C461=DATE(2026,12,1),"培训；注册午餐；机构晚餐",IF(C461=Options!$B$9,"抵达；"&amp;IF(C461=DATE(2026,11,28),"机构晚餐","无统一供餐"),IF(C461=Options!$B$10,"返程；"&amp;IF(C461=DATE(2026,12,2),"机构午餐","无统一供餐"),"差旅状态；无统一日程"))))))</f>
        <v/>
      </c>
      <c r="E461" s="13">
        <f>IF(C461=Options!$B$9,Options!$C$15,0)</f>
        <v/>
      </c>
      <c r="F461" s="13">
        <f>IF(AND(A461&lt;&gt;"",C461&lt;Options!$B$10),B461*Options!$X$5,0)</f>
        <v/>
      </c>
      <c r="G461" s="13">
        <f>F461*12%</f>
        <v/>
      </c>
      <c r="H461" s="13">
        <f>IF(A461="",0,B461*(92*IF(OR(C461=Options!$B$9,C461=Options!$B$10),75%,100%)-IF(C461=DATE(2026,11,29),26+IF(Options!$B$8="是",23,0),0)-IF(C461=DATE(2026,11,30),26,0)-IF(C461=DATE(2026,12,1),64,0)-IF(C461=DATE(2026,11,28),38,0)-IF(C461=DATE(2026,12,2),26,0)))</f>
        <v/>
      </c>
      <c r="I461" s="13">
        <f>IF(AND(C461&gt;=DATE(2026,11,29),C461&lt;=DATE(2026,12,1)),B461*60,0)</f>
        <v/>
      </c>
      <c r="J461" s="13">
        <f>IF(A461="",0,B461*(IF(C461=DATE(2026,11,28),38,0)+IF(C461=DATE(2026,12,1),38,0)+IF(C461=DATE(2026,12,2),26,0)))</f>
        <v/>
      </c>
      <c r="K461" s="13">
        <f>IF(C461=Options!$B$9,B461*12,0)</f>
        <v/>
      </c>
      <c r="L461" s="13">
        <f>IF(C461=Options!$B$9,B461*Options!$Z$5,0)</f>
        <v/>
      </c>
      <c r="M461" s="13" t="n">
        <v>0</v>
      </c>
      <c r="N461" s="13">
        <f>SUM(E461:M461)</f>
        <v/>
      </c>
    </row>
    <row r="462">
      <c r="A462" s="5">
        <f>IF(AND(C462&gt;=Options!$B$9,C462&lt;=Options!$B$10),"Chicago","")</f>
        <v/>
      </c>
      <c r="B462" s="5">
        <f>IF(A462="","",24)</f>
        <v/>
      </c>
      <c r="C462" s="17" t="n">
        <v>46388</v>
      </c>
      <c r="D462" s="5">
        <f>IF(A462="","",IF(C462=DATE(2026,11,29),"培训；注册午餐；早餐参数",IF(C462=DATE(2026,11,30),"培训；注册午餐",IF(C462=DATE(2026,12,1),"培训；注册午餐；机构晚餐",IF(C462=Options!$B$9,"抵达；"&amp;IF(C462=DATE(2026,11,28),"机构晚餐","无统一供餐"),IF(C462=Options!$B$10,"返程；"&amp;IF(C462=DATE(2026,12,2),"机构午餐","无统一供餐"),"差旅状态；无统一日程"))))))</f>
        <v/>
      </c>
      <c r="E462" s="13">
        <f>IF(C462=Options!$B$9,Options!$C$15,0)</f>
        <v/>
      </c>
      <c r="F462" s="13">
        <f>IF(AND(A462&lt;&gt;"",C462&lt;Options!$B$10),B462*Options!$X$5,0)</f>
        <v/>
      </c>
      <c r="G462" s="13">
        <f>F462*12%</f>
        <v/>
      </c>
      <c r="H462" s="13">
        <f>IF(A462="",0,B462*(92*IF(OR(C462=Options!$B$9,C462=Options!$B$10),75%,100%)-IF(C462=DATE(2026,11,29),26+IF(Options!$B$8="是",23,0),0)-IF(C462=DATE(2026,11,30),26,0)-IF(C462=DATE(2026,12,1),64,0)-IF(C462=DATE(2026,11,28),38,0)-IF(C462=DATE(2026,12,2),26,0)))</f>
        <v/>
      </c>
      <c r="I462" s="13">
        <f>IF(AND(C462&gt;=DATE(2026,11,29),C462&lt;=DATE(2026,12,1)),B462*60,0)</f>
        <v/>
      </c>
      <c r="J462" s="13">
        <f>IF(A462="",0,B462*(IF(C462=DATE(2026,11,28),38,0)+IF(C462=DATE(2026,12,1),38,0)+IF(C462=DATE(2026,12,2),26,0)))</f>
        <v/>
      </c>
      <c r="K462" s="13">
        <f>IF(C462=Options!$B$9,B462*12,0)</f>
        <v/>
      </c>
      <c r="L462" s="13">
        <f>IF(C462=Options!$B$9,B462*Options!$Z$5,0)</f>
        <v/>
      </c>
      <c r="M462" s="13" t="n">
        <v>0</v>
      </c>
      <c r="N462" s="13">
        <f>SUM(E462:M462)</f>
        <v/>
      </c>
    </row>
    <row r="463">
      <c r="A463" s="5">
        <f>IF(AND(C463&gt;=Options!$B$9,C463&lt;=Options!$B$10),"Chicago","")</f>
        <v/>
      </c>
      <c r="B463" s="5">
        <f>IF(A463="","",24)</f>
        <v/>
      </c>
      <c r="C463" s="17" t="n">
        <v>46389</v>
      </c>
      <c r="D463" s="5">
        <f>IF(A463="","",IF(C463=DATE(2026,11,29),"培训；注册午餐；早餐参数",IF(C463=DATE(2026,11,30),"培训；注册午餐",IF(C463=DATE(2026,12,1),"培训；注册午餐；机构晚餐",IF(C463=Options!$B$9,"抵达；"&amp;IF(C463=DATE(2026,11,28),"机构晚餐","无统一供餐"),IF(C463=Options!$B$10,"返程；"&amp;IF(C463=DATE(2026,12,2),"机构午餐","无统一供餐"),"差旅状态；无统一日程"))))))</f>
        <v/>
      </c>
      <c r="E463" s="13">
        <f>IF(C463=Options!$B$9,Options!$C$15,0)</f>
        <v/>
      </c>
      <c r="F463" s="13">
        <f>IF(AND(A463&lt;&gt;"",C463&lt;Options!$B$10),B463*Options!$X$5,0)</f>
        <v/>
      </c>
      <c r="G463" s="13">
        <f>F463*12%</f>
        <v/>
      </c>
      <c r="H463" s="13">
        <f>IF(A463="",0,B463*(92*IF(OR(C463=Options!$B$9,C463=Options!$B$10),75%,100%)-IF(C463=DATE(2026,11,29),26+IF(Options!$B$8="是",23,0),0)-IF(C463=DATE(2026,11,30),26,0)-IF(C463=DATE(2026,12,1),64,0)-IF(C463=DATE(2026,11,28),38,0)-IF(C463=DATE(2026,12,2),26,0)))</f>
        <v/>
      </c>
      <c r="I463" s="13">
        <f>IF(AND(C463&gt;=DATE(2026,11,29),C463&lt;=DATE(2026,12,1)),B463*60,0)</f>
        <v/>
      </c>
      <c r="J463" s="13">
        <f>IF(A463="",0,B463*(IF(C463=DATE(2026,11,28),38,0)+IF(C463=DATE(2026,12,1),38,0)+IF(C463=DATE(2026,12,2),26,0)))</f>
        <v/>
      </c>
      <c r="K463" s="13">
        <f>IF(C463=Options!$B$9,B463*12,0)</f>
        <v/>
      </c>
      <c r="L463" s="13">
        <f>IF(C463=Options!$B$9,B463*Options!$Z$5,0)</f>
        <v/>
      </c>
      <c r="M463" s="13" t="n">
        <v>0</v>
      </c>
      <c r="N463" s="13">
        <f>SUM(E463:M463)</f>
        <v/>
      </c>
    </row>
    <row r="464">
      <c r="A464" s="5">
        <f>IF(AND(C464&gt;=Options!$B$9,C464&lt;=Options!$B$10),"Chicago","")</f>
        <v/>
      </c>
      <c r="B464" s="5">
        <f>IF(A464="","",24)</f>
        <v/>
      </c>
      <c r="C464" s="17" t="n">
        <v>46390</v>
      </c>
      <c r="D464" s="5">
        <f>IF(A464="","",IF(C464=DATE(2026,11,29),"培训；注册午餐；早餐参数",IF(C464=DATE(2026,11,30),"培训；注册午餐",IF(C464=DATE(2026,12,1),"培训；注册午餐；机构晚餐",IF(C464=Options!$B$9,"抵达；"&amp;IF(C464=DATE(2026,11,28),"机构晚餐","无统一供餐"),IF(C464=Options!$B$10,"返程；"&amp;IF(C464=DATE(2026,12,2),"机构午餐","无统一供餐"),"差旅状态；无统一日程"))))))</f>
        <v/>
      </c>
      <c r="E464" s="13">
        <f>IF(C464=Options!$B$9,Options!$C$15,0)</f>
        <v/>
      </c>
      <c r="F464" s="13">
        <f>IF(AND(A464&lt;&gt;"",C464&lt;Options!$B$10),B464*Options!$X$5,0)</f>
        <v/>
      </c>
      <c r="G464" s="13">
        <f>F464*12%</f>
        <v/>
      </c>
      <c r="H464" s="13">
        <f>IF(A464="",0,B464*(92*IF(OR(C464=Options!$B$9,C464=Options!$B$10),75%,100%)-IF(C464=DATE(2026,11,29),26+IF(Options!$B$8="是",23,0),0)-IF(C464=DATE(2026,11,30),26,0)-IF(C464=DATE(2026,12,1),64,0)-IF(C464=DATE(2026,11,28),38,0)-IF(C464=DATE(2026,12,2),26,0)))</f>
        <v/>
      </c>
      <c r="I464" s="13">
        <f>IF(AND(C464&gt;=DATE(2026,11,29),C464&lt;=DATE(2026,12,1)),B464*60,0)</f>
        <v/>
      </c>
      <c r="J464" s="13">
        <f>IF(A464="",0,B464*(IF(C464=DATE(2026,11,28),38,0)+IF(C464=DATE(2026,12,1),38,0)+IF(C464=DATE(2026,12,2),26,0)))</f>
        <v/>
      </c>
      <c r="K464" s="13">
        <f>IF(C464=Options!$B$9,B464*12,0)</f>
        <v/>
      </c>
      <c r="L464" s="13">
        <f>IF(C464=Options!$B$9,B464*Options!$Z$5,0)</f>
        <v/>
      </c>
      <c r="M464" s="13" t="n">
        <v>0</v>
      </c>
      <c r="N464" s="13">
        <f>SUM(E464:M464)</f>
        <v/>
      </c>
    </row>
    <row r="465">
      <c r="A465" s="5">
        <f>IF(AND(C465&gt;=Options!$B$9,C465&lt;=Options!$B$10),"Chicago","")</f>
        <v/>
      </c>
      <c r="B465" s="5">
        <f>IF(A465="","",24)</f>
        <v/>
      </c>
      <c r="C465" s="17" t="n">
        <v>46391</v>
      </c>
      <c r="D465" s="5">
        <f>IF(A465="","",IF(C465=DATE(2026,11,29),"培训；注册午餐；早餐参数",IF(C465=DATE(2026,11,30),"培训；注册午餐",IF(C465=DATE(2026,12,1),"培训；注册午餐；机构晚餐",IF(C465=Options!$B$9,"抵达；"&amp;IF(C465=DATE(2026,11,28),"机构晚餐","无统一供餐"),IF(C465=Options!$B$10,"返程；"&amp;IF(C465=DATE(2026,12,2),"机构午餐","无统一供餐"),"差旅状态；无统一日程"))))))</f>
        <v/>
      </c>
      <c r="E465" s="13">
        <f>IF(C465=Options!$B$9,Options!$C$15,0)</f>
        <v/>
      </c>
      <c r="F465" s="13">
        <f>IF(AND(A465&lt;&gt;"",C465&lt;Options!$B$10),B465*Options!$X$5,0)</f>
        <v/>
      </c>
      <c r="G465" s="13">
        <f>F465*12%</f>
        <v/>
      </c>
      <c r="H465" s="13">
        <f>IF(A465="",0,B465*(92*IF(OR(C465=Options!$B$9,C465=Options!$B$10),75%,100%)-IF(C465=DATE(2026,11,29),26+IF(Options!$B$8="是",23,0),0)-IF(C465=DATE(2026,11,30),26,0)-IF(C465=DATE(2026,12,1),64,0)-IF(C465=DATE(2026,11,28),38,0)-IF(C465=DATE(2026,12,2),26,0)))</f>
        <v/>
      </c>
      <c r="I465" s="13">
        <f>IF(AND(C465&gt;=DATE(2026,11,29),C465&lt;=DATE(2026,12,1)),B465*60,0)</f>
        <v/>
      </c>
      <c r="J465" s="13">
        <f>IF(A465="",0,B465*(IF(C465=DATE(2026,11,28),38,0)+IF(C465=DATE(2026,12,1),38,0)+IF(C465=DATE(2026,12,2),26,0)))</f>
        <v/>
      </c>
      <c r="K465" s="13">
        <f>IF(C465=Options!$B$9,B465*12,0)</f>
        <v/>
      </c>
      <c r="L465" s="13">
        <f>IF(C465=Options!$B$9,B465*Options!$Z$5,0)</f>
        <v/>
      </c>
      <c r="M465" s="13" t="n">
        <v>0</v>
      </c>
      <c r="N465" s="13">
        <f>SUM(E465:M465)</f>
        <v/>
      </c>
    </row>
    <row r="466">
      <c r="A466" s="5">
        <f>IF(AND(C466&gt;=Options!$B$9,C466&lt;=Options!$B$10),"Chicago","")</f>
        <v/>
      </c>
      <c r="B466" s="5">
        <f>IF(A466="","",24)</f>
        <v/>
      </c>
      <c r="C466" s="17" t="n">
        <v>46392</v>
      </c>
      <c r="D466" s="5">
        <f>IF(A466="","",IF(C466=DATE(2026,11,29),"培训；注册午餐；早餐参数",IF(C466=DATE(2026,11,30),"培训；注册午餐",IF(C466=DATE(2026,12,1),"培训；注册午餐；机构晚餐",IF(C466=Options!$B$9,"抵达；"&amp;IF(C466=DATE(2026,11,28),"机构晚餐","无统一供餐"),IF(C466=Options!$B$10,"返程；"&amp;IF(C466=DATE(2026,12,2),"机构午餐","无统一供餐"),"差旅状态；无统一日程"))))))</f>
        <v/>
      </c>
      <c r="E466" s="13">
        <f>IF(C466=Options!$B$9,Options!$C$15,0)</f>
        <v/>
      </c>
      <c r="F466" s="13">
        <f>IF(AND(A466&lt;&gt;"",C466&lt;Options!$B$10),B466*Options!$X$5,0)</f>
        <v/>
      </c>
      <c r="G466" s="13">
        <f>F466*12%</f>
        <v/>
      </c>
      <c r="H466" s="13">
        <f>IF(A466="",0,B466*(92*IF(OR(C466=Options!$B$9,C466=Options!$B$10),75%,100%)-IF(C466=DATE(2026,11,29),26+IF(Options!$B$8="是",23,0),0)-IF(C466=DATE(2026,11,30),26,0)-IF(C466=DATE(2026,12,1),64,0)-IF(C466=DATE(2026,11,28),38,0)-IF(C466=DATE(2026,12,2),26,0)))</f>
        <v/>
      </c>
      <c r="I466" s="13">
        <f>IF(AND(C466&gt;=DATE(2026,11,29),C466&lt;=DATE(2026,12,1)),B466*60,0)</f>
        <v/>
      </c>
      <c r="J466" s="13">
        <f>IF(A466="",0,B466*(IF(C466=DATE(2026,11,28),38,0)+IF(C466=DATE(2026,12,1),38,0)+IF(C466=DATE(2026,12,2),26,0)))</f>
        <v/>
      </c>
      <c r="K466" s="13">
        <f>IF(C466=Options!$B$9,B466*12,0)</f>
        <v/>
      </c>
      <c r="L466" s="13">
        <f>IF(C466=Options!$B$9,B466*Options!$Z$5,0)</f>
        <v/>
      </c>
      <c r="M466" s="13" t="n">
        <v>0</v>
      </c>
      <c r="N466" s="13">
        <f>SUM(E466:M466)</f>
        <v/>
      </c>
    </row>
    <row r="467">
      <c r="A467" s="5">
        <f>IF(AND(C467&gt;=Options!$B$9,C467&lt;=Options!$B$10),"Chicago","")</f>
        <v/>
      </c>
      <c r="B467" s="5">
        <f>IF(A467="","",24)</f>
        <v/>
      </c>
      <c r="C467" s="17" t="n">
        <v>46393</v>
      </c>
      <c r="D467" s="5">
        <f>IF(A467="","",IF(C467=DATE(2026,11,29),"培训；注册午餐；早餐参数",IF(C467=DATE(2026,11,30),"培训；注册午餐",IF(C467=DATE(2026,12,1),"培训；注册午餐；机构晚餐",IF(C467=Options!$B$9,"抵达；"&amp;IF(C467=DATE(2026,11,28),"机构晚餐","无统一供餐"),IF(C467=Options!$B$10,"返程；"&amp;IF(C467=DATE(2026,12,2),"机构午餐","无统一供餐"),"差旅状态；无统一日程"))))))</f>
        <v/>
      </c>
      <c r="E467" s="13">
        <f>IF(C467=Options!$B$9,Options!$C$15,0)</f>
        <v/>
      </c>
      <c r="F467" s="13">
        <f>IF(AND(A467&lt;&gt;"",C467&lt;Options!$B$10),B467*Options!$X$5,0)</f>
        <v/>
      </c>
      <c r="G467" s="13">
        <f>F467*12%</f>
        <v/>
      </c>
      <c r="H467" s="13">
        <f>IF(A467="",0,B467*(92*IF(OR(C467=Options!$B$9,C467=Options!$B$10),75%,100%)-IF(C467=DATE(2026,11,29),26+IF(Options!$B$8="是",23,0),0)-IF(C467=DATE(2026,11,30),26,0)-IF(C467=DATE(2026,12,1),64,0)-IF(C467=DATE(2026,11,28),38,0)-IF(C467=DATE(2026,12,2),26,0)))</f>
        <v/>
      </c>
      <c r="I467" s="13">
        <f>IF(AND(C467&gt;=DATE(2026,11,29),C467&lt;=DATE(2026,12,1)),B467*60,0)</f>
        <v/>
      </c>
      <c r="J467" s="13">
        <f>IF(A467="",0,B467*(IF(C467=DATE(2026,11,28),38,0)+IF(C467=DATE(2026,12,1),38,0)+IF(C467=DATE(2026,12,2),26,0)))</f>
        <v/>
      </c>
      <c r="K467" s="13">
        <f>IF(C467=Options!$B$9,B467*12,0)</f>
        <v/>
      </c>
      <c r="L467" s="13">
        <f>IF(C467=Options!$B$9,B467*Options!$Z$5,0)</f>
        <v/>
      </c>
      <c r="M467" s="13" t="n">
        <v>0</v>
      </c>
      <c r="N467" s="13">
        <f>SUM(E467:M467)</f>
        <v/>
      </c>
    </row>
    <row r="468">
      <c r="A468" s="5">
        <f>IF(AND(C468&gt;=Options!$B$9,C468&lt;=Options!$B$10),"Chicago","")</f>
        <v/>
      </c>
      <c r="B468" s="5">
        <f>IF(A468="","",24)</f>
        <v/>
      </c>
      <c r="C468" s="17" t="n">
        <v>46394</v>
      </c>
      <c r="D468" s="5">
        <f>IF(A468="","",IF(C468=DATE(2026,11,29),"培训；注册午餐；早餐参数",IF(C468=DATE(2026,11,30),"培训；注册午餐",IF(C468=DATE(2026,12,1),"培训；注册午餐；机构晚餐",IF(C468=Options!$B$9,"抵达；"&amp;IF(C468=DATE(2026,11,28),"机构晚餐","无统一供餐"),IF(C468=Options!$B$10,"返程；"&amp;IF(C468=DATE(2026,12,2),"机构午餐","无统一供餐"),"差旅状态；无统一日程"))))))</f>
        <v/>
      </c>
      <c r="E468" s="13">
        <f>IF(C468=Options!$B$9,Options!$C$15,0)</f>
        <v/>
      </c>
      <c r="F468" s="13">
        <f>IF(AND(A468&lt;&gt;"",C468&lt;Options!$B$10),B468*Options!$X$5,0)</f>
        <v/>
      </c>
      <c r="G468" s="13">
        <f>F468*12%</f>
        <v/>
      </c>
      <c r="H468" s="13">
        <f>IF(A468="",0,B468*(92*IF(OR(C468=Options!$B$9,C468=Options!$B$10),75%,100%)-IF(C468=DATE(2026,11,29),26+IF(Options!$B$8="是",23,0),0)-IF(C468=DATE(2026,11,30),26,0)-IF(C468=DATE(2026,12,1),64,0)-IF(C468=DATE(2026,11,28),38,0)-IF(C468=DATE(2026,12,2),26,0)))</f>
        <v/>
      </c>
      <c r="I468" s="13">
        <f>IF(AND(C468&gt;=DATE(2026,11,29),C468&lt;=DATE(2026,12,1)),B468*60,0)</f>
        <v/>
      </c>
      <c r="J468" s="13">
        <f>IF(A468="",0,B468*(IF(C468=DATE(2026,11,28),38,0)+IF(C468=DATE(2026,12,1),38,0)+IF(C468=DATE(2026,12,2),26,0)))</f>
        <v/>
      </c>
      <c r="K468" s="13">
        <f>IF(C468=Options!$B$9,B468*12,0)</f>
        <v/>
      </c>
      <c r="L468" s="13">
        <f>IF(C468=Options!$B$9,B468*Options!$Z$5,0)</f>
        <v/>
      </c>
      <c r="M468" s="13" t="n">
        <v>0</v>
      </c>
      <c r="N468" s="13">
        <f>SUM(E468:M468)</f>
        <v/>
      </c>
    </row>
    <row r="469">
      <c r="A469" s="5">
        <f>IF(AND(C469&gt;=Options!$B$9,C469&lt;=Options!$B$10),"Chicago","")</f>
        <v/>
      </c>
      <c r="B469" s="5">
        <f>IF(A469="","",24)</f>
        <v/>
      </c>
      <c r="C469" s="17" t="n">
        <v>46395</v>
      </c>
      <c r="D469" s="5">
        <f>IF(A469="","",IF(C469=DATE(2026,11,29),"培训；注册午餐；早餐参数",IF(C469=DATE(2026,11,30),"培训；注册午餐",IF(C469=DATE(2026,12,1),"培训；注册午餐；机构晚餐",IF(C469=Options!$B$9,"抵达；"&amp;IF(C469=DATE(2026,11,28),"机构晚餐","无统一供餐"),IF(C469=Options!$B$10,"返程；"&amp;IF(C469=DATE(2026,12,2),"机构午餐","无统一供餐"),"差旅状态；无统一日程"))))))</f>
        <v/>
      </c>
      <c r="E469" s="13">
        <f>IF(C469=Options!$B$9,Options!$C$15,0)</f>
        <v/>
      </c>
      <c r="F469" s="13">
        <f>IF(AND(A469&lt;&gt;"",C469&lt;Options!$B$10),B469*Options!$X$5,0)</f>
        <v/>
      </c>
      <c r="G469" s="13">
        <f>F469*12%</f>
        <v/>
      </c>
      <c r="H469" s="13">
        <f>IF(A469="",0,B469*(92*IF(OR(C469=Options!$B$9,C469=Options!$B$10),75%,100%)-IF(C469=DATE(2026,11,29),26+IF(Options!$B$8="是",23,0),0)-IF(C469=DATE(2026,11,30),26,0)-IF(C469=DATE(2026,12,1),64,0)-IF(C469=DATE(2026,11,28),38,0)-IF(C469=DATE(2026,12,2),26,0)))</f>
        <v/>
      </c>
      <c r="I469" s="13">
        <f>IF(AND(C469&gt;=DATE(2026,11,29),C469&lt;=DATE(2026,12,1)),B469*60,0)</f>
        <v/>
      </c>
      <c r="J469" s="13">
        <f>IF(A469="",0,B469*(IF(C469=DATE(2026,11,28),38,0)+IF(C469=DATE(2026,12,1),38,0)+IF(C469=DATE(2026,12,2),26,0)))</f>
        <v/>
      </c>
      <c r="K469" s="13">
        <f>IF(C469=Options!$B$9,B469*12,0)</f>
        <v/>
      </c>
      <c r="L469" s="13">
        <f>IF(C469=Options!$B$9,B469*Options!$Z$5,0)</f>
        <v/>
      </c>
      <c r="M469" s="13" t="n">
        <v>0</v>
      </c>
      <c r="N469" s="13">
        <f>SUM(E469:M469)</f>
        <v/>
      </c>
    </row>
    <row r="470">
      <c r="A470" s="5">
        <f>IF(AND(C470&gt;=Options!$B$9,C470&lt;=Options!$B$10),"Chicago","")</f>
        <v/>
      </c>
      <c r="B470" s="5">
        <f>IF(A470="","",24)</f>
        <v/>
      </c>
      <c r="C470" s="17" t="n">
        <v>46396</v>
      </c>
      <c r="D470" s="5">
        <f>IF(A470="","",IF(C470=DATE(2026,11,29),"培训；注册午餐；早餐参数",IF(C470=DATE(2026,11,30),"培训；注册午餐",IF(C470=DATE(2026,12,1),"培训；注册午餐；机构晚餐",IF(C470=Options!$B$9,"抵达；"&amp;IF(C470=DATE(2026,11,28),"机构晚餐","无统一供餐"),IF(C470=Options!$B$10,"返程；"&amp;IF(C470=DATE(2026,12,2),"机构午餐","无统一供餐"),"差旅状态；无统一日程"))))))</f>
        <v/>
      </c>
      <c r="E470" s="13">
        <f>IF(C470=Options!$B$9,Options!$C$15,0)</f>
        <v/>
      </c>
      <c r="F470" s="13">
        <f>IF(AND(A470&lt;&gt;"",C470&lt;Options!$B$10),B470*Options!$X$5,0)</f>
        <v/>
      </c>
      <c r="G470" s="13">
        <f>F470*12%</f>
        <v/>
      </c>
      <c r="H470" s="13">
        <f>IF(A470="",0,B470*(92*IF(OR(C470=Options!$B$9,C470=Options!$B$10),75%,100%)-IF(C470=DATE(2026,11,29),26+IF(Options!$B$8="是",23,0),0)-IF(C470=DATE(2026,11,30),26,0)-IF(C470=DATE(2026,12,1),64,0)-IF(C470=DATE(2026,11,28),38,0)-IF(C470=DATE(2026,12,2),26,0)))</f>
        <v/>
      </c>
      <c r="I470" s="13">
        <f>IF(AND(C470&gt;=DATE(2026,11,29),C470&lt;=DATE(2026,12,1)),B470*60,0)</f>
        <v/>
      </c>
      <c r="J470" s="13">
        <f>IF(A470="",0,B470*(IF(C470=DATE(2026,11,28),38,0)+IF(C470=DATE(2026,12,1),38,0)+IF(C470=DATE(2026,12,2),26,0)))</f>
        <v/>
      </c>
      <c r="K470" s="13">
        <f>IF(C470=Options!$B$9,B470*12,0)</f>
        <v/>
      </c>
      <c r="L470" s="13">
        <f>IF(C470=Options!$B$9,B470*Options!$Z$5,0)</f>
        <v/>
      </c>
      <c r="M470" s="13" t="n">
        <v>0</v>
      </c>
      <c r="N470" s="13">
        <f>SUM(E470:M470)</f>
        <v/>
      </c>
    </row>
    <row r="471">
      <c r="A471" s="5">
        <f>IF(AND(C471&gt;=Options!$B$9,C471&lt;=Options!$B$10),"Chicago","")</f>
        <v/>
      </c>
      <c r="B471" s="5">
        <f>IF(A471="","",24)</f>
        <v/>
      </c>
      <c r="C471" s="17" t="n">
        <v>46397</v>
      </c>
      <c r="D471" s="5">
        <f>IF(A471="","",IF(C471=DATE(2026,11,29),"培训；注册午餐；早餐参数",IF(C471=DATE(2026,11,30),"培训；注册午餐",IF(C471=DATE(2026,12,1),"培训；注册午餐；机构晚餐",IF(C471=Options!$B$9,"抵达；"&amp;IF(C471=DATE(2026,11,28),"机构晚餐","无统一供餐"),IF(C471=Options!$B$10,"返程；"&amp;IF(C471=DATE(2026,12,2),"机构午餐","无统一供餐"),"差旅状态；无统一日程"))))))</f>
        <v/>
      </c>
      <c r="E471" s="13">
        <f>IF(C471=Options!$B$9,Options!$C$15,0)</f>
        <v/>
      </c>
      <c r="F471" s="13">
        <f>IF(AND(A471&lt;&gt;"",C471&lt;Options!$B$10),B471*Options!$X$5,0)</f>
        <v/>
      </c>
      <c r="G471" s="13">
        <f>F471*12%</f>
        <v/>
      </c>
      <c r="H471" s="13">
        <f>IF(A471="",0,B471*(92*IF(OR(C471=Options!$B$9,C471=Options!$B$10),75%,100%)-IF(C471=DATE(2026,11,29),26+IF(Options!$B$8="是",23,0),0)-IF(C471=DATE(2026,11,30),26,0)-IF(C471=DATE(2026,12,1),64,0)-IF(C471=DATE(2026,11,28),38,0)-IF(C471=DATE(2026,12,2),26,0)))</f>
        <v/>
      </c>
      <c r="I471" s="13">
        <f>IF(AND(C471&gt;=DATE(2026,11,29),C471&lt;=DATE(2026,12,1)),B471*60,0)</f>
        <v/>
      </c>
      <c r="J471" s="13">
        <f>IF(A471="",0,B471*(IF(C471=DATE(2026,11,28),38,0)+IF(C471=DATE(2026,12,1),38,0)+IF(C471=DATE(2026,12,2),26,0)))</f>
        <v/>
      </c>
      <c r="K471" s="13">
        <f>IF(C471=Options!$B$9,B471*12,0)</f>
        <v/>
      </c>
      <c r="L471" s="13">
        <f>IF(C471=Options!$B$9,B471*Options!$Z$5,0)</f>
        <v/>
      </c>
      <c r="M471" s="13" t="n">
        <v>0</v>
      </c>
      <c r="N471" s="13">
        <f>SUM(E471:M471)</f>
        <v/>
      </c>
    </row>
    <row r="472">
      <c r="A472" s="5">
        <f>IF(AND(C472&gt;=Options!$B$9,C472&lt;=Options!$B$10),"Chicago","")</f>
        <v/>
      </c>
      <c r="B472" s="5">
        <f>IF(A472="","",24)</f>
        <v/>
      </c>
      <c r="C472" s="17" t="n">
        <v>46398</v>
      </c>
      <c r="D472" s="5">
        <f>IF(A472="","",IF(C472=DATE(2026,11,29),"培训；注册午餐；早餐参数",IF(C472=DATE(2026,11,30),"培训；注册午餐",IF(C472=DATE(2026,12,1),"培训；注册午餐；机构晚餐",IF(C472=Options!$B$9,"抵达；"&amp;IF(C472=DATE(2026,11,28),"机构晚餐","无统一供餐"),IF(C472=Options!$B$10,"返程；"&amp;IF(C472=DATE(2026,12,2),"机构午餐","无统一供餐"),"差旅状态；无统一日程"))))))</f>
        <v/>
      </c>
      <c r="E472" s="13">
        <f>IF(C472=Options!$B$9,Options!$C$15,0)</f>
        <v/>
      </c>
      <c r="F472" s="13">
        <f>IF(AND(A472&lt;&gt;"",C472&lt;Options!$B$10),B472*Options!$X$5,0)</f>
        <v/>
      </c>
      <c r="G472" s="13">
        <f>F472*12%</f>
        <v/>
      </c>
      <c r="H472" s="13">
        <f>IF(A472="",0,B472*(92*IF(OR(C472=Options!$B$9,C472=Options!$B$10),75%,100%)-IF(C472=DATE(2026,11,29),26+IF(Options!$B$8="是",23,0),0)-IF(C472=DATE(2026,11,30),26,0)-IF(C472=DATE(2026,12,1),64,0)-IF(C472=DATE(2026,11,28),38,0)-IF(C472=DATE(2026,12,2),26,0)))</f>
        <v/>
      </c>
      <c r="I472" s="13">
        <f>IF(AND(C472&gt;=DATE(2026,11,29),C472&lt;=DATE(2026,12,1)),B472*60,0)</f>
        <v/>
      </c>
      <c r="J472" s="13">
        <f>IF(A472="",0,B472*(IF(C472=DATE(2026,11,28),38,0)+IF(C472=DATE(2026,12,1),38,0)+IF(C472=DATE(2026,12,2),26,0)))</f>
        <v/>
      </c>
      <c r="K472" s="13">
        <f>IF(C472=Options!$B$9,B472*12,0)</f>
        <v/>
      </c>
      <c r="L472" s="13">
        <f>IF(C472=Options!$B$9,B472*Options!$Z$5,0)</f>
        <v/>
      </c>
      <c r="M472" s="13" t="n">
        <v>0</v>
      </c>
      <c r="N472" s="13">
        <f>SUM(E472:M472)</f>
        <v/>
      </c>
    </row>
    <row r="473">
      <c r="A473" s="5">
        <f>IF(AND(C473&gt;=Options!$B$9,C473&lt;=Options!$B$10),"Chicago","")</f>
        <v/>
      </c>
      <c r="B473" s="5">
        <f>IF(A473="","",24)</f>
        <v/>
      </c>
      <c r="C473" s="17" t="n">
        <v>46399</v>
      </c>
      <c r="D473" s="5">
        <f>IF(A473="","",IF(C473=DATE(2026,11,29),"培训；注册午餐；早餐参数",IF(C473=DATE(2026,11,30),"培训；注册午餐",IF(C473=DATE(2026,12,1),"培训；注册午餐；机构晚餐",IF(C473=Options!$B$9,"抵达；"&amp;IF(C473=DATE(2026,11,28),"机构晚餐","无统一供餐"),IF(C473=Options!$B$10,"返程；"&amp;IF(C473=DATE(2026,12,2),"机构午餐","无统一供餐"),"差旅状态；无统一日程"))))))</f>
        <v/>
      </c>
      <c r="E473" s="13">
        <f>IF(C473=Options!$B$9,Options!$C$15,0)</f>
        <v/>
      </c>
      <c r="F473" s="13">
        <f>IF(AND(A473&lt;&gt;"",C473&lt;Options!$B$10),B473*Options!$X$5,0)</f>
        <v/>
      </c>
      <c r="G473" s="13">
        <f>F473*12%</f>
        <v/>
      </c>
      <c r="H473" s="13">
        <f>IF(A473="",0,B473*(92*IF(OR(C473=Options!$B$9,C473=Options!$B$10),75%,100%)-IF(C473=DATE(2026,11,29),26+IF(Options!$B$8="是",23,0),0)-IF(C473=DATE(2026,11,30),26,0)-IF(C473=DATE(2026,12,1),64,0)-IF(C473=DATE(2026,11,28),38,0)-IF(C473=DATE(2026,12,2),26,0)))</f>
        <v/>
      </c>
      <c r="I473" s="13">
        <f>IF(AND(C473&gt;=DATE(2026,11,29),C473&lt;=DATE(2026,12,1)),B473*60,0)</f>
        <v/>
      </c>
      <c r="J473" s="13">
        <f>IF(A473="",0,B473*(IF(C473=DATE(2026,11,28),38,0)+IF(C473=DATE(2026,12,1),38,0)+IF(C473=DATE(2026,12,2),26,0)))</f>
        <v/>
      </c>
      <c r="K473" s="13">
        <f>IF(C473=Options!$B$9,B473*12,0)</f>
        <v/>
      </c>
      <c r="L473" s="13">
        <f>IF(C473=Options!$B$9,B473*Options!$Z$5,0)</f>
        <v/>
      </c>
      <c r="M473" s="13" t="n">
        <v>0</v>
      </c>
      <c r="N473" s="13">
        <f>SUM(E473:M473)</f>
        <v/>
      </c>
    </row>
    <row r="474">
      <c r="A474" s="5">
        <f>IF(AND(C474&gt;=Options!$B$9,C474&lt;=Options!$B$10),"Chicago","")</f>
        <v/>
      </c>
      <c r="B474" s="5">
        <f>IF(A474="","",24)</f>
        <v/>
      </c>
      <c r="C474" s="17" t="n">
        <v>46400</v>
      </c>
      <c r="D474" s="5">
        <f>IF(A474="","",IF(C474=DATE(2026,11,29),"培训；注册午餐；早餐参数",IF(C474=DATE(2026,11,30),"培训；注册午餐",IF(C474=DATE(2026,12,1),"培训；注册午餐；机构晚餐",IF(C474=Options!$B$9,"抵达；"&amp;IF(C474=DATE(2026,11,28),"机构晚餐","无统一供餐"),IF(C474=Options!$B$10,"返程；"&amp;IF(C474=DATE(2026,12,2),"机构午餐","无统一供餐"),"差旅状态；无统一日程"))))))</f>
        <v/>
      </c>
      <c r="E474" s="13">
        <f>IF(C474=Options!$B$9,Options!$C$15,0)</f>
        <v/>
      </c>
      <c r="F474" s="13">
        <f>IF(AND(A474&lt;&gt;"",C474&lt;Options!$B$10),B474*Options!$X$5,0)</f>
        <v/>
      </c>
      <c r="G474" s="13">
        <f>F474*12%</f>
        <v/>
      </c>
      <c r="H474" s="13">
        <f>IF(A474="",0,B474*(92*IF(OR(C474=Options!$B$9,C474=Options!$B$10),75%,100%)-IF(C474=DATE(2026,11,29),26+IF(Options!$B$8="是",23,0),0)-IF(C474=DATE(2026,11,30),26,0)-IF(C474=DATE(2026,12,1),64,0)-IF(C474=DATE(2026,11,28),38,0)-IF(C474=DATE(2026,12,2),26,0)))</f>
        <v/>
      </c>
      <c r="I474" s="13">
        <f>IF(AND(C474&gt;=DATE(2026,11,29),C474&lt;=DATE(2026,12,1)),B474*60,0)</f>
        <v/>
      </c>
      <c r="J474" s="13">
        <f>IF(A474="",0,B474*(IF(C474=DATE(2026,11,28),38,0)+IF(C474=DATE(2026,12,1),38,0)+IF(C474=DATE(2026,12,2),26,0)))</f>
        <v/>
      </c>
      <c r="K474" s="13">
        <f>IF(C474=Options!$B$9,B474*12,0)</f>
        <v/>
      </c>
      <c r="L474" s="13">
        <f>IF(C474=Options!$B$9,B474*Options!$Z$5,0)</f>
        <v/>
      </c>
      <c r="M474" s="13" t="n">
        <v>0</v>
      </c>
      <c r="N474" s="13">
        <f>SUM(E474:M474)</f>
        <v/>
      </c>
    </row>
    <row r="475">
      <c r="A475" s="5">
        <f>IF(AND(C475&gt;=Options!$B$9,C475&lt;=Options!$B$10),"Chicago","")</f>
        <v/>
      </c>
      <c r="B475" s="5">
        <f>IF(A475="","",24)</f>
        <v/>
      </c>
      <c r="C475" s="17" t="n">
        <v>46401</v>
      </c>
      <c r="D475" s="5">
        <f>IF(A475="","",IF(C475=DATE(2026,11,29),"培训；注册午餐；早餐参数",IF(C475=DATE(2026,11,30),"培训；注册午餐",IF(C475=DATE(2026,12,1),"培训；注册午餐；机构晚餐",IF(C475=Options!$B$9,"抵达；"&amp;IF(C475=DATE(2026,11,28),"机构晚餐","无统一供餐"),IF(C475=Options!$B$10,"返程；"&amp;IF(C475=DATE(2026,12,2),"机构午餐","无统一供餐"),"差旅状态；无统一日程"))))))</f>
        <v/>
      </c>
      <c r="E475" s="13">
        <f>IF(C475=Options!$B$9,Options!$C$15,0)</f>
        <v/>
      </c>
      <c r="F475" s="13">
        <f>IF(AND(A475&lt;&gt;"",C475&lt;Options!$B$10),B475*Options!$X$5,0)</f>
        <v/>
      </c>
      <c r="G475" s="13">
        <f>F475*12%</f>
        <v/>
      </c>
      <c r="H475" s="13">
        <f>IF(A475="",0,B475*(92*IF(OR(C475=Options!$B$9,C475=Options!$B$10),75%,100%)-IF(C475=DATE(2026,11,29),26+IF(Options!$B$8="是",23,0),0)-IF(C475=DATE(2026,11,30),26,0)-IF(C475=DATE(2026,12,1),64,0)-IF(C475=DATE(2026,11,28),38,0)-IF(C475=DATE(2026,12,2),26,0)))</f>
        <v/>
      </c>
      <c r="I475" s="13">
        <f>IF(AND(C475&gt;=DATE(2026,11,29),C475&lt;=DATE(2026,12,1)),B475*60,0)</f>
        <v/>
      </c>
      <c r="J475" s="13">
        <f>IF(A475="",0,B475*(IF(C475=DATE(2026,11,28),38,0)+IF(C475=DATE(2026,12,1),38,0)+IF(C475=DATE(2026,12,2),26,0)))</f>
        <v/>
      </c>
      <c r="K475" s="13">
        <f>IF(C475=Options!$B$9,B475*12,0)</f>
        <v/>
      </c>
      <c r="L475" s="13">
        <f>IF(C475=Options!$B$9,B475*Options!$Z$5,0)</f>
        <v/>
      </c>
      <c r="M475" s="13" t="n">
        <v>0</v>
      </c>
      <c r="N475" s="13">
        <f>SUM(E475:M475)</f>
        <v/>
      </c>
    </row>
    <row r="476">
      <c r="A476" s="5">
        <f>IF(AND(C476&gt;=Options!$B$9,C476&lt;=Options!$B$10),"Chicago","")</f>
        <v/>
      </c>
      <c r="B476" s="5">
        <f>IF(A476="","",24)</f>
        <v/>
      </c>
      <c r="C476" s="17" t="n">
        <v>46402</v>
      </c>
      <c r="D476" s="5">
        <f>IF(A476="","",IF(C476=DATE(2026,11,29),"培训；注册午餐；早餐参数",IF(C476=DATE(2026,11,30),"培训；注册午餐",IF(C476=DATE(2026,12,1),"培训；注册午餐；机构晚餐",IF(C476=Options!$B$9,"抵达；"&amp;IF(C476=DATE(2026,11,28),"机构晚餐","无统一供餐"),IF(C476=Options!$B$10,"返程；"&amp;IF(C476=DATE(2026,12,2),"机构午餐","无统一供餐"),"差旅状态；无统一日程"))))))</f>
        <v/>
      </c>
      <c r="E476" s="13">
        <f>IF(C476=Options!$B$9,Options!$C$15,0)</f>
        <v/>
      </c>
      <c r="F476" s="13">
        <f>IF(AND(A476&lt;&gt;"",C476&lt;Options!$B$10),B476*Options!$X$5,0)</f>
        <v/>
      </c>
      <c r="G476" s="13">
        <f>F476*12%</f>
        <v/>
      </c>
      <c r="H476" s="13">
        <f>IF(A476="",0,B476*(92*IF(OR(C476=Options!$B$9,C476=Options!$B$10),75%,100%)-IF(C476=DATE(2026,11,29),26+IF(Options!$B$8="是",23,0),0)-IF(C476=DATE(2026,11,30),26,0)-IF(C476=DATE(2026,12,1),64,0)-IF(C476=DATE(2026,11,28),38,0)-IF(C476=DATE(2026,12,2),26,0)))</f>
        <v/>
      </c>
      <c r="I476" s="13">
        <f>IF(AND(C476&gt;=DATE(2026,11,29),C476&lt;=DATE(2026,12,1)),B476*60,0)</f>
        <v/>
      </c>
      <c r="J476" s="13">
        <f>IF(A476="",0,B476*(IF(C476=DATE(2026,11,28),38,0)+IF(C476=DATE(2026,12,1),38,0)+IF(C476=DATE(2026,12,2),26,0)))</f>
        <v/>
      </c>
      <c r="K476" s="13">
        <f>IF(C476=Options!$B$9,B476*12,0)</f>
        <v/>
      </c>
      <c r="L476" s="13">
        <f>IF(C476=Options!$B$9,B476*Options!$Z$5,0)</f>
        <v/>
      </c>
      <c r="M476" s="13" t="n">
        <v>0</v>
      </c>
      <c r="N476" s="13">
        <f>SUM(E476:M476)</f>
        <v/>
      </c>
    </row>
    <row r="477">
      <c r="A477" s="5">
        <f>IF(AND(C477&gt;=Options!$B$9,C477&lt;=Options!$B$10),"Chicago","")</f>
        <v/>
      </c>
      <c r="B477" s="5">
        <f>IF(A477="","",24)</f>
        <v/>
      </c>
      <c r="C477" s="17" t="n">
        <v>46403</v>
      </c>
      <c r="D477" s="5">
        <f>IF(A477="","",IF(C477=DATE(2026,11,29),"培训；注册午餐；早餐参数",IF(C477=DATE(2026,11,30),"培训；注册午餐",IF(C477=DATE(2026,12,1),"培训；注册午餐；机构晚餐",IF(C477=Options!$B$9,"抵达；"&amp;IF(C477=DATE(2026,11,28),"机构晚餐","无统一供餐"),IF(C477=Options!$B$10,"返程；"&amp;IF(C477=DATE(2026,12,2),"机构午餐","无统一供餐"),"差旅状态；无统一日程"))))))</f>
        <v/>
      </c>
      <c r="E477" s="13">
        <f>IF(C477=Options!$B$9,Options!$C$15,0)</f>
        <v/>
      </c>
      <c r="F477" s="13">
        <f>IF(AND(A477&lt;&gt;"",C477&lt;Options!$B$10),B477*Options!$X$5,0)</f>
        <v/>
      </c>
      <c r="G477" s="13">
        <f>F477*12%</f>
        <v/>
      </c>
      <c r="H477" s="13">
        <f>IF(A477="",0,B477*(92*IF(OR(C477=Options!$B$9,C477=Options!$B$10),75%,100%)-IF(C477=DATE(2026,11,29),26+IF(Options!$B$8="是",23,0),0)-IF(C477=DATE(2026,11,30),26,0)-IF(C477=DATE(2026,12,1),64,0)-IF(C477=DATE(2026,11,28),38,0)-IF(C477=DATE(2026,12,2),26,0)))</f>
        <v/>
      </c>
      <c r="I477" s="13">
        <f>IF(AND(C477&gt;=DATE(2026,11,29),C477&lt;=DATE(2026,12,1)),B477*60,0)</f>
        <v/>
      </c>
      <c r="J477" s="13">
        <f>IF(A477="",0,B477*(IF(C477=DATE(2026,11,28),38,0)+IF(C477=DATE(2026,12,1),38,0)+IF(C477=DATE(2026,12,2),26,0)))</f>
        <v/>
      </c>
      <c r="K477" s="13">
        <f>IF(C477=Options!$B$9,B477*12,0)</f>
        <v/>
      </c>
      <c r="L477" s="13">
        <f>IF(C477=Options!$B$9,B477*Options!$Z$5,0)</f>
        <v/>
      </c>
      <c r="M477" s="13" t="n">
        <v>0</v>
      </c>
      <c r="N477" s="13">
        <f>SUM(E477:M477)</f>
        <v/>
      </c>
    </row>
    <row r="478">
      <c r="A478" s="5">
        <f>IF(AND(C478&gt;=Options!$B$9,C478&lt;=Options!$B$10),"Chicago","")</f>
        <v/>
      </c>
      <c r="B478" s="5">
        <f>IF(A478="","",24)</f>
        <v/>
      </c>
      <c r="C478" s="17" t="n">
        <v>46404</v>
      </c>
      <c r="D478" s="5">
        <f>IF(A478="","",IF(C478=DATE(2026,11,29),"培训；注册午餐；早餐参数",IF(C478=DATE(2026,11,30),"培训；注册午餐",IF(C478=DATE(2026,12,1),"培训；注册午餐；机构晚餐",IF(C478=Options!$B$9,"抵达；"&amp;IF(C478=DATE(2026,11,28),"机构晚餐","无统一供餐"),IF(C478=Options!$B$10,"返程；"&amp;IF(C478=DATE(2026,12,2),"机构午餐","无统一供餐"),"差旅状态；无统一日程"))))))</f>
        <v/>
      </c>
      <c r="E478" s="13">
        <f>IF(C478=Options!$B$9,Options!$C$15,0)</f>
        <v/>
      </c>
      <c r="F478" s="13">
        <f>IF(AND(A478&lt;&gt;"",C478&lt;Options!$B$10),B478*Options!$X$5,0)</f>
        <v/>
      </c>
      <c r="G478" s="13">
        <f>F478*12%</f>
        <v/>
      </c>
      <c r="H478" s="13">
        <f>IF(A478="",0,B478*(92*IF(OR(C478=Options!$B$9,C478=Options!$B$10),75%,100%)-IF(C478=DATE(2026,11,29),26+IF(Options!$B$8="是",23,0),0)-IF(C478=DATE(2026,11,30),26,0)-IF(C478=DATE(2026,12,1),64,0)-IF(C478=DATE(2026,11,28),38,0)-IF(C478=DATE(2026,12,2),26,0)))</f>
        <v/>
      </c>
      <c r="I478" s="13">
        <f>IF(AND(C478&gt;=DATE(2026,11,29),C478&lt;=DATE(2026,12,1)),B478*60,0)</f>
        <v/>
      </c>
      <c r="J478" s="13">
        <f>IF(A478="",0,B478*(IF(C478=DATE(2026,11,28),38,0)+IF(C478=DATE(2026,12,1),38,0)+IF(C478=DATE(2026,12,2),26,0)))</f>
        <v/>
      </c>
      <c r="K478" s="13">
        <f>IF(C478=Options!$B$9,B478*12,0)</f>
        <v/>
      </c>
      <c r="L478" s="13">
        <f>IF(C478=Options!$B$9,B478*Options!$Z$5,0)</f>
        <v/>
      </c>
      <c r="M478" s="13" t="n">
        <v>0</v>
      </c>
      <c r="N478" s="13">
        <f>SUM(E478:M478)</f>
        <v/>
      </c>
    </row>
    <row r="479">
      <c r="A479" s="5">
        <f>IF(AND(C479&gt;=Options!$B$9,C479&lt;=Options!$B$10),"Chicago","")</f>
        <v/>
      </c>
      <c r="B479" s="5">
        <f>IF(A479="","",24)</f>
        <v/>
      </c>
      <c r="C479" s="17" t="n">
        <v>46405</v>
      </c>
      <c r="D479" s="5">
        <f>IF(A479="","",IF(C479=DATE(2026,11,29),"培训；注册午餐；早餐参数",IF(C479=DATE(2026,11,30),"培训；注册午餐",IF(C479=DATE(2026,12,1),"培训；注册午餐；机构晚餐",IF(C479=Options!$B$9,"抵达；"&amp;IF(C479=DATE(2026,11,28),"机构晚餐","无统一供餐"),IF(C479=Options!$B$10,"返程；"&amp;IF(C479=DATE(2026,12,2),"机构午餐","无统一供餐"),"差旅状态；无统一日程"))))))</f>
        <v/>
      </c>
      <c r="E479" s="13">
        <f>IF(C479=Options!$B$9,Options!$C$15,0)</f>
        <v/>
      </c>
      <c r="F479" s="13">
        <f>IF(AND(A479&lt;&gt;"",C479&lt;Options!$B$10),B479*Options!$X$5,0)</f>
        <v/>
      </c>
      <c r="G479" s="13">
        <f>F479*12%</f>
        <v/>
      </c>
      <c r="H479" s="13">
        <f>IF(A479="",0,B479*(92*IF(OR(C479=Options!$B$9,C479=Options!$B$10),75%,100%)-IF(C479=DATE(2026,11,29),26+IF(Options!$B$8="是",23,0),0)-IF(C479=DATE(2026,11,30),26,0)-IF(C479=DATE(2026,12,1),64,0)-IF(C479=DATE(2026,11,28),38,0)-IF(C479=DATE(2026,12,2),26,0)))</f>
        <v/>
      </c>
      <c r="I479" s="13">
        <f>IF(AND(C479&gt;=DATE(2026,11,29),C479&lt;=DATE(2026,12,1)),B479*60,0)</f>
        <v/>
      </c>
      <c r="J479" s="13">
        <f>IF(A479="",0,B479*(IF(C479=DATE(2026,11,28),38,0)+IF(C479=DATE(2026,12,1),38,0)+IF(C479=DATE(2026,12,2),26,0)))</f>
        <v/>
      </c>
      <c r="K479" s="13">
        <f>IF(C479=Options!$B$9,B479*12,0)</f>
        <v/>
      </c>
      <c r="L479" s="13">
        <f>IF(C479=Options!$B$9,B479*Options!$Z$5,0)</f>
        <v/>
      </c>
      <c r="M479" s="13" t="n">
        <v>0</v>
      </c>
      <c r="N479" s="13">
        <f>SUM(E479:M479)</f>
        <v/>
      </c>
    </row>
    <row r="480">
      <c r="A480" s="5">
        <f>IF(AND(C480&gt;=Options!$B$9,C480&lt;=Options!$B$10),"Chicago","")</f>
        <v/>
      </c>
      <c r="B480" s="5">
        <f>IF(A480="","",24)</f>
        <v/>
      </c>
      <c r="C480" s="17" t="n">
        <v>46406</v>
      </c>
      <c r="D480" s="5">
        <f>IF(A480="","",IF(C480=DATE(2026,11,29),"培训；注册午餐；早餐参数",IF(C480=DATE(2026,11,30),"培训；注册午餐",IF(C480=DATE(2026,12,1),"培训；注册午餐；机构晚餐",IF(C480=Options!$B$9,"抵达；"&amp;IF(C480=DATE(2026,11,28),"机构晚餐","无统一供餐"),IF(C480=Options!$B$10,"返程；"&amp;IF(C480=DATE(2026,12,2),"机构午餐","无统一供餐"),"差旅状态；无统一日程"))))))</f>
        <v/>
      </c>
      <c r="E480" s="13">
        <f>IF(C480=Options!$B$9,Options!$C$15,0)</f>
        <v/>
      </c>
      <c r="F480" s="13">
        <f>IF(AND(A480&lt;&gt;"",C480&lt;Options!$B$10),B480*Options!$X$5,0)</f>
        <v/>
      </c>
      <c r="G480" s="13">
        <f>F480*12%</f>
        <v/>
      </c>
      <c r="H480" s="13">
        <f>IF(A480="",0,B480*(92*IF(OR(C480=Options!$B$9,C480=Options!$B$10),75%,100%)-IF(C480=DATE(2026,11,29),26+IF(Options!$B$8="是",23,0),0)-IF(C480=DATE(2026,11,30),26,0)-IF(C480=DATE(2026,12,1),64,0)-IF(C480=DATE(2026,11,28),38,0)-IF(C480=DATE(2026,12,2),26,0)))</f>
        <v/>
      </c>
      <c r="I480" s="13">
        <f>IF(AND(C480&gt;=DATE(2026,11,29),C480&lt;=DATE(2026,12,1)),B480*60,0)</f>
        <v/>
      </c>
      <c r="J480" s="13">
        <f>IF(A480="",0,B480*(IF(C480=DATE(2026,11,28),38,0)+IF(C480=DATE(2026,12,1),38,0)+IF(C480=DATE(2026,12,2),26,0)))</f>
        <v/>
      </c>
      <c r="K480" s="13">
        <f>IF(C480=Options!$B$9,B480*12,0)</f>
        <v/>
      </c>
      <c r="L480" s="13">
        <f>IF(C480=Options!$B$9,B480*Options!$Z$5,0)</f>
        <v/>
      </c>
      <c r="M480" s="13" t="n">
        <v>0</v>
      </c>
      <c r="N480" s="13">
        <f>SUM(E480:M480)</f>
        <v/>
      </c>
    </row>
    <row r="481">
      <c r="A481" s="5">
        <f>IF(AND(C481&gt;=Options!$B$9,C481&lt;=Options!$B$10),"Chicago","")</f>
        <v/>
      </c>
      <c r="B481" s="5">
        <f>IF(A481="","",24)</f>
        <v/>
      </c>
      <c r="C481" s="17" t="n">
        <v>46407</v>
      </c>
      <c r="D481" s="5">
        <f>IF(A481="","",IF(C481=DATE(2026,11,29),"培训；注册午餐；早餐参数",IF(C481=DATE(2026,11,30),"培训；注册午餐",IF(C481=DATE(2026,12,1),"培训；注册午餐；机构晚餐",IF(C481=Options!$B$9,"抵达；"&amp;IF(C481=DATE(2026,11,28),"机构晚餐","无统一供餐"),IF(C481=Options!$B$10,"返程；"&amp;IF(C481=DATE(2026,12,2),"机构午餐","无统一供餐"),"差旅状态；无统一日程"))))))</f>
        <v/>
      </c>
      <c r="E481" s="13">
        <f>IF(C481=Options!$B$9,Options!$C$15,0)</f>
        <v/>
      </c>
      <c r="F481" s="13">
        <f>IF(AND(A481&lt;&gt;"",C481&lt;Options!$B$10),B481*Options!$X$5,0)</f>
        <v/>
      </c>
      <c r="G481" s="13">
        <f>F481*12%</f>
        <v/>
      </c>
      <c r="H481" s="13">
        <f>IF(A481="",0,B481*(92*IF(OR(C481=Options!$B$9,C481=Options!$B$10),75%,100%)-IF(C481=DATE(2026,11,29),26+IF(Options!$B$8="是",23,0),0)-IF(C481=DATE(2026,11,30),26,0)-IF(C481=DATE(2026,12,1),64,0)-IF(C481=DATE(2026,11,28),38,0)-IF(C481=DATE(2026,12,2),26,0)))</f>
        <v/>
      </c>
      <c r="I481" s="13">
        <f>IF(AND(C481&gt;=DATE(2026,11,29),C481&lt;=DATE(2026,12,1)),B481*60,0)</f>
        <v/>
      </c>
      <c r="J481" s="13">
        <f>IF(A481="",0,B481*(IF(C481=DATE(2026,11,28),38,0)+IF(C481=DATE(2026,12,1),38,0)+IF(C481=DATE(2026,12,2),26,0)))</f>
        <v/>
      </c>
      <c r="K481" s="13">
        <f>IF(C481=Options!$B$9,B481*12,0)</f>
        <v/>
      </c>
      <c r="L481" s="13">
        <f>IF(C481=Options!$B$9,B481*Options!$Z$5,0)</f>
        <v/>
      </c>
      <c r="M481" s="13" t="n">
        <v>0</v>
      </c>
      <c r="N481" s="13">
        <f>SUM(E481:M481)</f>
        <v/>
      </c>
    </row>
    <row r="482">
      <c r="A482" s="5">
        <f>IF(AND(C482&gt;=Options!$B$9,C482&lt;=Options!$B$10),"Chicago","")</f>
        <v/>
      </c>
      <c r="B482" s="5">
        <f>IF(A482="","",24)</f>
        <v/>
      </c>
      <c r="C482" s="17" t="n">
        <v>46408</v>
      </c>
      <c r="D482" s="5">
        <f>IF(A482="","",IF(C482=DATE(2026,11,29),"培训；注册午餐；早餐参数",IF(C482=DATE(2026,11,30),"培训；注册午餐",IF(C482=DATE(2026,12,1),"培训；注册午餐；机构晚餐",IF(C482=Options!$B$9,"抵达；"&amp;IF(C482=DATE(2026,11,28),"机构晚餐","无统一供餐"),IF(C482=Options!$B$10,"返程；"&amp;IF(C482=DATE(2026,12,2),"机构午餐","无统一供餐"),"差旅状态；无统一日程"))))))</f>
        <v/>
      </c>
      <c r="E482" s="13">
        <f>IF(C482=Options!$B$9,Options!$C$15,0)</f>
        <v/>
      </c>
      <c r="F482" s="13">
        <f>IF(AND(A482&lt;&gt;"",C482&lt;Options!$B$10),B482*Options!$X$5,0)</f>
        <v/>
      </c>
      <c r="G482" s="13">
        <f>F482*12%</f>
        <v/>
      </c>
      <c r="H482" s="13">
        <f>IF(A482="",0,B482*(92*IF(OR(C482=Options!$B$9,C482=Options!$B$10),75%,100%)-IF(C482=DATE(2026,11,29),26+IF(Options!$B$8="是",23,0),0)-IF(C482=DATE(2026,11,30),26,0)-IF(C482=DATE(2026,12,1),64,0)-IF(C482=DATE(2026,11,28),38,0)-IF(C482=DATE(2026,12,2),26,0)))</f>
        <v/>
      </c>
      <c r="I482" s="13">
        <f>IF(AND(C482&gt;=DATE(2026,11,29),C482&lt;=DATE(2026,12,1)),B482*60,0)</f>
        <v/>
      </c>
      <c r="J482" s="13">
        <f>IF(A482="",0,B482*(IF(C482=DATE(2026,11,28),38,0)+IF(C482=DATE(2026,12,1),38,0)+IF(C482=DATE(2026,12,2),26,0)))</f>
        <v/>
      </c>
      <c r="K482" s="13">
        <f>IF(C482=Options!$B$9,B482*12,0)</f>
        <v/>
      </c>
      <c r="L482" s="13">
        <f>IF(C482=Options!$B$9,B482*Options!$Z$5,0)</f>
        <v/>
      </c>
      <c r="M482" s="13" t="n">
        <v>0</v>
      </c>
      <c r="N482" s="13">
        <f>SUM(E482:M482)</f>
        <v/>
      </c>
    </row>
    <row r="483">
      <c r="A483" s="5">
        <f>IF(AND(C483&gt;=Options!$B$9,C483&lt;=Options!$B$10),"Chicago","")</f>
        <v/>
      </c>
      <c r="B483" s="5">
        <f>IF(A483="","",24)</f>
        <v/>
      </c>
      <c r="C483" s="17" t="n">
        <v>46409</v>
      </c>
      <c r="D483" s="5">
        <f>IF(A483="","",IF(C483=DATE(2026,11,29),"培训；注册午餐；早餐参数",IF(C483=DATE(2026,11,30),"培训；注册午餐",IF(C483=DATE(2026,12,1),"培训；注册午餐；机构晚餐",IF(C483=Options!$B$9,"抵达；"&amp;IF(C483=DATE(2026,11,28),"机构晚餐","无统一供餐"),IF(C483=Options!$B$10,"返程；"&amp;IF(C483=DATE(2026,12,2),"机构午餐","无统一供餐"),"差旅状态；无统一日程"))))))</f>
        <v/>
      </c>
      <c r="E483" s="13">
        <f>IF(C483=Options!$B$9,Options!$C$15,0)</f>
        <v/>
      </c>
      <c r="F483" s="13">
        <f>IF(AND(A483&lt;&gt;"",C483&lt;Options!$B$10),B483*Options!$X$5,0)</f>
        <v/>
      </c>
      <c r="G483" s="13">
        <f>F483*12%</f>
        <v/>
      </c>
      <c r="H483" s="13">
        <f>IF(A483="",0,B483*(92*IF(OR(C483=Options!$B$9,C483=Options!$B$10),75%,100%)-IF(C483=DATE(2026,11,29),26+IF(Options!$B$8="是",23,0),0)-IF(C483=DATE(2026,11,30),26,0)-IF(C483=DATE(2026,12,1),64,0)-IF(C483=DATE(2026,11,28),38,0)-IF(C483=DATE(2026,12,2),26,0)))</f>
        <v/>
      </c>
      <c r="I483" s="13">
        <f>IF(AND(C483&gt;=DATE(2026,11,29),C483&lt;=DATE(2026,12,1)),B483*60,0)</f>
        <v/>
      </c>
      <c r="J483" s="13">
        <f>IF(A483="",0,B483*(IF(C483=DATE(2026,11,28),38,0)+IF(C483=DATE(2026,12,1),38,0)+IF(C483=DATE(2026,12,2),26,0)))</f>
        <v/>
      </c>
      <c r="K483" s="13">
        <f>IF(C483=Options!$B$9,B483*12,0)</f>
        <v/>
      </c>
      <c r="L483" s="13">
        <f>IF(C483=Options!$B$9,B483*Options!$Z$5,0)</f>
        <v/>
      </c>
      <c r="M483" s="13" t="n">
        <v>0</v>
      </c>
      <c r="N483" s="13">
        <f>SUM(E483:M483)</f>
        <v/>
      </c>
    </row>
    <row r="484">
      <c r="A484" s="5">
        <f>IF(AND(C484&gt;=Options!$B$9,C484&lt;=Options!$B$10),"Chicago","")</f>
        <v/>
      </c>
      <c r="B484" s="5">
        <f>IF(A484="","",24)</f>
        <v/>
      </c>
      <c r="C484" s="17" t="n">
        <v>46410</v>
      </c>
      <c r="D484" s="5">
        <f>IF(A484="","",IF(C484=DATE(2026,11,29),"培训；注册午餐；早餐参数",IF(C484=DATE(2026,11,30),"培训；注册午餐",IF(C484=DATE(2026,12,1),"培训；注册午餐；机构晚餐",IF(C484=Options!$B$9,"抵达；"&amp;IF(C484=DATE(2026,11,28),"机构晚餐","无统一供餐"),IF(C484=Options!$B$10,"返程；"&amp;IF(C484=DATE(2026,12,2),"机构午餐","无统一供餐"),"差旅状态；无统一日程"))))))</f>
        <v/>
      </c>
      <c r="E484" s="13">
        <f>IF(C484=Options!$B$9,Options!$C$15,0)</f>
        <v/>
      </c>
      <c r="F484" s="13">
        <f>IF(AND(A484&lt;&gt;"",C484&lt;Options!$B$10),B484*Options!$X$5,0)</f>
        <v/>
      </c>
      <c r="G484" s="13">
        <f>F484*12%</f>
        <v/>
      </c>
      <c r="H484" s="13">
        <f>IF(A484="",0,B484*(92*IF(OR(C484=Options!$B$9,C484=Options!$B$10),75%,100%)-IF(C484=DATE(2026,11,29),26+IF(Options!$B$8="是",23,0),0)-IF(C484=DATE(2026,11,30),26,0)-IF(C484=DATE(2026,12,1),64,0)-IF(C484=DATE(2026,11,28),38,0)-IF(C484=DATE(2026,12,2),26,0)))</f>
        <v/>
      </c>
      <c r="I484" s="13">
        <f>IF(AND(C484&gt;=DATE(2026,11,29),C484&lt;=DATE(2026,12,1)),B484*60,0)</f>
        <v/>
      </c>
      <c r="J484" s="13">
        <f>IF(A484="",0,B484*(IF(C484=DATE(2026,11,28),38,0)+IF(C484=DATE(2026,12,1),38,0)+IF(C484=DATE(2026,12,2),26,0)))</f>
        <v/>
      </c>
      <c r="K484" s="13">
        <f>IF(C484=Options!$B$9,B484*12,0)</f>
        <v/>
      </c>
      <c r="L484" s="13">
        <f>IF(C484=Options!$B$9,B484*Options!$Z$5,0)</f>
        <v/>
      </c>
      <c r="M484" s="13" t="n">
        <v>0</v>
      </c>
      <c r="N484" s="13">
        <f>SUM(E484:M484)</f>
        <v/>
      </c>
    </row>
    <row r="485">
      <c r="A485" s="5">
        <f>IF(AND(C485&gt;=Options!$B$9,C485&lt;=Options!$B$10),"Chicago","")</f>
        <v/>
      </c>
      <c r="B485" s="5">
        <f>IF(A485="","",24)</f>
        <v/>
      </c>
      <c r="C485" s="17" t="n">
        <v>46411</v>
      </c>
      <c r="D485" s="5">
        <f>IF(A485="","",IF(C485=DATE(2026,11,29),"培训；注册午餐；早餐参数",IF(C485=DATE(2026,11,30),"培训；注册午餐",IF(C485=DATE(2026,12,1),"培训；注册午餐；机构晚餐",IF(C485=Options!$B$9,"抵达；"&amp;IF(C485=DATE(2026,11,28),"机构晚餐","无统一供餐"),IF(C485=Options!$B$10,"返程；"&amp;IF(C485=DATE(2026,12,2),"机构午餐","无统一供餐"),"差旅状态；无统一日程"))))))</f>
        <v/>
      </c>
      <c r="E485" s="13">
        <f>IF(C485=Options!$B$9,Options!$C$15,0)</f>
        <v/>
      </c>
      <c r="F485" s="13">
        <f>IF(AND(A485&lt;&gt;"",C485&lt;Options!$B$10),B485*Options!$X$5,0)</f>
        <v/>
      </c>
      <c r="G485" s="13">
        <f>F485*12%</f>
        <v/>
      </c>
      <c r="H485" s="13">
        <f>IF(A485="",0,B485*(92*IF(OR(C485=Options!$B$9,C485=Options!$B$10),75%,100%)-IF(C485=DATE(2026,11,29),26+IF(Options!$B$8="是",23,0),0)-IF(C485=DATE(2026,11,30),26,0)-IF(C485=DATE(2026,12,1),64,0)-IF(C485=DATE(2026,11,28),38,0)-IF(C485=DATE(2026,12,2),26,0)))</f>
        <v/>
      </c>
      <c r="I485" s="13">
        <f>IF(AND(C485&gt;=DATE(2026,11,29),C485&lt;=DATE(2026,12,1)),B485*60,0)</f>
        <v/>
      </c>
      <c r="J485" s="13">
        <f>IF(A485="",0,B485*(IF(C485=DATE(2026,11,28),38,0)+IF(C485=DATE(2026,12,1),38,0)+IF(C485=DATE(2026,12,2),26,0)))</f>
        <v/>
      </c>
      <c r="K485" s="13">
        <f>IF(C485=Options!$B$9,B485*12,0)</f>
        <v/>
      </c>
      <c r="L485" s="13">
        <f>IF(C485=Options!$B$9,B485*Options!$Z$5,0)</f>
        <v/>
      </c>
      <c r="M485" s="13" t="n">
        <v>0</v>
      </c>
      <c r="N485" s="13">
        <f>SUM(E485:M485)</f>
        <v/>
      </c>
    </row>
    <row r="486">
      <c r="A486" s="5">
        <f>IF(AND(C486&gt;=Options!$B$9,C486&lt;=Options!$B$10),"Chicago","")</f>
        <v/>
      </c>
      <c r="B486" s="5">
        <f>IF(A486="","",24)</f>
        <v/>
      </c>
      <c r="C486" s="17" t="n">
        <v>46412</v>
      </c>
      <c r="D486" s="5">
        <f>IF(A486="","",IF(C486=DATE(2026,11,29),"培训；注册午餐；早餐参数",IF(C486=DATE(2026,11,30),"培训；注册午餐",IF(C486=DATE(2026,12,1),"培训；注册午餐；机构晚餐",IF(C486=Options!$B$9,"抵达；"&amp;IF(C486=DATE(2026,11,28),"机构晚餐","无统一供餐"),IF(C486=Options!$B$10,"返程；"&amp;IF(C486=DATE(2026,12,2),"机构午餐","无统一供餐"),"差旅状态；无统一日程"))))))</f>
        <v/>
      </c>
      <c r="E486" s="13">
        <f>IF(C486=Options!$B$9,Options!$C$15,0)</f>
        <v/>
      </c>
      <c r="F486" s="13">
        <f>IF(AND(A486&lt;&gt;"",C486&lt;Options!$B$10),B486*Options!$X$5,0)</f>
        <v/>
      </c>
      <c r="G486" s="13">
        <f>F486*12%</f>
        <v/>
      </c>
      <c r="H486" s="13">
        <f>IF(A486="",0,B486*(92*IF(OR(C486=Options!$B$9,C486=Options!$B$10),75%,100%)-IF(C486=DATE(2026,11,29),26+IF(Options!$B$8="是",23,0),0)-IF(C486=DATE(2026,11,30),26,0)-IF(C486=DATE(2026,12,1),64,0)-IF(C486=DATE(2026,11,28),38,0)-IF(C486=DATE(2026,12,2),26,0)))</f>
        <v/>
      </c>
      <c r="I486" s="13">
        <f>IF(AND(C486&gt;=DATE(2026,11,29),C486&lt;=DATE(2026,12,1)),B486*60,0)</f>
        <v/>
      </c>
      <c r="J486" s="13">
        <f>IF(A486="",0,B486*(IF(C486=DATE(2026,11,28),38,0)+IF(C486=DATE(2026,12,1),38,0)+IF(C486=DATE(2026,12,2),26,0)))</f>
        <v/>
      </c>
      <c r="K486" s="13">
        <f>IF(C486=Options!$B$9,B486*12,0)</f>
        <v/>
      </c>
      <c r="L486" s="13">
        <f>IF(C486=Options!$B$9,B486*Options!$Z$5,0)</f>
        <v/>
      </c>
      <c r="M486" s="13" t="n">
        <v>0</v>
      </c>
      <c r="N486" s="13">
        <f>SUM(E486:M486)</f>
        <v/>
      </c>
    </row>
    <row r="487">
      <c r="A487" s="5">
        <f>IF(AND(C487&gt;=Options!$B$9,C487&lt;=Options!$B$10),"Chicago","")</f>
        <v/>
      </c>
      <c r="B487" s="5">
        <f>IF(A487="","",24)</f>
        <v/>
      </c>
      <c r="C487" s="17" t="n">
        <v>46413</v>
      </c>
      <c r="D487" s="5">
        <f>IF(A487="","",IF(C487=DATE(2026,11,29),"培训；注册午餐；早餐参数",IF(C487=DATE(2026,11,30),"培训；注册午餐",IF(C487=DATE(2026,12,1),"培训；注册午餐；机构晚餐",IF(C487=Options!$B$9,"抵达；"&amp;IF(C487=DATE(2026,11,28),"机构晚餐","无统一供餐"),IF(C487=Options!$B$10,"返程；"&amp;IF(C487=DATE(2026,12,2),"机构午餐","无统一供餐"),"差旅状态；无统一日程"))))))</f>
        <v/>
      </c>
      <c r="E487" s="13">
        <f>IF(C487=Options!$B$9,Options!$C$15,0)</f>
        <v/>
      </c>
      <c r="F487" s="13">
        <f>IF(AND(A487&lt;&gt;"",C487&lt;Options!$B$10),B487*Options!$X$5,0)</f>
        <v/>
      </c>
      <c r="G487" s="13">
        <f>F487*12%</f>
        <v/>
      </c>
      <c r="H487" s="13">
        <f>IF(A487="",0,B487*(92*IF(OR(C487=Options!$B$9,C487=Options!$B$10),75%,100%)-IF(C487=DATE(2026,11,29),26+IF(Options!$B$8="是",23,0),0)-IF(C487=DATE(2026,11,30),26,0)-IF(C487=DATE(2026,12,1),64,0)-IF(C487=DATE(2026,11,28),38,0)-IF(C487=DATE(2026,12,2),26,0)))</f>
        <v/>
      </c>
      <c r="I487" s="13">
        <f>IF(AND(C487&gt;=DATE(2026,11,29),C487&lt;=DATE(2026,12,1)),B487*60,0)</f>
        <v/>
      </c>
      <c r="J487" s="13">
        <f>IF(A487="",0,B487*(IF(C487=DATE(2026,11,28),38,0)+IF(C487=DATE(2026,12,1),38,0)+IF(C487=DATE(2026,12,2),26,0)))</f>
        <v/>
      </c>
      <c r="K487" s="13">
        <f>IF(C487=Options!$B$9,B487*12,0)</f>
        <v/>
      </c>
      <c r="L487" s="13">
        <f>IF(C487=Options!$B$9,B487*Options!$Z$5,0)</f>
        <v/>
      </c>
      <c r="M487" s="13" t="n">
        <v>0</v>
      </c>
      <c r="N487" s="13">
        <f>SUM(E487:M487)</f>
        <v/>
      </c>
    </row>
    <row r="488">
      <c r="A488" s="5">
        <f>IF(AND(C488&gt;=Options!$B$9,C488&lt;=Options!$B$10),"Chicago","")</f>
        <v/>
      </c>
      <c r="B488" s="5">
        <f>IF(A488="","",24)</f>
        <v/>
      </c>
      <c r="C488" s="17" t="n">
        <v>46414</v>
      </c>
      <c r="D488" s="5">
        <f>IF(A488="","",IF(C488=DATE(2026,11,29),"培训；注册午餐；早餐参数",IF(C488=DATE(2026,11,30),"培训；注册午餐",IF(C488=DATE(2026,12,1),"培训；注册午餐；机构晚餐",IF(C488=Options!$B$9,"抵达；"&amp;IF(C488=DATE(2026,11,28),"机构晚餐","无统一供餐"),IF(C488=Options!$B$10,"返程；"&amp;IF(C488=DATE(2026,12,2),"机构午餐","无统一供餐"),"差旅状态；无统一日程"))))))</f>
        <v/>
      </c>
      <c r="E488" s="13">
        <f>IF(C488=Options!$B$9,Options!$C$15,0)</f>
        <v/>
      </c>
      <c r="F488" s="13">
        <f>IF(AND(A488&lt;&gt;"",C488&lt;Options!$B$10),B488*Options!$X$5,0)</f>
        <v/>
      </c>
      <c r="G488" s="13">
        <f>F488*12%</f>
        <v/>
      </c>
      <c r="H488" s="13">
        <f>IF(A488="",0,B488*(92*IF(OR(C488=Options!$B$9,C488=Options!$B$10),75%,100%)-IF(C488=DATE(2026,11,29),26+IF(Options!$B$8="是",23,0),0)-IF(C488=DATE(2026,11,30),26,0)-IF(C488=DATE(2026,12,1),64,0)-IF(C488=DATE(2026,11,28),38,0)-IF(C488=DATE(2026,12,2),26,0)))</f>
        <v/>
      </c>
      <c r="I488" s="13">
        <f>IF(AND(C488&gt;=DATE(2026,11,29),C488&lt;=DATE(2026,12,1)),B488*60,0)</f>
        <v/>
      </c>
      <c r="J488" s="13">
        <f>IF(A488="",0,B488*(IF(C488=DATE(2026,11,28),38,0)+IF(C488=DATE(2026,12,1),38,0)+IF(C488=DATE(2026,12,2),26,0)))</f>
        <v/>
      </c>
      <c r="K488" s="13">
        <f>IF(C488=Options!$B$9,B488*12,0)</f>
        <v/>
      </c>
      <c r="L488" s="13">
        <f>IF(C488=Options!$B$9,B488*Options!$Z$5,0)</f>
        <v/>
      </c>
      <c r="M488" s="13" t="n">
        <v>0</v>
      </c>
      <c r="N488" s="13">
        <f>SUM(E488:M488)</f>
        <v/>
      </c>
    </row>
    <row r="489">
      <c r="A489" s="5">
        <f>IF(AND(C489&gt;=Options!$B$9,C489&lt;=Options!$B$10),"Chicago","")</f>
        <v/>
      </c>
      <c r="B489" s="5">
        <f>IF(A489="","",24)</f>
        <v/>
      </c>
      <c r="C489" s="17" t="n">
        <v>46415</v>
      </c>
      <c r="D489" s="5">
        <f>IF(A489="","",IF(C489=DATE(2026,11,29),"培训；注册午餐；早餐参数",IF(C489=DATE(2026,11,30),"培训；注册午餐",IF(C489=DATE(2026,12,1),"培训；注册午餐；机构晚餐",IF(C489=Options!$B$9,"抵达；"&amp;IF(C489=DATE(2026,11,28),"机构晚餐","无统一供餐"),IF(C489=Options!$B$10,"返程；"&amp;IF(C489=DATE(2026,12,2),"机构午餐","无统一供餐"),"差旅状态；无统一日程"))))))</f>
        <v/>
      </c>
      <c r="E489" s="13">
        <f>IF(C489=Options!$B$9,Options!$C$15,0)</f>
        <v/>
      </c>
      <c r="F489" s="13">
        <f>IF(AND(A489&lt;&gt;"",C489&lt;Options!$B$10),B489*Options!$X$5,0)</f>
        <v/>
      </c>
      <c r="G489" s="13">
        <f>F489*12%</f>
        <v/>
      </c>
      <c r="H489" s="13">
        <f>IF(A489="",0,B489*(92*IF(OR(C489=Options!$B$9,C489=Options!$B$10),75%,100%)-IF(C489=DATE(2026,11,29),26+IF(Options!$B$8="是",23,0),0)-IF(C489=DATE(2026,11,30),26,0)-IF(C489=DATE(2026,12,1),64,0)-IF(C489=DATE(2026,11,28),38,0)-IF(C489=DATE(2026,12,2),26,0)))</f>
        <v/>
      </c>
      <c r="I489" s="13">
        <f>IF(AND(C489&gt;=DATE(2026,11,29),C489&lt;=DATE(2026,12,1)),B489*60,0)</f>
        <v/>
      </c>
      <c r="J489" s="13">
        <f>IF(A489="",0,B489*(IF(C489=DATE(2026,11,28),38,0)+IF(C489=DATE(2026,12,1),38,0)+IF(C489=DATE(2026,12,2),26,0)))</f>
        <v/>
      </c>
      <c r="K489" s="13">
        <f>IF(C489=Options!$B$9,B489*12,0)</f>
        <v/>
      </c>
      <c r="L489" s="13">
        <f>IF(C489=Options!$B$9,B489*Options!$Z$5,0)</f>
        <v/>
      </c>
      <c r="M489" s="13" t="n">
        <v>0</v>
      </c>
      <c r="N489" s="13">
        <f>SUM(E489:M489)</f>
        <v/>
      </c>
    </row>
    <row r="490">
      <c r="A490" s="5">
        <f>IF(AND(C490&gt;=Options!$B$9,C490&lt;=Options!$B$10),"Chicago","")</f>
        <v/>
      </c>
      <c r="B490" s="5">
        <f>IF(A490="","",24)</f>
        <v/>
      </c>
      <c r="C490" s="17" t="n">
        <v>46416</v>
      </c>
      <c r="D490" s="5">
        <f>IF(A490="","",IF(C490=DATE(2026,11,29),"培训；注册午餐；早餐参数",IF(C490=DATE(2026,11,30),"培训；注册午餐",IF(C490=DATE(2026,12,1),"培训；注册午餐；机构晚餐",IF(C490=Options!$B$9,"抵达；"&amp;IF(C490=DATE(2026,11,28),"机构晚餐","无统一供餐"),IF(C490=Options!$B$10,"返程；"&amp;IF(C490=DATE(2026,12,2),"机构午餐","无统一供餐"),"差旅状态；无统一日程"))))))</f>
        <v/>
      </c>
      <c r="E490" s="13">
        <f>IF(C490=Options!$B$9,Options!$C$15,0)</f>
        <v/>
      </c>
      <c r="F490" s="13">
        <f>IF(AND(A490&lt;&gt;"",C490&lt;Options!$B$10),B490*Options!$X$5,0)</f>
        <v/>
      </c>
      <c r="G490" s="13">
        <f>F490*12%</f>
        <v/>
      </c>
      <c r="H490" s="13">
        <f>IF(A490="",0,B490*(92*IF(OR(C490=Options!$B$9,C490=Options!$B$10),75%,100%)-IF(C490=DATE(2026,11,29),26+IF(Options!$B$8="是",23,0),0)-IF(C490=DATE(2026,11,30),26,0)-IF(C490=DATE(2026,12,1),64,0)-IF(C490=DATE(2026,11,28),38,0)-IF(C490=DATE(2026,12,2),26,0)))</f>
        <v/>
      </c>
      <c r="I490" s="13">
        <f>IF(AND(C490&gt;=DATE(2026,11,29),C490&lt;=DATE(2026,12,1)),B490*60,0)</f>
        <v/>
      </c>
      <c r="J490" s="13">
        <f>IF(A490="",0,B490*(IF(C490=DATE(2026,11,28),38,0)+IF(C490=DATE(2026,12,1),38,0)+IF(C490=DATE(2026,12,2),26,0)))</f>
        <v/>
      </c>
      <c r="K490" s="13">
        <f>IF(C490=Options!$B$9,B490*12,0)</f>
        <v/>
      </c>
      <c r="L490" s="13">
        <f>IF(C490=Options!$B$9,B490*Options!$Z$5,0)</f>
        <v/>
      </c>
      <c r="M490" s="13" t="n">
        <v>0</v>
      </c>
      <c r="N490" s="13">
        <f>SUM(E490:M490)</f>
        <v/>
      </c>
    </row>
    <row r="491">
      <c r="A491" s="5">
        <f>IF(AND(C491&gt;=Options!$B$9,C491&lt;=Options!$B$10),"Chicago","")</f>
        <v/>
      </c>
      <c r="B491" s="5">
        <f>IF(A491="","",24)</f>
        <v/>
      </c>
      <c r="C491" s="17" t="n">
        <v>46417</v>
      </c>
      <c r="D491" s="5">
        <f>IF(A491="","",IF(C491=DATE(2026,11,29),"培训；注册午餐；早餐参数",IF(C491=DATE(2026,11,30),"培训；注册午餐",IF(C491=DATE(2026,12,1),"培训；注册午餐；机构晚餐",IF(C491=Options!$B$9,"抵达；"&amp;IF(C491=DATE(2026,11,28),"机构晚餐","无统一供餐"),IF(C491=Options!$B$10,"返程；"&amp;IF(C491=DATE(2026,12,2),"机构午餐","无统一供餐"),"差旅状态；无统一日程"))))))</f>
        <v/>
      </c>
      <c r="E491" s="13">
        <f>IF(C491=Options!$B$9,Options!$C$15,0)</f>
        <v/>
      </c>
      <c r="F491" s="13">
        <f>IF(AND(A491&lt;&gt;"",C491&lt;Options!$B$10),B491*Options!$X$5,0)</f>
        <v/>
      </c>
      <c r="G491" s="13">
        <f>F491*12%</f>
        <v/>
      </c>
      <c r="H491" s="13">
        <f>IF(A491="",0,B491*(92*IF(OR(C491=Options!$B$9,C491=Options!$B$10),75%,100%)-IF(C491=DATE(2026,11,29),26+IF(Options!$B$8="是",23,0),0)-IF(C491=DATE(2026,11,30),26,0)-IF(C491=DATE(2026,12,1),64,0)-IF(C491=DATE(2026,11,28),38,0)-IF(C491=DATE(2026,12,2),26,0)))</f>
        <v/>
      </c>
      <c r="I491" s="13">
        <f>IF(AND(C491&gt;=DATE(2026,11,29),C491&lt;=DATE(2026,12,1)),B491*60,0)</f>
        <v/>
      </c>
      <c r="J491" s="13">
        <f>IF(A491="",0,B491*(IF(C491=DATE(2026,11,28),38,0)+IF(C491=DATE(2026,12,1),38,0)+IF(C491=DATE(2026,12,2),26,0)))</f>
        <v/>
      </c>
      <c r="K491" s="13">
        <f>IF(C491=Options!$B$9,B491*12,0)</f>
        <v/>
      </c>
      <c r="L491" s="13">
        <f>IF(C491=Options!$B$9,B491*Options!$Z$5,0)</f>
        <v/>
      </c>
      <c r="M491" s="13" t="n">
        <v>0</v>
      </c>
      <c r="N491" s="13">
        <f>SUM(E491:M491)</f>
        <v/>
      </c>
    </row>
    <row r="492">
      <c r="A492" s="5">
        <f>IF(AND(C492&gt;=Options!$B$9,C492&lt;=Options!$B$10),"Chicago","")</f>
        <v/>
      </c>
      <c r="B492" s="5">
        <f>IF(A492="","",24)</f>
        <v/>
      </c>
      <c r="C492" s="17" t="n">
        <v>46418</v>
      </c>
      <c r="D492" s="5">
        <f>IF(A492="","",IF(C492=DATE(2026,11,29),"培训；注册午餐；早餐参数",IF(C492=DATE(2026,11,30),"培训；注册午餐",IF(C492=DATE(2026,12,1),"培训；注册午餐；机构晚餐",IF(C492=Options!$B$9,"抵达；"&amp;IF(C492=DATE(2026,11,28),"机构晚餐","无统一供餐"),IF(C492=Options!$B$10,"返程；"&amp;IF(C492=DATE(2026,12,2),"机构午餐","无统一供餐"),"差旅状态；无统一日程"))))))</f>
        <v/>
      </c>
      <c r="E492" s="13">
        <f>IF(C492=Options!$B$9,Options!$C$15,0)</f>
        <v/>
      </c>
      <c r="F492" s="13">
        <f>IF(AND(A492&lt;&gt;"",C492&lt;Options!$B$10),B492*Options!$X$5,0)</f>
        <v/>
      </c>
      <c r="G492" s="13">
        <f>F492*12%</f>
        <v/>
      </c>
      <c r="H492" s="13">
        <f>IF(A492="",0,B492*(92*IF(OR(C492=Options!$B$9,C492=Options!$B$10),75%,100%)-IF(C492=DATE(2026,11,29),26+IF(Options!$B$8="是",23,0),0)-IF(C492=DATE(2026,11,30),26,0)-IF(C492=DATE(2026,12,1),64,0)-IF(C492=DATE(2026,11,28),38,0)-IF(C492=DATE(2026,12,2),26,0)))</f>
        <v/>
      </c>
      <c r="I492" s="13">
        <f>IF(AND(C492&gt;=DATE(2026,11,29),C492&lt;=DATE(2026,12,1)),B492*60,0)</f>
        <v/>
      </c>
      <c r="J492" s="13">
        <f>IF(A492="",0,B492*(IF(C492=DATE(2026,11,28),38,0)+IF(C492=DATE(2026,12,1),38,0)+IF(C492=DATE(2026,12,2),26,0)))</f>
        <v/>
      </c>
      <c r="K492" s="13">
        <f>IF(C492=Options!$B$9,B492*12,0)</f>
        <v/>
      </c>
      <c r="L492" s="13">
        <f>IF(C492=Options!$B$9,B492*Options!$Z$5,0)</f>
        <v/>
      </c>
      <c r="M492" s="13" t="n">
        <v>0</v>
      </c>
      <c r="N492" s="13">
        <f>SUM(E492:M492)</f>
        <v/>
      </c>
    </row>
    <row r="493">
      <c r="A493" s="5">
        <f>IF(AND(C493&gt;=Options!$B$9,C493&lt;=Options!$B$10),"Chicago","")</f>
        <v/>
      </c>
      <c r="B493" s="5">
        <f>IF(A493="","",24)</f>
        <v/>
      </c>
      <c r="C493" s="17" t="n">
        <v>46419</v>
      </c>
      <c r="D493" s="5">
        <f>IF(A493="","",IF(C493=DATE(2026,11,29),"培训；注册午餐；早餐参数",IF(C493=DATE(2026,11,30),"培训；注册午餐",IF(C493=DATE(2026,12,1),"培训；注册午餐；机构晚餐",IF(C493=Options!$B$9,"抵达；"&amp;IF(C493=DATE(2026,11,28),"机构晚餐","无统一供餐"),IF(C493=Options!$B$10,"返程；"&amp;IF(C493=DATE(2026,12,2),"机构午餐","无统一供餐"),"差旅状态；无统一日程"))))))</f>
        <v/>
      </c>
      <c r="E493" s="13">
        <f>IF(C493=Options!$B$9,Options!$C$15,0)</f>
        <v/>
      </c>
      <c r="F493" s="13">
        <f>IF(AND(A493&lt;&gt;"",C493&lt;Options!$B$10),B493*Options!$X$5,0)</f>
        <v/>
      </c>
      <c r="G493" s="13">
        <f>F493*12%</f>
        <v/>
      </c>
      <c r="H493" s="13">
        <f>IF(A493="",0,B493*(92*IF(OR(C493=Options!$B$9,C493=Options!$B$10),75%,100%)-IF(C493=DATE(2026,11,29),26+IF(Options!$B$8="是",23,0),0)-IF(C493=DATE(2026,11,30),26,0)-IF(C493=DATE(2026,12,1),64,0)-IF(C493=DATE(2026,11,28),38,0)-IF(C493=DATE(2026,12,2),26,0)))</f>
        <v/>
      </c>
      <c r="I493" s="13">
        <f>IF(AND(C493&gt;=DATE(2026,11,29),C493&lt;=DATE(2026,12,1)),B493*60,0)</f>
        <v/>
      </c>
      <c r="J493" s="13">
        <f>IF(A493="",0,B493*(IF(C493=DATE(2026,11,28),38,0)+IF(C493=DATE(2026,12,1),38,0)+IF(C493=DATE(2026,12,2),26,0)))</f>
        <v/>
      </c>
      <c r="K493" s="13">
        <f>IF(C493=Options!$B$9,B493*12,0)</f>
        <v/>
      </c>
      <c r="L493" s="13">
        <f>IF(C493=Options!$B$9,B493*Options!$Z$5,0)</f>
        <v/>
      </c>
      <c r="M493" s="13" t="n">
        <v>0</v>
      </c>
      <c r="N493" s="13">
        <f>SUM(E493:M493)</f>
        <v/>
      </c>
    </row>
    <row r="494">
      <c r="A494" s="5">
        <f>IF(AND(C494&gt;=Options!$B$9,C494&lt;=Options!$B$10),"Chicago","")</f>
        <v/>
      </c>
      <c r="B494" s="5">
        <f>IF(A494="","",24)</f>
        <v/>
      </c>
      <c r="C494" s="17" t="n">
        <v>46420</v>
      </c>
      <c r="D494" s="5">
        <f>IF(A494="","",IF(C494=DATE(2026,11,29),"培训；注册午餐；早餐参数",IF(C494=DATE(2026,11,30),"培训；注册午餐",IF(C494=DATE(2026,12,1),"培训；注册午餐；机构晚餐",IF(C494=Options!$B$9,"抵达；"&amp;IF(C494=DATE(2026,11,28),"机构晚餐","无统一供餐"),IF(C494=Options!$B$10,"返程；"&amp;IF(C494=DATE(2026,12,2),"机构午餐","无统一供餐"),"差旅状态；无统一日程"))))))</f>
        <v/>
      </c>
      <c r="E494" s="13">
        <f>IF(C494=Options!$B$9,Options!$C$15,0)</f>
        <v/>
      </c>
      <c r="F494" s="13">
        <f>IF(AND(A494&lt;&gt;"",C494&lt;Options!$B$10),B494*Options!$X$5,0)</f>
        <v/>
      </c>
      <c r="G494" s="13">
        <f>F494*12%</f>
        <v/>
      </c>
      <c r="H494" s="13">
        <f>IF(A494="",0,B494*(92*IF(OR(C494=Options!$B$9,C494=Options!$B$10),75%,100%)-IF(C494=DATE(2026,11,29),26+IF(Options!$B$8="是",23,0),0)-IF(C494=DATE(2026,11,30),26,0)-IF(C494=DATE(2026,12,1),64,0)-IF(C494=DATE(2026,11,28),38,0)-IF(C494=DATE(2026,12,2),26,0)))</f>
        <v/>
      </c>
      <c r="I494" s="13">
        <f>IF(AND(C494&gt;=DATE(2026,11,29),C494&lt;=DATE(2026,12,1)),B494*60,0)</f>
        <v/>
      </c>
      <c r="J494" s="13">
        <f>IF(A494="",0,B494*(IF(C494=DATE(2026,11,28),38,0)+IF(C494=DATE(2026,12,1),38,0)+IF(C494=DATE(2026,12,2),26,0)))</f>
        <v/>
      </c>
      <c r="K494" s="13">
        <f>IF(C494=Options!$B$9,B494*12,0)</f>
        <v/>
      </c>
      <c r="L494" s="13">
        <f>IF(C494=Options!$B$9,B494*Options!$Z$5,0)</f>
        <v/>
      </c>
      <c r="M494" s="13" t="n">
        <v>0</v>
      </c>
      <c r="N494" s="13">
        <f>SUM(E494:M494)</f>
        <v/>
      </c>
    </row>
    <row r="495">
      <c r="A495" s="5">
        <f>IF(AND(C495&gt;=Options!$B$9,C495&lt;=Options!$B$10),"Chicago","")</f>
        <v/>
      </c>
      <c r="B495" s="5">
        <f>IF(A495="","",24)</f>
        <v/>
      </c>
      <c r="C495" s="17" t="n">
        <v>46421</v>
      </c>
      <c r="D495" s="5">
        <f>IF(A495="","",IF(C495=DATE(2026,11,29),"培训；注册午餐；早餐参数",IF(C495=DATE(2026,11,30),"培训；注册午餐",IF(C495=DATE(2026,12,1),"培训；注册午餐；机构晚餐",IF(C495=Options!$B$9,"抵达；"&amp;IF(C495=DATE(2026,11,28),"机构晚餐","无统一供餐"),IF(C495=Options!$B$10,"返程；"&amp;IF(C495=DATE(2026,12,2),"机构午餐","无统一供餐"),"差旅状态；无统一日程"))))))</f>
        <v/>
      </c>
      <c r="E495" s="13">
        <f>IF(C495=Options!$B$9,Options!$C$15,0)</f>
        <v/>
      </c>
      <c r="F495" s="13">
        <f>IF(AND(A495&lt;&gt;"",C495&lt;Options!$B$10),B495*Options!$X$5,0)</f>
        <v/>
      </c>
      <c r="G495" s="13">
        <f>F495*12%</f>
        <v/>
      </c>
      <c r="H495" s="13">
        <f>IF(A495="",0,B495*(92*IF(OR(C495=Options!$B$9,C495=Options!$B$10),75%,100%)-IF(C495=DATE(2026,11,29),26+IF(Options!$B$8="是",23,0),0)-IF(C495=DATE(2026,11,30),26,0)-IF(C495=DATE(2026,12,1),64,0)-IF(C495=DATE(2026,11,28),38,0)-IF(C495=DATE(2026,12,2),26,0)))</f>
        <v/>
      </c>
      <c r="I495" s="13">
        <f>IF(AND(C495&gt;=DATE(2026,11,29),C495&lt;=DATE(2026,12,1)),B495*60,0)</f>
        <v/>
      </c>
      <c r="J495" s="13">
        <f>IF(A495="",0,B495*(IF(C495=DATE(2026,11,28),38,0)+IF(C495=DATE(2026,12,1),38,0)+IF(C495=DATE(2026,12,2),26,0)))</f>
        <v/>
      </c>
      <c r="K495" s="13">
        <f>IF(C495=Options!$B$9,B495*12,0)</f>
        <v/>
      </c>
      <c r="L495" s="13">
        <f>IF(C495=Options!$B$9,B495*Options!$Z$5,0)</f>
        <v/>
      </c>
      <c r="M495" s="13" t="n">
        <v>0</v>
      </c>
      <c r="N495" s="13">
        <f>SUM(E495:M495)</f>
        <v/>
      </c>
    </row>
    <row r="496">
      <c r="A496" s="5">
        <f>IF(AND(C496&gt;=Options!$B$9,C496&lt;=Options!$B$10),"Chicago","")</f>
        <v/>
      </c>
      <c r="B496" s="5">
        <f>IF(A496="","",24)</f>
        <v/>
      </c>
      <c r="C496" s="17" t="n">
        <v>46422</v>
      </c>
      <c r="D496" s="5">
        <f>IF(A496="","",IF(C496=DATE(2026,11,29),"培训；注册午餐；早餐参数",IF(C496=DATE(2026,11,30),"培训；注册午餐",IF(C496=DATE(2026,12,1),"培训；注册午餐；机构晚餐",IF(C496=Options!$B$9,"抵达；"&amp;IF(C496=DATE(2026,11,28),"机构晚餐","无统一供餐"),IF(C496=Options!$B$10,"返程；"&amp;IF(C496=DATE(2026,12,2),"机构午餐","无统一供餐"),"差旅状态；无统一日程"))))))</f>
        <v/>
      </c>
      <c r="E496" s="13">
        <f>IF(C496=Options!$B$9,Options!$C$15,0)</f>
        <v/>
      </c>
      <c r="F496" s="13">
        <f>IF(AND(A496&lt;&gt;"",C496&lt;Options!$B$10),B496*Options!$X$5,0)</f>
        <v/>
      </c>
      <c r="G496" s="13">
        <f>F496*12%</f>
        <v/>
      </c>
      <c r="H496" s="13">
        <f>IF(A496="",0,B496*(92*IF(OR(C496=Options!$B$9,C496=Options!$B$10),75%,100%)-IF(C496=DATE(2026,11,29),26+IF(Options!$B$8="是",23,0),0)-IF(C496=DATE(2026,11,30),26,0)-IF(C496=DATE(2026,12,1),64,0)-IF(C496=DATE(2026,11,28),38,0)-IF(C496=DATE(2026,12,2),26,0)))</f>
        <v/>
      </c>
      <c r="I496" s="13">
        <f>IF(AND(C496&gt;=DATE(2026,11,29),C496&lt;=DATE(2026,12,1)),B496*60,0)</f>
        <v/>
      </c>
      <c r="J496" s="13">
        <f>IF(A496="",0,B496*(IF(C496=DATE(2026,11,28),38,0)+IF(C496=DATE(2026,12,1),38,0)+IF(C496=DATE(2026,12,2),26,0)))</f>
        <v/>
      </c>
      <c r="K496" s="13">
        <f>IF(C496=Options!$B$9,B496*12,0)</f>
        <v/>
      </c>
      <c r="L496" s="13">
        <f>IF(C496=Options!$B$9,B496*Options!$Z$5,0)</f>
        <v/>
      </c>
      <c r="M496" s="13" t="n">
        <v>0</v>
      </c>
      <c r="N496" s="13">
        <f>SUM(E496:M496)</f>
        <v/>
      </c>
    </row>
    <row r="497">
      <c r="A497" s="5">
        <f>IF(AND(C497&gt;=Options!$B$9,C497&lt;=Options!$B$10),"Chicago","")</f>
        <v/>
      </c>
      <c r="B497" s="5">
        <f>IF(A497="","",24)</f>
        <v/>
      </c>
      <c r="C497" s="17" t="n">
        <v>46423</v>
      </c>
      <c r="D497" s="5">
        <f>IF(A497="","",IF(C497=DATE(2026,11,29),"培训；注册午餐；早餐参数",IF(C497=DATE(2026,11,30),"培训；注册午餐",IF(C497=DATE(2026,12,1),"培训；注册午餐；机构晚餐",IF(C497=Options!$B$9,"抵达；"&amp;IF(C497=DATE(2026,11,28),"机构晚餐","无统一供餐"),IF(C497=Options!$B$10,"返程；"&amp;IF(C497=DATE(2026,12,2),"机构午餐","无统一供餐"),"差旅状态；无统一日程"))))))</f>
        <v/>
      </c>
      <c r="E497" s="13">
        <f>IF(C497=Options!$B$9,Options!$C$15,0)</f>
        <v/>
      </c>
      <c r="F497" s="13">
        <f>IF(AND(A497&lt;&gt;"",C497&lt;Options!$B$10),B497*Options!$X$5,0)</f>
        <v/>
      </c>
      <c r="G497" s="13">
        <f>F497*12%</f>
        <v/>
      </c>
      <c r="H497" s="13">
        <f>IF(A497="",0,B497*(92*IF(OR(C497=Options!$B$9,C497=Options!$B$10),75%,100%)-IF(C497=DATE(2026,11,29),26+IF(Options!$B$8="是",23,0),0)-IF(C497=DATE(2026,11,30),26,0)-IF(C497=DATE(2026,12,1),64,0)-IF(C497=DATE(2026,11,28),38,0)-IF(C497=DATE(2026,12,2),26,0)))</f>
        <v/>
      </c>
      <c r="I497" s="13">
        <f>IF(AND(C497&gt;=DATE(2026,11,29),C497&lt;=DATE(2026,12,1)),B497*60,0)</f>
        <v/>
      </c>
      <c r="J497" s="13">
        <f>IF(A497="",0,B497*(IF(C497=DATE(2026,11,28),38,0)+IF(C497=DATE(2026,12,1),38,0)+IF(C497=DATE(2026,12,2),26,0)))</f>
        <v/>
      </c>
      <c r="K497" s="13">
        <f>IF(C497=Options!$B$9,B497*12,0)</f>
        <v/>
      </c>
      <c r="L497" s="13">
        <f>IF(C497=Options!$B$9,B497*Options!$Z$5,0)</f>
        <v/>
      </c>
      <c r="M497" s="13" t="n">
        <v>0</v>
      </c>
      <c r="N497" s="13">
        <f>SUM(E497:M497)</f>
        <v/>
      </c>
    </row>
    <row r="498">
      <c r="A498" s="5">
        <f>IF(AND(C498&gt;=Options!$B$9,C498&lt;=Options!$B$10),"Chicago","")</f>
        <v/>
      </c>
      <c r="B498" s="5">
        <f>IF(A498="","",24)</f>
        <v/>
      </c>
      <c r="C498" s="17" t="n">
        <v>46424</v>
      </c>
      <c r="D498" s="5">
        <f>IF(A498="","",IF(C498=DATE(2026,11,29),"培训；注册午餐；早餐参数",IF(C498=DATE(2026,11,30),"培训；注册午餐",IF(C498=DATE(2026,12,1),"培训；注册午餐；机构晚餐",IF(C498=Options!$B$9,"抵达；"&amp;IF(C498=DATE(2026,11,28),"机构晚餐","无统一供餐"),IF(C498=Options!$B$10,"返程；"&amp;IF(C498=DATE(2026,12,2),"机构午餐","无统一供餐"),"差旅状态；无统一日程"))))))</f>
        <v/>
      </c>
      <c r="E498" s="13">
        <f>IF(C498=Options!$B$9,Options!$C$15,0)</f>
        <v/>
      </c>
      <c r="F498" s="13">
        <f>IF(AND(A498&lt;&gt;"",C498&lt;Options!$B$10),B498*Options!$X$5,0)</f>
        <v/>
      </c>
      <c r="G498" s="13">
        <f>F498*12%</f>
        <v/>
      </c>
      <c r="H498" s="13">
        <f>IF(A498="",0,B498*(92*IF(OR(C498=Options!$B$9,C498=Options!$B$10),75%,100%)-IF(C498=DATE(2026,11,29),26+IF(Options!$B$8="是",23,0),0)-IF(C498=DATE(2026,11,30),26,0)-IF(C498=DATE(2026,12,1),64,0)-IF(C498=DATE(2026,11,28),38,0)-IF(C498=DATE(2026,12,2),26,0)))</f>
        <v/>
      </c>
      <c r="I498" s="13">
        <f>IF(AND(C498&gt;=DATE(2026,11,29),C498&lt;=DATE(2026,12,1)),B498*60,0)</f>
        <v/>
      </c>
      <c r="J498" s="13">
        <f>IF(A498="",0,B498*(IF(C498=DATE(2026,11,28),38,0)+IF(C498=DATE(2026,12,1),38,0)+IF(C498=DATE(2026,12,2),26,0)))</f>
        <v/>
      </c>
      <c r="K498" s="13">
        <f>IF(C498=Options!$B$9,B498*12,0)</f>
        <v/>
      </c>
      <c r="L498" s="13">
        <f>IF(C498=Options!$B$9,B498*Options!$Z$5,0)</f>
        <v/>
      </c>
      <c r="M498" s="13" t="n">
        <v>0</v>
      </c>
      <c r="N498" s="13">
        <f>SUM(E498:M498)</f>
        <v/>
      </c>
    </row>
    <row r="499">
      <c r="A499" s="5">
        <f>IF(AND(C499&gt;=Options!$B$9,C499&lt;=Options!$B$10),"Chicago","")</f>
        <v/>
      </c>
      <c r="B499" s="5">
        <f>IF(A499="","",24)</f>
        <v/>
      </c>
      <c r="C499" s="17" t="n">
        <v>46425</v>
      </c>
      <c r="D499" s="5">
        <f>IF(A499="","",IF(C499=DATE(2026,11,29),"培训；注册午餐；早餐参数",IF(C499=DATE(2026,11,30),"培训；注册午餐",IF(C499=DATE(2026,12,1),"培训；注册午餐；机构晚餐",IF(C499=Options!$B$9,"抵达；"&amp;IF(C499=DATE(2026,11,28),"机构晚餐","无统一供餐"),IF(C499=Options!$B$10,"返程；"&amp;IF(C499=DATE(2026,12,2),"机构午餐","无统一供餐"),"差旅状态；无统一日程"))))))</f>
        <v/>
      </c>
      <c r="E499" s="13">
        <f>IF(C499=Options!$B$9,Options!$C$15,0)</f>
        <v/>
      </c>
      <c r="F499" s="13">
        <f>IF(AND(A499&lt;&gt;"",C499&lt;Options!$B$10),B499*Options!$X$5,0)</f>
        <v/>
      </c>
      <c r="G499" s="13">
        <f>F499*12%</f>
        <v/>
      </c>
      <c r="H499" s="13">
        <f>IF(A499="",0,B499*(92*IF(OR(C499=Options!$B$9,C499=Options!$B$10),75%,100%)-IF(C499=DATE(2026,11,29),26+IF(Options!$B$8="是",23,0),0)-IF(C499=DATE(2026,11,30),26,0)-IF(C499=DATE(2026,12,1),64,0)-IF(C499=DATE(2026,11,28),38,0)-IF(C499=DATE(2026,12,2),26,0)))</f>
        <v/>
      </c>
      <c r="I499" s="13">
        <f>IF(AND(C499&gt;=DATE(2026,11,29),C499&lt;=DATE(2026,12,1)),B499*60,0)</f>
        <v/>
      </c>
      <c r="J499" s="13">
        <f>IF(A499="",0,B499*(IF(C499=DATE(2026,11,28),38,0)+IF(C499=DATE(2026,12,1),38,0)+IF(C499=DATE(2026,12,2),26,0)))</f>
        <v/>
      </c>
      <c r="K499" s="13">
        <f>IF(C499=Options!$B$9,B499*12,0)</f>
        <v/>
      </c>
      <c r="L499" s="13">
        <f>IF(C499=Options!$B$9,B499*Options!$Z$5,0)</f>
        <v/>
      </c>
      <c r="M499" s="13" t="n">
        <v>0</v>
      </c>
      <c r="N499" s="13">
        <f>SUM(E499:M499)</f>
        <v/>
      </c>
    </row>
    <row r="500">
      <c r="A500" s="5">
        <f>IF(AND(C500&gt;=Options!$B$9,C500&lt;=Options!$B$10),"Chicago","")</f>
        <v/>
      </c>
      <c r="B500" s="5">
        <f>IF(A500="","",24)</f>
        <v/>
      </c>
      <c r="C500" s="17" t="n">
        <v>46426</v>
      </c>
      <c r="D500" s="5">
        <f>IF(A500="","",IF(C500=DATE(2026,11,29),"培训；注册午餐；早餐参数",IF(C500=DATE(2026,11,30),"培训；注册午餐",IF(C500=DATE(2026,12,1),"培训；注册午餐；机构晚餐",IF(C500=Options!$B$9,"抵达；"&amp;IF(C500=DATE(2026,11,28),"机构晚餐","无统一供餐"),IF(C500=Options!$B$10,"返程；"&amp;IF(C500=DATE(2026,12,2),"机构午餐","无统一供餐"),"差旅状态；无统一日程"))))))</f>
        <v/>
      </c>
      <c r="E500" s="13">
        <f>IF(C500=Options!$B$9,Options!$C$15,0)</f>
        <v/>
      </c>
      <c r="F500" s="13">
        <f>IF(AND(A500&lt;&gt;"",C500&lt;Options!$B$10),B500*Options!$X$5,0)</f>
        <v/>
      </c>
      <c r="G500" s="13">
        <f>F500*12%</f>
        <v/>
      </c>
      <c r="H500" s="13">
        <f>IF(A500="",0,B500*(92*IF(OR(C500=Options!$B$9,C500=Options!$B$10),75%,100%)-IF(C500=DATE(2026,11,29),26+IF(Options!$B$8="是",23,0),0)-IF(C500=DATE(2026,11,30),26,0)-IF(C500=DATE(2026,12,1),64,0)-IF(C500=DATE(2026,11,28),38,0)-IF(C500=DATE(2026,12,2),26,0)))</f>
        <v/>
      </c>
      <c r="I500" s="13">
        <f>IF(AND(C500&gt;=DATE(2026,11,29),C500&lt;=DATE(2026,12,1)),B500*60,0)</f>
        <v/>
      </c>
      <c r="J500" s="13">
        <f>IF(A500="",0,B500*(IF(C500=DATE(2026,11,28),38,0)+IF(C500=DATE(2026,12,1),38,0)+IF(C500=DATE(2026,12,2),26,0)))</f>
        <v/>
      </c>
      <c r="K500" s="13">
        <f>IF(C500=Options!$B$9,B500*12,0)</f>
        <v/>
      </c>
      <c r="L500" s="13">
        <f>IF(C500=Options!$B$9,B500*Options!$Z$5,0)</f>
        <v/>
      </c>
      <c r="M500" s="13" t="n">
        <v>0</v>
      </c>
      <c r="N500" s="13">
        <f>SUM(E500:M500)</f>
        <v/>
      </c>
    </row>
    <row r="501">
      <c r="A501" s="5">
        <f>IF(AND(C501&gt;=Options!$B$9,C501&lt;=Options!$B$10),"Chicago","")</f>
        <v/>
      </c>
      <c r="B501" s="5">
        <f>IF(A501="","",24)</f>
        <v/>
      </c>
      <c r="C501" s="17" t="n">
        <v>46427</v>
      </c>
      <c r="D501" s="5">
        <f>IF(A501="","",IF(C501=DATE(2026,11,29),"培训；注册午餐；早餐参数",IF(C501=DATE(2026,11,30),"培训；注册午餐",IF(C501=DATE(2026,12,1),"培训；注册午餐；机构晚餐",IF(C501=Options!$B$9,"抵达；"&amp;IF(C501=DATE(2026,11,28),"机构晚餐","无统一供餐"),IF(C501=Options!$B$10,"返程；"&amp;IF(C501=DATE(2026,12,2),"机构午餐","无统一供餐"),"差旅状态；无统一日程"))))))</f>
        <v/>
      </c>
      <c r="E501" s="13">
        <f>IF(C501=Options!$B$9,Options!$C$15,0)</f>
        <v/>
      </c>
      <c r="F501" s="13">
        <f>IF(AND(A501&lt;&gt;"",C501&lt;Options!$B$10),B501*Options!$X$5,0)</f>
        <v/>
      </c>
      <c r="G501" s="13">
        <f>F501*12%</f>
        <v/>
      </c>
      <c r="H501" s="13">
        <f>IF(A501="",0,B501*(92*IF(OR(C501=Options!$B$9,C501=Options!$B$10),75%,100%)-IF(C501=DATE(2026,11,29),26+IF(Options!$B$8="是",23,0),0)-IF(C501=DATE(2026,11,30),26,0)-IF(C501=DATE(2026,12,1),64,0)-IF(C501=DATE(2026,11,28),38,0)-IF(C501=DATE(2026,12,2),26,0)))</f>
        <v/>
      </c>
      <c r="I501" s="13">
        <f>IF(AND(C501&gt;=DATE(2026,11,29),C501&lt;=DATE(2026,12,1)),B501*60,0)</f>
        <v/>
      </c>
      <c r="J501" s="13">
        <f>IF(A501="",0,B501*(IF(C501=DATE(2026,11,28),38,0)+IF(C501=DATE(2026,12,1),38,0)+IF(C501=DATE(2026,12,2),26,0)))</f>
        <v/>
      </c>
      <c r="K501" s="13">
        <f>IF(C501=Options!$B$9,B501*12,0)</f>
        <v/>
      </c>
      <c r="L501" s="13">
        <f>IF(C501=Options!$B$9,B501*Options!$Z$5,0)</f>
        <v/>
      </c>
      <c r="M501" s="13" t="n">
        <v>0</v>
      </c>
      <c r="N501" s="13">
        <f>SUM(E501:M501)</f>
        <v/>
      </c>
    </row>
    <row r="502">
      <c r="A502" s="5">
        <f>IF(AND(C502&gt;=Options!$B$9,C502&lt;=Options!$B$10),"Chicago","")</f>
        <v/>
      </c>
      <c r="B502" s="5">
        <f>IF(A502="","",24)</f>
        <v/>
      </c>
      <c r="C502" s="17" t="n">
        <v>46428</v>
      </c>
      <c r="D502" s="5">
        <f>IF(A502="","",IF(C502=DATE(2026,11,29),"培训；注册午餐；早餐参数",IF(C502=DATE(2026,11,30),"培训；注册午餐",IF(C502=DATE(2026,12,1),"培训；注册午餐；机构晚餐",IF(C502=Options!$B$9,"抵达；"&amp;IF(C502=DATE(2026,11,28),"机构晚餐","无统一供餐"),IF(C502=Options!$B$10,"返程；"&amp;IF(C502=DATE(2026,12,2),"机构午餐","无统一供餐"),"差旅状态；无统一日程"))))))</f>
        <v/>
      </c>
      <c r="E502" s="13">
        <f>IF(C502=Options!$B$9,Options!$C$15,0)</f>
        <v/>
      </c>
      <c r="F502" s="13">
        <f>IF(AND(A502&lt;&gt;"",C502&lt;Options!$B$10),B502*Options!$X$5,0)</f>
        <v/>
      </c>
      <c r="G502" s="13">
        <f>F502*12%</f>
        <v/>
      </c>
      <c r="H502" s="13">
        <f>IF(A502="",0,B502*(92*IF(OR(C502=Options!$B$9,C502=Options!$B$10),75%,100%)-IF(C502=DATE(2026,11,29),26+IF(Options!$B$8="是",23,0),0)-IF(C502=DATE(2026,11,30),26,0)-IF(C502=DATE(2026,12,1),64,0)-IF(C502=DATE(2026,11,28),38,0)-IF(C502=DATE(2026,12,2),26,0)))</f>
        <v/>
      </c>
      <c r="I502" s="13">
        <f>IF(AND(C502&gt;=DATE(2026,11,29),C502&lt;=DATE(2026,12,1)),B502*60,0)</f>
        <v/>
      </c>
      <c r="J502" s="13">
        <f>IF(A502="",0,B502*(IF(C502=DATE(2026,11,28),38,0)+IF(C502=DATE(2026,12,1),38,0)+IF(C502=DATE(2026,12,2),26,0)))</f>
        <v/>
      </c>
      <c r="K502" s="13">
        <f>IF(C502=Options!$B$9,B502*12,0)</f>
        <v/>
      </c>
      <c r="L502" s="13">
        <f>IF(C502=Options!$B$9,B502*Options!$Z$5,0)</f>
        <v/>
      </c>
      <c r="M502" s="13" t="n">
        <v>0</v>
      </c>
      <c r="N502" s="13">
        <f>SUM(E502:M502)</f>
        <v/>
      </c>
    </row>
    <row r="503">
      <c r="A503" s="5">
        <f>IF(AND(C503&gt;=Options!$B$9,C503&lt;=Options!$B$10),"Chicago","")</f>
        <v/>
      </c>
      <c r="B503" s="5">
        <f>IF(A503="","",24)</f>
        <v/>
      </c>
      <c r="C503" s="17" t="n">
        <v>46429</v>
      </c>
      <c r="D503" s="5">
        <f>IF(A503="","",IF(C503=DATE(2026,11,29),"培训；注册午餐；早餐参数",IF(C503=DATE(2026,11,30),"培训；注册午餐",IF(C503=DATE(2026,12,1),"培训；注册午餐；机构晚餐",IF(C503=Options!$B$9,"抵达；"&amp;IF(C503=DATE(2026,11,28),"机构晚餐","无统一供餐"),IF(C503=Options!$B$10,"返程；"&amp;IF(C503=DATE(2026,12,2),"机构午餐","无统一供餐"),"差旅状态；无统一日程"))))))</f>
        <v/>
      </c>
      <c r="E503" s="13">
        <f>IF(C503=Options!$B$9,Options!$C$15,0)</f>
        <v/>
      </c>
      <c r="F503" s="13">
        <f>IF(AND(A503&lt;&gt;"",C503&lt;Options!$B$10),B503*Options!$X$5,0)</f>
        <v/>
      </c>
      <c r="G503" s="13">
        <f>F503*12%</f>
        <v/>
      </c>
      <c r="H503" s="13">
        <f>IF(A503="",0,B503*(92*IF(OR(C503=Options!$B$9,C503=Options!$B$10),75%,100%)-IF(C503=DATE(2026,11,29),26+IF(Options!$B$8="是",23,0),0)-IF(C503=DATE(2026,11,30),26,0)-IF(C503=DATE(2026,12,1),64,0)-IF(C503=DATE(2026,11,28),38,0)-IF(C503=DATE(2026,12,2),26,0)))</f>
        <v/>
      </c>
      <c r="I503" s="13">
        <f>IF(AND(C503&gt;=DATE(2026,11,29),C503&lt;=DATE(2026,12,1)),B503*60,0)</f>
        <v/>
      </c>
      <c r="J503" s="13">
        <f>IF(A503="",0,B503*(IF(C503=DATE(2026,11,28),38,0)+IF(C503=DATE(2026,12,1),38,0)+IF(C503=DATE(2026,12,2),26,0)))</f>
        <v/>
      </c>
      <c r="K503" s="13">
        <f>IF(C503=Options!$B$9,B503*12,0)</f>
        <v/>
      </c>
      <c r="L503" s="13">
        <f>IF(C503=Options!$B$9,B503*Options!$Z$5,0)</f>
        <v/>
      </c>
      <c r="M503" s="13" t="n">
        <v>0</v>
      </c>
      <c r="N503" s="13">
        <f>SUM(E503:M503)</f>
        <v/>
      </c>
    </row>
    <row r="504">
      <c r="A504" s="5">
        <f>IF(AND(C504&gt;=Options!$B$9,C504&lt;=Options!$B$10),"Chicago","")</f>
        <v/>
      </c>
      <c r="B504" s="5">
        <f>IF(A504="","",24)</f>
        <v/>
      </c>
      <c r="C504" s="17" t="n">
        <v>46430</v>
      </c>
      <c r="D504" s="5">
        <f>IF(A504="","",IF(C504=DATE(2026,11,29),"培训；注册午餐；早餐参数",IF(C504=DATE(2026,11,30),"培训；注册午餐",IF(C504=DATE(2026,12,1),"培训；注册午餐；机构晚餐",IF(C504=Options!$B$9,"抵达；"&amp;IF(C504=DATE(2026,11,28),"机构晚餐","无统一供餐"),IF(C504=Options!$B$10,"返程；"&amp;IF(C504=DATE(2026,12,2),"机构午餐","无统一供餐"),"差旅状态；无统一日程"))))))</f>
        <v/>
      </c>
      <c r="E504" s="13">
        <f>IF(C504=Options!$B$9,Options!$C$15,0)</f>
        <v/>
      </c>
      <c r="F504" s="13">
        <f>IF(AND(A504&lt;&gt;"",C504&lt;Options!$B$10),B504*Options!$X$5,0)</f>
        <v/>
      </c>
      <c r="G504" s="13">
        <f>F504*12%</f>
        <v/>
      </c>
      <c r="H504" s="13">
        <f>IF(A504="",0,B504*(92*IF(OR(C504=Options!$B$9,C504=Options!$B$10),75%,100%)-IF(C504=DATE(2026,11,29),26+IF(Options!$B$8="是",23,0),0)-IF(C504=DATE(2026,11,30),26,0)-IF(C504=DATE(2026,12,1),64,0)-IF(C504=DATE(2026,11,28),38,0)-IF(C504=DATE(2026,12,2),26,0)))</f>
        <v/>
      </c>
      <c r="I504" s="13">
        <f>IF(AND(C504&gt;=DATE(2026,11,29),C504&lt;=DATE(2026,12,1)),B504*60,0)</f>
        <v/>
      </c>
      <c r="J504" s="13">
        <f>IF(A504="",0,B504*(IF(C504=DATE(2026,11,28),38,0)+IF(C504=DATE(2026,12,1),38,0)+IF(C504=DATE(2026,12,2),26,0)))</f>
        <v/>
      </c>
      <c r="K504" s="13">
        <f>IF(C504=Options!$B$9,B504*12,0)</f>
        <v/>
      </c>
      <c r="L504" s="13">
        <f>IF(C504=Options!$B$9,B504*Options!$Z$5,0)</f>
        <v/>
      </c>
      <c r="M504" s="13" t="n">
        <v>0</v>
      </c>
      <c r="N504" s="13">
        <f>SUM(E504:M504)</f>
        <v/>
      </c>
    </row>
    <row r="505">
      <c r="A505" s="5">
        <f>IF(AND(C505&gt;=Options!$B$9,C505&lt;=Options!$B$10),"Chicago","")</f>
        <v/>
      </c>
      <c r="B505" s="5">
        <f>IF(A505="","",24)</f>
        <v/>
      </c>
      <c r="C505" s="17" t="n">
        <v>46431</v>
      </c>
      <c r="D505" s="5">
        <f>IF(A505="","",IF(C505=DATE(2026,11,29),"培训；注册午餐；早餐参数",IF(C505=DATE(2026,11,30),"培训；注册午餐",IF(C505=DATE(2026,12,1),"培训；注册午餐；机构晚餐",IF(C505=Options!$B$9,"抵达；"&amp;IF(C505=DATE(2026,11,28),"机构晚餐","无统一供餐"),IF(C505=Options!$B$10,"返程；"&amp;IF(C505=DATE(2026,12,2),"机构午餐","无统一供餐"),"差旅状态；无统一日程"))))))</f>
        <v/>
      </c>
      <c r="E505" s="13">
        <f>IF(C505=Options!$B$9,Options!$C$15,0)</f>
        <v/>
      </c>
      <c r="F505" s="13">
        <f>IF(AND(A505&lt;&gt;"",C505&lt;Options!$B$10),B505*Options!$X$5,0)</f>
        <v/>
      </c>
      <c r="G505" s="13">
        <f>F505*12%</f>
        <v/>
      </c>
      <c r="H505" s="13">
        <f>IF(A505="",0,B505*(92*IF(OR(C505=Options!$B$9,C505=Options!$B$10),75%,100%)-IF(C505=DATE(2026,11,29),26+IF(Options!$B$8="是",23,0),0)-IF(C505=DATE(2026,11,30),26,0)-IF(C505=DATE(2026,12,1),64,0)-IF(C505=DATE(2026,11,28),38,0)-IF(C505=DATE(2026,12,2),26,0)))</f>
        <v/>
      </c>
      <c r="I505" s="13">
        <f>IF(AND(C505&gt;=DATE(2026,11,29),C505&lt;=DATE(2026,12,1)),B505*60,0)</f>
        <v/>
      </c>
      <c r="J505" s="13">
        <f>IF(A505="",0,B505*(IF(C505=DATE(2026,11,28),38,0)+IF(C505=DATE(2026,12,1),38,0)+IF(C505=DATE(2026,12,2),26,0)))</f>
        <v/>
      </c>
      <c r="K505" s="13">
        <f>IF(C505=Options!$B$9,B505*12,0)</f>
        <v/>
      </c>
      <c r="L505" s="13">
        <f>IF(C505=Options!$B$9,B505*Options!$Z$5,0)</f>
        <v/>
      </c>
      <c r="M505" s="13" t="n">
        <v>0</v>
      </c>
      <c r="N505" s="13">
        <f>SUM(E505:M505)</f>
        <v/>
      </c>
    </row>
    <row r="506">
      <c r="A506" s="5">
        <f>IF(AND(C506&gt;=Options!$B$9,C506&lt;=Options!$B$10),"Chicago","")</f>
        <v/>
      </c>
      <c r="B506" s="5">
        <f>IF(A506="","",24)</f>
        <v/>
      </c>
      <c r="C506" s="17" t="n">
        <v>46432</v>
      </c>
      <c r="D506" s="5">
        <f>IF(A506="","",IF(C506=DATE(2026,11,29),"培训；注册午餐；早餐参数",IF(C506=DATE(2026,11,30),"培训；注册午餐",IF(C506=DATE(2026,12,1),"培训；注册午餐；机构晚餐",IF(C506=Options!$B$9,"抵达；"&amp;IF(C506=DATE(2026,11,28),"机构晚餐","无统一供餐"),IF(C506=Options!$B$10,"返程；"&amp;IF(C506=DATE(2026,12,2),"机构午餐","无统一供餐"),"差旅状态；无统一日程"))))))</f>
        <v/>
      </c>
      <c r="E506" s="13">
        <f>IF(C506=Options!$B$9,Options!$C$15,0)</f>
        <v/>
      </c>
      <c r="F506" s="13">
        <f>IF(AND(A506&lt;&gt;"",C506&lt;Options!$B$10),B506*Options!$X$5,0)</f>
        <v/>
      </c>
      <c r="G506" s="13">
        <f>F506*12%</f>
        <v/>
      </c>
      <c r="H506" s="13">
        <f>IF(A506="",0,B506*(92*IF(OR(C506=Options!$B$9,C506=Options!$B$10),75%,100%)-IF(C506=DATE(2026,11,29),26+IF(Options!$B$8="是",23,0),0)-IF(C506=DATE(2026,11,30),26,0)-IF(C506=DATE(2026,12,1),64,0)-IF(C506=DATE(2026,11,28),38,0)-IF(C506=DATE(2026,12,2),26,0)))</f>
        <v/>
      </c>
      <c r="I506" s="13">
        <f>IF(AND(C506&gt;=DATE(2026,11,29),C506&lt;=DATE(2026,12,1)),B506*60,0)</f>
        <v/>
      </c>
      <c r="J506" s="13">
        <f>IF(A506="",0,B506*(IF(C506=DATE(2026,11,28),38,0)+IF(C506=DATE(2026,12,1),38,0)+IF(C506=DATE(2026,12,2),26,0)))</f>
        <v/>
      </c>
      <c r="K506" s="13">
        <f>IF(C506=Options!$B$9,B506*12,0)</f>
        <v/>
      </c>
      <c r="L506" s="13">
        <f>IF(C506=Options!$B$9,B506*Options!$Z$5,0)</f>
        <v/>
      </c>
      <c r="M506" s="13" t="n">
        <v>0</v>
      </c>
      <c r="N506" s="13">
        <f>SUM(E506:M506)</f>
        <v/>
      </c>
    </row>
    <row r="507">
      <c r="A507" s="5">
        <f>IF(AND(C507&gt;=Options!$B$9,C507&lt;=Options!$B$10),"Chicago","")</f>
        <v/>
      </c>
      <c r="B507" s="5">
        <f>IF(A507="","",24)</f>
        <v/>
      </c>
      <c r="C507" s="17" t="n">
        <v>46433</v>
      </c>
      <c r="D507" s="5">
        <f>IF(A507="","",IF(C507=DATE(2026,11,29),"培训；注册午餐；早餐参数",IF(C507=DATE(2026,11,30),"培训；注册午餐",IF(C507=DATE(2026,12,1),"培训；注册午餐；机构晚餐",IF(C507=Options!$B$9,"抵达；"&amp;IF(C507=DATE(2026,11,28),"机构晚餐","无统一供餐"),IF(C507=Options!$B$10,"返程；"&amp;IF(C507=DATE(2026,12,2),"机构午餐","无统一供餐"),"差旅状态；无统一日程"))))))</f>
        <v/>
      </c>
      <c r="E507" s="13">
        <f>IF(C507=Options!$B$9,Options!$C$15,0)</f>
        <v/>
      </c>
      <c r="F507" s="13">
        <f>IF(AND(A507&lt;&gt;"",C507&lt;Options!$B$10),B507*Options!$X$5,0)</f>
        <v/>
      </c>
      <c r="G507" s="13">
        <f>F507*12%</f>
        <v/>
      </c>
      <c r="H507" s="13">
        <f>IF(A507="",0,B507*(92*IF(OR(C507=Options!$B$9,C507=Options!$B$10),75%,100%)-IF(C507=DATE(2026,11,29),26+IF(Options!$B$8="是",23,0),0)-IF(C507=DATE(2026,11,30),26,0)-IF(C507=DATE(2026,12,1),64,0)-IF(C507=DATE(2026,11,28),38,0)-IF(C507=DATE(2026,12,2),26,0)))</f>
        <v/>
      </c>
      <c r="I507" s="13">
        <f>IF(AND(C507&gt;=DATE(2026,11,29),C507&lt;=DATE(2026,12,1)),B507*60,0)</f>
        <v/>
      </c>
      <c r="J507" s="13">
        <f>IF(A507="",0,B507*(IF(C507=DATE(2026,11,28),38,0)+IF(C507=DATE(2026,12,1),38,0)+IF(C507=DATE(2026,12,2),26,0)))</f>
        <v/>
      </c>
      <c r="K507" s="13">
        <f>IF(C507=Options!$B$9,B507*12,0)</f>
        <v/>
      </c>
      <c r="L507" s="13">
        <f>IF(C507=Options!$B$9,B507*Options!$Z$5,0)</f>
        <v/>
      </c>
      <c r="M507" s="13" t="n">
        <v>0</v>
      </c>
      <c r="N507" s="13">
        <f>SUM(E507:M507)</f>
        <v/>
      </c>
    </row>
    <row r="508">
      <c r="A508" s="5">
        <f>IF(AND(C508&gt;=Options!$B$9,C508&lt;=Options!$B$10),"Chicago","")</f>
        <v/>
      </c>
      <c r="B508" s="5">
        <f>IF(A508="","",24)</f>
        <v/>
      </c>
      <c r="C508" s="17" t="n">
        <v>46434</v>
      </c>
      <c r="D508" s="5">
        <f>IF(A508="","",IF(C508=DATE(2026,11,29),"培训；注册午餐；早餐参数",IF(C508=DATE(2026,11,30),"培训；注册午餐",IF(C508=DATE(2026,12,1),"培训；注册午餐；机构晚餐",IF(C508=Options!$B$9,"抵达；"&amp;IF(C508=DATE(2026,11,28),"机构晚餐","无统一供餐"),IF(C508=Options!$B$10,"返程；"&amp;IF(C508=DATE(2026,12,2),"机构午餐","无统一供餐"),"差旅状态；无统一日程"))))))</f>
        <v/>
      </c>
      <c r="E508" s="13">
        <f>IF(C508=Options!$B$9,Options!$C$15,0)</f>
        <v/>
      </c>
      <c r="F508" s="13">
        <f>IF(AND(A508&lt;&gt;"",C508&lt;Options!$B$10),B508*Options!$X$5,0)</f>
        <v/>
      </c>
      <c r="G508" s="13">
        <f>F508*12%</f>
        <v/>
      </c>
      <c r="H508" s="13">
        <f>IF(A508="",0,B508*(92*IF(OR(C508=Options!$B$9,C508=Options!$B$10),75%,100%)-IF(C508=DATE(2026,11,29),26+IF(Options!$B$8="是",23,0),0)-IF(C508=DATE(2026,11,30),26,0)-IF(C508=DATE(2026,12,1),64,0)-IF(C508=DATE(2026,11,28),38,0)-IF(C508=DATE(2026,12,2),26,0)))</f>
        <v/>
      </c>
      <c r="I508" s="13">
        <f>IF(AND(C508&gt;=DATE(2026,11,29),C508&lt;=DATE(2026,12,1)),B508*60,0)</f>
        <v/>
      </c>
      <c r="J508" s="13">
        <f>IF(A508="",0,B508*(IF(C508=DATE(2026,11,28),38,0)+IF(C508=DATE(2026,12,1),38,0)+IF(C508=DATE(2026,12,2),26,0)))</f>
        <v/>
      </c>
      <c r="K508" s="13">
        <f>IF(C508=Options!$B$9,B508*12,0)</f>
        <v/>
      </c>
      <c r="L508" s="13">
        <f>IF(C508=Options!$B$9,B508*Options!$Z$5,0)</f>
        <v/>
      </c>
      <c r="M508" s="13" t="n">
        <v>0</v>
      </c>
      <c r="N508" s="13">
        <f>SUM(E508:M508)</f>
        <v/>
      </c>
    </row>
    <row r="509">
      <c r="A509" s="5">
        <f>IF(AND(C509&gt;=Options!$B$9,C509&lt;=Options!$B$10),"Chicago","")</f>
        <v/>
      </c>
      <c r="B509" s="5">
        <f>IF(A509="","",24)</f>
        <v/>
      </c>
      <c r="C509" s="17" t="n">
        <v>46435</v>
      </c>
      <c r="D509" s="5">
        <f>IF(A509="","",IF(C509=DATE(2026,11,29),"培训；注册午餐；早餐参数",IF(C509=DATE(2026,11,30),"培训；注册午餐",IF(C509=DATE(2026,12,1),"培训；注册午餐；机构晚餐",IF(C509=Options!$B$9,"抵达；"&amp;IF(C509=DATE(2026,11,28),"机构晚餐","无统一供餐"),IF(C509=Options!$B$10,"返程；"&amp;IF(C509=DATE(2026,12,2),"机构午餐","无统一供餐"),"差旅状态；无统一日程"))))))</f>
        <v/>
      </c>
      <c r="E509" s="13">
        <f>IF(C509=Options!$B$9,Options!$C$15,0)</f>
        <v/>
      </c>
      <c r="F509" s="13">
        <f>IF(AND(A509&lt;&gt;"",C509&lt;Options!$B$10),B509*Options!$X$5,0)</f>
        <v/>
      </c>
      <c r="G509" s="13">
        <f>F509*12%</f>
        <v/>
      </c>
      <c r="H509" s="13">
        <f>IF(A509="",0,B509*(92*IF(OR(C509=Options!$B$9,C509=Options!$B$10),75%,100%)-IF(C509=DATE(2026,11,29),26+IF(Options!$B$8="是",23,0),0)-IF(C509=DATE(2026,11,30),26,0)-IF(C509=DATE(2026,12,1),64,0)-IF(C509=DATE(2026,11,28),38,0)-IF(C509=DATE(2026,12,2),26,0)))</f>
        <v/>
      </c>
      <c r="I509" s="13">
        <f>IF(AND(C509&gt;=DATE(2026,11,29),C509&lt;=DATE(2026,12,1)),B509*60,0)</f>
        <v/>
      </c>
      <c r="J509" s="13">
        <f>IF(A509="",0,B509*(IF(C509=DATE(2026,11,28),38,0)+IF(C509=DATE(2026,12,1),38,0)+IF(C509=DATE(2026,12,2),26,0)))</f>
        <v/>
      </c>
      <c r="K509" s="13">
        <f>IF(C509=Options!$B$9,B509*12,0)</f>
        <v/>
      </c>
      <c r="L509" s="13">
        <f>IF(C509=Options!$B$9,B509*Options!$Z$5,0)</f>
        <v/>
      </c>
      <c r="M509" s="13" t="n">
        <v>0</v>
      </c>
      <c r="N509" s="13">
        <f>SUM(E509:M509)</f>
        <v/>
      </c>
    </row>
    <row r="510">
      <c r="A510" s="5">
        <f>IF(AND(C510&gt;=Options!$B$9,C510&lt;=Options!$B$10),"Chicago","")</f>
        <v/>
      </c>
      <c r="B510" s="5">
        <f>IF(A510="","",24)</f>
        <v/>
      </c>
      <c r="C510" s="17" t="n">
        <v>46436</v>
      </c>
      <c r="D510" s="5">
        <f>IF(A510="","",IF(C510=DATE(2026,11,29),"培训；注册午餐；早餐参数",IF(C510=DATE(2026,11,30),"培训；注册午餐",IF(C510=DATE(2026,12,1),"培训；注册午餐；机构晚餐",IF(C510=Options!$B$9,"抵达；"&amp;IF(C510=DATE(2026,11,28),"机构晚餐","无统一供餐"),IF(C510=Options!$B$10,"返程；"&amp;IF(C510=DATE(2026,12,2),"机构午餐","无统一供餐"),"差旅状态；无统一日程"))))))</f>
        <v/>
      </c>
      <c r="E510" s="13">
        <f>IF(C510=Options!$B$9,Options!$C$15,0)</f>
        <v/>
      </c>
      <c r="F510" s="13">
        <f>IF(AND(A510&lt;&gt;"",C510&lt;Options!$B$10),B510*Options!$X$5,0)</f>
        <v/>
      </c>
      <c r="G510" s="13">
        <f>F510*12%</f>
        <v/>
      </c>
      <c r="H510" s="13">
        <f>IF(A510="",0,B510*(92*IF(OR(C510=Options!$B$9,C510=Options!$B$10),75%,100%)-IF(C510=DATE(2026,11,29),26+IF(Options!$B$8="是",23,0),0)-IF(C510=DATE(2026,11,30),26,0)-IF(C510=DATE(2026,12,1),64,0)-IF(C510=DATE(2026,11,28),38,0)-IF(C510=DATE(2026,12,2),26,0)))</f>
        <v/>
      </c>
      <c r="I510" s="13">
        <f>IF(AND(C510&gt;=DATE(2026,11,29),C510&lt;=DATE(2026,12,1)),B510*60,0)</f>
        <v/>
      </c>
      <c r="J510" s="13">
        <f>IF(A510="",0,B510*(IF(C510=DATE(2026,11,28),38,0)+IF(C510=DATE(2026,12,1),38,0)+IF(C510=DATE(2026,12,2),26,0)))</f>
        <v/>
      </c>
      <c r="K510" s="13">
        <f>IF(C510=Options!$B$9,B510*12,0)</f>
        <v/>
      </c>
      <c r="L510" s="13">
        <f>IF(C510=Options!$B$9,B510*Options!$Z$5,0)</f>
        <v/>
      </c>
      <c r="M510" s="13" t="n">
        <v>0</v>
      </c>
      <c r="N510" s="13">
        <f>SUM(E510:M510)</f>
        <v/>
      </c>
    </row>
    <row r="511">
      <c r="A511" s="5">
        <f>IF(AND(C511&gt;=Options!$B$9,C511&lt;=Options!$B$10),"Chicago","")</f>
        <v/>
      </c>
      <c r="B511" s="5">
        <f>IF(A511="","",24)</f>
        <v/>
      </c>
      <c r="C511" s="17" t="n">
        <v>46437</v>
      </c>
      <c r="D511" s="5">
        <f>IF(A511="","",IF(C511=DATE(2026,11,29),"培训；注册午餐；早餐参数",IF(C511=DATE(2026,11,30),"培训；注册午餐",IF(C511=DATE(2026,12,1),"培训；注册午餐；机构晚餐",IF(C511=Options!$B$9,"抵达；"&amp;IF(C511=DATE(2026,11,28),"机构晚餐","无统一供餐"),IF(C511=Options!$B$10,"返程；"&amp;IF(C511=DATE(2026,12,2),"机构午餐","无统一供餐"),"差旅状态；无统一日程"))))))</f>
        <v/>
      </c>
      <c r="E511" s="13">
        <f>IF(C511=Options!$B$9,Options!$C$15,0)</f>
        <v/>
      </c>
      <c r="F511" s="13">
        <f>IF(AND(A511&lt;&gt;"",C511&lt;Options!$B$10),B511*Options!$X$5,0)</f>
        <v/>
      </c>
      <c r="G511" s="13">
        <f>F511*12%</f>
        <v/>
      </c>
      <c r="H511" s="13">
        <f>IF(A511="",0,B511*(92*IF(OR(C511=Options!$B$9,C511=Options!$B$10),75%,100%)-IF(C511=DATE(2026,11,29),26+IF(Options!$B$8="是",23,0),0)-IF(C511=DATE(2026,11,30),26,0)-IF(C511=DATE(2026,12,1),64,0)-IF(C511=DATE(2026,11,28),38,0)-IF(C511=DATE(2026,12,2),26,0)))</f>
        <v/>
      </c>
      <c r="I511" s="13">
        <f>IF(AND(C511&gt;=DATE(2026,11,29),C511&lt;=DATE(2026,12,1)),B511*60,0)</f>
        <v/>
      </c>
      <c r="J511" s="13">
        <f>IF(A511="",0,B511*(IF(C511=DATE(2026,11,28),38,0)+IF(C511=DATE(2026,12,1),38,0)+IF(C511=DATE(2026,12,2),26,0)))</f>
        <v/>
      </c>
      <c r="K511" s="13">
        <f>IF(C511=Options!$B$9,B511*12,0)</f>
        <v/>
      </c>
      <c r="L511" s="13">
        <f>IF(C511=Options!$B$9,B511*Options!$Z$5,0)</f>
        <v/>
      </c>
      <c r="M511" s="13" t="n">
        <v>0</v>
      </c>
      <c r="N511" s="13">
        <f>SUM(E511:M511)</f>
        <v/>
      </c>
    </row>
    <row r="512">
      <c r="A512" s="5">
        <f>IF(AND(C512&gt;=Options!$B$9,C512&lt;=Options!$B$10),"Chicago","")</f>
        <v/>
      </c>
      <c r="B512" s="5">
        <f>IF(A512="","",24)</f>
        <v/>
      </c>
      <c r="C512" s="17" t="n">
        <v>46438</v>
      </c>
      <c r="D512" s="5">
        <f>IF(A512="","",IF(C512=DATE(2026,11,29),"培训；注册午餐；早餐参数",IF(C512=DATE(2026,11,30),"培训；注册午餐",IF(C512=DATE(2026,12,1),"培训；注册午餐；机构晚餐",IF(C512=Options!$B$9,"抵达；"&amp;IF(C512=DATE(2026,11,28),"机构晚餐","无统一供餐"),IF(C512=Options!$B$10,"返程；"&amp;IF(C512=DATE(2026,12,2),"机构午餐","无统一供餐"),"差旅状态；无统一日程"))))))</f>
        <v/>
      </c>
      <c r="E512" s="13">
        <f>IF(C512=Options!$B$9,Options!$C$15,0)</f>
        <v/>
      </c>
      <c r="F512" s="13">
        <f>IF(AND(A512&lt;&gt;"",C512&lt;Options!$B$10),B512*Options!$X$5,0)</f>
        <v/>
      </c>
      <c r="G512" s="13">
        <f>F512*12%</f>
        <v/>
      </c>
      <c r="H512" s="13">
        <f>IF(A512="",0,B512*(92*IF(OR(C512=Options!$B$9,C512=Options!$B$10),75%,100%)-IF(C512=DATE(2026,11,29),26+IF(Options!$B$8="是",23,0),0)-IF(C512=DATE(2026,11,30),26,0)-IF(C512=DATE(2026,12,1),64,0)-IF(C512=DATE(2026,11,28),38,0)-IF(C512=DATE(2026,12,2),26,0)))</f>
        <v/>
      </c>
      <c r="I512" s="13">
        <f>IF(AND(C512&gt;=DATE(2026,11,29),C512&lt;=DATE(2026,12,1)),B512*60,0)</f>
        <v/>
      </c>
      <c r="J512" s="13">
        <f>IF(A512="",0,B512*(IF(C512=DATE(2026,11,28),38,0)+IF(C512=DATE(2026,12,1),38,0)+IF(C512=DATE(2026,12,2),26,0)))</f>
        <v/>
      </c>
      <c r="K512" s="13">
        <f>IF(C512=Options!$B$9,B512*12,0)</f>
        <v/>
      </c>
      <c r="L512" s="13">
        <f>IF(C512=Options!$B$9,B512*Options!$Z$5,0)</f>
        <v/>
      </c>
      <c r="M512" s="13" t="n">
        <v>0</v>
      </c>
      <c r="N512" s="13">
        <f>SUM(E512:M512)</f>
        <v/>
      </c>
    </row>
    <row r="513">
      <c r="A513" s="5">
        <f>IF(AND(C513&gt;=Options!$B$9,C513&lt;=Options!$B$10),"Chicago","")</f>
        <v/>
      </c>
      <c r="B513" s="5">
        <f>IF(A513="","",24)</f>
        <v/>
      </c>
      <c r="C513" s="17" t="n">
        <v>46439</v>
      </c>
      <c r="D513" s="5">
        <f>IF(A513="","",IF(C513=DATE(2026,11,29),"培训；注册午餐；早餐参数",IF(C513=DATE(2026,11,30),"培训；注册午餐",IF(C513=DATE(2026,12,1),"培训；注册午餐；机构晚餐",IF(C513=Options!$B$9,"抵达；"&amp;IF(C513=DATE(2026,11,28),"机构晚餐","无统一供餐"),IF(C513=Options!$B$10,"返程；"&amp;IF(C513=DATE(2026,12,2),"机构午餐","无统一供餐"),"差旅状态；无统一日程"))))))</f>
        <v/>
      </c>
      <c r="E513" s="13">
        <f>IF(C513=Options!$B$9,Options!$C$15,0)</f>
        <v/>
      </c>
      <c r="F513" s="13">
        <f>IF(AND(A513&lt;&gt;"",C513&lt;Options!$B$10),B513*Options!$X$5,0)</f>
        <v/>
      </c>
      <c r="G513" s="13">
        <f>F513*12%</f>
        <v/>
      </c>
      <c r="H513" s="13">
        <f>IF(A513="",0,B513*(92*IF(OR(C513=Options!$B$9,C513=Options!$B$10),75%,100%)-IF(C513=DATE(2026,11,29),26+IF(Options!$B$8="是",23,0),0)-IF(C513=DATE(2026,11,30),26,0)-IF(C513=DATE(2026,12,1),64,0)-IF(C513=DATE(2026,11,28),38,0)-IF(C513=DATE(2026,12,2),26,0)))</f>
        <v/>
      </c>
      <c r="I513" s="13">
        <f>IF(AND(C513&gt;=DATE(2026,11,29),C513&lt;=DATE(2026,12,1)),B513*60,0)</f>
        <v/>
      </c>
      <c r="J513" s="13">
        <f>IF(A513="",0,B513*(IF(C513=DATE(2026,11,28),38,0)+IF(C513=DATE(2026,12,1),38,0)+IF(C513=DATE(2026,12,2),26,0)))</f>
        <v/>
      </c>
      <c r="K513" s="13">
        <f>IF(C513=Options!$B$9,B513*12,0)</f>
        <v/>
      </c>
      <c r="L513" s="13">
        <f>IF(C513=Options!$B$9,B513*Options!$Z$5,0)</f>
        <v/>
      </c>
      <c r="M513" s="13" t="n">
        <v>0</v>
      </c>
      <c r="N513" s="13">
        <f>SUM(E513:M513)</f>
        <v/>
      </c>
    </row>
    <row r="514">
      <c r="A514" s="5">
        <f>IF(AND(C514&gt;=Options!$B$9,C514&lt;=Options!$B$10),"Chicago","")</f>
        <v/>
      </c>
      <c r="B514" s="5">
        <f>IF(A514="","",24)</f>
        <v/>
      </c>
      <c r="C514" s="17" t="n">
        <v>46440</v>
      </c>
      <c r="D514" s="5">
        <f>IF(A514="","",IF(C514=DATE(2026,11,29),"培训；注册午餐；早餐参数",IF(C514=DATE(2026,11,30),"培训；注册午餐",IF(C514=DATE(2026,12,1),"培训；注册午餐；机构晚餐",IF(C514=Options!$B$9,"抵达；"&amp;IF(C514=DATE(2026,11,28),"机构晚餐","无统一供餐"),IF(C514=Options!$B$10,"返程；"&amp;IF(C514=DATE(2026,12,2),"机构午餐","无统一供餐"),"差旅状态；无统一日程"))))))</f>
        <v/>
      </c>
      <c r="E514" s="13">
        <f>IF(C514=Options!$B$9,Options!$C$15,0)</f>
        <v/>
      </c>
      <c r="F514" s="13">
        <f>IF(AND(A514&lt;&gt;"",C514&lt;Options!$B$10),B514*Options!$X$5,0)</f>
        <v/>
      </c>
      <c r="G514" s="13">
        <f>F514*12%</f>
        <v/>
      </c>
      <c r="H514" s="13">
        <f>IF(A514="",0,B514*(92*IF(OR(C514=Options!$B$9,C514=Options!$B$10),75%,100%)-IF(C514=DATE(2026,11,29),26+IF(Options!$B$8="是",23,0),0)-IF(C514=DATE(2026,11,30),26,0)-IF(C514=DATE(2026,12,1),64,0)-IF(C514=DATE(2026,11,28),38,0)-IF(C514=DATE(2026,12,2),26,0)))</f>
        <v/>
      </c>
      <c r="I514" s="13">
        <f>IF(AND(C514&gt;=DATE(2026,11,29),C514&lt;=DATE(2026,12,1)),B514*60,0)</f>
        <v/>
      </c>
      <c r="J514" s="13">
        <f>IF(A514="",0,B514*(IF(C514=DATE(2026,11,28),38,0)+IF(C514=DATE(2026,12,1),38,0)+IF(C514=DATE(2026,12,2),26,0)))</f>
        <v/>
      </c>
      <c r="K514" s="13">
        <f>IF(C514=Options!$B$9,B514*12,0)</f>
        <v/>
      </c>
      <c r="L514" s="13">
        <f>IF(C514=Options!$B$9,B514*Options!$Z$5,0)</f>
        <v/>
      </c>
      <c r="M514" s="13" t="n">
        <v>0</v>
      </c>
      <c r="N514" s="13">
        <f>SUM(E514:M514)</f>
        <v/>
      </c>
    </row>
    <row r="515">
      <c r="A515" s="5">
        <f>IF(AND(C515&gt;=Options!$B$9,C515&lt;=Options!$B$10),"Chicago","")</f>
        <v/>
      </c>
      <c r="B515" s="5">
        <f>IF(A515="","",24)</f>
        <v/>
      </c>
      <c r="C515" s="17" t="n">
        <v>46441</v>
      </c>
      <c r="D515" s="5">
        <f>IF(A515="","",IF(C515=DATE(2026,11,29),"培训；注册午餐；早餐参数",IF(C515=DATE(2026,11,30),"培训；注册午餐",IF(C515=DATE(2026,12,1),"培训；注册午餐；机构晚餐",IF(C515=Options!$B$9,"抵达；"&amp;IF(C515=DATE(2026,11,28),"机构晚餐","无统一供餐"),IF(C515=Options!$B$10,"返程；"&amp;IF(C515=DATE(2026,12,2),"机构午餐","无统一供餐"),"差旅状态；无统一日程"))))))</f>
        <v/>
      </c>
      <c r="E515" s="13">
        <f>IF(C515=Options!$B$9,Options!$C$15,0)</f>
        <v/>
      </c>
      <c r="F515" s="13">
        <f>IF(AND(A515&lt;&gt;"",C515&lt;Options!$B$10),B515*Options!$X$5,0)</f>
        <v/>
      </c>
      <c r="G515" s="13">
        <f>F515*12%</f>
        <v/>
      </c>
      <c r="H515" s="13">
        <f>IF(A515="",0,B515*(92*IF(OR(C515=Options!$B$9,C515=Options!$B$10),75%,100%)-IF(C515=DATE(2026,11,29),26+IF(Options!$B$8="是",23,0),0)-IF(C515=DATE(2026,11,30),26,0)-IF(C515=DATE(2026,12,1),64,0)-IF(C515=DATE(2026,11,28),38,0)-IF(C515=DATE(2026,12,2),26,0)))</f>
        <v/>
      </c>
      <c r="I515" s="13">
        <f>IF(AND(C515&gt;=DATE(2026,11,29),C515&lt;=DATE(2026,12,1)),B515*60,0)</f>
        <v/>
      </c>
      <c r="J515" s="13">
        <f>IF(A515="",0,B515*(IF(C515=DATE(2026,11,28),38,0)+IF(C515=DATE(2026,12,1),38,0)+IF(C515=DATE(2026,12,2),26,0)))</f>
        <v/>
      </c>
      <c r="K515" s="13">
        <f>IF(C515=Options!$B$9,B515*12,0)</f>
        <v/>
      </c>
      <c r="L515" s="13">
        <f>IF(C515=Options!$B$9,B515*Options!$Z$5,0)</f>
        <v/>
      </c>
      <c r="M515" s="13" t="n">
        <v>0</v>
      </c>
      <c r="N515" s="13">
        <f>SUM(E515:M515)</f>
        <v/>
      </c>
    </row>
    <row r="516">
      <c r="A516" s="5">
        <f>IF(AND(C516&gt;=Options!$B$9,C516&lt;=Options!$B$10),"Chicago","")</f>
        <v/>
      </c>
      <c r="B516" s="5">
        <f>IF(A516="","",24)</f>
        <v/>
      </c>
      <c r="C516" s="17" t="n">
        <v>46442</v>
      </c>
      <c r="D516" s="5">
        <f>IF(A516="","",IF(C516=DATE(2026,11,29),"培训；注册午餐；早餐参数",IF(C516=DATE(2026,11,30),"培训；注册午餐",IF(C516=DATE(2026,12,1),"培训；注册午餐；机构晚餐",IF(C516=Options!$B$9,"抵达；"&amp;IF(C516=DATE(2026,11,28),"机构晚餐","无统一供餐"),IF(C516=Options!$B$10,"返程；"&amp;IF(C516=DATE(2026,12,2),"机构午餐","无统一供餐"),"差旅状态；无统一日程"))))))</f>
        <v/>
      </c>
      <c r="E516" s="13">
        <f>IF(C516=Options!$B$9,Options!$C$15,0)</f>
        <v/>
      </c>
      <c r="F516" s="13">
        <f>IF(AND(A516&lt;&gt;"",C516&lt;Options!$B$10),B516*Options!$X$5,0)</f>
        <v/>
      </c>
      <c r="G516" s="13">
        <f>F516*12%</f>
        <v/>
      </c>
      <c r="H516" s="13">
        <f>IF(A516="",0,B516*(92*IF(OR(C516=Options!$B$9,C516=Options!$B$10),75%,100%)-IF(C516=DATE(2026,11,29),26+IF(Options!$B$8="是",23,0),0)-IF(C516=DATE(2026,11,30),26,0)-IF(C516=DATE(2026,12,1),64,0)-IF(C516=DATE(2026,11,28),38,0)-IF(C516=DATE(2026,12,2),26,0)))</f>
        <v/>
      </c>
      <c r="I516" s="13">
        <f>IF(AND(C516&gt;=DATE(2026,11,29),C516&lt;=DATE(2026,12,1)),B516*60,0)</f>
        <v/>
      </c>
      <c r="J516" s="13">
        <f>IF(A516="",0,B516*(IF(C516=DATE(2026,11,28),38,0)+IF(C516=DATE(2026,12,1),38,0)+IF(C516=DATE(2026,12,2),26,0)))</f>
        <v/>
      </c>
      <c r="K516" s="13">
        <f>IF(C516=Options!$B$9,B516*12,0)</f>
        <v/>
      </c>
      <c r="L516" s="13">
        <f>IF(C516=Options!$B$9,B516*Options!$Z$5,0)</f>
        <v/>
      </c>
      <c r="M516" s="13" t="n">
        <v>0</v>
      </c>
      <c r="N516" s="13">
        <f>SUM(E516:M516)</f>
        <v/>
      </c>
    </row>
    <row r="517">
      <c r="A517" s="5">
        <f>IF(AND(C517&gt;=Options!$B$9,C517&lt;=Options!$B$10),"Chicago","")</f>
        <v/>
      </c>
      <c r="B517" s="5">
        <f>IF(A517="","",24)</f>
        <v/>
      </c>
      <c r="C517" s="17" t="n">
        <v>46443</v>
      </c>
      <c r="D517" s="5">
        <f>IF(A517="","",IF(C517=DATE(2026,11,29),"培训；注册午餐；早餐参数",IF(C517=DATE(2026,11,30),"培训；注册午餐",IF(C517=DATE(2026,12,1),"培训；注册午餐；机构晚餐",IF(C517=Options!$B$9,"抵达；"&amp;IF(C517=DATE(2026,11,28),"机构晚餐","无统一供餐"),IF(C517=Options!$B$10,"返程；"&amp;IF(C517=DATE(2026,12,2),"机构午餐","无统一供餐"),"差旅状态；无统一日程"))))))</f>
        <v/>
      </c>
      <c r="E517" s="13">
        <f>IF(C517=Options!$B$9,Options!$C$15,0)</f>
        <v/>
      </c>
      <c r="F517" s="13">
        <f>IF(AND(A517&lt;&gt;"",C517&lt;Options!$B$10),B517*Options!$X$5,0)</f>
        <v/>
      </c>
      <c r="G517" s="13">
        <f>F517*12%</f>
        <v/>
      </c>
      <c r="H517" s="13">
        <f>IF(A517="",0,B517*(92*IF(OR(C517=Options!$B$9,C517=Options!$B$10),75%,100%)-IF(C517=DATE(2026,11,29),26+IF(Options!$B$8="是",23,0),0)-IF(C517=DATE(2026,11,30),26,0)-IF(C517=DATE(2026,12,1),64,0)-IF(C517=DATE(2026,11,28),38,0)-IF(C517=DATE(2026,12,2),26,0)))</f>
        <v/>
      </c>
      <c r="I517" s="13">
        <f>IF(AND(C517&gt;=DATE(2026,11,29),C517&lt;=DATE(2026,12,1)),B517*60,0)</f>
        <v/>
      </c>
      <c r="J517" s="13">
        <f>IF(A517="",0,B517*(IF(C517=DATE(2026,11,28),38,0)+IF(C517=DATE(2026,12,1),38,0)+IF(C517=DATE(2026,12,2),26,0)))</f>
        <v/>
      </c>
      <c r="K517" s="13">
        <f>IF(C517=Options!$B$9,B517*12,0)</f>
        <v/>
      </c>
      <c r="L517" s="13">
        <f>IF(C517=Options!$B$9,B517*Options!$Z$5,0)</f>
        <v/>
      </c>
      <c r="M517" s="13" t="n">
        <v>0</v>
      </c>
      <c r="N517" s="13">
        <f>SUM(E517:M517)</f>
        <v/>
      </c>
    </row>
    <row r="518">
      <c r="A518" s="5">
        <f>IF(AND(C518&gt;=Options!$B$9,C518&lt;=Options!$B$10),"Chicago","")</f>
        <v/>
      </c>
      <c r="B518" s="5">
        <f>IF(A518="","",24)</f>
        <v/>
      </c>
      <c r="C518" s="17" t="n">
        <v>46444</v>
      </c>
      <c r="D518" s="5">
        <f>IF(A518="","",IF(C518=DATE(2026,11,29),"培训；注册午餐；早餐参数",IF(C518=DATE(2026,11,30),"培训；注册午餐",IF(C518=DATE(2026,12,1),"培训；注册午餐；机构晚餐",IF(C518=Options!$B$9,"抵达；"&amp;IF(C518=DATE(2026,11,28),"机构晚餐","无统一供餐"),IF(C518=Options!$B$10,"返程；"&amp;IF(C518=DATE(2026,12,2),"机构午餐","无统一供餐"),"差旅状态；无统一日程"))))))</f>
        <v/>
      </c>
      <c r="E518" s="13">
        <f>IF(C518=Options!$B$9,Options!$C$15,0)</f>
        <v/>
      </c>
      <c r="F518" s="13">
        <f>IF(AND(A518&lt;&gt;"",C518&lt;Options!$B$10),B518*Options!$X$5,0)</f>
        <v/>
      </c>
      <c r="G518" s="13">
        <f>F518*12%</f>
        <v/>
      </c>
      <c r="H518" s="13">
        <f>IF(A518="",0,B518*(92*IF(OR(C518=Options!$B$9,C518=Options!$B$10),75%,100%)-IF(C518=DATE(2026,11,29),26+IF(Options!$B$8="是",23,0),0)-IF(C518=DATE(2026,11,30),26,0)-IF(C518=DATE(2026,12,1),64,0)-IF(C518=DATE(2026,11,28),38,0)-IF(C518=DATE(2026,12,2),26,0)))</f>
        <v/>
      </c>
      <c r="I518" s="13">
        <f>IF(AND(C518&gt;=DATE(2026,11,29),C518&lt;=DATE(2026,12,1)),B518*60,0)</f>
        <v/>
      </c>
      <c r="J518" s="13">
        <f>IF(A518="",0,B518*(IF(C518=DATE(2026,11,28),38,0)+IF(C518=DATE(2026,12,1),38,0)+IF(C518=DATE(2026,12,2),26,0)))</f>
        <v/>
      </c>
      <c r="K518" s="13">
        <f>IF(C518=Options!$B$9,B518*12,0)</f>
        <v/>
      </c>
      <c r="L518" s="13">
        <f>IF(C518=Options!$B$9,B518*Options!$Z$5,0)</f>
        <v/>
      </c>
      <c r="M518" s="13" t="n">
        <v>0</v>
      </c>
      <c r="N518" s="13">
        <f>SUM(E518:M518)</f>
        <v/>
      </c>
    </row>
    <row r="519">
      <c r="A519" s="5">
        <f>IF(AND(C519&gt;=Options!$B$9,C519&lt;=Options!$B$10),"Chicago","")</f>
        <v/>
      </c>
      <c r="B519" s="5">
        <f>IF(A519="","",24)</f>
        <v/>
      </c>
      <c r="C519" s="17" t="n">
        <v>46445</v>
      </c>
      <c r="D519" s="5">
        <f>IF(A519="","",IF(C519=DATE(2026,11,29),"培训；注册午餐；早餐参数",IF(C519=DATE(2026,11,30),"培训；注册午餐",IF(C519=DATE(2026,12,1),"培训；注册午餐；机构晚餐",IF(C519=Options!$B$9,"抵达；"&amp;IF(C519=DATE(2026,11,28),"机构晚餐","无统一供餐"),IF(C519=Options!$B$10,"返程；"&amp;IF(C519=DATE(2026,12,2),"机构午餐","无统一供餐"),"差旅状态；无统一日程"))))))</f>
        <v/>
      </c>
      <c r="E519" s="13">
        <f>IF(C519=Options!$B$9,Options!$C$15,0)</f>
        <v/>
      </c>
      <c r="F519" s="13">
        <f>IF(AND(A519&lt;&gt;"",C519&lt;Options!$B$10),B519*Options!$X$5,0)</f>
        <v/>
      </c>
      <c r="G519" s="13">
        <f>F519*12%</f>
        <v/>
      </c>
      <c r="H519" s="13">
        <f>IF(A519="",0,B519*(92*IF(OR(C519=Options!$B$9,C519=Options!$B$10),75%,100%)-IF(C519=DATE(2026,11,29),26+IF(Options!$B$8="是",23,0),0)-IF(C519=DATE(2026,11,30),26,0)-IF(C519=DATE(2026,12,1),64,0)-IF(C519=DATE(2026,11,28),38,0)-IF(C519=DATE(2026,12,2),26,0)))</f>
        <v/>
      </c>
      <c r="I519" s="13">
        <f>IF(AND(C519&gt;=DATE(2026,11,29),C519&lt;=DATE(2026,12,1)),B519*60,0)</f>
        <v/>
      </c>
      <c r="J519" s="13">
        <f>IF(A519="",0,B519*(IF(C519=DATE(2026,11,28),38,0)+IF(C519=DATE(2026,12,1),38,0)+IF(C519=DATE(2026,12,2),26,0)))</f>
        <v/>
      </c>
      <c r="K519" s="13">
        <f>IF(C519=Options!$B$9,B519*12,0)</f>
        <v/>
      </c>
      <c r="L519" s="13">
        <f>IF(C519=Options!$B$9,B519*Options!$Z$5,0)</f>
        <v/>
      </c>
      <c r="M519" s="13" t="n">
        <v>0</v>
      </c>
      <c r="N519" s="13">
        <f>SUM(E519:M519)</f>
        <v/>
      </c>
    </row>
    <row r="520">
      <c r="A520" s="5">
        <f>IF(AND(C520&gt;=Options!$B$9,C520&lt;=Options!$B$10),"Chicago","")</f>
        <v/>
      </c>
      <c r="B520" s="5">
        <f>IF(A520="","",24)</f>
        <v/>
      </c>
      <c r="C520" s="17" t="n">
        <v>46446</v>
      </c>
      <c r="D520" s="5">
        <f>IF(A520="","",IF(C520=DATE(2026,11,29),"培训；注册午餐；早餐参数",IF(C520=DATE(2026,11,30),"培训；注册午餐",IF(C520=DATE(2026,12,1),"培训；注册午餐；机构晚餐",IF(C520=Options!$B$9,"抵达；"&amp;IF(C520=DATE(2026,11,28),"机构晚餐","无统一供餐"),IF(C520=Options!$B$10,"返程；"&amp;IF(C520=DATE(2026,12,2),"机构午餐","无统一供餐"),"差旅状态；无统一日程"))))))</f>
        <v/>
      </c>
      <c r="E520" s="13">
        <f>IF(C520=Options!$B$9,Options!$C$15,0)</f>
        <v/>
      </c>
      <c r="F520" s="13">
        <f>IF(AND(A520&lt;&gt;"",C520&lt;Options!$B$10),B520*Options!$X$5,0)</f>
        <v/>
      </c>
      <c r="G520" s="13">
        <f>F520*12%</f>
        <v/>
      </c>
      <c r="H520" s="13">
        <f>IF(A520="",0,B520*(92*IF(OR(C520=Options!$B$9,C520=Options!$B$10),75%,100%)-IF(C520=DATE(2026,11,29),26+IF(Options!$B$8="是",23,0),0)-IF(C520=DATE(2026,11,30),26,0)-IF(C520=DATE(2026,12,1),64,0)-IF(C520=DATE(2026,11,28),38,0)-IF(C520=DATE(2026,12,2),26,0)))</f>
        <v/>
      </c>
      <c r="I520" s="13">
        <f>IF(AND(C520&gt;=DATE(2026,11,29),C520&lt;=DATE(2026,12,1)),B520*60,0)</f>
        <v/>
      </c>
      <c r="J520" s="13">
        <f>IF(A520="",0,B520*(IF(C520=DATE(2026,11,28),38,0)+IF(C520=DATE(2026,12,1),38,0)+IF(C520=DATE(2026,12,2),26,0)))</f>
        <v/>
      </c>
      <c r="K520" s="13">
        <f>IF(C520=Options!$B$9,B520*12,0)</f>
        <v/>
      </c>
      <c r="L520" s="13">
        <f>IF(C520=Options!$B$9,B520*Options!$Z$5,0)</f>
        <v/>
      </c>
      <c r="M520" s="13" t="n">
        <v>0</v>
      </c>
      <c r="N520" s="13">
        <f>SUM(E520:M520)</f>
        <v/>
      </c>
    </row>
    <row r="521">
      <c r="A521" s="5">
        <f>IF(AND(C521&gt;=Options!$B$9,C521&lt;=Options!$B$10),"Chicago","")</f>
        <v/>
      </c>
      <c r="B521" s="5">
        <f>IF(A521="","",24)</f>
        <v/>
      </c>
      <c r="C521" s="17" t="n">
        <v>46447</v>
      </c>
      <c r="D521" s="5">
        <f>IF(A521="","",IF(C521=DATE(2026,11,29),"培训；注册午餐；早餐参数",IF(C521=DATE(2026,11,30),"培训；注册午餐",IF(C521=DATE(2026,12,1),"培训；注册午餐；机构晚餐",IF(C521=Options!$B$9,"抵达；"&amp;IF(C521=DATE(2026,11,28),"机构晚餐","无统一供餐"),IF(C521=Options!$B$10,"返程；"&amp;IF(C521=DATE(2026,12,2),"机构午餐","无统一供餐"),"差旅状态；无统一日程"))))))</f>
        <v/>
      </c>
      <c r="E521" s="13">
        <f>IF(C521=Options!$B$9,Options!$C$15,0)</f>
        <v/>
      </c>
      <c r="F521" s="13">
        <f>IF(AND(A521&lt;&gt;"",C521&lt;Options!$B$10),B521*Options!$X$5,0)</f>
        <v/>
      </c>
      <c r="G521" s="13">
        <f>F521*12%</f>
        <v/>
      </c>
      <c r="H521" s="13">
        <f>IF(A521="",0,B521*(92*IF(OR(C521=Options!$B$9,C521=Options!$B$10),75%,100%)-IF(C521=DATE(2026,11,29),26+IF(Options!$B$8="是",23,0),0)-IF(C521=DATE(2026,11,30),26,0)-IF(C521=DATE(2026,12,1),64,0)-IF(C521=DATE(2026,11,28),38,0)-IF(C521=DATE(2026,12,2),26,0)))</f>
        <v/>
      </c>
      <c r="I521" s="13">
        <f>IF(AND(C521&gt;=DATE(2026,11,29),C521&lt;=DATE(2026,12,1)),B521*60,0)</f>
        <v/>
      </c>
      <c r="J521" s="13">
        <f>IF(A521="",0,B521*(IF(C521=DATE(2026,11,28),38,0)+IF(C521=DATE(2026,12,1),38,0)+IF(C521=DATE(2026,12,2),26,0)))</f>
        <v/>
      </c>
      <c r="K521" s="13">
        <f>IF(C521=Options!$B$9,B521*12,0)</f>
        <v/>
      </c>
      <c r="L521" s="13">
        <f>IF(C521=Options!$B$9,B521*Options!$Z$5,0)</f>
        <v/>
      </c>
      <c r="M521" s="13" t="n">
        <v>0</v>
      </c>
      <c r="N521" s="13">
        <f>SUM(E521:M521)</f>
        <v/>
      </c>
    </row>
    <row r="522">
      <c r="A522" s="5">
        <f>IF(AND(C522&gt;=Options!$B$9,C522&lt;=Options!$B$10),"Chicago","")</f>
        <v/>
      </c>
      <c r="B522" s="5">
        <f>IF(A522="","",24)</f>
        <v/>
      </c>
      <c r="C522" s="17" t="n">
        <v>46448</v>
      </c>
      <c r="D522" s="5">
        <f>IF(A522="","",IF(C522=DATE(2026,11,29),"培训；注册午餐；早餐参数",IF(C522=DATE(2026,11,30),"培训；注册午餐",IF(C522=DATE(2026,12,1),"培训；注册午餐；机构晚餐",IF(C522=Options!$B$9,"抵达；"&amp;IF(C522=DATE(2026,11,28),"机构晚餐","无统一供餐"),IF(C522=Options!$B$10,"返程；"&amp;IF(C522=DATE(2026,12,2),"机构午餐","无统一供餐"),"差旅状态；无统一日程"))))))</f>
        <v/>
      </c>
      <c r="E522" s="13">
        <f>IF(C522=Options!$B$9,Options!$C$15,0)</f>
        <v/>
      </c>
      <c r="F522" s="13">
        <f>IF(AND(A522&lt;&gt;"",C522&lt;Options!$B$10),B522*Options!$X$5,0)</f>
        <v/>
      </c>
      <c r="G522" s="13">
        <f>F522*12%</f>
        <v/>
      </c>
      <c r="H522" s="13">
        <f>IF(A522="",0,B522*(92*IF(OR(C522=Options!$B$9,C522=Options!$B$10),75%,100%)-IF(C522=DATE(2026,11,29),26+IF(Options!$B$8="是",23,0),0)-IF(C522=DATE(2026,11,30),26,0)-IF(C522=DATE(2026,12,1),64,0)-IF(C522=DATE(2026,11,28),38,0)-IF(C522=DATE(2026,12,2),26,0)))</f>
        <v/>
      </c>
      <c r="I522" s="13">
        <f>IF(AND(C522&gt;=DATE(2026,11,29),C522&lt;=DATE(2026,12,1)),B522*60,0)</f>
        <v/>
      </c>
      <c r="J522" s="13">
        <f>IF(A522="",0,B522*(IF(C522=DATE(2026,11,28),38,0)+IF(C522=DATE(2026,12,1),38,0)+IF(C522=DATE(2026,12,2),26,0)))</f>
        <v/>
      </c>
      <c r="K522" s="13">
        <f>IF(C522=Options!$B$9,B522*12,0)</f>
        <v/>
      </c>
      <c r="L522" s="13">
        <f>IF(C522=Options!$B$9,B522*Options!$Z$5,0)</f>
        <v/>
      </c>
      <c r="M522" s="13" t="n">
        <v>0</v>
      </c>
      <c r="N522" s="13">
        <f>SUM(E522:M522)</f>
        <v/>
      </c>
    </row>
    <row r="523">
      <c r="A523" s="5">
        <f>IF(AND(C523&gt;=Options!$B$9,C523&lt;=Options!$B$10),"Chicago","")</f>
        <v/>
      </c>
      <c r="B523" s="5">
        <f>IF(A523="","",24)</f>
        <v/>
      </c>
      <c r="C523" s="17" t="n">
        <v>46449</v>
      </c>
      <c r="D523" s="5">
        <f>IF(A523="","",IF(C523=DATE(2026,11,29),"培训；注册午餐；早餐参数",IF(C523=DATE(2026,11,30),"培训；注册午餐",IF(C523=DATE(2026,12,1),"培训；注册午餐；机构晚餐",IF(C523=Options!$B$9,"抵达；"&amp;IF(C523=DATE(2026,11,28),"机构晚餐","无统一供餐"),IF(C523=Options!$B$10,"返程；"&amp;IF(C523=DATE(2026,12,2),"机构午餐","无统一供餐"),"差旅状态；无统一日程"))))))</f>
        <v/>
      </c>
      <c r="E523" s="13">
        <f>IF(C523=Options!$B$9,Options!$C$15,0)</f>
        <v/>
      </c>
      <c r="F523" s="13">
        <f>IF(AND(A523&lt;&gt;"",C523&lt;Options!$B$10),B523*Options!$X$5,0)</f>
        <v/>
      </c>
      <c r="G523" s="13">
        <f>F523*12%</f>
        <v/>
      </c>
      <c r="H523" s="13">
        <f>IF(A523="",0,B523*(92*IF(OR(C523=Options!$B$9,C523=Options!$B$10),75%,100%)-IF(C523=DATE(2026,11,29),26+IF(Options!$B$8="是",23,0),0)-IF(C523=DATE(2026,11,30),26,0)-IF(C523=DATE(2026,12,1),64,0)-IF(C523=DATE(2026,11,28),38,0)-IF(C523=DATE(2026,12,2),26,0)))</f>
        <v/>
      </c>
      <c r="I523" s="13">
        <f>IF(AND(C523&gt;=DATE(2026,11,29),C523&lt;=DATE(2026,12,1)),B523*60,0)</f>
        <v/>
      </c>
      <c r="J523" s="13">
        <f>IF(A523="",0,B523*(IF(C523=DATE(2026,11,28),38,0)+IF(C523=DATE(2026,12,1),38,0)+IF(C523=DATE(2026,12,2),26,0)))</f>
        <v/>
      </c>
      <c r="K523" s="13">
        <f>IF(C523=Options!$B$9,B523*12,0)</f>
        <v/>
      </c>
      <c r="L523" s="13">
        <f>IF(C523=Options!$B$9,B523*Options!$Z$5,0)</f>
        <v/>
      </c>
      <c r="M523" s="13" t="n">
        <v>0</v>
      </c>
      <c r="N523" s="13">
        <f>SUM(E523:M523)</f>
        <v/>
      </c>
    </row>
    <row r="524">
      <c r="A524" s="5">
        <f>IF(AND(C524&gt;=Options!$B$9,C524&lt;=Options!$B$10),"Chicago","")</f>
        <v/>
      </c>
      <c r="B524" s="5">
        <f>IF(A524="","",24)</f>
        <v/>
      </c>
      <c r="C524" s="17" t="n">
        <v>46450</v>
      </c>
      <c r="D524" s="5">
        <f>IF(A524="","",IF(C524=DATE(2026,11,29),"培训；注册午餐；早餐参数",IF(C524=DATE(2026,11,30),"培训；注册午餐",IF(C524=DATE(2026,12,1),"培训；注册午餐；机构晚餐",IF(C524=Options!$B$9,"抵达；"&amp;IF(C524=DATE(2026,11,28),"机构晚餐","无统一供餐"),IF(C524=Options!$B$10,"返程；"&amp;IF(C524=DATE(2026,12,2),"机构午餐","无统一供餐"),"差旅状态；无统一日程"))))))</f>
        <v/>
      </c>
      <c r="E524" s="13">
        <f>IF(C524=Options!$B$9,Options!$C$15,0)</f>
        <v/>
      </c>
      <c r="F524" s="13">
        <f>IF(AND(A524&lt;&gt;"",C524&lt;Options!$B$10),B524*Options!$X$5,0)</f>
        <v/>
      </c>
      <c r="G524" s="13">
        <f>F524*12%</f>
        <v/>
      </c>
      <c r="H524" s="13">
        <f>IF(A524="",0,B524*(92*IF(OR(C524=Options!$B$9,C524=Options!$B$10),75%,100%)-IF(C524=DATE(2026,11,29),26+IF(Options!$B$8="是",23,0),0)-IF(C524=DATE(2026,11,30),26,0)-IF(C524=DATE(2026,12,1),64,0)-IF(C524=DATE(2026,11,28),38,0)-IF(C524=DATE(2026,12,2),26,0)))</f>
        <v/>
      </c>
      <c r="I524" s="13">
        <f>IF(AND(C524&gt;=DATE(2026,11,29),C524&lt;=DATE(2026,12,1)),B524*60,0)</f>
        <v/>
      </c>
      <c r="J524" s="13">
        <f>IF(A524="",0,B524*(IF(C524=DATE(2026,11,28),38,0)+IF(C524=DATE(2026,12,1),38,0)+IF(C524=DATE(2026,12,2),26,0)))</f>
        <v/>
      </c>
      <c r="K524" s="13">
        <f>IF(C524=Options!$B$9,B524*12,0)</f>
        <v/>
      </c>
      <c r="L524" s="13">
        <f>IF(C524=Options!$B$9,B524*Options!$Z$5,0)</f>
        <v/>
      </c>
      <c r="M524" s="13" t="n">
        <v>0</v>
      </c>
      <c r="N524" s="13">
        <f>SUM(E524:M524)</f>
        <v/>
      </c>
    </row>
    <row r="525">
      <c r="A525" s="5">
        <f>IF(AND(C525&gt;=Options!$B$9,C525&lt;=Options!$B$10),"Chicago","")</f>
        <v/>
      </c>
      <c r="B525" s="5">
        <f>IF(A525="","",24)</f>
        <v/>
      </c>
      <c r="C525" s="17" t="n">
        <v>46451</v>
      </c>
      <c r="D525" s="5">
        <f>IF(A525="","",IF(C525=DATE(2026,11,29),"培训；注册午餐；早餐参数",IF(C525=DATE(2026,11,30),"培训；注册午餐",IF(C525=DATE(2026,12,1),"培训；注册午餐；机构晚餐",IF(C525=Options!$B$9,"抵达；"&amp;IF(C525=DATE(2026,11,28),"机构晚餐","无统一供餐"),IF(C525=Options!$B$10,"返程；"&amp;IF(C525=DATE(2026,12,2),"机构午餐","无统一供餐"),"差旅状态；无统一日程"))))))</f>
        <v/>
      </c>
      <c r="E525" s="13">
        <f>IF(C525=Options!$B$9,Options!$C$15,0)</f>
        <v/>
      </c>
      <c r="F525" s="13">
        <f>IF(AND(A525&lt;&gt;"",C525&lt;Options!$B$10),B525*Options!$X$5,0)</f>
        <v/>
      </c>
      <c r="G525" s="13">
        <f>F525*12%</f>
        <v/>
      </c>
      <c r="H525" s="13">
        <f>IF(A525="",0,B525*(92*IF(OR(C525=Options!$B$9,C525=Options!$B$10),75%,100%)-IF(C525=DATE(2026,11,29),26+IF(Options!$B$8="是",23,0),0)-IF(C525=DATE(2026,11,30),26,0)-IF(C525=DATE(2026,12,1),64,0)-IF(C525=DATE(2026,11,28),38,0)-IF(C525=DATE(2026,12,2),26,0)))</f>
        <v/>
      </c>
      <c r="I525" s="13">
        <f>IF(AND(C525&gt;=DATE(2026,11,29),C525&lt;=DATE(2026,12,1)),B525*60,0)</f>
        <v/>
      </c>
      <c r="J525" s="13">
        <f>IF(A525="",0,B525*(IF(C525=DATE(2026,11,28),38,0)+IF(C525=DATE(2026,12,1),38,0)+IF(C525=DATE(2026,12,2),26,0)))</f>
        <v/>
      </c>
      <c r="K525" s="13">
        <f>IF(C525=Options!$B$9,B525*12,0)</f>
        <v/>
      </c>
      <c r="L525" s="13">
        <f>IF(C525=Options!$B$9,B525*Options!$Z$5,0)</f>
        <v/>
      </c>
      <c r="M525" s="13" t="n">
        <v>0</v>
      </c>
      <c r="N525" s="13">
        <f>SUM(E525:M525)</f>
        <v/>
      </c>
    </row>
    <row r="526">
      <c r="A526" s="5">
        <f>IF(AND(C526&gt;=Options!$B$9,C526&lt;=Options!$B$10),"Chicago","")</f>
        <v/>
      </c>
      <c r="B526" s="5">
        <f>IF(A526="","",24)</f>
        <v/>
      </c>
      <c r="C526" s="17" t="n">
        <v>46452</v>
      </c>
      <c r="D526" s="5">
        <f>IF(A526="","",IF(C526=DATE(2026,11,29),"培训；注册午餐；早餐参数",IF(C526=DATE(2026,11,30),"培训；注册午餐",IF(C526=DATE(2026,12,1),"培训；注册午餐；机构晚餐",IF(C526=Options!$B$9,"抵达；"&amp;IF(C526=DATE(2026,11,28),"机构晚餐","无统一供餐"),IF(C526=Options!$B$10,"返程；"&amp;IF(C526=DATE(2026,12,2),"机构午餐","无统一供餐"),"差旅状态；无统一日程"))))))</f>
        <v/>
      </c>
      <c r="E526" s="13">
        <f>IF(C526=Options!$B$9,Options!$C$15,0)</f>
        <v/>
      </c>
      <c r="F526" s="13">
        <f>IF(AND(A526&lt;&gt;"",C526&lt;Options!$B$10),B526*Options!$X$5,0)</f>
        <v/>
      </c>
      <c r="G526" s="13">
        <f>F526*12%</f>
        <v/>
      </c>
      <c r="H526" s="13">
        <f>IF(A526="",0,B526*(92*IF(OR(C526=Options!$B$9,C526=Options!$B$10),75%,100%)-IF(C526=DATE(2026,11,29),26+IF(Options!$B$8="是",23,0),0)-IF(C526=DATE(2026,11,30),26,0)-IF(C526=DATE(2026,12,1),64,0)-IF(C526=DATE(2026,11,28),38,0)-IF(C526=DATE(2026,12,2),26,0)))</f>
        <v/>
      </c>
      <c r="I526" s="13">
        <f>IF(AND(C526&gt;=DATE(2026,11,29),C526&lt;=DATE(2026,12,1)),B526*60,0)</f>
        <v/>
      </c>
      <c r="J526" s="13">
        <f>IF(A526="",0,B526*(IF(C526=DATE(2026,11,28),38,0)+IF(C526=DATE(2026,12,1),38,0)+IF(C526=DATE(2026,12,2),26,0)))</f>
        <v/>
      </c>
      <c r="K526" s="13">
        <f>IF(C526=Options!$B$9,B526*12,0)</f>
        <v/>
      </c>
      <c r="L526" s="13">
        <f>IF(C526=Options!$B$9,B526*Options!$Z$5,0)</f>
        <v/>
      </c>
      <c r="M526" s="13" t="n">
        <v>0</v>
      </c>
      <c r="N526" s="13">
        <f>SUM(E526:M526)</f>
        <v/>
      </c>
    </row>
    <row r="527">
      <c r="A527" s="5">
        <f>IF(AND(C527&gt;=Options!$B$9,C527&lt;=Options!$B$10),"Chicago","")</f>
        <v/>
      </c>
      <c r="B527" s="5">
        <f>IF(A527="","",24)</f>
        <v/>
      </c>
      <c r="C527" s="17" t="n">
        <v>46453</v>
      </c>
      <c r="D527" s="5">
        <f>IF(A527="","",IF(C527=DATE(2026,11,29),"培训；注册午餐；早餐参数",IF(C527=DATE(2026,11,30),"培训；注册午餐",IF(C527=DATE(2026,12,1),"培训；注册午餐；机构晚餐",IF(C527=Options!$B$9,"抵达；"&amp;IF(C527=DATE(2026,11,28),"机构晚餐","无统一供餐"),IF(C527=Options!$B$10,"返程；"&amp;IF(C527=DATE(2026,12,2),"机构午餐","无统一供餐"),"差旅状态；无统一日程"))))))</f>
        <v/>
      </c>
      <c r="E527" s="13">
        <f>IF(C527=Options!$B$9,Options!$C$15,0)</f>
        <v/>
      </c>
      <c r="F527" s="13">
        <f>IF(AND(A527&lt;&gt;"",C527&lt;Options!$B$10),B527*Options!$X$5,0)</f>
        <v/>
      </c>
      <c r="G527" s="13">
        <f>F527*12%</f>
        <v/>
      </c>
      <c r="H527" s="13">
        <f>IF(A527="",0,B527*(92*IF(OR(C527=Options!$B$9,C527=Options!$B$10),75%,100%)-IF(C527=DATE(2026,11,29),26+IF(Options!$B$8="是",23,0),0)-IF(C527=DATE(2026,11,30),26,0)-IF(C527=DATE(2026,12,1),64,0)-IF(C527=DATE(2026,11,28),38,0)-IF(C527=DATE(2026,12,2),26,0)))</f>
        <v/>
      </c>
      <c r="I527" s="13">
        <f>IF(AND(C527&gt;=DATE(2026,11,29),C527&lt;=DATE(2026,12,1)),B527*60,0)</f>
        <v/>
      </c>
      <c r="J527" s="13">
        <f>IF(A527="",0,B527*(IF(C527=DATE(2026,11,28),38,0)+IF(C527=DATE(2026,12,1),38,0)+IF(C527=DATE(2026,12,2),26,0)))</f>
        <v/>
      </c>
      <c r="K527" s="13">
        <f>IF(C527=Options!$B$9,B527*12,0)</f>
        <v/>
      </c>
      <c r="L527" s="13">
        <f>IF(C527=Options!$B$9,B527*Options!$Z$5,0)</f>
        <v/>
      </c>
      <c r="M527" s="13" t="n">
        <v>0</v>
      </c>
      <c r="N527" s="13">
        <f>SUM(E527:M527)</f>
        <v/>
      </c>
    </row>
    <row r="528">
      <c r="A528" s="5">
        <f>IF(AND(C528&gt;=Options!$B$9,C528&lt;=Options!$B$10),"Chicago","")</f>
        <v/>
      </c>
      <c r="B528" s="5">
        <f>IF(A528="","",24)</f>
        <v/>
      </c>
      <c r="C528" s="17" t="n">
        <v>46454</v>
      </c>
      <c r="D528" s="5">
        <f>IF(A528="","",IF(C528=DATE(2026,11,29),"培训；注册午餐；早餐参数",IF(C528=DATE(2026,11,30),"培训；注册午餐",IF(C528=DATE(2026,12,1),"培训；注册午餐；机构晚餐",IF(C528=Options!$B$9,"抵达；"&amp;IF(C528=DATE(2026,11,28),"机构晚餐","无统一供餐"),IF(C528=Options!$B$10,"返程；"&amp;IF(C528=DATE(2026,12,2),"机构午餐","无统一供餐"),"差旅状态；无统一日程"))))))</f>
        <v/>
      </c>
      <c r="E528" s="13">
        <f>IF(C528=Options!$B$9,Options!$C$15,0)</f>
        <v/>
      </c>
      <c r="F528" s="13">
        <f>IF(AND(A528&lt;&gt;"",C528&lt;Options!$B$10),B528*Options!$X$5,0)</f>
        <v/>
      </c>
      <c r="G528" s="13">
        <f>F528*12%</f>
        <v/>
      </c>
      <c r="H528" s="13">
        <f>IF(A528="",0,B528*(92*IF(OR(C528=Options!$B$9,C528=Options!$B$10),75%,100%)-IF(C528=DATE(2026,11,29),26+IF(Options!$B$8="是",23,0),0)-IF(C528=DATE(2026,11,30),26,0)-IF(C528=DATE(2026,12,1),64,0)-IF(C528=DATE(2026,11,28),38,0)-IF(C528=DATE(2026,12,2),26,0)))</f>
        <v/>
      </c>
      <c r="I528" s="13">
        <f>IF(AND(C528&gt;=DATE(2026,11,29),C528&lt;=DATE(2026,12,1)),B528*60,0)</f>
        <v/>
      </c>
      <c r="J528" s="13">
        <f>IF(A528="",0,B528*(IF(C528=DATE(2026,11,28),38,0)+IF(C528=DATE(2026,12,1),38,0)+IF(C528=DATE(2026,12,2),26,0)))</f>
        <v/>
      </c>
      <c r="K528" s="13">
        <f>IF(C528=Options!$B$9,B528*12,0)</f>
        <v/>
      </c>
      <c r="L528" s="13">
        <f>IF(C528=Options!$B$9,B528*Options!$Z$5,0)</f>
        <v/>
      </c>
      <c r="M528" s="13" t="n">
        <v>0</v>
      </c>
      <c r="N528" s="13">
        <f>SUM(E528:M528)</f>
        <v/>
      </c>
    </row>
    <row r="529">
      <c r="A529" s="5">
        <f>IF(AND(C529&gt;=Options!$B$9,C529&lt;=Options!$B$10),"Chicago","")</f>
        <v/>
      </c>
      <c r="B529" s="5">
        <f>IF(A529="","",24)</f>
        <v/>
      </c>
      <c r="C529" s="17" t="n">
        <v>46455</v>
      </c>
      <c r="D529" s="5">
        <f>IF(A529="","",IF(C529=DATE(2026,11,29),"培训；注册午餐；早餐参数",IF(C529=DATE(2026,11,30),"培训；注册午餐",IF(C529=DATE(2026,12,1),"培训；注册午餐；机构晚餐",IF(C529=Options!$B$9,"抵达；"&amp;IF(C529=DATE(2026,11,28),"机构晚餐","无统一供餐"),IF(C529=Options!$B$10,"返程；"&amp;IF(C529=DATE(2026,12,2),"机构午餐","无统一供餐"),"差旅状态；无统一日程"))))))</f>
        <v/>
      </c>
      <c r="E529" s="13">
        <f>IF(C529=Options!$B$9,Options!$C$15,0)</f>
        <v/>
      </c>
      <c r="F529" s="13">
        <f>IF(AND(A529&lt;&gt;"",C529&lt;Options!$B$10),B529*Options!$X$5,0)</f>
        <v/>
      </c>
      <c r="G529" s="13">
        <f>F529*12%</f>
        <v/>
      </c>
      <c r="H529" s="13">
        <f>IF(A529="",0,B529*(92*IF(OR(C529=Options!$B$9,C529=Options!$B$10),75%,100%)-IF(C529=DATE(2026,11,29),26+IF(Options!$B$8="是",23,0),0)-IF(C529=DATE(2026,11,30),26,0)-IF(C529=DATE(2026,12,1),64,0)-IF(C529=DATE(2026,11,28),38,0)-IF(C529=DATE(2026,12,2),26,0)))</f>
        <v/>
      </c>
      <c r="I529" s="13">
        <f>IF(AND(C529&gt;=DATE(2026,11,29),C529&lt;=DATE(2026,12,1)),B529*60,0)</f>
        <v/>
      </c>
      <c r="J529" s="13">
        <f>IF(A529="",0,B529*(IF(C529=DATE(2026,11,28),38,0)+IF(C529=DATE(2026,12,1),38,0)+IF(C529=DATE(2026,12,2),26,0)))</f>
        <v/>
      </c>
      <c r="K529" s="13">
        <f>IF(C529=Options!$B$9,B529*12,0)</f>
        <v/>
      </c>
      <c r="L529" s="13">
        <f>IF(C529=Options!$B$9,B529*Options!$Z$5,0)</f>
        <v/>
      </c>
      <c r="M529" s="13" t="n">
        <v>0</v>
      </c>
      <c r="N529" s="13">
        <f>SUM(E529:M529)</f>
        <v/>
      </c>
    </row>
    <row r="530">
      <c r="A530" s="5">
        <f>IF(AND(C530&gt;=Options!$B$9,C530&lt;=Options!$B$10),"Chicago","")</f>
        <v/>
      </c>
      <c r="B530" s="5">
        <f>IF(A530="","",24)</f>
        <v/>
      </c>
      <c r="C530" s="17" t="n">
        <v>46456</v>
      </c>
      <c r="D530" s="5">
        <f>IF(A530="","",IF(C530=DATE(2026,11,29),"培训；注册午餐；早餐参数",IF(C530=DATE(2026,11,30),"培训；注册午餐",IF(C530=DATE(2026,12,1),"培训；注册午餐；机构晚餐",IF(C530=Options!$B$9,"抵达；"&amp;IF(C530=DATE(2026,11,28),"机构晚餐","无统一供餐"),IF(C530=Options!$B$10,"返程；"&amp;IF(C530=DATE(2026,12,2),"机构午餐","无统一供餐"),"差旅状态；无统一日程"))))))</f>
        <v/>
      </c>
      <c r="E530" s="13">
        <f>IF(C530=Options!$B$9,Options!$C$15,0)</f>
        <v/>
      </c>
      <c r="F530" s="13">
        <f>IF(AND(A530&lt;&gt;"",C530&lt;Options!$B$10),B530*Options!$X$5,0)</f>
        <v/>
      </c>
      <c r="G530" s="13">
        <f>F530*12%</f>
        <v/>
      </c>
      <c r="H530" s="13">
        <f>IF(A530="",0,B530*(92*IF(OR(C530=Options!$B$9,C530=Options!$B$10),75%,100%)-IF(C530=DATE(2026,11,29),26+IF(Options!$B$8="是",23,0),0)-IF(C530=DATE(2026,11,30),26,0)-IF(C530=DATE(2026,12,1),64,0)-IF(C530=DATE(2026,11,28),38,0)-IF(C530=DATE(2026,12,2),26,0)))</f>
        <v/>
      </c>
      <c r="I530" s="13">
        <f>IF(AND(C530&gt;=DATE(2026,11,29),C530&lt;=DATE(2026,12,1)),B530*60,0)</f>
        <v/>
      </c>
      <c r="J530" s="13">
        <f>IF(A530="",0,B530*(IF(C530=DATE(2026,11,28),38,0)+IF(C530=DATE(2026,12,1),38,0)+IF(C530=DATE(2026,12,2),26,0)))</f>
        <v/>
      </c>
      <c r="K530" s="13">
        <f>IF(C530=Options!$B$9,B530*12,0)</f>
        <v/>
      </c>
      <c r="L530" s="13">
        <f>IF(C530=Options!$B$9,B530*Options!$Z$5,0)</f>
        <v/>
      </c>
      <c r="M530" s="13" t="n">
        <v>0</v>
      </c>
      <c r="N530" s="13">
        <f>SUM(E530:M530)</f>
        <v/>
      </c>
    </row>
    <row r="531">
      <c r="A531" s="5">
        <f>IF(AND(C531&gt;=Options!$B$9,C531&lt;=Options!$B$10),"Chicago","")</f>
        <v/>
      </c>
      <c r="B531" s="5">
        <f>IF(A531="","",24)</f>
        <v/>
      </c>
      <c r="C531" s="17" t="n">
        <v>46457</v>
      </c>
      <c r="D531" s="5">
        <f>IF(A531="","",IF(C531=DATE(2026,11,29),"培训；注册午餐；早餐参数",IF(C531=DATE(2026,11,30),"培训；注册午餐",IF(C531=DATE(2026,12,1),"培训；注册午餐；机构晚餐",IF(C531=Options!$B$9,"抵达；"&amp;IF(C531=DATE(2026,11,28),"机构晚餐","无统一供餐"),IF(C531=Options!$B$10,"返程；"&amp;IF(C531=DATE(2026,12,2),"机构午餐","无统一供餐"),"差旅状态；无统一日程"))))))</f>
        <v/>
      </c>
      <c r="E531" s="13">
        <f>IF(C531=Options!$B$9,Options!$C$15,0)</f>
        <v/>
      </c>
      <c r="F531" s="13">
        <f>IF(AND(A531&lt;&gt;"",C531&lt;Options!$B$10),B531*Options!$X$5,0)</f>
        <v/>
      </c>
      <c r="G531" s="13">
        <f>F531*12%</f>
        <v/>
      </c>
      <c r="H531" s="13">
        <f>IF(A531="",0,B531*(92*IF(OR(C531=Options!$B$9,C531=Options!$B$10),75%,100%)-IF(C531=DATE(2026,11,29),26+IF(Options!$B$8="是",23,0),0)-IF(C531=DATE(2026,11,30),26,0)-IF(C531=DATE(2026,12,1),64,0)-IF(C531=DATE(2026,11,28),38,0)-IF(C531=DATE(2026,12,2),26,0)))</f>
        <v/>
      </c>
      <c r="I531" s="13">
        <f>IF(AND(C531&gt;=DATE(2026,11,29),C531&lt;=DATE(2026,12,1)),B531*60,0)</f>
        <v/>
      </c>
      <c r="J531" s="13">
        <f>IF(A531="",0,B531*(IF(C531=DATE(2026,11,28),38,0)+IF(C531=DATE(2026,12,1),38,0)+IF(C531=DATE(2026,12,2),26,0)))</f>
        <v/>
      </c>
      <c r="K531" s="13">
        <f>IF(C531=Options!$B$9,B531*12,0)</f>
        <v/>
      </c>
      <c r="L531" s="13">
        <f>IF(C531=Options!$B$9,B531*Options!$Z$5,0)</f>
        <v/>
      </c>
      <c r="M531" s="13" t="n">
        <v>0</v>
      </c>
      <c r="N531" s="13">
        <f>SUM(E531:M531)</f>
        <v/>
      </c>
    </row>
    <row r="532">
      <c r="A532" s="5">
        <f>IF(AND(C532&gt;=Options!$B$9,C532&lt;=Options!$B$10),"Chicago","")</f>
        <v/>
      </c>
      <c r="B532" s="5">
        <f>IF(A532="","",24)</f>
        <v/>
      </c>
      <c r="C532" s="17" t="n">
        <v>46458</v>
      </c>
      <c r="D532" s="5">
        <f>IF(A532="","",IF(C532=DATE(2026,11,29),"培训；注册午餐；早餐参数",IF(C532=DATE(2026,11,30),"培训；注册午餐",IF(C532=DATE(2026,12,1),"培训；注册午餐；机构晚餐",IF(C532=Options!$B$9,"抵达；"&amp;IF(C532=DATE(2026,11,28),"机构晚餐","无统一供餐"),IF(C532=Options!$B$10,"返程；"&amp;IF(C532=DATE(2026,12,2),"机构午餐","无统一供餐"),"差旅状态；无统一日程"))))))</f>
        <v/>
      </c>
      <c r="E532" s="13">
        <f>IF(C532=Options!$B$9,Options!$C$15,0)</f>
        <v/>
      </c>
      <c r="F532" s="13">
        <f>IF(AND(A532&lt;&gt;"",C532&lt;Options!$B$10),B532*Options!$X$5,0)</f>
        <v/>
      </c>
      <c r="G532" s="13">
        <f>F532*12%</f>
        <v/>
      </c>
      <c r="H532" s="13">
        <f>IF(A532="",0,B532*(92*IF(OR(C532=Options!$B$9,C532=Options!$B$10),75%,100%)-IF(C532=DATE(2026,11,29),26+IF(Options!$B$8="是",23,0),0)-IF(C532=DATE(2026,11,30),26,0)-IF(C532=DATE(2026,12,1),64,0)-IF(C532=DATE(2026,11,28),38,0)-IF(C532=DATE(2026,12,2),26,0)))</f>
        <v/>
      </c>
      <c r="I532" s="13">
        <f>IF(AND(C532&gt;=DATE(2026,11,29),C532&lt;=DATE(2026,12,1)),B532*60,0)</f>
        <v/>
      </c>
      <c r="J532" s="13">
        <f>IF(A532="",0,B532*(IF(C532=DATE(2026,11,28),38,0)+IF(C532=DATE(2026,12,1),38,0)+IF(C532=DATE(2026,12,2),26,0)))</f>
        <v/>
      </c>
      <c r="K532" s="13">
        <f>IF(C532=Options!$B$9,B532*12,0)</f>
        <v/>
      </c>
      <c r="L532" s="13">
        <f>IF(C532=Options!$B$9,B532*Options!$Z$5,0)</f>
        <v/>
      </c>
      <c r="M532" s="13" t="n">
        <v>0</v>
      </c>
      <c r="N532" s="13">
        <f>SUM(E532:M532)</f>
        <v/>
      </c>
    </row>
    <row r="533">
      <c r="A533" s="5">
        <f>IF(AND(C533&gt;=Options!$B$9,C533&lt;=Options!$B$10),"Chicago","")</f>
        <v/>
      </c>
      <c r="B533" s="5">
        <f>IF(A533="","",24)</f>
        <v/>
      </c>
      <c r="C533" s="17" t="n">
        <v>46459</v>
      </c>
      <c r="D533" s="5">
        <f>IF(A533="","",IF(C533=DATE(2026,11,29),"培训；注册午餐；早餐参数",IF(C533=DATE(2026,11,30),"培训；注册午餐",IF(C533=DATE(2026,12,1),"培训；注册午餐；机构晚餐",IF(C533=Options!$B$9,"抵达；"&amp;IF(C533=DATE(2026,11,28),"机构晚餐","无统一供餐"),IF(C533=Options!$B$10,"返程；"&amp;IF(C533=DATE(2026,12,2),"机构午餐","无统一供餐"),"差旅状态；无统一日程"))))))</f>
        <v/>
      </c>
      <c r="E533" s="13">
        <f>IF(C533=Options!$B$9,Options!$C$15,0)</f>
        <v/>
      </c>
      <c r="F533" s="13">
        <f>IF(AND(A533&lt;&gt;"",C533&lt;Options!$B$10),B533*Options!$X$5,0)</f>
        <v/>
      </c>
      <c r="G533" s="13">
        <f>F533*12%</f>
        <v/>
      </c>
      <c r="H533" s="13">
        <f>IF(A533="",0,B533*(92*IF(OR(C533=Options!$B$9,C533=Options!$B$10),75%,100%)-IF(C533=DATE(2026,11,29),26+IF(Options!$B$8="是",23,0),0)-IF(C533=DATE(2026,11,30),26,0)-IF(C533=DATE(2026,12,1),64,0)-IF(C533=DATE(2026,11,28),38,0)-IF(C533=DATE(2026,12,2),26,0)))</f>
        <v/>
      </c>
      <c r="I533" s="13">
        <f>IF(AND(C533&gt;=DATE(2026,11,29),C533&lt;=DATE(2026,12,1)),B533*60,0)</f>
        <v/>
      </c>
      <c r="J533" s="13">
        <f>IF(A533="",0,B533*(IF(C533=DATE(2026,11,28),38,0)+IF(C533=DATE(2026,12,1),38,0)+IF(C533=DATE(2026,12,2),26,0)))</f>
        <v/>
      </c>
      <c r="K533" s="13">
        <f>IF(C533=Options!$B$9,B533*12,0)</f>
        <v/>
      </c>
      <c r="L533" s="13">
        <f>IF(C533=Options!$B$9,B533*Options!$Z$5,0)</f>
        <v/>
      </c>
      <c r="M533" s="13" t="n">
        <v>0</v>
      </c>
      <c r="N533" s="13">
        <f>SUM(E533:M533)</f>
        <v/>
      </c>
    </row>
    <row r="534">
      <c r="A534" s="5">
        <f>IF(AND(C534&gt;=Options!$B$9,C534&lt;=Options!$B$10),"Chicago","")</f>
        <v/>
      </c>
      <c r="B534" s="5">
        <f>IF(A534="","",24)</f>
        <v/>
      </c>
      <c r="C534" s="17" t="n">
        <v>46460</v>
      </c>
      <c r="D534" s="5">
        <f>IF(A534="","",IF(C534=DATE(2026,11,29),"培训；注册午餐；早餐参数",IF(C534=DATE(2026,11,30),"培训；注册午餐",IF(C534=DATE(2026,12,1),"培训；注册午餐；机构晚餐",IF(C534=Options!$B$9,"抵达；"&amp;IF(C534=DATE(2026,11,28),"机构晚餐","无统一供餐"),IF(C534=Options!$B$10,"返程；"&amp;IF(C534=DATE(2026,12,2),"机构午餐","无统一供餐"),"差旅状态；无统一日程"))))))</f>
        <v/>
      </c>
      <c r="E534" s="13">
        <f>IF(C534=Options!$B$9,Options!$C$15,0)</f>
        <v/>
      </c>
      <c r="F534" s="13">
        <f>IF(AND(A534&lt;&gt;"",C534&lt;Options!$B$10),B534*Options!$X$5,0)</f>
        <v/>
      </c>
      <c r="G534" s="13">
        <f>F534*12%</f>
        <v/>
      </c>
      <c r="H534" s="13">
        <f>IF(A534="",0,B534*(92*IF(OR(C534=Options!$B$9,C534=Options!$B$10),75%,100%)-IF(C534=DATE(2026,11,29),26+IF(Options!$B$8="是",23,0),0)-IF(C534=DATE(2026,11,30),26,0)-IF(C534=DATE(2026,12,1),64,0)-IF(C534=DATE(2026,11,28),38,0)-IF(C534=DATE(2026,12,2),26,0)))</f>
        <v/>
      </c>
      <c r="I534" s="13">
        <f>IF(AND(C534&gt;=DATE(2026,11,29),C534&lt;=DATE(2026,12,1)),B534*60,0)</f>
        <v/>
      </c>
      <c r="J534" s="13">
        <f>IF(A534="",0,B534*(IF(C534=DATE(2026,11,28),38,0)+IF(C534=DATE(2026,12,1),38,0)+IF(C534=DATE(2026,12,2),26,0)))</f>
        <v/>
      </c>
      <c r="K534" s="13">
        <f>IF(C534=Options!$B$9,B534*12,0)</f>
        <v/>
      </c>
      <c r="L534" s="13">
        <f>IF(C534=Options!$B$9,B534*Options!$Z$5,0)</f>
        <v/>
      </c>
      <c r="M534" s="13" t="n">
        <v>0</v>
      </c>
      <c r="N534" s="13">
        <f>SUM(E534:M534)</f>
        <v/>
      </c>
    </row>
    <row r="535">
      <c r="A535" s="5">
        <f>IF(AND(C535&gt;=Options!$B$9,C535&lt;=Options!$B$10),"Chicago","")</f>
        <v/>
      </c>
      <c r="B535" s="5">
        <f>IF(A535="","",24)</f>
        <v/>
      </c>
      <c r="C535" s="17" t="n">
        <v>46461</v>
      </c>
      <c r="D535" s="5">
        <f>IF(A535="","",IF(C535=DATE(2026,11,29),"培训；注册午餐；早餐参数",IF(C535=DATE(2026,11,30),"培训；注册午餐",IF(C535=DATE(2026,12,1),"培训；注册午餐；机构晚餐",IF(C535=Options!$B$9,"抵达；"&amp;IF(C535=DATE(2026,11,28),"机构晚餐","无统一供餐"),IF(C535=Options!$B$10,"返程；"&amp;IF(C535=DATE(2026,12,2),"机构午餐","无统一供餐"),"差旅状态；无统一日程"))))))</f>
        <v/>
      </c>
      <c r="E535" s="13">
        <f>IF(C535=Options!$B$9,Options!$C$15,0)</f>
        <v/>
      </c>
      <c r="F535" s="13">
        <f>IF(AND(A535&lt;&gt;"",C535&lt;Options!$B$10),B535*Options!$X$5,0)</f>
        <v/>
      </c>
      <c r="G535" s="13">
        <f>F535*12%</f>
        <v/>
      </c>
      <c r="H535" s="13">
        <f>IF(A535="",0,B535*(92*IF(OR(C535=Options!$B$9,C535=Options!$B$10),75%,100%)-IF(C535=DATE(2026,11,29),26+IF(Options!$B$8="是",23,0),0)-IF(C535=DATE(2026,11,30),26,0)-IF(C535=DATE(2026,12,1),64,0)-IF(C535=DATE(2026,11,28),38,0)-IF(C535=DATE(2026,12,2),26,0)))</f>
        <v/>
      </c>
      <c r="I535" s="13">
        <f>IF(AND(C535&gt;=DATE(2026,11,29),C535&lt;=DATE(2026,12,1)),B535*60,0)</f>
        <v/>
      </c>
      <c r="J535" s="13">
        <f>IF(A535="",0,B535*(IF(C535=DATE(2026,11,28),38,0)+IF(C535=DATE(2026,12,1),38,0)+IF(C535=DATE(2026,12,2),26,0)))</f>
        <v/>
      </c>
      <c r="K535" s="13">
        <f>IF(C535=Options!$B$9,B535*12,0)</f>
        <v/>
      </c>
      <c r="L535" s="13">
        <f>IF(C535=Options!$B$9,B535*Options!$Z$5,0)</f>
        <v/>
      </c>
      <c r="M535" s="13" t="n">
        <v>0</v>
      </c>
      <c r="N535" s="13">
        <f>SUM(E535:M535)</f>
        <v/>
      </c>
    </row>
    <row r="536">
      <c r="A536" s="5">
        <f>IF(AND(C536&gt;=Options!$B$9,C536&lt;=Options!$B$10),"Chicago","")</f>
        <v/>
      </c>
      <c r="B536" s="5">
        <f>IF(A536="","",24)</f>
        <v/>
      </c>
      <c r="C536" s="17" t="n">
        <v>46462</v>
      </c>
      <c r="D536" s="5">
        <f>IF(A536="","",IF(C536=DATE(2026,11,29),"培训；注册午餐；早餐参数",IF(C536=DATE(2026,11,30),"培训；注册午餐",IF(C536=DATE(2026,12,1),"培训；注册午餐；机构晚餐",IF(C536=Options!$B$9,"抵达；"&amp;IF(C536=DATE(2026,11,28),"机构晚餐","无统一供餐"),IF(C536=Options!$B$10,"返程；"&amp;IF(C536=DATE(2026,12,2),"机构午餐","无统一供餐"),"差旅状态；无统一日程"))))))</f>
        <v/>
      </c>
      <c r="E536" s="13">
        <f>IF(C536=Options!$B$9,Options!$C$15,0)</f>
        <v/>
      </c>
      <c r="F536" s="13">
        <f>IF(AND(A536&lt;&gt;"",C536&lt;Options!$B$10),B536*Options!$X$5,0)</f>
        <v/>
      </c>
      <c r="G536" s="13">
        <f>F536*12%</f>
        <v/>
      </c>
      <c r="H536" s="13">
        <f>IF(A536="",0,B536*(92*IF(OR(C536=Options!$B$9,C536=Options!$B$10),75%,100%)-IF(C536=DATE(2026,11,29),26+IF(Options!$B$8="是",23,0),0)-IF(C536=DATE(2026,11,30),26,0)-IF(C536=DATE(2026,12,1),64,0)-IF(C536=DATE(2026,11,28),38,0)-IF(C536=DATE(2026,12,2),26,0)))</f>
        <v/>
      </c>
      <c r="I536" s="13">
        <f>IF(AND(C536&gt;=DATE(2026,11,29),C536&lt;=DATE(2026,12,1)),B536*60,0)</f>
        <v/>
      </c>
      <c r="J536" s="13">
        <f>IF(A536="",0,B536*(IF(C536=DATE(2026,11,28),38,0)+IF(C536=DATE(2026,12,1),38,0)+IF(C536=DATE(2026,12,2),26,0)))</f>
        <v/>
      </c>
      <c r="K536" s="13">
        <f>IF(C536=Options!$B$9,B536*12,0)</f>
        <v/>
      </c>
      <c r="L536" s="13">
        <f>IF(C536=Options!$B$9,B536*Options!$Z$5,0)</f>
        <v/>
      </c>
      <c r="M536" s="13" t="n">
        <v>0</v>
      </c>
      <c r="N536" s="13">
        <f>SUM(E536:M536)</f>
        <v/>
      </c>
    </row>
    <row r="537">
      <c r="A537" s="5">
        <f>IF(AND(C537&gt;=Options!$B$9,C537&lt;=Options!$B$10),"Chicago","")</f>
        <v/>
      </c>
      <c r="B537" s="5">
        <f>IF(A537="","",24)</f>
        <v/>
      </c>
      <c r="C537" s="17" t="n">
        <v>46463</v>
      </c>
      <c r="D537" s="5">
        <f>IF(A537="","",IF(C537=DATE(2026,11,29),"培训；注册午餐；早餐参数",IF(C537=DATE(2026,11,30),"培训；注册午餐",IF(C537=DATE(2026,12,1),"培训；注册午餐；机构晚餐",IF(C537=Options!$B$9,"抵达；"&amp;IF(C537=DATE(2026,11,28),"机构晚餐","无统一供餐"),IF(C537=Options!$B$10,"返程；"&amp;IF(C537=DATE(2026,12,2),"机构午餐","无统一供餐"),"差旅状态；无统一日程"))))))</f>
        <v/>
      </c>
      <c r="E537" s="13">
        <f>IF(C537=Options!$B$9,Options!$C$15,0)</f>
        <v/>
      </c>
      <c r="F537" s="13">
        <f>IF(AND(A537&lt;&gt;"",C537&lt;Options!$B$10),B537*Options!$X$5,0)</f>
        <v/>
      </c>
      <c r="G537" s="13">
        <f>F537*12%</f>
        <v/>
      </c>
      <c r="H537" s="13">
        <f>IF(A537="",0,B537*(92*IF(OR(C537=Options!$B$9,C537=Options!$B$10),75%,100%)-IF(C537=DATE(2026,11,29),26+IF(Options!$B$8="是",23,0),0)-IF(C537=DATE(2026,11,30),26,0)-IF(C537=DATE(2026,12,1),64,0)-IF(C537=DATE(2026,11,28),38,0)-IF(C537=DATE(2026,12,2),26,0)))</f>
        <v/>
      </c>
      <c r="I537" s="13">
        <f>IF(AND(C537&gt;=DATE(2026,11,29),C537&lt;=DATE(2026,12,1)),B537*60,0)</f>
        <v/>
      </c>
      <c r="J537" s="13">
        <f>IF(A537="",0,B537*(IF(C537=DATE(2026,11,28),38,0)+IF(C537=DATE(2026,12,1),38,0)+IF(C537=DATE(2026,12,2),26,0)))</f>
        <v/>
      </c>
      <c r="K537" s="13">
        <f>IF(C537=Options!$B$9,B537*12,0)</f>
        <v/>
      </c>
      <c r="L537" s="13">
        <f>IF(C537=Options!$B$9,B537*Options!$Z$5,0)</f>
        <v/>
      </c>
      <c r="M537" s="13" t="n">
        <v>0</v>
      </c>
      <c r="N537" s="13">
        <f>SUM(E537:M537)</f>
        <v/>
      </c>
    </row>
    <row r="538">
      <c r="A538" s="5">
        <f>IF(AND(C538&gt;=Options!$B$9,C538&lt;=Options!$B$10),"Chicago","")</f>
        <v/>
      </c>
      <c r="B538" s="5">
        <f>IF(A538="","",24)</f>
        <v/>
      </c>
      <c r="C538" s="17" t="n">
        <v>46464</v>
      </c>
      <c r="D538" s="5">
        <f>IF(A538="","",IF(C538=DATE(2026,11,29),"培训；注册午餐；早餐参数",IF(C538=DATE(2026,11,30),"培训；注册午餐",IF(C538=DATE(2026,12,1),"培训；注册午餐；机构晚餐",IF(C538=Options!$B$9,"抵达；"&amp;IF(C538=DATE(2026,11,28),"机构晚餐","无统一供餐"),IF(C538=Options!$B$10,"返程；"&amp;IF(C538=DATE(2026,12,2),"机构午餐","无统一供餐"),"差旅状态；无统一日程"))))))</f>
        <v/>
      </c>
      <c r="E538" s="13">
        <f>IF(C538=Options!$B$9,Options!$C$15,0)</f>
        <v/>
      </c>
      <c r="F538" s="13">
        <f>IF(AND(A538&lt;&gt;"",C538&lt;Options!$B$10),B538*Options!$X$5,0)</f>
        <v/>
      </c>
      <c r="G538" s="13">
        <f>F538*12%</f>
        <v/>
      </c>
      <c r="H538" s="13">
        <f>IF(A538="",0,B538*(92*IF(OR(C538=Options!$B$9,C538=Options!$B$10),75%,100%)-IF(C538=DATE(2026,11,29),26+IF(Options!$B$8="是",23,0),0)-IF(C538=DATE(2026,11,30),26,0)-IF(C538=DATE(2026,12,1),64,0)-IF(C538=DATE(2026,11,28),38,0)-IF(C538=DATE(2026,12,2),26,0)))</f>
        <v/>
      </c>
      <c r="I538" s="13">
        <f>IF(AND(C538&gt;=DATE(2026,11,29),C538&lt;=DATE(2026,12,1)),B538*60,0)</f>
        <v/>
      </c>
      <c r="J538" s="13">
        <f>IF(A538="",0,B538*(IF(C538=DATE(2026,11,28),38,0)+IF(C538=DATE(2026,12,1),38,0)+IF(C538=DATE(2026,12,2),26,0)))</f>
        <v/>
      </c>
      <c r="K538" s="13">
        <f>IF(C538=Options!$B$9,B538*12,0)</f>
        <v/>
      </c>
      <c r="L538" s="13">
        <f>IF(C538=Options!$B$9,B538*Options!$Z$5,0)</f>
        <v/>
      </c>
      <c r="M538" s="13" t="n">
        <v>0</v>
      </c>
      <c r="N538" s="13">
        <f>SUM(E538:M538)</f>
        <v/>
      </c>
    </row>
    <row r="539">
      <c r="A539" s="5">
        <f>IF(AND(C539&gt;=Options!$B$9,C539&lt;=Options!$B$10),"Chicago","")</f>
        <v/>
      </c>
      <c r="B539" s="5">
        <f>IF(A539="","",24)</f>
        <v/>
      </c>
      <c r="C539" s="17" t="n">
        <v>46465</v>
      </c>
      <c r="D539" s="5">
        <f>IF(A539="","",IF(C539=DATE(2026,11,29),"培训；注册午餐；早餐参数",IF(C539=DATE(2026,11,30),"培训；注册午餐",IF(C539=DATE(2026,12,1),"培训；注册午餐；机构晚餐",IF(C539=Options!$B$9,"抵达；"&amp;IF(C539=DATE(2026,11,28),"机构晚餐","无统一供餐"),IF(C539=Options!$B$10,"返程；"&amp;IF(C539=DATE(2026,12,2),"机构午餐","无统一供餐"),"差旅状态；无统一日程"))))))</f>
        <v/>
      </c>
      <c r="E539" s="13">
        <f>IF(C539=Options!$B$9,Options!$C$15,0)</f>
        <v/>
      </c>
      <c r="F539" s="13">
        <f>IF(AND(A539&lt;&gt;"",C539&lt;Options!$B$10),B539*Options!$X$5,0)</f>
        <v/>
      </c>
      <c r="G539" s="13">
        <f>F539*12%</f>
        <v/>
      </c>
      <c r="H539" s="13">
        <f>IF(A539="",0,B539*(92*IF(OR(C539=Options!$B$9,C539=Options!$B$10),75%,100%)-IF(C539=DATE(2026,11,29),26+IF(Options!$B$8="是",23,0),0)-IF(C539=DATE(2026,11,30),26,0)-IF(C539=DATE(2026,12,1),64,0)-IF(C539=DATE(2026,11,28),38,0)-IF(C539=DATE(2026,12,2),26,0)))</f>
        <v/>
      </c>
      <c r="I539" s="13">
        <f>IF(AND(C539&gt;=DATE(2026,11,29),C539&lt;=DATE(2026,12,1)),B539*60,0)</f>
        <v/>
      </c>
      <c r="J539" s="13">
        <f>IF(A539="",0,B539*(IF(C539=DATE(2026,11,28),38,0)+IF(C539=DATE(2026,12,1),38,0)+IF(C539=DATE(2026,12,2),26,0)))</f>
        <v/>
      </c>
      <c r="K539" s="13">
        <f>IF(C539=Options!$B$9,B539*12,0)</f>
        <v/>
      </c>
      <c r="L539" s="13">
        <f>IF(C539=Options!$B$9,B539*Options!$Z$5,0)</f>
        <v/>
      </c>
      <c r="M539" s="13" t="n">
        <v>0</v>
      </c>
      <c r="N539" s="13">
        <f>SUM(E539:M539)</f>
        <v/>
      </c>
    </row>
    <row r="540">
      <c r="A540" s="5">
        <f>IF(AND(C540&gt;=Options!$B$9,C540&lt;=Options!$B$10),"Chicago","")</f>
        <v/>
      </c>
      <c r="B540" s="5">
        <f>IF(A540="","",24)</f>
        <v/>
      </c>
      <c r="C540" s="17" t="n">
        <v>46466</v>
      </c>
      <c r="D540" s="5">
        <f>IF(A540="","",IF(C540=DATE(2026,11,29),"培训；注册午餐；早餐参数",IF(C540=DATE(2026,11,30),"培训；注册午餐",IF(C540=DATE(2026,12,1),"培训；注册午餐；机构晚餐",IF(C540=Options!$B$9,"抵达；"&amp;IF(C540=DATE(2026,11,28),"机构晚餐","无统一供餐"),IF(C540=Options!$B$10,"返程；"&amp;IF(C540=DATE(2026,12,2),"机构午餐","无统一供餐"),"差旅状态；无统一日程"))))))</f>
        <v/>
      </c>
      <c r="E540" s="13">
        <f>IF(C540=Options!$B$9,Options!$C$15,0)</f>
        <v/>
      </c>
      <c r="F540" s="13">
        <f>IF(AND(A540&lt;&gt;"",C540&lt;Options!$B$10),B540*Options!$X$5,0)</f>
        <v/>
      </c>
      <c r="G540" s="13">
        <f>F540*12%</f>
        <v/>
      </c>
      <c r="H540" s="13">
        <f>IF(A540="",0,B540*(92*IF(OR(C540=Options!$B$9,C540=Options!$B$10),75%,100%)-IF(C540=DATE(2026,11,29),26+IF(Options!$B$8="是",23,0),0)-IF(C540=DATE(2026,11,30),26,0)-IF(C540=DATE(2026,12,1),64,0)-IF(C540=DATE(2026,11,28),38,0)-IF(C540=DATE(2026,12,2),26,0)))</f>
        <v/>
      </c>
      <c r="I540" s="13">
        <f>IF(AND(C540&gt;=DATE(2026,11,29),C540&lt;=DATE(2026,12,1)),B540*60,0)</f>
        <v/>
      </c>
      <c r="J540" s="13">
        <f>IF(A540="",0,B540*(IF(C540=DATE(2026,11,28),38,0)+IF(C540=DATE(2026,12,1),38,0)+IF(C540=DATE(2026,12,2),26,0)))</f>
        <v/>
      </c>
      <c r="K540" s="13">
        <f>IF(C540=Options!$B$9,B540*12,0)</f>
        <v/>
      </c>
      <c r="L540" s="13">
        <f>IF(C540=Options!$B$9,B540*Options!$Z$5,0)</f>
        <v/>
      </c>
      <c r="M540" s="13" t="n">
        <v>0</v>
      </c>
      <c r="N540" s="13">
        <f>SUM(E540:M540)</f>
        <v/>
      </c>
    </row>
    <row r="541">
      <c r="A541" s="5">
        <f>IF(AND(C541&gt;=Options!$B$9,C541&lt;=Options!$B$10),"Chicago","")</f>
        <v/>
      </c>
      <c r="B541" s="5">
        <f>IF(A541="","",24)</f>
        <v/>
      </c>
      <c r="C541" s="17" t="n">
        <v>46467</v>
      </c>
      <c r="D541" s="5">
        <f>IF(A541="","",IF(C541=DATE(2026,11,29),"培训；注册午餐；早餐参数",IF(C541=DATE(2026,11,30),"培训；注册午餐",IF(C541=DATE(2026,12,1),"培训；注册午餐；机构晚餐",IF(C541=Options!$B$9,"抵达；"&amp;IF(C541=DATE(2026,11,28),"机构晚餐","无统一供餐"),IF(C541=Options!$B$10,"返程；"&amp;IF(C541=DATE(2026,12,2),"机构午餐","无统一供餐"),"差旅状态；无统一日程"))))))</f>
        <v/>
      </c>
      <c r="E541" s="13">
        <f>IF(C541=Options!$B$9,Options!$C$15,0)</f>
        <v/>
      </c>
      <c r="F541" s="13">
        <f>IF(AND(A541&lt;&gt;"",C541&lt;Options!$B$10),B541*Options!$X$5,0)</f>
        <v/>
      </c>
      <c r="G541" s="13">
        <f>F541*12%</f>
        <v/>
      </c>
      <c r="H541" s="13">
        <f>IF(A541="",0,B541*(92*IF(OR(C541=Options!$B$9,C541=Options!$B$10),75%,100%)-IF(C541=DATE(2026,11,29),26+IF(Options!$B$8="是",23,0),0)-IF(C541=DATE(2026,11,30),26,0)-IF(C541=DATE(2026,12,1),64,0)-IF(C541=DATE(2026,11,28),38,0)-IF(C541=DATE(2026,12,2),26,0)))</f>
        <v/>
      </c>
      <c r="I541" s="13">
        <f>IF(AND(C541&gt;=DATE(2026,11,29),C541&lt;=DATE(2026,12,1)),B541*60,0)</f>
        <v/>
      </c>
      <c r="J541" s="13">
        <f>IF(A541="",0,B541*(IF(C541=DATE(2026,11,28),38,0)+IF(C541=DATE(2026,12,1),38,0)+IF(C541=DATE(2026,12,2),26,0)))</f>
        <v/>
      </c>
      <c r="K541" s="13">
        <f>IF(C541=Options!$B$9,B541*12,0)</f>
        <v/>
      </c>
      <c r="L541" s="13">
        <f>IF(C541=Options!$B$9,B541*Options!$Z$5,0)</f>
        <v/>
      </c>
      <c r="M541" s="13" t="n">
        <v>0</v>
      </c>
      <c r="N541" s="13">
        <f>SUM(E541:M541)</f>
        <v/>
      </c>
    </row>
    <row r="542">
      <c r="A542" s="5">
        <f>IF(AND(C542&gt;=Options!$B$9,C542&lt;=Options!$B$10),"Chicago","")</f>
        <v/>
      </c>
      <c r="B542" s="5">
        <f>IF(A542="","",24)</f>
        <v/>
      </c>
      <c r="C542" s="17" t="n">
        <v>46468</v>
      </c>
      <c r="D542" s="5">
        <f>IF(A542="","",IF(C542=DATE(2026,11,29),"培训；注册午餐；早餐参数",IF(C542=DATE(2026,11,30),"培训；注册午餐",IF(C542=DATE(2026,12,1),"培训；注册午餐；机构晚餐",IF(C542=Options!$B$9,"抵达；"&amp;IF(C542=DATE(2026,11,28),"机构晚餐","无统一供餐"),IF(C542=Options!$B$10,"返程；"&amp;IF(C542=DATE(2026,12,2),"机构午餐","无统一供餐"),"差旅状态；无统一日程"))))))</f>
        <v/>
      </c>
      <c r="E542" s="13">
        <f>IF(C542=Options!$B$9,Options!$C$15,0)</f>
        <v/>
      </c>
      <c r="F542" s="13">
        <f>IF(AND(A542&lt;&gt;"",C542&lt;Options!$B$10),B542*Options!$X$5,0)</f>
        <v/>
      </c>
      <c r="G542" s="13">
        <f>F542*12%</f>
        <v/>
      </c>
      <c r="H542" s="13">
        <f>IF(A542="",0,B542*(92*IF(OR(C542=Options!$B$9,C542=Options!$B$10),75%,100%)-IF(C542=DATE(2026,11,29),26+IF(Options!$B$8="是",23,0),0)-IF(C542=DATE(2026,11,30),26,0)-IF(C542=DATE(2026,12,1),64,0)-IF(C542=DATE(2026,11,28),38,0)-IF(C542=DATE(2026,12,2),26,0)))</f>
        <v/>
      </c>
      <c r="I542" s="13">
        <f>IF(AND(C542&gt;=DATE(2026,11,29),C542&lt;=DATE(2026,12,1)),B542*60,0)</f>
        <v/>
      </c>
      <c r="J542" s="13">
        <f>IF(A542="",0,B542*(IF(C542=DATE(2026,11,28),38,0)+IF(C542=DATE(2026,12,1),38,0)+IF(C542=DATE(2026,12,2),26,0)))</f>
        <v/>
      </c>
      <c r="K542" s="13">
        <f>IF(C542=Options!$B$9,B542*12,0)</f>
        <v/>
      </c>
      <c r="L542" s="13">
        <f>IF(C542=Options!$B$9,B542*Options!$Z$5,0)</f>
        <v/>
      </c>
      <c r="M542" s="13" t="n">
        <v>0</v>
      </c>
      <c r="N542" s="13">
        <f>SUM(E542:M542)</f>
        <v/>
      </c>
    </row>
    <row r="543">
      <c r="A543" s="5">
        <f>IF(AND(C543&gt;=Options!$B$9,C543&lt;=Options!$B$10),"Chicago","")</f>
        <v/>
      </c>
      <c r="B543" s="5">
        <f>IF(A543="","",24)</f>
        <v/>
      </c>
      <c r="C543" s="17" t="n">
        <v>46469</v>
      </c>
      <c r="D543" s="5">
        <f>IF(A543="","",IF(C543=DATE(2026,11,29),"培训；注册午餐；早餐参数",IF(C543=DATE(2026,11,30),"培训；注册午餐",IF(C543=DATE(2026,12,1),"培训；注册午餐；机构晚餐",IF(C543=Options!$B$9,"抵达；"&amp;IF(C543=DATE(2026,11,28),"机构晚餐","无统一供餐"),IF(C543=Options!$B$10,"返程；"&amp;IF(C543=DATE(2026,12,2),"机构午餐","无统一供餐"),"差旅状态；无统一日程"))))))</f>
        <v/>
      </c>
      <c r="E543" s="13">
        <f>IF(C543=Options!$B$9,Options!$C$15,0)</f>
        <v/>
      </c>
      <c r="F543" s="13">
        <f>IF(AND(A543&lt;&gt;"",C543&lt;Options!$B$10),B543*Options!$X$5,0)</f>
        <v/>
      </c>
      <c r="G543" s="13">
        <f>F543*12%</f>
        <v/>
      </c>
      <c r="H543" s="13">
        <f>IF(A543="",0,B543*(92*IF(OR(C543=Options!$B$9,C543=Options!$B$10),75%,100%)-IF(C543=DATE(2026,11,29),26+IF(Options!$B$8="是",23,0),0)-IF(C543=DATE(2026,11,30),26,0)-IF(C543=DATE(2026,12,1),64,0)-IF(C543=DATE(2026,11,28),38,0)-IF(C543=DATE(2026,12,2),26,0)))</f>
        <v/>
      </c>
      <c r="I543" s="13">
        <f>IF(AND(C543&gt;=DATE(2026,11,29),C543&lt;=DATE(2026,12,1)),B543*60,0)</f>
        <v/>
      </c>
      <c r="J543" s="13">
        <f>IF(A543="",0,B543*(IF(C543=DATE(2026,11,28),38,0)+IF(C543=DATE(2026,12,1),38,0)+IF(C543=DATE(2026,12,2),26,0)))</f>
        <v/>
      </c>
      <c r="K543" s="13">
        <f>IF(C543=Options!$B$9,B543*12,0)</f>
        <v/>
      </c>
      <c r="L543" s="13">
        <f>IF(C543=Options!$B$9,B543*Options!$Z$5,0)</f>
        <v/>
      </c>
      <c r="M543" s="13" t="n">
        <v>0</v>
      </c>
      <c r="N543" s="13">
        <f>SUM(E543:M543)</f>
        <v/>
      </c>
    </row>
    <row r="544">
      <c r="A544" s="5">
        <f>IF(AND(C544&gt;=Options!$B$9,C544&lt;=Options!$B$10),"Chicago","")</f>
        <v/>
      </c>
      <c r="B544" s="5">
        <f>IF(A544="","",24)</f>
        <v/>
      </c>
      <c r="C544" s="17" t="n">
        <v>46470</v>
      </c>
      <c r="D544" s="5">
        <f>IF(A544="","",IF(C544=DATE(2026,11,29),"培训；注册午餐；早餐参数",IF(C544=DATE(2026,11,30),"培训；注册午餐",IF(C544=DATE(2026,12,1),"培训；注册午餐；机构晚餐",IF(C544=Options!$B$9,"抵达；"&amp;IF(C544=DATE(2026,11,28),"机构晚餐","无统一供餐"),IF(C544=Options!$B$10,"返程；"&amp;IF(C544=DATE(2026,12,2),"机构午餐","无统一供餐"),"差旅状态；无统一日程"))))))</f>
        <v/>
      </c>
      <c r="E544" s="13">
        <f>IF(C544=Options!$B$9,Options!$C$15,0)</f>
        <v/>
      </c>
      <c r="F544" s="13">
        <f>IF(AND(A544&lt;&gt;"",C544&lt;Options!$B$10),B544*Options!$X$5,0)</f>
        <v/>
      </c>
      <c r="G544" s="13">
        <f>F544*12%</f>
        <v/>
      </c>
      <c r="H544" s="13">
        <f>IF(A544="",0,B544*(92*IF(OR(C544=Options!$B$9,C544=Options!$B$10),75%,100%)-IF(C544=DATE(2026,11,29),26+IF(Options!$B$8="是",23,0),0)-IF(C544=DATE(2026,11,30),26,0)-IF(C544=DATE(2026,12,1),64,0)-IF(C544=DATE(2026,11,28),38,0)-IF(C544=DATE(2026,12,2),26,0)))</f>
        <v/>
      </c>
      <c r="I544" s="13">
        <f>IF(AND(C544&gt;=DATE(2026,11,29),C544&lt;=DATE(2026,12,1)),B544*60,0)</f>
        <v/>
      </c>
      <c r="J544" s="13">
        <f>IF(A544="",0,B544*(IF(C544=DATE(2026,11,28),38,0)+IF(C544=DATE(2026,12,1),38,0)+IF(C544=DATE(2026,12,2),26,0)))</f>
        <v/>
      </c>
      <c r="K544" s="13">
        <f>IF(C544=Options!$B$9,B544*12,0)</f>
        <v/>
      </c>
      <c r="L544" s="13">
        <f>IF(C544=Options!$B$9,B544*Options!$Z$5,0)</f>
        <v/>
      </c>
      <c r="M544" s="13" t="n">
        <v>0</v>
      </c>
      <c r="N544" s="13">
        <f>SUM(E544:M544)</f>
        <v/>
      </c>
    </row>
    <row r="545">
      <c r="A545" s="5">
        <f>IF(AND(C545&gt;=Options!$B$9,C545&lt;=Options!$B$10),"Chicago","")</f>
        <v/>
      </c>
      <c r="B545" s="5">
        <f>IF(A545="","",24)</f>
        <v/>
      </c>
      <c r="C545" s="17" t="n">
        <v>46471</v>
      </c>
      <c r="D545" s="5">
        <f>IF(A545="","",IF(C545=DATE(2026,11,29),"培训；注册午餐；早餐参数",IF(C545=DATE(2026,11,30),"培训；注册午餐",IF(C545=DATE(2026,12,1),"培训；注册午餐；机构晚餐",IF(C545=Options!$B$9,"抵达；"&amp;IF(C545=DATE(2026,11,28),"机构晚餐","无统一供餐"),IF(C545=Options!$B$10,"返程；"&amp;IF(C545=DATE(2026,12,2),"机构午餐","无统一供餐"),"差旅状态；无统一日程"))))))</f>
        <v/>
      </c>
      <c r="E545" s="13">
        <f>IF(C545=Options!$B$9,Options!$C$15,0)</f>
        <v/>
      </c>
      <c r="F545" s="13">
        <f>IF(AND(A545&lt;&gt;"",C545&lt;Options!$B$10),B545*Options!$X$5,0)</f>
        <v/>
      </c>
      <c r="G545" s="13">
        <f>F545*12%</f>
        <v/>
      </c>
      <c r="H545" s="13">
        <f>IF(A545="",0,B545*(92*IF(OR(C545=Options!$B$9,C545=Options!$B$10),75%,100%)-IF(C545=DATE(2026,11,29),26+IF(Options!$B$8="是",23,0),0)-IF(C545=DATE(2026,11,30),26,0)-IF(C545=DATE(2026,12,1),64,0)-IF(C545=DATE(2026,11,28),38,0)-IF(C545=DATE(2026,12,2),26,0)))</f>
        <v/>
      </c>
      <c r="I545" s="13">
        <f>IF(AND(C545&gt;=DATE(2026,11,29),C545&lt;=DATE(2026,12,1)),B545*60,0)</f>
        <v/>
      </c>
      <c r="J545" s="13">
        <f>IF(A545="",0,B545*(IF(C545=DATE(2026,11,28),38,0)+IF(C545=DATE(2026,12,1),38,0)+IF(C545=DATE(2026,12,2),26,0)))</f>
        <v/>
      </c>
      <c r="K545" s="13">
        <f>IF(C545=Options!$B$9,B545*12,0)</f>
        <v/>
      </c>
      <c r="L545" s="13">
        <f>IF(C545=Options!$B$9,B545*Options!$Z$5,0)</f>
        <v/>
      </c>
      <c r="M545" s="13" t="n">
        <v>0</v>
      </c>
      <c r="N545" s="13">
        <f>SUM(E545:M545)</f>
        <v/>
      </c>
    </row>
    <row r="546">
      <c r="A546" s="5">
        <f>IF(AND(C546&gt;=Options!$B$9,C546&lt;=Options!$B$10),"Chicago","")</f>
        <v/>
      </c>
      <c r="B546" s="5">
        <f>IF(A546="","",24)</f>
        <v/>
      </c>
      <c r="C546" s="17" t="n">
        <v>46472</v>
      </c>
      <c r="D546" s="5">
        <f>IF(A546="","",IF(C546=DATE(2026,11,29),"培训；注册午餐；早餐参数",IF(C546=DATE(2026,11,30),"培训；注册午餐",IF(C546=DATE(2026,12,1),"培训；注册午餐；机构晚餐",IF(C546=Options!$B$9,"抵达；"&amp;IF(C546=DATE(2026,11,28),"机构晚餐","无统一供餐"),IF(C546=Options!$B$10,"返程；"&amp;IF(C546=DATE(2026,12,2),"机构午餐","无统一供餐"),"差旅状态；无统一日程"))))))</f>
        <v/>
      </c>
      <c r="E546" s="13">
        <f>IF(C546=Options!$B$9,Options!$C$15,0)</f>
        <v/>
      </c>
      <c r="F546" s="13">
        <f>IF(AND(A546&lt;&gt;"",C546&lt;Options!$B$10),B546*Options!$X$5,0)</f>
        <v/>
      </c>
      <c r="G546" s="13">
        <f>F546*12%</f>
        <v/>
      </c>
      <c r="H546" s="13">
        <f>IF(A546="",0,B546*(92*IF(OR(C546=Options!$B$9,C546=Options!$B$10),75%,100%)-IF(C546=DATE(2026,11,29),26+IF(Options!$B$8="是",23,0),0)-IF(C546=DATE(2026,11,30),26,0)-IF(C546=DATE(2026,12,1),64,0)-IF(C546=DATE(2026,11,28),38,0)-IF(C546=DATE(2026,12,2),26,0)))</f>
        <v/>
      </c>
      <c r="I546" s="13">
        <f>IF(AND(C546&gt;=DATE(2026,11,29),C546&lt;=DATE(2026,12,1)),B546*60,0)</f>
        <v/>
      </c>
      <c r="J546" s="13">
        <f>IF(A546="",0,B546*(IF(C546=DATE(2026,11,28),38,0)+IF(C546=DATE(2026,12,1),38,0)+IF(C546=DATE(2026,12,2),26,0)))</f>
        <v/>
      </c>
      <c r="K546" s="13">
        <f>IF(C546=Options!$B$9,B546*12,0)</f>
        <v/>
      </c>
      <c r="L546" s="13">
        <f>IF(C546=Options!$B$9,B546*Options!$Z$5,0)</f>
        <v/>
      </c>
      <c r="M546" s="13" t="n">
        <v>0</v>
      </c>
      <c r="N546" s="13">
        <f>SUM(E546:M546)</f>
        <v/>
      </c>
    </row>
    <row r="547">
      <c r="A547" s="5">
        <f>IF(AND(C547&gt;=Options!$B$9,C547&lt;=Options!$B$10),"Chicago","")</f>
        <v/>
      </c>
      <c r="B547" s="5">
        <f>IF(A547="","",24)</f>
        <v/>
      </c>
      <c r="C547" s="17" t="n">
        <v>46473</v>
      </c>
      <c r="D547" s="5">
        <f>IF(A547="","",IF(C547=DATE(2026,11,29),"培训；注册午餐；早餐参数",IF(C547=DATE(2026,11,30),"培训；注册午餐",IF(C547=DATE(2026,12,1),"培训；注册午餐；机构晚餐",IF(C547=Options!$B$9,"抵达；"&amp;IF(C547=DATE(2026,11,28),"机构晚餐","无统一供餐"),IF(C547=Options!$B$10,"返程；"&amp;IF(C547=DATE(2026,12,2),"机构午餐","无统一供餐"),"差旅状态；无统一日程"))))))</f>
        <v/>
      </c>
      <c r="E547" s="13">
        <f>IF(C547=Options!$B$9,Options!$C$15,0)</f>
        <v/>
      </c>
      <c r="F547" s="13">
        <f>IF(AND(A547&lt;&gt;"",C547&lt;Options!$B$10),B547*Options!$X$5,0)</f>
        <v/>
      </c>
      <c r="G547" s="13">
        <f>F547*12%</f>
        <v/>
      </c>
      <c r="H547" s="13">
        <f>IF(A547="",0,B547*(92*IF(OR(C547=Options!$B$9,C547=Options!$B$10),75%,100%)-IF(C547=DATE(2026,11,29),26+IF(Options!$B$8="是",23,0),0)-IF(C547=DATE(2026,11,30),26,0)-IF(C547=DATE(2026,12,1),64,0)-IF(C547=DATE(2026,11,28),38,0)-IF(C547=DATE(2026,12,2),26,0)))</f>
        <v/>
      </c>
      <c r="I547" s="13">
        <f>IF(AND(C547&gt;=DATE(2026,11,29),C547&lt;=DATE(2026,12,1)),B547*60,0)</f>
        <v/>
      </c>
      <c r="J547" s="13">
        <f>IF(A547="",0,B547*(IF(C547=DATE(2026,11,28),38,0)+IF(C547=DATE(2026,12,1),38,0)+IF(C547=DATE(2026,12,2),26,0)))</f>
        <v/>
      </c>
      <c r="K547" s="13">
        <f>IF(C547=Options!$B$9,B547*12,0)</f>
        <v/>
      </c>
      <c r="L547" s="13">
        <f>IF(C547=Options!$B$9,B547*Options!$Z$5,0)</f>
        <v/>
      </c>
      <c r="M547" s="13" t="n">
        <v>0</v>
      </c>
      <c r="N547" s="13">
        <f>SUM(E547:M547)</f>
        <v/>
      </c>
    </row>
    <row r="548">
      <c r="A548" s="5">
        <f>IF(AND(C548&gt;=Options!$B$9,C548&lt;=Options!$B$10),"Chicago","")</f>
        <v/>
      </c>
      <c r="B548" s="5">
        <f>IF(A548="","",24)</f>
        <v/>
      </c>
      <c r="C548" s="17" t="n">
        <v>46474</v>
      </c>
      <c r="D548" s="5">
        <f>IF(A548="","",IF(C548=DATE(2026,11,29),"培训；注册午餐；早餐参数",IF(C548=DATE(2026,11,30),"培训；注册午餐",IF(C548=DATE(2026,12,1),"培训；注册午餐；机构晚餐",IF(C548=Options!$B$9,"抵达；"&amp;IF(C548=DATE(2026,11,28),"机构晚餐","无统一供餐"),IF(C548=Options!$B$10,"返程；"&amp;IF(C548=DATE(2026,12,2),"机构午餐","无统一供餐"),"差旅状态；无统一日程"))))))</f>
        <v/>
      </c>
      <c r="E548" s="13">
        <f>IF(C548=Options!$B$9,Options!$C$15,0)</f>
        <v/>
      </c>
      <c r="F548" s="13">
        <f>IF(AND(A548&lt;&gt;"",C548&lt;Options!$B$10),B548*Options!$X$5,0)</f>
        <v/>
      </c>
      <c r="G548" s="13">
        <f>F548*12%</f>
        <v/>
      </c>
      <c r="H548" s="13">
        <f>IF(A548="",0,B548*(92*IF(OR(C548=Options!$B$9,C548=Options!$B$10),75%,100%)-IF(C548=DATE(2026,11,29),26+IF(Options!$B$8="是",23,0),0)-IF(C548=DATE(2026,11,30),26,0)-IF(C548=DATE(2026,12,1),64,0)-IF(C548=DATE(2026,11,28),38,0)-IF(C548=DATE(2026,12,2),26,0)))</f>
        <v/>
      </c>
      <c r="I548" s="13">
        <f>IF(AND(C548&gt;=DATE(2026,11,29),C548&lt;=DATE(2026,12,1)),B548*60,0)</f>
        <v/>
      </c>
      <c r="J548" s="13">
        <f>IF(A548="",0,B548*(IF(C548=DATE(2026,11,28),38,0)+IF(C548=DATE(2026,12,1),38,0)+IF(C548=DATE(2026,12,2),26,0)))</f>
        <v/>
      </c>
      <c r="K548" s="13">
        <f>IF(C548=Options!$B$9,B548*12,0)</f>
        <v/>
      </c>
      <c r="L548" s="13">
        <f>IF(C548=Options!$B$9,B548*Options!$Z$5,0)</f>
        <v/>
      </c>
      <c r="M548" s="13" t="n">
        <v>0</v>
      </c>
      <c r="N548" s="13">
        <f>SUM(E548:M548)</f>
        <v/>
      </c>
    </row>
    <row r="549">
      <c r="A549" s="5">
        <f>IF(AND(C549&gt;=Options!$B$9,C549&lt;=Options!$B$10),"Chicago","")</f>
        <v/>
      </c>
      <c r="B549" s="5">
        <f>IF(A549="","",24)</f>
        <v/>
      </c>
      <c r="C549" s="17" t="n">
        <v>46475</v>
      </c>
      <c r="D549" s="5">
        <f>IF(A549="","",IF(C549=DATE(2026,11,29),"培训；注册午餐；早餐参数",IF(C549=DATE(2026,11,30),"培训；注册午餐",IF(C549=DATE(2026,12,1),"培训；注册午餐；机构晚餐",IF(C549=Options!$B$9,"抵达；"&amp;IF(C549=DATE(2026,11,28),"机构晚餐","无统一供餐"),IF(C549=Options!$B$10,"返程；"&amp;IF(C549=DATE(2026,12,2),"机构午餐","无统一供餐"),"差旅状态；无统一日程"))))))</f>
        <v/>
      </c>
      <c r="E549" s="13">
        <f>IF(C549=Options!$B$9,Options!$C$15,0)</f>
        <v/>
      </c>
      <c r="F549" s="13">
        <f>IF(AND(A549&lt;&gt;"",C549&lt;Options!$B$10),B549*Options!$X$5,0)</f>
        <v/>
      </c>
      <c r="G549" s="13">
        <f>F549*12%</f>
        <v/>
      </c>
      <c r="H549" s="13">
        <f>IF(A549="",0,B549*(92*IF(OR(C549=Options!$B$9,C549=Options!$B$10),75%,100%)-IF(C549=DATE(2026,11,29),26+IF(Options!$B$8="是",23,0),0)-IF(C549=DATE(2026,11,30),26,0)-IF(C549=DATE(2026,12,1),64,0)-IF(C549=DATE(2026,11,28),38,0)-IF(C549=DATE(2026,12,2),26,0)))</f>
        <v/>
      </c>
      <c r="I549" s="13">
        <f>IF(AND(C549&gt;=DATE(2026,11,29),C549&lt;=DATE(2026,12,1)),B549*60,0)</f>
        <v/>
      </c>
      <c r="J549" s="13">
        <f>IF(A549="",0,B549*(IF(C549=DATE(2026,11,28),38,0)+IF(C549=DATE(2026,12,1),38,0)+IF(C549=DATE(2026,12,2),26,0)))</f>
        <v/>
      </c>
      <c r="K549" s="13">
        <f>IF(C549=Options!$B$9,B549*12,0)</f>
        <v/>
      </c>
      <c r="L549" s="13">
        <f>IF(C549=Options!$B$9,B549*Options!$Z$5,0)</f>
        <v/>
      </c>
      <c r="M549" s="13" t="n">
        <v>0</v>
      </c>
      <c r="N549" s="13">
        <f>SUM(E549:M549)</f>
        <v/>
      </c>
    </row>
    <row r="550">
      <c r="A550" s="5">
        <f>IF(AND(C550&gt;=Options!$B$9,C550&lt;=Options!$B$10),"Chicago","")</f>
        <v/>
      </c>
      <c r="B550" s="5">
        <f>IF(A550="","",24)</f>
        <v/>
      </c>
      <c r="C550" s="17" t="n">
        <v>46476</v>
      </c>
      <c r="D550" s="5">
        <f>IF(A550="","",IF(C550=DATE(2026,11,29),"培训；注册午餐；早餐参数",IF(C550=DATE(2026,11,30),"培训；注册午餐",IF(C550=DATE(2026,12,1),"培训；注册午餐；机构晚餐",IF(C550=Options!$B$9,"抵达；"&amp;IF(C550=DATE(2026,11,28),"机构晚餐","无统一供餐"),IF(C550=Options!$B$10,"返程；"&amp;IF(C550=DATE(2026,12,2),"机构午餐","无统一供餐"),"差旅状态；无统一日程"))))))</f>
        <v/>
      </c>
      <c r="E550" s="13">
        <f>IF(C550=Options!$B$9,Options!$C$15,0)</f>
        <v/>
      </c>
      <c r="F550" s="13">
        <f>IF(AND(A550&lt;&gt;"",C550&lt;Options!$B$10),B550*Options!$X$5,0)</f>
        <v/>
      </c>
      <c r="G550" s="13">
        <f>F550*12%</f>
        <v/>
      </c>
      <c r="H550" s="13">
        <f>IF(A550="",0,B550*(92*IF(OR(C550=Options!$B$9,C550=Options!$B$10),75%,100%)-IF(C550=DATE(2026,11,29),26+IF(Options!$B$8="是",23,0),0)-IF(C550=DATE(2026,11,30),26,0)-IF(C550=DATE(2026,12,1),64,0)-IF(C550=DATE(2026,11,28),38,0)-IF(C550=DATE(2026,12,2),26,0)))</f>
        <v/>
      </c>
      <c r="I550" s="13">
        <f>IF(AND(C550&gt;=DATE(2026,11,29),C550&lt;=DATE(2026,12,1)),B550*60,0)</f>
        <v/>
      </c>
      <c r="J550" s="13">
        <f>IF(A550="",0,B550*(IF(C550=DATE(2026,11,28),38,0)+IF(C550=DATE(2026,12,1),38,0)+IF(C550=DATE(2026,12,2),26,0)))</f>
        <v/>
      </c>
      <c r="K550" s="13">
        <f>IF(C550=Options!$B$9,B550*12,0)</f>
        <v/>
      </c>
      <c r="L550" s="13">
        <f>IF(C550=Options!$B$9,B550*Options!$Z$5,0)</f>
        <v/>
      </c>
      <c r="M550" s="13" t="n">
        <v>0</v>
      </c>
      <c r="N550" s="13">
        <f>SUM(E550:M550)</f>
        <v/>
      </c>
    </row>
    <row r="551">
      <c r="A551" s="5">
        <f>IF(AND(C551&gt;=Options!$B$9,C551&lt;=Options!$B$10),"Chicago","")</f>
        <v/>
      </c>
      <c r="B551" s="5">
        <f>IF(A551="","",24)</f>
        <v/>
      </c>
      <c r="C551" s="17" t="n">
        <v>46477</v>
      </c>
      <c r="D551" s="5">
        <f>IF(A551="","",IF(C551=DATE(2026,11,29),"培训；注册午餐；早餐参数",IF(C551=DATE(2026,11,30),"培训；注册午餐",IF(C551=DATE(2026,12,1),"培训；注册午餐；机构晚餐",IF(C551=Options!$B$9,"抵达；"&amp;IF(C551=DATE(2026,11,28),"机构晚餐","无统一供餐"),IF(C551=Options!$B$10,"返程；"&amp;IF(C551=DATE(2026,12,2),"机构午餐","无统一供餐"),"差旅状态；无统一日程"))))))</f>
        <v/>
      </c>
      <c r="E551" s="13">
        <f>IF(C551=Options!$B$9,Options!$C$15,0)</f>
        <v/>
      </c>
      <c r="F551" s="13">
        <f>IF(AND(A551&lt;&gt;"",C551&lt;Options!$B$10),B551*Options!$X$5,0)</f>
        <v/>
      </c>
      <c r="G551" s="13">
        <f>F551*12%</f>
        <v/>
      </c>
      <c r="H551" s="13">
        <f>IF(A551="",0,B551*(92*IF(OR(C551=Options!$B$9,C551=Options!$B$10),75%,100%)-IF(C551=DATE(2026,11,29),26+IF(Options!$B$8="是",23,0),0)-IF(C551=DATE(2026,11,30),26,0)-IF(C551=DATE(2026,12,1),64,0)-IF(C551=DATE(2026,11,28),38,0)-IF(C551=DATE(2026,12,2),26,0)))</f>
        <v/>
      </c>
      <c r="I551" s="13">
        <f>IF(AND(C551&gt;=DATE(2026,11,29),C551&lt;=DATE(2026,12,1)),B551*60,0)</f>
        <v/>
      </c>
      <c r="J551" s="13">
        <f>IF(A551="",0,B551*(IF(C551=DATE(2026,11,28),38,0)+IF(C551=DATE(2026,12,1),38,0)+IF(C551=DATE(2026,12,2),26,0)))</f>
        <v/>
      </c>
      <c r="K551" s="13">
        <f>IF(C551=Options!$B$9,B551*12,0)</f>
        <v/>
      </c>
      <c r="L551" s="13">
        <f>IF(C551=Options!$B$9,B551*Options!$Z$5,0)</f>
        <v/>
      </c>
      <c r="M551" s="13" t="n">
        <v>0</v>
      </c>
      <c r="N551" s="13">
        <f>SUM(E551:M551)</f>
        <v/>
      </c>
    </row>
    <row r="552">
      <c r="A552" s="5">
        <f>IF(AND(C552&gt;=Options!$B$9,C552&lt;=Options!$B$10),"Chicago","")</f>
        <v/>
      </c>
      <c r="B552" s="5">
        <f>IF(A552="","",24)</f>
        <v/>
      </c>
      <c r="C552" s="17" t="n">
        <v>46478</v>
      </c>
      <c r="D552" s="5">
        <f>IF(A552="","",IF(C552=DATE(2026,11,29),"培训；注册午餐；早餐参数",IF(C552=DATE(2026,11,30),"培训；注册午餐",IF(C552=DATE(2026,12,1),"培训；注册午餐；机构晚餐",IF(C552=Options!$B$9,"抵达；"&amp;IF(C552=DATE(2026,11,28),"机构晚餐","无统一供餐"),IF(C552=Options!$B$10,"返程；"&amp;IF(C552=DATE(2026,12,2),"机构午餐","无统一供餐"),"差旅状态；无统一日程"))))))</f>
        <v/>
      </c>
      <c r="E552" s="13">
        <f>IF(C552=Options!$B$9,Options!$C$15,0)</f>
        <v/>
      </c>
      <c r="F552" s="13">
        <f>IF(AND(A552&lt;&gt;"",C552&lt;Options!$B$10),B552*Options!$X$5,0)</f>
        <v/>
      </c>
      <c r="G552" s="13">
        <f>F552*12%</f>
        <v/>
      </c>
      <c r="H552" s="13">
        <f>IF(A552="",0,B552*(92*IF(OR(C552=Options!$B$9,C552=Options!$B$10),75%,100%)-IF(C552=DATE(2026,11,29),26+IF(Options!$B$8="是",23,0),0)-IF(C552=DATE(2026,11,30),26,0)-IF(C552=DATE(2026,12,1),64,0)-IF(C552=DATE(2026,11,28),38,0)-IF(C552=DATE(2026,12,2),26,0)))</f>
        <v/>
      </c>
      <c r="I552" s="13">
        <f>IF(AND(C552&gt;=DATE(2026,11,29),C552&lt;=DATE(2026,12,1)),B552*60,0)</f>
        <v/>
      </c>
      <c r="J552" s="13">
        <f>IF(A552="",0,B552*(IF(C552=DATE(2026,11,28),38,0)+IF(C552=DATE(2026,12,1),38,0)+IF(C552=DATE(2026,12,2),26,0)))</f>
        <v/>
      </c>
      <c r="K552" s="13">
        <f>IF(C552=Options!$B$9,B552*12,0)</f>
        <v/>
      </c>
      <c r="L552" s="13">
        <f>IF(C552=Options!$B$9,B552*Options!$Z$5,0)</f>
        <v/>
      </c>
      <c r="M552" s="13" t="n">
        <v>0</v>
      </c>
      <c r="N552" s="13">
        <f>SUM(E552:M552)</f>
        <v/>
      </c>
    </row>
    <row r="553">
      <c r="A553" s="5">
        <f>IF(AND(C553&gt;=Options!$B$9,C553&lt;=Options!$B$10),"Chicago","")</f>
        <v/>
      </c>
      <c r="B553" s="5">
        <f>IF(A553="","",24)</f>
        <v/>
      </c>
      <c r="C553" s="17" t="n">
        <v>46479</v>
      </c>
      <c r="D553" s="5">
        <f>IF(A553="","",IF(C553=DATE(2026,11,29),"培训；注册午餐；早餐参数",IF(C553=DATE(2026,11,30),"培训；注册午餐",IF(C553=DATE(2026,12,1),"培训；注册午餐；机构晚餐",IF(C553=Options!$B$9,"抵达；"&amp;IF(C553=DATE(2026,11,28),"机构晚餐","无统一供餐"),IF(C553=Options!$B$10,"返程；"&amp;IF(C553=DATE(2026,12,2),"机构午餐","无统一供餐"),"差旅状态；无统一日程"))))))</f>
        <v/>
      </c>
      <c r="E553" s="13">
        <f>IF(C553=Options!$B$9,Options!$C$15,0)</f>
        <v/>
      </c>
      <c r="F553" s="13">
        <f>IF(AND(A553&lt;&gt;"",C553&lt;Options!$B$10),B553*Options!$X$5,0)</f>
        <v/>
      </c>
      <c r="G553" s="13">
        <f>F553*12%</f>
        <v/>
      </c>
      <c r="H553" s="13">
        <f>IF(A553="",0,B553*(92*IF(OR(C553=Options!$B$9,C553=Options!$B$10),75%,100%)-IF(C553=DATE(2026,11,29),26+IF(Options!$B$8="是",23,0),0)-IF(C553=DATE(2026,11,30),26,0)-IF(C553=DATE(2026,12,1),64,0)-IF(C553=DATE(2026,11,28),38,0)-IF(C553=DATE(2026,12,2),26,0)))</f>
        <v/>
      </c>
      <c r="I553" s="13">
        <f>IF(AND(C553&gt;=DATE(2026,11,29),C553&lt;=DATE(2026,12,1)),B553*60,0)</f>
        <v/>
      </c>
      <c r="J553" s="13">
        <f>IF(A553="",0,B553*(IF(C553=DATE(2026,11,28),38,0)+IF(C553=DATE(2026,12,1),38,0)+IF(C553=DATE(2026,12,2),26,0)))</f>
        <v/>
      </c>
      <c r="K553" s="13">
        <f>IF(C553=Options!$B$9,B553*12,0)</f>
        <v/>
      </c>
      <c r="L553" s="13">
        <f>IF(C553=Options!$B$9,B553*Options!$Z$5,0)</f>
        <v/>
      </c>
      <c r="M553" s="13" t="n">
        <v>0</v>
      </c>
      <c r="N553" s="13">
        <f>SUM(E553:M553)</f>
        <v/>
      </c>
    </row>
    <row r="554">
      <c r="A554" s="5">
        <f>IF(AND(C554&gt;=Options!$B$9,C554&lt;=Options!$B$10),"Chicago","")</f>
        <v/>
      </c>
      <c r="B554" s="5">
        <f>IF(A554="","",24)</f>
        <v/>
      </c>
      <c r="C554" s="17" t="n">
        <v>46480</v>
      </c>
      <c r="D554" s="5">
        <f>IF(A554="","",IF(C554=DATE(2026,11,29),"培训；注册午餐；早餐参数",IF(C554=DATE(2026,11,30),"培训；注册午餐",IF(C554=DATE(2026,12,1),"培训；注册午餐；机构晚餐",IF(C554=Options!$B$9,"抵达；"&amp;IF(C554=DATE(2026,11,28),"机构晚餐","无统一供餐"),IF(C554=Options!$B$10,"返程；"&amp;IF(C554=DATE(2026,12,2),"机构午餐","无统一供餐"),"差旅状态；无统一日程"))))))</f>
        <v/>
      </c>
      <c r="E554" s="13">
        <f>IF(C554=Options!$B$9,Options!$C$15,0)</f>
        <v/>
      </c>
      <c r="F554" s="13">
        <f>IF(AND(A554&lt;&gt;"",C554&lt;Options!$B$10),B554*Options!$X$5,0)</f>
        <v/>
      </c>
      <c r="G554" s="13">
        <f>F554*12%</f>
        <v/>
      </c>
      <c r="H554" s="13">
        <f>IF(A554="",0,B554*(92*IF(OR(C554=Options!$B$9,C554=Options!$B$10),75%,100%)-IF(C554=DATE(2026,11,29),26+IF(Options!$B$8="是",23,0),0)-IF(C554=DATE(2026,11,30),26,0)-IF(C554=DATE(2026,12,1),64,0)-IF(C554=DATE(2026,11,28),38,0)-IF(C554=DATE(2026,12,2),26,0)))</f>
        <v/>
      </c>
      <c r="I554" s="13">
        <f>IF(AND(C554&gt;=DATE(2026,11,29),C554&lt;=DATE(2026,12,1)),B554*60,0)</f>
        <v/>
      </c>
      <c r="J554" s="13">
        <f>IF(A554="",0,B554*(IF(C554=DATE(2026,11,28),38,0)+IF(C554=DATE(2026,12,1),38,0)+IF(C554=DATE(2026,12,2),26,0)))</f>
        <v/>
      </c>
      <c r="K554" s="13">
        <f>IF(C554=Options!$B$9,B554*12,0)</f>
        <v/>
      </c>
      <c r="L554" s="13">
        <f>IF(C554=Options!$B$9,B554*Options!$Z$5,0)</f>
        <v/>
      </c>
      <c r="M554" s="13" t="n">
        <v>0</v>
      </c>
      <c r="N554" s="13">
        <f>SUM(E554:M554)</f>
        <v/>
      </c>
    </row>
    <row r="555">
      <c r="A555" s="5">
        <f>IF(AND(C555&gt;=Options!$B$9,C555&lt;=Options!$B$10),"Chicago","")</f>
        <v/>
      </c>
      <c r="B555" s="5">
        <f>IF(A555="","",24)</f>
        <v/>
      </c>
      <c r="C555" s="17" t="n">
        <v>46481</v>
      </c>
      <c r="D555" s="5">
        <f>IF(A555="","",IF(C555=DATE(2026,11,29),"培训；注册午餐；早餐参数",IF(C555=DATE(2026,11,30),"培训；注册午餐",IF(C555=DATE(2026,12,1),"培训；注册午餐；机构晚餐",IF(C555=Options!$B$9,"抵达；"&amp;IF(C555=DATE(2026,11,28),"机构晚餐","无统一供餐"),IF(C555=Options!$B$10,"返程；"&amp;IF(C555=DATE(2026,12,2),"机构午餐","无统一供餐"),"差旅状态；无统一日程"))))))</f>
        <v/>
      </c>
      <c r="E555" s="13">
        <f>IF(C555=Options!$B$9,Options!$C$15,0)</f>
        <v/>
      </c>
      <c r="F555" s="13">
        <f>IF(AND(A555&lt;&gt;"",C555&lt;Options!$B$10),B555*Options!$X$5,0)</f>
        <v/>
      </c>
      <c r="G555" s="13">
        <f>F555*12%</f>
        <v/>
      </c>
      <c r="H555" s="13">
        <f>IF(A555="",0,B555*(92*IF(OR(C555=Options!$B$9,C555=Options!$B$10),75%,100%)-IF(C555=DATE(2026,11,29),26+IF(Options!$B$8="是",23,0),0)-IF(C555=DATE(2026,11,30),26,0)-IF(C555=DATE(2026,12,1),64,0)-IF(C555=DATE(2026,11,28),38,0)-IF(C555=DATE(2026,12,2),26,0)))</f>
        <v/>
      </c>
      <c r="I555" s="13">
        <f>IF(AND(C555&gt;=DATE(2026,11,29),C555&lt;=DATE(2026,12,1)),B555*60,0)</f>
        <v/>
      </c>
      <c r="J555" s="13">
        <f>IF(A555="",0,B555*(IF(C555=DATE(2026,11,28),38,0)+IF(C555=DATE(2026,12,1),38,0)+IF(C555=DATE(2026,12,2),26,0)))</f>
        <v/>
      </c>
      <c r="K555" s="13">
        <f>IF(C555=Options!$B$9,B555*12,0)</f>
        <v/>
      </c>
      <c r="L555" s="13">
        <f>IF(C555=Options!$B$9,B555*Options!$Z$5,0)</f>
        <v/>
      </c>
      <c r="M555" s="13" t="n">
        <v>0</v>
      </c>
      <c r="N555" s="13">
        <f>SUM(E555:M555)</f>
        <v/>
      </c>
    </row>
    <row r="556">
      <c r="A556" s="5">
        <f>IF(AND(C556&gt;=Options!$B$9,C556&lt;=Options!$B$10),"Chicago","")</f>
        <v/>
      </c>
      <c r="B556" s="5">
        <f>IF(A556="","",24)</f>
        <v/>
      </c>
      <c r="C556" s="17" t="n">
        <v>46482</v>
      </c>
      <c r="D556" s="5">
        <f>IF(A556="","",IF(C556=DATE(2026,11,29),"培训；注册午餐；早餐参数",IF(C556=DATE(2026,11,30),"培训；注册午餐",IF(C556=DATE(2026,12,1),"培训；注册午餐；机构晚餐",IF(C556=Options!$B$9,"抵达；"&amp;IF(C556=DATE(2026,11,28),"机构晚餐","无统一供餐"),IF(C556=Options!$B$10,"返程；"&amp;IF(C556=DATE(2026,12,2),"机构午餐","无统一供餐"),"差旅状态；无统一日程"))))))</f>
        <v/>
      </c>
      <c r="E556" s="13">
        <f>IF(C556=Options!$B$9,Options!$C$15,0)</f>
        <v/>
      </c>
      <c r="F556" s="13">
        <f>IF(AND(A556&lt;&gt;"",C556&lt;Options!$B$10),B556*Options!$X$5,0)</f>
        <v/>
      </c>
      <c r="G556" s="13">
        <f>F556*12%</f>
        <v/>
      </c>
      <c r="H556" s="13">
        <f>IF(A556="",0,B556*(92*IF(OR(C556=Options!$B$9,C556=Options!$B$10),75%,100%)-IF(C556=DATE(2026,11,29),26+IF(Options!$B$8="是",23,0),0)-IF(C556=DATE(2026,11,30),26,0)-IF(C556=DATE(2026,12,1),64,0)-IF(C556=DATE(2026,11,28),38,0)-IF(C556=DATE(2026,12,2),26,0)))</f>
        <v/>
      </c>
      <c r="I556" s="13">
        <f>IF(AND(C556&gt;=DATE(2026,11,29),C556&lt;=DATE(2026,12,1)),B556*60,0)</f>
        <v/>
      </c>
      <c r="J556" s="13">
        <f>IF(A556="",0,B556*(IF(C556=DATE(2026,11,28),38,0)+IF(C556=DATE(2026,12,1),38,0)+IF(C556=DATE(2026,12,2),26,0)))</f>
        <v/>
      </c>
      <c r="K556" s="13">
        <f>IF(C556=Options!$B$9,B556*12,0)</f>
        <v/>
      </c>
      <c r="L556" s="13">
        <f>IF(C556=Options!$B$9,B556*Options!$Z$5,0)</f>
        <v/>
      </c>
      <c r="M556" s="13" t="n">
        <v>0</v>
      </c>
      <c r="N556" s="13">
        <f>SUM(E556:M556)</f>
        <v/>
      </c>
    </row>
    <row r="557">
      <c r="A557" s="5">
        <f>IF(AND(C557&gt;=Options!$B$9,C557&lt;=Options!$B$10),"Chicago","")</f>
        <v/>
      </c>
      <c r="B557" s="5">
        <f>IF(A557="","",24)</f>
        <v/>
      </c>
      <c r="C557" s="17" t="n">
        <v>46483</v>
      </c>
      <c r="D557" s="5">
        <f>IF(A557="","",IF(C557=DATE(2026,11,29),"培训；注册午餐；早餐参数",IF(C557=DATE(2026,11,30),"培训；注册午餐",IF(C557=DATE(2026,12,1),"培训；注册午餐；机构晚餐",IF(C557=Options!$B$9,"抵达；"&amp;IF(C557=DATE(2026,11,28),"机构晚餐","无统一供餐"),IF(C557=Options!$B$10,"返程；"&amp;IF(C557=DATE(2026,12,2),"机构午餐","无统一供餐"),"差旅状态；无统一日程"))))))</f>
        <v/>
      </c>
      <c r="E557" s="13">
        <f>IF(C557=Options!$B$9,Options!$C$15,0)</f>
        <v/>
      </c>
      <c r="F557" s="13">
        <f>IF(AND(A557&lt;&gt;"",C557&lt;Options!$B$10),B557*Options!$X$5,0)</f>
        <v/>
      </c>
      <c r="G557" s="13">
        <f>F557*12%</f>
        <v/>
      </c>
      <c r="H557" s="13">
        <f>IF(A557="",0,B557*(92*IF(OR(C557=Options!$B$9,C557=Options!$B$10),75%,100%)-IF(C557=DATE(2026,11,29),26+IF(Options!$B$8="是",23,0),0)-IF(C557=DATE(2026,11,30),26,0)-IF(C557=DATE(2026,12,1),64,0)-IF(C557=DATE(2026,11,28),38,0)-IF(C557=DATE(2026,12,2),26,0)))</f>
        <v/>
      </c>
      <c r="I557" s="13">
        <f>IF(AND(C557&gt;=DATE(2026,11,29),C557&lt;=DATE(2026,12,1)),B557*60,0)</f>
        <v/>
      </c>
      <c r="J557" s="13">
        <f>IF(A557="",0,B557*(IF(C557=DATE(2026,11,28),38,0)+IF(C557=DATE(2026,12,1),38,0)+IF(C557=DATE(2026,12,2),26,0)))</f>
        <v/>
      </c>
      <c r="K557" s="13">
        <f>IF(C557=Options!$B$9,B557*12,0)</f>
        <v/>
      </c>
      <c r="L557" s="13">
        <f>IF(C557=Options!$B$9,B557*Options!$Z$5,0)</f>
        <v/>
      </c>
      <c r="M557" s="13" t="n">
        <v>0</v>
      </c>
      <c r="N557" s="13">
        <f>SUM(E557:M557)</f>
        <v/>
      </c>
    </row>
    <row r="558">
      <c r="A558" s="5">
        <f>IF(AND(C558&gt;=Options!$B$9,C558&lt;=Options!$B$10),"Chicago","")</f>
        <v/>
      </c>
      <c r="B558" s="5">
        <f>IF(A558="","",24)</f>
        <v/>
      </c>
      <c r="C558" s="17" t="n">
        <v>46484</v>
      </c>
      <c r="D558" s="5">
        <f>IF(A558="","",IF(C558=DATE(2026,11,29),"培训；注册午餐；早餐参数",IF(C558=DATE(2026,11,30),"培训；注册午餐",IF(C558=DATE(2026,12,1),"培训；注册午餐；机构晚餐",IF(C558=Options!$B$9,"抵达；"&amp;IF(C558=DATE(2026,11,28),"机构晚餐","无统一供餐"),IF(C558=Options!$B$10,"返程；"&amp;IF(C558=DATE(2026,12,2),"机构午餐","无统一供餐"),"差旅状态；无统一日程"))))))</f>
        <v/>
      </c>
      <c r="E558" s="13">
        <f>IF(C558=Options!$B$9,Options!$C$15,0)</f>
        <v/>
      </c>
      <c r="F558" s="13">
        <f>IF(AND(A558&lt;&gt;"",C558&lt;Options!$B$10),B558*Options!$X$5,0)</f>
        <v/>
      </c>
      <c r="G558" s="13">
        <f>F558*12%</f>
        <v/>
      </c>
      <c r="H558" s="13">
        <f>IF(A558="",0,B558*(92*IF(OR(C558=Options!$B$9,C558=Options!$B$10),75%,100%)-IF(C558=DATE(2026,11,29),26+IF(Options!$B$8="是",23,0),0)-IF(C558=DATE(2026,11,30),26,0)-IF(C558=DATE(2026,12,1),64,0)-IF(C558=DATE(2026,11,28),38,0)-IF(C558=DATE(2026,12,2),26,0)))</f>
        <v/>
      </c>
      <c r="I558" s="13">
        <f>IF(AND(C558&gt;=DATE(2026,11,29),C558&lt;=DATE(2026,12,1)),B558*60,0)</f>
        <v/>
      </c>
      <c r="J558" s="13">
        <f>IF(A558="",0,B558*(IF(C558=DATE(2026,11,28),38,0)+IF(C558=DATE(2026,12,1),38,0)+IF(C558=DATE(2026,12,2),26,0)))</f>
        <v/>
      </c>
      <c r="K558" s="13">
        <f>IF(C558=Options!$B$9,B558*12,0)</f>
        <v/>
      </c>
      <c r="L558" s="13">
        <f>IF(C558=Options!$B$9,B558*Options!$Z$5,0)</f>
        <v/>
      </c>
      <c r="M558" s="13" t="n">
        <v>0</v>
      </c>
      <c r="N558" s="13">
        <f>SUM(E558:M558)</f>
        <v/>
      </c>
    </row>
    <row r="559">
      <c r="A559" s="5">
        <f>IF(AND(C559&gt;=Options!$B$9,C559&lt;=Options!$B$10),"Chicago","")</f>
        <v/>
      </c>
      <c r="B559" s="5">
        <f>IF(A559="","",24)</f>
        <v/>
      </c>
      <c r="C559" s="17" t="n">
        <v>46485</v>
      </c>
      <c r="D559" s="5">
        <f>IF(A559="","",IF(C559=DATE(2026,11,29),"培训；注册午餐；早餐参数",IF(C559=DATE(2026,11,30),"培训；注册午餐",IF(C559=DATE(2026,12,1),"培训；注册午餐；机构晚餐",IF(C559=Options!$B$9,"抵达；"&amp;IF(C559=DATE(2026,11,28),"机构晚餐","无统一供餐"),IF(C559=Options!$B$10,"返程；"&amp;IF(C559=DATE(2026,12,2),"机构午餐","无统一供餐"),"差旅状态；无统一日程"))))))</f>
        <v/>
      </c>
      <c r="E559" s="13">
        <f>IF(C559=Options!$B$9,Options!$C$15,0)</f>
        <v/>
      </c>
      <c r="F559" s="13">
        <f>IF(AND(A559&lt;&gt;"",C559&lt;Options!$B$10),B559*Options!$X$5,0)</f>
        <v/>
      </c>
      <c r="G559" s="13">
        <f>F559*12%</f>
        <v/>
      </c>
      <c r="H559" s="13">
        <f>IF(A559="",0,B559*(92*IF(OR(C559=Options!$B$9,C559=Options!$B$10),75%,100%)-IF(C559=DATE(2026,11,29),26+IF(Options!$B$8="是",23,0),0)-IF(C559=DATE(2026,11,30),26,0)-IF(C559=DATE(2026,12,1),64,0)-IF(C559=DATE(2026,11,28),38,0)-IF(C559=DATE(2026,12,2),26,0)))</f>
        <v/>
      </c>
      <c r="I559" s="13">
        <f>IF(AND(C559&gt;=DATE(2026,11,29),C559&lt;=DATE(2026,12,1)),B559*60,0)</f>
        <v/>
      </c>
      <c r="J559" s="13">
        <f>IF(A559="",0,B559*(IF(C559=DATE(2026,11,28),38,0)+IF(C559=DATE(2026,12,1),38,0)+IF(C559=DATE(2026,12,2),26,0)))</f>
        <v/>
      </c>
      <c r="K559" s="13">
        <f>IF(C559=Options!$B$9,B559*12,0)</f>
        <v/>
      </c>
      <c r="L559" s="13">
        <f>IF(C559=Options!$B$9,B559*Options!$Z$5,0)</f>
        <v/>
      </c>
      <c r="M559" s="13" t="n">
        <v>0</v>
      </c>
      <c r="N559" s="13">
        <f>SUM(E559:M559)</f>
        <v/>
      </c>
    </row>
    <row r="560">
      <c r="A560" s="5">
        <f>IF(AND(C560&gt;=Options!$B$9,C560&lt;=Options!$B$10),"Chicago","")</f>
        <v/>
      </c>
      <c r="B560" s="5">
        <f>IF(A560="","",24)</f>
        <v/>
      </c>
      <c r="C560" s="17" t="n">
        <v>46486</v>
      </c>
      <c r="D560" s="5">
        <f>IF(A560="","",IF(C560=DATE(2026,11,29),"培训；注册午餐；早餐参数",IF(C560=DATE(2026,11,30),"培训；注册午餐",IF(C560=DATE(2026,12,1),"培训；注册午餐；机构晚餐",IF(C560=Options!$B$9,"抵达；"&amp;IF(C560=DATE(2026,11,28),"机构晚餐","无统一供餐"),IF(C560=Options!$B$10,"返程；"&amp;IF(C560=DATE(2026,12,2),"机构午餐","无统一供餐"),"差旅状态；无统一日程"))))))</f>
        <v/>
      </c>
      <c r="E560" s="13">
        <f>IF(C560=Options!$B$9,Options!$C$15,0)</f>
        <v/>
      </c>
      <c r="F560" s="13">
        <f>IF(AND(A560&lt;&gt;"",C560&lt;Options!$B$10),B560*Options!$X$5,0)</f>
        <v/>
      </c>
      <c r="G560" s="13">
        <f>F560*12%</f>
        <v/>
      </c>
      <c r="H560" s="13">
        <f>IF(A560="",0,B560*(92*IF(OR(C560=Options!$B$9,C560=Options!$B$10),75%,100%)-IF(C560=DATE(2026,11,29),26+IF(Options!$B$8="是",23,0),0)-IF(C560=DATE(2026,11,30),26,0)-IF(C560=DATE(2026,12,1),64,0)-IF(C560=DATE(2026,11,28),38,0)-IF(C560=DATE(2026,12,2),26,0)))</f>
        <v/>
      </c>
      <c r="I560" s="13">
        <f>IF(AND(C560&gt;=DATE(2026,11,29),C560&lt;=DATE(2026,12,1)),B560*60,0)</f>
        <v/>
      </c>
      <c r="J560" s="13">
        <f>IF(A560="",0,B560*(IF(C560=DATE(2026,11,28),38,0)+IF(C560=DATE(2026,12,1),38,0)+IF(C560=DATE(2026,12,2),26,0)))</f>
        <v/>
      </c>
      <c r="K560" s="13">
        <f>IF(C560=Options!$B$9,B560*12,0)</f>
        <v/>
      </c>
      <c r="L560" s="13">
        <f>IF(C560=Options!$B$9,B560*Options!$Z$5,0)</f>
        <v/>
      </c>
      <c r="M560" s="13" t="n">
        <v>0</v>
      </c>
      <c r="N560" s="13">
        <f>SUM(E560:M560)</f>
        <v/>
      </c>
    </row>
    <row r="561">
      <c r="A561" s="5">
        <f>IF(AND(C561&gt;=Options!$B$9,C561&lt;=Options!$B$10),"Chicago","")</f>
        <v/>
      </c>
      <c r="B561" s="5">
        <f>IF(A561="","",24)</f>
        <v/>
      </c>
      <c r="C561" s="17" t="n">
        <v>46487</v>
      </c>
      <c r="D561" s="5">
        <f>IF(A561="","",IF(C561=DATE(2026,11,29),"培训；注册午餐；早餐参数",IF(C561=DATE(2026,11,30),"培训；注册午餐",IF(C561=DATE(2026,12,1),"培训；注册午餐；机构晚餐",IF(C561=Options!$B$9,"抵达；"&amp;IF(C561=DATE(2026,11,28),"机构晚餐","无统一供餐"),IF(C561=Options!$B$10,"返程；"&amp;IF(C561=DATE(2026,12,2),"机构午餐","无统一供餐"),"差旅状态；无统一日程"))))))</f>
        <v/>
      </c>
      <c r="E561" s="13">
        <f>IF(C561=Options!$B$9,Options!$C$15,0)</f>
        <v/>
      </c>
      <c r="F561" s="13">
        <f>IF(AND(A561&lt;&gt;"",C561&lt;Options!$B$10),B561*Options!$X$5,0)</f>
        <v/>
      </c>
      <c r="G561" s="13">
        <f>F561*12%</f>
        <v/>
      </c>
      <c r="H561" s="13">
        <f>IF(A561="",0,B561*(92*IF(OR(C561=Options!$B$9,C561=Options!$B$10),75%,100%)-IF(C561=DATE(2026,11,29),26+IF(Options!$B$8="是",23,0),0)-IF(C561=DATE(2026,11,30),26,0)-IF(C561=DATE(2026,12,1),64,0)-IF(C561=DATE(2026,11,28),38,0)-IF(C561=DATE(2026,12,2),26,0)))</f>
        <v/>
      </c>
      <c r="I561" s="13">
        <f>IF(AND(C561&gt;=DATE(2026,11,29),C561&lt;=DATE(2026,12,1)),B561*60,0)</f>
        <v/>
      </c>
      <c r="J561" s="13">
        <f>IF(A561="",0,B561*(IF(C561=DATE(2026,11,28),38,0)+IF(C561=DATE(2026,12,1),38,0)+IF(C561=DATE(2026,12,2),26,0)))</f>
        <v/>
      </c>
      <c r="K561" s="13">
        <f>IF(C561=Options!$B$9,B561*12,0)</f>
        <v/>
      </c>
      <c r="L561" s="13">
        <f>IF(C561=Options!$B$9,B561*Options!$Z$5,0)</f>
        <v/>
      </c>
      <c r="M561" s="13" t="n">
        <v>0</v>
      </c>
      <c r="N561" s="13">
        <f>SUM(E561:M561)</f>
        <v/>
      </c>
    </row>
    <row r="562">
      <c r="A562" s="5">
        <f>IF(AND(C562&gt;=Options!$B$9,C562&lt;=Options!$B$10),"Chicago","")</f>
        <v/>
      </c>
      <c r="B562" s="5">
        <f>IF(A562="","",24)</f>
        <v/>
      </c>
      <c r="C562" s="17" t="n">
        <v>46488</v>
      </c>
      <c r="D562" s="5">
        <f>IF(A562="","",IF(C562=DATE(2026,11,29),"培训；注册午餐；早餐参数",IF(C562=DATE(2026,11,30),"培训；注册午餐",IF(C562=DATE(2026,12,1),"培训；注册午餐；机构晚餐",IF(C562=Options!$B$9,"抵达；"&amp;IF(C562=DATE(2026,11,28),"机构晚餐","无统一供餐"),IF(C562=Options!$B$10,"返程；"&amp;IF(C562=DATE(2026,12,2),"机构午餐","无统一供餐"),"差旅状态；无统一日程"))))))</f>
        <v/>
      </c>
      <c r="E562" s="13">
        <f>IF(C562=Options!$B$9,Options!$C$15,0)</f>
        <v/>
      </c>
      <c r="F562" s="13">
        <f>IF(AND(A562&lt;&gt;"",C562&lt;Options!$B$10),B562*Options!$X$5,0)</f>
        <v/>
      </c>
      <c r="G562" s="13">
        <f>F562*12%</f>
        <v/>
      </c>
      <c r="H562" s="13">
        <f>IF(A562="",0,B562*(92*IF(OR(C562=Options!$B$9,C562=Options!$B$10),75%,100%)-IF(C562=DATE(2026,11,29),26+IF(Options!$B$8="是",23,0),0)-IF(C562=DATE(2026,11,30),26,0)-IF(C562=DATE(2026,12,1),64,0)-IF(C562=DATE(2026,11,28),38,0)-IF(C562=DATE(2026,12,2),26,0)))</f>
        <v/>
      </c>
      <c r="I562" s="13">
        <f>IF(AND(C562&gt;=DATE(2026,11,29),C562&lt;=DATE(2026,12,1)),B562*60,0)</f>
        <v/>
      </c>
      <c r="J562" s="13">
        <f>IF(A562="",0,B562*(IF(C562=DATE(2026,11,28),38,0)+IF(C562=DATE(2026,12,1),38,0)+IF(C562=DATE(2026,12,2),26,0)))</f>
        <v/>
      </c>
      <c r="K562" s="13">
        <f>IF(C562=Options!$B$9,B562*12,0)</f>
        <v/>
      </c>
      <c r="L562" s="13">
        <f>IF(C562=Options!$B$9,B562*Options!$Z$5,0)</f>
        <v/>
      </c>
      <c r="M562" s="13" t="n">
        <v>0</v>
      </c>
      <c r="N562" s="13">
        <f>SUM(E562:M562)</f>
        <v/>
      </c>
    </row>
    <row r="563">
      <c r="A563" s="5">
        <f>IF(AND(C563&gt;=Options!$B$9,C563&lt;=Options!$B$10),"Chicago","")</f>
        <v/>
      </c>
      <c r="B563" s="5">
        <f>IF(A563="","",24)</f>
        <v/>
      </c>
      <c r="C563" s="17" t="n">
        <v>46489</v>
      </c>
      <c r="D563" s="5">
        <f>IF(A563="","",IF(C563=DATE(2026,11,29),"培训；注册午餐；早餐参数",IF(C563=DATE(2026,11,30),"培训；注册午餐",IF(C563=DATE(2026,12,1),"培训；注册午餐；机构晚餐",IF(C563=Options!$B$9,"抵达；"&amp;IF(C563=DATE(2026,11,28),"机构晚餐","无统一供餐"),IF(C563=Options!$B$10,"返程；"&amp;IF(C563=DATE(2026,12,2),"机构午餐","无统一供餐"),"差旅状态；无统一日程"))))))</f>
        <v/>
      </c>
      <c r="E563" s="13">
        <f>IF(C563=Options!$B$9,Options!$C$15,0)</f>
        <v/>
      </c>
      <c r="F563" s="13">
        <f>IF(AND(A563&lt;&gt;"",C563&lt;Options!$B$10),B563*Options!$X$5,0)</f>
        <v/>
      </c>
      <c r="G563" s="13">
        <f>F563*12%</f>
        <v/>
      </c>
      <c r="H563" s="13">
        <f>IF(A563="",0,B563*(92*IF(OR(C563=Options!$B$9,C563=Options!$B$10),75%,100%)-IF(C563=DATE(2026,11,29),26+IF(Options!$B$8="是",23,0),0)-IF(C563=DATE(2026,11,30),26,0)-IF(C563=DATE(2026,12,1),64,0)-IF(C563=DATE(2026,11,28),38,0)-IF(C563=DATE(2026,12,2),26,0)))</f>
        <v/>
      </c>
      <c r="I563" s="13">
        <f>IF(AND(C563&gt;=DATE(2026,11,29),C563&lt;=DATE(2026,12,1)),B563*60,0)</f>
        <v/>
      </c>
      <c r="J563" s="13">
        <f>IF(A563="",0,B563*(IF(C563=DATE(2026,11,28),38,0)+IF(C563=DATE(2026,12,1),38,0)+IF(C563=DATE(2026,12,2),26,0)))</f>
        <v/>
      </c>
      <c r="K563" s="13">
        <f>IF(C563=Options!$B$9,B563*12,0)</f>
        <v/>
      </c>
      <c r="L563" s="13">
        <f>IF(C563=Options!$B$9,B563*Options!$Z$5,0)</f>
        <v/>
      </c>
      <c r="M563" s="13" t="n">
        <v>0</v>
      </c>
      <c r="N563" s="13">
        <f>SUM(E563:M563)</f>
        <v/>
      </c>
    </row>
    <row r="564">
      <c r="A564" s="5">
        <f>IF(AND(C564&gt;=Options!$B$9,C564&lt;=Options!$B$10),"Chicago","")</f>
        <v/>
      </c>
      <c r="B564" s="5">
        <f>IF(A564="","",24)</f>
        <v/>
      </c>
      <c r="C564" s="17" t="n">
        <v>46490</v>
      </c>
      <c r="D564" s="5">
        <f>IF(A564="","",IF(C564=DATE(2026,11,29),"培训；注册午餐；早餐参数",IF(C564=DATE(2026,11,30),"培训；注册午餐",IF(C564=DATE(2026,12,1),"培训；注册午餐；机构晚餐",IF(C564=Options!$B$9,"抵达；"&amp;IF(C564=DATE(2026,11,28),"机构晚餐","无统一供餐"),IF(C564=Options!$B$10,"返程；"&amp;IF(C564=DATE(2026,12,2),"机构午餐","无统一供餐"),"差旅状态；无统一日程"))))))</f>
        <v/>
      </c>
      <c r="E564" s="13">
        <f>IF(C564=Options!$B$9,Options!$C$15,0)</f>
        <v/>
      </c>
      <c r="F564" s="13">
        <f>IF(AND(A564&lt;&gt;"",C564&lt;Options!$B$10),B564*Options!$X$5,0)</f>
        <v/>
      </c>
      <c r="G564" s="13">
        <f>F564*12%</f>
        <v/>
      </c>
      <c r="H564" s="13">
        <f>IF(A564="",0,B564*(92*IF(OR(C564=Options!$B$9,C564=Options!$B$10),75%,100%)-IF(C564=DATE(2026,11,29),26+IF(Options!$B$8="是",23,0),0)-IF(C564=DATE(2026,11,30),26,0)-IF(C564=DATE(2026,12,1),64,0)-IF(C564=DATE(2026,11,28),38,0)-IF(C564=DATE(2026,12,2),26,0)))</f>
        <v/>
      </c>
      <c r="I564" s="13">
        <f>IF(AND(C564&gt;=DATE(2026,11,29),C564&lt;=DATE(2026,12,1)),B564*60,0)</f>
        <v/>
      </c>
      <c r="J564" s="13">
        <f>IF(A564="",0,B564*(IF(C564=DATE(2026,11,28),38,0)+IF(C564=DATE(2026,12,1),38,0)+IF(C564=DATE(2026,12,2),26,0)))</f>
        <v/>
      </c>
      <c r="K564" s="13">
        <f>IF(C564=Options!$B$9,B564*12,0)</f>
        <v/>
      </c>
      <c r="L564" s="13">
        <f>IF(C564=Options!$B$9,B564*Options!$Z$5,0)</f>
        <v/>
      </c>
      <c r="M564" s="13" t="n">
        <v>0</v>
      </c>
      <c r="N564" s="13">
        <f>SUM(E564:M564)</f>
        <v/>
      </c>
    </row>
    <row r="565">
      <c r="A565" s="5">
        <f>IF(AND(C565&gt;=Options!$B$9,C565&lt;=Options!$B$10),"Chicago","")</f>
        <v/>
      </c>
      <c r="B565" s="5">
        <f>IF(A565="","",24)</f>
        <v/>
      </c>
      <c r="C565" s="17" t="n">
        <v>46491</v>
      </c>
      <c r="D565" s="5">
        <f>IF(A565="","",IF(C565=DATE(2026,11,29),"培训；注册午餐；早餐参数",IF(C565=DATE(2026,11,30),"培训；注册午餐",IF(C565=DATE(2026,12,1),"培训；注册午餐；机构晚餐",IF(C565=Options!$B$9,"抵达；"&amp;IF(C565=DATE(2026,11,28),"机构晚餐","无统一供餐"),IF(C565=Options!$B$10,"返程；"&amp;IF(C565=DATE(2026,12,2),"机构午餐","无统一供餐"),"差旅状态；无统一日程"))))))</f>
        <v/>
      </c>
      <c r="E565" s="13">
        <f>IF(C565=Options!$B$9,Options!$C$15,0)</f>
        <v/>
      </c>
      <c r="F565" s="13">
        <f>IF(AND(A565&lt;&gt;"",C565&lt;Options!$B$10),B565*Options!$X$5,0)</f>
        <v/>
      </c>
      <c r="G565" s="13">
        <f>F565*12%</f>
        <v/>
      </c>
      <c r="H565" s="13">
        <f>IF(A565="",0,B565*(92*IF(OR(C565=Options!$B$9,C565=Options!$B$10),75%,100%)-IF(C565=DATE(2026,11,29),26+IF(Options!$B$8="是",23,0),0)-IF(C565=DATE(2026,11,30),26,0)-IF(C565=DATE(2026,12,1),64,0)-IF(C565=DATE(2026,11,28),38,0)-IF(C565=DATE(2026,12,2),26,0)))</f>
        <v/>
      </c>
      <c r="I565" s="13">
        <f>IF(AND(C565&gt;=DATE(2026,11,29),C565&lt;=DATE(2026,12,1)),B565*60,0)</f>
        <v/>
      </c>
      <c r="J565" s="13">
        <f>IF(A565="",0,B565*(IF(C565=DATE(2026,11,28),38,0)+IF(C565=DATE(2026,12,1),38,0)+IF(C565=DATE(2026,12,2),26,0)))</f>
        <v/>
      </c>
      <c r="K565" s="13">
        <f>IF(C565=Options!$B$9,B565*12,0)</f>
        <v/>
      </c>
      <c r="L565" s="13">
        <f>IF(C565=Options!$B$9,B565*Options!$Z$5,0)</f>
        <v/>
      </c>
      <c r="M565" s="13" t="n">
        <v>0</v>
      </c>
      <c r="N565" s="13">
        <f>SUM(E565:M565)</f>
        <v/>
      </c>
    </row>
    <row r="566">
      <c r="A566" s="5">
        <f>IF(AND(C566&gt;=Options!$B$9,C566&lt;=Options!$B$10),"Chicago","")</f>
        <v/>
      </c>
      <c r="B566" s="5">
        <f>IF(A566="","",24)</f>
        <v/>
      </c>
      <c r="C566" s="17" t="n">
        <v>46492</v>
      </c>
      <c r="D566" s="5">
        <f>IF(A566="","",IF(C566=DATE(2026,11,29),"培训；注册午餐；早餐参数",IF(C566=DATE(2026,11,30),"培训；注册午餐",IF(C566=DATE(2026,12,1),"培训；注册午餐；机构晚餐",IF(C566=Options!$B$9,"抵达；"&amp;IF(C566=DATE(2026,11,28),"机构晚餐","无统一供餐"),IF(C566=Options!$B$10,"返程；"&amp;IF(C566=DATE(2026,12,2),"机构午餐","无统一供餐"),"差旅状态；无统一日程"))))))</f>
        <v/>
      </c>
      <c r="E566" s="13">
        <f>IF(C566=Options!$B$9,Options!$C$15,0)</f>
        <v/>
      </c>
      <c r="F566" s="13">
        <f>IF(AND(A566&lt;&gt;"",C566&lt;Options!$B$10),B566*Options!$X$5,0)</f>
        <v/>
      </c>
      <c r="G566" s="13">
        <f>F566*12%</f>
        <v/>
      </c>
      <c r="H566" s="13">
        <f>IF(A566="",0,B566*(92*IF(OR(C566=Options!$B$9,C566=Options!$B$10),75%,100%)-IF(C566=DATE(2026,11,29),26+IF(Options!$B$8="是",23,0),0)-IF(C566=DATE(2026,11,30),26,0)-IF(C566=DATE(2026,12,1),64,0)-IF(C566=DATE(2026,11,28),38,0)-IF(C566=DATE(2026,12,2),26,0)))</f>
        <v/>
      </c>
      <c r="I566" s="13">
        <f>IF(AND(C566&gt;=DATE(2026,11,29),C566&lt;=DATE(2026,12,1)),B566*60,0)</f>
        <v/>
      </c>
      <c r="J566" s="13">
        <f>IF(A566="",0,B566*(IF(C566=DATE(2026,11,28),38,0)+IF(C566=DATE(2026,12,1),38,0)+IF(C566=DATE(2026,12,2),26,0)))</f>
        <v/>
      </c>
      <c r="K566" s="13">
        <f>IF(C566=Options!$B$9,B566*12,0)</f>
        <v/>
      </c>
      <c r="L566" s="13">
        <f>IF(C566=Options!$B$9,B566*Options!$Z$5,0)</f>
        <v/>
      </c>
      <c r="M566" s="13" t="n">
        <v>0</v>
      </c>
      <c r="N566" s="13">
        <f>SUM(E566:M566)</f>
        <v/>
      </c>
    </row>
    <row r="567">
      <c r="A567" s="5">
        <f>IF(AND(C567&gt;=Options!$B$9,C567&lt;=Options!$B$10),"Chicago","")</f>
        <v/>
      </c>
      <c r="B567" s="5">
        <f>IF(A567="","",24)</f>
        <v/>
      </c>
      <c r="C567" s="17" t="n">
        <v>46493</v>
      </c>
      <c r="D567" s="5">
        <f>IF(A567="","",IF(C567=DATE(2026,11,29),"培训；注册午餐；早餐参数",IF(C567=DATE(2026,11,30),"培训；注册午餐",IF(C567=DATE(2026,12,1),"培训；注册午餐；机构晚餐",IF(C567=Options!$B$9,"抵达；"&amp;IF(C567=DATE(2026,11,28),"机构晚餐","无统一供餐"),IF(C567=Options!$B$10,"返程；"&amp;IF(C567=DATE(2026,12,2),"机构午餐","无统一供餐"),"差旅状态；无统一日程"))))))</f>
        <v/>
      </c>
      <c r="E567" s="13">
        <f>IF(C567=Options!$B$9,Options!$C$15,0)</f>
        <v/>
      </c>
      <c r="F567" s="13">
        <f>IF(AND(A567&lt;&gt;"",C567&lt;Options!$B$10),B567*Options!$X$5,0)</f>
        <v/>
      </c>
      <c r="G567" s="13">
        <f>F567*12%</f>
        <v/>
      </c>
      <c r="H567" s="13">
        <f>IF(A567="",0,B567*(92*IF(OR(C567=Options!$B$9,C567=Options!$B$10),75%,100%)-IF(C567=DATE(2026,11,29),26+IF(Options!$B$8="是",23,0),0)-IF(C567=DATE(2026,11,30),26,0)-IF(C567=DATE(2026,12,1),64,0)-IF(C567=DATE(2026,11,28),38,0)-IF(C567=DATE(2026,12,2),26,0)))</f>
        <v/>
      </c>
      <c r="I567" s="13">
        <f>IF(AND(C567&gt;=DATE(2026,11,29),C567&lt;=DATE(2026,12,1)),B567*60,0)</f>
        <v/>
      </c>
      <c r="J567" s="13">
        <f>IF(A567="",0,B567*(IF(C567=DATE(2026,11,28),38,0)+IF(C567=DATE(2026,12,1),38,0)+IF(C567=DATE(2026,12,2),26,0)))</f>
        <v/>
      </c>
      <c r="K567" s="13">
        <f>IF(C567=Options!$B$9,B567*12,0)</f>
        <v/>
      </c>
      <c r="L567" s="13">
        <f>IF(C567=Options!$B$9,B567*Options!$Z$5,0)</f>
        <v/>
      </c>
      <c r="M567" s="13" t="n">
        <v>0</v>
      </c>
      <c r="N567" s="13">
        <f>SUM(E567:M567)</f>
        <v/>
      </c>
    </row>
    <row r="568">
      <c r="A568" s="5">
        <f>IF(AND(C568&gt;=Options!$B$9,C568&lt;=Options!$B$10),"Chicago","")</f>
        <v/>
      </c>
      <c r="B568" s="5">
        <f>IF(A568="","",24)</f>
        <v/>
      </c>
      <c r="C568" s="17" t="n">
        <v>46494</v>
      </c>
      <c r="D568" s="5">
        <f>IF(A568="","",IF(C568=DATE(2026,11,29),"培训；注册午餐；早餐参数",IF(C568=DATE(2026,11,30),"培训；注册午餐",IF(C568=DATE(2026,12,1),"培训；注册午餐；机构晚餐",IF(C568=Options!$B$9,"抵达；"&amp;IF(C568=DATE(2026,11,28),"机构晚餐","无统一供餐"),IF(C568=Options!$B$10,"返程；"&amp;IF(C568=DATE(2026,12,2),"机构午餐","无统一供餐"),"差旅状态；无统一日程"))))))</f>
        <v/>
      </c>
      <c r="E568" s="13">
        <f>IF(C568=Options!$B$9,Options!$C$15,0)</f>
        <v/>
      </c>
      <c r="F568" s="13">
        <f>IF(AND(A568&lt;&gt;"",C568&lt;Options!$B$10),B568*Options!$X$5,0)</f>
        <v/>
      </c>
      <c r="G568" s="13">
        <f>F568*12%</f>
        <v/>
      </c>
      <c r="H568" s="13">
        <f>IF(A568="",0,B568*(92*IF(OR(C568=Options!$B$9,C568=Options!$B$10),75%,100%)-IF(C568=DATE(2026,11,29),26+IF(Options!$B$8="是",23,0),0)-IF(C568=DATE(2026,11,30),26,0)-IF(C568=DATE(2026,12,1),64,0)-IF(C568=DATE(2026,11,28),38,0)-IF(C568=DATE(2026,12,2),26,0)))</f>
        <v/>
      </c>
      <c r="I568" s="13">
        <f>IF(AND(C568&gt;=DATE(2026,11,29),C568&lt;=DATE(2026,12,1)),B568*60,0)</f>
        <v/>
      </c>
      <c r="J568" s="13">
        <f>IF(A568="",0,B568*(IF(C568=DATE(2026,11,28),38,0)+IF(C568=DATE(2026,12,1),38,0)+IF(C568=DATE(2026,12,2),26,0)))</f>
        <v/>
      </c>
      <c r="K568" s="13">
        <f>IF(C568=Options!$B$9,B568*12,0)</f>
        <v/>
      </c>
      <c r="L568" s="13">
        <f>IF(C568=Options!$B$9,B568*Options!$Z$5,0)</f>
        <v/>
      </c>
      <c r="M568" s="13" t="n">
        <v>0</v>
      </c>
      <c r="N568" s="13">
        <f>SUM(E568:M568)</f>
        <v/>
      </c>
    </row>
    <row r="569">
      <c r="A569" s="5">
        <f>IF(AND(C569&gt;=Options!$B$9,C569&lt;=Options!$B$10),"Chicago","")</f>
        <v/>
      </c>
      <c r="B569" s="5">
        <f>IF(A569="","",24)</f>
        <v/>
      </c>
      <c r="C569" s="17" t="n">
        <v>46495</v>
      </c>
      <c r="D569" s="5">
        <f>IF(A569="","",IF(C569=DATE(2026,11,29),"培训；注册午餐；早餐参数",IF(C569=DATE(2026,11,30),"培训；注册午餐",IF(C569=DATE(2026,12,1),"培训；注册午餐；机构晚餐",IF(C569=Options!$B$9,"抵达；"&amp;IF(C569=DATE(2026,11,28),"机构晚餐","无统一供餐"),IF(C569=Options!$B$10,"返程；"&amp;IF(C569=DATE(2026,12,2),"机构午餐","无统一供餐"),"差旅状态；无统一日程"))))))</f>
        <v/>
      </c>
      <c r="E569" s="13">
        <f>IF(C569=Options!$B$9,Options!$C$15,0)</f>
        <v/>
      </c>
      <c r="F569" s="13">
        <f>IF(AND(A569&lt;&gt;"",C569&lt;Options!$B$10),B569*Options!$X$5,0)</f>
        <v/>
      </c>
      <c r="G569" s="13">
        <f>F569*12%</f>
        <v/>
      </c>
      <c r="H569" s="13">
        <f>IF(A569="",0,B569*(92*IF(OR(C569=Options!$B$9,C569=Options!$B$10),75%,100%)-IF(C569=DATE(2026,11,29),26+IF(Options!$B$8="是",23,0),0)-IF(C569=DATE(2026,11,30),26,0)-IF(C569=DATE(2026,12,1),64,0)-IF(C569=DATE(2026,11,28),38,0)-IF(C569=DATE(2026,12,2),26,0)))</f>
        <v/>
      </c>
      <c r="I569" s="13">
        <f>IF(AND(C569&gt;=DATE(2026,11,29),C569&lt;=DATE(2026,12,1)),B569*60,0)</f>
        <v/>
      </c>
      <c r="J569" s="13">
        <f>IF(A569="",0,B569*(IF(C569=DATE(2026,11,28),38,0)+IF(C569=DATE(2026,12,1),38,0)+IF(C569=DATE(2026,12,2),26,0)))</f>
        <v/>
      </c>
      <c r="K569" s="13">
        <f>IF(C569=Options!$B$9,B569*12,0)</f>
        <v/>
      </c>
      <c r="L569" s="13">
        <f>IF(C569=Options!$B$9,B569*Options!$Z$5,0)</f>
        <v/>
      </c>
      <c r="M569" s="13" t="n">
        <v>0</v>
      </c>
      <c r="N569" s="13">
        <f>SUM(E569:M569)</f>
        <v/>
      </c>
    </row>
    <row r="570">
      <c r="A570" s="5">
        <f>IF(AND(C570&gt;=Options!$B$9,C570&lt;=Options!$B$10),"Chicago","")</f>
        <v/>
      </c>
      <c r="B570" s="5">
        <f>IF(A570="","",24)</f>
        <v/>
      </c>
      <c r="C570" s="17" t="n">
        <v>46496</v>
      </c>
      <c r="D570" s="5">
        <f>IF(A570="","",IF(C570=DATE(2026,11,29),"培训；注册午餐；早餐参数",IF(C570=DATE(2026,11,30),"培训；注册午餐",IF(C570=DATE(2026,12,1),"培训；注册午餐；机构晚餐",IF(C570=Options!$B$9,"抵达；"&amp;IF(C570=DATE(2026,11,28),"机构晚餐","无统一供餐"),IF(C570=Options!$B$10,"返程；"&amp;IF(C570=DATE(2026,12,2),"机构午餐","无统一供餐"),"差旅状态；无统一日程"))))))</f>
        <v/>
      </c>
      <c r="E570" s="13">
        <f>IF(C570=Options!$B$9,Options!$C$15,0)</f>
        <v/>
      </c>
      <c r="F570" s="13">
        <f>IF(AND(A570&lt;&gt;"",C570&lt;Options!$B$10),B570*Options!$X$5,0)</f>
        <v/>
      </c>
      <c r="G570" s="13">
        <f>F570*12%</f>
        <v/>
      </c>
      <c r="H570" s="13">
        <f>IF(A570="",0,B570*(92*IF(OR(C570=Options!$B$9,C570=Options!$B$10),75%,100%)-IF(C570=DATE(2026,11,29),26+IF(Options!$B$8="是",23,0),0)-IF(C570=DATE(2026,11,30),26,0)-IF(C570=DATE(2026,12,1),64,0)-IF(C570=DATE(2026,11,28),38,0)-IF(C570=DATE(2026,12,2),26,0)))</f>
        <v/>
      </c>
      <c r="I570" s="13">
        <f>IF(AND(C570&gt;=DATE(2026,11,29),C570&lt;=DATE(2026,12,1)),B570*60,0)</f>
        <v/>
      </c>
      <c r="J570" s="13">
        <f>IF(A570="",0,B570*(IF(C570=DATE(2026,11,28),38,0)+IF(C570=DATE(2026,12,1),38,0)+IF(C570=DATE(2026,12,2),26,0)))</f>
        <v/>
      </c>
      <c r="K570" s="13">
        <f>IF(C570=Options!$B$9,B570*12,0)</f>
        <v/>
      </c>
      <c r="L570" s="13">
        <f>IF(C570=Options!$B$9,B570*Options!$Z$5,0)</f>
        <v/>
      </c>
      <c r="M570" s="13" t="n">
        <v>0</v>
      </c>
      <c r="N570" s="13">
        <f>SUM(E570:M570)</f>
        <v/>
      </c>
    </row>
    <row r="571">
      <c r="A571" s="5">
        <f>IF(AND(C571&gt;=Options!$B$9,C571&lt;=Options!$B$10),"Chicago","")</f>
        <v/>
      </c>
      <c r="B571" s="5">
        <f>IF(A571="","",24)</f>
        <v/>
      </c>
      <c r="C571" s="17" t="n">
        <v>46497</v>
      </c>
      <c r="D571" s="5">
        <f>IF(A571="","",IF(C571=DATE(2026,11,29),"培训；注册午餐；早餐参数",IF(C571=DATE(2026,11,30),"培训；注册午餐",IF(C571=DATE(2026,12,1),"培训；注册午餐；机构晚餐",IF(C571=Options!$B$9,"抵达；"&amp;IF(C571=DATE(2026,11,28),"机构晚餐","无统一供餐"),IF(C571=Options!$B$10,"返程；"&amp;IF(C571=DATE(2026,12,2),"机构午餐","无统一供餐"),"差旅状态；无统一日程"))))))</f>
        <v/>
      </c>
      <c r="E571" s="13">
        <f>IF(C571=Options!$B$9,Options!$C$15,0)</f>
        <v/>
      </c>
      <c r="F571" s="13">
        <f>IF(AND(A571&lt;&gt;"",C571&lt;Options!$B$10),B571*Options!$X$5,0)</f>
        <v/>
      </c>
      <c r="G571" s="13">
        <f>F571*12%</f>
        <v/>
      </c>
      <c r="H571" s="13">
        <f>IF(A571="",0,B571*(92*IF(OR(C571=Options!$B$9,C571=Options!$B$10),75%,100%)-IF(C571=DATE(2026,11,29),26+IF(Options!$B$8="是",23,0),0)-IF(C571=DATE(2026,11,30),26,0)-IF(C571=DATE(2026,12,1),64,0)-IF(C571=DATE(2026,11,28),38,0)-IF(C571=DATE(2026,12,2),26,0)))</f>
        <v/>
      </c>
      <c r="I571" s="13">
        <f>IF(AND(C571&gt;=DATE(2026,11,29),C571&lt;=DATE(2026,12,1)),B571*60,0)</f>
        <v/>
      </c>
      <c r="J571" s="13">
        <f>IF(A571="",0,B571*(IF(C571=DATE(2026,11,28),38,0)+IF(C571=DATE(2026,12,1),38,0)+IF(C571=DATE(2026,12,2),26,0)))</f>
        <v/>
      </c>
      <c r="K571" s="13">
        <f>IF(C571=Options!$B$9,B571*12,0)</f>
        <v/>
      </c>
      <c r="L571" s="13">
        <f>IF(C571=Options!$B$9,B571*Options!$Z$5,0)</f>
        <v/>
      </c>
      <c r="M571" s="13" t="n">
        <v>0</v>
      </c>
      <c r="N571" s="13">
        <f>SUM(E571:M571)</f>
        <v/>
      </c>
    </row>
    <row r="572">
      <c r="A572" s="5">
        <f>IF(AND(C572&gt;=Options!$B$9,C572&lt;=Options!$B$10),"Chicago","")</f>
        <v/>
      </c>
      <c r="B572" s="5">
        <f>IF(A572="","",24)</f>
        <v/>
      </c>
      <c r="C572" s="17" t="n">
        <v>46498</v>
      </c>
      <c r="D572" s="5">
        <f>IF(A572="","",IF(C572=DATE(2026,11,29),"培训；注册午餐；早餐参数",IF(C572=DATE(2026,11,30),"培训；注册午餐",IF(C572=DATE(2026,12,1),"培训；注册午餐；机构晚餐",IF(C572=Options!$B$9,"抵达；"&amp;IF(C572=DATE(2026,11,28),"机构晚餐","无统一供餐"),IF(C572=Options!$B$10,"返程；"&amp;IF(C572=DATE(2026,12,2),"机构午餐","无统一供餐"),"差旅状态；无统一日程"))))))</f>
        <v/>
      </c>
      <c r="E572" s="13">
        <f>IF(C572=Options!$B$9,Options!$C$15,0)</f>
        <v/>
      </c>
      <c r="F572" s="13">
        <f>IF(AND(A572&lt;&gt;"",C572&lt;Options!$B$10),B572*Options!$X$5,0)</f>
        <v/>
      </c>
      <c r="G572" s="13">
        <f>F572*12%</f>
        <v/>
      </c>
      <c r="H572" s="13">
        <f>IF(A572="",0,B572*(92*IF(OR(C572=Options!$B$9,C572=Options!$B$10),75%,100%)-IF(C572=DATE(2026,11,29),26+IF(Options!$B$8="是",23,0),0)-IF(C572=DATE(2026,11,30),26,0)-IF(C572=DATE(2026,12,1),64,0)-IF(C572=DATE(2026,11,28),38,0)-IF(C572=DATE(2026,12,2),26,0)))</f>
        <v/>
      </c>
      <c r="I572" s="13">
        <f>IF(AND(C572&gt;=DATE(2026,11,29),C572&lt;=DATE(2026,12,1)),B572*60,0)</f>
        <v/>
      </c>
      <c r="J572" s="13">
        <f>IF(A572="",0,B572*(IF(C572=DATE(2026,11,28),38,0)+IF(C572=DATE(2026,12,1),38,0)+IF(C572=DATE(2026,12,2),26,0)))</f>
        <v/>
      </c>
      <c r="K572" s="13">
        <f>IF(C572=Options!$B$9,B572*12,0)</f>
        <v/>
      </c>
      <c r="L572" s="13">
        <f>IF(C572=Options!$B$9,B572*Options!$Z$5,0)</f>
        <v/>
      </c>
      <c r="M572" s="13" t="n">
        <v>0</v>
      </c>
      <c r="N572" s="13">
        <f>SUM(E572:M572)</f>
        <v/>
      </c>
    </row>
    <row r="573">
      <c r="A573" s="5">
        <f>IF(AND(C573&gt;=Options!$B$9,C573&lt;=Options!$B$10),"Chicago","")</f>
        <v/>
      </c>
      <c r="B573" s="5">
        <f>IF(A573="","",24)</f>
        <v/>
      </c>
      <c r="C573" s="17" t="n">
        <v>46499</v>
      </c>
      <c r="D573" s="5">
        <f>IF(A573="","",IF(C573=DATE(2026,11,29),"培训；注册午餐；早餐参数",IF(C573=DATE(2026,11,30),"培训；注册午餐",IF(C573=DATE(2026,12,1),"培训；注册午餐；机构晚餐",IF(C573=Options!$B$9,"抵达；"&amp;IF(C573=DATE(2026,11,28),"机构晚餐","无统一供餐"),IF(C573=Options!$B$10,"返程；"&amp;IF(C573=DATE(2026,12,2),"机构午餐","无统一供餐"),"差旅状态；无统一日程"))))))</f>
        <v/>
      </c>
      <c r="E573" s="13">
        <f>IF(C573=Options!$B$9,Options!$C$15,0)</f>
        <v/>
      </c>
      <c r="F573" s="13">
        <f>IF(AND(A573&lt;&gt;"",C573&lt;Options!$B$10),B573*Options!$X$5,0)</f>
        <v/>
      </c>
      <c r="G573" s="13">
        <f>F573*12%</f>
        <v/>
      </c>
      <c r="H573" s="13">
        <f>IF(A573="",0,B573*(92*IF(OR(C573=Options!$B$9,C573=Options!$B$10),75%,100%)-IF(C573=DATE(2026,11,29),26+IF(Options!$B$8="是",23,0),0)-IF(C573=DATE(2026,11,30),26,0)-IF(C573=DATE(2026,12,1),64,0)-IF(C573=DATE(2026,11,28),38,0)-IF(C573=DATE(2026,12,2),26,0)))</f>
        <v/>
      </c>
      <c r="I573" s="13">
        <f>IF(AND(C573&gt;=DATE(2026,11,29),C573&lt;=DATE(2026,12,1)),B573*60,0)</f>
        <v/>
      </c>
      <c r="J573" s="13">
        <f>IF(A573="",0,B573*(IF(C573=DATE(2026,11,28),38,0)+IF(C573=DATE(2026,12,1),38,0)+IF(C573=DATE(2026,12,2),26,0)))</f>
        <v/>
      </c>
      <c r="K573" s="13">
        <f>IF(C573=Options!$B$9,B573*12,0)</f>
        <v/>
      </c>
      <c r="L573" s="13">
        <f>IF(C573=Options!$B$9,B573*Options!$Z$5,0)</f>
        <v/>
      </c>
      <c r="M573" s="13" t="n">
        <v>0</v>
      </c>
      <c r="N573" s="13">
        <f>SUM(E573:M573)</f>
        <v/>
      </c>
    </row>
    <row r="574">
      <c r="A574" s="5">
        <f>IF(AND(C574&gt;=Options!$B$9,C574&lt;=Options!$B$10),"Chicago","")</f>
        <v/>
      </c>
      <c r="B574" s="5">
        <f>IF(A574="","",24)</f>
        <v/>
      </c>
      <c r="C574" s="17" t="n">
        <v>46500</v>
      </c>
      <c r="D574" s="5">
        <f>IF(A574="","",IF(C574=DATE(2026,11,29),"培训；注册午餐；早餐参数",IF(C574=DATE(2026,11,30),"培训；注册午餐",IF(C574=DATE(2026,12,1),"培训；注册午餐；机构晚餐",IF(C574=Options!$B$9,"抵达；"&amp;IF(C574=DATE(2026,11,28),"机构晚餐","无统一供餐"),IF(C574=Options!$B$10,"返程；"&amp;IF(C574=DATE(2026,12,2),"机构午餐","无统一供餐"),"差旅状态；无统一日程"))))))</f>
        <v/>
      </c>
      <c r="E574" s="13">
        <f>IF(C574=Options!$B$9,Options!$C$15,0)</f>
        <v/>
      </c>
      <c r="F574" s="13">
        <f>IF(AND(A574&lt;&gt;"",C574&lt;Options!$B$10),B574*Options!$X$5,0)</f>
        <v/>
      </c>
      <c r="G574" s="13">
        <f>F574*12%</f>
        <v/>
      </c>
      <c r="H574" s="13">
        <f>IF(A574="",0,B574*(92*IF(OR(C574=Options!$B$9,C574=Options!$B$10),75%,100%)-IF(C574=DATE(2026,11,29),26+IF(Options!$B$8="是",23,0),0)-IF(C574=DATE(2026,11,30),26,0)-IF(C574=DATE(2026,12,1),64,0)-IF(C574=DATE(2026,11,28),38,0)-IF(C574=DATE(2026,12,2),26,0)))</f>
        <v/>
      </c>
      <c r="I574" s="13">
        <f>IF(AND(C574&gt;=DATE(2026,11,29),C574&lt;=DATE(2026,12,1)),B574*60,0)</f>
        <v/>
      </c>
      <c r="J574" s="13">
        <f>IF(A574="",0,B574*(IF(C574=DATE(2026,11,28),38,0)+IF(C574=DATE(2026,12,1),38,0)+IF(C574=DATE(2026,12,2),26,0)))</f>
        <v/>
      </c>
      <c r="K574" s="13">
        <f>IF(C574=Options!$B$9,B574*12,0)</f>
        <v/>
      </c>
      <c r="L574" s="13">
        <f>IF(C574=Options!$B$9,B574*Options!$Z$5,0)</f>
        <v/>
      </c>
      <c r="M574" s="13" t="n">
        <v>0</v>
      </c>
      <c r="N574" s="13">
        <f>SUM(E574:M574)</f>
        <v/>
      </c>
    </row>
    <row r="575">
      <c r="A575" s="5">
        <f>IF(AND(C575&gt;=Options!$B$9,C575&lt;=Options!$B$10),"Chicago","")</f>
        <v/>
      </c>
      <c r="B575" s="5">
        <f>IF(A575="","",24)</f>
        <v/>
      </c>
      <c r="C575" s="17" t="n">
        <v>46501</v>
      </c>
      <c r="D575" s="5">
        <f>IF(A575="","",IF(C575=DATE(2026,11,29),"培训；注册午餐；早餐参数",IF(C575=DATE(2026,11,30),"培训；注册午餐",IF(C575=DATE(2026,12,1),"培训；注册午餐；机构晚餐",IF(C575=Options!$B$9,"抵达；"&amp;IF(C575=DATE(2026,11,28),"机构晚餐","无统一供餐"),IF(C575=Options!$B$10,"返程；"&amp;IF(C575=DATE(2026,12,2),"机构午餐","无统一供餐"),"差旅状态；无统一日程"))))))</f>
        <v/>
      </c>
      <c r="E575" s="13">
        <f>IF(C575=Options!$B$9,Options!$C$15,0)</f>
        <v/>
      </c>
      <c r="F575" s="13">
        <f>IF(AND(A575&lt;&gt;"",C575&lt;Options!$B$10),B575*Options!$X$5,0)</f>
        <v/>
      </c>
      <c r="G575" s="13">
        <f>F575*12%</f>
        <v/>
      </c>
      <c r="H575" s="13">
        <f>IF(A575="",0,B575*(92*IF(OR(C575=Options!$B$9,C575=Options!$B$10),75%,100%)-IF(C575=DATE(2026,11,29),26+IF(Options!$B$8="是",23,0),0)-IF(C575=DATE(2026,11,30),26,0)-IF(C575=DATE(2026,12,1),64,0)-IF(C575=DATE(2026,11,28),38,0)-IF(C575=DATE(2026,12,2),26,0)))</f>
        <v/>
      </c>
      <c r="I575" s="13">
        <f>IF(AND(C575&gt;=DATE(2026,11,29),C575&lt;=DATE(2026,12,1)),B575*60,0)</f>
        <v/>
      </c>
      <c r="J575" s="13">
        <f>IF(A575="",0,B575*(IF(C575=DATE(2026,11,28),38,0)+IF(C575=DATE(2026,12,1),38,0)+IF(C575=DATE(2026,12,2),26,0)))</f>
        <v/>
      </c>
      <c r="K575" s="13">
        <f>IF(C575=Options!$B$9,B575*12,0)</f>
        <v/>
      </c>
      <c r="L575" s="13">
        <f>IF(C575=Options!$B$9,B575*Options!$Z$5,0)</f>
        <v/>
      </c>
      <c r="M575" s="13" t="n">
        <v>0</v>
      </c>
      <c r="N575" s="13">
        <f>SUM(E575:M575)</f>
        <v/>
      </c>
    </row>
    <row r="576">
      <c r="A576" s="5">
        <f>IF(AND(C576&gt;=Options!$B$9,C576&lt;=Options!$B$10),"Chicago","")</f>
        <v/>
      </c>
      <c r="B576" s="5">
        <f>IF(A576="","",24)</f>
        <v/>
      </c>
      <c r="C576" s="17" t="n">
        <v>46502</v>
      </c>
      <c r="D576" s="5">
        <f>IF(A576="","",IF(C576=DATE(2026,11,29),"培训；注册午餐；早餐参数",IF(C576=DATE(2026,11,30),"培训；注册午餐",IF(C576=DATE(2026,12,1),"培训；注册午餐；机构晚餐",IF(C576=Options!$B$9,"抵达；"&amp;IF(C576=DATE(2026,11,28),"机构晚餐","无统一供餐"),IF(C576=Options!$B$10,"返程；"&amp;IF(C576=DATE(2026,12,2),"机构午餐","无统一供餐"),"差旅状态；无统一日程"))))))</f>
        <v/>
      </c>
      <c r="E576" s="13">
        <f>IF(C576=Options!$B$9,Options!$C$15,0)</f>
        <v/>
      </c>
      <c r="F576" s="13">
        <f>IF(AND(A576&lt;&gt;"",C576&lt;Options!$B$10),B576*Options!$X$5,0)</f>
        <v/>
      </c>
      <c r="G576" s="13">
        <f>F576*12%</f>
        <v/>
      </c>
      <c r="H576" s="13">
        <f>IF(A576="",0,B576*(92*IF(OR(C576=Options!$B$9,C576=Options!$B$10),75%,100%)-IF(C576=DATE(2026,11,29),26+IF(Options!$B$8="是",23,0),0)-IF(C576=DATE(2026,11,30),26,0)-IF(C576=DATE(2026,12,1),64,0)-IF(C576=DATE(2026,11,28),38,0)-IF(C576=DATE(2026,12,2),26,0)))</f>
        <v/>
      </c>
      <c r="I576" s="13">
        <f>IF(AND(C576&gt;=DATE(2026,11,29),C576&lt;=DATE(2026,12,1)),B576*60,0)</f>
        <v/>
      </c>
      <c r="J576" s="13">
        <f>IF(A576="",0,B576*(IF(C576=DATE(2026,11,28),38,0)+IF(C576=DATE(2026,12,1),38,0)+IF(C576=DATE(2026,12,2),26,0)))</f>
        <v/>
      </c>
      <c r="K576" s="13">
        <f>IF(C576=Options!$B$9,B576*12,0)</f>
        <v/>
      </c>
      <c r="L576" s="13">
        <f>IF(C576=Options!$B$9,B576*Options!$Z$5,0)</f>
        <v/>
      </c>
      <c r="M576" s="13" t="n">
        <v>0</v>
      </c>
      <c r="N576" s="13">
        <f>SUM(E576:M576)</f>
        <v/>
      </c>
    </row>
    <row r="577">
      <c r="A577" s="5">
        <f>IF(AND(C577&gt;=Options!$B$9,C577&lt;=Options!$B$10),"Chicago","")</f>
        <v/>
      </c>
      <c r="B577" s="5">
        <f>IF(A577="","",24)</f>
        <v/>
      </c>
      <c r="C577" s="17" t="n">
        <v>46503</v>
      </c>
      <c r="D577" s="5">
        <f>IF(A577="","",IF(C577=DATE(2026,11,29),"培训；注册午餐；早餐参数",IF(C577=DATE(2026,11,30),"培训；注册午餐",IF(C577=DATE(2026,12,1),"培训；注册午餐；机构晚餐",IF(C577=Options!$B$9,"抵达；"&amp;IF(C577=DATE(2026,11,28),"机构晚餐","无统一供餐"),IF(C577=Options!$B$10,"返程；"&amp;IF(C577=DATE(2026,12,2),"机构午餐","无统一供餐"),"差旅状态；无统一日程"))))))</f>
        <v/>
      </c>
      <c r="E577" s="13">
        <f>IF(C577=Options!$B$9,Options!$C$15,0)</f>
        <v/>
      </c>
      <c r="F577" s="13">
        <f>IF(AND(A577&lt;&gt;"",C577&lt;Options!$B$10),B577*Options!$X$5,0)</f>
        <v/>
      </c>
      <c r="G577" s="13">
        <f>F577*12%</f>
        <v/>
      </c>
      <c r="H577" s="13">
        <f>IF(A577="",0,B577*(92*IF(OR(C577=Options!$B$9,C577=Options!$B$10),75%,100%)-IF(C577=DATE(2026,11,29),26+IF(Options!$B$8="是",23,0),0)-IF(C577=DATE(2026,11,30),26,0)-IF(C577=DATE(2026,12,1),64,0)-IF(C577=DATE(2026,11,28),38,0)-IF(C577=DATE(2026,12,2),26,0)))</f>
        <v/>
      </c>
      <c r="I577" s="13">
        <f>IF(AND(C577&gt;=DATE(2026,11,29),C577&lt;=DATE(2026,12,1)),B577*60,0)</f>
        <v/>
      </c>
      <c r="J577" s="13">
        <f>IF(A577="",0,B577*(IF(C577=DATE(2026,11,28),38,0)+IF(C577=DATE(2026,12,1),38,0)+IF(C577=DATE(2026,12,2),26,0)))</f>
        <v/>
      </c>
      <c r="K577" s="13">
        <f>IF(C577=Options!$B$9,B577*12,0)</f>
        <v/>
      </c>
      <c r="L577" s="13">
        <f>IF(C577=Options!$B$9,B577*Options!$Z$5,0)</f>
        <v/>
      </c>
      <c r="M577" s="13" t="n">
        <v>0</v>
      </c>
      <c r="N577" s="13">
        <f>SUM(E577:M577)</f>
        <v/>
      </c>
    </row>
    <row r="578">
      <c r="A578" s="5">
        <f>IF(AND(C578&gt;=Options!$B$9,C578&lt;=Options!$B$10),"Chicago","")</f>
        <v/>
      </c>
      <c r="B578" s="5">
        <f>IF(A578="","",24)</f>
        <v/>
      </c>
      <c r="C578" s="17" t="n">
        <v>46504</v>
      </c>
      <c r="D578" s="5">
        <f>IF(A578="","",IF(C578=DATE(2026,11,29),"培训；注册午餐；早餐参数",IF(C578=DATE(2026,11,30),"培训；注册午餐",IF(C578=DATE(2026,12,1),"培训；注册午餐；机构晚餐",IF(C578=Options!$B$9,"抵达；"&amp;IF(C578=DATE(2026,11,28),"机构晚餐","无统一供餐"),IF(C578=Options!$B$10,"返程；"&amp;IF(C578=DATE(2026,12,2),"机构午餐","无统一供餐"),"差旅状态；无统一日程"))))))</f>
        <v/>
      </c>
      <c r="E578" s="13">
        <f>IF(C578=Options!$B$9,Options!$C$15,0)</f>
        <v/>
      </c>
      <c r="F578" s="13">
        <f>IF(AND(A578&lt;&gt;"",C578&lt;Options!$B$10),B578*Options!$X$5,0)</f>
        <v/>
      </c>
      <c r="G578" s="13">
        <f>F578*12%</f>
        <v/>
      </c>
      <c r="H578" s="13">
        <f>IF(A578="",0,B578*(92*IF(OR(C578=Options!$B$9,C578=Options!$B$10),75%,100%)-IF(C578=DATE(2026,11,29),26+IF(Options!$B$8="是",23,0),0)-IF(C578=DATE(2026,11,30),26,0)-IF(C578=DATE(2026,12,1),64,0)-IF(C578=DATE(2026,11,28),38,0)-IF(C578=DATE(2026,12,2),26,0)))</f>
        <v/>
      </c>
      <c r="I578" s="13">
        <f>IF(AND(C578&gt;=DATE(2026,11,29),C578&lt;=DATE(2026,12,1)),B578*60,0)</f>
        <v/>
      </c>
      <c r="J578" s="13">
        <f>IF(A578="",0,B578*(IF(C578=DATE(2026,11,28),38,0)+IF(C578=DATE(2026,12,1),38,0)+IF(C578=DATE(2026,12,2),26,0)))</f>
        <v/>
      </c>
      <c r="K578" s="13">
        <f>IF(C578=Options!$B$9,B578*12,0)</f>
        <v/>
      </c>
      <c r="L578" s="13">
        <f>IF(C578=Options!$B$9,B578*Options!$Z$5,0)</f>
        <v/>
      </c>
      <c r="M578" s="13" t="n">
        <v>0</v>
      </c>
      <c r="N578" s="13">
        <f>SUM(E578:M578)</f>
        <v/>
      </c>
    </row>
    <row r="579">
      <c r="A579" s="5">
        <f>IF(AND(C579&gt;=Options!$B$9,C579&lt;=Options!$B$10),"Chicago","")</f>
        <v/>
      </c>
      <c r="B579" s="5">
        <f>IF(A579="","",24)</f>
        <v/>
      </c>
      <c r="C579" s="17" t="n">
        <v>46505</v>
      </c>
      <c r="D579" s="5">
        <f>IF(A579="","",IF(C579=DATE(2026,11,29),"培训；注册午餐；早餐参数",IF(C579=DATE(2026,11,30),"培训；注册午餐",IF(C579=DATE(2026,12,1),"培训；注册午餐；机构晚餐",IF(C579=Options!$B$9,"抵达；"&amp;IF(C579=DATE(2026,11,28),"机构晚餐","无统一供餐"),IF(C579=Options!$B$10,"返程；"&amp;IF(C579=DATE(2026,12,2),"机构午餐","无统一供餐"),"差旅状态；无统一日程"))))))</f>
        <v/>
      </c>
      <c r="E579" s="13">
        <f>IF(C579=Options!$B$9,Options!$C$15,0)</f>
        <v/>
      </c>
      <c r="F579" s="13">
        <f>IF(AND(A579&lt;&gt;"",C579&lt;Options!$B$10),B579*Options!$X$5,0)</f>
        <v/>
      </c>
      <c r="G579" s="13">
        <f>F579*12%</f>
        <v/>
      </c>
      <c r="H579" s="13">
        <f>IF(A579="",0,B579*(92*IF(OR(C579=Options!$B$9,C579=Options!$B$10),75%,100%)-IF(C579=DATE(2026,11,29),26+IF(Options!$B$8="是",23,0),0)-IF(C579=DATE(2026,11,30),26,0)-IF(C579=DATE(2026,12,1),64,0)-IF(C579=DATE(2026,11,28),38,0)-IF(C579=DATE(2026,12,2),26,0)))</f>
        <v/>
      </c>
      <c r="I579" s="13">
        <f>IF(AND(C579&gt;=DATE(2026,11,29),C579&lt;=DATE(2026,12,1)),B579*60,0)</f>
        <v/>
      </c>
      <c r="J579" s="13">
        <f>IF(A579="",0,B579*(IF(C579=DATE(2026,11,28),38,0)+IF(C579=DATE(2026,12,1),38,0)+IF(C579=DATE(2026,12,2),26,0)))</f>
        <v/>
      </c>
      <c r="K579" s="13">
        <f>IF(C579=Options!$B$9,B579*12,0)</f>
        <v/>
      </c>
      <c r="L579" s="13">
        <f>IF(C579=Options!$B$9,B579*Options!$Z$5,0)</f>
        <v/>
      </c>
      <c r="M579" s="13" t="n">
        <v>0</v>
      </c>
      <c r="N579" s="13">
        <f>SUM(E579:M579)</f>
        <v/>
      </c>
    </row>
    <row r="580">
      <c r="A580" s="5">
        <f>IF(AND(C580&gt;=Options!$B$9,C580&lt;=Options!$B$10),"Chicago","")</f>
        <v/>
      </c>
      <c r="B580" s="5">
        <f>IF(A580="","",24)</f>
        <v/>
      </c>
      <c r="C580" s="17" t="n">
        <v>46506</v>
      </c>
      <c r="D580" s="5">
        <f>IF(A580="","",IF(C580=DATE(2026,11,29),"培训；注册午餐；早餐参数",IF(C580=DATE(2026,11,30),"培训；注册午餐",IF(C580=DATE(2026,12,1),"培训；注册午餐；机构晚餐",IF(C580=Options!$B$9,"抵达；"&amp;IF(C580=DATE(2026,11,28),"机构晚餐","无统一供餐"),IF(C580=Options!$B$10,"返程；"&amp;IF(C580=DATE(2026,12,2),"机构午餐","无统一供餐"),"差旅状态；无统一日程"))))))</f>
        <v/>
      </c>
      <c r="E580" s="13">
        <f>IF(C580=Options!$B$9,Options!$C$15,0)</f>
        <v/>
      </c>
      <c r="F580" s="13">
        <f>IF(AND(A580&lt;&gt;"",C580&lt;Options!$B$10),B580*Options!$X$5,0)</f>
        <v/>
      </c>
      <c r="G580" s="13">
        <f>F580*12%</f>
        <v/>
      </c>
      <c r="H580" s="13">
        <f>IF(A580="",0,B580*(92*IF(OR(C580=Options!$B$9,C580=Options!$B$10),75%,100%)-IF(C580=DATE(2026,11,29),26+IF(Options!$B$8="是",23,0),0)-IF(C580=DATE(2026,11,30),26,0)-IF(C580=DATE(2026,12,1),64,0)-IF(C580=DATE(2026,11,28),38,0)-IF(C580=DATE(2026,12,2),26,0)))</f>
        <v/>
      </c>
      <c r="I580" s="13">
        <f>IF(AND(C580&gt;=DATE(2026,11,29),C580&lt;=DATE(2026,12,1)),B580*60,0)</f>
        <v/>
      </c>
      <c r="J580" s="13">
        <f>IF(A580="",0,B580*(IF(C580=DATE(2026,11,28),38,0)+IF(C580=DATE(2026,12,1),38,0)+IF(C580=DATE(2026,12,2),26,0)))</f>
        <v/>
      </c>
      <c r="K580" s="13">
        <f>IF(C580=Options!$B$9,B580*12,0)</f>
        <v/>
      </c>
      <c r="L580" s="13">
        <f>IF(C580=Options!$B$9,B580*Options!$Z$5,0)</f>
        <v/>
      </c>
      <c r="M580" s="13" t="n">
        <v>0</v>
      </c>
      <c r="N580" s="13">
        <f>SUM(E580:M580)</f>
        <v/>
      </c>
    </row>
    <row r="581">
      <c r="A581" s="5">
        <f>IF(AND(C581&gt;=Options!$B$9,C581&lt;=Options!$B$10),"Chicago","")</f>
        <v/>
      </c>
      <c r="B581" s="5">
        <f>IF(A581="","",24)</f>
        <v/>
      </c>
      <c r="C581" s="17" t="n">
        <v>46507</v>
      </c>
      <c r="D581" s="5">
        <f>IF(A581="","",IF(C581=DATE(2026,11,29),"培训；注册午餐；早餐参数",IF(C581=DATE(2026,11,30),"培训；注册午餐",IF(C581=DATE(2026,12,1),"培训；注册午餐；机构晚餐",IF(C581=Options!$B$9,"抵达；"&amp;IF(C581=DATE(2026,11,28),"机构晚餐","无统一供餐"),IF(C581=Options!$B$10,"返程；"&amp;IF(C581=DATE(2026,12,2),"机构午餐","无统一供餐"),"差旅状态；无统一日程"))))))</f>
        <v/>
      </c>
      <c r="E581" s="13">
        <f>IF(C581=Options!$B$9,Options!$C$15,0)</f>
        <v/>
      </c>
      <c r="F581" s="13">
        <f>IF(AND(A581&lt;&gt;"",C581&lt;Options!$B$10),B581*Options!$X$5,0)</f>
        <v/>
      </c>
      <c r="G581" s="13">
        <f>F581*12%</f>
        <v/>
      </c>
      <c r="H581" s="13">
        <f>IF(A581="",0,B581*(92*IF(OR(C581=Options!$B$9,C581=Options!$B$10),75%,100%)-IF(C581=DATE(2026,11,29),26+IF(Options!$B$8="是",23,0),0)-IF(C581=DATE(2026,11,30),26,0)-IF(C581=DATE(2026,12,1),64,0)-IF(C581=DATE(2026,11,28),38,0)-IF(C581=DATE(2026,12,2),26,0)))</f>
        <v/>
      </c>
      <c r="I581" s="13">
        <f>IF(AND(C581&gt;=DATE(2026,11,29),C581&lt;=DATE(2026,12,1)),B581*60,0)</f>
        <v/>
      </c>
      <c r="J581" s="13">
        <f>IF(A581="",0,B581*(IF(C581=DATE(2026,11,28),38,0)+IF(C581=DATE(2026,12,1),38,0)+IF(C581=DATE(2026,12,2),26,0)))</f>
        <v/>
      </c>
      <c r="K581" s="13">
        <f>IF(C581=Options!$B$9,B581*12,0)</f>
        <v/>
      </c>
      <c r="L581" s="13">
        <f>IF(C581=Options!$B$9,B581*Options!$Z$5,0)</f>
        <v/>
      </c>
      <c r="M581" s="13" t="n">
        <v>0</v>
      </c>
      <c r="N581" s="13">
        <f>SUM(E581:M581)</f>
        <v/>
      </c>
    </row>
    <row r="582">
      <c r="A582" s="5">
        <f>IF(AND(C582&gt;=Options!$B$9,C582&lt;=Options!$B$10),"Chicago","")</f>
        <v/>
      </c>
      <c r="B582" s="5">
        <f>IF(A582="","",24)</f>
        <v/>
      </c>
      <c r="C582" s="17" t="n">
        <v>46508</v>
      </c>
      <c r="D582" s="5">
        <f>IF(A582="","",IF(C582=DATE(2026,11,29),"培训；注册午餐；早餐参数",IF(C582=DATE(2026,11,30),"培训；注册午餐",IF(C582=DATE(2026,12,1),"培训；注册午餐；机构晚餐",IF(C582=Options!$B$9,"抵达；"&amp;IF(C582=DATE(2026,11,28),"机构晚餐","无统一供餐"),IF(C582=Options!$B$10,"返程；"&amp;IF(C582=DATE(2026,12,2),"机构午餐","无统一供餐"),"差旅状态；无统一日程"))))))</f>
        <v/>
      </c>
      <c r="E582" s="13">
        <f>IF(C582=Options!$B$9,Options!$C$15,0)</f>
        <v/>
      </c>
      <c r="F582" s="13">
        <f>IF(AND(A582&lt;&gt;"",C582&lt;Options!$B$10),B582*Options!$X$5,0)</f>
        <v/>
      </c>
      <c r="G582" s="13">
        <f>F582*12%</f>
        <v/>
      </c>
      <c r="H582" s="13">
        <f>IF(A582="",0,B582*(92*IF(OR(C582=Options!$B$9,C582=Options!$B$10),75%,100%)-IF(C582=DATE(2026,11,29),26+IF(Options!$B$8="是",23,0),0)-IF(C582=DATE(2026,11,30),26,0)-IF(C582=DATE(2026,12,1),64,0)-IF(C582=DATE(2026,11,28),38,0)-IF(C582=DATE(2026,12,2),26,0)))</f>
        <v/>
      </c>
      <c r="I582" s="13">
        <f>IF(AND(C582&gt;=DATE(2026,11,29),C582&lt;=DATE(2026,12,1)),B582*60,0)</f>
        <v/>
      </c>
      <c r="J582" s="13">
        <f>IF(A582="",0,B582*(IF(C582=DATE(2026,11,28),38,0)+IF(C582=DATE(2026,12,1),38,0)+IF(C582=DATE(2026,12,2),26,0)))</f>
        <v/>
      </c>
      <c r="K582" s="13">
        <f>IF(C582=Options!$B$9,B582*12,0)</f>
        <v/>
      </c>
      <c r="L582" s="13">
        <f>IF(C582=Options!$B$9,B582*Options!$Z$5,0)</f>
        <v/>
      </c>
      <c r="M582" s="13" t="n">
        <v>0</v>
      </c>
      <c r="N582" s="13">
        <f>SUM(E582:M582)</f>
        <v/>
      </c>
    </row>
    <row r="583">
      <c r="A583" s="5">
        <f>IF(AND(C583&gt;=Options!$B$9,C583&lt;=Options!$B$10),"Chicago","")</f>
        <v/>
      </c>
      <c r="B583" s="5">
        <f>IF(A583="","",24)</f>
        <v/>
      </c>
      <c r="C583" s="17" t="n">
        <v>46509</v>
      </c>
      <c r="D583" s="5">
        <f>IF(A583="","",IF(C583=DATE(2026,11,29),"培训；注册午餐；早餐参数",IF(C583=DATE(2026,11,30),"培训；注册午餐",IF(C583=DATE(2026,12,1),"培训；注册午餐；机构晚餐",IF(C583=Options!$B$9,"抵达；"&amp;IF(C583=DATE(2026,11,28),"机构晚餐","无统一供餐"),IF(C583=Options!$B$10,"返程；"&amp;IF(C583=DATE(2026,12,2),"机构午餐","无统一供餐"),"差旅状态；无统一日程"))))))</f>
        <v/>
      </c>
      <c r="E583" s="13">
        <f>IF(C583=Options!$B$9,Options!$C$15,0)</f>
        <v/>
      </c>
      <c r="F583" s="13">
        <f>IF(AND(A583&lt;&gt;"",C583&lt;Options!$B$10),B583*Options!$X$5,0)</f>
        <v/>
      </c>
      <c r="G583" s="13">
        <f>F583*12%</f>
        <v/>
      </c>
      <c r="H583" s="13">
        <f>IF(A583="",0,B583*(92*IF(OR(C583=Options!$B$9,C583=Options!$B$10),75%,100%)-IF(C583=DATE(2026,11,29),26+IF(Options!$B$8="是",23,0),0)-IF(C583=DATE(2026,11,30),26,0)-IF(C583=DATE(2026,12,1),64,0)-IF(C583=DATE(2026,11,28),38,0)-IF(C583=DATE(2026,12,2),26,0)))</f>
        <v/>
      </c>
      <c r="I583" s="13">
        <f>IF(AND(C583&gt;=DATE(2026,11,29),C583&lt;=DATE(2026,12,1)),B583*60,0)</f>
        <v/>
      </c>
      <c r="J583" s="13">
        <f>IF(A583="",0,B583*(IF(C583=DATE(2026,11,28),38,0)+IF(C583=DATE(2026,12,1),38,0)+IF(C583=DATE(2026,12,2),26,0)))</f>
        <v/>
      </c>
      <c r="K583" s="13">
        <f>IF(C583=Options!$B$9,B583*12,0)</f>
        <v/>
      </c>
      <c r="L583" s="13">
        <f>IF(C583=Options!$B$9,B583*Options!$Z$5,0)</f>
        <v/>
      </c>
      <c r="M583" s="13" t="n">
        <v>0</v>
      </c>
      <c r="N583" s="13">
        <f>SUM(E583:M583)</f>
        <v/>
      </c>
    </row>
    <row r="584">
      <c r="A584" s="5">
        <f>IF(AND(C584&gt;=Options!$B$9,C584&lt;=Options!$B$10),"Chicago","")</f>
        <v/>
      </c>
      <c r="B584" s="5">
        <f>IF(A584="","",24)</f>
        <v/>
      </c>
      <c r="C584" s="17" t="n">
        <v>46510</v>
      </c>
      <c r="D584" s="5">
        <f>IF(A584="","",IF(C584=DATE(2026,11,29),"培训；注册午餐；早餐参数",IF(C584=DATE(2026,11,30),"培训；注册午餐",IF(C584=DATE(2026,12,1),"培训；注册午餐；机构晚餐",IF(C584=Options!$B$9,"抵达；"&amp;IF(C584=DATE(2026,11,28),"机构晚餐","无统一供餐"),IF(C584=Options!$B$10,"返程；"&amp;IF(C584=DATE(2026,12,2),"机构午餐","无统一供餐"),"差旅状态；无统一日程"))))))</f>
        <v/>
      </c>
      <c r="E584" s="13">
        <f>IF(C584=Options!$B$9,Options!$C$15,0)</f>
        <v/>
      </c>
      <c r="F584" s="13">
        <f>IF(AND(A584&lt;&gt;"",C584&lt;Options!$B$10),B584*Options!$X$5,0)</f>
        <v/>
      </c>
      <c r="G584" s="13">
        <f>F584*12%</f>
        <v/>
      </c>
      <c r="H584" s="13">
        <f>IF(A584="",0,B584*(92*IF(OR(C584=Options!$B$9,C584=Options!$B$10),75%,100%)-IF(C584=DATE(2026,11,29),26+IF(Options!$B$8="是",23,0),0)-IF(C584=DATE(2026,11,30),26,0)-IF(C584=DATE(2026,12,1),64,0)-IF(C584=DATE(2026,11,28),38,0)-IF(C584=DATE(2026,12,2),26,0)))</f>
        <v/>
      </c>
      <c r="I584" s="13">
        <f>IF(AND(C584&gt;=DATE(2026,11,29),C584&lt;=DATE(2026,12,1)),B584*60,0)</f>
        <v/>
      </c>
      <c r="J584" s="13">
        <f>IF(A584="",0,B584*(IF(C584=DATE(2026,11,28),38,0)+IF(C584=DATE(2026,12,1),38,0)+IF(C584=DATE(2026,12,2),26,0)))</f>
        <v/>
      </c>
      <c r="K584" s="13">
        <f>IF(C584=Options!$B$9,B584*12,0)</f>
        <v/>
      </c>
      <c r="L584" s="13">
        <f>IF(C584=Options!$B$9,B584*Options!$Z$5,0)</f>
        <v/>
      </c>
      <c r="M584" s="13" t="n">
        <v>0</v>
      </c>
      <c r="N584" s="13">
        <f>SUM(E584:M584)</f>
        <v/>
      </c>
    </row>
    <row r="585">
      <c r="A585" s="5">
        <f>IF(AND(C585&gt;=Options!$B$9,C585&lt;=Options!$B$10),"Chicago","")</f>
        <v/>
      </c>
      <c r="B585" s="5">
        <f>IF(A585="","",24)</f>
        <v/>
      </c>
      <c r="C585" s="17" t="n">
        <v>46511</v>
      </c>
      <c r="D585" s="5">
        <f>IF(A585="","",IF(C585=DATE(2026,11,29),"培训；注册午餐；早餐参数",IF(C585=DATE(2026,11,30),"培训；注册午餐",IF(C585=DATE(2026,12,1),"培训；注册午餐；机构晚餐",IF(C585=Options!$B$9,"抵达；"&amp;IF(C585=DATE(2026,11,28),"机构晚餐","无统一供餐"),IF(C585=Options!$B$10,"返程；"&amp;IF(C585=DATE(2026,12,2),"机构午餐","无统一供餐"),"差旅状态；无统一日程"))))))</f>
        <v/>
      </c>
      <c r="E585" s="13">
        <f>IF(C585=Options!$B$9,Options!$C$15,0)</f>
        <v/>
      </c>
      <c r="F585" s="13">
        <f>IF(AND(A585&lt;&gt;"",C585&lt;Options!$B$10),B585*Options!$X$5,0)</f>
        <v/>
      </c>
      <c r="G585" s="13">
        <f>F585*12%</f>
        <v/>
      </c>
      <c r="H585" s="13">
        <f>IF(A585="",0,B585*(92*IF(OR(C585=Options!$B$9,C585=Options!$B$10),75%,100%)-IF(C585=DATE(2026,11,29),26+IF(Options!$B$8="是",23,0),0)-IF(C585=DATE(2026,11,30),26,0)-IF(C585=DATE(2026,12,1),64,0)-IF(C585=DATE(2026,11,28),38,0)-IF(C585=DATE(2026,12,2),26,0)))</f>
        <v/>
      </c>
      <c r="I585" s="13">
        <f>IF(AND(C585&gt;=DATE(2026,11,29),C585&lt;=DATE(2026,12,1)),B585*60,0)</f>
        <v/>
      </c>
      <c r="J585" s="13">
        <f>IF(A585="",0,B585*(IF(C585=DATE(2026,11,28),38,0)+IF(C585=DATE(2026,12,1),38,0)+IF(C585=DATE(2026,12,2),26,0)))</f>
        <v/>
      </c>
      <c r="K585" s="13">
        <f>IF(C585=Options!$B$9,B585*12,0)</f>
        <v/>
      </c>
      <c r="L585" s="13">
        <f>IF(C585=Options!$B$9,B585*Options!$Z$5,0)</f>
        <v/>
      </c>
      <c r="M585" s="13" t="n">
        <v>0</v>
      </c>
      <c r="N585" s="13">
        <f>SUM(E585:M585)</f>
        <v/>
      </c>
    </row>
    <row r="586">
      <c r="A586" s="5">
        <f>IF(AND(C586&gt;=Options!$B$9,C586&lt;=Options!$B$10),"Chicago","")</f>
        <v/>
      </c>
      <c r="B586" s="5">
        <f>IF(A586="","",24)</f>
        <v/>
      </c>
      <c r="C586" s="17" t="n">
        <v>46512</v>
      </c>
      <c r="D586" s="5">
        <f>IF(A586="","",IF(C586=DATE(2026,11,29),"培训；注册午餐；早餐参数",IF(C586=DATE(2026,11,30),"培训；注册午餐",IF(C586=DATE(2026,12,1),"培训；注册午餐；机构晚餐",IF(C586=Options!$B$9,"抵达；"&amp;IF(C586=DATE(2026,11,28),"机构晚餐","无统一供餐"),IF(C586=Options!$B$10,"返程；"&amp;IF(C586=DATE(2026,12,2),"机构午餐","无统一供餐"),"差旅状态；无统一日程"))))))</f>
        <v/>
      </c>
      <c r="E586" s="13">
        <f>IF(C586=Options!$B$9,Options!$C$15,0)</f>
        <v/>
      </c>
      <c r="F586" s="13">
        <f>IF(AND(A586&lt;&gt;"",C586&lt;Options!$B$10),B586*Options!$X$5,0)</f>
        <v/>
      </c>
      <c r="G586" s="13">
        <f>F586*12%</f>
        <v/>
      </c>
      <c r="H586" s="13">
        <f>IF(A586="",0,B586*(92*IF(OR(C586=Options!$B$9,C586=Options!$B$10),75%,100%)-IF(C586=DATE(2026,11,29),26+IF(Options!$B$8="是",23,0),0)-IF(C586=DATE(2026,11,30),26,0)-IF(C586=DATE(2026,12,1),64,0)-IF(C586=DATE(2026,11,28),38,0)-IF(C586=DATE(2026,12,2),26,0)))</f>
        <v/>
      </c>
      <c r="I586" s="13">
        <f>IF(AND(C586&gt;=DATE(2026,11,29),C586&lt;=DATE(2026,12,1)),B586*60,0)</f>
        <v/>
      </c>
      <c r="J586" s="13">
        <f>IF(A586="",0,B586*(IF(C586=DATE(2026,11,28),38,0)+IF(C586=DATE(2026,12,1),38,0)+IF(C586=DATE(2026,12,2),26,0)))</f>
        <v/>
      </c>
      <c r="K586" s="13">
        <f>IF(C586=Options!$B$9,B586*12,0)</f>
        <v/>
      </c>
      <c r="L586" s="13">
        <f>IF(C586=Options!$B$9,B586*Options!$Z$5,0)</f>
        <v/>
      </c>
      <c r="M586" s="13" t="n">
        <v>0</v>
      </c>
      <c r="N586" s="13">
        <f>SUM(E586:M586)</f>
        <v/>
      </c>
    </row>
    <row r="587">
      <c r="A587" s="5">
        <f>IF(AND(C587&gt;=Options!$B$9,C587&lt;=Options!$B$10),"Chicago","")</f>
        <v/>
      </c>
      <c r="B587" s="5">
        <f>IF(A587="","",24)</f>
        <v/>
      </c>
      <c r="C587" s="17" t="n">
        <v>46513</v>
      </c>
      <c r="D587" s="5">
        <f>IF(A587="","",IF(C587=DATE(2026,11,29),"培训；注册午餐；早餐参数",IF(C587=DATE(2026,11,30),"培训；注册午餐",IF(C587=DATE(2026,12,1),"培训；注册午餐；机构晚餐",IF(C587=Options!$B$9,"抵达；"&amp;IF(C587=DATE(2026,11,28),"机构晚餐","无统一供餐"),IF(C587=Options!$B$10,"返程；"&amp;IF(C587=DATE(2026,12,2),"机构午餐","无统一供餐"),"差旅状态；无统一日程"))))))</f>
        <v/>
      </c>
      <c r="E587" s="13">
        <f>IF(C587=Options!$B$9,Options!$C$15,0)</f>
        <v/>
      </c>
      <c r="F587" s="13">
        <f>IF(AND(A587&lt;&gt;"",C587&lt;Options!$B$10),B587*Options!$X$5,0)</f>
        <v/>
      </c>
      <c r="G587" s="13">
        <f>F587*12%</f>
        <v/>
      </c>
      <c r="H587" s="13">
        <f>IF(A587="",0,B587*(92*IF(OR(C587=Options!$B$9,C587=Options!$B$10),75%,100%)-IF(C587=DATE(2026,11,29),26+IF(Options!$B$8="是",23,0),0)-IF(C587=DATE(2026,11,30),26,0)-IF(C587=DATE(2026,12,1),64,0)-IF(C587=DATE(2026,11,28),38,0)-IF(C587=DATE(2026,12,2),26,0)))</f>
        <v/>
      </c>
      <c r="I587" s="13">
        <f>IF(AND(C587&gt;=DATE(2026,11,29),C587&lt;=DATE(2026,12,1)),B587*60,0)</f>
        <v/>
      </c>
      <c r="J587" s="13">
        <f>IF(A587="",0,B587*(IF(C587=DATE(2026,11,28),38,0)+IF(C587=DATE(2026,12,1),38,0)+IF(C587=DATE(2026,12,2),26,0)))</f>
        <v/>
      </c>
      <c r="K587" s="13">
        <f>IF(C587=Options!$B$9,B587*12,0)</f>
        <v/>
      </c>
      <c r="L587" s="13">
        <f>IF(C587=Options!$B$9,B587*Options!$Z$5,0)</f>
        <v/>
      </c>
      <c r="M587" s="13" t="n">
        <v>0</v>
      </c>
      <c r="N587" s="13">
        <f>SUM(E587:M587)</f>
        <v/>
      </c>
    </row>
    <row r="588">
      <c r="A588" s="5">
        <f>IF(AND(C588&gt;=Options!$B$9,C588&lt;=Options!$B$10),"Chicago","")</f>
        <v/>
      </c>
      <c r="B588" s="5">
        <f>IF(A588="","",24)</f>
        <v/>
      </c>
      <c r="C588" s="17" t="n">
        <v>46514</v>
      </c>
      <c r="D588" s="5">
        <f>IF(A588="","",IF(C588=DATE(2026,11,29),"培训；注册午餐；早餐参数",IF(C588=DATE(2026,11,30),"培训；注册午餐",IF(C588=DATE(2026,12,1),"培训；注册午餐；机构晚餐",IF(C588=Options!$B$9,"抵达；"&amp;IF(C588=DATE(2026,11,28),"机构晚餐","无统一供餐"),IF(C588=Options!$B$10,"返程；"&amp;IF(C588=DATE(2026,12,2),"机构午餐","无统一供餐"),"差旅状态；无统一日程"))))))</f>
        <v/>
      </c>
      <c r="E588" s="13">
        <f>IF(C588=Options!$B$9,Options!$C$15,0)</f>
        <v/>
      </c>
      <c r="F588" s="13">
        <f>IF(AND(A588&lt;&gt;"",C588&lt;Options!$B$10),B588*Options!$X$5,0)</f>
        <v/>
      </c>
      <c r="G588" s="13">
        <f>F588*12%</f>
        <v/>
      </c>
      <c r="H588" s="13">
        <f>IF(A588="",0,B588*(92*IF(OR(C588=Options!$B$9,C588=Options!$B$10),75%,100%)-IF(C588=DATE(2026,11,29),26+IF(Options!$B$8="是",23,0),0)-IF(C588=DATE(2026,11,30),26,0)-IF(C588=DATE(2026,12,1),64,0)-IF(C588=DATE(2026,11,28),38,0)-IF(C588=DATE(2026,12,2),26,0)))</f>
        <v/>
      </c>
      <c r="I588" s="13">
        <f>IF(AND(C588&gt;=DATE(2026,11,29),C588&lt;=DATE(2026,12,1)),B588*60,0)</f>
        <v/>
      </c>
      <c r="J588" s="13">
        <f>IF(A588="",0,B588*(IF(C588=DATE(2026,11,28),38,0)+IF(C588=DATE(2026,12,1),38,0)+IF(C588=DATE(2026,12,2),26,0)))</f>
        <v/>
      </c>
      <c r="K588" s="13">
        <f>IF(C588=Options!$B$9,B588*12,0)</f>
        <v/>
      </c>
      <c r="L588" s="13">
        <f>IF(C588=Options!$B$9,B588*Options!$Z$5,0)</f>
        <v/>
      </c>
      <c r="M588" s="13" t="n">
        <v>0</v>
      </c>
      <c r="N588" s="13">
        <f>SUM(E588:M588)</f>
        <v/>
      </c>
    </row>
    <row r="589">
      <c r="A589" s="5">
        <f>IF(AND(C589&gt;=Options!$B$9,C589&lt;=Options!$B$10),"Chicago","")</f>
        <v/>
      </c>
      <c r="B589" s="5">
        <f>IF(A589="","",24)</f>
        <v/>
      </c>
      <c r="C589" s="17" t="n">
        <v>46515</v>
      </c>
      <c r="D589" s="5">
        <f>IF(A589="","",IF(C589=DATE(2026,11,29),"培训；注册午餐；早餐参数",IF(C589=DATE(2026,11,30),"培训；注册午餐",IF(C589=DATE(2026,12,1),"培训；注册午餐；机构晚餐",IF(C589=Options!$B$9,"抵达；"&amp;IF(C589=DATE(2026,11,28),"机构晚餐","无统一供餐"),IF(C589=Options!$B$10,"返程；"&amp;IF(C589=DATE(2026,12,2),"机构午餐","无统一供餐"),"差旅状态；无统一日程"))))))</f>
        <v/>
      </c>
      <c r="E589" s="13">
        <f>IF(C589=Options!$B$9,Options!$C$15,0)</f>
        <v/>
      </c>
      <c r="F589" s="13">
        <f>IF(AND(A589&lt;&gt;"",C589&lt;Options!$B$10),B589*Options!$X$5,0)</f>
        <v/>
      </c>
      <c r="G589" s="13">
        <f>F589*12%</f>
        <v/>
      </c>
      <c r="H589" s="13">
        <f>IF(A589="",0,B589*(92*IF(OR(C589=Options!$B$9,C589=Options!$B$10),75%,100%)-IF(C589=DATE(2026,11,29),26+IF(Options!$B$8="是",23,0),0)-IF(C589=DATE(2026,11,30),26,0)-IF(C589=DATE(2026,12,1),64,0)-IF(C589=DATE(2026,11,28),38,0)-IF(C589=DATE(2026,12,2),26,0)))</f>
        <v/>
      </c>
      <c r="I589" s="13">
        <f>IF(AND(C589&gt;=DATE(2026,11,29),C589&lt;=DATE(2026,12,1)),B589*60,0)</f>
        <v/>
      </c>
      <c r="J589" s="13">
        <f>IF(A589="",0,B589*(IF(C589=DATE(2026,11,28),38,0)+IF(C589=DATE(2026,12,1),38,0)+IF(C589=DATE(2026,12,2),26,0)))</f>
        <v/>
      </c>
      <c r="K589" s="13">
        <f>IF(C589=Options!$B$9,B589*12,0)</f>
        <v/>
      </c>
      <c r="L589" s="13">
        <f>IF(C589=Options!$B$9,B589*Options!$Z$5,0)</f>
        <v/>
      </c>
      <c r="M589" s="13" t="n">
        <v>0</v>
      </c>
      <c r="N589" s="13">
        <f>SUM(E589:M589)</f>
        <v/>
      </c>
    </row>
    <row r="590">
      <c r="A590" s="5">
        <f>IF(AND(C590&gt;=Options!$B$9,C590&lt;=Options!$B$10),"Chicago","")</f>
        <v/>
      </c>
      <c r="B590" s="5">
        <f>IF(A590="","",24)</f>
        <v/>
      </c>
      <c r="C590" s="17" t="n">
        <v>46516</v>
      </c>
      <c r="D590" s="5">
        <f>IF(A590="","",IF(C590=DATE(2026,11,29),"培训；注册午餐；早餐参数",IF(C590=DATE(2026,11,30),"培训；注册午餐",IF(C590=DATE(2026,12,1),"培训；注册午餐；机构晚餐",IF(C590=Options!$B$9,"抵达；"&amp;IF(C590=DATE(2026,11,28),"机构晚餐","无统一供餐"),IF(C590=Options!$B$10,"返程；"&amp;IF(C590=DATE(2026,12,2),"机构午餐","无统一供餐"),"差旅状态；无统一日程"))))))</f>
        <v/>
      </c>
      <c r="E590" s="13">
        <f>IF(C590=Options!$B$9,Options!$C$15,0)</f>
        <v/>
      </c>
      <c r="F590" s="13">
        <f>IF(AND(A590&lt;&gt;"",C590&lt;Options!$B$10),B590*Options!$X$5,0)</f>
        <v/>
      </c>
      <c r="G590" s="13">
        <f>F590*12%</f>
        <v/>
      </c>
      <c r="H590" s="13">
        <f>IF(A590="",0,B590*(92*IF(OR(C590=Options!$B$9,C590=Options!$B$10),75%,100%)-IF(C590=DATE(2026,11,29),26+IF(Options!$B$8="是",23,0),0)-IF(C590=DATE(2026,11,30),26,0)-IF(C590=DATE(2026,12,1),64,0)-IF(C590=DATE(2026,11,28),38,0)-IF(C590=DATE(2026,12,2),26,0)))</f>
        <v/>
      </c>
      <c r="I590" s="13">
        <f>IF(AND(C590&gt;=DATE(2026,11,29),C590&lt;=DATE(2026,12,1)),B590*60,0)</f>
        <v/>
      </c>
      <c r="J590" s="13">
        <f>IF(A590="",0,B590*(IF(C590=DATE(2026,11,28),38,0)+IF(C590=DATE(2026,12,1),38,0)+IF(C590=DATE(2026,12,2),26,0)))</f>
        <v/>
      </c>
      <c r="K590" s="13">
        <f>IF(C590=Options!$B$9,B590*12,0)</f>
        <v/>
      </c>
      <c r="L590" s="13">
        <f>IF(C590=Options!$B$9,B590*Options!$Z$5,0)</f>
        <v/>
      </c>
      <c r="M590" s="13" t="n">
        <v>0</v>
      </c>
      <c r="N590" s="13">
        <f>SUM(E590:M590)</f>
        <v/>
      </c>
    </row>
    <row r="591">
      <c r="A591" s="5">
        <f>IF(AND(C591&gt;=Options!$B$9,C591&lt;=Options!$B$10),"Chicago","")</f>
        <v/>
      </c>
      <c r="B591" s="5">
        <f>IF(A591="","",24)</f>
        <v/>
      </c>
      <c r="C591" s="17" t="n">
        <v>46517</v>
      </c>
      <c r="D591" s="5">
        <f>IF(A591="","",IF(C591=DATE(2026,11,29),"培训；注册午餐；早餐参数",IF(C591=DATE(2026,11,30),"培训；注册午餐",IF(C591=DATE(2026,12,1),"培训；注册午餐；机构晚餐",IF(C591=Options!$B$9,"抵达；"&amp;IF(C591=DATE(2026,11,28),"机构晚餐","无统一供餐"),IF(C591=Options!$B$10,"返程；"&amp;IF(C591=DATE(2026,12,2),"机构午餐","无统一供餐"),"差旅状态；无统一日程"))))))</f>
        <v/>
      </c>
      <c r="E591" s="13">
        <f>IF(C591=Options!$B$9,Options!$C$15,0)</f>
        <v/>
      </c>
      <c r="F591" s="13">
        <f>IF(AND(A591&lt;&gt;"",C591&lt;Options!$B$10),B591*Options!$X$5,0)</f>
        <v/>
      </c>
      <c r="G591" s="13">
        <f>F591*12%</f>
        <v/>
      </c>
      <c r="H591" s="13">
        <f>IF(A591="",0,B591*(92*IF(OR(C591=Options!$B$9,C591=Options!$B$10),75%,100%)-IF(C591=DATE(2026,11,29),26+IF(Options!$B$8="是",23,0),0)-IF(C591=DATE(2026,11,30),26,0)-IF(C591=DATE(2026,12,1),64,0)-IF(C591=DATE(2026,11,28),38,0)-IF(C591=DATE(2026,12,2),26,0)))</f>
        <v/>
      </c>
      <c r="I591" s="13">
        <f>IF(AND(C591&gt;=DATE(2026,11,29),C591&lt;=DATE(2026,12,1)),B591*60,0)</f>
        <v/>
      </c>
      <c r="J591" s="13">
        <f>IF(A591="",0,B591*(IF(C591=DATE(2026,11,28),38,0)+IF(C591=DATE(2026,12,1),38,0)+IF(C591=DATE(2026,12,2),26,0)))</f>
        <v/>
      </c>
      <c r="K591" s="13">
        <f>IF(C591=Options!$B$9,B591*12,0)</f>
        <v/>
      </c>
      <c r="L591" s="13">
        <f>IF(C591=Options!$B$9,B591*Options!$Z$5,0)</f>
        <v/>
      </c>
      <c r="M591" s="13" t="n">
        <v>0</v>
      </c>
      <c r="N591" s="13">
        <f>SUM(E591:M591)</f>
        <v/>
      </c>
    </row>
    <row r="592">
      <c r="A592" s="5">
        <f>IF(AND(C592&gt;=Options!$B$9,C592&lt;=Options!$B$10),"Chicago","")</f>
        <v/>
      </c>
      <c r="B592" s="5">
        <f>IF(A592="","",24)</f>
        <v/>
      </c>
      <c r="C592" s="17" t="n">
        <v>46518</v>
      </c>
      <c r="D592" s="5">
        <f>IF(A592="","",IF(C592=DATE(2026,11,29),"培训；注册午餐；早餐参数",IF(C592=DATE(2026,11,30),"培训；注册午餐",IF(C592=DATE(2026,12,1),"培训；注册午餐；机构晚餐",IF(C592=Options!$B$9,"抵达；"&amp;IF(C592=DATE(2026,11,28),"机构晚餐","无统一供餐"),IF(C592=Options!$B$10,"返程；"&amp;IF(C592=DATE(2026,12,2),"机构午餐","无统一供餐"),"差旅状态；无统一日程"))))))</f>
        <v/>
      </c>
      <c r="E592" s="13">
        <f>IF(C592=Options!$B$9,Options!$C$15,0)</f>
        <v/>
      </c>
      <c r="F592" s="13">
        <f>IF(AND(A592&lt;&gt;"",C592&lt;Options!$B$10),B592*Options!$X$5,0)</f>
        <v/>
      </c>
      <c r="G592" s="13">
        <f>F592*12%</f>
        <v/>
      </c>
      <c r="H592" s="13">
        <f>IF(A592="",0,B592*(92*IF(OR(C592=Options!$B$9,C592=Options!$B$10),75%,100%)-IF(C592=DATE(2026,11,29),26+IF(Options!$B$8="是",23,0),0)-IF(C592=DATE(2026,11,30),26,0)-IF(C592=DATE(2026,12,1),64,0)-IF(C592=DATE(2026,11,28),38,0)-IF(C592=DATE(2026,12,2),26,0)))</f>
        <v/>
      </c>
      <c r="I592" s="13">
        <f>IF(AND(C592&gt;=DATE(2026,11,29),C592&lt;=DATE(2026,12,1)),B592*60,0)</f>
        <v/>
      </c>
      <c r="J592" s="13">
        <f>IF(A592="",0,B592*(IF(C592=DATE(2026,11,28),38,0)+IF(C592=DATE(2026,12,1),38,0)+IF(C592=DATE(2026,12,2),26,0)))</f>
        <v/>
      </c>
      <c r="K592" s="13">
        <f>IF(C592=Options!$B$9,B592*12,0)</f>
        <v/>
      </c>
      <c r="L592" s="13">
        <f>IF(C592=Options!$B$9,B592*Options!$Z$5,0)</f>
        <v/>
      </c>
      <c r="M592" s="13" t="n">
        <v>0</v>
      </c>
      <c r="N592" s="13">
        <f>SUM(E592:M592)</f>
        <v/>
      </c>
    </row>
    <row r="593">
      <c r="A593" s="5">
        <f>IF(AND(C593&gt;=Options!$B$9,C593&lt;=Options!$B$10),"Chicago","")</f>
        <v/>
      </c>
      <c r="B593" s="5">
        <f>IF(A593="","",24)</f>
        <v/>
      </c>
      <c r="C593" s="17" t="n">
        <v>46519</v>
      </c>
      <c r="D593" s="5">
        <f>IF(A593="","",IF(C593=DATE(2026,11,29),"培训；注册午餐；早餐参数",IF(C593=DATE(2026,11,30),"培训；注册午餐",IF(C593=DATE(2026,12,1),"培训；注册午餐；机构晚餐",IF(C593=Options!$B$9,"抵达；"&amp;IF(C593=DATE(2026,11,28),"机构晚餐","无统一供餐"),IF(C593=Options!$B$10,"返程；"&amp;IF(C593=DATE(2026,12,2),"机构午餐","无统一供餐"),"差旅状态；无统一日程"))))))</f>
        <v/>
      </c>
      <c r="E593" s="13">
        <f>IF(C593=Options!$B$9,Options!$C$15,0)</f>
        <v/>
      </c>
      <c r="F593" s="13">
        <f>IF(AND(A593&lt;&gt;"",C593&lt;Options!$B$10),B593*Options!$X$5,0)</f>
        <v/>
      </c>
      <c r="G593" s="13">
        <f>F593*12%</f>
        <v/>
      </c>
      <c r="H593" s="13">
        <f>IF(A593="",0,B593*(92*IF(OR(C593=Options!$B$9,C593=Options!$B$10),75%,100%)-IF(C593=DATE(2026,11,29),26+IF(Options!$B$8="是",23,0),0)-IF(C593=DATE(2026,11,30),26,0)-IF(C593=DATE(2026,12,1),64,0)-IF(C593=DATE(2026,11,28),38,0)-IF(C593=DATE(2026,12,2),26,0)))</f>
        <v/>
      </c>
      <c r="I593" s="13">
        <f>IF(AND(C593&gt;=DATE(2026,11,29),C593&lt;=DATE(2026,12,1)),B593*60,0)</f>
        <v/>
      </c>
      <c r="J593" s="13">
        <f>IF(A593="",0,B593*(IF(C593=DATE(2026,11,28),38,0)+IF(C593=DATE(2026,12,1),38,0)+IF(C593=DATE(2026,12,2),26,0)))</f>
        <v/>
      </c>
      <c r="K593" s="13">
        <f>IF(C593=Options!$B$9,B593*12,0)</f>
        <v/>
      </c>
      <c r="L593" s="13">
        <f>IF(C593=Options!$B$9,B593*Options!$Z$5,0)</f>
        <v/>
      </c>
      <c r="M593" s="13" t="n">
        <v>0</v>
      </c>
      <c r="N593" s="13">
        <f>SUM(E593:M593)</f>
        <v/>
      </c>
    </row>
    <row r="594">
      <c r="A594" s="5">
        <f>IF(AND(C594&gt;=Options!$B$9,C594&lt;=Options!$B$10),"Chicago","")</f>
        <v/>
      </c>
      <c r="B594" s="5">
        <f>IF(A594="","",24)</f>
        <v/>
      </c>
      <c r="C594" s="17" t="n">
        <v>46520</v>
      </c>
      <c r="D594" s="5">
        <f>IF(A594="","",IF(C594=DATE(2026,11,29),"培训；注册午餐；早餐参数",IF(C594=DATE(2026,11,30),"培训；注册午餐",IF(C594=DATE(2026,12,1),"培训；注册午餐；机构晚餐",IF(C594=Options!$B$9,"抵达；"&amp;IF(C594=DATE(2026,11,28),"机构晚餐","无统一供餐"),IF(C594=Options!$B$10,"返程；"&amp;IF(C594=DATE(2026,12,2),"机构午餐","无统一供餐"),"差旅状态；无统一日程"))))))</f>
        <v/>
      </c>
      <c r="E594" s="13">
        <f>IF(C594=Options!$B$9,Options!$C$15,0)</f>
        <v/>
      </c>
      <c r="F594" s="13">
        <f>IF(AND(A594&lt;&gt;"",C594&lt;Options!$B$10),B594*Options!$X$5,0)</f>
        <v/>
      </c>
      <c r="G594" s="13">
        <f>F594*12%</f>
        <v/>
      </c>
      <c r="H594" s="13">
        <f>IF(A594="",0,B594*(92*IF(OR(C594=Options!$B$9,C594=Options!$B$10),75%,100%)-IF(C594=DATE(2026,11,29),26+IF(Options!$B$8="是",23,0),0)-IF(C594=DATE(2026,11,30),26,0)-IF(C594=DATE(2026,12,1),64,0)-IF(C594=DATE(2026,11,28),38,0)-IF(C594=DATE(2026,12,2),26,0)))</f>
        <v/>
      </c>
      <c r="I594" s="13">
        <f>IF(AND(C594&gt;=DATE(2026,11,29),C594&lt;=DATE(2026,12,1)),B594*60,0)</f>
        <v/>
      </c>
      <c r="J594" s="13">
        <f>IF(A594="",0,B594*(IF(C594=DATE(2026,11,28),38,0)+IF(C594=DATE(2026,12,1),38,0)+IF(C594=DATE(2026,12,2),26,0)))</f>
        <v/>
      </c>
      <c r="K594" s="13">
        <f>IF(C594=Options!$B$9,B594*12,0)</f>
        <v/>
      </c>
      <c r="L594" s="13">
        <f>IF(C594=Options!$B$9,B594*Options!$Z$5,0)</f>
        <v/>
      </c>
      <c r="M594" s="13" t="n">
        <v>0</v>
      </c>
      <c r="N594" s="13">
        <f>SUM(E594:M594)</f>
        <v/>
      </c>
    </row>
    <row r="595">
      <c r="A595" s="5">
        <f>IF(AND(C595&gt;=Options!$B$9,C595&lt;=Options!$B$10),"Chicago","")</f>
        <v/>
      </c>
      <c r="B595" s="5">
        <f>IF(A595="","",24)</f>
        <v/>
      </c>
      <c r="C595" s="17" t="n">
        <v>46521</v>
      </c>
      <c r="D595" s="5">
        <f>IF(A595="","",IF(C595=DATE(2026,11,29),"培训；注册午餐；早餐参数",IF(C595=DATE(2026,11,30),"培训；注册午餐",IF(C595=DATE(2026,12,1),"培训；注册午餐；机构晚餐",IF(C595=Options!$B$9,"抵达；"&amp;IF(C595=DATE(2026,11,28),"机构晚餐","无统一供餐"),IF(C595=Options!$B$10,"返程；"&amp;IF(C595=DATE(2026,12,2),"机构午餐","无统一供餐"),"差旅状态；无统一日程"))))))</f>
        <v/>
      </c>
      <c r="E595" s="13">
        <f>IF(C595=Options!$B$9,Options!$C$15,0)</f>
        <v/>
      </c>
      <c r="F595" s="13">
        <f>IF(AND(A595&lt;&gt;"",C595&lt;Options!$B$10),B595*Options!$X$5,0)</f>
        <v/>
      </c>
      <c r="G595" s="13">
        <f>F595*12%</f>
        <v/>
      </c>
      <c r="H595" s="13">
        <f>IF(A595="",0,B595*(92*IF(OR(C595=Options!$B$9,C595=Options!$B$10),75%,100%)-IF(C595=DATE(2026,11,29),26+IF(Options!$B$8="是",23,0),0)-IF(C595=DATE(2026,11,30),26,0)-IF(C595=DATE(2026,12,1),64,0)-IF(C595=DATE(2026,11,28),38,0)-IF(C595=DATE(2026,12,2),26,0)))</f>
        <v/>
      </c>
      <c r="I595" s="13">
        <f>IF(AND(C595&gt;=DATE(2026,11,29),C595&lt;=DATE(2026,12,1)),B595*60,0)</f>
        <v/>
      </c>
      <c r="J595" s="13">
        <f>IF(A595="",0,B595*(IF(C595=DATE(2026,11,28),38,0)+IF(C595=DATE(2026,12,1),38,0)+IF(C595=DATE(2026,12,2),26,0)))</f>
        <v/>
      </c>
      <c r="K595" s="13">
        <f>IF(C595=Options!$B$9,B595*12,0)</f>
        <v/>
      </c>
      <c r="L595" s="13">
        <f>IF(C595=Options!$B$9,B595*Options!$Z$5,0)</f>
        <v/>
      </c>
      <c r="M595" s="13" t="n">
        <v>0</v>
      </c>
      <c r="N595" s="13">
        <f>SUM(E595:M595)</f>
        <v/>
      </c>
    </row>
    <row r="596">
      <c r="A596" s="5">
        <f>IF(AND(C596&gt;=Options!$B$9,C596&lt;=Options!$B$10),"Chicago","")</f>
        <v/>
      </c>
      <c r="B596" s="5">
        <f>IF(A596="","",24)</f>
        <v/>
      </c>
      <c r="C596" s="17" t="n">
        <v>46522</v>
      </c>
      <c r="D596" s="5">
        <f>IF(A596="","",IF(C596=DATE(2026,11,29),"培训；注册午餐；早餐参数",IF(C596=DATE(2026,11,30),"培训；注册午餐",IF(C596=DATE(2026,12,1),"培训；注册午餐；机构晚餐",IF(C596=Options!$B$9,"抵达；"&amp;IF(C596=DATE(2026,11,28),"机构晚餐","无统一供餐"),IF(C596=Options!$B$10,"返程；"&amp;IF(C596=DATE(2026,12,2),"机构午餐","无统一供餐"),"差旅状态；无统一日程"))))))</f>
        <v/>
      </c>
      <c r="E596" s="13">
        <f>IF(C596=Options!$B$9,Options!$C$15,0)</f>
        <v/>
      </c>
      <c r="F596" s="13">
        <f>IF(AND(A596&lt;&gt;"",C596&lt;Options!$B$10),B596*Options!$X$5,0)</f>
        <v/>
      </c>
      <c r="G596" s="13">
        <f>F596*12%</f>
        <v/>
      </c>
      <c r="H596" s="13">
        <f>IF(A596="",0,B596*(92*IF(OR(C596=Options!$B$9,C596=Options!$B$10),75%,100%)-IF(C596=DATE(2026,11,29),26+IF(Options!$B$8="是",23,0),0)-IF(C596=DATE(2026,11,30),26,0)-IF(C596=DATE(2026,12,1),64,0)-IF(C596=DATE(2026,11,28),38,0)-IF(C596=DATE(2026,12,2),26,0)))</f>
        <v/>
      </c>
      <c r="I596" s="13">
        <f>IF(AND(C596&gt;=DATE(2026,11,29),C596&lt;=DATE(2026,12,1)),B596*60,0)</f>
        <v/>
      </c>
      <c r="J596" s="13">
        <f>IF(A596="",0,B596*(IF(C596=DATE(2026,11,28),38,0)+IF(C596=DATE(2026,12,1),38,0)+IF(C596=DATE(2026,12,2),26,0)))</f>
        <v/>
      </c>
      <c r="K596" s="13">
        <f>IF(C596=Options!$B$9,B596*12,0)</f>
        <v/>
      </c>
      <c r="L596" s="13">
        <f>IF(C596=Options!$B$9,B596*Options!$Z$5,0)</f>
        <v/>
      </c>
      <c r="M596" s="13" t="n">
        <v>0</v>
      </c>
      <c r="N596" s="13">
        <f>SUM(E596:M596)</f>
        <v/>
      </c>
    </row>
    <row r="597">
      <c r="A597" s="5">
        <f>IF(AND(C597&gt;=Options!$B$9,C597&lt;=Options!$B$10),"Chicago","")</f>
        <v/>
      </c>
      <c r="B597" s="5">
        <f>IF(A597="","",24)</f>
        <v/>
      </c>
      <c r="C597" s="17" t="n">
        <v>46523</v>
      </c>
      <c r="D597" s="5">
        <f>IF(A597="","",IF(C597=DATE(2026,11,29),"培训；注册午餐；早餐参数",IF(C597=DATE(2026,11,30),"培训；注册午餐",IF(C597=DATE(2026,12,1),"培训；注册午餐；机构晚餐",IF(C597=Options!$B$9,"抵达；"&amp;IF(C597=DATE(2026,11,28),"机构晚餐","无统一供餐"),IF(C597=Options!$B$10,"返程；"&amp;IF(C597=DATE(2026,12,2),"机构午餐","无统一供餐"),"差旅状态；无统一日程"))))))</f>
        <v/>
      </c>
      <c r="E597" s="13">
        <f>IF(C597=Options!$B$9,Options!$C$15,0)</f>
        <v/>
      </c>
      <c r="F597" s="13">
        <f>IF(AND(A597&lt;&gt;"",C597&lt;Options!$B$10),B597*Options!$X$5,0)</f>
        <v/>
      </c>
      <c r="G597" s="13">
        <f>F597*12%</f>
        <v/>
      </c>
      <c r="H597" s="13">
        <f>IF(A597="",0,B597*(92*IF(OR(C597=Options!$B$9,C597=Options!$B$10),75%,100%)-IF(C597=DATE(2026,11,29),26+IF(Options!$B$8="是",23,0),0)-IF(C597=DATE(2026,11,30),26,0)-IF(C597=DATE(2026,12,1),64,0)-IF(C597=DATE(2026,11,28),38,0)-IF(C597=DATE(2026,12,2),26,0)))</f>
        <v/>
      </c>
      <c r="I597" s="13">
        <f>IF(AND(C597&gt;=DATE(2026,11,29),C597&lt;=DATE(2026,12,1)),B597*60,0)</f>
        <v/>
      </c>
      <c r="J597" s="13">
        <f>IF(A597="",0,B597*(IF(C597=DATE(2026,11,28),38,0)+IF(C597=DATE(2026,12,1),38,0)+IF(C597=DATE(2026,12,2),26,0)))</f>
        <v/>
      </c>
      <c r="K597" s="13">
        <f>IF(C597=Options!$B$9,B597*12,0)</f>
        <v/>
      </c>
      <c r="L597" s="13">
        <f>IF(C597=Options!$B$9,B597*Options!$Z$5,0)</f>
        <v/>
      </c>
      <c r="M597" s="13" t="n">
        <v>0</v>
      </c>
      <c r="N597" s="13">
        <f>SUM(E597:M597)</f>
        <v/>
      </c>
    </row>
    <row r="598">
      <c r="A598" s="5">
        <f>IF(AND(C598&gt;=Options!$B$9,C598&lt;=Options!$B$10),"Chicago","")</f>
        <v/>
      </c>
      <c r="B598" s="5">
        <f>IF(A598="","",24)</f>
        <v/>
      </c>
      <c r="C598" s="17" t="n">
        <v>46524</v>
      </c>
      <c r="D598" s="5">
        <f>IF(A598="","",IF(C598=DATE(2026,11,29),"培训；注册午餐；早餐参数",IF(C598=DATE(2026,11,30),"培训；注册午餐",IF(C598=DATE(2026,12,1),"培训；注册午餐；机构晚餐",IF(C598=Options!$B$9,"抵达；"&amp;IF(C598=DATE(2026,11,28),"机构晚餐","无统一供餐"),IF(C598=Options!$B$10,"返程；"&amp;IF(C598=DATE(2026,12,2),"机构午餐","无统一供餐"),"差旅状态；无统一日程"))))))</f>
        <v/>
      </c>
      <c r="E598" s="13">
        <f>IF(C598=Options!$B$9,Options!$C$15,0)</f>
        <v/>
      </c>
      <c r="F598" s="13">
        <f>IF(AND(A598&lt;&gt;"",C598&lt;Options!$B$10),B598*Options!$X$5,0)</f>
        <v/>
      </c>
      <c r="G598" s="13">
        <f>F598*12%</f>
        <v/>
      </c>
      <c r="H598" s="13">
        <f>IF(A598="",0,B598*(92*IF(OR(C598=Options!$B$9,C598=Options!$B$10),75%,100%)-IF(C598=DATE(2026,11,29),26+IF(Options!$B$8="是",23,0),0)-IF(C598=DATE(2026,11,30),26,0)-IF(C598=DATE(2026,12,1),64,0)-IF(C598=DATE(2026,11,28),38,0)-IF(C598=DATE(2026,12,2),26,0)))</f>
        <v/>
      </c>
      <c r="I598" s="13">
        <f>IF(AND(C598&gt;=DATE(2026,11,29),C598&lt;=DATE(2026,12,1)),B598*60,0)</f>
        <v/>
      </c>
      <c r="J598" s="13">
        <f>IF(A598="",0,B598*(IF(C598=DATE(2026,11,28),38,0)+IF(C598=DATE(2026,12,1),38,0)+IF(C598=DATE(2026,12,2),26,0)))</f>
        <v/>
      </c>
      <c r="K598" s="13">
        <f>IF(C598=Options!$B$9,B598*12,0)</f>
        <v/>
      </c>
      <c r="L598" s="13">
        <f>IF(C598=Options!$B$9,B598*Options!$Z$5,0)</f>
        <v/>
      </c>
      <c r="M598" s="13" t="n">
        <v>0</v>
      </c>
      <c r="N598" s="13">
        <f>SUM(E598:M598)</f>
        <v/>
      </c>
    </row>
    <row r="599">
      <c r="A599" s="5">
        <f>IF(AND(C599&gt;=Options!$B$9,C599&lt;=Options!$B$10),"Chicago","")</f>
        <v/>
      </c>
      <c r="B599" s="5">
        <f>IF(A599="","",24)</f>
        <v/>
      </c>
      <c r="C599" s="17" t="n">
        <v>46525</v>
      </c>
      <c r="D599" s="5">
        <f>IF(A599="","",IF(C599=DATE(2026,11,29),"培训；注册午餐；早餐参数",IF(C599=DATE(2026,11,30),"培训；注册午餐",IF(C599=DATE(2026,12,1),"培训；注册午餐；机构晚餐",IF(C599=Options!$B$9,"抵达；"&amp;IF(C599=DATE(2026,11,28),"机构晚餐","无统一供餐"),IF(C599=Options!$B$10,"返程；"&amp;IF(C599=DATE(2026,12,2),"机构午餐","无统一供餐"),"差旅状态；无统一日程"))))))</f>
        <v/>
      </c>
      <c r="E599" s="13">
        <f>IF(C599=Options!$B$9,Options!$C$15,0)</f>
        <v/>
      </c>
      <c r="F599" s="13">
        <f>IF(AND(A599&lt;&gt;"",C599&lt;Options!$B$10),B599*Options!$X$5,0)</f>
        <v/>
      </c>
      <c r="G599" s="13">
        <f>F599*12%</f>
        <v/>
      </c>
      <c r="H599" s="13">
        <f>IF(A599="",0,B599*(92*IF(OR(C599=Options!$B$9,C599=Options!$B$10),75%,100%)-IF(C599=DATE(2026,11,29),26+IF(Options!$B$8="是",23,0),0)-IF(C599=DATE(2026,11,30),26,0)-IF(C599=DATE(2026,12,1),64,0)-IF(C599=DATE(2026,11,28),38,0)-IF(C599=DATE(2026,12,2),26,0)))</f>
        <v/>
      </c>
      <c r="I599" s="13">
        <f>IF(AND(C599&gt;=DATE(2026,11,29),C599&lt;=DATE(2026,12,1)),B599*60,0)</f>
        <v/>
      </c>
      <c r="J599" s="13">
        <f>IF(A599="",0,B599*(IF(C599=DATE(2026,11,28),38,0)+IF(C599=DATE(2026,12,1),38,0)+IF(C599=DATE(2026,12,2),26,0)))</f>
        <v/>
      </c>
      <c r="K599" s="13">
        <f>IF(C599=Options!$B$9,B599*12,0)</f>
        <v/>
      </c>
      <c r="L599" s="13">
        <f>IF(C599=Options!$B$9,B599*Options!$Z$5,0)</f>
        <v/>
      </c>
      <c r="M599" s="13" t="n">
        <v>0</v>
      </c>
      <c r="N599" s="13">
        <f>SUM(E599:M599)</f>
        <v/>
      </c>
    </row>
    <row r="600">
      <c r="A600" s="5">
        <f>IF(AND(C600&gt;=Options!$B$9,C600&lt;=Options!$B$10),"Chicago","")</f>
        <v/>
      </c>
      <c r="B600" s="5">
        <f>IF(A600="","",24)</f>
        <v/>
      </c>
      <c r="C600" s="17" t="n">
        <v>46526</v>
      </c>
      <c r="D600" s="5">
        <f>IF(A600="","",IF(C600=DATE(2026,11,29),"培训；注册午餐；早餐参数",IF(C600=DATE(2026,11,30),"培训；注册午餐",IF(C600=DATE(2026,12,1),"培训；注册午餐；机构晚餐",IF(C600=Options!$B$9,"抵达；"&amp;IF(C600=DATE(2026,11,28),"机构晚餐","无统一供餐"),IF(C600=Options!$B$10,"返程；"&amp;IF(C600=DATE(2026,12,2),"机构午餐","无统一供餐"),"差旅状态；无统一日程"))))))</f>
        <v/>
      </c>
      <c r="E600" s="13">
        <f>IF(C600=Options!$B$9,Options!$C$15,0)</f>
        <v/>
      </c>
      <c r="F600" s="13">
        <f>IF(AND(A600&lt;&gt;"",C600&lt;Options!$B$10),B600*Options!$X$5,0)</f>
        <v/>
      </c>
      <c r="G600" s="13">
        <f>F600*12%</f>
        <v/>
      </c>
      <c r="H600" s="13">
        <f>IF(A600="",0,B600*(92*IF(OR(C600=Options!$B$9,C600=Options!$B$10),75%,100%)-IF(C600=DATE(2026,11,29),26+IF(Options!$B$8="是",23,0),0)-IF(C600=DATE(2026,11,30),26,0)-IF(C600=DATE(2026,12,1),64,0)-IF(C600=DATE(2026,11,28),38,0)-IF(C600=DATE(2026,12,2),26,0)))</f>
        <v/>
      </c>
      <c r="I600" s="13">
        <f>IF(AND(C600&gt;=DATE(2026,11,29),C600&lt;=DATE(2026,12,1)),B600*60,0)</f>
        <v/>
      </c>
      <c r="J600" s="13">
        <f>IF(A600="",0,B600*(IF(C600=DATE(2026,11,28),38,0)+IF(C600=DATE(2026,12,1),38,0)+IF(C600=DATE(2026,12,2),26,0)))</f>
        <v/>
      </c>
      <c r="K600" s="13">
        <f>IF(C600=Options!$B$9,B600*12,0)</f>
        <v/>
      </c>
      <c r="L600" s="13">
        <f>IF(C600=Options!$B$9,B600*Options!$Z$5,0)</f>
        <v/>
      </c>
      <c r="M600" s="13" t="n">
        <v>0</v>
      </c>
      <c r="N600" s="13">
        <f>SUM(E600:M600)</f>
        <v/>
      </c>
    </row>
    <row r="601">
      <c r="A601" s="5">
        <f>IF(AND(C601&gt;=Options!$B$9,C601&lt;=Options!$B$10),"Chicago","")</f>
        <v/>
      </c>
      <c r="B601" s="5">
        <f>IF(A601="","",24)</f>
        <v/>
      </c>
      <c r="C601" s="17" t="n">
        <v>46527</v>
      </c>
      <c r="D601" s="5">
        <f>IF(A601="","",IF(C601=DATE(2026,11,29),"培训；注册午餐；早餐参数",IF(C601=DATE(2026,11,30),"培训；注册午餐",IF(C601=DATE(2026,12,1),"培训；注册午餐；机构晚餐",IF(C601=Options!$B$9,"抵达；"&amp;IF(C601=DATE(2026,11,28),"机构晚餐","无统一供餐"),IF(C601=Options!$B$10,"返程；"&amp;IF(C601=DATE(2026,12,2),"机构午餐","无统一供餐"),"差旅状态；无统一日程"))))))</f>
        <v/>
      </c>
      <c r="E601" s="13">
        <f>IF(C601=Options!$B$9,Options!$C$15,0)</f>
        <v/>
      </c>
      <c r="F601" s="13">
        <f>IF(AND(A601&lt;&gt;"",C601&lt;Options!$B$10),B601*Options!$X$5,0)</f>
        <v/>
      </c>
      <c r="G601" s="13">
        <f>F601*12%</f>
        <v/>
      </c>
      <c r="H601" s="13">
        <f>IF(A601="",0,B601*(92*IF(OR(C601=Options!$B$9,C601=Options!$B$10),75%,100%)-IF(C601=DATE(2026,11,29),26+IF(Options!$B$8="是",23,0),0)-IF(C601=DATE(2026,11,30),26,0)-IF(C601=DATE(2026,12,1),64,0)-IF(C601=DATE(2026,11,28),38,0)-IF(C601=DATE(2026,12,2),26,0)))</f>
        <v/>
      </c>
      <c r="I601" s="13">
        <f>IF(AND(C601&gt;=DATE(2026,11,29),C601&lt;=DATE(2026,12,1)),B601*60,0)</f>
        <v/>
      </c>
      <c r="J601" s="13">
        <f>IF(A601="",0,B601*(IF(C601=DATE(2026,11,28),38,0)+IF(C601=DATE(2026,12,1),38,0)+IF(C601=DATE(2026,12,2),26,0)))</f>
        <v/>
      </c>
      <c r="K601" s="13">
        <f>IF(C601=Options!$B$9,B601*12,0)</f>
        <v/>
      </c>
      <c r="L601" s="13">
        <f>IF(C601=Options!$B$9,B601*Options!$Z$5,0)</f>
        <v/>
      </c>
      <c r="M601" s="13" t="n">
        <v>0</v>
      </c>
      <c r="N601" s="13">
        <f>SUM(E601:M601)</f>
        <v/>
      </c>
    </row>
    <row r="602">
      <c r="A602" s="5">
        <f>IF(AND(C602&gt;=Options!$B$9,C602&lt;=Options!$B$10),"Chicago","")</f>
        <v/>
      </c>
      <c r="B602" s="5">
        <f>IF(A602="","",24)</f>
        <v/>
      </c>
      <c r="C602" s="17" t="n">
        <v>46528</v>
      </c>
      <c r="D602" s="5">
        <f>IF(A602="","",IF(C602=DATE(2026,11,29),"培训；注册午餐；早餐参数",IF(C602=DATE(2026,11,30),"培训；注册午餐",IF(C602=DATE(2026,12,1),"培训；注册午餐；机构晚餐",IF(C602=Options!$B$9,"抵达；"&amp;IF(C602=DATE(2026,11,28),"机构晚餐","无统一供餐"),IF(C602=Options!$B$10,"返程；"&amp;IF(C602=DATE(2026,12,2),"机构午餐","无统一供餐"),"差旅状态；无统一日程"))))))</f>
        <v/>
      </c>
      <c r="E602" s="13">
        <f>IF(C602=Options!$B$9,Options!$C$15,0)</f>
        <v/>
      </c>
      <c r="F602" s="13">
        <f>IF(AND(A602&lt;&gt;"",C602&lt;Options!$B$10),B602*Options!$X$5,0)</f>
        <v/>
      </c>
      <c r="G602" s="13">
        <f>F602*12%</f>
        <v/>
      </c>
      <c r="H602" s="13">
        <f>IF(A602="",0,B602*(92*IF(OR(C602=Options!$B$9,C602=Options!$B$10),75%,100%)-IF(C602=DATE(2026,11,29),26+IF(Options!$B$8="是",23,0),0)-IF(C602=DATE(2026,11,30),26,0)-IF(C602=DATE(2026,12,1),64,0)-IF(C602=DATE(2026,11,28),38,0)-IF(C602=DATE(2026,12,2),26,0)))</f>
        <v/>
      </c>
      <c r="I602" s="13">
        <f>IF(AND(C602&gt;=DATE(2026,11,29),C602&lt;=DATE(2026,12,1)),B602*60,0)</f>
        <v/>
      </c>
      <c r="J602" s="13">
        <f>IF(A602="",0,B602*(IF(C602=DATE(2026,11,28),38,0)+IF(C602=DATE(2026,12,1),38,0)+IF(C602=DATE(2026,12,2),26,0)))</f>
        <v/>
      </c>
      <c r="K602" s="13">
        <f>IF(C602=Options!$B$9,B602*12,0)</f>
        <v/>
      </c>
      <c r="L602" s="13">
        <f>IF(C602=Options!$B$9,B602*Options!$Z$5,0)</f>
        <v/>
      </c>
      <c r="M602" s="13" t="n">
        <v>0</v>
      </c>
      <c r="N602" s="13">
        <f>SUM(E602:M602)</f>
        <v/>
      </c>
    </row>
    <row r="603">
      <c r="A603" s="5">
        <f>IF(AND(C603&gt;=Options!$B$9,C603&lt;=Options!$B$10),"Chicago","")</f>
        <v/>
      </c>
      <c r="B603" s="5">
        <f>IF(A603="","",24)</f>
        <v/>
      </c>
      <c r="C603" s="17" t="n">
        <v>46529</v>
      </c>
      <c r="D603" s="5">
        <f>IF(A603="","",IF(C603=DATE(2026,11,29),"培训；注册午餐；早餐参数",IF(C603=DATE(2026,11,30),"培训；注册午餐",IF(C603=DATE(2026,12,1),"培训；注册午餐；机构晚餐",IF(C603=Options!$B$9,"抵达；"&amp;IF(C603=DATE(2026,11,28),"机构晚餐","无统一供餐"),IF(C603=Options!$B$10,"返程；"&amp;IF(C603=DATE(2026,12,2),"机构午餐","无统一供餐"),"差旅状态；无统一日程"))))))</f>
        <v/>
      </c>
      <c r="E603" s="13">
        <f>IF(C603=Options!$B$9,Options!$C$15,0)</f>
        <v/>
      </c>
      <c r="F603" s="13">
        <f>IF(AND(A603&lt;&gt;"",C603&lt;Options!$B$10),B603*Options!$X$5,0)</f>
        <v/>
      </c>
      <c r="G603" s="13">
        <f>F603*12%</f>
        <v/>
      </c>
      <c r="H603" s="13">
        <f>IF(A603="",0,B603*(92*IF(OR(C603=Options!$B$9,C603=Options!$B$10),75%,100%)-IF(C603=DATE(2026,11,29),26+IF(Options!$B$8="是",23,0),0)-IF(C603=DATE(2026,11,30),26,0)-IF(C603=DATE(2026,12,1),64,0)-IF(C603=DATE(2026,11,28),38,0)-IF(C603=DATE(2026,12,2),26,0)))</f>
        <v/>
      </c>
      <c r="I603" s="13">
        <f>IF(AND(C603&gt;=DATE(2026,11,29),C603&lt;=DATE(2026,12,1)),B603*60,0)</f>
        <v/>
      </c>
      <c r="J603" s="13">
        <f>IF(A603="",0,B603*(IF(C603=DATE(2026,11,28),38,0)+IF(C603=DATE(2026,12,1),38,0)+IF(C603=DATE(2026,12,2),26,0)))</f>
        <v/>
      </c>
      <c r="K603" s="13">
        <f>IF(C603=Options!$B$9,B603*12,0)</f>
        <v/>
      </c>
      <c r="L603" s="13">
        <f>IF(C603=Options!$B$9,B603*Options!$Z$5,0)</f>
        <v/>
      </c>
      <c r="M603" s="13" t="n">
        <v>0</v>
      </c>
      <c r="N603" s="13">
        <f>SUM(E603:M603)</f>
        <v/>
      </c>
    </row>
    <row r="604">
      <c r="A604" s="5">
        <f>IF(AND(C604&gt;=Options!$B$9,C604&lt;=Options!$B$10),"Chicago","")</f>
        <v/>
      </c>
      <c r="B604" s="5">
        <f>IF(A604="","",24)</f>
        <v/>
      </c>
      <c r="C604" s="17" t="n">
        <v>46530</v>
      </c>
      <c r="D604" s="5">
        <f>IF(A604="","",IF(C604=DATE(2026,11,29),"培训；注册午餐；早餐参数",IF(C604=DATE(2026,11,30),"培训；注册午餐",IF(C604=DATE(2026,12,1),"培训；注册午餐；机构晚餐",IF(C604=Options!$B$9,"抵达；"&amp;IF(C604=DATE(2026,11,28),"机构晚餐","无统一供餐"),IF(C604=Options!$B$10,"返程；"&amp;IF(C604=DATE(2026,12,2),"机构午餐","无统一供餐"),"差旅状态；无统一日程"))))))</f>
        <v/>
      </c>
      <c r="E604" s="13">
        <f>IF(C604=Options!$B$9,Options!$C$15,0)</f>
        <v/>
      </c>
      <c r="F604" s="13">
        <f>IF(AND(A604&lt;&gt;"",C604&lt;Options!$B$10),B604*Options!$X$5,0)</f>
        <v/>
      </c>
      <c r="G604" s="13">
        <f>F604*12%</f>
        <v/>
      </c>
      <c r="H604" s="13">
        <f>IF(A604="",0,B604*(92*IF(OR(C604=Options!$B$9,C604=Options!$B$10),75%,100%)-IF(C604=DATE(2026,11,29),26+IF(Options!$B$8="是",23,0),0)-IF(C604=DATE(2026,11,30),26,0)-IF(C604=DATE(2026,12,1),64,0)-IF(C604=DATE(2026,11,28),38,0)-IF(C604=DATE(2026,12,2),26,0)))</f>
        <v/>
      </c>
      <c r="I604" s="13">
        <f>IF(AND(C604&gt;=DATE(2026,11,29),C604&lt;=DATE(2026,12,1)),B604*60,0)</f>
        <v/>
      </c>
      <c r="J604" s="13">
        <f>IF(A604="",0,B604*(IF(C604=DATE(2026,11,28),38,0)+IF(C604=DATE(2026,12,1),38,0)+IF(C604=DATE(2026,12,2),26,0)))</f>
        <v/>
      </c>
      <c r="K604" s="13">
        <f>IF(C604=Options!$B$9,B604*12,0)</f>
        <v/>
      </c>
      <c r="L604" s="13">
        <f>IF(C604=Options!$B$9,B604*Options!$Z$5,0)</f>
        <v/>
      </c>
      <c r="M604" s="13" t="n">
        <v>0</v>
      </c>
      <c r="N604" s="13">
        <f>SUM(E604:M604)</f>
        <v/>
      </c>
    </row>
    <row r="605">
      <c r="A605" s="5">
        <f>IF(AND(C605&gt;=Options!$B$9,C605&lt;=Options!$B$10),"Chicago","")</f>
        <v/>
      </c>
      <c r="B605" s="5">
        <f>IF(A605="","",24)</f>
        <v/>
      </c>
      <c r="C605" s="17" t="n">
        <v>46531</v>
      </c>
      <c r="D605" s="5">
        <f>IF(A605="","",IF(C605=DATE(2026,11,29),"培训；注册午餐；早餐参数",IF(C605=DATE(2026,11,30),"培训；注册午餐",IF(C605=DATE(2026,12,1),"培训；注册午餐；机构晚餐",IF(C605=Options!$B$9,"抵达；"&amp;IF(C605=DATE(2026,11,28),"机构晚餐","无统一供餐"),IF(C605=Options!$B$10,"返程；"&amp;IF(C605=DATE(2026,12,2),"机构午餐","无统一供餐"),"差旅状态；无统一日程"))))))</f>
        <v/>
      </c>
      <c r="E605" s="13">
        <f>IF(C605=Options!$B$9,Options!$C$15,0)</f>
        <v/>
      </c>
      <c r="F605" s="13">
        <f>IF(AND(A605&lt;&gt;"",C605&lt;Options!$B$10),B605*Options!$X$5,0)</f>
        <v/>
      </c>
      <c r="G605" s="13">
        <f>F605*12%</f>
        <v/>
      </c>
      <c r="H605" s="13">
        <f>IF(A605="",0,B605*(92*IF(OR(C605=Options!$B$9,C605=Options!$B$10),75%,100%)-IF(C605=DATE(2026,11,29),26+IF(Options!$B$8="是",23,0),0)-IF(C605=DATE(2026,11,30),26,0)-IF(C605=DATE(2026,12,1),64,0)-IF(C605=DATE(2026,11,28),38,0)-IF(C605=DATE(2026,12,2),26,0)))</f>
        <v/>
      </c>
      <c r="I605" s="13">
        <f>IF(AND(C605&gt;=DATE(2026,11,29),C605&lt;=DATE(2026,12,1)),B605*60,0)</f>
        <v/>
      </c>
      <c r="J605" s="13">
        <f>IF(A605="",0,B605*(IF(C605=DATE(2026,11,28),38,0)+IF(C605=DATE(2026,12,1),38,0)+IF(C605=DATE(2026,12,2),26,0)))</f>
        <v/>
      </c>
      <c r="K605" s="13">
        <f>IF(C605=Options!$B$9,B605*12,0)</f>
        <v/>
      </c>
      <c r="L605" s="13">
        <f>IF(C605=Options!$B$9,B605*Options!$Z$5,0)</f>
        <v/>
      </c>
      <c r="M605" s="13" t="n">
        <v>0</v>
      </c>
      <c r="N605" s="13">
        <f>SUM(E605:M605)</f>
        <v/>
      </c>
    </row>
    <row r="606">
      <c r="A606" s="5">
        <f>IF(AND(C606&gt;=Options!$B$9,C606&lt;=Options!$B$10),"Chicago","")</f>
        <v/>
      </c>
      <c r="B606" s="5">
        <f>IF(A606="","",24)</f>
        <v/>
      </c>
      <c r="C606" s="17" t="n">
        <v>46532</v>
      </c>
      <c r="D606" s="5">
        <f>IF(A606="","",IF(C606=DATE(2026,11,29),"培训；注册午餐；早餐参数",IF(C606=DATE(2026,11,30),"培训；注册午餐",IF(C606=DATE(2026,12,1),"培训；注册午餐；机构晚餐",IF(C606=Options!$B$9,"抵达；"&amp;IF(C606=DATE(2026,11,28),"机构晚餐","无统一供餐"),IF(C606=Options!$B$10,"返程；"&amp;IF(C606=DATE(2026,12,2),"机构午餐","无统一供餐"),"差旅状态；无统一日程"))))))</f>
        <v/>
      </c>
      <c r="E606" s="13">
        <f>IF(C606=Options!$B$9,Options!$C$15,0)</f>
        <v/>
      </c>
      <c r="F606" s="13">
        <f>IF(AND(A606&lt;&gt;"",C606&lt;Options!$B$10),B606*Options!$X$5,0)</f>
        <v/>
      </c>
      <c r="G606" s="13">
        <f>F606*12%</f>
        <v/>
      </c>
      <c r="H606" s="13">
        <f>IF(A606="",0,B606*(92*IF(OR(C606=Options!$B$9,C606=Options!$B$10),75%,100%)-IF(C606=DATE(2026,11,29),26+IF(Options!$B$8="是",23,0),0)-IF(C606=DATE(2026,11,30),26,0)-IF(C606=DATE(2026,12,1),64,0)-IF(C606=DATE(2026,11,28),38,0)-IF(C606=DATE(2026,12,2),26,0)))</f>
        <v/>
      </c>
      <c r="I606" s="13">
        <f>IF(AND(C606&gt;=DATE(2026,11,29),C606&lt;=DATE(2026,12,1)),B606*60,0)</f>
        <v/>
      </c>
      <c r="J606" s="13">
        <f>IF(A606="",0,B606*(IF(C606=DATE(2026,11,28),38,0)+IF(C606=DATE(2026,12,1),38,0)+IF(C606=DATE(2026,12,2),26,0)))</f>
        <v/>
      </c>
      <c r="K606" s="13">
        <f>IF(C606=Options!$B$9,B606*12,0)</f>
        <v/>
      </c>
      <c r="L606" s="13">
        <f>IF(C606=Options!$B$9,B606*Options!$Z$5,0)</f>
        <v/>
      </c>
      <c r="M606" s="13" t="n">
        <v>0</v>
      </c>
      <c r="N606" s="13">
        <f>SUM(E606:M606)</f>
        <v/>
      </c>
    </row>
    <row r="607">
      <c r="A607" s="5">
        <f>IF(AND(C607&gt;=Options!$B$9,C607&lt;=Options!$B$10),"Chicago","")</f>
        <v/>
      </c>
      <c r="B607" s="5">
        <f>IF(A607="","",24)</f>
        <v/>
      </c>
      <c r="C607" s="17" t="n">
        <v>46533</v>
      </c>
      <c r="D607" s="5">
        <f>IF(A607="","",IF(C607=DATE(2026,11,29),"培训；注册午餐；早餐参数",IF(C607=DATE(2026,11,30),"培训；注册午餐",IF(C607=DATE(2026,12,1),"培训；注册午餐；机构晚餐",IF(C607=Options!$B$9,"抵达；"&amp;IF(C607=DATE(2026,11,28),"机构晚餐","无统一供餐"),IF(C607=Options!$B$10,"返程；"&amp;IF(C607=DATE(2026,12,2),"机构午餐","无统一供餐"),"差旅状态；无统一日程"))))))</f>
        <v/>
      </c>
      <c r="E607" s="13">
        <f>IF(C607=Options!$B$9,Options!$C$15,0)</f>
        <v/>
      </c>
      <c r="F607" s="13">
        <f>IF(AND(A607&lt;&gt;"",C607&lt;Options!$B$10),B607*Options!$X$5,0)</f>
        <v/>
      </c>
      <c r="G607" s="13">
        <f>F607*12%</f>
        <v/>
      </c>
      <c r="H607" s="13">
        <f>IF(A607="",0,B607*(92*IF(OR(C607=Options!$B$9,C607=Options!$B$10),75%,100%)-IF(C607=DATE(2026,11,29),26+IF(Options!$B$8="是",23,0),0)-IF(C607=DATE(2026,11,30),26,0)-IF(C607=DATE(2026,12,1),64,0)-IF(C607=DATE(2026,11,28),38,0)-IF(C607=DATE(2026,12,2),26,0)))</f>
        <v/>
      </c>
      <c r="I607" s="13">
        <f>IF(AND(C607&gt;=DATE(2026,11,29),C607&lt;=DATE(2026,12,1)),B607*60,0)</f>
        <v/>
      </c>
      <c r="J607" s="13">
        <f>IF(A607="",0,B607*(IF(C607=DATE(2026,11,28),38,0)+IF(C607=DATE(2026,12,1),38,0)+IF(C607=DATE(2026,12,2),26,0)))</f>
        <v/>
      </c>
      <c r="K607" s="13">
        <f>IF(C607=Options!$B$9,B607*12,0)</f>
        <v/>
      </c>
      <c r="L607" s="13">
        <f>IF(C607=Options!$B$9,B607*Options!$Z$5,0)</f>
        <v/>
      </c>
      <c r="M607" s="13" t="n">
        <v>0</v>
      </c>
      <c r="N607" s="13">
        <f>SUM(E607:M607)</f>
        <v/>
      </c>
    </row>
    <row r="608">
      <c r="A608" s="5">
        <f>IF(AND(C608&gt;=Options!$B$9,C608&lt;=Options!$B$10),"Chicago","")</f>
        <v/>
      </c>
      <c r="B608" s="5">
        <f>IF(A608="","",24)</f>
        <v/>
      </c>
      <c r="C608" s="17" t="n">
        <v>46534</v>
      </c>
      <c r="D608" s="5">
        <f>IF(A608="","",IF(C608=DATE(2026,11,29),"培训；注册午餐；早餐参数",IF(C608=DATE(2026,11,30),"培训；注册午餐",IF(C608=DATE(2026,12,1),"培训；注册午餐；机构晚餐",IF(C608=Options!$B$9,"抵达；"&amp;IF(C608=DATE(2026,11,28),"机构晚餐","无统一供餐"),IF(C608=Options!$B$10,"返程；"&amp;IF(C608=DATE(2026,12,2),"机构午餐","无统一供餐"),"差旅状态；无统一日程"))))))</f>
        <v/>
      </c>
      <c r="E608" s="13">
        <f>IF(C608=Options!$B$9,Options!$C$15,0)</f>
        <v/>
      </c>
      <c r="F608" s="13">
        <f>IF(AND(A608&lt;&gt;"",C608&lt;Options!$B$10),B608*Options!$X$5,0)</f>
        <v/>
      </c>
      <c r="G608" s="13">
        <f>F608*12%</f>
        <v/>
      </c>
      <c r="H608" s="13">
        <f>IF(A608="",0,B608*(92*IF(OR(C608=Options!$B$9,C608=Options!$B$10),75%,100%)-IF(C608=DATE(2026,11,29),26+IF(Options!$B$8="是",23,0),0)-IF(C608=DATE(2026,11,30),26,0)-IF(C608=DATE(2026,12,1),64,0)-IF(C608=DATE(2026,11,28),38,0)-IF(C608=DATE(2026,12,2),26,0)))</f>
        <v/>
      </c>
      <c r="I608" s="13">
        <f>IF(AND(C608&gt;=DATE(2026,11,29),C608&lt;=DATE(2026,12,1)),B608*60,0)</f>
        <v/>
      </c>
      <c r="J608" s="13">
        <f>IF(A608="",0,B608*(IF(C608=DATE(2026,11,28),38,0)+IF(C608=DATE(2026,12,1),38,0)+IF(C608=DATE(2026,12,2),26,0)))</f>
        <v/>
      </c>
      <c r="K608" s="13">
        <f>IF(C608=Options!$B$9,B608*12,0)</f>
        <v/>
      </c>
      <c r="L608" s="13">
        <f>IF(C608=Options!$B$9,B608*Options!$Z$5,0)</f>
        <v/>
      </c>
      <c r="M608" s="13" t="n">
        <v>0</v>
      </c>
      <c r="N608" s="13">
        <f>SUM(E608:M608)</f>
        <v/>
      </c>
    </row>
    <row r="609">
      <c r="A609" s="5">
        <f>IF(AND(C609&gt;=Options!$B$9,C609&lt;=Options!$B$10),"Chicago","")</f>
        <v/>
      </c>
      <c r="B609" s="5">
        <f>IF(A609="","",24)</f>
        <v/>
      </c>
      <c r="C609" s="17" t="n">
        <v>46535</v>
      </c>
      <c r="D609" s="5">
        <f>IF(A609="","",IF(C609=DATE(2026,11,29),"培训；注册午餐；早餐参数",IF(C609=DATE(2026,11,30),"培训；注册午餐",IF(C609=DATE(2026,12,1),"培训；注册午餐；机构晚餐",IF(C609=Options!$B$9,"抵达；"&amp;IF(C609=DATE(2026,11,28),"机构晚餐","无统一供餐"),IF(C609=Options!$B$10,"返程；"&amp;IF(C609=DATE(2026,12,2),"机构午餐","无统一供餐"),"差旅状态；无统一日程"))))))</f>
        <v/>
      </c>
      <c r="E609" s="13">
        <f>IF(C609=Options!$B$9,Options!$C$15,0)</f>
        <v/>
      </c>
      <c r="F609" s="13">
        <f>IF(AND(A609&lt;&gt;"",C609&lt;Options!$B$10),B609*Options!$X$5,0)</f>
        <v/>
      </c>
      <c r="G609" s="13">
        <f>F609*12%</f>
        <v/>
      </c>
      <c r="H609" s="13">
        <f>IF(A609="",0,B609*(92*IF(OR(C609=Options!$B$9,C609=Options!$B$10),75%,100%)-IF(C609=DATE(2026,11,29),26+IF(Options!$B$8="是",23,0),0)-IF(C609=DATE(2026,11,30),26,0)-IF(C609=DATE(2026,12,1),64,0)-IF(C609=DATE(2026,11,28),38,0)-IF(C609=DATE(2026,12,2),26,0)))</f>
        <v/>
      </c>
      <c r="I609" s="13">
        <f>IF(AND(C609&gt;=DATE(2026,11,29),C609&lt;=DATE(2026,12,1)),B609*60,0)</f>
        <v/>
      </c>
      <c r="J609" s="13">
        <f>IF(A609="",0,B609*(IF(C609=DATE(2026,11,28),38,0)+IF(C609=DATE(2026,12,1),38,0)+IF(C609=DATE(2026,12,2),26,0)))</f>
        <v/>
      </c>
      <c r="K609" s="13">
        <f>IF(C609=Options!$B$9,B609*12,0)</f>
        <v/>
      </c>
      <c r="L609" s="13">
        <f>IF(C609=Options!$B$9,B609*Options!$Z$5,0)</f>
        <v/>
      </c>
      <c r="M609" s="13" t="n">
        <v>0</v>
      </c>
      <c r="N609" s="13">
        <f>SUM(E609:M609)</f>
        <v/>
      </c>
    </row>
    <row r="610">
      <c r="A610" s="5">
        <f>IF(AND(C610&gt;=Options!$B$9,C610&lt;=Options!$B$10),"Chicago","")</f>
        <v/>
      </c>
      <c r="B610" s="5">
        <f>IF(A610="","",24)</f>
        <v/>
      </c>
      <c r="C610" s="17" t="n">
        <v>46536</v>
      </c>
      <c r="D610" s="5">
        <f>IF(A610="","",IF(C610=DATE(2026,11,29),"培训；注册午餐；早餐参数",IF(C610=DATE(2026,11,30),"培训；注册午餐",IF(C610=DATE(2026,12,1),"培训；注册午餐；机构晚餐",IF(C610=Options!$B$9,"抵达；"&amp;IF(C610=DATE(2026,11,28),"机构晚餐","无统一供餐"),IF(C610=Options!$B$10,"返程；"&amp;IF(C610=DATE(2026,12,2),"机构午餐","无统一供餐"),"差旅状态；无统一日程"))))))</f>
        <v/>
      </c>
      <c r="E610" s="13">
        <f>IF(C610=Options!$B$9,Options!$C$15,0)</f>
        <v/>
      </c>
      <c r="F610" s="13">
        <f>IF(AND(A610&lt;&gt;"",C610&lt;Options!$B$10),B610*Options!$X$5,0)</f>
        <v/>
      </c>
      <c r="G610" s="13">
        <f>F610*12%</f>
        <v/>
      </c>
      <c r="H610" s="13">
        <f>IF(A610="",0,B610*(92*IF(OR(C610=Options!$B$9,C610=Options!$B$10),75%,100%)-IF(C610=DATE(2026,11,29),26+IF(Options!$B$8="是",23,0),0)-IF(C610=DATE(2026,11,30),26,0)-IF(C610=DATE(2026,12,1),64,0)-IF(C610=DATE(2026,11,28),38,0)-IF(C610=DATE(2026,12,2),26,0)))</f>
        <v/>
      </c>
      <c r="I610" s="13">
        <f>IF(AND(C610&gt;=DATE(2026,11,29),C610&lt;=DATE(2026,12,1)),B610*60,0)</f>
        <v/>
      </c>
      <c r="J610" s="13">
        <f>IF(A610="",0,B610*(IF(C610=DATE(2026,11,28),38,0)+IF(C610=DATE(2026,12,1),38,0)+IF(C610=DATE(2026,12,2),26,0)))</f>
        <v/>
      </c>
      <c r="K610" s="13">
        <f>IF(C610=Options!$B$9,B610*12,0)</f>
        <v/>
      </c>
      <c r="L610" s="13">
        <f>IF(C610=Options!$B$9,B610*Options!$Z$5,0)</f>
        <v/>
      </c>
      <c r="M610" s="13" t="n">
        <v>0</v>
      </c>
      <c r="N610" s="13">
        <f>SUM(E610:M610)</f>
        <v/>
      </c>
    </row>
    <row r="611">
      <c r="A611" s="5">
        <f>IF(AND(C611&gt;=Options!$B$9,C611&lt;=Options!$B$10),"Chicago","")</f>
        <v/>
      </c>
      <c r="B611" s="5">
        <f>IF(A611="","",24)</f>
        <v/>
      </c>
      <c r="C611" s="17" t="n">
        <v>46537</v>
      </c>
      <c r="D611" s="5">
        <f>IF(A611="","",IF(C611=DATE(2026,11,29),"培训；注册午餐；早餐参数",IF(C611=DATE(2026,11,30),"培训；注册午餐",IF(C611=DATE(2026,12,1),"培训；注册午餐；机构晚餐",IF(C611=Options!$B$9,"抵达；"&amp;IF(C611=DATE(2026,11,28),"机构晚餐","无统一供餐"),IF(C611=Options!$B$10,"返程；"&amp;IF(C611=DATE(2026,12,2),"机构午餐","无统一供餐"),"差旅状态；无统一日程"))))))</f>
        <v/>
      </c>
      <c r="E611" s="13">
        <f>IF(C611=Options!$B$9,Options!$C$15,0)</f>
        <v/>
      </c>
      <c r="F611" s="13">
        <f>IF(AND(A611&lt;&gt;"",C611&lt;Options!$B$10),B611*Options!$X$5,0)</f>
        <v/>
      </c>
      <c r="G611" s="13">
        <f>F611*12%</f>
        <v/>
      </c>
      <c r="H611" s="13">
        <f>IF(A611="",0,B611*(92*IF(OR(C611=Options!$B$9,C611=Options!$B$10),75%,100%)-IF(C611=DATE(2026,11,29),26+IF(Options!$B$8="是",23,0),0)-IF(C611=DATE(2026,11,30),26,0)-IF(C611=DATE(2026,12,1),64,0)-IF(C611=DATE(2026,11,28),38,0)-IF(C611=DATE(2026,12,2),26,0)))</f>
        <v/>
      </c>
      <c r="I611" s="13">
        <f>IF(AND(C611&gt;=DATE(2026,11,29),C611&lt;=DATE(2026,12,1)),B611*60,0)</f>
        <v/>
      </c>
      <c r="J611" s="13">
        <f>IF(A611="",0,B611*(IF(C611=DATE(2026,11,28),38,0)+IF(C611=DATE(2026,12,1),38,0)+IF(C611=DATE(2026,12,2),26,0)))</f>
        <v/>
      </c>
      <c r="K611" s="13">
        <f>IF(C611=Options!$B$9,B611*12,0)</f>
        <v/>
      </c>
      <c r="L611" s="13">
        <f>IF(C611=Options!$B$9,B611*Options!$Z$5,0)</f>
        <v/>
      </c>
      <c r="M611" s="13" t="n">
        <v>0</v>
      </c>
      <c r="N611" s="13">
        <f>SUM(E611:M611)</f>
        <v/>
      </c>
    </row>
    <row r="612">
      <c r="A612" s="5">
        <f>IF(AND(C612&gt;=Options!$B$9,C612&lt;=Options!$B$10),"Chicago","")</f>
        <v/>
      </c>
      <c r="B612" s="5">
        <f>IF(A612="","",24)</f>
        <v/>
      </c>
      <c r="C612" s="17" t="n">
        <v>46538</v>
      </c>
      <c r="D612" s="5">
        <f>IF(A612="","",IF(C612=DATE(2026,11,29),"培训；注册午餐；早餐参数",IF(C612=DATE(2026,11,30),"培训；注册午餐",IF(C612=DATE(2026,12,1),"培训；注册午餐；机构晚餐",IF(C612=Options!$B$9,"抵达；"&amp;IF(C612=DATE(2026,11,28),"机构晚餐","无统一供餐"),IF(C612=Options!$B$10,"返程；"&amp;IF(C612=DATE(2026,12,2),"机构午餐","无统一供餐"),"差旅状态；无统一日程"))))))</f>
        <v/>
      </c>
      <c r="E612" s="13">
        <f>IF(C612=Options!$B$9,Options!$C$15,0)</f>
        <v/>
      </c>
      <c r="F612" s="13">
        <f>IF(AND(A612&lt;&gt;"",C612&lt;Options!$B$10),B612*Options!$X$5,0)</f>
        <v/>
      </c>
      <c r="G612" s="13">
        <f>F612*12%</f>
        <v/>
      </c>
      <c r="H612" s="13">
        <f>IF(A612="",0,B612*(92*IF(OR(C612=Options!$B$9,C612=Options!$B$10),75%,100%)-IF(C612=DATE(2026,11,29),26+IF(Options!$B$8="是",23,0),0)-IF(C612=DATE(2026,11,30),26,0)-IF(C612=DATE(2026,12,1),64,0)-IF(C612=DATE(2026,11,28),38,0)-IF(C612=DATE(2026,12,2),26,0)))</f>
        <v/>
      </c>
      <c r="I612" s="13">
        <f>IF(AND(C612&gt;=DATE(2026,11,29),C612&lt;=DATE(2026,12,1)),B612*60,0)</f>
        <v/>
      </c>
      <c r="J612" s="13">
        <f>IF(A612="",0,B612*(IF(C612=DATE(2026,11,28),38,0)+IF(C612=DATE(2026,12,1),38,0)+IF(C612=DATE(2026,12,2),26,0)))</f>
        <v/>
      </c>
      <c r="K612" s="13">
        <f>IF(C612=Options!$B$9,B612*12,0)</f>
        <v/>
      </c>
      <c r="L612" s="13">
        <f>IF(C612=Options!$B$9,B612*Options!$Z$5,0)</f>
        <v/>
      </c>
      <c r="M612" s="13" t="n">
        <v>0</v>
      </c>
      <c r="N612" s="13">
        <f>SUM(E612:M612)</f>
        <v/>
      </c>
    </row>
    <row r="613">
      <c r="A613" s="5">
        <f>IF(AND(C613&gt;=Options!$B$9,C613&lt;=Options!$B$10),"Chicago","")</f>
        <v/>
      </c>
      <c r="B613" s="5">
        <f>IF(A613="","",24)</f>
        <v/>
      </c>
      <c r="C613" s="17" t="n">
        <v>46539</v>
      </c>
      <c r="D613" s="5">
        <f>IF(A613="","",IF(C613=DATE(2026,11,29),"培训；注册午餐；早餐参数",IF(C613=DATE(2026,11,30),"培训；注册午餐",IF(C613=DATE(2026,12,1),"培训；注册午餐；机构晚餐",IF(C613=Options!$B$9,"抵达；"&amp;IF(C613=DATE(2026,11,28),"机构晚餐","无统一供餐"),IF(C613=Options!$B$10,"返程；"&amp;IF(C613=DATE(2026,12,2),"机构午餐","无统一供餐"),"差旅状态；无统一日程"))))))</f>
        <v/>
      </c>
      <c r="E613" s="13">
        <f>IF(C613=Options!$B$9,Options!$C$15,0)</f>
        <v/>
      </c>
      <c r="F613" s="13">
        <f>IF(AND(A613&lt;&gt;"",C613&lt;Options!$B$10),B613*Options!$X$5,0)</f>
        <v/>
      </c>
      <c r="G613" s="13">
        <f>F613*12%</f>
        <v/>
      </c>
      <c r="H613" s="13">
        <f>IF(A613="",0,B613*(92*IF(OR(C613=Options!$B$9,C613=Options!$B$10),75%,100%)-IF(C613=DATE(2026,11,29),26+IF(Options!$B$8="是",23,0),0)-IF(C613=DATE(2026,11,30),26,0)-IF(C613=DATE(2026,12,1),64,0)-IF(C613=DATE(2026,11,28),38,0)-IF(C613=DATE(2026,12,2),26,0)))</f>
        <v/>
      </c>
      <c r="I613" s="13">
        <f>IF(AND(C613&gt;=DATE(2026,11,29),C613&lt;=DATE(2026,12,1)),B613*60,0)</f>
        <v/>
      </c>
      <c r="J613" s="13">
        <f>IF(A613="",0,B613*(IF(C613=DATE(2026,11,28),38,0)+IF(C613=DATE(2026,12,1),38,0)+IF(C613=DATE(2026,12,2),26,0)))</f>
        <v/>
      </c>
      <c r="K613" s="13">
        <f>IF(C613=Options!$B$9,B613*12,0)</f>
        <v/>
      </c>
      <c r="L613" s="13">
        <f>IF(C613=Options!$B$9,B613*Options!$Z$5,0)</f>
        <v/>
      </c>
      <c r="M613" s="13" t="n">
        <v>0</v>
      </c>
      <c r="N613" s="13">
        <f>SUM(E613:M613)</f>
        <v/>
      </c>
    </row>
    <row r="614">
      <c r="A614" s="5">
        <f>IF(AND(C614&gt;=Options!$B$9,C614&lt;=Options!$B$10),"Chicago","")</f>
        <v/>
      </c>
      <c r="B614" s="5">
        <f>IF(A614="","",24)</f>
        <v/>
      </c>
      <c r="C614" s="17" t="n">
        <v>46540</v>
      </c>
      <c r="D614" s="5">
        <f>IF(A614="","",IF(C614=DATE(2026,11,29),"培训；注册午餐；早餐参数",IF(C614=DATE(2026,11,30),"培训；注册午餐",IF(C614=DATE(2026,12,1),"培训；注册午餐；机构晚餐",IF(C614=Options!$B$9,"抵达；"&amp;IF(C614=DATE(2026,11,28),"机构晚餐","无统一供餐"),IF(C614=Options!$B$10,"返程；"&amp;IF(C614=DATE(2026,12,2),"机构午餐","无统一供餐"),"差旅状态；无统一日程"))))))</f>
        <v/>
      </c>
      <c r="E614" s="13">
        <f>IF(C614=Options!$B$9,Options!$C$15,0)</f>
        <v/>
      </c>
      <c r="F614" s="13">
        <f>IF(AND(A614&lt;&gt;"",C614&lt;Options!$B$10),B614*Options!$X$5,0)</f>
        <v/>
      </c>
      <c r="G614" s="13">
        <f>F614*12%</f>
        <v/>
      </c>
      <c r="H614" s="13">
        <f>IF(A614="",0,B614*(92*IF(OR(C614=Options!$B$9,C614=Options!$B$10),75%,100%)-IF(C614=DATE(2026,11,29),26+IF(Options!$B$8="是",23,0),0)-IF(C614=DATE(2026,11,30),26,0)-IF(C614=DATE(2026,12,1),64,0)-IF(C614=DATE(2026,11,28),38,0)-IF(C614=DATE(2026,12,2),26,0)))</f>
        <v/>
      </c>
      <c r="I614" s="13">
        <f>IF(AND(C614&gt;=DATE(2026,11,29),C614&lt;=DATE(2026,12,1)),B614*60,0)</f>
        <v/>
      </c>
      <c r="J614" s="13">
        <f>IF(A614="",0,B614*(IF(C614=DATE(2026,11,28),38,0)+IF(C614=DATE(2026,12,1),38,0)+IF(C614=DATE(2026,12,2),26,0)))</f>
        <v/>
      </c>
      <c r="K614" s="13">
        <f>IF(C614=Options!$B$9,B614*12,0)</f>
        <v/>
      </c>
      <c r="L614" s="13">
        <f>IF(C614=Options!$B$9,B614*Options!$Z$5,0)</f>
        <v/>
      </c>
      <c r="M614" s="13" t="n">
        <v>0</v>
      </c>
      <c r="N614" s="13">
        <f>SUM(E614:M614)</f>
        <v/>
      </c>
    </row>
    <row r="615">
      <c r="A615" s="5">
        <f>IF(AND(C615&gt;=Options!$B$9,C615&lt;=Options!$B$10),"Chicago","")</f>
        <v/>
      </c>
      <c r="B615" s="5">
        <f>IF(A615="","",24)</f>
        <v/>
      </c>
      <c r="C615" s="17" t="n">
        <v>46541</v>
      </c>
      <c r="D615" s="5">
        <f>IF(A615="","",IF(C615=DATE(2026,11,29),"培训；注册午餐；早餐参数",IF(C615=DATE(2026,11,30),"培训；注册午餐",IF(C615=DATE(2026,12,1),"培训；注册午餐；机构晚餐",IF(C615=Options!$B$9,"抵达；"&amp;IF(C615=DATE(2026,11,28),"机构晚餐","无统一供餐"),IF(C615=Options!$B$10,"返程；"&amp;IF(C615=DATE(2026,12,2),"机构午餐","无统一供餐"),"差旅状态；无统一日程"))))))</f>
        <v/>
      </c>
      <c r="E615" s="13">
        <f>IF(C615=Options!$B$9,Options!$C$15,0)</f>
        <v/>
      </c>
      <c r="F615" s="13">
        <f>IF(AND(A615&lt;&gt;"",C615&lt;Options!$B$10),B615*Options!$X$5,0)</f>
        <v/>
      </c>
      <c r="G615" s="13">
        <f>F615*12%</f>
        <v/>
      </c>
      <c r="H615" s="13">
        <f>IF(A615="",0,B615*(92*IF(OR(C615=Options!$B$9,C615=Options!$B$10),75%,100%)-IF(C615=DATE(2026,11,29),26+IF(Options!$B$8="是",23,0),0)-IF(C615=DATE(2026,11,30),26,0)-IF(C615=DATE(2026,12,1),64,0)-IF(C615=DATE(2026,11,28),38,0)-IF(C615=DATE(2026,12,2),26,0)))</f>
        <v/>
      </c>
      <c r="I615" s="13">
        <f>IF(AND(C615&gt;=DATE(2026,11,29),C615&lt;=DATE(2026,12,1)),B615*60,0)</f>
        <v/>
      </c>
      <c r="J615" s="13">
        <f>IF(A615="",0,B615*(IF(C615=DATE(2026,11,28),38,0)+IF(C615=DATE(2026,12,1),38,0)+IF(C615=DATE(2026,12,2),26,0)))</f>
        <v/>
      </c>
      <c r="K615" s="13">
        <f>IF(C615=Options!$B$9,B615*12,0)</f>
        <v/>
      </c>
      <c r="L615" s="13">
        <f>IF(C615=Options!$B$9,B615*Options!$Z$5,0)</f>
        <v/>
      </c>
      <c r="M615" s="13" t="n">
        <v>0</v>
      </c>
      <c r="N615" s="13">
        <f>SUM(E615:M615)</f>
        <v/>
      </c>
    </row>
    <row r="616">
      <c r="A616" s="5">
        <f>IF(AND(C616&gt;=Options!$B$9,C616&lt;=Options!$B$10),"Chicago","")</f>
        <v/>
      </c>
      <c r="B616" s="5">
        <f>IF(A616="","",24)</f>
        <v/>
      </c>
      <c r="C616" s="17" t="n">
        <v>46542</v>
      </c>
      <c r="D616" s="5">
        <f>IF(A616="","",IF(C616=DATE(2026,11,29),"培训；注册午餐；早餐参数",IF(C616=DATE(2026,11,30),"培训；注册午餐",IF(C616=DATE(2026,12,1),"培训；注册午餐；机构晚餐",IF(C616=Options!$B$9,"抵达；"&amp;IF(C616=DATE(2026,11,28),"机构晚餐","无统一供餐"),IF(C616=Options!$B$10,"返程；"&amp;IF(C616=DATE(2026,12,2),"机构午餐","无统一供餐"),"差旅状态；无统一日程"))))))</f>
        <v/>
      </c>
      <c r="E616" s="13">
        <f>IF(C616=Options!$B$9,Options!$C$15,0)</f>
        <v/>
      </c>
      <c r="F616" s="13">
        <f>IF(AND(A616&lt;&gt;"",C616&lt;Options!$B$10),B616*Options!$X$5,0)</f>
        <v/>
      </c>
      <c r="G616" s="13">
        <f>F616*12%</f>
        <v/>
      </c>
      <c r="H616" s="13">
        <f>IF(A616="",0,B616*(92*IF(OR(C616=Options!$B$9,C616=Options!$B$10),75%,100%)-IF(C616=DATE(2026,11,29),26+IF(Options!$B$8="是",23,0),0)-IF(C616=DATE(2026,11,30),26,0)-IF(C616=DATE(2026,12,1),64,0)-IF(C616=DATE(2026,11,28),38,0)-IF(C616=DATE(2026,12,2),26,0)))</f>
        <v/>
      </c>
      <c r="I616" s="13">
        <f>IF(AND(C616&gt;=DATE(2026,11,29),C616&lt;=DATE(2026,12,1)),B616*60,0)</f>
        <v/>
      </c>
      <c r="J616" s="13">
        <f>IF(A616="",0,B616*(IF(C616=DATE(2026,11,28),38,0)+IF(C616=DATE(2026,12,1),38,0)+IF(C616=DATE(2026,12,2),26,0)))</f>
        <v/>
      </c>
      <c r="K616" s="13">
        <f>IF(C616=Options!$B$9,B616*12,0)</f>
        <v/>
      </c>
      <c r="L616" s="13">
        <f>IF(C616=Options!$B$9,B616*Options!$Z$5,0)</f>
        <v/>
      </c>
      <c r="M616" s="13" t="n">
        <v>0</v>
      </c>
      <c r="N616" s="13">
        <f>SUM(E616:M616)</f>
        <v/>
      </c>
    </row>
    <row r="617">
      <c r="A617" s="5">
        <f>IF(AND(C617&gt;=Options!$B$9,C617&lt;=Options!$B$10),"Chicago","")</f>
        <v/>
      </c>
      <c r="B617" s="5">
        <f>IF(A617="","",24)</f>
        <v/>
      </c>
      <c r="C617" s="17" t="n">
        <v>46543</v>
      </c>
      <c r="D617" s="5">
        <f>IF(A617="","",IF(C617=DATE(2026,11,29),"培训；注册午餐；早餐参数",IF(C617=DATE(2026,11,30),"培训；注册午餐",IF(C617=DATE(2026,12,1),"培训；注册午餐；机构晚餐",IF(C617=Options!$B$9,"抵达；"&amp;IF(C617=DATE(2026,11,28),"机构晚餐","无统一供餐"),IF(C617=Options!$B$10,"返程；"&amp;IF(C617=DATE(2026,12,2),"机构午餐","无统一供餐"),"差旅状态；无统一日程"))))))</f>
        <v/>
      </c>
      <c r="E617" s="13">
        <f>IF(C617=Options!$B$9,Options!$C$15,0)</f>
        <v/>
      </c>
      <c r="F617" s="13">
        <f>IF(AND(A617&lt;&gt;"",C617&lt;Options!$B$10),B617*Options!$X$5,0)</f>
        <v/>
      </c>
      <c r="G617" s="13">
        <f>F617*12%</f>
        <v/>
      </c>
      <c r="H617" s="13">
        <f>IF(A617="",0,B617*(92*IF(OR(C617=Options!$B$9,C617=Options!$B$10),75%,100%)-IF(C617=DATE(2026,11,29),26+IF(Options!$B$8="是",23,0),0)-IF(C617=DATE(2026,11,30),26,0)-IF(C617=DATE(2026,12,1),64,0)-IF(C617=DATE(2026,11,28),38,0)-IF(C617=DATE(2026,12,2),26,0)))</f>
        <v/>
      </c>
      <c r="I617" s="13">
        <f>IF(AND(C617&gt;=DATE(2026,11,29),C617&lt;=DATE(2026,12,1)),B617*60,0)</f>
        <v/>
      </c>
      <c r="J617" s="13">
        <f>IF(A617="",0,B617*(IF(C617=DATE(2026,11,28),38,0)+IF(C617=DATE(2026,12,1),38,0)+IF(C617=DATE(2026,12,2),26,0)))</f>
        <v/>
      </c>
      <c r="K617" s="13">
        <f>IF(C617=Options!$B$9,B617*12,0)</f>
        <v/>
      </c>
      <c r="L617" s="13">
        <f>IF(C617=Options!$B$9,B617*Options!$Z$5,0)</f>
        <v/>
      </c>
      <c r="M617" s="13" t="n">
        <v>0</v>
      </c>
      <c r="N617" s="13">
        <f>SUM(E617:M617)</f>
        <v/>
      </c>
    </row>
    <row r="618">
      <c r="A618" s="5">
        <f>IF(AND(C618&gt;=Options!$B$9,C618&lt;=Options!$B$10),"Chicago","")</f>
        <v/>
      </c>
      <c r="B618" s="5">
        <f>IF(A618="","",24)</f>
        <v/>
      </c>
      <c r="C618" s="17" t="n">
        <v>46544</v>
      </c>
      <c r="D618" s="5">
        <f>IF(A618="","",IF(C618=DATE(2026,11,29),"培训；注册午餐；早餐参数",IF(C618=DATE(2026,11,30),"培训；注册午餐",IF(C618=DATE(2026,12,1),"培训；注册午餐；机构晚餐",IF(C618=Options!$B$9,"抵达；"&amp;IF(C618=DATE(2026,11,28),"机构晚餐","无统一供餐"),IF(C618=Options!$B$10,"返程；"&amp;IF(C618=DATE(2026,12,2),"机构午餐","无统一供餐"),"差旅状态；无统一日程"))))))</f>
        <v/>
      </c>
      <c r="E618" s="13">
        <f>IF(C618=Options!$B$9,Options!$C$15,0)</f>
        <v/>
      </c>
      <c r="F618" s="13">
        <f>IF(AND(A618&lt;&gt;"",C618&lt;Options!$B$10),B618*Options!$X$5,0)</f>
        <v/>
      </c>
      <c r="G618" s="13">
        <f>F618*12%</f>
        <v/>
      </c>
      <c r="H618" s="13">
        <f>IF(A618="",0,B618*(92*IF(OR(C618=Options!$B$9,C618=Options!$B$10),75%,100%)-IF(C618=DATE(2026,11,29),26+IF(Options!$B$8="是",23,0),0)-IF(C618=DATE(2026,11,30),26,0)-IF(C618=DATE(2026,12,1),64,0)-IF(C618=DATE(2026,11,28),38,0)-IF(C618=DATE(2026,12,2),26,0)))</f>
        <v/>
      </c>
      <c r="I618" s="13">
        <f>IF(AND(C618&gt;=DATE(2026,11,29),C618&lt;=DATE(2026,12,1)),B618*60,0)</f>
        <v/>
      </c>
      <c r="J618" s="13">
        <f>IF(A618="",0,B618*(IF(C618=DATE(2026,11,28),38,0)+IF(C618=DATE(2026,12,1),38,0)+IF(C618=DATE(2026,12,2),26,0)))</f>
        <v/>
      </c>
      <c r="K618" s="13">
        <f>IF(C618=Options!$B$9,B618*12,0)</f>
        <v/>
      </c>
      <c r="L618" s="13">
        <f>IF(C618=Options!$B$9,B618*Options!$Z$5,0)</f>
        <v/>
      </c>
      <c r="M618" s="13" t="n">
        <v>0</v>
      </c>
      <c r="N618" s="13">
        <f>SUM(E618:M618)</f>
        <v/>
      </c>
    </row>
    <row r="619">
      <c r="A619" s="5">
        <f>IF(AND(C619&gt;=Options!$B$9,C619&lt;=Options!$B$10),"Chicago","")</f>
        <v/>
      </c>
      <c r="B619" s="5">
        <f>IF(A619="","",24)</f>
        <v/>
      </c>
      <c r="C619" s="17" t="n">
        <v>46545</v>
      </c>
      <c r="D619" s="5">
        <f>IF(A619="","",IF(C619=DATE(2026,11,29),"培训；注册午餐；早餐参数",IF(C619=DATE(2026,11,30),"培训；注册午餐",IF(C619=DATE(2026,12,1),"培训；注册午餐；机构晚餐",IF(C619=Options!$B$9,"抵达；"&amp;IF(C619=DATE(2026,11,28),"机构晚餐","无统一供餐"),IF(C619=Options!$B$10,"返程；"&amp;IF(C619=DATE(2026,12,2),"机构午餐","无统一供餐"),"差旅状态；无统一日程"))))))</f>
        <v/>
      </c>
      <c r="E619" s="13">
        <f>IF(C619=Options!$B$9,Options!$C$15,0)</f>
        <v/>
      </c>
      <c r="F619" s="13">
        <f>IF(AND(A619&lt;&gt;"",C619&lt;Options!$B$10),B619*Options!$X$5,0)</f>
        <v/>
      </c>
      <c r="G619" s="13">
        <f>F619*12%</f>
        <v/>
      </c>
      <c r="H619" s="13">
        <f>IF(A619="",0,B619*(92*IF(OR(C619=Options!$B$9,C619=Options!$B$10),75%,100%)-IF(C619=DATE(2026,11,29),26+IF(Options!$B$8="是",23,0),0)-IF(C619=DATE(2026,11,30),26,0)-IF(C619=DATE(2026,12,1),64,0)-IF(C619=DATE(2026,11,28),38,0)-IF(C619=DATE(2026,12,2),26,0)))</f>
        <v/>
      </c>
      <c r="I619" s="13">
        <f>IF(AND(C619&gt;=DATE(2026,11,29),C619&lt;=DATE(2026,12,1)),B619*60,0)</f>
        <v/>
      </c>
      <c r="J619" s="13">
        <f>IF(A619="",0,B619*(IF(C619=DATE(2026,11,28),38,0)+IF(C619=DATE(2026,12,1),38,0)+IF(C619=DATE(2026,12,2),26,0)))</f>
        <v/>
      </c>
      <c r="K619" s="13">
        <f>IF(C619=Options!$B$9,B619*12,0)</f>
        <v/>
      </c>
      <c r="L619" s="13">
        <f>IF(C619=Options!$B$9,B619*Options!$Z$5,0)</f>
        <v/>
      </c>
      <c r="M619" s="13" t="n">
        <v>0</v>
      </c>
      <c r="N619" s="13">
        <f>SUM(E619:M619)</f>
        <v/>
      </c>
    </row>
    <row r="620">
      <c r="A620" s="5">
        <f>IF(AND(C620&gt;=Options!$B$9,C620&lt;=Options!$B$10),"Chicago","")</f>
        <v/>
      </c>
      <c r="B620" s="5">
        <f>IF(A620="","",24)</f>
        <v/>
      </c>
      <c r="C620" s="17" t="n">
        <v>46546</v>
      </c>
      <c r="D620" s="5">
        <f>IF(A620="","",IF(C620=DATE(2026,11,29),"培训；注册午餐；早餐参数",IF(C620=DATE(2026,11,30),"培训；注册午餐",IF(C620=DATE(2026,12,1),"培训；注册午餐；机构晚餐",IF(C620=Options!$B$9,"抵达；"&amp;IF(C620=DATE(2026,11,28),"机构晚餐","无统一供餐"),IF(C620=Options!$B$10,"返程；"&amp;IF(C620=DATE(2026,12,2),"机构午餐","无统一供餐"),"差旅状态；无统一日程"))))))</f>
        <v/>
      </c>
      <c r="E620" s="13">
        <f>IF(C620=Options!$B$9,Options!$C$15,0)</f>
        <v/>
      </c>
      <c r="F620" s="13">
        <f>IF(AND(A620&lt;&gt;"",C620&lt;Options!$B$10),B620*Options!$X$5,0)</f>
        <v/>
      </c>
      <c r="G620" s="13">
        <f>F620*12%</f>
        <v/>
      </c>
      <c r="H620" s="13">
        <f>IF(A620="",0,B620*(92*IF(OR(C620=Options!$B$9,C620=Options!$B$10),75%,100%)-IF(C620=DATE(2026,11,29),26+IF(Options!$B$8="是",23,0),0)-IF(C620=DATE(2026,11,30),26,0)-IF(C620=DATE(2026,12,1),64,0)-IF(C620=DATE(2026,11,28),38,0)-IF(C620=DATE(2026,12,2),26,0)))</f>
        <v/>
      </c>
      <c r="I620" s="13">
        <f>IF(AND(C620&gt;=DATE(2026,11,29),C620&lt;=DATE(2026,12,1)),B620*60,0)</f>
        <v/>
      </c>
      <c r="J620" s="13">
        <f>IF(A620="",0,B620*(IF(C620=DATE(2026,11,28),38,0)+IF(C620=DATE(2026,12,1),38,0)+IF(C620=DATE(2026,12,2),26,0)))</f>
        <v/>
      </c>
      <c r="K620" s="13">
        <f>IF(C620=Options!$B$9,B620*12,0)</f>
        <v/>
      </c>
      <c r="L620" s="13">
        <f>IF(C620=Options!$B$9,B620*Options!$Z$5,0)</f>
        <v/>
      </c>
      <c r="M620" s="13" t="n">
        <v>0</v>
      </c>
      <c r="N620" s="13">
        <f>SUM(E620:M620)</f>
        <v/>
      </c>
    </row>
    <row r="621">
      <c r="A621" s="5">
        <f>IF(AND(C621&gt;=Options!$B$9,C621&lt;=Options!$B$10),"Chicago","")</f>
        <v/>
      </c>
      <c r="B621" s="5">
        <f>IF(A621="","",24)</f>
        <v/>
      </c>
      <c r="C621" s="17" t="n">
        <v>46547</v>
      </c>
      <c r="D621" s="5">
        <f>IF(A621="","",IF(C621=DATE(2026,11,29),"培训；注册午餐；早餐参数",IF(C621=DATE(2026,11,30),"培训；注册午餐",IF(C621=DATE(2026,12,1),"培训；注册午餐；机构晚餐",IF(C621=Options!$B$9,"抵达；"&amp;IF(C621=DATE(2026,11,28),"机构晚餐","无统一供餐"),IF(C621=Options!$B$10,"返程；"&amp;IF(C621=DATE(2026,12,2),"机构午餐","无统一供餐"),"差旅状态；无统一日程"))))))</f>
        <v/>
      </c>
      <c r="E621" s="13">
        <f>IF(C621=Options!$B$9,Options!$C$15,0)</f>
        <v/>
      </c>
      <c r="F621" s="13">
        <f>IF(AND(A621&lt;&gt;"",C621&lt;Options!$B$10),B621*Options!$X$5,0)</f>
        <v/>
      </c>
      <c r="G621" s="13">
        <f>F621*12%</f>
        <v/>
      </c>
      <c r="H621" s="13">
        <f>IF(A621="",0,B621*(92*IF(OR(C621=Options!$B$9,C621=Options!$B$10),75%,100%)-IF(C621=DATE(2026,11,29),26+IF(Options!$B$8="是",23,0),0)-IF(C621=DATE(2026,11,30),26,0)-IF(C621=DATE(2026,12,1),64,0)-IF(C621=DATE(2026,11,28),38,0)-IF(C621=DATE(2026,12,2),26,0)))</f>
        <v/>
      </c>
      <c r="I621" s="13">
        <f>IF(AND(C621&gt;=DATE(2026,11,29),C621&lt;=DATE(2026,12,1)),B621*60,0)</f>
        <v/>
      </c>
      <c r="J621" s="13">
        <f>IF(A621="",0,B621*(IF(C621=DATE(2026,11,28),38,0)+IF(C621=DATE(2026,12,1),38,0)+IF(C621=DATE(2026,12,2),26,0)))</f>
        <v/>
      </c>
      <c r="K621" s="13">
        <f>IF(C621=Options!$B$9,B621*12,0)</f>
        <v/>
      </c>
      <c r="L621" s="13">
        <f>IF(C621=Options!$B$9,B621*Options!$Z$5,0)</f>
        <v/>
      </c>
      <c r="M621" s="13" t="n">
        <v>0</v>
      </c>
      <c r="N621" s="13">
        <f>SUM(E621:M621)</f>
        <v/>
      </c>
    </row>
    <row r="622">
      <c r="A622" s="5">
        <f>IF(AND(C622&gt;=Options!$B$9,C622&lt;=Options!$B$10),"Chicago","")</f>
        <v/>
      </c>
      <c r="B622" s="5">
        <f>IF(A622="","",24)</f>
        <v/>
      </c>
      <c r="C622" s="17" t="n">
        <v>46548</v>
      </c>
      <c r="D622" s="5">
        <f>IF(A622="","",IF(C622=DATE(2026,11,29),"培训；注册午餐；早餐参数",IF(C622=DATE(2026,11,30),"培训；注册午餐",IF(C622=DATE(2026,12,1),"培训；注册午餐；机构晚餐",IF(C622=Options!$B$9,"抵达；"&amp;IF(C622=DATE(2026,11,28),"机构晚餐","无统一供餐"),IF(C622=Options!$B$10,"返程；"&amp;IF(C622=DATE(2026,12,2),"机构午餐","无统一供餐"),"差旅状态；无统一日程"))))))</f>
        <v/>
      </c>
      <c r="E622" s="13">
        <f>IF(C622=Options!$B$9,Options!$C$15,0)</f>
        <v/>
      </c>
      <c r="F622" s="13">
        <f>IF(AND(A622&lt;&gt;"",C622&lt;Options!$B$10),B622*Options!$X$5,0)</f>
        <v/>
      </c>
      <c r="G622" s="13">
        <f>F622*12%</f>
        <v/>
      </c>
      <c r="H622" s="13">
        <f>IF(A622="",0,B622*(92*IF(OR(C622=Options!$B$9,C622=Options!$B$10),75%,100%)-IF(C622=DATE(2026,11,29),26+IF(Options!$B$8="是",23,0),0)-IF(C622=DATE(2026,11,30),26,0)-IF(C622=DATE(2026,12,1),64,0)-IF(C622=DATE(2026,11,28),38,0)-IF(C622=DATE(2026,12,2),26,0)))</f>
        <v/>
      </c>
      <c r="I622" s="13">
        <f>IF(AND(C622&gt;=DATE(2026,11,29),C622&lt;=DATE(2026,12,1)),B622*60,0)</f>
        <v/>
      </c>
      <c r="J622" s="13">
        <f>IF(A622="",0,B622*(IF(C622=DATE(2026,11,28),38,0)+IF(C622=DATE(2026,12,1),38,0)+IF(C622=DATE(2026,12,2),26,0)))</f>
        <v/>
      </c>
      <c r="K622" s="13">
        <f>IF(C622=Options!$B$9,B622*12,0)</f>
        <v/>
      </c>
      <c r="L622" s="13">
        <f>IF(C622=Options!$B$9,B622*Options!$Z$5,0)</f>
        <v/>
      </c>
      <c r="M622" s="13" t="n">
        <v>0</v>
      </c>
      <c r="N622" s="13">
        <f>SUM(E622:M622)</f>
        <v/>
      </c>
    </row>
    <row r="623">
      <c r="A623" s="5">
        <f>IF(AND(C623&gt;=Options!$B$9,C623&lt;=Options!$B$10),"Chicago","")</f>
        <v/>
      </c>
      <c r="B623" s="5">
        <f>IF(A623="","",24)</f>
        <v/>
      </c>
      <c r="C623" s="17" t="n">
        <v>46549</v>
      </c>
      <c r="D623" s="5">
        <f>IF(A623="","",IF(C623=DATE(2026,11,29),"培训；注册午餐；早餐参数",IF(C623=DATE(2026,11,30),"培训；注册午餐",IF(C623=DATE(2026,12,1),"培训；注册午餐；机构晚餐",IF(C623=Options!$B$9,"抵达；"&amp;IF(C623=DATE(2026,11,28),"机构晚餐","无统一供餐"),IF(C623=Options!$B$10,"返程；"&amp;IF(C623=DATE(2026,12,2),"机构午餐","无统一供餐"),"差旅状态；无统一日程"))))))</f>
        <v/>
      </c>
      <c r="E623" s="13">
        <f>IF(C623=Options!$B$9,Options!$C$15,0)</f>
        <v/>
      </c>
      <c r="F623" s="13">
        <f>IF(AND(A623&lt;&gt;"",C623&lt;Options!$B$10),B623*Options!$X$5,0)</f>
        <v/>
      </c>
      <c r="G623" s="13">
        <f>F623*12%</f>
        <v/>
      </c>
      <c r="H623" s="13">
        <f>IF(A623="",0,B623*(92*IF(OR(C623=Options!$B$9,C623=Options!$B$10),75%,100%)-IF(C623=DATE(2026,11,29),26+IF(Options!$B$8="是",23,0),0)-IF(C623=DATE(2026,11,30),26,0)-IF(C623=DATE(2026,12,1),64,0)-IF(C623=DATE(2026,11,28),38,0)-IF(C623=DATE(2026,12,2),26,0)))</f>
        <v/>
      </c>
      <c r="I623" s="13">
        <f>IF(AND(C623&gt;=DATE(2026,11,29),C623&lt;=DATE(2026,12,1)),B623*60,0)</f>
        <v/>
      </c>
      <c r="J623" s="13">
        <f>IF(A623="",0,B623*(IF(C623=DATE(2026,11,28),38,0)+IF(C623=DATE(2026,12,1),38,0)+IF(C623=DATE(2026,12,2),26,0)))</f>
        <v/>
      </c>
      <c r="K623" s="13">
        <f>IF(C623=Options!$B$9,B623*12,0)</f>
        <v/>
      </c>
      <c r="L623" s="13">
        <f>IF(C623=Options!$B$9,B623*Options!$Z$5,0)</f>
        <v/>
      </c>
      <c r="M623" s="13" t="n">
        <v>0</v>
      </c>
      <c r="N623" s="13">
        <f>SUM(E623:M623)</f>
        <v/>
      </c>
    </row>
    <row r="624">
      <c r="A624" s="5">
        <f>IF(AND(C624&gt;=Options!$B$9,C624&lt;=Options!$B$10),"Chicago","")</f>
        <v/>
      </c>
      <c r="B624" s="5">
        <f>IF(A624="","",24)</f>
        <v/>
      </c>
      <c r="C624" s="17" t="n">
        <v>46550</v>
      </c>
      <c r="D624" s="5">
        <f>IF(A624="","",IF(C624=DATE(2026,11,29),"培训；注册午餐；早餐参数",IF(C624=DATE(2026,11,30),"培训；注册午餐",IF(C624=DATE(2026,12,1),"培训；注册午餐；机构晚餐",IF(C624=Options!$B$9,"抵达；"&amp;IF(C624=DATE(2026,11,28),"机构晚餐","无统一供餐"),IF(C624=Options!$B$10,"返程；"&amp;IF(C624=DATE(2026,12,2),"机构午餐","无统一供餐"),"差旅状态；无统一日程"))))))</f>
        <v/>
      </c>
      <c r="E624" s="13">
        <f>IF(C624=Options!$B$9,Options!$C$15,0)</f>
        <v/>
      </c>
      <c r="F624" s="13">
        <f>IF(AND(A624&lt;&gt;"",C624&lt;Options!$B$10),B624*Options!$X$5,0)</f>
        <v/>
      </c>
      <c r="G624" s="13">
        <f>F624*12%</f>
        <v/>
      </c>
      <c r="H624" s="13">
        <f>IF(A624="",0,B624*(92*IF(OR(C624=Options!$B$9,C624=Options!$B$10),75%,100%)-IF(C624=DATE(2026,11,29),26+IF(Options!$B$8="是",23,0),0)-IF(C624=DATE(2026,11,30),26,0)-IF(C624=DATE(2026,12,1),64,0)-IF(C624=DATE(2026,11,28),38,0)-IF(C624=DATE(2026,12,2),26,0)))</f>
        <v/>
      </c>
      <c r="I624" s="13">
        <f>IF(AND(C624&gt;=DATE(2026,11,29),C624&lt;=DATE(2026,12,1)),B624*60,0)</f>
        <v/>
      </c>
      <c r="J624" s="13">
        <f>IF(A624="",0,B624*(IF(C624=DATE(2026,11,28),38,0)+IF(C624=DATE(2026,12,1),38,0)+IF(C624=DATE(2026,12,2),26,0)))</f>
        <v/>
      </c>
      <c r="K624" s="13">
        <f>IF(C624=Options!$B$9,B624*12,0)</f>
        <v/>
      </c>
      <c r="L624" s="13">
        <f>IF(C624=Options!$B$9,B624*Options!$Z$5,0)</f>
        <v/>
      </c>
      <c r="M624" s="13" t="n">
        <v>0</v>
      </c>
      <c r="N624" s="13">
        <f>SUM(E624:M624)</f>
        <v/>
      </c>
    </row>
    <row r="625">
      <c r="A625" s="5">
        <f>IF(AND(C625&gt;=Options!$B$9,C625&lt;=Options!$B$10),"Chicago","")</f>
        <v/>
      </c>
      <c r="B625" s="5">
        <f>IF(A625="","",24)</f>
        <v/>
      </c>
      <c r="C625" s="17" t="n">
        <v>46551</v>
      </c>
      <c r="D625" s="5">
        <f>IF(A625="","",IF(C625=DATE(2026,11,29),"培训；注册午餐；早餐参数",IF(C625=DATE(2026,11,30),"培训；注册午餐",IF(C625=DATE(2026,12,1),"培训；注册午餐；机构晚餐",IF(C625=Options!$B$9,"抵达；"&amp;IF(C625=DATE(2026,11,28),"机构晚餐","无统一供餐"),IF(C625=Options!$B$10,"返程；"&amp;IF(C625=DATE(2026,12,2),"机构午餐","无统一供餐"),"差旅状态；无统一日程"))))))</f>
        <v/>
      </c>
      <c r="E625" s="13">
        <f>IF(C625=Options!$B$9,Options!$C$15,0)</f>
        <v/>
      </c>
      <c r="F625" s="13">
        <f>IF(AND(A625&lt;&gt;"",C625&lt;Options!$B$10),B625*Options!$X$5,0)</f>
        <v/>
      </c>
      <c r="G625" s="13">
        <f>F625*12%</f>
        <v/>
      </c>
      <c r="H625" s="13">
        <f>IF(A625="",0,B625*(92*IF(OR(C625=Options!$B$9,C625=Options!$B$10),75%,100%)-IF(C625=DATE(2026,11,29),26+IF(Options!$B$8="是",23,0),0)-IF(C625=DATE(2026,11,30),26,0)-IF(C625=DATE(2026,12,1),64,0)-IF(C625=DATE(2026,11,28),38,0)-IF(C625=DATE(2026,12,2),26,0)))</f>
        <v/>
      </c>
      <c r="I625" s="13">
        <f>IF(AND(C625&gt;=DATE(2026,11,29),C625&lt;=DATE(2026,12,1)),B625*60,0)</f>
        <v/>
      </c>
      <c r="J625" s="13">
        <f>IF(A625="",0,B625*(IF(C625=DATE(2026,11,28),38,0)+IF(C625=DATE(2026,12,1),38,0)+IF(C625=DATE(2026,12,2),26,0)))</f>
        <v/>
      </c>
      <c r="K625" s="13">
        <f>IF(C625=Options!$B$9,B625*12,0)</f>
        <v/>
      </c>
      <c r="L625" s="13">
        <f>IF(C625=Options!$B$9,B625*Options!$Z$5,0)</f>
        <v/>
      </c>
      <c r="M625" s="13" t="n">
        <v>0</v>
      </c>
      <c r="N625" s="13">
        <f>SUM(E625:M625)</f>
        <v/>
      </c>
    </row>
    <row r="626">
      <c r="A626" s="5">
        <f>IF(AND(C626&gt;=Options!$B$9,C626&lt;=Options!$B$10),"Chicago","")</f>
        <v/>
      </c>
      <c r="B626" s="5">
        <f>IF(A626="","",24)</f>
        <v/>
      </c>
      <c r="C626" s="17" t="n">
        <v>46552</v>
      </c>
      <c r="D626" s="5">
        <f>IF(A626="","",IF(C626=DATE(2026,11,29),"培训；注册午餐；早餐参数",IF(C626=DATE(2026,11,30),"培训；注册午餐",IF(C626=DATE(2026,12,1),"培训；注册午餐；机构晚餐",IF(C626=Options!$B$9,"抵达；"&amp;IF(C626=DATE(2026,11,28),"机构晚餐","无统一供餐"),IF(C626=Options!$B$10,"返程；"&amp;IF(C626=DATE(2026,12,2),"机构午餐","无统一供餐"),"差旅状态；无统一日程"))))))</f>
        <v/>
      </c>
      <c r="E626" s="13">
        <f>IF(C626=Options!$B$9,Options!$C$15,0)</f>
        <v/>
      </c>
      <c r="F626" s="13">
        <f>IF(AND(A626&lt;&gt;"",C626&lt;Options!$B$10),B626*Options!$X$5,0)</f>
        <v/>
      </c>
      <c r="G626" s="13">
        <f>F626*12%</f>
        <v/>
      </c>
      <c r="H626" s="13">
        <f>IF(A626="",0,B626*(92*IF(OR(C626=Options!$B$9,C626=Options!$B$10),75%,100%)-IF(C626=DATE(2026,11,29),26+IF(Options!$B$8="是",23,0),0)-IF(C626=DATE(2026,11,30),26,0)-IF(C626=DATE(2026,12,1),64,0)-IF(C626=DATE(2026,11,28),38,0)-IF(C626=DATE(2026,12,2),26,0)))</f>
        <v/>
      </c>
      <c r="I626" s="13">
        <f>IF(AND(C626&gt;=DATE(2026,11,29),C626&lt;=DATE(2026,12,1)),B626*60,0)</f>
        <v/>
      </c>
      <c r="J626" s="13">
        <f>IF(A626="",0,B626*(IF(C626=DATE(2026,11,28),38,0)+IF(C626=DATE(2026,12,1),38,0)+IF(C626=DATE(2026,12,2),26,0)))</f>
        <v/>
      </c>
      <c r="K626" s="13">
        <f>IF(C626=Options!$B$9,B626*12,0)</f>
        <v/>
      </c>
      <c r="L626" s="13">
        <f>IF(C626=Options!$B$9,B626*Options!$Z$5,0)</f>
        <v/>
      </c>
      <c r="M626" s="13" t="n">
        <v>0</v>
      </c>
      <c r="N626" s="13">
        <f>SUM(E626:M626)</f>
        <v/>
      </c>
    </row>
    <row r="627">
      <c r="A627" s="5">
        <f>IF(AND(C627&gt;=Options!$B$9,C627&lt;=Options!$B$10),"Chicago","")</f>
        <v/>
      </c>
      <c r="B627" s="5">
        <f>IF(A627="","",24)</f>
        <v/>
      </c>
      <c r="C627" s="17" t="n">
        <v>46553</v>
      </c>
      <c r="D627" s="5">
        <f>IF(A627="","",IF(C627=DATE(2026,11,29),"培训；注册午餐；早餐参数",IF(C627=DATE(2026,11,30),"培训；注册午餐",IF(C627=DATE(2026,12,1),"培训；注册午餐；机构晚餐",IF(C627=Options!$B$9,"抵达；"&amp;IF(C627=DATE(2026,11,28),"机构晚餐","无统一供餐"),IF(C627=Options!$B$10,"返程；"&amp;IF(C627=DATE(2026,12,2),"机构午餐","无统一供餐"),"差旅状态；无统一日程"))))))</f>
        <v/>
      </c>
      <c r="E627" s="13">
        <f>IF(C627=Options!$B$9,Options!$C$15,0)</f>
        <v/>
      </c>
      <c r="F627" s="13">
        <f>IF(AND(A627&lt;&gt;"",C627&lt;Options!$B$10),B627*Options!$X$5,0)</f>
        <v/>
      </c>
      <c r="G627" s="13">
        <f>F627*12%</f>
        <v/>
      </c>
      <c r="H627" s="13">
        <f>IF(A627="",0,B627*(92*IF(OR(C627=Options!$B$9,C627=Options!$B$10),75%,100%)-IF(C627=DATE(2026,11,29),26+IF(Options!$B$8="是",23,0),0)-IF(C627=DATE(2026,11,30),26,0)-IF(C627=DATE(2026,12,1),64,0)-IF(C627=DATE(2026,11,28),38,0)-IF(C627=DATE(2026,12,2),26,0)))</f>
        <v/>
      </c>
      <c r="I627" s="13">
        <f>IF(AND(C627&gt;=DATE(2026,11,29),C627&lt;=DATE(2026,12,1)),B627*60,0)</f>
        <v/>
      </c>
      <c r="J627" s="13">
        <f>IF(A627="",0,B627*(IF(C627=DATE(2026,11,28),38,0)+IF(C627=DATE(2026,12,1),38,0)+IF(C627=DATE(2026,12,2),26,0)))</f>
        <v/>
      </c>
      <c r="K627" s="13">
        <f>IF(C627=Options!$B$9,B627*12,0)</f>
        <v/>
      </c>
      <c r="L627" s="13">
        <f>IF(C627=Options!$B$9,B627*Options!$Z$5,0)</f>
        <v/>
      </c>
      <c r="M627" s="13" t="n">
        <v>0</v>
      </c>
      <c r="N627" s="13">
        <f>SUM(E627:M627)</f>
        <v/>
      </c>
    </row>
    <row r="628">
      <c r="A628" s="5">
        <f>IF(AND(C628&gt;=Options!$B$9,C628&lt;=Options!$B$10),"Chicago","")</f>
        <v/>
      </c>
      <c r="B628" s="5">
        <f>IF(A628="","",24)</f>
        <v/>
      </c>
      <c r="C628" s="17" t="n">
        <v>46554</v>
      </c>
      <c r="D628" s="5">
        <f>IF(A628="","",IF(C628=DATE(2026,11,29),"培训；注册午餐；早餐参数",IF(C628=DATE(2026,11,30),"培训；注册午餐",IF(C628=DATE(2026,12,1),"培训；注册午餐；机构晚餐",IF(C628=Options!$B$9,"抵达；"&amp;IF(C628=DATE(2026,11,28),"机构晚餐","无统一供餐"),IF(C628=Options!$B$10,"返程；"&amp;IF(C628=DATE(2026,12,2),"机构午餐","无统一供餐"),"差旅状态；无统一日程"))))))</f>
        <v/>
      </c>
      <c r="E628" s="13">
        <f>IF(C628=Options!$B$9,Options!$C$15,0)</f>
        <v/>
      </c>
      <c r="F628" s="13">
        <f>IF(AND(A628&lt;&gt;"",C628&lt;Options!$B$10),B628*Options!$X$5,0)</f>
        <v/>
      </c>
      <c r="G628" s="13">
        <f>F628*12%</f>
        <v/>
      </c>
      <c r="H628" s="13">
        <f>IF(A628="",0,B628*(92*IF(OR(C628=Options!$B$9,C628=Options!$B$10),75%,100%)-IF(C628=DATE(2026,11,29),26+IF(Options!$B$8="是",23,0),0)-IF(C628=DATE(2026,11,30),26,0)-IF(C628=DATE(2026,12,1),64,0)-IF(C628=DATE(2026,11,28),38,0)-IF(C628=DATE(2026,12,2),26,0)))</f>
        <v/>
      </c>
      <c r="I628" s="13">
        <f>IF(AND(C628&gt;=DATE(2026,11,29),C628&lt;=DATE(2026,12,1)),B628*60,0)</f>
        <v/>
      </c>
      <c r="J628" s="13">
        <f>IF(A628="",0,B628*(IF(C628=DATE(2026,11,28),38,0)+IF(C628=DATE(2026,12,1),38,0)+IF(C628=DATE(2026,12,2),26,0)))</f>
        <v/>
      </c>
      <c r="K628" s="13">
        <f>IF(C628=Options!$B$9,B628*12,0)</f>
        <v/>
      </c>
      <c r="L628" s="13">
        <f>IF(C628=Options!$B$9,B628*Options!$Z$5,0)</f>
        <v/>
      </c>
      <c r="M628" s="13" t="n">
        <v>0</v>
      </c>
      <c r="N628" s="13">
        <f>SUM(E628:M628)</f>
        <v/>
      </c>
    </row>
    <row r="629">
      <c r="A629" s="5">
        <f>IF(AND(C629&gt;=Options!$B$9,C629&lt;=Options!$B$10),"Chicago","")</f>
        <v/>
      </c>
      <c r="B629" s="5">
        <f>IF(A629="","",24)</f>
        <v/>
      </c>
      <c r="C629" s="17" t="n">
        <v>46555</v>
      </c>
      <c r="D629" s="5">
        <f>IF(A629="","",IF(C629=DATE(2026,11,29),"培训；注册午餐；早餐参数",IF(C629=DATE(2026,11,30),"培训；注册午餐",IF(C629=DATE(2026,12,1),"培训；注册午餐；机构晚餐",IF(C629=Options!$B$9,"抵达；"&amp;IF(C629=DATE(2026,11,28),"机构晚餐","无统一供餐"),IF(C629=Options!$B$10,"返程；"&amp;IF(C629=DATE(2026,12,2),"机构午餐","无统一供餐"),"差旅状态；无统一日程"))))))</f>
        <v/>
      </c>
      <c r="E629" s="13">
        <f>IF(C629=Options!$B$9,Options!$C$15,0)</f>
        <v/>
      </c>
      <c r="F629" s="13">
        <f>IF(AND(A629&lt;&gt;"",C629&lt;Options!$B$10),B629*Options!$X$5,0)</f>
        <v/>
      </c>
      <c r="G629" s="13">
        <f>F629*12%</f>
        <v/>
      </c>
      <c r="H629" s="13">
        <f>IF(A629="",0,B629*(92*IF(OR(C629=Options!$B$9,C629=Options!$B$10),75%,100%)-IF(C629=DATE(2026,11,29),26+IF(Options!$B$8="是",23,0),0)-IF(C629=DATE(2026,11,30),26,0)-IF(C629=DATE(2026,12,1),64,0)-IF(C629=DATE(2026,11,28),38,0)-IF(C629=DATE(2026,12,2),26,0)))</f>
        <v/>
      </c>
      <c r="I629" s="13">
        <f>IF(AND(C629&gt;=DATE(2026,11,29),C629&lt;=DATE(2026,12,1)),B629*60,0)</f>
        <v/>
      </c>
      <c r="J629" s="13">
        <f>IF(A629="",0,B629*(IF(C629=DATE(2026,11,28),38,0)+IF(C629=DATE(2026,12,1),38,0)+IF(C629=DATE(2026,12,2),26,0)))</f>
        <v/>
      </c>
      <c r="K629" s="13">
        <f>IF(C629=Options!$B$9,B629*12,0)</f>
        <v/>
      </c>
      <c r="L629" s="13">
        <f>IF(C629=Options!$B$9,B629*Options!$Z$5,0)</f>
        <v/>
      </c>
      <c r="M629" s="13" t="n">
        <v>0</v>
      </c>
      <c r="N629" s="13">
        <f>SUM(E629:M629)</f>
        <v/>
      </c>
    </row>
    <row r="630">
      <c r="A630" s="5">
        <f>IF(AND(C630&gt;=Options!$B$9,C630&lt;=Options!$B$10),"Chicago","")</f>
        <v/>
      </c>
      <c r="B630" s="5">
        <f>IF(A630="","",24)</f>
        <v/>
      </c>
      <c r="C630" s="17" t="n">
        <v>46556</v>
      </c>
      <c r="D630" s="5">
        <f>IF(A630="","",IF(C630=DATE(2026,11,29),"培训；注册午餐；早餐参数",IF(C630=DATE(2026,11,30),"培训；注册午餐",IF(C630=DATE(2026,12,1),"培训；注册午餐；机构晚餐",IF(C630=Options!$B$9,"抵达；"&amp;IF(C630=DATE(2026,11,28),"机构晚餐","无统一供餐"),IF(C630=Options!$B$10,"返程；"&amp;IF(C630=DATE(2026,12,2),"机构午餐","无统一供餐"),"差旅状态；无统一日程"))))))</f>
        <v/>
      </c>
      <c r="E630" s="13">
        <f>IF(C630=Options!$B$9,Options!$C$15,0)</f>
        <v/>
      </c>
      <c r="F630" s="13">
        <f>IF(AND(A630&lt;&gt;"",C630&lt;Options!$B$10),B630*Options!$X$5,0)</f>
        <v/>
      </c>
      <c r="G630" s="13">
        <f>F630*12%</f>
        <v/>
      </c>
      <c r="H630" s="13">
        <f>IF(A630="",0,B630*(92*IF(OR(C630=Options!$B$9,C630=Options!$B$10),75%,100%)-IF(C630=DATE(2026,11,29),26+IF(Options!$B$8="是",23,0),0)-IF(C630=DATE(2026,11,30),26,0)-IF(C630=DATE(2026,12,1),64,0)-IF(C630=DATE(2026,11,28),38,0)-IF(C630=DATE(2026,12,2),26,0)))</f>
        <v/>
      </c>
      <c r="I630" s="13">
        <f>IF(AND(C630&gt;=DATE(2026,11,29),C630&lt;=DATE(2026,12,1)),B630*60,0)</f>
        <v/>
      </c>
      <c r="J630" s="13">
        <f>IF(A630="",0,B630*(IF(C630=DATE(2026,11,28),38,0)+IF(C630=DATE(2026,12,1),38,0)+IF(C630=DATE(2026,12,2),26,0)))</f>
        <v/>
      </c>
      <c r="K630" s="13">
        <f>IF(C630=Options!$B$9,B630*12,0)</f>
        <v/>
      </c>
      <c r="L630" s="13">
        <f>IF(C630=Options!$B$9,B630*Options!$Z$5,0)</f>
        <v/>
      </c>
      <c r="M630" s="13" t="n">
        <v>0</v>
      </c>
      <c r="N630" s="13">
        <f>SUM(E630:M630)</f>
        <v/>
      </c>
    </row>
    <row r="631">
      <c r="A631" s="5">
        <f>IF(AND(C631&gt;=Options!$B$9,C631&lt;=Options!$B$10),"Chicago","")</f>
        <v/>
      </c>
      <c r="B631" s="5">
        <f>IF(A631="","",24)</f>
        <v/>
      </c>
      <c r="C631" s="17" t="n">
        <v>46557</v>
      </c>
      <c r="D631" s="5">
        <f>IF(A631="","",IF(C631=DATE(2026,11,29),"培训；注册午餐；早餐参数",IF(C631=DATE(2026,11,30),"培训；注册午餐",IF(C631=DATE(2026,12,1),"培训；注册午餐；机构晚餐",IF(C631=Options!$B$9,"抵达；"&amp;IF(C631=DATE(2026,11,28),"机构晚餐","无统一供餐"),IF(C631=Options!$B$10,"返程；"&amp;IF(C631=DATE(2026,12,2),"机构午餐","无统一供餐"),"差旅状态；无统一日程"))))))</f>
        <v/>
      </c>
      <c r="E631" s="13">
        <f>IF(C631=Options!$B$9,Options!$C$15,0)</f>
        <v/>
      </c>
      <c r="F631" s="13">
        <f>IF(AND(A631&lt;&gt;"",C631&lt;Options!$B$10),B631*Options!$X$5,0)</f>
        <v/>
      </c>
      <c r="G631" s="13">
        <f>F631*12%</f>
        <v/>
      </c>
      <c r="H631" s="13">
        <f>IF(A631="",0,B631*(92*IF(OR(C631=Options!$B$9,C631=Options!$B$10),75%,100%)-IF(C631=DATE(2026,11,29),26+IF(Options!$B$8="是",23,0),0)-IF(C631=DATE(2026,11,30),26,0)-IF(C631=DATE(2026,12,1),64,0)-IF(C631=DATE(2026,11,28),38,0)-IF(C631=DATE(2026,12,2),26,0)))</f>
        <v/>
      </c>
      <c r="I631" s="13">
        <f>IF(AND(C631&gt;=DATE(2026,11,29),C631&lt;=DATE(2026,12,1)),B631*60,0)</f>
        <v/>
      </c>
      <c r="J631" s="13">
        <f>IF(A631="",0,B631*(IF(C631=DATE(2026,11,28),38,0)+IF(C631=DATE(2026,12,1),38,0)+IF(C631=DATE(2026,12,2),26,0)))</f>
        <v/>
      </c>
      <c r="K631" s="13">
        <f>IF(C631=Options!$B$9,B631*12,0)</f>
        <v/>
      </c>
      <c r="L631" s="13">
        <f>IF(C631=Options!$B$9,B631*Options!$Z$5,0)</f>
        <v/>
      </c>
      <c r="M631" s="13" t="n">
        <v>0</v>
      </c>
      <c r="N631" s="13">
        <f>SUM(E631:M631)</f>
        <v/>
      </c>
    </row>
    <row r="632">
      <c r="A632" s="5">
        <f>IF(AND(C632&gt;=Options!$B$9,C632&lt;=Options!$B$10),"Chicago","")</f>
        <v/>
      </c>
      <c r="B632" s="5">
        <f>IF(A632="","",24)</f>
        <v/>
      </c>
      <c r="C632" s="17" t="n">
        <v>46558</v>
      </c>
      <c r="D632" s="5">
        <f>IF(A632="","",IF(C632=DATE(2026,11,29),"培训；注册午餐；早餐参数",IF(C632=DATE(2026,11,30),"培训；注册午餐",IF(C632=DATE(2026,12,1),"培训；注册午餐；机构晚餐",IF(C632=Options!$B$9,"抵达；"&amp;IF(C632=DATE(2026,11,28),"机构晚餐","无统一供餐"),IF(C632=Options!$B$10,"返程；"&amp;IF(C632=DATE(2026,12,2),"机构午餐","无统一供餐"),"差旅状态；无统一日程"))))))</f>
        <v/>
      </c>
      <c r="E632" s="13">
        <f>IF(C632=Options!$B$9,Options!$C$15,0)</f>
        <v/>
      </c>
      <c r="F632" s="13">
        <f>IF(AND(A632&lt;&gt;"",C632&lt;Options!$B$10),B632*Options!$X$5,0)</f>
        <v/>
      </c>
      <c r="G632" s="13">
        <f>F632*12%</f>
        <v/>
      </c>
      <c r="H632" s="13">
        <f>IF(A632="",0,B632*(92*IF(OR(C632=Options!$B$9,C632=Options!$B$10),75%,100%)-IF(C632=DATE(2026,11,29),26+IF(Options!$B$8="是",23,0),0)-IF(C632=DATE(2026,11,30),26,0)-IF(C632=DATE(2026,12,1),64,0)-IF(C632=DATE(2026,11,28),38,0)-IF(C632=DATE(2026,12,2),26,0)))</f>
        <v/>
      </c>
      <c r="I632" s="13">
        <f>IF(AND(C632&gt;=DATE(2026,11,29),C632&lt;=DATE(2026,12,1)),B632*60,0)</f>
        <v/>
      </c>
      <c r="J632" s="13">
        <f>IF(A632="",0,B632*(IF(C632=DATE(2026,11,28),38,0)+IF(C632=DATE(2026,12,1),38,0)+IF(C632=DATE(2026,12,2),26,0)))</f>
        <v/>
      </c>
      <c r="K632" s="13">
        <f>IF(C632=Options!$B$9,B632*12,0)</f>
        <v/>
      </c>
      <c r="L632" s="13">
        <f>IF(C632=Options!$B$9,B632*Options!$Z$5,0)</f>
        <v/>
      </c>
      <c r="M632" s="13" t="n">
        <v>0</v>
      </c>
      <c r="N632" s="13">
        <f>SUM(E632:M632)</f>
        <v/>
      </c>
    </row>
    <row r="633">
      <c r="A633" s="5">
        <f>IF(AND(C633&gt;=Options!$B$9,C633&lt;=Options!$B$10),"Chicago","")</f>
        <v/>
      </c>
      <c r="B633" s="5">
        <f>IF(A633="","",24)</f>
        <v/>
      </c>
      <c r="C633" s="17" t="n">
        <v>46559</v>
      </c>
      <c r="D633" s="5">
        <f>IF(A633="","",IF(C633=DATE(2026,11,29),"培训；注册午餐；早餐参数",IF(C633=DATE(2026,11,30),"培训；注册午餐",IF(C633=DATE(2026,12,1),"培训；注册午餐；机构晚餐",IF(C633=Options!$B$9,"抵达；"&amp;IF(C633=DATE(2026,11,28),"机构晚餐","无统一供餐"),IF(C633=Options!$B$10,"返程；"&amp;IF(C633=DATE(2026,12,2),"机构午餐","无统一供餐"),"差旅状态；无统一日程"))))))</f>
        <v/>
      </c>
      <c r="E633" s="13">
        <f>IF(C633=Options!$B$9,Options!$C$15,0)</f>
        <v/>
      </c>
      <c r="F633" s="13">
        <f>IF(AND(A633&lt;&gt;"",C633&lt;Options!$B$10),B633*Options!$X$5,0)</f>
        <v/>
      </c>
      <c r="G633" s="13">
        <f>F633*12%</f>
        <v/>
      </c>
      <c r="H633" s="13">
        <f>IF(A633="",0,B633*(92*IF(OR(C633=Options!$B$9,C633=Options!$B$10),75%,100%)-IF(C633=DATE(2026,11,29),26+IF(Options!$B$8="是",23,0),0)-IF(C633=DATE(2026,11,30),26,0)-IF(C633=DATE(2026,12,1),64,0)-IF(C633=DATE(2026,11,28),38,0)-IF(C633=DATE(2026,12,2),26,0)))</f>
        <v/>
      </c>
      <c r="I633" s="13">
        <f>IF(AND(C633&gt;=DATE(2026,11,29),C633&lt;=DATE(2026,12,1)),B633*60,0)</f>
        <v/>
      </c>
      <c r="J633" s="13">
        <f>IF(A633="",0,B633*(IF(C633=DATE(2026,11,28),38,0)+IF(C633=DATE(2026,12,1),38,0)+IF(C633=DATE(2026,12,2),26,0)))</f>
        <v/>
      </c>
      <c r="K633" s="13">
        <f>IF(C633=Options!$B$9,B633*12,0)</f>
        <v/>
      </c>
      <c r="L633" s="13">
        <f>IF(C633=Options!$B$9,B633*Options!$Z$5,0)</f>
        <v/>
      </c>
      <c r="M633" s="13" t="n">
        <v>0</v>
      </c>
      <c r="N633" s="13">
        <f>SUM(E633:M633)</f>
        <v/>
      </c>
    </row>
    <row r="634">
      <c r="A634" s="5">
        <f>IF(AND(C634&gt;=Options!$B$9,C634&lt;=Options!$B$10),"Chicago","")</f>
        <v/>
      </c>
      <c r="B634" s="5">
        <f>IF(A634="","",24)</f>
        <v/>
      </c>
      <c r="C634" s="17" t="n">
        <v>46560</v>
      </c>
      <c r="D634" s="5">
        <f>IF(A634="","",IF(C634=DATE(2026,11,29),"培训；注册午餐；早餐参数",IF(C634=DATE(2026,11,30),"培训；注册午餐",IF(C634=DATE(2026,12,1),"培训；注册午餐；机构晚餐",IF(C634=Options!$B$9,"抵达；"&amp;IF(C634=DATE(2026,11,28),"机构晚餐","无统一供餐"),IF(C634=Options!$B$10,"返程；"&amp;IF(C634=DATE(2026,12,2),"机构午餐","无统一供餐"),"差旅状态；无统一日程"))))))</f>
        <v/>
      </c>
      <c r="E634" s="13">
        <f>IF(C634=Options!$B$9,Options!$C$15,0)</f>
        <v/>
      </c>
      <c r="F634" s="13">
        <f>IF(AND(A634&lt;&gt;"",C634&lt;Options!$B$10),B634*Options!$X$5,0)</f>
        <v/>
      </c>
      <c r="G634" s="13">
        <f>F634*12%</f>
        <v/>
      </c>
      <c r="H634" s="13">
        <f>IF(A634="",0,B634*(92*IF(OR(C634=Options!$B$9,C634=Options!$B$10),75%,100%)-IF(C634=DATE(2026,11,29),26+IF(Options!$B$8="是",23,0),0)-IF(C634=DATE(2026,11,30),26,0)-IF(C634=DATE(2026,12,1),64,0)-IF(C634=DATE(2026,11,28),38,0)-IF(C634=DATE(2026,12,2),26,0)))</f>
        <v/>
      </c>
      <c r="I634" s="13">
        <f>IF(AND(C634&gt;=DATE(2026,11,29),C634&lt;=DATE(2026,12,1)),B634*60,0)</f>
        <v/>
      </c>
      <c r="J634" s="13">
        <f>IF(A634="",0,B634*(IF(C634=DATE(2026,11,28),38,0)+IF(C634=DATE(2026,12,1),38,0)+IF(C634=DATE(2026,12,2),26,0)))</f>
        <v/>
      </c>
      <c r="K634" s="13">
        <f>IF(C634=Options!$B$9,B634*12,0)</f>
        <v/>
      </c>
      <c r="L634" s="13">
        <f>IF(C634=Options!$B$9,B634*Options!$Z$5,0)</f>
        <v/>
      </c>
      <c r="M634" s="13" t="n">
        <v>0</v>
      </c>
      <c r="N634" s="13">
        <f>SUM(E634:M634)</f>
        <v/>
      </c>
    </row>
    <row r="635">
      <c r="A635" s="5">
        <f>IF(AND(C635&gt;=Options!$B$9,C635&lt;=Options!$B$10),"Chicago","")</f>
        <v/>
      </c>
      <c r="B635" s="5">
        <f>IF(A635="","",24)</f>
        <v/>
      </c>
      <c r="C635" s="17" t="n">
        <v>46561</v>
      </c>
      <c r="D635" s="5">
        <f>IF(A635="","",IF(C635=DATE(2026,11,29),"培训；注册午餐；早餐参数",IF(C635=DATE(2026,11,30),"培训；注册午餐",IF(C635=DATE(2026,12,1),"培训；注册午餐；机构晚餐",IF(C635=Options!$B$9,"抵达；"&amp;IF(C635=DATE(2026,11,28),"机构晚餐","无统一供餐"),IF(C635=Options!$B$10,"返程；"&amp;IF(C635=DATE(2026,12,2),"机构午餐","无统一供餐"),"差旅状态；无统一日程"))))))</f>
        <v/>
      </c>
      <c r="E635" s="13">
        <f>IF(C635=Options!$B$9,Options!$C$15,0)</f>
        <v/>
      </c>
      <c r="F635" s="13">
        <f>IF(AND(A635&lt;&gt;"",C635&lt;Options!$B$10),B635*Options!$X$5,0)</f>
        <v/>
      </c>
      <c r="G635" s="13">
        <f>F635*12%</f>
        <v/>
      </c>
      <c r="H635" s="13">
        <f>IF(A635="",0,B635*(92*IF(OR(C635=Options!$B$9,C635=Options!$B$10),75%,100%)-IF(C635=DATE(2026,11,29),26+IF(Options!$B$8="是",23,0),0)-IF(C635=DATE(2026,11,30),26,0)-IF(C635=DATE(2026,12,1),64,0)-IF(C635=DATE(2026,11,28),38,0)-IF(C635=DATE(2026,12,2),26,0)))</f>
        <v/>
      </c>
      <c r="I635" s="13">
        <f>IF(AND(C635&gt;=DATE(2026,11,29),C635&lt;=DATE(2026,12,1)),B635*60,0)</f>
        <v/>
      </c>
      <c r="J635" s="13">
        <f>IF(A635="",0,B635*(IF(C635=DATE(2026,11,28),38,0)+IF(C635=DATE(2026,12,1),38,0)+IF(C635=DATE(2026,12,2),26,0)))</f>
        <v/>
      </c>
      <c r="K635" s="13">
        <f>IF(C635=Options!$B$9,B635*12,0)</f>
        <v/>
      </c>
      <c r="L635" s="13">
        <f>IF(C635=Options!$B$9,B635*Options!$Z$5,0)</f>
        <v/>
      </c>
      <c r="M635" s="13" t="n">
        <v>0</v>
      </c>
      <c r="N635" s="13">
        <f>SUM(E635:M635)</f>
        <v/>
      </c>
    </row>
    <row r="636">
      <c r="A636" s="5">
        <f>IF(AND(C636&gt;=Options!$B$9,C636&lt;=Options!$B$10),"Chicago","")</f>
        <v/>
      </c>
      <c r="B636" s="5">
        <f>IF(A636="","",24)</f>
        <v/>
      </c>
      <c r="C636" s="17" t="n">
        <v>46562</v>
      </c>
      <c r="D636" s="5">
        <f>IF(A636="","",IF(C636=DATE(2026,11,29),"培训；注册午餐；早餐参数",IF(C636=DATE(2026,11,30),"培训；注册午餐",IF(C636=DATE(2026,12,1),"培训；注册午餐；机构晚餐",IF(C636=Options!$B$9,"抵达；"&amp;IF(C636=DATE(2026,11,28),"机构晚餐","无统一供餐"),IF(C636=Options!$B$10,"返程；"&amp;IF(C636=DATE(2026,12,2),"机构午餐","无统一供餐"),"差旅状态；无统一日程"))))))</f>
        <v/>
      </c>
      <c r="E636" s="13">
        <f>IF(C636=Options!$B$9,Options!$C$15,0)</f>
        <v/>
      </c>
      <c r="F636" s="13">
        <f>IF(AND(A636&lt;&gt;"",C636&lt;Options!$B$10),B636*Options!$X$5,0)</f>
        <v/>
      </c>
      <c r="G636" s="13">
        <f>F636*12%</f>
        <v/>
      </c>
      <c r="H636" s="13">
        <f>IF(A636="",0,B636*(92*IF(OR(C636=Options!$B$9,C636=Options!$B$10),75%,100%)-IF(C636=DATE(2026,11,29),26+IF(Options!$B$8="是",23,0),0)-IF(C636=DATE(2026,11,30),26,0)-IF(C636=DATE(2026,12,1),64,0)-IF(C636=DATE(2026,11,28),38,0)-IF(C636=DATE(2026,12,2),26,0)))</f>
        <v/>
      </c>
      <c r="I636" s="13">
        <f>IF(AND(C636&gt;=DATE(2026,11,29),C636&lt;=DATE(2026,12,1)),B636*60,0)</f>
        <v/>
      </c>
      <c r="J636" s="13">
        <f>IF(A636="",0,B636*(IF(C636=DATE(2026,11,28),38,0)+IF(C636=DATE(2026,12,1),38,0)+IF(C636=DATE(2026,12,2),26,0)))</f>
        <v/>
      </c>
      <c r="K636" s="13">
        <f>IF(C636=Options!$B$9,B636*12,0)</f>
        <v/>
      </c>
      <c r="L636" s="13">
        <f>IF(C636=Options!$B$9,B636*Options!$Z$5,0)</f>
        <v/>
      </c>
      <c r="M636" s="13" t="n">
        <v>0</v>
      </c>
      <c r="N636" s="13">
        <f>SUM(E636:M636)</f>
        <v/>
      </c>
    </row>
    <row r="637">
      <c r="A637" s="5">
        <f>IF(AND(C637&gt;=Options!$B$9,C637&lt;=Options!$B$10),"Chicago","")</f>
        <v/>
      </c>
      <c r="B637" s="5">
        <f>IF(A637="","",24)</f>
        <v/>
      </c>
      <c r="C637" s="17" t="n">
        <v>46563</v>
      </c>
      <c r="D637" s="5">
        <f>IF(A637="","",IF(C637=DATE(2026,11,29),"培训；注册午餐；早餐参数",IF(C637=DATE(2026,11,30),"培训；注册午餐",IF(C637=DATE(2026,12,1),"培训；注册午餐；机构晚餐",IF(C637=Options!$B$9,"抵达；"&amp;IF(C637=DATE(2026,11,28),"机构晚餐","无统一供餐"),IF(C637=Options!$B$10,"返程；"&amp;IF(C637=DATE(2026,12,2),"机构午餐","无统一供餐"),"差旅状态；无统一日程"))))))</f>
        <v/>
      </c>
      <c r="E637" s="13">
        <f>IF(C637=Options!$B$9,Options!$C$15,0)</f>
        <v/>
      </c>
      <c r="F637" s="13">
        <f>IF(AND(A637&lt;&gt;"",C637&lt;Options!$B$10),B637*Options!$X$5,0)</f>
        <v/>
      </c>
      <c r="G637" s="13">
        <f>F637*12%</f>
        <v/>
      </c>
      <c r="H637" s="13">
        <f>IF(A637="",0,B637*(92*IF(OR(C637=Options!$B$9,C637=Options!$B$10),75%,100%)-IF(C637=DATE(2026,11,29),26+IF(Options!$B$8="是",23,0),0)-IF(C637=DATE(2026,11,30),26,0)-IF(C637=DATE(2026,12,1),64,0)-IF(C637=DATE(2026,11,28),38,0)-IF(C637=DATE(2026,12,2),26,0)))</f>
        <v/>
      </c>
      <c r="I637" s="13">
        <f>IF(AND(C637&gt;=DATE(2026,11,29),C637&lt;=DATE(2026,12,1)),B637*60,0)</f>
        <v/>
      </c>
      <c r="J637" s="13">
        <f>IF(A637="",0,B637*(IF(C637=DATE(2026,11,28),38,0)+IF(C637=DATE(2026,12,1),38,0)+IF(C637=DATE(2026,12,2),26,0)))</f>
        <v/>
      </c>
      <c r="K637" s="13">
        <f>IF(C637=Options!$B$9,B637*12,0)</f>
        <v/>
      </c>
      <c r="L637" s="13">
        <f>IF(C637=Options!$B$9,B637*Options!$Z$5,0)</f>
        <v/>
      </c>
      <c r="M637" s="13" t="n">
        <v>0</v>
      </c>
      <c r="N637" s="13">
        <f>SUM(E637:M637)</f>
        <v/>
      </c>
    </row>
    <row r="638">
      <c r="A638" s="5">
        <f>IF(AND(C638&gt;=Options!$B$9,C638&lt;=Options!$B$10),"Chicago","")</f>
        <v/>
      </c>
      <c r="B638" s="5">
        <f>IF(A638="","",24)</f>
        <v/>
      </c>
      <c r="C638" s="17" t="n">
        <v>46564</v>
      </c>
      <c r="D638" s="5">
        <f>IF(A638="","",IF(C638=DATE(2026,11,29),"培训；注册午餐；早餐参数",IF(C638=DATE(2026,11,30),"培训；注册午餐",IF(C638=DATE(2026,12,1),"培训；注册午餐；机构晚餐",IF(C638=Options!$B$9,"抵达；"&amp;IF(C638=DATE(2026,11,28),"机构晚餐","无统一供餐"),IF(C638=Options!$B$10,"返程；"&amp;IF(C638=DATE(2026,12,2),"机构午餐","无统一供餐"),"差旅状态；无统一日程"))))))</f>
        <v/>
      </c>
      <c r="E638" s="13">
        <f>IF(C638=Options!$B$9,Options!$C$15,0)</f>
        <v/>
      </c>
      <c r="F638" s="13">
        <f>IF(AND(A638&lt;&gt;"",C638&lt;Options!$B$10),B638*Options!$X$5,0)</f>
        <v/>
      </c>
      <c r="G638" s="13">
        <f>F638*12%</f>
        <v/>
      </c>
      <c r="H638" s="13">
        <f>IF(A638="",0,B638*(92*IF(OR(C638=Options!$B$9,C638=Options!$B$10),75%,100%)-IF(C638=DATE(2026,11,29),26+IF(Options!$B$8="是",23,0),0)-IF(C638=DATE(2026,11,30),26,0)-IF(C638=DATE(2026,12,1),64,0)-IF(C638=DATE(2026,11,28),38,0)-IF(C638=DATE(2026,12,2),26,0)))</f>
        <v/>
      </c>
      <c r="I638" s="13">
        <f>IF(AND(C638&gt;=DATE(2026,11,29),C638&lt;=DATE(2026,12,1)),B638*60,0)</f>
        <v/>
      </c>
      <c r="J638" s="13">
        <f>IF(A638="",0,B638*(IF(C638=DATE(2026,11,28),38,0)+IF(C638=DATE(2026,12,1),38,0)+IF(C638=DATE(2026,12,2),26,0)))</f>
        <v/>
      </c>
      <c r="K638" s="13">
        <f>IF(C638=Options!$B$9,B638*12,0)</f>
        <v/>
      </c>
      <c r="L638" s="13">
        <f>IF(C638=Options!$B$9,B638*Options!$Z$5,0)</f>
        <v/>
      </c>
      <c r="M638" s="13" t="n">
        <v>0</v>
      </c>
      <c r="N638" s="13">
        <f>SUM(E638:M638)</f>
        <v/>
      </c>
    </row>
    <row r="639">
      <c r="A639" s="5">
        <f>IF(AND(C639&gt;=Options!$B$9,C639&lt;=Options!$B$10),"Chicago","")</f>
        <v/>
      </c>
      <c r="B639" s="5">
        <f>IF(A639="","",24)</f>
        <v/>
      </c>
      <c r="C639" s="17" t="n">
        <v>46565</v>
      </c>
      <c r="D639" s="5">
        <f>IF(A639="","",IF(C639=DATE(2026,11,29),"培训；注册午餐；早餐参数",IF(C639=DATE(2026,11,30),"培训；注册午餐",IF(C639=DATE(2026,12,1),"培训；注册午餐；机构晚餐",IF(C639=Options!$B$9,"抵达；"&amp;IF(C639=DATE(2026,11,28),"机构晚餐","无统一供餐"),IF(C639=Options!$B$10,"返程；"&amp;IF(C639=DATE(2026,12,2),"机构午餐","无统一供餐"),"差旅状态；无统一日程"))))))</f>
        <v/>
      </c>
      <c r="E639" s="13">
        <f>IF(C639=Options!$B$9,Options!$C$15,0)</f>
        <v/>
      </c>
      <c r="F639" s="13">
        <f>IF(AND(A639&lt;&gt;"",C639&lt;Options!$B$10),B639*Options!$X$5,0)</f>
        <v/>
      </c>
      <c r="G639" s="13">
        <f>F639*12%</f>
        <v/>
      </c>
      <c r="H639" s="13">
        <f>IF(A639="",0,B639*(92*IF(OR(C639=Options!$B$9,C639=Options!$B$10),75%,100%)-IF(C639=DATE(2026,11,29),26+IF(Options!$B$8="是",23,0),0)-IF(C639=DATE(2026,11,30),26,0)-IF(C639=DATE(2026,12,1),64,0)-IF(C639=DATE(2026,11,28),38,0)-IF(C639=DATE(2026,12,2),26,0)))</f>
        <v/>
      </c>
      <c r="I639" s="13">
        <f>IF(AND(C639&gt;=DATE(2026,11,29),C639&lt;=DATE(2026,12,1)),B639*60,0)</f>
        <v/>
      </c>
      <c r="J639" s="13">
        <f>IF(A639="",0,B639*(IF(C639=DATE(2026,11,28),38,0)+IF(C639=DATE(2026,12,1),38,0)+IF(C639=DATE(2026,12,2),26,0)))</f>
        <v/>
      </c>
      <c r="K639" s="13">
        <f>IF(C639=Options!$B$9,B639*12,0)</f>
        <v/>
      </c>
      <c r="L639" s="13">
        <f>IF(C639=Options!$B$9,B639*Options!$Z$5,0)</f>
        <v/>
      </c>
      <c r="M639" s="13" t="n">
        <v>0</v>
      </c>
      <c r="N639" s="13">
        <f>SUM(E639:M639)</f>
        <v/>
      </c>
    </row>
    <row r="640">
      <c r="A640" s="5">
        <f>IF(AND(C640&gt;=Options!$B$9,C640&lt;=Options!$B$10),"Chicago","")</f>
        <v/>
      </c>
      <c r="B640" s="5">
        <f>IF(A640="","",24)</f>
        <v/>
      </c>
      <c r="C640" s="17" t="n">
        <v>46566</v>
      </c>
      <c r="D640" s="5">
        <f>IF(A640="","",IF(C640=DATE(2026,11,29),"培训；注册午餐；早餐参数",IF(C640=DATE(2026,11,30),"培训；注册午餐",IF(C640=DATE(2026,12,1),"培训；注册午餐；机构晚餐",IF(C640=Options!$B$9,"抵达；"&amp;IF(C640=DATE(2026,11,28),"机构晚餐","无统一供餐"),IF(C640=Options!$B$10,"返程；"&amp;IF(C640=DATE(2026,12,2),"机构午餐","无统一供餐"),"差旅状态；无统一日程"))))))</f>
        <v/>
      </c>
      <c r="E640" s="13">
        <f>IF(C640=Options!$B$9,Options!$C$15,0)</f>
        <v/>
      </c>
      <c r="F640" s="13">
        <f>IF(AND(A640&lt;&gt;"",C640&lt;Options!$B$10),B640*Options!$X$5,0)</f>
        <v/>
      </c>
      <c r="G640" s="13">
        <f>F640*12%</f>
        <v/>
      </c>
      <c r="H640" s="13">
        <f>IF(A640="",0,B640*(92*IF(OR(C640=Options!$B$9,C640=Options!$B$10),75%,100%)-IF(C640=DATE(2026,11,29),26+IF(Options!$B$8="是",23,0),0)-IF(C640=DATE(2026,11,30),26,0)-IF(C640=DATE(2026,12,1),64,0)-IF(C640=DATE(2026,11,28),38,0)-IF(C640=DATE(2026,12,2),26,0)))</f>
        <v/>
      </c>
      <c r="I640" s="13">
        <f>IF(AND(C640&gt;=DATE(2026,11,29),C640&lt;=DATE(2026,12,1)),B640*60,0)</f>
        <v/>
      </c>
      <c r="J640" s="13">
        <f>IF(A640="",0,B640*(IF(C640=DATE(2026,11,28),38,0)+IF(C640=DATE(2026,12,1),38,0)+IF(C640=DATE(2026,12,2),26,0)))</f>
        <v/>
      </c>
      <c r="K640" s="13">
        <f>IF(C640=Options!$B$9,B640*12,0)</f>
        <v/>
      </c>
      <c r="L640" s="13">
        <f>IF(C640=Options!$B$9,B640*Options!$Z$5,0)</f>
        <v/>
      </c>
      <c r="M640" s="13" t="n">
        <v>0</v>
      </c>
      <c r="N640" s="13">
        <f>SUM(E640:M640)</f>
        <v/>
      </c>
    </row>
    <row r="641">
      <c r="A641" s="5">
        <f>IF(AND(C641&gt;=Options!$B$9,C641&lt;=Options!$B$10),"Chicago","")</f>
        <v/>
      </c>
      <c r="B641" s="5">
        <f>IF(A641="","",24)</f>
        <v/>
      </c>
      <c r="C641" s="17" t="n">
        <v>46567</v>
      </c>
      <c r="D641" s="5">
        <f>IF(A641="","",IF(C641=DATE(2026,11,29),"培训；注册午餐；早餐参数",IF(C641=DATE(2026,11,30),"培训；注册午餐",IF(C641=DATE(2026,12,1),"培训；注册午餐；机构晚餐",IF(C641=Options!$B$9,"抵达；"&amp;IF(C641=DATE(2026,11,28),"机构晚餐","无统一供餐"),IF(C641=Options!$B$10,"返程；"&amp;IF(C641=DATE(2026,12,2),"机构午餐","无统一供餐"),"差旅状态；无统一日程"))))))</f>
        <v/>
      </c>
      <c r="E641" s="13">
        <f>IF(C641=Options!$B$9,Options!$C$15,0)</f>
        <v/>
      </c>
      <c r="F641" s="13">
        <f>IF(AND(A641&lt;&gt;"",C641&lt;Options!$B$10),B641*Options!$X$5,0)</f>
        <v/>
      </c>
      <c r="G641" s="13">
        <f>F641*12%</f>
        <v/>
      </c>
      <c r="H641" s="13">
        <f>IF(A641="",0,B641*(92*IF(OR(C641=Options!$B$9,C641=Options!$B$10),75%,100%)-IF(C641=DATE(2026,11,29),26+IF(Options!$B$8="是",23,0),0)-IF(C641=DATE(2026,11,30),26,0)-IF(C641=DATE(2026,12,1),64,0)-IF(C641=DATE(2026,11,28),38,0)-IF(C641=DATE(2026,12,2),26,0)))</f>
        <v/>
      </c>
      <c r="I641" s="13">
        <f>IF(AND(C641&gt;=DATE(2026,11,29),C641&lt;=DATE(2026,12,1)),B641*60,0)</f>
        <v/>
      </c>
      <c r="J641" s="13">
        <f>IF(A641="",0,B641*(IF(C641=DATE(2026,11,28),38,0)+IF(C641=DATE(2026,12,1),38,0)+IF(C641=DATE(2026,12,2),26,0)))</f>
        <v/>
      </c>
      <c r="K641" s="13">
        <f>IF(C641=Options!$B$9,B641*12,0)</f>
        <v/>
      </c>
      <c r="L641" s="13">
        <f>IF(C641=Options!$B$9,B641*Options!$Z$5,0)</f>
        <v/>
      </c>
      <c r="M641" s="13" t="n">
        <v>0</v>
      </c>
      <c r="N641" s="13">
        <f>SUM(E641:M641)</f>
        <v/>
      </c>
    </row>
    <row r="642">
      <c r="A642" s="5">
        <f>IF(AND(C642&gt;=Options!$B$9,C642&lt;=Options!$B$10),"Chicago","")</f>
        <v/>
      </c>
      <c r="B642" s="5">
        <f>IF(A642="","",24)</f>
        <v/>
      </c>
      <c r="C642" s="17" t="n">
        <v>46568</v>
      </c>
      <c r="D642" s="5">
        <f>IF(A642="","",IF(C642=DATE(2026,11,29),"培训；注册午餐；早餐参数",IF(C642=DATE(2026,11,30),"培训；注册午餐",IF(C642=DATE(2026,12,1),"培训；注册午餐；机构晚餐",IF(C642=Options!$B$9,"抵达；"&amp;IF(C642=DATE(2026,11,28),"机构晚餐","无统一供餐"),IF(C642=Options!$B$10,"返程；"&amp;IF(C642=DATE(2026,12,2),"机构午餐","无统一供餐"),"差旅状态；无统一日程"))))))</f>
        <v/>
      </c>
      <c r="E642" s="13">
        <f>IF(C642=Options!$B$9,Options!$C$15,0)</f>
        <v/>
      </c>
      <c r="F642" s="13">
        <f>IF(AND(A642&lt;&gt;"",C642&lt;Options!$B$10),B642*Options!$X$5,0)</f>
        <v/>
      </c>
      <c r="G642" s="13">
        <f>F642*12%</f>
        <v/>
      </c>
      <c r="H642" s="13">
        <f>IF(A642="",0,B642*(92*IF(OR(C642=Options!$B$9,C642=Options!$B$10),75%,100%)-IF(C642=DATE(2026,11,29),26+IF(Options!$B$8="是",23,0),0)-IF(C642=DATE(2026,11,30),26,0)-IF(C642=DATE(2026,12,1),64,0)-IF(C642=DATE(2026,11,28),38,0)-IF(C642=DATE(2026,12,2),26,0)))</f>
        <v/>
      </c>
      <c r="I642" s="13">
        <f>IF(AND(C642&gt;=DATE(2026,11,29),C642&lt;=DATE(2026,12,1)),B642*60,0)</f>
        <v/>
      </c>
      <c r="J642" s="13">
        <f>IF(A642="",0,B642*(IF(C642=DATE(2026,11,28),38,0)+IF(C642=DATE(2026,12,1),38,0)+IF(C642=DATE(2026,12,2),26,0)))</f>
        <v/>
      </c>
      <c r="K642" s="13">
        <f>IF(C642=Options!$B$9,B642*12,0)</f>
        <v/>
      </c>
      <c r="L642" s="13">
        <f>IF(C642=Options!$B$9,B642*Options!$Z$5,0)</f>
        <v/>
      </c>
      <c r="M642" s="13" t="n">
        <v>0</v>
      </c>
      <c r="N642" s="13">
        <f>SUM(E642:M642)</f>
        <v/>
      </c>
    </row>
    <row r="643">
      <c r="A643" s="5">
        <f>IF(AND(C643&gt;=Options!$B$9,C643&lt;=Options!$B$10),"Chicago","")</f>
        <v/>
      </c>
      <c r="B643" s="5">
        <f>IF(A643="","",24)</f>
        <v/>
      </c>
      <c r="C643" s="17" t="n">
        <v>46569</v>
      </c>
      <c r="D643" s="5">
        <f>IF(A643="","",IF(C643=DATE(2026,11,29),"培训；注册午餐；早餐参数",IF(C643=DATE(2026,11,30),"培训；注册午餐",IF(C643=DATE(2026,12,1),"培训；注册午餐；机构晚餐",IF(C643=Options!$B$9,"抵达；"&amp;IF(C643=DATE(2026,11,28),"机构晚餐","无统一供餐"),IF(C643=Options!$B$10,"返程；"&amp;IF(C643=DATE(2026,12,2),"机构午餐","无统一供餐"),"差旅状态；无统一日程"))))))</f>
        <v/>
      </c>
      <c r="E643" s="13">
        <f>IF(C643=Options!$B$9,Options!$C$15,0)</f>
        <v/>
      </c>
      <c r="F643" s="13">
        <f>IF(AND(A643&lt;&gt;"",C643&lt;Options!$B$10),B643*Options!$X$5,0)</f>
        <v/>
      </c>
      <c r="G643" s="13">
        <f>F643*12%</f>
        <v/>
      </c>
      <c r="H643" s="13">
        <f>IF(A643="",0,B643*(92*IF(OR(C643=Options!$B$9,C643=Options!$B$10),75%,100%)-IF(C643=DATE(2026,11,29),26+IF(Options!$B$8="是",23,0),0)-IF(C643=DATE(2026,11,30),26,0)-IF(C643=DATE(2026,12,1),64,0)-IF(C643=DATE(2026,11,28),38,0)-IF(C643=DATE(2026,12,2),26,0)))</f>
        <v/>
      </c>
      <c r="I643" s="13">
        <f>IF(AND(C643&gt;=DATE(2026,11,29),C643&lt;=DATE(2026,12,1)),B643*60,0)</f>
        <v/>
      </c>
      <c r="J643" s="13">
        <f>IF(A643="",0,B643*(IF(C643=DATE(2026,11,28),38,0)+IF(C643=DATE(2026,12,1),38,0)+IF(C643=DATE(2026,12,2),26,0)))</f>
        <v/>
      </c>
      <c r="K643" s="13">
        <f>IF(C643=Options!$B$9,B643*12,0)</f>
        <v/>
      </c>
      <c r="L643" s="13">
        <f>IF(C643=Options!$B$9,B643*Options!$Z$5,0)</f>
        <v/>
      </c>
      <c r="M643" s="13" t="n">
        <v>0</v>
      </c>
      <c r="N643" s="13">
        <f>SUM(E643:M643)</f>
        <v/>
      </c>
    </row>
    <row r="644">
      <c r="A644" s="5">
        <f>IF(AND(C644&gt;=Options!$B$9,C644&lt;=Options!$B$10),"Chicago","")</f>
        <v/>
      </c>
      <c r="B644" s="5">
        <f>IF(A644="","",24)</f>
        <v/>
      </c>
      <c r="C644" s="17" t="n">
        <v>46570</v>
      </c>
      <c r="D644" s="5">
        <f>IF(A644="","",IF(C644=DATE(2026,11,29),"培训；注册午餐；早餐参数",IF(C644=DATE(2026,11,30),"培训；注册午餐",IF(C644=DATE(2026,12,1),"培训；注册午餐；机构晚餐",IF(C644=Options!$B$9,"抵达；"&amp;IF(C644=DATE(2026,11,28),"机构晚餐","无统一供餐"),IF(C644=Options!$B$10,"返程；"&amp;IF(C644=DATE(2026,12,2),"机构午餐","无统一供餐"),"差旅状态；无统一日程"))))))</f>
        <v/>
      </c>
      <c r="E644" s="13">
        <f>IF(C644=Options!$B$9,Options!$C$15,0)</f>
        <v/>
      </c>
      <c r="F644" s="13">
        <f>IF(AND(A644&lt;&gt;"",C644&lt;Options!$B$10),B644*Options!$X$5,0)</f>
        <v/>
      </c>
      <c r="G644" s="13">
        <f>F644*12%</f>
        <v/>
      </c>
      <c r="H644" s="13">
        <f>IF(A644="",0,B644*(92*IF(OR(C644=Options!$B$9,C644=Options!$B$10),75%,100%)-IF(C644=DATE(2026,11,29),26+IF(Options!$B$8="是",23,0),0)-IF(C644=DATE(2026,11,30),26,0)-IF(C644=DATE(2026,12,1),64,0)-IF(C644=DATE(2026,11,28),38,0)-IF(C644=DATE(2026,12,2),26,0)))</f>
        <v/>
      </c>
      <c r="I644" s="13">
        <f>IF(AND(C644&gt;=DATE(2026,11,29),C644&lt;=DATE(2026,12,1)),B644*60,0)</f>
        <v/>
      </c>
      <c r="J644" s="13">
        <f>IF(A644="",0,B644*(IF(C644=DATE(2026,11,28),38,0)+IF(C644=DATE(2026,12,1),38,0)+IF(C644=DATE(2026,12,2),26,0)))</f>
        <v/>
      </c>
      <c r="K644" s="13">
        <f>IF(C644=Options!$B$9,B644*12,0)</f>
        <v/>
      </c>
      <c r="L644" s="13">
        <f>IF(C644=Options!$B$9,B644*Options!$Z$5,0)</f>
        <v/>
      </c>
      <c r="M644" s="13" t="n">
        <v>0</v>
      </c>
      <c r="N644" s="13">
        <f>SUM(E644:M644)</f>
        <v/>
      </c>
    </row>
    <row r="645">
      <c r="A645" s="5">
        <f>IF(AND(C645&gt;=Options!$B$9,C645&lt;=Options!$B$10),"Chicago","")</f>
        <v/>
      </c>
      <c r="B645" s="5">
        <f>IF(A645="","",24)</f>
        <v/>
      </c>
      <c r="C645" s="17" t="n">
        <v>46571</v>
      </c>
      <c r="D645" s="5">
        <f>IF(A645="","",IF(C645=DATE(2026,11,29),"培训；注册午餐；早餐参数",IF(C645=DATE(2026,11,30),"培训；注册午餐",IF(C645=DATE(2026,12,1),"培训；注册午餐；机构晚餐",IF(C645=Options!$B$9,"抵达；"&amp;IF(C645=DATE(2026,11,28),"机构晚餐","无统一供餐"),IF(C645=Options!$B$10,"返程；"&amp;IF(C645=DATE(2026,12,2),"机构午餐","无统一供餐"),"差旅状态；无统一日程"))))))</f>
        <v/>
      </c>
      <c r="E645" s="13">
        <f>IF(C645=Options!$B$9,Options!$C$15,0)</f>
        <v/>
      </c>
      <c r="F645" s="13">
        <f>IF(AND(A645&lt;&gt;"",C645&lt;Options!$B$10),B645*Options!$X$5,0)</f>
        <v/>
      </c>
      <c r="G645" s="13">
        <f>F645*12%</f>
        <v/>
      </c>
      <c r="H645" s="13">
        <f>IF(A645="",0,B645*(92*IF(OR(C645=Options!$B$9,C645=Options!$B$10),75%,100%)-IF(C645=DATE(2026,11,29),26+IF(Options!$B$8="是",23,0),0)-IF(C645=DATE(2026,11,30),26,0)-IF(C645=DATE(2026,12,1),64,0)-IF(C645=DATE(2026,11,28),38,0)-IF(C645=DATE(2026,12,2),26,0)))</f>
        <v/>
      </c>
      <c r="I645" s="13">
        <f>IF(AND(C645&gt;=DATE(2026,11,29),C645&lt;=DATE(2026,12,1)),B645*60,0)</f>
        <v/>
      </c>
      <c r="J645" s="13">
        <f>IF(A645="",0,B645*(IF(C645=DATE(2026,11,28),38,0)+IF(C645=DATE(2026,12,1),38,0)+IF(C645=DATE(2026,12,2),26,0)))</f>
        <v/>
      </c>
      <c r="K645" s="13">
        <f>IF(C645=Options!$B$9,B645*12,0)</f>
        <v/>
      </c>
      <c r="L645" s="13">
        <f>IF(C645=Options!$B$9,B645*Options!$Z$5,0)</f>
        <v/>
      </c>
      <c r="M645" s="13" t="n">
        <v>0</v>
      </c>
      <c r="N645" s="13">
        <f>SUM(E645:M645)</f>
        <v/>
      </c>
    </row>
    <row r="646">
      <c r="A646" s="5">
        <f>IF(AND(C646&gt;=Options!$B$9,C646&lt;=Options!$B$10),"Chicago","")</f>
        <v/>
      </c>
      <c r="B646" s="5">
        <f>IF(A646="","",24)</f>
        <v/>
      </c>
      <c r="C646" s="17" t="n">
        <v>46572</v>
      </c>
      <c r="D646" s="5">
        <f>IF(A646="","",IF(C646=DATE(2026,11,29),"培训；注册午餐；早餐参数",IF(C646=DATE(2026,11,30),"培训；注册午餐",IF(C646=DATE(2026,12,1),"培训；注册午餐；机构晚餐",IF(C646=Options!$B$9,"抵达；"&amp;IF(C646=DATE(2026,11,28),"机构晚餐","无统一供餐"),IF(C646=Options!$B$10,"返程；"&amp;IF(C646=DATE(2026,12,2),"机构午餐","无统一供餐"),"差旅状态；无统一日程"))))))</f>
        <v/>
      </c>
      <c r="E646" s="13">
        <f>IF(C646=Options!$B$9,Options!$C$15,0)</f>
        <v/>
      </c>
      <c r="F646" s="13">
        <f>IF(AND(A646&lt;&gt;"",C646&lt;Options!$B$10),B646*Options!$X$5,0)</f>
        <v/>
      </c>
      <c r="G646" s="13">
        <f>F646*12%</f>
        <v/>
      </c>
      <c r="H646" s="13">
        <f>IF(A646="",0,B646*(92*IF(OR(C646=Options!$B$9,C646=Options!$B$10),75%,100%)-IF(C646=DATE(2026,11,29),26+IF(Options!$B$8="是",23,0),0)-IF(C646=DATE(2026,11,30),26,0)-IF(C646=DATE(2026,12,1),64,0)-IF(C646=DATE(2026,11,28),38,0)-IF(C646=DATE(2026,12,2),26,0)))</f>
        <v/>
      </c>
      <c r="I646" s="13">
        <f>IF(AND(C646&gt;=DATE(2026,11,29),C646&lt;=DATE(2026,12,1)),B646*60,0)</f>
        <v/>
      </c>
      <c r="J646" s="13">
        <f>IF(A646="",0,B646*(IF(C646=DATE(2026,11,28),38,0)+IF(C646=DATE(2026,12,1),38,0)+IF(C646=DATE(2026,12,2),26,0)))</f>
        <v/>
      </c>
      <c r="K646" s="13">
        <f>IF(C646=Options!$B$9,B646*12,0)</f>
        <v/>
      </c>
      <c r="L646" s="13">
        <f>IF(C646=Options!$B$9,B646*Options!$Z$5,0)</f>
        <v/>
      </c>
      <c r="M646" s="13" t="n">
        <v>0</v>
      </c>
      <c r="N646" s="13">
        <f>SUM(E646:M646)</f>
        <v/>
      </c>
    </row>
    <row r="647">
      <c r="A647" s="5">
        <f>IF(AND(C647&gt;=Options!$B$9,C647&lt;=Options!$B$10),"Chicago","")</f>
        <v/>
      </c>
      <c r="B647" s="5">
        <f>IF(A647="","",24)</f>
        <v/>
      </c>
      <c r="C647" s="17" t="n">
        <v>46573</v>
      </c>
      <c r="D647" s="5">
        <f>IF(A647="","",IF(C647=DATE(2026,11,29),"培训；注册午餐；早餐参数",IF(C647=DATE(2026,11,30),"培训；注册午餐",IF(C647=DATE(2026,12,1),"培训；注册午餐；机构晚餐",IF(C647=Options!$B$9,"抵达；"&amp;IF(C647=DATE(2026,11,28),"机构晚餐","无统一供餐"),IF(C647=Options!$B$10,"返程；"&amp;IF(C647=DATE(2026,12,2),"机构午餐","无统一供餐"),"差旅状态；无统一日程"))))))</f>
        <v/>
      </c>
      <c r="E647" s="13">
        <f>IF(C647=Options!$B$9,Options!$C$15,0)</f>
        <v/>
      </c>
      <c r="F647" s="13">
        <f>IF(AND(A647&lt;&gt;"",C647&lt;Options!$B$10),B647*Options!$X$5,0)</f>
        <v/>
      </c>
      <c r="G647" s="13">
        <f>F647*12%</f>
        <v/>
      </c>
      <c r="H647" s="13">
        <f>IF(A647="",0,B647*(92*IF(OR(C647=Options!$B$9,C647=Options!$B$10),75%,100%)-IF(C647=DATE(2026,11,29),26+IF(Options!$B$8="是",23,0),0)-IF(C647=DATE(2026,11,30),26,0)-IF(C647=DATE(2026,12,1),64,0)-IF(C647=DATE(2026,11,28),38,0)-IF(C647=DATE(2026,12,2),26,0)))</f>
        <v/>
      </c>
      <c r="I647" s="13">
        <f>IF(AND(C647&gt;=DATE(2026,11,29),C647&lt;=DATE(2026,12,1)),B647*60,0)</f>
        <v/>
      </c>
      <c r="J647" s="13">
        <f>IF(A647="",0,B647*(IF(C647=DATE(2026,11,28),38,0)+IF(C647=DATE(2026,12,1),38,0)+IF(C647=DATE(2026,12,2),26,0)))</f>
        <v/>
      </c>
      <c r="K647" s="13">
        <f>IF(C647=Options!$B$9,B647*12,0)</f>
        <v/>
      </c>
      <c r="L647" s="13">
        <f>IF(C647=Options!$B$9,B647*Options!$Z$5,0)</f>
        <v/>
      </c>
      <c r="M647" s="13" t="n">
        <v>0</v>
      </c>
      <c r="N647" s="13">
        <f>SUM(E647:M647)</f>
        <v/>
      </c>
    </row>
    <row r="648">
      <c r="A648" s="5">
        <f>IF(AND(C648&gt;=Options!$B$9,C648&lt;=Options!$B$10),"Chicago","")</f>
        <v/>
      </c>
      <c r="B648" s="5">
        <f>IF(A648="","",24)</f>
        <v/>
      </c>
      <c r="C648" s="17" t="n">
        <v>46574</v>
      </c>
      <c r="D648" s="5">
        <f>IF(A648="","",IF(C648=DATE(2026,11,29),"培训；注册午餐；早餐参数",IF(C648=DATE(2026,11,30),"培训；注册午餐",IF(C648=DATE(2026,12,1),"培训；注册午餐；机构晚餐",IF(C648=Options!$B$9,"抵达；"&amp;IF(C648=DATE(2026,11,28),"机构晚餐","无统一供餐"),IF(C648=Options!$B$10,"返程；"&amp;IF(C648=DATE(2026,12,2),"机构午餐","无统一供餐"),"差旅状态；无统一日程"))))))</f>
        <v/>
      </c>
      <c r="E648" s="13">
        <f>IF(C648=Options!$B$9,Options!$C$15,0)</f>
        <v/>
      </c>
      <c r="F648" s="13">
        <f>IF(AND(A648&lt;&gt;"",C648&lt;Options!$B$10),B648*Options!$X$5,0)</f>
        <v/>
      </c>
      <c r="G648" s="13">
        <f>F648*12%</f>
        <v/>
      </c>
      <c r="H648" s="13">
        <f>IF(A648="",0,B648*(92*IF(OR(C648=Options!$B$9,C648=Options!$B$10),75%,100%)-IF(C648=DATE(2026,11,29),26+IF(Options!$B$8="是",23,0),0)-IF(C648=DATE(2026,11,30),26,0)-IF(C648=DATE(2026,12,1),64,0)-IF(C648=DATE(2026,11,28),38,0)-IF(C648=DATE(2026,12,2),26,0)))</f>
        <v/>
      </c>
      <c r="I648" s="13">
        <f>IF(AND(C648&gt;=DATE(2026,11,29),C648&lt;=DATE(2026,12,1)),B648*60,0)</f>
        <v/>
      </c>
      <c r="J648" s="13">
        <f>IF(A648="",0,B648*(IF(C648=DATE(2026,11,28),38,0)+IF(C648=DATE(2026,12,1),38,0)+IF(C648=DATE(2026,12,2),26,0)))</f>
        <v/>
      </c>
      <c r="K648" s="13">
        <f>IF(C648=Options!$B$9,B648*12,0)</f>
        <v/>
      </c>
      <c r="L648" s="13">
        <f>IF(C648=Options!$B$9,B648*Options!$Z$5,0)</f>
        <v/>
      </c>
      <c r="M648" s="13" t="n">
        <v>0</v>
      </c>
      <c r="N648" s="13">
        <f>SUM(E648:M648)</f>
        <v/>
      </c>
    </row>
    <row r="649">
      <c r="A649" s="5">
        <f>IF(AND(C649&gt;=Options!$B$9,C649&lt;=Options!$B$10),"Chicago","")</f>
        <v/>
      </c>
      <c r="B649" s="5">
        <f>IF(A649="","",24)</f>
        <v/>
      </c>
      <c r="C649" s="17" t="n">
        <v>46575</v>
      </c>
      <c r="D649" s="5">
        <f>IF(A649="","",IF(C649=DATE(2026,11,29),"培训；注册午餐；早餐参数",IF(C649=DATE(2026,11,30),"培训；注册午餐",IF(C649=DATE(2026,12,1),"培训；注册午餐；机构晚餐",IF(C649=Options!$B$9,"抵达；"&amp;IF(C649=DATE(2026,11,28),"机构晚餐","无统一供餐"),IF(C649=Options!$B$10,"返程；"&amp;IF(C649=DATE(2026,12,2),"机构午餐","无统一供餐"),"差旅状态；无统一日程"))))))</f>
        <v/>
      </c>
      <c r="E649" s="13">
        <f>IF(C649=Options!$B$9,Options!$C$15,0)</f>
        <v/>
      </c>
      <c r="F649" s="13">
        <f>IF(AND(A649&lt;&gt;"",C649&lt;Options!$B$10),B649*Options!$X$5,0)</f>
        <v/>
      </c>
      <c r="G649" s="13">
        <f>F649*12%</f>
        <v/>
      </c>
      <c r="H649" s="13">
        <f>IF(A649="",0,B649*(92*IF(OR(C649=Options!$B$9,C649=Options!$B$10),75%,100%)-IF(C649=DATE(2026,11,29),26+IF(Options!$B$8="是",23,0),0)-IF(C649=DATE(2026,11,30),26,0)-IF(C649=DATE(2026,12,1),64,0)-IF(C649=DATE(2026,11,28),38,0)-IF(C649=DATE(2026,12,2),26,0)))</f>
        <v/>
      </c>
      <c r="I649" s="13">
        <f>IF(AND(C649&gt;=DATE(2026,11,29),C649&lt;=DATE(2026,12,1)),B649*60,0)</f>
        <v/>
      </c>
      <c r="J649" s="13">
        <f>IF(A649="",0,B649*(IF(C649=DATE(2026,11,28),38,0)+IF(C649=DATE(2026,12,1),38,0)+IF(C649=DATE(2026,12,2),26,0)))</f>
        <v/>
      </c>
      <c r="K649" s="13">
        <f>IF(C649=Options!$B$9,B649*12,0)</f>
        <v/>
      </c>
      <c r="L649" s="13">
        <f>IF(C649=Options!$B$9,B649*Options!$Z$5,0)</f>
        <v/>
      </c>
      <c r="M649" s="13" t="n">
        <v>0</v>
      </c>
      <c r="N649" s="13">
        <f>SUM(E649:M649)</f>
        <v/>
      </c>
    </row>
    <row r="650">
      <c r="A650" s="5">
        <f>IF(AND(C650&gt;=Options!$B$9,C650&lt;=Options!$B$10),"Chicago","")</f>
        <v/>
      </c>
      <c r="B650" s="5">
        <f>IF(A650="","",24)</f>
        <v/>
      </c>
      <c r="C650" s="17" t="n">
        <v>46576</v>
      </c>
      <c r="D650" s="5">
        <f>IF(A650="","",IF(C650=DATE(2026,11,29),"培训；注册午餐；早餐参数",IF(C650=DATE(2026,11,30),"培训；注册午餐",IF(C650=DATE(2026,12,1),"培训；注册午餐；机构晚餐",IF(C650=Options!$B$9,"抵达；"&amp;IF(C650=DATE(2026,11,28),"机构晚餐","无统一供餐"),IF(C650=Options!$B$10,"返程；"&amp;IF(C650=DATE(2026,12,2),"机构午餐","无统一供餐"),"差旅状态；无统一日程"))))))</f>
        <v/>
      </c>
      <c r="E650" s="13">
        <f>IF(C650=Options!$B$9,Options!$C$15,0)</f>
        <v/>
      </c>
      <c r="F650" s="13">
        <f>IF(AND(A650&lt;&gt;"",C650&lt;Options!$B$10),B650*Options!$X$5,0)</f>
        <v/>
      </c>
      <c r="G650" s="13">
        <f>F650*12%</f>
        <v/>
      </c>
      <c r="H650" s="13">
        <f>IF(A650="",0,B650*(92*IF(OR(C650=Options!$B$9,C650=Options!$B$10),75%,100%)-IF(C650=DATE(2026,11,29),26+IF(Options!$B$8="是",23,0),0)-IF(C650=DATE(2026,11,30),26,0)-IF(C650=DATE(2026,12,1),64,0)-IF(C650=DATE(2026,11,28),38,0)-IF(C650=DATE(2026,12,2),26,0)))</f>
        <v/>
      </c>
      <c r="I650" s="13">
        <f>IF(AND(C650&gt;=DATE(2026,11,29),C650&lt;=DATE(2026,12,1)),B650*60,0)</f>
        <v/>
      </c>
      <c r="J650" s="13">
        <f>IF(A650="",0,B650*(IF(C650=DATE(2026,11,28),38,0)+IF(C650=DATE(2026,12,1),38,0)+IF(C650=DATE(2026,12,2),26,0)))</f>
        <v/>
      </c>
      <c r="K650" s="13">
        <f>IF(C650=Options!$B$9,B650*12,0)</f>
        <v/>
      </c>
      <c r="L650" s="13">
        <f>IF(C650=Options!$B$9,B650*Options!$Z$5,0)</f>
        <v/>
      </c>
      <c r="M650" s="13" t="n">
        <v>0</v>
      </c>
      <c r="N650" s="13">
        <f>SUM(E650:M650)</f>
        <v/>
      </c>
    </row>
    <row r="651">
      <c r="A651" s="5">
        <f>IF(AND(C651&gt;=Options!$B$9,C651&lt;=Options!$B$10),"Chicago","")</f>
        <v/>
      </c>
      <c r="B651" s="5">
        <f>IF(A651="","",24)</f>
        <v/>
      </c>
      <c r="C651" s="17" t="n">
        <v>46577</v>
      </c>
      <c r="D651" s="5">
        <f>IF(A651="","",IF(C651=DATE(2026,11,29),"培训；注册午餐；早餐参数",IF(C651=DATE(2026,11,30),"培训；注册午餐",IF(C651=DATE(2026,12,1),"培训；注册午餐；机构晚餐",IF(C651=Options!$B$9,"抵达；"&amp;IF(C651=DATE(2026,11,28),"机构晚餐","无统一供餐"),IF(C651=Options!$B$10,"返程；"&amp;IF(C651=DATE(2026,12,2),"机构午餐","无统一供餐"),"差旅状态；无统一日程"))))))</f>
        <v/>
      </c>
      <c r="E651" s="13">
        <f>IF(C651=Options!$B$9,Options!$C$15,0)</f>
        <v/>
      </c>
      <c r="F651" s="13">
        <f>IF(AND(A651&lt;&gt;"",C651&lt;Options!$B$10),B651*Options!$X$5,0)</f>
        <v/>
      </c>
      <c r="G651" s="13">
        <f>F651*12%</f>
        <v/>
      </c>
      <c r="H651" s="13">
        <f>IF(A651="",0,B651*(92*IF(OR(C651=Options!$B$9,C651=Options!$B$10),75%,100%)-IF(C651=DATE(2026,11,29),26+IF(Options!$B$8="是",23,0),0)-IF(C651=DATE(2026,11,30),26,0)-IF(C651=DATE(2026,12,1),64,0)-IF(C651=DATE(2026,11,28),38,0)-IF(C651=DATE(2026,12,2),26,0)))</f>
        <v/>
      </c>
      <c r="I651" s="13">
        <f>IF(AND(C651&gt;=DATE(2026,11,29),C651&lt;=DATE(2026,12,1)),B651*60,0)</f>
        <v/>
      </c>
      <c r="J651" s="13">
        <f>IF(A651="",0,B651*(IF(C651=DATE(2026,11,28),38,0)+IF(C651=DATE(2026,12,1),38,0)+IF(C651=DATE(2026,12,2),26,0)))</f>
        <v/>
      </c>
      <c r="K651" s="13">
        <f>IF(C651=Options!$B$9,B651*12,0)</f>
        <v/>
      </c>
      <c r="L651" s="13">
        <f>IF(C651=Options!$B$9,B651*Options!$Z$5,0)</f>
        <v/>
      </c>
      <c r="M651" s="13" t="n">
        <v>0</v>
      </c>
      <c r="N651" s="13">
        <f>SUM(E651:M651)</f>
        <v/>
      </c>
    </row>
    <row r="652">
      <c r="A652" s="5">
        <f>IF(AND(C652&gt;=Options!$B$9,C652&lt;=Options!$B$10),"Chicago","")</f>
        <v/>
      </c>
      <c r="B652" s="5">
        <f>IF(A652="","",24)</f>
        <v/>
      </c>
      <c r="C652" s="17" t="n">
        <v>46578</v>
      </c>
      <c r="D652" s="5">
        <f>IF(A652="","",IF(C652=DATE(2026,11,29),"培训；注册午餐；早餐参数",IF(C652=DATE(2026,11,30),"培训；注册午餐",IF(C652=DATE(2026,12,1),"培训；注册午餐；机构晚餐",IF(C652=Options!$B$9,"抵达；"&amp;IF(C652=DATE(2026,11,28),"机构晚餐","无统一供餐"),IF(C652=Options!$B$10,"返程；"&amp;IF(C652=DATE(2026,12,2),"机构午餐","无统一供餐"),"差旅状态；无统一日程"))))))</f>
        <v/>
      </c>
      <c r="E652" s="13">
        <f>IF(C652=Options!$B$9,Options!$C$15,0)</f>
        <v/>
      </c>
      <c r="F652" s="13">
        <f>IF(AND(A652&lt;&gt;"",C652&lt;Options!$B$10),B652*Options!$X$5,0)</f>
        <v/>
      </c>
      <c r="G652" s="13">
        <f>F652*12%</f>
        <v/>
      </c>
      <c r="H652" s="13">
        <f>IF(A652="",0,B652*(92*IF(OR(C652=Options!$B$9,C652=Options!$B$10),75%,100%)-IF(C652=DATE(2026,11,29),26+IF(Options!$B$8="是",23,0),0)-IF(C652=DATE(2026,11,30),26,0)-IF(C652=DATE(2026,12,1),64,0)-IF(C652=DATE(2026,11,28),38,0)-IF(C652=DATE(2026,12,2),26,0)))</f>
        <v/>
      </c>
      <c r="I652" s="13">
        <f>IF(AND(C652&gt;=DATE(2026,11,29),C652&lt;=DATE(2026,12,1)),B652*60,0)</f>
        <v/>
      </c>
      <c r="J652" s="13">
        <f>IF(A652="",0,B652*(IF(C652=DATE(2026,11,28),38,0)+IF(C652=DATE(2026,12,1),38,0)+IF(C652=DATE(2026,12,2),26,0)))</f>
        <v/>
      </c>
      <c r="K652" s="13">
        <f>IF(C652=Options!$B$9,B652*12,0)</f>
        <v/>
      </c>
      <c r="L652" s="13">
        <f>IF(C652=Options!$B$9,B652*Options!$Z$5,0)</f>
        <v/>
      </c>
      <c r="M652" s="13" t="n">
        <v>0</v>
      </c>
      <c r="N652" s="13">
        <f>SUM(E652:M652)</f>
        <v/>
      </c>
    </row>
    <row r="653">
      <c r="A653" s="5">
        <f>IF(AND(C653&gt;=Options!$B$9,C653&lt;=Options!$B$10),"Chicago","")</f>
        <v/>
      </c>
      <c r="B653" s="5">
        <f>IF(A653="","",24)</f>
        <v/>
      </c>
      <c r="C653" s="17" t="n">
        <v>46579</v>
      </c>
      <c r="D653" s="5">
        <f>IF(A653="","",IF(C653=DATE(2026,11,29),"培训；注册午餐；早餐参数",IF(C653=DATE(2026,11,30),"培训；注册午餐",IF(C653=DATE(2026,12,1),"培训；注册午餐；机构晚餐",IF(C653=Options!$B$9,"抵达；"&amp;IF(C653=DATE(2026,11,28),"机构晚餐","无统一供餐"),IF(C653=Options!$B$10,"返程；"&amp;IF(C653=DATE(2026,12,2),"机构午餐","无统一供餐"),"差旅状态；无统一日程"))))))</f>
        <v/>
      </c>
      <c r="E653" s="13">
        <f>IF(C653=Options!$B$9,Options!$C$15,0)</f>
        <v/>
      </c>
      <c r="F653" s="13">
        <f>IF(AND(A653&lt;&gt;"",C653&lt;Options!$B$10),B653*Options!$X$5,0)</f>
        <v/>
      </c>
      <c r="G653" s="13">
        <f>F653*12%</f>
        <v/>
      </c>
      <c r="H653" s="13">
        <f>IF(A653="",0,B653*(92*IF(OR(C653=Options!$B$9,C653=Options!$B$10),75%,100%)-IF(C653=DATE(2026,11,29),26+IF(Options!$B$8="是",23,0),0)-IF(C653=DATE(2026,11,30),26,0)-IF(C653=DATE(2026,12,1),64,0)-IF(C653=DATE(2026,11,28),38,0)-IF(C653=DATE(2026,12,2),26,0)))</f>
        <v/>
      </c>
      <c r="I653" s="13">
        <f>IF(AND(C653&gt;=DATE(2026,11,29),C653&lt;=DATE(2026,12,1)),B653*60,0)</f>
        <v/>
      </c>
      <c r="J653" s="13">
        <f>IF(A653="",0,B653*(IF(C653=DATE(2026,11,28),38,0)+IF(C653=DATE(2026,12,1),38,0)+IF(C653=DATE(2026,12,2),26,0)))</f>
        <v/>
      </c>
      <c r="K653" s="13">
        <f>IF(C653=Options!$B$9,B653*12,0)</f>
        <v/>
      </c>
      <c r="L653" s="13">
        <f>IF(C653=Options!$B$9,B653*Options!$Z$5,0)</f>
        <v/>
      </c>
      <c r="M653" s="13" t="n">
        <v>0</v>
      </c>
      <c r="N653" s="13">
        <f>SUM(E653:M653)</f>
        <v/>
      </c>
    </row>
    <row r="654">
      <c r="A654" s="5">
        <f>IF(AND(C654&gt;=Options!$B$9,C654&lt;=Options!$B$10),"Chicago","")</f>
        <v/>
      </c>
      <c r="B654" s="5">
        <f>IF(A654="","",24)</f>
        <v/>
      </c>
      <c r="C654" s="17" t="n">
        <v>46580</v>
      </c>
      <c r="D654" s="5">
        <f>IF(A654="","",IF(C654=DATE(2026,11,29),"培训；注册午餐；早餐参数",IF(C654=DATE(2026,11,30),"培训；注册午餐",IF(C654=DATE(2026,12,1),"培训；注册午餐；机构晚餐",IF(C654=Options!$B$9,"抵达；"&amp;IF(C654=DATE(2026,11,28),"机构晚餐","无统一供餐"),IF(C654=Options!$B$10,"返程；"&amp;IF(C654=DATE(2026,12,2),"机构午餐","无统一供餐"),"差旅状态；无统一日程"))))))</f>
        <v/>
      </c>
      <c r="E654" s="13">
        <f>IF(C654=Options!$B$9,Options!$C$15,0)</f>
        <v/>
      </c>
      <c r="F654" s="13">
        <f>IF(AND(A654&lt;&gt;"",C654&lt;Options!$B$10),B654*Options!$X$5,0)</f>
        <v/>
      </c>
      <c r="G654" s="13">
        <f>F654*12%</f>
        <v/>
      </c>
      <c r="H654" s="13">
        <f>IF(A654="",0,B654*(92*IF(OR(C654=Options!$B$9,C654=Options!$B$10),75%,100%)-IF(C654=DATE(2026,11,29),26+IF(Options!$B$8="是",23,0),0)-IF(C654=DATE(2026,11,30),26,0)-IF(C654=DATE(2026,12,1),64,0)-IF(C654=DATE(2026,11,28),38,0)-IF(C654=DATE(2026,12,2),26,0)))</f>
        <v/>
      </c>
      <c r="I654" s="13">
        <f>IF(AND(C654&gt;=DATE(2026,11,29),C654&lt;=DATE(2026,12,1)),B654*60,0)</f>
        <v/>
      </c>
      <c r="J654" s="13">
        <f>IF(A654="",0,B654*(IF(C654=DATE(2026,11,28),38,0)+IF(C654=DATE(2026,12,1),38,0)+IF(C654=DATE(2026,12,2),26,0)))</f>
        <v/>
      </c>
      <c r="K654" s="13">
        <f>IF(C654=Options!$B$9,B654*12,0)</f>
        <v/>
      </c>
      <c r="L654" s="13">
        <f>IF(C654=Options!$B$9,B654*Options!$Z$5,0)</f>
        <v/>
      </c>
      <c r="M654" s="13" t="n">
        <v>0</v>
      </c>
      <c r="N654" s="13">
        <f>SUM(E654:M654)</f>
        <v/>
      </c>
    </row>
    <row r="655">
      <c r="A655" s="5">
        <f>IF(AND(C655&gt;=Options!$B$9,C655&lt;=Options!$B$10),"Chicago","")</f>
        <v/>
      </c>
      <c r="B655" s="5">
        <f>IF(A655="","",24)</f>
        <v/>
      </c>
      <c r="C655" s="17" t="n">
        <v>46581</v>
      </c>
      <c r="D655" s="5">
        <f>IF(A655="","",IF(C655=DATE(2026,11,29),"培训；注册午餐；早餐参数",IF(C655=DATE(2026,11,30),"培训；注册午餐",IF(C655=DATE(2026,12,1),"培训；注册午餐；机构晚餐",IF(C655=Options!$B$9,"抵达；"&amp;IF(C655=DATE(2026,11,28),"机构晚餐","无统一供餐"),IF(C655=Options!$B$10,"返程；"&amp;IF(C655=DATE(2026,12,2),"机构午餐","无统一供餐"),"差旅状态；无统一日程"))))))</f>
        <v/>
      </c>
      <c r="E655" s="13">
        <f>IF(C655=Options!$B$9,Options!$C$15,0)</f>
        <v/>
      </c>
      <c r="F655" s="13">
        <f>IF(AND(A655&lt;&gt;"",C655&lt;Options!$B$10),B655*Options!$X$5,0)</f>
        <v/>
      </c>
      <c r="G655" s="13">
        <f>F655*12%</f>
        <v/>
      </c>
      <c r="H655" s="13">
        <f>IF(A655="",0,B655*(92*IF(OR(C655=Options!$B$9,C655=Options!$B$10),75%,100%)-IF(C655=DATE(2026,11,29),26+IF(Options!$B$8="是",23,0),0)-IF(C655=DATE(2026,11,30),26,0)-IF(C655=DATE(2026,12,1),64,0)-IF(C655=DATE(2026,11,28),38,0)-IF(C655=DATE(2026,12,2),26,0)))</f>
        <v/>
      </c>
      <c r="I655" s="13">
        <f>IF(AND(C655&gt;=DATE(2026,11,29),C655&lt;=DATE(2026,12,1)),B655*60,0)</f>
        <v/>
      </c>
      <c r="J655" s="13">
        <f>IF(A655="",0,B655*(IF(C655=DATE(2026,11,28),38,0)+IF(C655=DATE(2026,12,1),38,0)+IF(C655=DATE(2026,12,2),26,0)))</f>
        <v/>
      </c>
      <c r="K655" s="13">
        <f>IF(C655=Options!$B$9,B655*12,0)</f>
        <v/>
      </c>
      <c r="L655" s="13">
        <f>IF(C655=Options!$B$9,B655*Options!$Z$5,0)</f>
        <v/>
      </c>
      <c r="M655" s="13" t="n">
        <v>0</v>
      </c>
      <c r="N655" s="13">
        <f>SUM(E655:M655)</f>
        <v/>
      </c>
    </row>
    <row r="656">
      <c r="A656" s="5">
        <f>IF(AND(C656&gt;=Options!$B$9,C656&lt;=Options!$B$10),"Chicago","")</f>
        <v/>
      </c>
      <c r="B656" s="5">
        <f>IF(A656="","",24)</f>
        <v/>
      </c>
      <c r="C656" s="17" t="n">
        <v>46582</v>
      </c>
      <c r="D656" s="5">
        <f>IF(A656="","",IF(C656=DATE(2026,11,29),"培训；注册午餐；早餐参数",IF(C656=DATE(2026,11,30),"培训；注册午餐",IF(C656=DATE(2026,12,1),"培训；注册午餐；机构晚餐",IF(C656=Options!$B$9,"抵达；"&amp;IF(C656=DATE(2026,11,28),"机构晚餐","无统一供餐"),IF(C656=Options!$B$10,"返程；"&amp;IF(C656=DATE(2026,12,2),"机构午餐","无统一供餐"),"差旅状态；无统一日程"))))))</f>
        <v/>
      </c>
      <c r="E656" s="13">
        <f>IF(C656=Options!$B$9,Options!$C$15,0)</f>
        <v/>
      </c>
      <c r="F656" s="13">
        <f>IF(AND(A656&lt;&gt;"",C656&lt;Options!$B$10),B656*Options!$X$5,0)</f>
        <v/>
      </c>
      <c r="G656" s="13">
        <f>F656*12%</f>
        <v/>
      </c>
      <c r="H656" s="13">
        <f>IF(A656="",0,B656*(92*IF(OR(C656=Options!$B$9,C656=Options!$B$10),75%,100%)-IF(C656=DATE(2026,11,29),26+IF(Options!$B$8="是",23,0),0)-IF(C656=DATE(2026,11,30),26,0)-IF(C656=DATE(2026,12,1),64,0)-IF(C656=DATE(2026,11,28),38,0)-IF(C656=DATE(2026,12,2),26,0)))</f>
        <v/>
      </c>
      <c r="I656" s="13">
        <f>IF(AND(C656&gt;=DATE(2026,11,29),C656&lt;=DATE(2026,12,1)),B656*60,0)</f>
        <v/>
      </c>
      <c r="J656" s="13">
        <f>IF(A656="",0,B656*(IF(C656=DATE(2026,11,28),38,0)+IF(C656=DATE(2026,12,1),38,0)+IF(C656=DATE(2026,12,2),26,0)))</f>
        <v/>
      </c>
      <c r="K656" s="13">
        <f>IF(C656=Options!$B$9,B656*12,0)</f>
        <v/>
      </c>
      <c r="L656" s="13">
        <f>IF(C656=Options!$B$9,B656*Options!$Z$5,0)</f>
        <v/>
      </c>
      <c r="M656" s="13" t="n">
        <v>0</v>
      </c>
      <c r="N656" s="13">
        <f>SUM(E656:M656)</f>
        <v/>
      </c>
    </row>
    <row r="657">
      <c r="A657" s="5">
        <f>IF(AND(C657&gt;=Options!$B$9,C657&lt;=Options!$B$10),"Chicago","")</f>
        <v/>
      </c>
      <c r="B657" s="5">
        <f>IF(A657="","",24)</f>
        <v/>
      </c>
      <c r="C657" s="17" t="n">
        <v>46583</v>
      </c>
      <c r="D657" s="5">
        <f>IF(A657="","",IF(C657=DATE(2026,11,29),"培训；注册午餐；早餐参数",IF(C657=DATE(2026,11,30),"培训；注册午餐",IF(C657=DATE(2026,12,1),"培训；注册午餐；机构晚餐",IF(C657=Options!$B$9,"抵达；"&amp;IF(C657=DATE(2026,11,28),"机构晚餐","无统一供餐"),IF(C657=Options!$B$10,"返程；"&amp;IF(C657=DATE(2026,12,2),"机构午餐","无统一供餐"),"差旅状态；无统一日程"))))))</f>
        <v/>
      </c>
      <c r="E657" s="13">
        <f>IF(C657=Options!$B$9,Options!$C$15,0)</f>
        <v/>
      </c>
      <c r="F657" s="13">
        <f>IF(AND(A657&lt;&gt;"",C657&lt;Options!$B$10),B657*Options!$X$5,0)</f>
        <v/>
      </c>
      <c r="G657" s="13">
        <f>F657*12%</f>
        <v/>
      </c>
      <c r="H657" s="13">
        <f>IF(A657="",0,B657*(92*IF(OR(C657=Options!$B$9,C657=Options!$B$10),75%,100%)-IF(C657=DATE(2026,11,29),26+IF(Options!$B$8="是",23,0),0)-IF(C657=DATE(2026,11,30),26,0)-IF(C657=DATE(2026,12,1),64,0)-IF(C657=DATE(2026,11,28),38,0)-IF(C657=DATE(2026,12,2),26,0)))</f>
        <v/>
      </c>
      <c r="I657" s="13">
        <f>IF(AND(C657&gt;=DATE(2026,11,29),C657&lt;=DATE(2026,12,1)),B657*60,0)</f>
        <v/>
      </c>
      <c r="J657" s="13">
        <f>IF(A657="",0,B657*(IF(C657=DATE(2026,11,28),38,0)+IF(C657=DATE(2026,12,1),38,0)+IF(C657=DATE(2026,12,2),26,0)))</f>
        <v/>
      </c>
      <c r="K657" s="13">
        <f>IF(C657=Options!$B$9,B657*12,0)</f>
        <v/>
      </c>
      <c r="L657" s="13">
        <f>IF(C657=Options!$B$9,B657*Options!$Z$5,0)</f>
        <v/>
      </c>
      <c r="M657" s="13" t="n">
        <v>0</v>
      </c>
      <c r="N657" s="13">
        <f>SUM(E657:M657)</f>
        <v/>
      </c>
    </row>
    <row r="658">
      <c r="A658" s="5">
        <f>IF(AND(C658&gt;=Options!$B$9,C658&lt;=Options!$B$10),"Chicago","")</f>
        <v/>
      </c>
      <c r="B658" s="5">
        <f>IF(A658="","",24)</f>
        <v/>
      </c>
      <c r="C658" s="17" t="n">
        <v>46584</v>
      </c>
      <c r="D658" s="5">
        <f>IF(A658="","",IF(C658=DATE(2026,11,29),"培训；注册午餐；早餐参数",IF(C658=DATE(2026,11,30),"培训；注册午餐",IF(C658=DATE(2026,12,1),"培训；注册午餐；机构晚餐",IF(C658=Options!$B$9,"抵达；"&amp;IF(C658=DATE(2026,11,28),"机构晚餐","无统一供餐"),IF(C658=Options!$B$10,"返程；"&amp;IF(C658=DATE(2026,12,2),"机构午餐","无统一供餐"),"差旅状态；无统一日程"))))))</f>
        <v/>
      </c>
      <c r="E658" s="13">
        <f>IF(C658=Options!$B$9,Options!$C$15,0)</f>
        <v/>
      </c>
      <c r="F658" s="13">
        <f>IF(AND(A658&lt;&gt;"",C658&lt;Options!$B$10),B658*Options!$X$5,0)</f>
        <v/>
      </c>
      <c r="G658" s="13">
        <f>F658*12%</f>
        <v/>
      </c>
      <c r="H658" s="13">
        <f>IF(A658="",0,B658*(92*IF(OR(C658=Options!$B$9,C658=Options!$B$10),75%,100%)-IF(C658=DATE(2026,11,29),26+IF(Options!$B$8="是",23,0),0)-IF(C658=DATE(2026,11,30),26,0)-IF(C658=DATE(2026,12,1),64,0)-IF(C658=DATE(2026,11,28),38,0)-IF(C658=DATE(2026,12,2),26,0)))</f>
        <v/>
      </c>
      <c r="I658" s="13">
        <f>IF(AND(C658&gt;=DATE(2026,11,29),C658&lt;=DATE(2026,12,1)),B658*60,0)</f>
        <v/>
      </c>
      <c r="J658" s="13">
        <f>IF(A658="",0,B658*(IF(C658=DATE(2026,11,28),38,0)+IF(C658=DATE(2026,12,1),38,0)+IF(C658=DATE(2026,12,2),26,0)))</f>
        <v/>
      </c>
      <c r="K658" s="13">
        <f>IF(C658=Options!$B$9,B658*12,0)</f>
        <v/>
      </c>
      <c r="L658" s="13">
        <f>IF(C658=Options!$B$9,B658*Options!$Z$5,0)</f>
        <v/>
      </c>
      <c r="M658" s="13" t="n">
        <v>0</v>
      </c>
      <c r="N658" s="13">
        <f>SUM(E658:M658)</f>
        <v/>
      </c>
    </row>
    <row r="659">
      <c r="A659" s="5">
        <f>IF(AND(C659&gt;=Options!$B$9,C659&lt;=Options!$B$10),"Chicago","")</f>
        <v/>
      </c>
      <c r="B659" s="5">
        <f>IF(A659="","",24)</f>
        <v/>
      </c>
      <c r="C659" s="17" t="n">
        <v>46585</v>
      </c>
      <c r="D659" s="5">
        <f>IF(A659="","",IF(C659=DATE(2026,11,29),"培训；注册午餐；早餐参数",IF(C659=DATE(2026,11,30),"培训；注册午餐",IF(C659=DATE(2026,12,1),"培训；注册午餐；机构晚餐",IF(C659=Options!$B$9,"抵达；"&amp;IF(C659=DATE(2026,11,28),"机构晚餐","无统一供餐"),IF(C659=Options!$B$10,"返程；"&amp;IF(C659=DATE(2026,12,2),"机构午餐","无统一供餐"),"差旅状态；无统一日程"))))))</f>
        <v/>
      </c>
      <c r="E659" s="13">
        <f>IF(C659=Options!$B$9,Options!$C$15,0)</f>
        <v/>
      </c>
      <c r="F659" s="13">
        <f>IF(AND(A659&lt;&gt;"",C659&lt;Options!$B$10),B659*Options!$X$5,0)</f>
        <v/>
      </c>
      <c r="G659" s="13">
        <f>F659*12%</f>
        <v/>
      </c>
      <c r="H659" s="13">
        <f>IF(A659="",0,B659*(92*IF(OR(C659=Options!$B$9,C659=Options!$B$10),75%,100%)-IF(C659=DATE(2026,11,29),26+IF(Options!$B$8="是",23,0),0)-IF(C659=DATE(2026,11,30),26,0)-IF(C659=DATE(2026,12,1),64,0)-IF(C659=DATE(2026,11,28),38,0)-IF(C659=DATE(2026,12,2),26,0)))</f>
        <v/>
      </c>
      <c r="I659" s="13">
        <f>IF(AND(C659&gt;=DATE(2026,11,29),C659&lt;=DATE(2026,12,1)),B659*60,0)</f>
        <v/>
      </c>
      <c r="J659" s="13">
        <f>IF(A659="",0,B659*(IF(C659=DATE(2026,11,28),38,0)+IF(C659=DATE(2026,12,1),38,0)+IF(C659=DATE(2026,12,2),26,0)))</f>
        <v/>
      </c>
      <c r="K659" s="13">
        <f>IF(C659=Options!$B$9,B659*12,0)</f>
        <v/>
      </c>
      <c r="L659" s="13">
        <f>IF(C659=Options!$B$9,B659*Options!$Z$5,0)</f>
        <v/>
      </c>
      <c r="M659" s="13" t="n">
        <v>0</v>
      </c>
      <c r="N659" s="13">
        <f>SUM(E659:M659)</f>
        <v/>
      </c>
    </row>
    <row r="660">
      <c r="A660" s="5">
        <f>IF(AND(C660&gt;=Options!$B$9,C660&lt;=Options!$B$10),"Chicago","")</f>
        <v/>
      </c>
      <c r="B660" s="5">
        <f>IF(A660="","",24)</f>
        <v/>
      </c>
      <c r="C660" s="17" t="n">
        <v>46586</v>
      </c>
      <c r="D660" s="5">
        <f>IF(A660="","",IF(C660=DATE(2026,11,29),"培训；注册午餐；早餐参数",IF(C660=DATE(2026,11,30),"培训；注册午餐",IF(C660=DATE(2026,12,1),"培训；注册午餐；机构晚餐",IF(C660=Options!$B$9,"抵达；"&amp;IF(C660=DATE(2026,11,28),"机构晚餐","无统一供餐"),IF(C660=Options!$B$10,"返程；"&amp;IF(C660=DATE(2026,12,2),"机构午餐","无统一供餐"),"差旅状态；无统一日程"))))))</f>
        <v/>
      </c>
      <c r="E660" s="13">
        <f>IF(C660=Options!$B$9,Options!$C$15,0)</f>
        <v/>
      </c>
      <c r="F660" s="13">
        <f>IF(AND(A660&lt;&gt;"",C660&lt;Options!$B$10),B660*Options!$X$5,0)</f>
        <v/>
      </c>
      <c r="G660" s="13">
        <f>F660*12%</f>
        <v/>
      </c>
      <c r="H660" s="13">
        <f>IF(A660="",0,B660*(92*IF(OR(C660=Options!$B$9,C660=Options!$B$10),75%,100%)-IF(C660=DATE(2026,11,29),26+IF(Options!$B$8="是",23,0),0)-IF(C660=DATE(2026,11,30),26,0)-IF(C660=DATE(2026,12,1),64,0)-IF(C660=DATE(2026,11,28),38,0)-IF(C660=DATE(2026,12,2),26,0)))</f>
        <v/>
      </c>
      <c r="I660" s="13">
        <f>IF(AND(C660&gt;=DATE(2026,11,29),C660&lt;=DATE(2026,12,1)),B660*60,0)</f>
        <v/>
      </c>
      <c r="J660" s="13">
        <f>IF(A660="",0,B660*(IF(C660=DATE(2026,11,28),38,0)+IF(C660=DATE(2026,12,1),38,0)+IF(C660=DATE(2026,12,2),26,0)))</f>
        <v/>
      </c>
      <c r="K660" s="13">
        <f>IF(C660=Options!$B$9,B660*12,0)</f>
        <v/>
      </c>
      <c r="L660" s="13">
        <f>IF(C660=Options!$B$9,B660*Options!$Z$5,0)</f>
        <v/>
      </c>
      <c r="M660" s="13" t="n">
        <v>0</v>
      </c>
      <c r="N660" s="13">
        <f>SUM(E660:M660)</f>
        <v/>
      </c>
    </row>
    <row r="661">
      <c r="A661" s="5">
        <f>IF(AND(C661&gt;=Options!$B$9,C661&lt;=Options!$B$10),"Chicago","")</f>
        <v/>
      </c>
      <c r="B661" s="5">
        <f>IF(A661="","",24)</f>
        <v/>
      </c>
      <c r="C661" s="17" t="n">
        <v>46587</v>
      </c>
      <c r="D661" s="5">
        <f>IF(A661="","",IF(C661=DATE(2026,11,29),"培训；注册午餐；早餐参数",IF(C661=DATE(2026,11,30),"培训；注册午餐",IF(C661=DATE(2026,12,1),"培训；注册午餐；机构晚餐",IF(C661=Options!$B$9,"抵达；"&amp;IF(C661=DATE(2026,11,28),"机构晚餐","无统一供餐"),IF(C661=Options!$B$10,"返程；"&amp;IF(C661=DATE(2026,12,2),"机构午餐","无统一供餐"),"差旅状态；无统一日程"))))))</f>
        <v/>
      </c>
      <c r="E661" s="13">
        <f>IF(C661=Options!$B$9,Options!$C$15,0)</f>
        <v/>
      </c>
      <c r="F661" s="13">
        <f>IF(AND(A661&lt;&gt;"",C661&lt;Options!$B$10),B661*Options!$X$5,0)</f>
        <v/>
      </c>
      <c r="G661" s="13">
        <f>F661*12%</f>
        <v/>
      </c>
      <c r="H661" s="13">
        <f>IF(A661="",0,B661*(92*IF(OR(C661=Options!$B$9,C661=Options!$B$10),75%,100%)-IF(C661=DATE(2026,11,29),26+IF(Options!$B$8="是",23,0),0)-IF(C661=DATE(2026,11,30),26,0)-IF(C661=DATE(2026,12,1),64,0)-IF(C661=DATE(2026,11,28),38,0)-IF(C661=DATE(2026,12,2),26,0)))</f>
        <v/>
      </c>
      <c r="I661" s="13">
        <f>IF(AND(C661&gt;=DATE(2026,11,29),C661&lt;=DATE(2026,12,1)),B661*60,0)</f>
        <v/>
      </c>
      <c r="J661" s="13">
        <f>IF(A661="",0,B661*(IF(C661=DATE(2026,11,28),38,0)+IF(C661=DATE(2026,12,1),38,0)+IF(C661=DATE(2026,12,2),26,0)))</f>
        <v/>
      </c>
      <c r="K661" s="13">
        <f>IF(C661=Options!$B$9,B661*12,0)</f>
        <v/>
      </c>
      <c r="L661" s="13">
        <f>IF(C661=Options!$B$9,B661*Options!$Z$5,0)</f>
        <v/>
      </c>
      <c r="M661" s="13" t="n">
        <v>0</v>
      </c>
      <c r="N661" s="13">
        <f>SUM(E661:M661)</f>
        <v/>
      </c>
    </row>
    <row r="662">
      <c r="A662" s="5">
        <f>IF(AND(C662&gt;=Options!$B$9,C662&lt;=Options!$B$10),"Chicago","")</f>
        <v/>
      </c>
      <c r="B662" s="5">
        <f>IF(A662="","",24)</f>
        <v/>
      </c>
      <c r="C662" s="17" t="n">
        <v>46588</v>
      </c>
      <c r="D662" s="5">
        <f>IF(A662="","",IF(C662=DATE(2026,11,29),"培训；注册午餐；早餐参数",IF(C662=DATE(2026,11,30),"培训；注册午餐",IF(C662=DATE(2026,12,1),"培训；注册午餐；机构晚餐",IF(C662=Options!$B$9,"抵达；"&amp;IF(C662=DATE(2026,11,28),"机构晚餐","无统一供餐"),IF(C662=Options!$B$10,"返程；"&amp;IF(C662=DATE(2026,12,2),"机构午餐","无统一供餐"),"差旅状态；无统一日程"))))))</f>
        <v/>
      </c>
      <c r="E662" s="13">
        <f>IF(C662=Options!$B$9,Options!$C$15,0)</f>
        <v/>
      </c>
      <c r="F662" s="13">
        <f>IF(AND(A662&lt;&gt;"",C662&lt;Options!$B$10),B662*Options!$X$5,0)</f>
        <v/>
      </c>
      <c r="G662" s="13">
        <f>F662*12%</f>
        <v/>
      </c>
      <c r="H662" s="13">
        <f>IF(A662="",0,B662*(92*IF(OR(C662=Options!$B$9,C662=Options!$B$10),75%,100%)-IF(C662=DATE(2026,11,29),26+IF(Options!$B$8="是",23,0),0)-IF(C662=DATE(2026,11,30),26,0)-IF(C662=DATE(2026,12,1),64,0)-IF(C662=DATE(2026,11,28),38,0)-IF(C662=DATE(2026,12,2),26,0)))</f>
        <v/>
      </c>
      <c r="I662" s="13">
        <f>IF(AND(C662&gt;=DATE(2026,11,29),C662&lt;=DATE(2026,12,1)),B662*60,0)</f>
        <v/>
      </c>
      <c r="J662" s="13">
        <f>IF(A662="",0,B662*(IF(C662=DATE(2026,11,28),38,0)+IF(C662=DATE(2026,12,1),38,0)+IF(C662=DATE(2026,12,2),26,0)))</f>
        <v/>
      </c>
      <c r="K662" s="13">
        <f>IF(C662=Options!$B$9,B662*12,0)</f>
        <v/>
      </c>
      <c r="L662" s="13">
        <f>IF(C662=Options!$B$9,B662*Options!$Z$5,0)</f>
        <v/>
      </c>
      <c r="M662" s="13" t="n">
        <v>0</v>
      </c>
      <c r="N662" s="13">
        <f>SUM(E662:M662)</f>
        <v/>
      </c>
    </row>
    <row r="663">
      <c r="A663" s="5">
        <f>IF(AND(C663&gt;=Options!$B$9,C663&lt;=Options!$B$10),"Chicago","")</f>
        <v/>
      </c>
      <c r="B663" s="5">
        <f>IF(A663="","",24)</f>
        <v/>
      </c>
      <c r="C663" s="17" t="n">
        <v>46589</v>
      </c>
      <c r="D663" s="5">
        <f>IF(A663="","",IF(C663=DATE(2026,11,29),"培训；注册午餐；早餐参数",IF(C663=DATE(2026,11,30),"培训；注册午餐",IF(C663=DATE(2026,12,1),"培训；注册午餐；机构晚餐",IF(C663=Options!$B$9,"抵达；"&amp;IF(C663=DATE(2026,11,28),"机构晚餐","无统一供餐"),IF(C663=Options!$B$10,"返程；"&amp;IF(C663=DATE(2026,12,2),"机构午餐","无统一供餐"),"差旅状态；无统一日程"))))))</f>
        <v/>
      </c>
      <c r="E663" s="13">
        <f>IF(C663=Options!$B$9,Options!$C$15,0)</f>
        <v/>
      </c>
      <c r="F663" s="13">
        <f>IF(AND(A663&lt;&gt;"",C663&lt;Options!$B$10),B663*Options!$X$5,0)</f>
        <v/>
      </c>
      <c r="G663" s="13">
        <f>F663*12%</f>
        <v/>
      </c>
      <c r="H663" s="13">
        <f>IF(A663="",0,B663*(92*IF(OR(C663=Options!$B$9,C663=Options!$B$10),75%,100%)-IF(C663=DATE(2026,11,29),26+IF(Options!$B$8="是",23,0),0)-IF(C663=DATE(2026,11,30),26,0)-IF(C663=DATE(2026,12,1),64,0)-IF(C663=DATE(2026,11,28),38,0)-IF(C663=DATE(2026,12,2),26,0)))</f>
        <v/>
      </c>
      <c r="I663" s="13">
        <f>IF(AND(C663&gt;=DATE(2026,11,29),C663&lt;=DATE(2026,12,1)),B663*60,0)</f>
        <v/>
      </c>
      <c r="J663" s="13">
        <f>IF(A663="",0,B663*(IF(C663=DATE(2026,11,28),38,0)+IF(C663=DATE(2026,12,1),38,0)+IF(C663=DATE(2026,12,2),26,0)))</f>
        <v/>
      </c>
      <c r="K663" s="13">
        <f>IF(C663=Options!$B$9,B663*12,0)</f>
        <v/>
      </c>
      <c r="L663" s="13">
        <f>IF(C663=Options!$B$9,B663*Options!$Z$5,0)</f>
        <v/>
      </c>
      <c r="M663" s="13" t="n">
        <v>0</v>
      </c>
      <c r="N663" s="13">
        <f>SUM(E663:M663)</f>
        <v/>
      </c>
    </row>
    <row r="664">
      <c r="A664" s="5">
        <f>IF(AND(C664&gt;=Options!$B$9,C664&lt;=Options!$B$10),"Chicago","")</f>
        <v/>
      </c>
      <c r="B664" s="5">
        <f>IF(A664="","",24)</f>
        <v/>
      </c>
      <c r="C664" s="17" t="n">
        <v>46590</v>
      </c>
      <c r="D664" s="5">
        <f>IF(A664="","",IF(C664=DATE(2026,11,29),"培训；注册午餐；早餐参数",IF(C664=DATE(2026,11,30),"培训；注册午餐",IF(C664=DATE(2026,12,1),"培训；注册午餐；机构晚餐",IF(C664=Options!$B$9,"抵达；"&amp;IF(C664=DATE(2026,11,28),"机构晚餐","无统一供餐"),IF(C664=Options!$B$10,"返程；"&amp;IF(C664=DATE(2026,12,2),"机构午餐","无统一供餐"),"差旅状态；无统一日程"))))))</f>
        <v/>
      </c>
      <c r="E664" s="13">
        <f>IF(C664=Options!$B$9,Options!$C$15,0)</f>
        <v/>
      </c>
      <c r="F664" s="13">
        <f>IF(AND(A664&lt;&gt;"",C664&lt;Options!$B$10),B664*Options!$X$5,0)</f>
        <v/>
      </c>
      <c r="G664" s="13">
        <f>F664*12%</f>
        <v/>
      </c>
      <c r="H664" s="13">
        <f>IF(A664="",0,B664*(92*IF(OR(C664=Options!$B$9,C664=Options!$B$10),75%,100%)-IF(C664=DATE(2026,11,29),26+IF(Options!$B$8="是",23,0),0)-IF(C664=DATE(2026,11,30),26,0)-IF(C664=DATE(2026,12,1),64,0)-IF(C664=DATE(2026,11,28),38,0)-IF(C664=DATE(2026,12,2),26,0)))</f>
        <v/>
      </c>
      <c r="I664" s="13">
        <f>IF(AND(C664&gt;=DATE(2026,11,29),C664&lt;=DATE(2026,12,1)),B664*60,0)</f>
        <v/>
      </c>
      <c r="J664" s="13">
        <f>IF(A664="",0,B664*(IF(C664=DATE(2026,11,28),38,0)+IF(C664=DATE(2026,12,1),38,0)+IF(C664=DATE(2026,12,2),26,0)))</f>
        <v/>
      </c>
      <c r="K664" s="13">
        <f>IF(C664=Options!$B$9,B664*12,0)</f>
        <v/>
      </c>
      <c r="L664" s="13">
        <f>IF(C664=Options!$B$9,B664*Options!$Z$5,0)</f>
        <v/>
      </c>
      <c r="M664" s="13" t="n">
        <v>0</v>
      </c>
      <c r="N664" s="13">
        <f>SUM(E664:M664)</f>
        <v/>
      </c>
    </row>
    <row r="665">
      <c r="A665" s="5">
        <f>IF(AND(C665&gt;=Options!$B$9,C665&lt;=Options!$B$10),"Chicago","")</f>
        <v/>
      </c>
      <c r="B665" s="5">
        <f>IF(A665="","",24)</f>
        <v/>
      </c>
      <c r="C665" s="17" t="n">
        <v>46591</v>
      </c>
      <c r="D665" s="5">
        <f>IF(A665="","",IF(C665=DATE(2026,11,29),"培训；注册午餐；早餐参数",IF(C665=DATE(2026,11,30),"培训；注册午餐",IF(C665=DATE(2026,12,1),"培训；注册午餐；机构晚餐",IF(C665=Options!$B$9,"抵达；"&amp;IF(C665=DATE(2026,11,28),"机构晚餐","无统一供餐"),IF(C665=Options!$B$10,"返程；"&amp;IF(C665=DATE(2026,12,2),"机构午餐","无统一供餐"),"差旅状态；无统一日程"))))))</f>
        <v/>
      </c>
      <c r="E665" s="13">
        <f>IF(C665=Options!$B$9,Options!$C$15,0)</f>
        <v/>
      </c>
      <c r="F665" s="13">
        <f>IF(AND(A665&lt;&gt;"",C665&lt;Options!$B$10),B665*Options!$X$5,0)</f>
        <v/>
      </c>
      <c r="G665" s="13">
        <f>F665*12%</f>
        <v/>
      </c>
      <c r="H665" s="13">
        <f>IF(A665="",0,B665*(92*IF(OR(C665=Options!$B$9,C665=Options!$B$10),75%,100%)-IF(C665=DATE(2026,11,29),26+IF(Options!$B$8="是",23,0),0)-IF(C665=DATE(2026,11,30),26,0)-IF(C665=DATE(2026,12,1),64,0)-IF(C665=DATE(2026,11,28),38,0)-IF(C665=DATE(2026,12,2),26,0)))</f>
        <v/>
      </c>
      <c r="I665" s="13">
        <f>IF(AND(C665&gt;=DATE(2026,11,29),C665&lt;=DATE(2026,12,1)),B665*60,0)</f>
        <v/>
      </c>
      <c r="J665" s="13">
        <f>IF(A665="",0,B665*(IF(C665=DATE(2026,11,28),38,0)+IF(C665=DATE(2026,12,1),38,0)+IF(C665=DATE(2026,12,2),26,0)))</f>
        <v/>
      </c>
      <c r="K665" s="13">
        <f>IF(C665=Options!$B$9,B665*12,0)</f>
        <v/>
      </c>
      <c r="L665" s="13">
        <f>IF(C665=Options!$B$9,B665*Options!$Z$5,0)</f>
        <v/>
      </c>
      <c r="M665" s="13" t="n">
        <v>0</v>
      </c>
      <c r="N665" s="13">
        <f>SUM(E665:M665)</f>
        <v/>
      </c>
    </row>
    <row r="666">
      <c r="A666" s="5">
        <f>IF(AND(C666&gt;=Options!$B$9,C666&lt;=Options!$B$10),"Chicago","")</f>
        <v/>
      </c>
      <c r="B666" s="5">
        <f>IF(A666="","",24)</f>
        <v/>
      </c>
      <c r="C666" s="17" t="n">
        <v>46592</v>
      </c>
      <c r="D666" s="5">
        <f>IF(A666="","",IF(C666=DATE(2026,11,29),"培训；注册午餐；早餐参数",IF(C666=DATE(2026,11,30),"培训；注册午餐",IF(C666=DATE(2026,12,1),"培训；注册午餐；机构晚餐",IF(C666=Options!$B$9,"抵达；"&amp;IF(C666=DATE(2026,11,28),"机构晚餐","无统一供餐"),IF(C666=Options!$B$10,"返程；"&amp;IF(C666=DATE(2026,12,2),"机构午餐","无统一供餐"),"差旅状态；无统一日程"))))))</f>
        <v/>
      </c>
      <c r="E666" s="13">
        <f>IF(C666=Options!$B$9,Options!$C$15,0)</f>
        <v/>
      </c>
      <c r="F666" s="13">
        <f>IF(AND(A666&lt;&gt;"",C666&lt;Options!$B$10),B666*Options!$X$5,0)</f>
        <v/>
      </c>
      <c r="G666" s="13">
        <f>F666*12%</f>
        <v/>
      </c>
      <c r="H666" s="13">
        <f>IF(A666="",0,B666*(92*IF(OR(C666=Options!$B$9,C666=Options!$B$10),75%,100%)-IF(C666=DATE(2026,11,29),26+IF(Options!$B$8="是",23,0),0)-IF(C666=DATE(2026,11,30),26,0)-IF(C666=DATE(2026,12,1),64,0)-IF(C666=DATE(2026,11,28),38,0)-IF(C666=DATE(2026,12,2),26,0)))</f>
        <v/>
      </c>
      <c r="I666" s="13">
        <f>IF(AND(C666&gt;=DATE(2026,11,29),C666&lt;=DATE(2026,12,1)),B666*60,0)</f>
        <v/>
      </c>
      <c r="J666" s="13">
        <f>IF(A666="",0,B666*(IF(C666=DATE(2026,11,28),38,0)+IF(C666=DATE(2026,12,1),38,0)+IF(C666=DATE(2026,12,2),26,0)))</f>
        <v/>
      </c>
      <c r="K666" s="13">
        <f>IF(C666=Options!$B$9,B666*12,0)</f>
        <v/>
      </c>
      <c r="L666" s="13">
        <f>IF(C666=Options!$B$9,B666*Options!$Z$5,0)</f>
        <v/>
      </c>
      <c r="M666" s="13" t="n">
        <v>0</v>
      </c>
      <c r="N666" s="13">
        <f>SUM(E666:M666)</f>
        <v/>
      </c>
    </row>
    <row r="667">
      <c r="A667" s="5">
        <f>IF(AND(C667&gt;=Options!$B$9,C667&lt;=Options!$B$10),"Chicago","")</f>
        <v/>
      </c>
      <c r="B667" s="5">
        <f>IF(A667="","",24)</f>
        <v/>
      </c>
      <c r="C667" s="17" t="n">
        <v>46593</v>
      </c>
      <c r="D667" s="5">
        <f>IF(A667="","",IF(C667=DATE(2026,11,29),"培训；注册午餐；早餐参数",IF(C667=DATE(2026,11,30),"培训；注册午餐",IF(C667=DATE(2026,12,1),"培训；注册午餐；机构晚餐",IF(C667=Options!$B$9,"抵达；"&amp;IF(C667=DATE(2026,11,28),"机构晚餐","无统一供餐"),IF(C667=Options!$B$10,"返程；"&amp;IF(C667=DATE(2026,12,2),"机构午餐","无统一供餐"),"差旅状态；无统一日程"))))))</f>
        <v/>
      </c>
      <c r="E667" s="13">
        <f>IF(C667=Options!$B$9,Options!$C$15,0)</f>
        <v/>
      </c>
      <c r="F667" s="13">
        <f>IF(AND(A667&lt;&gt;"",C667&lt;Options!$B$10),B667*Options!$X$5,0)</f>
        <v/>
      </c>
      <c r="G667" s="13">
        <f>F667*12%</f>
        <v/>
      </c>
      <c r="H667" s="13">
        <f>IF(A667="",0,B667*(92*IF(OR(C667=Options!$B$9,C667=Options!$B$10),75%,100%)-IF(C667=DATE(2026,11,29),26+IF(Options!$B$8="是",23,0),0)-IF(C667=DATE(2026,11,30),26,0)-IF(C667=DATE(2026,12,1),64,0)-IF(C667=DATE(2026,11,28),38,0)-IF(C667=DATE(2026,12,2),26,0)))</f>
        <v/>
      </c>
      <c r="I667" s="13">
        <f>IF(AND(C667&gt;=DATE(2026,11,29),C667&lt;=DATE(2026,12,1)),B667*60,0)</f>
        <v/>
      </c>
      <c r="J667" s="13">
        <f>IF(A667="",0,B667*(IF(C667=DATE(2026,11,28),38,0)+IF(C667=DATE(2026,12,1),38,0)+IF(C667=DATE(2026,12,2),26,0)))</f>
        <v/>
      </c>
      <c r="K667" s="13">
        <f>IF(C667=Options!$B$9,B667*12,0)</f>
        <v/>
      </c>
      <c r="L667" s="13">
        <f>IF(C667=Options!$B$9,B667*Options!$Z$5,0)</f>
        <v/>
      </c>
      <c r="M667" s="13" t="n">
        <v>0</v>
      </c>
      <c r="N667" s="13">
        <f>SUM(E667:M667)</f>
        <v/>
      </c>
    </row>
    <row r="668">
      <c r="A668" s="5">
        <f>IF(AND(C668&gt;=Options!$B$9,C668&lt;=Options!$B$10),"Chicago","")</f>
        <v/>
      </c>
      <c r="B668" s="5">
        <f>IF(A668="","",24)</f>
        <v/>
      </c>
      <c r="C668" s="17" t="n">
        <v>46594</v>
      </c>
      <c r="D668" s="5">
        <f>IF(A668="","",IF(C668=DATE(2026,11,29),"培训；注册午餐；早餐参数",IF(C668=DATE(2026,11,30),"培训；注册午餐",IF(C668=DATE(2026,12,1),"培训；注册午餐；机构晚餐",IF(C668=Options!$B$9,"抵达；"&amp;IF(C668=DATE(2026,11,28),"机构晚餐","无统一供餐"),IF(C668=Options!$B$10,"返程；"&amp;IF(C668=DATE(2026,12,2),"机构午餐","无统一供餐"),"差旅状态；无统一日程"))))))</f>
        <v/>
      </c>
      <c r="E668" s="13">
        <f>IF(C668=Options!$B$9,Options!$C$15,0)</f>
        <v/>
      </c>
      <c r="F668" s="13">
        <f>IF(AND(A668&lt;&gt;"",C668&lt;Options!$B$10),B668*Options!$X$5,0)</f>
        <v/>
      </c>
      <c r="G668" s="13">
        <f>F668*12%</f>
        <v/>
      </c>
      <c r="H668" s="13">
        <f>IF(A668="",0,B668*(92*IF(OR(C668=Options!$B$9,C668=Options!$B$10),75%,100%)-IF(C668=DATE(2026,11,29),26+IF(Options!$B$8="是",23,0),0)-IF(C668=DATE(2026,11,30),26,0)-IF(C668=DATE(2026,12,1),64,0)-IF(C668=DATE(2026,11,28),38,0)-IF(C668=DATE(2026,12,2),26,0)))</f>
        <v/>
      </c>
      <c r="I668" s="13">
        <f>IF(AND(C668&gt;=DATE(2026,11,29),C668&lt;=DATE(2026,12,1)),B668*60,0)</f>
        <v/>
      </c>
      <c r="J668" s="13">
        <f>IF(A668="",0,B668*(IF(C668=DATE(2026,11,28),38,0)+IF(C668=DATE(2026,12,1),38,0)+IF(C668=DATE(2026,12,2),26,0)))</f>
        <v/>
      </c>
      <c r="K668" s="13">
        <f>IF(C668=Options!$B$9,B668*12,0)</f>
        <v/>
      </c>
      <c r="L668" s="13">
        <f>IF(C668=Options!$B$9,B668*Options!$Z$5,0)</f>
        <v/>
      </c>
      <c r="M668" s="13" t="n">
        <v>0</v>
      </c>
      <c r="N668" s="13">
        <f>SUM(E668:M668)</f>
        <v/>
      </c>
    </row>
    <row r="669">
      <c r="A669" s="5">
        <f>IF(AND(C669&gt;=Options!$B$9,C669&lt;=Options!$B$10),"Chicago","")</f>
        <v/>
      </c>
      <c r="B669" s="5">
        <f>IF(A669="","",24)</f>
        <v/>
      </c>
      <c r="C669" s="17" t="n">
        <v>46595</v>
      </c>
      <c r="D669" s="5">
        <f>IF(A669="","",IF(C669=DATE(2026,11,29),"培训；注册午餐；早餐参数",IF(C669=DATE(2026,11,30),"培训；注册午餐",IF(C669=DATE(2026,12,1),"培训；注册午餐；机构晚餐",IF(C669=Options!$B$9,"抵达；"&amp;IF(C669=DATE(2026,11,28),"机构晚餐","无统一供餐"),IF(C669=Options!$B$10,"返程；"&amp;IF(C669=DATE(2026,12,2),"机构午餐","无统一供餐"),"差旅状态；无统一日程"))))))</f>
        <v/>
      </c>
      <c r="E669" s="13">
        <f>IF(C669=Options!$B$9,Options!$C$15,0)</f>
        <v/>
      </c>
      <c r="F669" s="13">
        <f>IF(AND(A669&lt;&gt;"",C669&lt;Options!$B$10),B669*Options!$X$5,0)</f>
        <v/>
      </c>
      <c r="G669" s="13">
        <f>F669*12%</f>
        <v/>
      </c>
      <c r="H669" s="13">
        <f>IF(A669="",0,B669*(92*IF(OR(C669=Options!$B$9,C669=Options!$B$10),75%,100%)-IF(C669=DATE(2026,11,29),26+IF(Options!$B$8="是",23,0),0)-IF(C669=DATE(2026,11,30),26,0)-IF(C669=DATE(2026,12,1),64,0)-IF(C669=DATE(2026,11,28),38,0)-IF(C669=DATE(2026,12,2),26,0)))</f>
        <v/>
      </c>
      <c r="I669" s="13">
        <f>IF(AND(C669&gt;=DATE(2026,11,29),C669&lt;=DATE(2026,12,1)),B669*60,0)</f>
        <v/>
      </c>
      <c r="J669" s="13">
        <f>IF(A669="",0,B669*(IF(C669=DATE(2026,11,28),38,0)+IF(C669=DATE(2026,12,1),38,0)+IF(C669=DATE(2026,12,2),26,0)))</f>
        <v/>
      </c>
      <c r="K669" s="13">
        <f>IF(C669=Options!$B$9,B669*12,0)</f>
        <v/>
      </c>
      <c r="L669" s="13">
        <f>IF(C669=Options!$B$9,B669*Options!$Z$5,0)</f>
        <v/>
      </c>
      <c r="M669" s="13" t="n">
        <v>0</v>
      </c>
      <c r="N669" s="13">
        <f>SUM(E669:M669)</f>
        <v/>
      </c>
    </row>
    <row r="670">
      <c r="A670" s="5">
        <f>IF(AND(C670&gt;=Options!$B$9,C670&lt;=Options!$B$10),"Chicago","")</f>
        <v/>
      </c>
      <c r="B670" s="5">
        <f>IF(A670="","",24)</f>
        <v/>
      </c>
      <c r="C670" s="17" t="n">
        <v>46596</v>
      </c>
      <c r="D670" s="5">
        <f>IF(A670="","",IF(C670=DATE(2026,11,29),"培训；注册午餐；早餐参数",IF(C670=DATE(2026,11,30),"培训；注册午餐",IF(C670=DATE(2026,12,1),"培训；注册午餐；机构晚餐",IF(C670=Options!$B$9,"抵达；"&amp;IF(C670=DATE(2026,11,28),"机构晚餐","无统一供餐"),IF(C670=Options!$B$10,"返程；"&amp;IF(C670=DATE(2026,12,2),"机构午餐","无统一供餐"),"差旅状态；无统一日程"))))))</f>
        <v/>
      </c>
      <c r="E670" s="13">
        <f>IF(C670=Options!$B$9,Options!$C$15,0)</f>
        <v/>
      </c>
      <c r="F670" s="13">
        <f>IF(AND(A670&lt;&gt;"",C670&lt;Options!$B$10),B670*Options!$X$5,0)</f>
        <v/>
      </c>
      <c r="G670" s="13">
        <f>F670*12%</f>
        <v/>
      </c>
      <c r="H670" s="13">
        <f>IF(A670="",0,B670*(92*IF(OR(C670=Options!$B$9,C670=Options!$B$10),75%,100%)-IF(C670=DATE(2026,11,29),26+IF(Options!$B$8="是",23,0),0)-IF(C670=DATE(2026,11,30),26,0)-IF(C670=DATE(2026,12,1),64,0)-IF(C670=DATE(2026,11,28),38,0)-IF(C670=DATE(2026,12,2),26,0)))</f>
        <v/>
      </c>
      <c r="I670" s="13">
        <f>IF(AND(C670&gt;=DATE(2026,11,29),C670&lt;=DATE(2026,12,1)),B670*60,0)</f>
        <v/>
      </c>
      <c r="J670" s="13">
        <f>IF(A670="",0,B670*(IF(C670=DATE(2026,11,28),38,0)+IF(C670=DATE(2026,12,1),38,0)+IF(C670=DATE(2026,12,2),26,0)))</f>
        <v/>
      </c>
      <c r="K670" s="13">
        <f>IF(C670=Options!$B$9,B670*12,0)</f>
        <v/>
      </c>
      <c r="L670" s="13">
        <f>IF(C670=Options!$B$9,B670*Options!$Z$5,0)</f>
        <v/>
      </c>
      <c r="M670" s="13" t="n">
        <v>0</v>
      </c>
      <c r="N670" s="13">
        <f>SUM(E670:M670)</f>
        <v/>
      </c>
    </row>
    <row r="671">
      <c r="A671" s="5">
        <f>IF(AND(C671&gt;=Options!$B$9,C671&lt;=Options!$B$10),"Chicago","")</f>
        <v/>
      </c>
      <c r="B671" s="5">
        <f>IF(A671="","",24)</f>
        <v/>
      </c>
      <c r="C671" s="17" t="n">
        <v>46597</v>
      </c>
      <c r="D671" s="5">
        <f>IF(A671="","",IF(C671=DATE(2026,11,29),"培训；注册午餐；早餐参数",IF(C671=DATE(2026,11,30),"培训；注册午餐",IF(C671=DATE(2026,12,1),"培训；注册午餐；机构晚餐",IF(C671=Options!$B$9,"抵达；"&amp;IF(C671=DATE(2026,11,28),"机构晚餐","无统一供餐"),IF(C671=Options!$B$10,"返程；"&amp;IF(C671=DATE(2026,12,2),"机构午餐","无统一供餐"),"差旅状态；无统一日程"))))))</f>
        <v/>
      </c>
      <c r="E671" s="13">
        <f>IF(C671=Options!$B$9,Options!$C$15,0)</f>
        <v/>
      </c>
      <c r="F671" s="13">
        <f>IF(AND(A671&lt;&gt;"",C671&lt;Options!$B$10),B671*Options!$X$5,0)</f>
        <v/>
      </c>
      <c r="G671" s="13">
        <f>F671*12%</f>
        <v/>
      </c>
      <c r="H671" s="13">
        <f>IF(A671="",0,B671*(92*IF(OR(C671=Options!$B$9,C671=Options!$B$10),75%,100%)-IF(C671=DATE(2026,11,29),26+IF(Options!$B$8="是",23,0),0)-IF(C671=DATE(2026,11,30),26,0)-IF(C671=DATE(2026,12,1),64,0)-IF(C671=DATE(2026,11,28),38,0)-IF(C671=DATE(2026,12,2),26,0)))</f>
        <v/>
      </c>
      <c r="I671" s="13">
        <f>IF(AND(C671&gt;=DATE(2026,11,29),C671&lt;=DATE(2026,12,1)),B671*60,0)</f>
        <v/>
      </c>
      <c r="J671" s="13">
        <f>IF(A671="",0,B671*(IF(C671=DATE(2026,11,28),38,0)+IF(C671=DATE(2026,12,1),38,0)+IF(C671=DATE(2026,12,2),26,0)))</f>
        <v/>
      </c>
      <c r="K671" s="13">
        <f>IF(C671=Options!$B$9,B671*12,0)</f>
        <v/>
      </c>
      <c r="L671" s="13">
        <f>IF(C671=Options!$B$9,B671*Options!$Z$5,0)</f>
        <v/>
      </c>
      <c r="M671" s="13" t="n">
        <v>0</v>
      </c>
      <c r="N671" s="13">
        <f>SUM(E671:M671)</f>
        <v/>
      </c>
    </row>
    <row r="672">
      <c r="A672" s="5">
        <f>IF(AND(C672&gt;=Options!$B$9,C672&lt;=Options!$B$10),"Chicago","")</f>
        <v/>
      </c>
      <c r="B672" s="5">
        <f>IF(A672="","",24)</f>
        <v/>
      </c>
      <c r="C672" s="17" t="n">
        <v>46598</v>
      </c>
      <c r="D672" s="5">
        <f>IF(A672="","",IF(C672=DATE(2026,11,29),"培训；注册午餐；早餐参数",IF(C672=DATE(2026,11,30),"培训；注册午餐",IF(C672=DATE(2026,12,1),"培训；注册午餐；机构晚餐",IF(C672=Options!$B$9,"抵达；"&amp;IF(C672=DATE(2026,11,28),"机构晚餐","无统一供餐"),IF(C672=Options!$B$10,"返程；"&amp;IF(C672=DATE(2026,12,2),"机构午餐","无统一供餐"),"差旅状态；无统一日程"))))))</f>
        <v/>
      </c>
      <c r="E672" s="13">
        <f>IF(C672=Options!$B$9,Options!$C$15,0)</f>
        <v/>
      </c>
      <c r="F672" s="13">
        <f>IF(AND(A672&lt;&gt;"",C672&lt;Options!$B$10),B672*Options!$X$5,0)</f>
        <v/>
      </c>
      <c r="G672" s="13">
        <f>F672*12%</f>
        <v/>
      </c>
      <c r="H672" s="13">
        <f>IF(A672="",0,B672*(92*IF(OR(C672=Options!$B$9,C672=Options!$B$10),75%,100%)-IF(C672=DATE(2026,11,29),26+IF(Options!$B$8="是",23,0),0)-IF(C672=DATE(2026,11,30),26,0)-IF(C672=DATE(2026,12,1),64,0)-IF(C672=DATE(2026,11,28),38,0)-IF(C672=DATE(2026,12,2),26,0)))</f>
        <v/>
      </c>
      <c r="I672" s="13">
        <f>IF(AND(C672&gt;=DATE(2026,11,29),C672&lt;=DATE(2026,12,1)),B672*60,0)</f>
        <v/>
      </c>
      <c r="J672" s="13">
        <f>IF(A672="",0,B672*(IF(C672=DATE(2026,11,28),38,0)+IF(C672=DATE(2026,12,1),38,0)+IF(C672=DATE(2026,12,2),26,0)))</f>
        <v/>
      </c>
      <c r="K672" s="13">
        <f>IF(C672=Options!$B$9,B672*12,0)</f>
        <v/>
      </c>
      <c r="L672" s="13">
        <f>IF(C672=Options!$B$9,B672*Options!$Z$5,0)</f>
        <v/>
      </c>
      <c r="M672" s="13" t="n">
        <v>0</v>
      </c>
      <c r="N672" s="13">
        <f>SUM(E672:M672)</f>
        <v/>
      </c>
    </row>
    <row r="673">
      <c r="A673" s="5">
        <f>IF(AND(C673&gt;=Options!$B$9,C673&lt;=Options!$B$10),"Chicago","")</f>
        <v/>
      </c>
      <c r="B673" s="5">
        <f>IF(A673="","",24)</f>
        <v/>
      </c>
      <c r="C673" s="17" t="n">
        <v>46599</v>
      </c>
      <c r="D673" s="5">
        <f>IF(A673="","",IF(C673=DATE(2026,11,29),"培训；注册午餐；早餐参数",IF(C673=DATE(2026,11,30),"培训；注册午餐",IF(C673=DATE(2026,12,1),"培训；注册午餐；机构晚餐",IF(C673=Options!$B$9,"抵达；"&amp;IF(C673=DATE(2026,11,28),"机构晚餐","无统一供餐"),IF(C673=Options!$B$10,"返程；"&amp;IF(C673=DATE(2026,12,2),"机构午餐","无统一供餐"),"差旅状态；无统一日程"))))))</f>
        <v/>
      </c>
      <c r="E673" s="13">
        <f>IF(C673=Options!$B$9,Options!$C$15,0)</f>
        <v/>
      </c>
      <c r="F673" s="13">
        <f>IF(AND(A673&lt;&gt;"",C673&lt;Options!$B$10),B673*Options!$X$5,0)</f>
        <v/>
      </c>
      <c r="G673" s="13">
        <f>F673*12%</f>
        <v/>
      </c>
      <c r="H673" s="13">
        <f>IF(A673="",0,B673*(92*IF(OR(C673=Options!$B$9,C673=Options!$B$10),75%,100%)-IF(C673=DATE(2026,11,29),26+IF(Options!$B$8="是",23,0),0)-IF(C673=DATE(2026,11,30),26,0)-IF(C673=DATE(2026,12,1),64,0)-IF(C673=DATE(2026,11,28),38,0)-IF(C673=DATE(2026,12,2),26,0)))</f>
        <v/>
      </c>
      <c r="I673" s="13">
        <f>IF(AND(C673&gt;=DATE(2026,11,29),C673&lt;=DATE(2026,12,1)),B673*60,0)</f>
        <v/>
      </c>
      <c r="J673" s="13">
        <f>IF(A673="",0,B673*(IF(C673=DATE(2026,11,28),38,0)+IF(C673=DATE(2026,12,1),38,0)+IF(C673=DATE(2026,12,2),26,0)))</f>
        <v/>
      </c>
      <c r="K673" s="13">
        <f>IF(C673=Options!$B$9,B673*12,0)</f>
        <v/>
      </c>
      <c r="L673" s="13">
        <f>IF(C673=Options!$B$9,B673*Options!$Z$5,0)</f>
        <v/>
      </c>
      <c r="M673" s="13" t="n">
        <v>0</v>
      </c>
      <c r="N673" s="13">
        <f>SUM(E673:M673)</f>
        <v/>
      </c>
    </row>
    <row r="674">
      <c r="A674" s="5">
        <f>IF(AND(C674&gt;=Options!$B$9,C674&lt;=Options!$B$10),"Chicago","")</f>
        <v/>
      </c>
      <c r="B674" s="5">
        <f>IF(A674="","",24)</f>
        <v/>
      </c>
      <c r="C674" s="17" t="n">
        <v>46600</v>
      </c>
      <c r="D674" s="5">
        <f>IF(A674="","",IF(C674=DATE(2026,11,29),"培训；注册午餐；早餐参数",IF(C674=DATE(2026,11,30),"培训；注册午餐",IF(C674=DATE(2026,12,1),"培训；注册午餐；机构晚餐",IF(C674=Options!$B$9,"抵达；"&amp;IF(C674=DATE(2026,11,28),"机构晚餐","无统一供餐"),IF(C674=Options!$B$10,"返程；"&amp;IF(C674=DATE(2026,12,2),"机构午餐","无统一供餐"),"差旅状态；无统一日程"))))))</f>
        <v/>
      </c>
      <c r="E674" s="13">
        <f>IF(C674=Options!$B$9,Options!$C$15,0)</f>
        <v/>
      </c>
      <c r="F674" s="13">
        <f>IF(AND(A674&lt;&gt;"",C674&lt;Options!$B$10),B674*Options!$X$5,0)</f>
        <v/>
      </c>
      <c r="G674" s="13">
        <f>F674*12%</f>
        <v/>
      </c>
      <c r="H674" s="13">
        <f>IF(A674="",0,B674*(92*IF(OR(C674=Options!$B$9,C674=Options!$B$10),75%,100%)-IF(C674=DATE(2026,11,29),26+IF(Options!$B$8="是",23,0),0)-IF(C674=DATE(2026,11,30),26,0)-IF(C674=DATE(2026,12,1),64,0)-IF(C674=DATE(2026,11,28),38,0)-IF(C674=DATE(2026,12,2),26,0)))</f>
        <v/>
      </c>
      <c r="I674" s="13">
        <f>IF(AND(C674&gt;=DATE(2026,11,29),C674&lt;=DATE(2026,12,1)),B674*60,0)</f>
        <v/>
      </c>
      <c r="J674" s="13">
        <f>IF(A674="",0,B674*(IF(C674=DATE(2026,11,28),38,0)+IF(C674=DATE(2026,12,1),38,0)+IF(C674=DATE(2026,12,2),26,0)))</f>
        <v/>
      </c>
      <c r="K674" s="13">
        <f>IF(C674=Options!$B$9,B674*12,0)</f>
        <v/>
      </c>
      <c r="L674" s="13">
        <f>IF(C674=Options!$B$9,B674*Options!$Z$5,0)</f>
        <v/>
      </c>
      <c r="M674" s="13" t="n">
        <v>0</v>
      </c>
      <c r="N674" s="13">
        <f>SUM(E674:M674)</f>
        <v/>
      </c>
    </row>
    <row r="675">
      <c r="A675" s="5">
        <f>IF(AND(C675&gt;=Options!$B$9,C675&lt;=Options!$B$10),"Chicago","")</f>
        <v/>
      </c>
      <c r="B675" s="5">
        <f>IF(A675="","",24)</f>
        <v/>
      </c>
      <c r="C675" s="17" t="n">
        <v>46601</v>
      </c>
      <c r="D675" s="5">
        <f>IF(A675="","",IF(C675=DATE(2026,11,29),"培训；注册午餐；早餐参数",IF(C675=DATE(2026,11,30),"培训；注册午餐",IF(C675=DATE(2026,12,1),"培训；注册午餐；机构晚餐",IF(C675=Options!$B$9,"抵达；"&amp;IF(C675=DATE(2026,11,28),"机构晚餐","无统一供餐"),IF(C675=Options!$B$10,"返程；"&amp;IF(C675=DATE(2026,12,2),"机构午餐","无统一供餐"),"差旅状态；无统一日程"))))))</f>
        <v/>
      </c>
      <c r="E675" s="13">
        <f>IF(C675=Options!$B$9,Options!$C$15,0)</f>
        <v/>
      </c>
      <c r="F675" s="13">
        <f>IF(AND(A675&lt;&gt;"",C675&lt;Options!$B$10),B675*Options!$X$5,0)</f>
        <v/>
      </c>
      <c r="G675" s="13">
        <f>F675*12%</f>
        <v/>
      </c>
      <c r="H675" s="13">
        <f>IF(A675="",0,B675*(92*IF(OR(C675=Options!$B$9,C675=Options!$B$10),75%,100%)-IF(C675=DATE(2026,11,29),26+IF(Options!$B$8="是",23,0),0)-IF(C675=DATE(2026,11,30),26,0)-IF(C675=DATE(2026,12,1),64,0)-IF(C675=DATE(2026,11,28),38,0)-IF(C675=DATE(2026,12,2),26,0)))</f>
        <v/>
      </c>
      <c r="I675" s="13">
        <f>IF(AND(C675&gt;=DATE(2026,11,29),C675&lt;=DATE(2026,12,1)),B675*60,0)</f>
        <v/>
      </c>
      <c r="J675" s="13">
        <f>IF(A675="",0,B675*(IF(C675=DATE(2026,11,28),38,0)+IF(C675=DATE(2026,12,1),38,0)+IF(C675=DATE(2026,12,2),26,0)))</f>
        <v/>
      </c>
      <c r="K675" s="13">
        <f>IF(C675=Options!$B$9,B675*12,0)</f>
        <v/>
      </c>
      <c r="L675" s="13">
        <f>IF(C675=Options!$B$9,B675*Options!$Z$5,0)</f>
        <v/>
      </c>
      <c r="M675" s="13" t="n">
        <v>0</v>
      </c>
      <c r="N675" s="13">
        <f>SUM(E675:M675)</f>
        <v/>
      </c>
    </row>
    <row r="676">
      <c r="A676" s="5">
        <f>IF(AND(C676&gt;=Options!$B$9,C676&lt;=Options!$B$10),"Chicago","")</f>
        <v/>
      </c>
      <c r="B676" s="5">
        <f>IF(A676="","",24)</f>
        <v/>
      </c>
      <c r="C676" s="17" t="n">
        <v>46602</v>
      </c>
      <c r="D676" s="5">
        <f>IF(A676="","",IF(C676=DATE(2026,11,29),"培训；注册午餐；早餐参数",IF(C676=DATE(2026,11,30),"培训；注册午餐",IF(C676=DATE(2026,12,1),"培训；注册午餐；机构晚餐",IF(C676=Options!$B$9,"抵达；"&amp;IF(C676=DATE(2026,11,28),"机构晚餐","无统一供餐"),IF(C676=Options!$B$10,"返程；"&amp;IF(C676=DATE(2026,12,2),"机构午餐","无统一供餐"),"差旅状态；无统一日程"))))))</f>
        <v/>
      </c>
      <c r="E676" s="13">
        <f>IF(C676=Options!$B$9,Options!$C$15,0)</f>
        <v/>
      </c>
      <c r="F676" s="13">
        <f>IF(AND(A676&lt;&gt;"",C676&lt;Options!$B$10),B676*Options!$X$5,0)</f>
        <v/>
      </c>
      <c r="G676" s="13">
        <f>F676*12%</f>
        <v/>
      </c>
      <c r="H676" s="13">
        <f>IF(A676="",0,B676*(92*IF(OR(C676=Options!$B$9,C676=Options!$B$10),75%,100%)-IF(C676=DATE(2026,11,29),26+IF(Options!$B$8="是",23,0),0)-IF(C676=DATE(2026,11,30),26,0)-IF(C676=DATE(2026,12,1),64,0)-IF(C676=DATE(2026,11,28),38,0)-IF(C676=DATE(2026,12,2),26,0)))</f>
        <v/>
      </c>
      <c r="I676" s="13">
        <f>IF(AND(C676&gt;=DATE(2026,11,29),C676&lt;=DATE(2026,12,1)),B676*60,0)</f>
        <v/>
      </c>
      <c r="J676" s="13">
        <f>IF(A676="",0,B676*(IF(C676=DATE(2026,11,28),38,0)+IF(C676=DATE(2026,12,1),38,0)+IF(C676=DATE(2026,12,2),26,0)))</f>
        <v/>
      </c>
      <c r="K676" s="13">
        <f>IF(C676=Options!$B$9,B676*12,0)</f>
        <v/>
      </c>
      <c r="L676" s="13">
        <f>IF(C676=Options!$B$9,B676*Options!$Z$5,0)</f>
        <v/>
      </c>
      <c r="M676" s="13" t="n">
        <v>0</v>
      </c>
      <c r="N676" s="13">
        <f>SUM(E676:M676)</f>
        <v/>
      </c>
    </row>
    <row r="677">
      <c r="A677" s="5">
        <f>IF(AND(C677&gt;=Options!$B$9,C677&lt;=Options!$B$10),"Chicago","")</f>
        <v/>
      </c>
      <c r="B677" s="5">
        <f>IF(A677="","",24)</f>
        <v/>
      </c>
      <c r="C677" s="17" t="n">
        <v>46603</v>
      </c>
      <c r="D677" s="5">
        <f>IF(A677="","",IF(C677=DATE(2026,11,29),"培训；注册午餐；早餐参数",IF(C677=DATE(2026,11,30),"培训；注册午餐",IF(C677=DATE(2026,12,1),"培训；注册午餐；机构晚餐",IF(C677=Options!$B$9,"抵达；"&amp;IF(C677=DATE(2026,11,28),"机构晚餐","无统一供餐"),IF(C677=Options!$B$10,"返程；"&amp;IF(C677=DATE(2026,12,2),"机构午餐","无统一供餐"),"差旅状态；无统一日程"))))))</f>
        <v/>
      </c>
      <c r="E677" s="13">
        <f>IF(C677=Options!$B$9,Options!$C$15,0)</f>
        <v/>
      </c>
      <c r="F677" s="13">
        <f>IF(AND(A677&lt;&gt;"",C677&lt;Options!$B$10),B677*Options!$X$5,0)</f>
        <v/>
      </c>
      <c r="G677" s="13">
        <f>F677*12%</f>
        <v/>
      </c>
      <c r="H677" s="13">
        <f>IF(A677="",0,B677*(92*IF(OR(C677=Options!$B$9,C677=Options!$B$10),75%,100%)-IF(C677=DATE(2026,11,29),26+IF(Options!$B$8="是",23,0),0)-IF(C677=DATE(2026,11,30),26,0)-IF(C677=DATE(2026,12,1),64,0)-IF(C677=DATE(2026,11,28),38,0)-IF(C677=DATE(2026,12,2),26,0)))</f>
        <v/>
      </c>
      <c r="I677" s="13">
        <f>IF(AND(C677&gt;=DATE(2026,11,29),C677&lt;=DATE(2026,12,1)),B677*60,0)</f>
        <v/>
      </c>
      <c r="J677" s="13">
        <f>IF(A677="",0,B677*(IF(C677=DATE(2026,11,28),38,0)+IF(C677=DATE(2026,12,1),38,0)+IF(C677=DATE(2026,12,2),26,0)))</f>
        <v/>
      </c>
      <c r="K677" s="13">
        <f>IF(C677=Options!$B$9,B677*12,0)</f>
        <v/>
      </c>
      <c r="L677" s="13">
        <f>IF(C677=Options!$B$9,B677*Options!$Z$5,0)</f>
        <v/>
      </c>
      <c r="M677" s="13" t="n">
        <v>0</v>
      </c>
      <c r="N677" s="13">
        <f>SUM(E677:M677)</f>
        <v/>
      </c>
    </row>
    <row r="678">
      <c r="A678" s="5">
        <f>IF(AND(C678&gt;=Options!$B$9,C678&lt;=Options!$B$10),"Chicago","")</f>
        <v/>
      </c>
      <c r="B678" s="5">
        <f>IF(A678="","",24)</f>
        <v/>
      </c>
      <c r="C678" s="17" t="n">
        <v>46604</v>
      </c>
      <c r="D678" s="5">
        <f>IF(A678="","",IF(C678=DATE(2026,11,29),"培训；注册午餐；早餐参数",IF(C678=DATE(2026,11,30),"培训；注册午餐",IF(C678=DATE(2026,12,1),"培训；注册午餐；机构晚餐",IF(C678=Options!$B$9,"抵达；"&amp;IF(C678=DATE(2026,11,28),"机构晚餐","无统一供餐"),IF(C678=Options!$B$10,"返程；"&amp;IF(C678=DATE(2026,12,2),"机构午餐","无统一供餐"),"差旅状态；无统一日程"))))))</f>
        <v/>
      </c>
      <c r="E678" s="13">
        <f>IF(C678=Options!$B$9,Options!$C$15,0)</f>
        <v/>
      </c>
      <c r="F678" s="13">
        <f>IF(AND(A678&lt;&gt;"",C678&lt;Options!$B$10),B678*Options!$X$5,0)</f>
        <v/>
      </c>
      <c r="G678" s="13">
        <f>F678*12%</f>
        <v/>
      </c>
      <c r="H678" s="13">
        <f>IF(A678="",0,B678*(92*IF(OR(C678=Options!$B$9,C678=Options!$B$10),75%,100%)-IF(C678=DATE(2026,11,29),26+IF(Options!$B$8="是",23,0),0)-IF(C678=DATE(2026,11,30),26,0)-IF(C678=DATE(2026,12,1),64,0)-IF(C678=DATE(2026,11,28),38,0)-IF(C678=DATE(2026,12,2),26,0)))</f>
        <v/>
      </c>
      <c r="I678" s="13">
        <f>IF(AND(C678&gt;=DATE(2026,11,29),C678&lt;=DATE(2026,12,1)),B678*60,0)</f>
        <v/>
      </c>
      <c r="J678" s="13">
        <f>IF(A678="",0,B678*(IF(C678=DATE(2026,11,28),38,0)+IF(C678=DATE(2026,12,1),38,0)+IF(C678=DATE(2026,12,2),26,0)))</f>
        <v/>
      </c>
      <c r="K678" s="13">
        <f>IF(C678=Options!$B$9,B678*12,0)</f>
        <v/>
      </c>
      <c r="L678" s="13">
        <f>IF(C678=Options!$B$9,B678*Options!$Z$5,0)</f>
        <v/>
      </c>
      <c r="M678" s="13" t="n">
        <v>0</v>
      </c>
      <c r="N678" s="13">
        <f>SUM(E678:M678)</f>
        <v/>
      </c>
    </row>
    <row r="679">
      <c r="A679" s="5">
        <f>IF(AND(C679&gt;=Options!$B$9,C679&lt;=Options!$B$10),"Chicago","")</f>
        <v/>
      </c>
      <c r="B679" s="5">
        <f>IF(A679="","",24)</f>
        <v/>
      </c>
      <c r="C679" s="17" t="n">
        <v>46605</v>
      </c>
      <c r="D679" s="5">
        <f>IF(A679="","",IF(C679=DATE(2026,11,29),"培训；注册午餐；早餐参数",IF(C679=DATE(2026,11,30),"培训；注册午餐",IF(C679=DATE(2026,12,1),"培训；注册午餐；机构晚餐",IF(C679=Options!$B$9,"抵达；"&amp;IF(C679=DATE(2026,11,28),"机构晚餐","无统一供餐"),IF(C679=Options!$B$10,"返程；"&amp;IF(C679=DATE(2026,12,2),"机构午餐","无统一供餐"),"差旅状态；无统一日程"))))))</f>
        <v/>
      </c>
      <c r="E679" s="13">
        <f>IF(C679=Options!$B$9,Options!$C$15,0)</f>
        <v/>
      </c>
      <c r="F679" s="13">
        <f>IF(AND(A679&lt;&gt;"",C679&lt;Options!$B$10),B679*Options!$X$5,0)</f>
        <v/>
      </c>
      <c r="G679" s="13">
        <f>F679*12%</f>
        <v/>
      </c>
      <c r="H679" s="13">
        <f>IF(A679="",0,B679*(92*IF(OR(C679=Options!$B$9,C679=Options!$B$10),75%,100%)-IF(C679=DATE(2026,11,29),26+IF(Options!$B$8="是",23,0),0)-IF(C679=DATE(2026,11,30),26,0)-IF(C679=DATE(2026,12,1),64,0)-IF(C679=DATE(2026,11,28),38,0)-IF(C679=DATE(2026,12,2),26,0)))</f>
        <v/>
      </c>
      <c r="I679" s="13">
        <f>IF(AND(C679&gt;=DATE(2026,11,29),C679&lt;=DATE(2026,12,1)),B679*60,0)</f>
        <v/>
      </c>
      <c r="J679" s="13">
        <f>IF(A679="",0,B679*(IF(C679=DATE(2026,11,28),38,0)+IF(C679=DATE(2026,12,1),38,0)+IF(C679=DATE(2026,12,2),26,0)))</f>
        <v/>
      </c>
      <c r="K679" s="13">
        <f>IF(C679=Options!$B$9,B679*12,0)</f>
        <v/>
      </c>
      <c r="L679" s="13">
        <f>IF(C679=Options!$B$9,B679*Options!$Z$5,0)</f>
        <v/>
      </c>
      <c r="M679" s="13" t="n">
        <v>0</v>
      </c>
      <c r="N679" s="13">
        <f>SUM(E679:M679)</f>
        <v/>
      </c>
    </row>
    <row r="680">
      <c r="A680" s="5">
        <f>IF(AND(C680&gt;=Options!$B$9,C680&lt;=Options!$B$10),"Chicago","")</f>
        <v/>
      </c>
      <c r="B680" s="5">
        <f>IF(A680="","",24)</f>
        <v/>
      </c>
      <c r="C680" s="17" t="n">
        <v>46606</v>
      </c>
      <c r="D680" s="5">
        <f>IF(A680="","",IF(C680=DATE(2026,11,29),"培训；注册午餐；早餐参数",IF(C680=DATE(2026,11,30),"培训；注册午餐",IF(C680=DATE(2026,12,1),"培训；注册午餐；机构晚餐",IF(C680=Options!$B$9,"抵达；"&amp;IF(C680=DATE(2026,11,28),"机构晚餐","无统一供餐"),IF(C680=Options!$B$10,"返程；"&amp;IF(C680=DATE(2026,12,2),"机构午餐","无统一供餐"),"差旅状态；无统一日程"))))))</f>
        <v/>
      </c>
      <c r="E680" s="13">
        <f>IF(C680=Options!$B$9,Options!$C$15,0)</f>
        <v/>
      </c>
      <c r="F680" s="13">
        <f>IF(AND(A680&lt;&gt;"",C680&lt;Options!$B$10),B680*Options!$X$5,0)</f>
        <v/>
      </c>
      <c r="G680" s="13">
        <f>F680*12%</f>
        <v/>
      </c>
      <c r="H680" s="13">
        <f>IF(A680="",0,B680*(92*IF(OR(C680=Options!$B$9,C680=Options!$B$10),75%,100%)-IF(C680=DATE(2026,11,29),26+IF(Options!$B$8="是",23,0),0)-IF(C680=DATE(2026,11,30),26,0)-IF(C680=DATE(2026,12,1),64,0)-IF(C680=DATE(2026,11,28),38,0)-IF(C680=DATE(2026,12,2),26,0)))</f>
        <v/>
      </c>
      <c r="I680" s="13">
        <f>IF(AND(C680&gt;=DATE(2026,11,29),C680&lt;=DATE(2026,12,1)),B680*60,0)</f>
        <v/>
      </c>
      <c r="J680" s="13">
        <f>IF(A680="",0,B680*(IF(C680=DATE(2026,11,28),38,0)+IF(C680=DATE(2026,12,1),38,0)+IF(C680=DATE(2026,12,2),26,0)))</f>
        <v/>
      </c>
      <c r="K680" s="13">
        <f>IF(C680=Options!$B$9,B680*12,0)</f>
        <v/>
      </c>
      <c r="L680" s="13">
        <f>IF(C680=Options!$B$9,B680*Options!$Z$5,0)</f>
        <v/>
      </c>
      <c r="M680" s="13" t="n">
        <v>0</v>
      </c>
      <c r="N680" s="13">
        <f>SUM(E680:M680)</f>
        <v/>
      </c>
    </row>
    <row r="681">
      <c r="A681" s="5">
        <f>IF(AND(C681&gt;=Options!$B$9,C681&lt;=Options!$B$10),"Chicago","")</f>
        <v/>
      </c>
      <c r="B681" s="5">
        <f>IF(A681="","",24)</f>
        <v/>
      </c>
      <c r="C681" s="17" t="n">
        <v>46607</v>
      </c>
      <c r="D681" s="5">
        <f>IF(A681="","",IF(C681=DATE(2026,11,29),"培训；注册午餐；早餐参数",IF(C681=DATE(2026,11,30),"培训；注册午餐",IF(C681=DATE(2026,12,1),"培训；注册午餐；机构晚餐",IF(C681=Options!$B$9,"抵达；"&amp;IF(C681=DATE(2026,11,28),"机构晚餐","无统一供餐"),IF(C681=Options!$B$10,"返程；"&amp;IF(C681=DATE(2026,12,2),"机构午餐","无统一供餐"),"差旅状态；无统一日程"))))))</f>
        <v/>
      </c>
      <c r="E681" s="13">
        <f>IF(C681=Options!$B$9,Options!$C$15,0)</f>
        <v/>
      </c>
      <c r="F681" s="13">
        <f>IF(AND(A681&lt;&gt;"",C681&lt;Options!$B$10),B681*Options!$X$5,0)</f>
        <v/>
      </c>
      <c r="G681" s="13">
        <f>F681*12%</f>
        <v/>
      </c>
      <c r="H681" s="13">
        <f>IF(A681="",0,B681*(92*IF(OR(C681=Options!$B$9,C681=Options!$B$10),75%,100%)-IF(C681=DATE(2026,11,29),26+IF(Options!$B$8="是",23,0),0)-IF(C681=DATE(2026,11,30),26,0)-IF(C681=DATE(2026,12,1),64,0)-IF(C681=DATE(2026,11,28),38,0)-IF(C681=DATE(2026,12,2),26,0)))</f>
        <v/>
      </c>
      <c r="I681" s="13">
        <f>IF(AND(C681&gt;=DATE(2026,11,29),C681&lt;=DATE(2026,12,1)),B681*60,0)</f>
        <v/>
      </c>
      <c r="J681" s="13">
        <f>IF(A681="",0,B681*(IF(C681=DATE(2026,11,28),38,0)+IF(C681=DATE(2026,12,1),38,0)+IF(C681=DATE(2026,12,2),26,0)))</f>
        <v/>
      </c>
      <c r="K681" s="13">
        <f>IF(C681=Options!$B$9,B681*12,0)</f>
        <v/>
      </c>
      <c r="L681" s="13">
        <f>IF(C681=Options!$B$9,B681*Options!$Z$5,0)</f>
        <v/>
      </c>
      <c r="M681" s="13" t="n">
        <v>0</v>
      </c>
      <c r="N681" s="13">
        <f>SUM(E681:M681)</f>
        <v/>
      </c>
    </row>
    <row r="682">
      <c r="A682" s="5">
        <f>IF(AND(C682&gt;=Options!$B$9,C682&lt;=Options!$B$10),"Chicago","")</f>
        <v/>
      </c>
      <c r="B682" s="5">
        <f>IF(A682="","",24)</f>
        <v/>
      </c>
      <c r="C682" s="17" t="n">
        <v>46608</v>
      </c>
      <c r="D682" s="5">
        <f>IF(A682="","",IF(C682=DATE(2026,11,29),"培训；注册午餐；早餐参数",IF(C682=DATE(2026,11,30),"培训；注册午餐",IF(C682=DATE(2026,12,1),"培训；注册午餐；机构晚餐",IF(C682=Options!$B$9,"抵达；"&amp;IF(C682=DATE(2026,11,28),"机构晚餐","无统一供餐"),IF(C682=Options!$B$10,"返程；"&amp;IF(C682=DATE(2026,12,2),"机构午餐","无统一供餐"),"差旅状态；无统一日程"))))))</f>
        <v/>
      </c>
      <c r="E682" s="13">
        <f>IF(C682=Options!$B$9,Options!$C$15,0)</f>
        <v/>
      </c>
      <c r="F682" s="13">
        <f>IF(AND(A682&lt;&gt;"",C682&lt;Options!$B$10),B682*Options!$X$5,0)</f>
        <v/>
      </c>
      <c r="G682" s="13">
        <f>F682*12%</f>
        <v/>
      </c>
      <c r="H682" s="13">
        <f>IF(A682="",0,B682*(92*IF(OR(C682=Options!$B$9,C682=Options!$B$10),75%,100%)-IF(C682=DATE(2026,11,29),26+IF(Options!$B$8="是",23,0),0)-IF(C682=DATE(2026,11,30),26,0)-IF(C682=DATE(2026,12,1),64,0)-IF(C682=DATE(2026,11,28),38,0)-IF(C682=DATE(2026,12,2),26,0)))</f>
        <v/>
      </c>
      <c r="I682" s="13">
        <f>IF(AND(C682&gt;=DATE(2026,11,29),C682&lt;=DATE(2026,12,1)),B682*60,0)</f>
        <v/>
      </c>
      <c r="J682" s="13">
        <f>IF(A682="",0,B682*(IF(C682=DATE(2026,11,28),38,0)+IF(C682=DATE(2026,12,1),38,0)+IF(C682=DATE(2026,12,2),26,0)))</f>
        <v/>
      </c>
      <c r="K682" s="13">
        <f>IF(C682=Options!$B$9,B682*12,0)</f>
        <v/>
      </c>
      <c r="L682" s="13">
        <f>IF(C682=Options!$B$9,B682*Options!$Z$5,0)</f>
        <v/>
      </c>
      <c r="M682" s="13" t="n">
        <v>0</v>
      </c>
      <c r="N682" s="13">
        <f>SUM(E682:M682)</f>
        <v/>
      </c>
    </row>
    <row r="683">
      <c r="A683" s="5">
        <f>IF(AND(C683&gt;=Options!$B$9,C683&lt;=Options!$B$10),"Chicago","")</f>
        <v/>
      </c>
      <c r="B683" s="5">
        <f>IF(A683="","",24)</f>
        <v/>
      </c>
      <c r="C683" s="17" t="n">
        <v>46609</v>
      </c>
      <c r="D683" s="5">
        <f>IF(A683="","",IF(C683=DATE(2026,11,29),"培训；注册午餐；早餐参数",IF(C683=DATE(2026,11,30),"培训；注册午餐",IF(C683=DATE(2026,12,1),"培训；注册午餐；机构晚餐",IF(C683=Options!$B$9,"抵达；"&amp;IF(C683=DATE(2026,11,28),"机构晚餐","无统一供餐"),IF(C683=Options!$B$10,"返程；"&amp;IF(C683=DATE(2026,12,2),"机构午餐","无统一供餐"),"差旅状态；无统一日程"))))))</f>
        <v/>
      </c>
      <c r="E683" s="13">
        <f>IF(C683=Options!$B$9,Options!$C$15,0)</f>
        <v/>
      </c>
      <c r="F683" s="13">
        <f>IF(AND(A683&lt;&gt;"",C683&lt;Options!$B$10),B683*Options!$X$5,0)</f>
        <v/>
      </c>
      <c r="G683" s="13">
        <f>F683*12%</f>
        <v/>
      </c>
      <c r="H683" s="13">
        <f>IF(A683="",0,B683*(92*IF(OR(C683=Options!$B$9,C683=Options!$B$10),75%,100%)-IF(C683=DATE(2026,11,29),26+IF(Options!$B$8="是",23,0),0)-IF(C683=DATE(2026,11,30),26,0)-IF(C683=DATE(2026,12,1),64,0)-IF(C683=DATE(2026,11,28),38,0)-IF(C683=DATE(2026,12,2),26,0)))</f>
        <v/>
      </c>
      <c r="I683" s="13">
        <f>IF(AND(C683&gt;=DATE(2026,11,29),C683&lt;=DATE(2026,12,1)),B683*60,0)</f>
        <v/>
      </c>
      <c r="J683" s="13">
        <f>IF(A683="",0,B683*(IF(C683=DATE(2026,11,28),38,0)+IF(C683=DATE(2026,12,1),38,0)+IF(C683=DATE(2026,12,2),26,0)))</f>
        <v/>
      </c>
      <c r="K683" s="13">
        <f>IF(C683=Options!$B$9,B683*12,0)</f>
        <v/>
      </c>
      <c r="L683" s="13">
        <f>IF(C683=Options!$B$9,B683*Options!$Z$5,0)</f>
        <v/>
      </c>
      <c r="M683" s="13" t="n">
        <v>0</v>
      </c>
      <c r="N683" s="13">
        <f>SUM(E683:M683)</f>
        <v/>
      </c>
    </row>
    <row r="684">
      <c r="A684" s="5">
        <f>IF(AND(C684&gt;=Options!$B$9,C684&lt;=Options!$B$10),"Chicago","")</f>
        <v/>
      </c>
      <c r="B684" s="5">
        <f>IF(A684="","",24)</f>
        <v/>
      </c>
      <c r="C684" s="17" t="n">
        <v>46610</v>
      </c>
      <c r="D684" s="5">
        <f>IF(A684="","",IF(C684=DATE(2026,11,29),"培训；注册午餐；早餐参数",IF(C684=DATE(2026,11,30),"培训；注册午餐",IF(C684=DATE(2026,12,1),"培训；注册午餐；机构晚餐",IF(C684=Options!$B$9,"抵达；"&amp;IF(C684=DATE(2026,11,28),"机构晚餐","无统一供餐"),IF(C684=Options!$B$10,"返程；"&amp;IF(C684=DATE(2026,12,2),"机构午餐","无统一供餐"),"差旅状态；无统一日程"))))))</f>
        <v/>
      </c>
      <c r="E684" s="13">
        <f>IF(C684=Options!$B$9,Options!$C$15,0)</f>
        <v/>
      </c>
      <c r="F684" s="13">
        <f>IF(AND(A684&lt;&gt;"",C684&lt;Options!$B$10),B684*Options!$X$5,0)</f>
        <v/>
      </c>
      <c r="G684" s="13">
        <f>F684*12%</f>
        <v/>
      </c>
      <c r="H684" s="13">
        <f>IF(A684="",0,B684*(92*IF(OR(C684=Options!$B$9,C684=Options!$B$10),75%,100%)-IF(C684=DATE(2026,11,29),26+IF(Options!$B$8="是",23,0),0)-IF(C684=DATE(2026,11,30),26,0)-IF(C684=DATE(2026,12,1),64,0)-IF(C684=DATE(2026,11,28),38,0)-IF(C684=DATE(2026,12,2),26,0)))</f>
        <v/>
      </c>
      <c r="I684" s="13">
        <f>IF(AND(C684&gt;=DATE(2026,11,29),C684&lt;=DATE(2026,12,1)),B684*60,0)</f>
        <v/>
      </c>
      <c r="J684" s="13">
        <f>IF(A684="",0,B684*(IF(C684=DATE(2026,11,28),38,0)+IF(C684=DATE(2026,12,1),38,0)+IF(C684=DATE(2026,12,2),26,0)))</f>
        <v/>
      </c>
      <c r="K684" s="13">
        <f>IF(C684=Options!$B$9,B684*12,0)</f>
        <v/>
      </c>
      <c r="L684" s="13">
        <f>IF(C684=Options!$B$9,B684*Options!$Z$5,0)</f>
        <v/>
      </c>
      <c r="M684" s="13" t="n">
        <v>0</v>
      </c>
      <c r="N684" s="13">
        <f>SUM(E684:M684)</f>
        <v/>
      </c>
    </row>
    <row r="685">
      <c r="A685" s="5">
        <f>IF(AND(C685&gt;=Options!$B$9,C685&lt;=Options!$B$10),"Chicago","")</f>
        <v/>
      </c>
      <c r="B685" s="5">
        <f>IF(A685="","",24)</f>
        <v/>
      </c>
      <c r="C685" s="17" t="n">
        <v>46611</v>
      </c>
      <c r="D685" s="5">
        <f>IF(A685="","",IF(C685=DATE(2026,11,29),"培训；注册午餐；早餐参数",IF(C685=DATE(2026,11,30),"培训；注册午餐",IF(C685=DATE(2026,12,1),"培训；注册午餐；机构晚餐",IF(C685=Options!$B$9,"抵达；"&amp;IF(C685=DATE(2026,11,28),"机构晚餐","无统一供餐"),IF(C685=Options!$B$10,"返程；"&amp;IF(C685=DATE(2026,12,2),"机构午餐","无统一供餐"),"差旅状态；无统一日程"))))))</f>
        <v/>
      </c>
      <c r="E685" s="13">
        <f>IF(C685=Options!$B$9,Options!$C$15,0)</f>
        <v/>
      </c>
      <c r="F685" s="13">
        <f>IF(AND(A685&lt;&gt;"",C685&lt;Options!$B$10),B685*Options!$X$5,0)</f>
        <v/>
      </c>
      <c r="G685" s="13">
        <f>F685*12%</f>
        <v/>
      </c>
      <c r="H685" s="13">
        <f>IF(A685="",0,B685*(92*IF(OR(C685=Options!$B$9,C685=Options!$B$10),75%,100%)-IF(C685=DATE(2026,11,29),26+IF(Options!$B$8="是",23,0),0)-IF(C685=DATE(2026,11,30),26,0)-IF(C685=DATE(2026,12,1),64,0)-IF(C685=DATE(2026,11,28),38,0)-IF(C685=DATE(2026,12,2),26,0)))</f>
        <v/>
      </c>
      <c r="I685" s="13">
        <f>IF(AND(C685&gt;=DATE(2026,11,29),C685&lt;=DATE(2026,12,1)),B685*60,0)</f>
        <v/>
      </c>
      <c r="J685" s="13">
        <f>IF(A685="",0,B685*(IF(C685=DATE(2026,11,28),38,0)+IF(C685=DATE(2026,12,1),38,0)+IF(C685=DATE(2026,12,2),26,0)))</f>
        <v/>
      </c>
      <c r="K685" s="13">
        <f>IF(C685=Options!$B$9,B685*12,0)</f>
        <v/>
      </c>
      <c r="L685" s="13">
        <f>IF(C685=Options!$B$9,B685*Options!$Z$5,0)</f>
        <v/>
      </c>
      <c r="M685" s="13" t="n">
        <v>0</v>
      </c>
      <c r="N685" s="13">
        <f>SUM(E685:M685)</f>
        <v/>
      </c>
    </row>
    <row r="686">
      <c r="A686" s="5">
        <f>IF(AND(C686&gt;=Options!$B$9,C686&lt;=Options!$B$10),"Chicago","")</f>
        <v/>
      </c>
      <c r="B686" s="5">
        <f>IF(A686="","",24)</f>
        <v/>
      </c>
      <c r="C686" s="17" t="n">
        <v>46612</v>
      </c>
      <c r="D686" s="5">
        <f>IF(A686="","",IF(C686=DATE(2026,11,29),"培训；注册午餐；早餐参数",IF(C686=DATE(2026,11,30),"培训；注册午餐",IF(C686=DATE(2026,12,1),"培训；注册午餐；机构晚餐",IF(C686=Options!$B$9,"抵达；"&amp;IF(C686=DATE(2026,11,28),"机构晚餐","无统一供餐"),IF(C686=Options!$B$10,"返程；"&amp;IF(C686=DATE(2026,12,2),"机构午餐","无统一供餐"),"差旅状态；无统一日程"))))))</f>
        <v/>
      </c>
      <c r="E686" s="13">
        <f>IF(C686=Options!$B$9,Options!$C$15,0)</f>
        <v/>
      </c>
      <c r="F686" s="13">
        <f>IF(AND(A686&lt;&gt;"",C686&lt;Options!$B$10),B686*Options!$X$5,0)</f>
        <v/>
      </c>
      <c r="G686" s="13">
        <f>F686*12%</f>
        <v/>
      </c>
      <c r="H686" s="13">
        <f>IF(A686="",0,B686*(92*IF(OR(C686=Options!$B$9,C686=Options!$B$10),75%,100%)-IF(C686=DATE(2026,11,29),26+IF(Options!$B$8="是",23,0),0)-IF(C686=DATE(2026,11,30),26,0)-IF(C686=DATE(2026,12,1),64,0)-IF(C686=DATE(2026,11,28),38,0)-IF(C686=DATE(2026,12,2),26,0)))</f>
        <v/>
      </c>
      <c r="I686" s="13">
        <f>IF(AND(C686&gt;=DATE(2026,11,29),C686&lt;=DATE(2026,12,1)),B686*60,0)</f>
        <v/>
      </c>
      <c r="J686" s="13">
        <f>IF(A686="",0,B686*(IF(C686=DATE(2026,11,28),38,0)+IF(C686=DATE(2026,12,1),38,0)+IF(C686=DATE(2026,12,2),26,0)))</f>
        <v/>
      </c>
      <c r="K686" s="13">
        <f>IF(C686=Options!$B$9,B686*12,0)</f>
        <v/>
      </c>
      <c r="L686" s="13">
        <f>IF(C686=Options!$B$9,B686*Options!$Z$5,0)</f>
        <v/>
      </c>
      <c r="M686" s="13" t="n">
        <v>0</v>
      </c>
      <c r="N686" s="13">
        <f>SUM(E686:M686)</f>
        <v/>
      </c>
    </row>
    <row r="687">
      <c r="A687" s="5">
        <f>IF(AND(C687&gt;=Options!$B$9,C687&lt;=Options!$B$10),"Chicago","")</f>
        <v/>
      </c>
      <c r="B687" s="5">
        <f>IF(A687="","",24)</f>
        <v/>
      </c>
      <c r="C687" s="17" t="n">
        <v>46613</v>
      </c>
      <c r="D687" s="5">
        <f>IF(A687="","",IF(C687=DATE(2026,11,29),"培训；注册午餐；早餐参数",IF(C687=DATE(2026,11,30),"培训；注册午餐",IF(C687=DATE(2026,12,1),"培训；注册午餐；机构晚餐",IF(C687=Options!$B$9,"抵达；"&amp;IF(C687=DATE(2026,11,28),"机构晚餐","无统一供餐"),IF(C687=Options!$B$10,"返程；"&amp;IF(C687=DATE(2026,12,2),"机构午餐","无统一供餐"),"差旅状态；无统一日程"))))))</f>
        <v/>
      </c>
      <c r="E687" s="13">
        <f>IF(C687=Options!$B$9,Options!$C$15,0)</f>
        <v/>
      </c>
      <c r="F687" s="13">
        <f>IF(AND(A687&lt;&gt;"",C687&lt;Options!$B$10),B687*Options!$X$5,0)</f>
        <v/>
      </c>
      <c r="G687" s="13">
        <f>F687*12%</f>
        <v/>
      </c>
      <c r="H687" s="13">
        <f>IF(A687="",0,B687*(92*IF(OR(C687=Options!$B$9,C687=Options!$B$10),75%,100%)-IF(C687=DATE(2026,11,29),26+IF(Options!$B$8="是",23,0),0)-IF(C687=DATE(2026,11,30),26,0)-IF(C687=DATE(2026,12,1),64,0)-IF(C687=DATE(2026,11,28),38,0)-IF(C687=DATE(2026,12,2),26,0)))</f>
        <v/>
      </c>
      <c r="I687" s="13">
        <f>IF(AND(C687&gt;=DATE(2026,11,29),C687&lt;=DATE(2026,12,1)),B687*60,0)</f>
        <v/>
      </c>
      <c r="J687" s="13">
        <f>IF(A687="",0,B687*(IF(C687=DATE(2026,11,28),38,0)+IF(C687=DATE(2026,12,1),38,0)+IF(C687=DATE(2026,12,2),26,0)))</f>
        <v/>
      </c>
      <c r="K687" s="13">
        <f>IF(C687=Options!$B$9,B687*12,0)</f>
        <v/>
      </c>
      <c r="L687" s="13">
        <f>IF(C687=Options!$B$9,B687*Options!$Z$5,0)</f>
        <v/>
      </c>
      <c r="M687" s="13" t="n">
        <v>0</v>
      </c>
      <c r="N687" s="13">
        <f>SUM(E687:M687)</f>
        <v/>
      </c>
    </row>
    <row r="688">
      <c r="A688" s="5">
        <f>IF(AND(C688&gt;=Options!$B$9,C688&lt;=Options!$B$10),"Chicago","")</f>
        <v/>
      </c>
      <c r="B688" s="5">
        <f>IF(A688="","",24)</f>
        <v/>
      </c>
      <c r="C688" s="17" t="n">
        <v>46614</v>
      </c>
      <c r="D688" s="5">
        <f>IF(A688="","",IF(C688=DATE(2026,11,29),"培训；注册午餐；早餐参数",IF(C688=DATE(2026,11,30),"培训；注册午餐",IF(C688=DATE(2026,12,1),"培训；注册午餐；机构晚餐",IF(C688=Options!$B$9,"抵达；"&amp;IF(C688=DATE(2026,11,28),"机构晚餐","无统一供餐"),IF(C688=Options!$B$10,"返程；"&amp;IF(C688=DATE(2026,12,2),"机构午餐","无统一供餐"),"差旅状态；无统一日程"))))))</f>
        <v/>
      </c>
      <c r="E688" s="13">
        <f>IF(C688=Options!$B$9,Options!$C$15,0)</f>
        <v/>
      </c>
      <c r="F688" s="13">
        <f>IF(AND(A688&lt;&gt;"",C688&lt;Options!$B$10),B688*Options!$X$5,0)</f>
        <v/>
      </c>
      <c r="G688" s="13">
        <f>F688*12%</f>
        <v/>
      </c>
      <c r="H688" s="13">
        <f>IF(A688="",0,B688*(92*IF(OR(C688=Options!$B$9,C688=Options!$B$10),75%,100%)-IF(C688=DATE(2026,11,29),26+IF(Options!$B$8="是",23,0),0)-IF(C688=DATE(2026,11,30),26,0)-IF(C688=DATE(2026,12,1),64,0)-IF(C688=DATE(2026,11,28),38,0)-IF(C688=DATE(2026,12,2),26,0)))</f>
        <v/>
      </c>
      <c r="I688" s="13">
        <f>IF(AND(C688&gt;=DATE(2026,11,29),C688&lt;=DATE(2026,12,1)),B688*60,0)</f>
        <v/>
      </c>
      <c r="J688" s="13">
        <f>IF(A688="",0,B688*(IF(C688=DATE(2026,11,28),38,0)+IF(C688=DATE(2026,12,1),38,0)+IF(C688=DATE(2026,12,2),26,0)))</f>
        <v/>
      </c>
      <c r="K688" s="13">
        <f>IF(C688=Options!$B$9,B688*12,0)</f>
        <v/>
      </c>
      <c r="L688" s="13">
        <f>IF(C688=Options!$B$9,B688*Options!$Z$5,0)</f>
        <v/>
      </c>
      <c r="M688" s="13" t="n">
        <v>0</v>
      </c>
      <c r="N688" s="13">
        <f>SUM(E688:M688)</f>
        <v/>
      </c>
    </row>
    <row r="689">
      <c r="A689" s="5">
        <f>IF(AND(C689&gt;=Options!$B$9,C689&lt;=Options!$B$10),"Chicago","")</f>
        <v/>
      </c>
      <c r="B689" s="5">
        <f>IF(A689="","",24)</f>
        <v/>
      </c>
      <c r="C689" s="17" t="n">
        <v>46615</v>
      </c>
      <c r="D689" s="5">
        <f>IF(A689="","",IF(C689=DATE(2026,11,29),"培训；注册午餐；早餐参数",IF(C689=DATE(2026,11,30),"培训；注册午餐",IF(C689=DATE(2026,12,1),"培训；注册午餐；机构晚餐",IF(C689=Options!$B$9,"抵达；"&amp;IF(C689=DATE(2026,11,28),"机构晚餐","无统一供餐"),IF(C689=Options!$B$10,"返程；"&amp;IF(C689=DATE(2026,12,2),"机构午餐","无统一供餐"),"差旅状态；无统一日程"))))))</f>
        <v/>
      </c>
      <c r="E689" s="13">
        <f>IF(C689=Options!$B$9,Options!$C$15,0)</f>
        <v/>
      </c>
      <c r="F689" s="13">
        <f>IF(AND(A689&lt;&gt;"",C689&lt;Options!$B$10),B689*Options!$X$5,0)</f>
        <v/>
      </c>
      <c r="G689" s="13">
        <f>F689*12%</f>
        <v/>
      </c>
      <c r="H689" s="13">
        <f>IF(A689="",0,B689*(92*IF(OR(C689=Options!$B$9,C689=Options!$B$10),75%,100%)-IF(C689=DATE(2026,11,29),26+IF(Options!$B$8="是",23,0),0)-IF(C689=DATE(2026,11,30),26,0)-IF(C689=DATE(2026,12,1),64,0)-IF(C689=DATE(2026,11,28),38,0)-IF(C689=DATE(2026,12,2),26,0)))</f>
        <v/>
      </c>
      <c r="I689" s="13">
        <f>IF(AND(C689&gt;=DATE(2026,11,29),C689&lt;=DATE(2026,12,1)),B689*60,0)</f>
        <v/>
      </c>
      <c r="J689" s="13">
        <f>IF(A689="",0,B689*(IF(C689=DATE(2026,11,28),38,0)+IF(C689=DATE(2026,12,1),38,0)+IF(C689=DATE(2026,12,2),26,0)))</f>
        <v/>
      </c>
      <c r="K689" s="13">
        <f>IF(C689=Options!$B$9,B689*12,0)</f>
        <v/>
      </c>
      <c r="L689" s="13">
        <f>IF(C689=Options!$B$9,B689*Options!$Z$5,0)</f>
        <v/>
      </c>
      <c r="M689" s="13" t="n">
        <v>0</v>
      </c>
      <c r="N689" s="13">
        <f>SUM(E689:M689)</f>
        <v/>
      </c>
    </row>
    <row r="690">
      <c r="A690" s="5">
        <f>IF(AND(C690&gt;=Options!$B$9,C690&lt;=Options!$B$10),"Chicago","")</f>
        <v/>
      </c>
      <c r="B690" s="5">
        <f>IF(A690="","",24)</f>
        <v/>
      </c>
      <c r="C690" s="17" t="n">
        <v>46616</v>
      </c>
      <c r="D690" s="5">
        <f>IF(A690="","",IF(C690=DATE(2026,11,29),"培训；注册午餐；早餐参数",IF(C690=DATE(2026,11,30),"培训；注册午餐",IF(C690=DATE(2026,12,1),"培训；注册午餐；机构晚餐",IF(C690=Options!$B$9,"抵达；"&amp;IF(C690=DATE(2026,11,28),"机构晚餐","无统一供餐"),IF(C690=Options!$B$10,"返程；"&amp;IF(C690=DATE(2026,12,2),"机构午餐","无统一供餐"),"差旅状态；无统一日程"))))))</f>
        <v/>
      </c>
      <c r="E690" s="13">
        <f>IF(C690=Options!$B$9,Options!$C$15,0)</f>
        <v/>
      </c>
      <c r="F690" s="13">
        <f>IF(AND(A690&lt;&gt;"",C690&lt;Options!$B$10),B690*Options!$X$5,0)</f>
        <v/>
      </c>
      <c r="G690" s="13">
        <f>F690*12%</f>
        <v/>
      </c>
      <c r="H690" s="13">
        <f>IF(A690="",0,B690*(92*IF(OR(C690=Options!$B$9,C690=Options!$B$10),75%,100%)-IF(C690=DATE(2026,11,29),26+IF(Options!$B$8="是",23,0),0)-IF(C690=DATE(2026,11,30),26,0)-IF(C690=DATE(2026,12,1),64,0)-IF(C690=DATE(2026,11,28),38,0)-IF(C690=DATE(2026,12,2),26,0)))</f>
        <v/>
      </c>
      <c r="I690" s="13">
        <f>IF(AND(C690&gt;=DATE(2026,11,29),C690&lt;=DATE(2026,12,1)),B690*60,0)</f>
        <v/>
      </c>
      <c r="J690" s="13">
        <f>IF(A690="",0,B690*(IF(C690=DATE(2026,11,28),38,0)+IF(C690=DATE(2026,12,1),38,0)+IF(C690=DATE(2026,12,2),26,0)))</f>
        <v/>
      </c>
      <c r="K690" s="13">
        <f>IF(C690=Options!$B$9,B690*12,0)</f>
        <v/>
      </c>
      <c r="L690" s="13">
        <f>IF(C690=Options!$B$9,B690*Options!$Z$5,0)</f>
        <v/>
      </c>
      <c r="M690" s="13" t="n">
        <v>0</v>
      </c>
      <c r="N690" s="13">
        <f>SUM(E690:M690)</f>
        <v/>
      </c>
    </row>
    <row r="691">
      <c r="A691" s="5">
        <f>IF(AND(C691&gt;=Options!$B$9,C691&lt;=Options!$B$10),"Chicago","")</f>
        <v/>
      </c>
      <c r="B691" s="5">
        <f>IF(A691="","",24)</f>
        <v/>
      </c>
      <c r="C691" s="17" t="n">
        <v>46617</v>
      </c>
      <c r="D691" s="5">
        <f>IF(A691="","",IF(C691=DATE(2026,11,29),"培训；注册午餐；早餐参数",IF(C691=DATE(2026,11,30),"培训；注册午餐",IF(C691=DATE(2026,12,1),"培训；注册午餐；机构晚餐",IF(C691=Options!$B$9,"抵达；"&amp;IF(C691=DATE(2026,11,28),"机构晚餐","无统一供餐"),IF(C691=Options!$B$10,"返程；"&amp;IF(C691=DATE(2026,12,2),"机构午餐","无统一供餐"),"差旅状态；无统一日程"))))))</f>
        <v/>
      </c>
      <c r="E691" s="13">
        <f>IF(C691=Options!$B$9,Options!$C$15,0)</f>
        <v/>
      </c>
      <c r="F691" s="13">
        <f>IF(AND(A691&lt;&gt;"",C691&lt;Options!$B$10),B691*Options!$X$5,0)</f>
        <v/>
      </c>
      <c r="G691" s="13">
        <f>F691*12%</f>
        <v/>
      </c>
      <c r="H691" s="13">
        <f>IF(A691="",0,B691*(92*IF(OR(C691=Options!$B$9,C691=Options!$B$10),75%,100%)-IF(C691=DATE(2026,11,29),26+IF(Options!$B$8="是",23,0),0)-IF(C691=DATE(2026,11,30),26,0)-IF(C691=DATE(2026,12,1),64,0)-IF(C691=DATE(2026,11,28),38,0)-IF(C691=DATE(2026,12,2),26,0)))</f>
        <v/>
      </c>
      <c r="I691" s="13">
        <f>IF(AND(C691&gt;=DATE(2026,11,29),C691&lt;=DATE(2026,12,1)),B691*60,0)</f>
        <v/>
      </c>
      <c r="J691" s="13">
        <f>IF(A691="",0,B691*(IF(C691=DATE(2026,11,28),38,0)+IF(C691=DATE(2026,12,1),38,0)+IF(C691=DATE(2026,12,2),26,0)))</f>
        <v/>
      </c>
      <c r="K691" s="13">
        <f>IF(C691=Options!$B$9,B691*12,0)</f>
        <v/>
      </c>
      <c r="L691" s="13">
        <f>IF(C691=Options!$B$9,B691*Options!$Z$5,0)</f>
        <v/>
      </c>
      <c r="M691" s="13" t="n">
        <v>0</v>
      </c>
      <c r="N691" s="13">
        <f>SUM(E691:M691)</f>
        <v/>
      </c>
    </row>
    <row r="692">
      <c r="A692" s="5">
        <f>IF(AND(C692&gt;=Options!$B$9,C692&lt;=Options!$B$10),"Chicago","")</f>
        <v/>
      </c>
      <c r="B692" s="5">
        <f>IF(A692="","",24)</f>
        <v/>
      </c>
      <c r="C692" s="17" t="n">
        <v>46618</v>
      </c>
      <c r="D692" s="5">
        <f>IF(A692="","",IF(C692=DATE(2026,11,29),"培训；注册午餐；早餐参数",IF(C692=DATE(2026,11,30),"培训；注册午餐",IF(C692=DATE(2026,12,1),"培训；注册午餐；机构晚餐",IF(C692=Options!$B$9,"抵达；"&amp;IF(C692=DATE(2026,11,28),"机构晚餐","无统一供餐"),IF(C692=Options!$B$10,"返程；"&amp;IF(C692=DATE(2026,12,2),"机构午餐","无统一供餐"),"差旅状态；无统一日程"))))))</f>
        <v/>
      </c>
      <c r="E692" s="13">
        <f>IF(C692=Options!$B$9,Options!$C$15,0)</f>
        <v/>
      </c>
      <c r="F692" s="13">
        <f>IF(AND(A692&lt;&gt;"",C692&lt;Options!$B$10),B692*Options!$X$5,0)</f>
        <v/>
      </c>
      <c r="G692" s="13">
        <f>F692*12%</f>
        <v/>
      </c>
      <c r="H692" s="13">
        <f>IF(A692="",0,B692*(92*IF(OR(C692=Options!$B$9,C692=Options!$B$10),75%,100%)-IF(C692=DATE(2026,11,29),26+IF(Options!$B$8="是",23,0),0)-IF(C692=DATE(2026,11,30),26,0)-IF(C692=DATE(2026,12,1),64,0)-IF(C692=DATE(2026,11,28),38,0)-IF(C692=DATE(2026,12,2),26,0)))</f>
        <v/>
      </c>
      <c r="I692" s="13">
        <f>IF(AND(C692&gt;=DATE(2026,11,29),C692&lt;=DATE(2026,12,1)),B692*60,0)</f>
        <v/>
      </c>
      <c r="J692" s="13">
        <f>IF(A692="",0,B692*(IF(C692=DATE(2026,11,28),38,0)+IF(C692=DATE(2026,12,1),38,0)+IF(C692=DATE(2026,12,2),26,0)))</f>
        <v/>
      </c>
      <c r="K692" s="13">
        <f>IF(C692=Options!$B$9,B692*12,0)</f>
        <v/>
      </c>
      <c r="L692" s="13">
        <f>IF(C692=Options!$B$9,B692*Options!$Z$5,0)</f>
        <v/>
      </c>
      <c r="M692" s="13" t="n">
        <v>0</v>
      </c>
      <c r="N692" s="13">
        <f>SUM(E692:M692)</f>
        <v/>
      </c>
    </row>
    <row r="693">
      <c r="A693" s="5">
        <f>IF(AND(C693&gt;=Options!$B$9,C693&lt;=Options!$B$10),"Chicago","")</f>
        <v/>
      </c>
      <c r="B693" s="5">
        <f>IF(A693="","",24)</f>
        <v/>
      </c>
      <c r="C693" s="17" t="n">
        <v>46619</v>
      </c>
      <c r="D693" s="5">
        <f>IF(A693="","",IF(C693=DATE(2026,11,29),"培训；注册午餐；早餐参数",IF(C693=DATE(2026,11,30),"培训；注册午餐",IF(C693=DATE(2026,12,1),"培训；注册午餐；机构晚餐",IF(C693=Options!$B$9,"抵达；"&amp;IF(C693=DATE(2026,11,28),"机构晚餐","无统一供餐"),IF(C693=Options!$B$10,"返程；"&amp;IF(C693=DATE(2026,12,2),"机构午餐","无统一供餐"),"差旅状态；无统一日程"))))))</f>
        <v/>
      </c>
      <c r="E693" s="13">
        <f>IF(C693=Options!$B$9,Options!$C$15,0)</f>
        <v/>
      </c>
      <c r="F693" s="13">
        <f>IF(AND(A693&lt;&gt;"",C693&lt;Options!$B$10),B693*Options!$X$5,0)</f>
        <v/>
      </c>
      <c r="G693" s="13">
        <f>F693*12%</f>
        <v/>
      </c>
      <c r="H693" s="13">
        <f>IF(A693="",0,B693*(92*IF(OR(C693=Options!$B$9,C693=Options!$B$10),75%,100%)-IF(C693=DATE(2026,11,29),26+IF(Options!$B$8="是",23,0),0)-IF(C693=DATE(2026,11,30),26,0)-IF(C693=DATE(2026,12,1),64,0)-IF(C693=DATE(2026,11,28),38,0)-IF(C693=DATE(2026,12,2),26,0)))</f>
        <v/>
      </c>
      <c r="I693" s="13">
        <f>IF(AND(C693&gt;=DATE(2026,11,29),C693&lt;=DATE(2026,12,1)),B693*60,0)</f>
        <v/>
      </c>
      <c r="J693" s="13">
        <f>IF(A693="",0,B693*(IF(C693=DATE(2026,11,28),38,0)+IF(C693=DATE(2026,12,1),38,0)+IF(C693=DATE(2026,12,2),26,0)))</f>
        <v/>
      </c>
      <c r="K693" s="13">
        <f>IF(C693=Options!$B$9,B693*12,0)</f>
        <v/>
      </c>
      <c r="L693" s="13">
        <f>IF(C693=Options!$B$9,B693*Options!$Z$5,0)</f>
        <v/>
      </c>
      <c r="M693" s="13" t="n">
        <v>0</v>
      </c>
      <c r="N693" s="13">
        <f>SUM(E693:M693)</f>
        <v/>
      </c>
    </row>
    <row r="694">
      <c r="A694" s="5">
        <f>IF(AND(C694&gt;=Options!$B$9,C694&lt;=Options!$B$10),"Chicago","")</f>
        <v/>
      </c>
      <c r="B694" s="5">
        <f>IF(A694="","",24)</f>
        <v/>
      </c>
      <c r="C694" s="17" t="n">
        <v>46620</v>
      </c>
      <c r="D694" s="5">
        <f>IF(A694="","",IF(C694=DATE(2026,11,29),"培训；注册午餐；早餐参数",IF(C694=DATE(2026,11,30),"培训；注册午餐",IF(C694=DATE(2026,12,1),"培训；注册午餐；机构晚餐",IF(C694=Options!$B$9,"抵达；"&amp;IF(C694=DATE(2026,11,28),"机构晚餐","无统一供餐"),IF(C694=Options!$B$10,"返程；"&amp;IF(C694=DATE(2026,12,2),"机构午餐","无统一供餐"),"差旅状态；无统一日程"))))))</f>
        <v/>
      </c>
      <c r="E694" s="13">
        <f>IF(C694=Options!$B$9,Options!$C$15,0)</f>
        <v/>
      </c>
      <c r="F694" s="13">
        <f>IF(AND(A694&lt;&gt;"",C694&lt;Options!$B$10),B694*Options!$X$5,0)</f>
        <v/>
      </c>
      <c r="G694" s="13">
        <f>F694*12%</f>
        <v/>
      </c>
      <c r="H694" s="13">
        <f>IF(A694="",0,B694*(92*IF(OR(C694=Options!$B$9,C694=Options!$B$10),75%,100%)-IF(C694=DATE(2026,11,29),26+IF(Options!$B$8="是",23,0),0)-IF(C694=DATE(2026,11,30),26,0)-IF(C694=DATE(2026,12,1),64,0)-IF(C694=DATE(2026,11,28),38,0)-IF(C694=DATE(2026,12,2),26,0)))</f>
        <v/>
      </c>
      <c r="I694" s="13">
        <f>IF(AND(C694&gt;=DATE(2026,11,29),C694&lt;=DATE(2026,12,1)),B694*60,0)</f>
        <v/>
      </c>
      <c r="J694" s="13">
        <f>IF(A694="",0,B694*(IF(C694=DATE(2026,11,28),38,0)+IF(C694=DATE(2026,12,1),38,0)+IF(C694=DATE(2026,12,2),26,0)))</f>
        <v/>
      </c>
      <c r="K694" s="13">
        <f>IF(C694=Options!$B$9,B694*12,0)</f>
        <v/>
      </c>
      <c r="L694" s="13">
        <f>IF(C694=Options!$B$9,B694*Options!$Z$5,0)</f>
        <v/>
      </c>
      <c r="M694" s="13" t="n">
        <v>0</v>
      </c>
      <c r="N694" s="13">
        <f>SUM(E694:M694)</f>
        <v/>
      </c>
    </row>
    <row r="695">
      <c r="A695" s="5">
        <f>IF(AND(C695&gt;=Options!$B$9,C695&lt;=Options!$B$10),"Chicago","")</f>
        <v/>
      </c>
      <c r="B695" s="5">
        <f>IF(A695="","",24)</f>
        <v/>
      </c>
      <c r="C695" s="17" t="n">
        <v>46621</v>
      </c>
      <c r="D695" s="5">
        <f>IF(A695="","",IF(C695=DATE(2026,11,29),"培训；注册午餐；早餐参数",IF(C695=DATE(2026,11,30),"培训；注册午餐",IF(C695=DATE(2026,12,1),"培训；注册午餐；机构晚餐",IF(C695=Options!$B$9,"抵达；"&amp;IF(C695=DATE(2026,11,28),"机构晚餐","无统一供餐"),IF(C695=Options!$B$10,"返程；"&amp;IF(C695=DATE(2026,12,2),"机构午餐","无统一供餐"),"差旅状态；无统一日程"))))))</f>
        <v/>
      </c>
      <c r="E695" s="13">
        <f>IF(C695=Options!$B$9,Options!$C$15,0)</f>
        <v/>
      </c>
      <c r="F695" s="13">
        <f>IF(AND(A695&lt;&gt;"",C695&lt;Options!$B$10),B695*Options!$X$5,0)</f>
        <v/>
      </c>
      <c r="G695" s="13">
        <f>F695*12%</f>
        <v/>
      </c>
      <c r="H695" s="13">
        <f>IF(A695="",0,B695*(92*IF(OR(C695=Options!$B$9,C695=Options!$B$10),75%,100%)-IF(C695=DATE(2026,11,29),26+IF(Options!$B$8="是",23,0),0)-IF(C695=DATE(2026,11,30),26,0)-IF(C695=DATE(2026,12,1),64,0)-IF(C695=DATE(2026,11,28),38,0)-IF(C695=DATE(2026,12,2),26,0)))</f>
        <v/>
      </c>
      <c r="I695" s="13">
        <f>IF(AND(C695&gt;=DATE(2026,11,29),C695&lt;=DATE(2026,12,1)),B695*60,0)</f>
        <v/>
      </c>
      <c r="J695" s="13">
        <f>IF(A695="",0,B695*(IF(C695=DATE(2026,11,28),38,0)+IF(C695=DATE(2026,12,1),38,0)+IF(C695=DATE(2026,12,2),26,0)))</f>
        <v/>
      </c>
      <c r="K695" s="13">
        <f>IF(C695=Options!$B$9,B695*12,0)</f>
        <v/>
      </c>
      <c r="L695" s="13">
        <f>IF(C695=Options!$B$9,B695*Options!$Z$5,0)</f>
        <v/>
      </c>
      <c r="M695" s="13" t="n">
        <v>0</v>
      </c>
      <c r="N695" s="13">
        <f>SUM(E695:M695)</f>
        <v/>
      </c>
    </row>
    <row r="696">
      <c r="A696" s="5">
        <f>IF(AND(C696&gt;=Options!$B$9,C696&lt;=Options!$B$10),"Chicago","")</f>
        <v/>
      </c>
      <c r="B696" s="5">
        <f>IF(A696="","",24)</f>
        <v/>
      </c>
      <c r="C696" s="17" t="n">
        <v>46622</v>
      </c>
      <c r="D696" s="5">
        <f>IF(A696="","",IF(C696=DATE(2026,11,29),"培训；注册午餐；早餐参数",IF(C696=DATE(2026,11,30),"培训；注册午餐",IF(C696=DATE(2026,12,1),"培训；注册午餐；机构晚餐",IF(C696=Options!$B$9,"抵达；"&amp;IF(C696=DATE(2026,11,28),"机构晚餐","无统一供餐"),IF(C696=Options!$B$10,"返程；"&amp;IF(C696=DATE(2026,12,2),"机构午餐","无统一供餐"),"差旅状态；无统一日程"))))))</f>
        <v/>
      </c>
      <c r="E696" s="13">
        <f>IF(C696=Options!$B$9,Options!$C$15,0)</f>
        <v/>
      </c>
      <c r="F696" s="13">
        <f>IF(AND(A696&lt;&gt;"",C696&lt;Options!$B$10),B696*Options!$X$5,0)</f>
        <v/>
      </c>
      <c r="G696" s="13">
        <f>F696*12%</f>
        <v/>
      </c>
      <c r="H696" s="13">
        <f>IF(A696="",0,B696*(92*IF(OR(C696=Options!$B$9,C696=Options!$B$10),75%,100%)-IF(C696=DATE(2026,11,29),26+IF(Options!$B$8="是",23,0),0)-IF(C696=DATE(2026,11,30),26,0)-IF(C696=DATE(2026,12,1),64,0)-IF(C696=DATE(2026,11,28),38,0)-IF(C696=DATE(2026,12,2),26,0)))</f>
        <v/>
      </c>
      <c r="I696" s="13">
        <f>IF(AND(C696&gt;=DATE(2026,11,29),C696&lt;=DATE(2026,12,1)),B696*60,0)</f>
        <v/>
      </c>
      <c r="J696" s="13">
        <f>IF(A696="",0,B696*(IF(C696=DATE(2026,11,28),38,0)+IF(C696=DATE(2026,12,1),38,0)+IF(C696=DATE(2026,12,2),26,0)))</f>
        <v/>
      </c>
      <c r="K696" s="13">
        <f>IF(C696=Options!$B$9,B696*12,0)</f>
        <v/>
      </c>
      <c r="L696" s="13">
        <f>IF(C696=Options!$B$9,B696*Options!$Z$5,0)</f>
        <v/>
      </c>
      <c r="M696" s="13" t="n">
        <v>0</v>
      </c>
      <c r="N696" s="13">
        <f>SUM(E696:M696)</f>
        <v/>
      </c>
    </row>
    <row r="697">
      <c r="A697" s="5">
        <f>IF(AND(C697&gt;=Options!$B$9,C697&lt;=Options!$B$10),"Chicago","")</f>
        <v/>
      </c>
      <c r="B697" s="5">
        <f>IF(A697="","",24)</f>
        <v/>
      </c>
      <c r="C697" s="17" t="n">
        <v>46623</v>
      </c>
      <c r="D697" s="5">
        <f>IF(A697="","",IF(C697=DATE(2026,11,29),"培训；注册午餐；早餐参数",IF(C697=DATE(2026,11,30),"培训；注册午餐",IF(C697=DATE(2026,12,1),"培训；注册午餐；机构晚餐",IF(C697=Options!$B$9,"抵达；"&amp;IF(C697=DATE(2026,11,28),"机构晚餐","无统一供餐"),IF(C697=Options!$B$10,"返程；"&amp;IF(C697=DATE(2026,12,2),"机构午餐","无统一供餐"),"差旅状态；无统一日程"))))))</f>
        <v/>
      </c>
      <c r="E697" s="13">
        <f>IF(C697=Options!$B$9,Options!$C$15,0)</f>
        <v/>
      </c>
      <c r="F697" s="13">
        <f>IF(AND(A697&lt;&gt;"",C697&lt;Options!$B$10),B697*Options!$X$5,0)</f>
        <v/>
      </c>
      <c r="G697" s="13">
        <f>F697*12%</f>
        <v/>
      </c>
      <c r="H697" s="13">
        <f>IF(A697="",0,B697*(92*IF(OR(C697=Options!$B$9,C697=Options!$B$10),75%,100%)-IF(C697=DATE(2026,11,29),26+IF(Options!$B$8="是",23,0),0)-IF(C697=DATE(2026,11,30),26,0)-IF(C697=DATE(2026,12,1),64,0)-IF(C697=DATE(2026,11,28),38,0)-IF(C697=DATE(2026,12,2),26,0)))</f>
        <v/>
      </c>
      <c r="I697" s="13">
        <f>IF(AND(C697&gt;=DATE(2026,11,29),C697&lt;=DATE(2026,12,1)),B697*60,0)</f>
        <v/>
      </c>
      <c r="J697" s="13">
        <f>IF(A697="",0,B697*(IF(C697=DATE(2026,11,28),38,0)+IF(C697=DATE(2026,12,1),38,0)+IF(C697=DATE(2026,12,2),26,0)))</f>
        <v/>
      </c>
      <c r="K697" s="13">
        <f>IF(C697=Options!$B$9,B697*12,0)</f>
        <v/>
      </c>
      <c r="L697" s="13">
        <f>IF(C697=Options!$B$9,B697*Options!$Z$5,0)</f>
        <v/>
      </c>
      <c r="M697" s="13" t="n">
        <v>0</v>
      </c>
      <c r="N697" s="13">
        <f>SUM(E697:M697)</f>
        <v/>
      </c>
    </row>
    <row r="698">
      <c r="A698" s="5">
        <f>IF(AND(C698&gt;=Options!$B$9,C698&lt;=Options!$B$10),"Chicago","")</f>
        <v/>
      </c>
      <c r="B698" s="5">
        <f>IF(A698="","",24)</f>
        <v/>
      </c>
      <c r="C698" s="17" t="n">
        <v>46624</v>
      </c>
      <c r="D698" s="5">
        <f>IF(A698="","",IF(C698=DATE(2026,11,29),"培训；注册午餐；早餐参数",IF(C698=DATE(2026,11,30),"培训；注册午餐",IF(C698=DATE(2026,12,1),"培训；注册午餐；机构晚餐",IF(C698=Options!$B$9,"抵达；"&amp;IF(C698=DATE(2026,11,28),"机构晚餐","无统一供餐"),IF(C698=Options!$B$10,"返程；"&amp;IF(C698=DATE(2026,12,2),"机构午餐","无统一供餐"),"差旅状态；无统一日程"))))))</f>
        <v/>
      </c>
      <c r="E698" s="13">
        <f>IF(C698=Options!$B$9,Options!$C$15,0)</f>
        <v/>
      </c>
      <c r="F698" s="13">
        <f>IF(AND(A698&lt;&gt;"",C698&lt;Options!$B$10),B698*Options!$X$5,0)</f>
        <v/>
      </c>
      <c r="G698" s="13">
        <f>F698*12%</f>
        <v/>
      </c>
      <c r="H698" s="13">
        <f>IF(A698="",0,B698*(92*IF(OR(C698=Options!$B$9,C698=Options!$B$10),75%,100%)-IF(C698=DATE(2026,11,29),26+IF(Options!$B$8="是",23,0),0)-IF(C698=DATE(2026,11,30),26,0)-IF(C698=DATE(2026,12,1),64,0)-IF(C698=DATE(2026,11,28),38,0)-IF(C698=DATE(2026,12,2),26,0)))</f>
        <v/>
      </c>
      <c r="I698" s="13">
        <f>IF(AND(C698&gt;=DATE(2026,11,29),C698&lt;=DATE(2026,12,1)),B698*60,0)</f>
        <v/>
      </c>
      <c r="J698" s="13">
        <f>IF(A698="",0,B698*(IF(C698=DATE(2026,11,28),38,0)+IF(C698=DATE(2026,12,1),38,0)+IF(C698=DATE(2026,12,2),26,0)))</f>
        <v/>
      </c>
      <c r="K698" s="13">
        <f>IF(C698=Options!$B$9,B698*12,0)</f>
        <v/>
      </c>
      <c r="L698" s="13">
        <f>IF(C698=Options!$B$9,B698*Options!$Z$5,0)</f>
        <v/>
      </c>
      <c r="M698" s="13" t="n">
        <v>0</v>
      </c>
      <c r="N698" s="13">
        <f>SUM(E698:M698)</f>
        <v/>
      </c>
    </row>
    <row r="699">
      <c r="A699" s="5">
        <f>IF(AND(C699&gt;=Options!$B$9,C699&lt;=Options!$B$10),"Chicago","")</f>
        <v/>
      </c>
      <c r="B699" s="5">
        <f>IF(A699="","",24)</f>
        <v/>
      </c>
      <c r="C699" s="17" t="n">
        <v>46625</v>
      </c>
      <c r="D699" s="5">
        <f>IF(A699="","",IF(C699=DATE(2026,11,29),"培训；注册午餐；早餐参数",IF(C699=DATE(2026,11,30),"培训；注册午餐",IF(C699=DATE(2026,12,1),"培训；注册午餐；机构晚餐",IF(C699=Options!$B$9,"抵达；"&amp;IF(C699=DATE(2026,11,28),"机构晚餐","无统一供餐"),IF(C699=Options!$B$10,"返程；"&amp;IF(C699=DATE(2026,12,2),"机构午餐","无统一供餐"),"差旅状态；无统一日程"))))))</f>
        <v/>
      </c>
      <c r="E699" s="13">
        <f>IF(C699=Options!$B$9,Options!$C$15,0)</f>
        <v/>
      </c>
      <c r="F699" s="13">
        <f>IF(AND(A699&lt;&gt;"",C699&lt;Options!$B$10),B699*Options!$X$5,0)</f>
        <v/>
      </c>
      <c r="G699" s="13">
        <f>F699*12%</f>
        <v/>
      </c>
      <c r="H699" s="13">
        <f>IF(A699="",0,B699*(92*IF(OR(C699=Options!$B$9,C699=Options!$B$10),75%,100%)-IF(C699=DATE(2026,11,29),26+IF(Options!$B$8="是",23,0),0)-IF(C699=DATE(2026,11,30),26,0)-IF(C699=DATE(2026,12,1),64,0)-IF(C699=DATE(2026,11,28),38,0)-IF(C699=DATE(2026,12,2),26,0)))</f>
        <v/>
      </c>
      <c r="I699" s="13">
        <f>IF(AND(C699&gt;=DATE(2026,11,29),C699&lt;=DATE(2026,12,1)),B699*60,0)</f>
        <v/>
      </c>
      <c r="J699" s="13">
        <f>IF(A699="",0,B699*(IF(C699=DATE(2026,11,28),38,0)+IF(C699=DATE(2026,12,1),38,0)+IF(C699=DATE(2026,12,2),26,0)))</f>
        <v/>
      </c>
      <c r="K699" s="13">
        <f>IF(C699=Options!$B$9,B699*12,0)</f>
        <v/>
      </c>
      <c r="L699" s="13">
        <f>IF(C699=Options!$B$9,B699*Options!$Z$5,0)</f>
        <v/>
      </c>
      <c r="M699" s="13" t="n">
        <v>0</v>
      </c>
      <c r="N699" s="13">
        <f>SUM(E699:M699)</f>
        <v/>
      </c>
    </row>
    <row r="700">
      <c r="A700" s="5">
        <f>IF(AND(C700&gt;=Options!$B$9,C700&lt;=Options!$B$10),"Chicago","")</f>
        <v/>
      </c>
      <c r="B700" s="5">
        <f>IF(A700="","",24)</f>
        <v/>
      </c>
      <c r="C700" s="17" t="n">
        <v>46626</v>
      </c>
      <c r="D700" s="5">
        <f>IF(A700="","",IF(C700=DATE(2026,11,29),"培训；注册午餐；早餐参数",IF(C700=DATE(2026,11,30),"培训；注册午餐",IF(C700=DATE(2026,12,1),"培训；注册午餐；机构晚餐",IF(C700=Options!$B$9,"抵达；"&amp;IF(C700=DATE(2026,11,28),"机构晚餐","无统一供餐"),IF(C700=Options!$B$10,"返程；"&amp;IF(C700=DATE(2026,12,2),"机构午餐","无统一供餐"),"差旅状态；无统一日程"))))))</f>
        <v/>
      </c>
      <c r="E700" s="13">
        <f>IF(C700=Options!$B$9,Options!$C$15,0)</f>
        <v/>
      </c>
      <c r="F700" s="13">
        <f>IF(AND(A700&lt;&gt;"",C700&lt;Options!$B$10),B700*Options!$X$5,0)</f>
        <v/>
      </c>
      <c r="G700" s="13">
        <f>F700*12%</f>
        <v/>
      </c>
      <c r="H700" s="13">
        <f>IF(A700="",0,B700*(92*IF(OR(C700=Options!$B$9,C700=Options!$B$10),75%,100%)-IF(C700=DATE(2026,11,29),26+IF(Options!$B$8="是",23,0),0)-IF(C700=DATE(2026,11,30),26,0)-IF(C700=DATE(2026,12,1),64,0)-IF(C700=DATE(2026,11,28),38,0)-IF(C700=DATE(2026,12,2),26,0)))</f>
        <v/>
      </c>
      <c r="I700" s="13">
        <f>IF(AND(C700&gt;=DATE(2026,11,29),C700&lt;=DATE(2026,12,1)),B700*60,0)</f>
        <v/>
      </c>
      <c r="J700" s="13">
        <f>IF(A700="",0,B700*(IF(C700=DATE(2026,11,28),38,0)+IF(C700=DATE(2026,12,1),38,0)+IF(C700=DATE(2026,12,2),26,0)))</f>
        <v/>
      </c>
      <c r="K700" s="13">
        <f>IF(C700=Options!$B$9,B700*12,0)</f>
        <v/>
      </c>
      <c r="L700" s="13">
        <f>IF(C700=Options!$B$9,B700*Options!$Z$5,0)</f>
        <v/>
      </c>
      <c r="M700" s="13" t="n">
        <v>0</v>
      </c>
      <c r="N700" s="13">
        <f>SUM(E700:M700)</f>
        <v/>
      </c>
    </row>
    <row r="701">
      <c r="A701" s="5">
        <f>IF(AND(C701&gt;=Options!$B$9,C701&lt;=Options!$B$10),"Chicago","")</f>
        <v/>
      </c>
      <c r="B701" s="5">
        <f>IF(A701="","",24)</f>
        <v/>
      </c>
      <c r="C701" s="17" t="n">
        <v>46627</v>
      </c>
      <c r="D701" s="5">
        <f>IF(A701="","",IF(C701=DATE(2026,11,29),"培训；注册午餐；早餐参数",IF(C701=DATE(2026,11,30),"培训；注册午餐",IF(C701=DATE(2026,12,1),"培训；注册午餐；机构晚餐",IF(C701=Options!$B$9,"抵达；"&amp;IF(C701=DATE(2026,11,28),"机构晚餐","无统一供餐"),IF(C701=Options!$B$10,"返程；"&amp;IF(C701=DATE(2026,12,2),"机构午餐","无统一供餐"),"差旅状态；无统一日程"))))))</f>
        <v/>
      </c>
      <c r="E701" s="13">
        <f>IF(C701=Options!$B$9,Options!$C$15,0)</f>
        <v/>
      </c>
      <c r="F701" s="13">
        <f>IF(AND(A701&lt;&gt;"",C701&lt;Options!$B$10),B701*Options!$X$5,0)</f>
        <v/>
      </c>
      <c r="G701" s="13">
        <f>F701*12%</f>
        <v/>
      </c>
      <c r="H701" s="13">
        <f>IF(A701="",0,B701*(92*IF(OR(C701=Options!$B$9,C701=Options!$B$10),75%,100%)-IF(C701=DATE(2026,11,29),26+IF(Options!$B$8="是",23,0),0)-IF(C701=DATE(2026,11,30),26,0)-IF(C701=DATE(2026,12,1),64,0)-IF(C701=DATE(2026,11,28),38,0)-IF(C701=DATE(2026,12,2),26,0)))</f>
        <v/>
      </c>
      <c r="I701" s="13">
        <f>IF(AND(C701&gt;=DATE(2026,11,29),C701&lt;=DATE(2026,12,1)),B701*60,0)</f>
        <v/>
      </c>
      <c r="J701" s="13">
        <f>IF(A701="",0,B701*(IF(C701=DATE(2026,11,28),38,0)+IF(C701=DATE(2026,12,1),38,0)+IF(C701=DATE(2026,12,2),26,0)))</f>
        <v/>
      </c>
      <c r="K701" s="13">
        <f>IF(C701=Options!$B$9,B701*12,0)</f>
        <v/>
      </c>
      <c r="L701" s="13">
        <f>IF(C701=Options!$B$9,B701*Options!$Z$5,0)</f>
        <v/>
      </c>
      <c r="M701" s="13" t="n">
        <v>0</v>
      </c>
      <c r="N701" s="13">
        <f>SUM(E701:M701)</f>
        <v/>
      </c>
    </row>
    <row r="702">
      <c r="A702" s="5">
        <f>IF(AND(C702&gt;=Options!$B$9,C702&lt;=Options!$B$10),"Chicago","")</f>
        <v/>
      </c>
      <c r="B702" s="5">
        <f>IF(A702="","",24)</f>
        <v/>
      </c>
      <c r="C702" s="17" t="n">
        <v>46628</v>
      </c>
      <c r="D702" s="5">
        <f>IF(A702="","",IF(C702=DATE(2026,11,29),"培训；注册午餐；早餐参数",IF(C702=DATE(2026,11,30),"培训；注册午餐",IF(C702=DATE(2026,12,1),"培训；注册午餐；机构晚餐",IF(C702=Options!$B$9,"抵达；"&amp;IF(C702=DATE(2026,11,28),"机构晚餐","无统一供餐"),IF(C702=Options!$B$10,"返程；"&amp;IF(C702=DATE(2026,12,2),"机构午餐","无统一供餐"),"差旅状态；无统一日程"))))))</f>
        <v/>
      </c>
      <c r="E702" s="13">
        <f>IF(C702=Options!$B$9,Options!$C$15,0)</f>
        <v/>
      </c>
      <c r="F702" s="13">
        <f>IF(AND(A702&lt;&gt;"",C702&lt;Options!$B$10),B702*Options!$X$5,0)</f>
        <v/>
      </c>
      <c r="G702" s="13">
        <f>F702*12%</f>
        <v/>
      </c>
      <c r="H702" s="13">
        <f>IF(A702="",0,B702*(92*IF(OR(C702=Options!$B$9,C702=Options!$B$10),75%,100%)-IF(C702=DATE(2026,11,29),26+IF(Options!$B$8="是",23,0),0)-IF(C702=DATE(2026,11,30),26,0)-IF(C702=DATE(2026,12,1),64,0)-IF(C702=DATE(2026,11,28),38,0)-IF(C702=DATE(2026,12,2),26,0)))</f>
        <v/>
      </c>
      <c r="I702" s="13">
        <f>IF(AND(C702&gt;=DATE(2026,11,29),C702&lt;=DATE(2026,12,1)),B702*60,0)</f>
        <v/>
      </c>
      <c r="J702" s="13">
        <f>IF(A702="",0,B702*(IF(C702=DATE(2026,11,28),38,0)+IF(C702=DATE(2026,12,1),38,0)+IF(C702=DATE(2026,12,2),26,0)))</f>
        <v/>
      </c>
      <c r="K702" s="13">
        <f>IF(C702=Options!$B$9,B702*12,0)</f>
        <v/>
      </c>
      <c r="L702" s="13">
        <f>IF(C702=Options!$B$9,B702*Options!$Z$5,0)</f>
        <v/>
      </c>
      <c r="M702" s="13" t="n">
        <v>0</v>
      </c>
      <c r="N702" s="13">
        <f>SUM(E702:M702)</f>
        <v/>
      </c>
    </row>
    <row r="703">
      <c r="A703" s="5">
        <f>IF(AND(C703&gt;=Options!$B$9,C703&lt;=Options!$B$10),"Chicago","")</f>
        <v/>
      </c>
      <c r="B703" s="5">
        <f>IF(A703="","",24)</f>
        <v/>
      </c>
      <c r="C703" s="17" t="n">
        <v>46629</v>
      </c>
      <c r="D703" s="5">
        <f>IF(A703="","",IF(C703=DATE(2026,11,29),"培训；注册午餐；早餐参数",IF(C703=DATE(2026,11,30),"培训；注册午餐",IF(C703=DATE(2026,12,1),"培训；注册午餐；机构晚餐",IF(C703=Options!$B$9,"抵达；"&amp;IF(C703=DATE(2026,11,28),"机构晚餐","无统一供餐"),IF(C703=Options!$B$10,"返程；"&amp;IF(C703=DATE(2026,12,2),"机构午餐","无统一供餐"),"差旅状态；无统一日程"))))))</f>
        <v/>
      </c>
      <c r="E703" s="13">
        <f>IF(C703=Options!$B$9,Options!$C$15,0)</f>
        <v/>
      </c>
      <c r="F703" s="13">
        <f>IF(AND(A703&lt;&gt;"",C703&lt;Options!$B$10),B703*Options!$X$5,0)</f>
        <v/>
      </c>
      <c r="G703" s="13">
        <f>F703*12%</f>
        <v/>
      </c>
      <c r="H703" s="13">
        <f>IF(A703="",0,B703*(92*IF(OR(C703=Options!$B$9,C703=Options!$B$10),75%,100%)-IF(C703=DATE(2026,11,29),26+IF(Options!$B$8="是",23,0),0)-IF(C703=DATE(2026,11,30),26,0)-IF(C703=DATE(2026,12,1),64,0)-IF(C703=DATE(2026,11,28),38,0)-IF(C703=DATE(2026,12,2),26,0)))</f>
        <v/>
      </c>
      <c r="I703" s="13">
        <f>IF(AND(C703&gt;=DATE(2026,11,29),C703&lt;=DATE(2026,12,1)),B703*60,0)</f>
        <v/>
      </c>
      <c r="J703" s="13">
        <f>IF(A703="",0,B703*(IF(C703=DATE(2026,11,28),38,0)+IF(C703=DATE(2026,12,1),38,0)+IF(C703=DATE(2026,12,2),26,0)))</f>
        <v/>
      </c>
      <c r="K703" s="13">
        <f>IF(C703=Options!$B$9,B703*12,0)</f>
        <v/>
      </c>
      <c r="L703" s="13">
        <f>IF(C703=Options!$B$9,B703*Options!$Z$5,0)</f>
        <v/>
      </c>
      <c r="M703" s="13" t="n">
        <v>0</v>
      </c>
      <c r="N703" s="13">
        <f>SUM(E703:M703)</f>
        <v/>
      </c>
    </row>
    <row r="704">
      <c r="A704" s="5">
        <f>IF(AND(C704&gt;=Options!$B$9,C704&lt;=Options!$B$10),"Chicago","")</f>
        <v/>
      </c>
      <c r="B704" s="5">
        <f>IF(A704="","",24)</f>
        <v/>
      </c>
      <c r="C704" s="17" t="n">
        <v>46630</v>
      </c>
      <c r="D704" s="5">
        <f>IF(A704="","",IF(C704=DATE(2026,11,29),"培训；注册午餐；早餐参数",IF(C704=DATE(2026,11,30),"培训；注册午餐",IF(C704=DATE(2026,12,1),"培训；注册午餐；机构晚餐",IF(C704=Options!$B$9,"抵达；"&amp;IF(C704=DATE(2026,11,28),"机构晚餐","无统一供餐"),IF(C704=Options!$B$10,"返程；"&amp;IF(C704=DATE(2026,12,2),"机构午餐","无统一供餐"),"差旅状态；无统一日程"))))))</f>
        <v/>
      </c>
      <c r="E704" s="13">
        <f>IF(C704=Options!$B$9,Options!$C$15,0)</f>
        <v/>
      </c>
      <c r="F704" s="13">
        <f>IF(AND(A704&lt;&gt;"",C704&lt;Options!$B$10),B704*Options!$X$5,0)</f>
        <v/>
      </c>
      <c r="G704" s="13">
        <f>F704*12%</f>
        <v/>
      </c>
      <c r="H704" s="13">
        <f>IF(A704="",0,B704*(92*IF(OR(C704=Options!$B$9,C704=Options!$B$10),75%,100%)-IF(C704=DATE(2026,11,29),26+IF(Options!$B$8="是",23,0),0)-IF(C704=DATE(2026,11,30),26,0)-IF(C704=DATE(2026,12,1),64,0)-IF(C704=DATE(2026,11,28),38,0)-IF(C704=DATE(2026,12,2),26,0)))</f>
        <v/>
      </c>
      <c r="I704" s="13">
        <f>IF(AND(C704&gt;=DATE(2026,11,29),C704&lt;=DATE(2026,12,1)),B704*60,0)</f>
        <v/>
      </c>
      <c r="J704" s="13">
        <f>IF(A704="",0,B704*(IF(C704=DATE(2026,11,28),38,0)+IF(C704=DATE(2026,12,1),38,0)+IF(C704=DATE(2026,12,2),26,0)))</f>
        <v/>
      </c>
      <c r="K704" s="13">
        <f>IF(C704=Options!$B$9,B704*12,0)</f>
        <v/>
      </c>
      <c r="L704" s="13">
        <f>IF(C704=Options!$B$9,B704*Options!$Z$5,0)</f>
        <v/>
      </c>
      <c r="M704" s="13" t="n">
        <v>0</v>
      </c>
      <c r="N704" s="13">
        <f>SUM(E704:M704)</f>
        <v/>
      </c>
    </row>
    <row r="705">
      <c r="A705" s="5">
        <f>IF(AND(C705&gt;=Options!$B$9,C705&lt;=Options!$B$10),"Chicago","")</f>
        <v/>
      </c>
      <c r="B705" s="5">
        <f>IF(A705="","",24)</f>
        <v/>
      </c>
      <c r="C705" s="17" t="n">
        <v>46631</v>
      </c>
      <c r="D705" s="5">
        <f>IF(A705="","",IF(C705=DATE(2026,11,29),"培训；注册午餐；早餐参数",IF(C705=DATE(2026,11,30),"培训；注册午餐",IF(C705=DATE(2026,12,1),"培训；注册午餐；机构晚餐",IF(C705=Options!$B$9,"抵达；"&amp;IF(C705=DATE(2026,11,28),"机构晚餐","无统一供餐"),IF(C705=Options!$B$10,"返程；"&amp;IF(C705=DATE(2026,12,2),"机构午餐","无统一供餐"),"差旅状态；无统一日程"))))))</f>
        <v/>
      </c>
      <c r="E705" s="13">
        <f>IF(C705=Options!$B$9,Options!$C$15,0)</f>
        <v/>
      </c>
      <c r="F705" s="13">
        <f>IF(AND(A705&lt;&gt;"",C705&lt;Options!$B$10),B705*Options!$X$5,0)</f>
        <v/>
      </c>
      <c r="G705" s="13">
        <f>F705*12%</f>
        <v/>
      </c>
      <c r="H705" s="13">
        <f>IF(A705="",0,B705*(92*IF(OR(C705=Options!$B$9,C705=Options!$B$10),75%,100%)-IF(C705=DATE(2026,11,29),26+IF(Options!$B$8="是",23,0),0)-IF(C705=DATE(2026,11,30),26,0)-IF(C705=DATE(2026,12,1),64,0)-IF(C705=DATE(2026,11,28),38,0)-IF(C705=DATE(2026,12,2),26,0)))</f>
        <v/>
      </c>
      <c r="I705" s="13">
        <f>IF(AND(C705&gt;=DATE(2026,11,29),C705&lt;=DATE(2026,12,1)),B705*60,0)</f>
        <v/>
      </c>
      <c r="J705" s="13">
        <f>IF(A705="",0,B705*(IF(C705=DATE(2026,11,28),38,0)+IF(C705=DATE(2026,12,1),38,0)+IF(C705=DATE(2026,12,2),26,0)))</f>
        <v/>
      </c>
      <c r="K705" s="13">
        <f>IF(C705=Options!$B$9,B705*12,0)</f>
        <v/>
      </c>
      <c r="L705" s="13">
        <f>IF(C705=Options!$B$9,B705*Options!$Z$5,0)</f>
        <v/>
      </c>
      <c r="M705" s="13" t="n">
        <v>0</v>
      </c>
      <c r="N705" s="13">
        <f>SUM(E705:M705)</f>
        <v/>
      </c>
    </row>
    <row r="706">
      <c r="A706" s="5">
        <f>IF(AND(C706&gt;=Options!$B$9,C706&lt;=Options!$B$10),"Chicago","")</f>
        <v/>
      </c>
      <c r="B706" s="5">
        <f>IF(A706="","",24)</f>
        <v/>
      </c>
      <c r="C706" s="17" t="n">
        <v>46632</v>
      </c>
      <c r="D706" s="5">
        <f>IF(A706="","",IF(C706=DATE(2026,11,29),"培训；注册午餐；早餐参数",IF(C706=DATE(2026,11,30),"培训；注册午餐",IF(C706=DATE(2026,12,1),"培训；注册午餐；机构晚餐",IF(C706=Options!$B$9,"抵达；"&amp;IF(C706=DATE(2026,11,28),"机构晚餐","无统一供餐"),IF(C706=Options!$B$10,"返程；"&amp;IF(C706=DATE(2026,12,2),"机构午餐","无统一供餐"),"差旅状态；无统一日程"))))))</f>
        <v/>
      </c>
      <c r="E706" s="13">
        <f>IF(C706=Options!$B$9,Options!$C$15,0)</f>
        <v/>
      </c>
      <c r="F706" s="13">
        <f>IF(AND(A706&lt;&gt;"",C706&lt;Options!$B$10),B706*Options!$X$5,0)</f>
        <v/>
      </c>
      <c r="G706" s="13">
        <f>F706*12%</f>
        <v/>
      </c>
      <c r="H706" s="13">
        <f>IF(A706="",0,B706*(92*IF(OR(C706=Options!$B$9,C706=Options!$B$10),75%,100%)-IF(C706=DATE(2026,11,29),26+IF(Options!$B$8="是",23,0),0)-IF(C706=DATE(2026,11,30),26,0)-IF(C706=DATE(2026,12,1),64,0)-IF(C706=DATE(2026,11,28),38,0)-IF(C706=DATE(2026,12,2),26,0)))</f>
        <v/>
      </c>
      <c r="I706" s="13">
        <f>IF(AND(C706&gt;=DATE(2026,11,29),C706&lt;=DATE(2026,12,1)),B706*60,0)</f>
        <v/>
      </c>
      <c r="J706" s="13">
        <f>IF(A706="",0,B706*(IF(C706=DATE(2026,11,28),38,0)+IF(C706=DATE(2026,12,1),38,0)+IF(C706=DATE(2026,12,2),26,0)))</f>
        <v/>
      </c>
      <c r="K706" s="13">
        <f>IF(C706=Options!$B$9,B706*12,0)</f>
        <v/>
      </c>
      <c r="L706" s="13">
        <f>IF(C706=Options!$B$9,B706*Options!$Z$5,0)</f>
        <v/>
      </c>
      <c r="M706" s="13" t="n">
        <v>0</v>
      </c>
      <c r="N706" s="13">
        <f>SUM(E706:M706)</f>
        <v/>
      </c>
    </row>
    <row r="707">
      <c r="A707" s="5">
        <f>IF(AND(C707&gt;=Options!$B$9,C707&lt;=Options!$B$10),"Chicago","")</f>
        <v/>
      </c>
      <c r="B707" s="5">
        <f>IF(A707="","",24)</f>
        <v/>
      </c>
      <c r="C707" s="17" t="n">
        <v>46633</v>
      </c>
      <c r="D707" s="5">
        <f>IF(A707="","",IF(C707=DATE(2026,11,29),"培训；注册午餐；早餐参数",IF(C707=DATE(2026,11,30),"培训；注册午餐",IF(C707=DATE(2026,12,1),"培训；注册午餐；机构晚餐",IF(C707=Options!$B$9,"抵达；"&amp;IF(C707=DATE(2026,11,28),"机构晚餐","无统一供餐"),IF(C707=Options!$B$10,"返程；"&amp;IF(C707=DATE(2026,12,2),"机构午餐","无统一供餐"),"差旅状态；无统一日程"))))))</f>
        <v/>
      </c>
      <c r="E707" s="13">
        <f>IF(C707=Options!$B$9,Options!$C$15,0)</f>
        <v/>
      </c>
      <c r="F707" s="13">
        <f>IF(AND(A707&lt;&gt;"",C707&lt;Options!$B$10),B707*Options!$X$5,0)</f>
        <v/>
      </c>
      <c r="G707" s="13">
        <f>F707*12%</f>
        <v/>
      </c>
      <c r="H707" s="13">
        <f>IF(A707="",0,B707*(92*IF(OR(C707=Options!$B$9,C707=Options!$B$10),75%,100%)-IF(C707=DATE(2026,11,29),26+IF(Options!$B$8="是",23,0),0)-IF(C707=DATE(2026,11,30),26,0)-IF(C707=DATE(2026,12,1),64,0)-IF(C707=DATE(2026,11,28),38,0)-IF(C707=DATE(2026,12,2),26,0)))</f>
        <v/>
      </c>
      <c r="I707" s="13">
        <f>IF(AND(C707&gt;=DATE(2026,11,29),C707&lt;=DATE(2026,12,1)),B707*60,0)</f>
        <v/>
      </c>
      <c r="J707" s="13">
        <f>IF(A707="",0,B707*(IF(C707=DATE(2026,11,28),38,0)+IF(C707=DATE(2026,12,1),38,0)+IF(C707=DATE(2026,12,2),26,0)))</f>
        <v/>
      </c>
      <c r="K707" s="13">
        <f>IF(C707=Options!$B$9,B707*12,0)</f>
        <v/>
      </c>
      <c r="L707" s="13">
        <f>IF(C707=Options!$B$9,B707*Options!$Z$5,0)</f>
        <v/>
      </c>
      <c r="M707" s="13" t="n">
        <v>0</v>
      </c>
      <c r="N707" s="13">
        <f>SUM(E707:M707)</f>
        <v/>
      </c>
    </row>
    <row r="708">
      <c r="A708" s="5">
        <f>IF(AND(C708&gt;=Options!$B$9,C708&lt;=Options!$B$10),"Chicago","")</f>
        <v/>
      </c>
      <c r="B708" s="5">
        <f>IF(A708="","",24)</f>
        <v/>
      </c>
      <c r="C708" s="17" t="n">
        <v>46634</v>
      </c>
      <c r="D708" s="5">
        <f>IF(A708="","",IF(C708=DATE(2026,11,29),"培训；注册午餐；早餐参数",IF(C708=DATE(2026,11,30),"培训；注册午餐",IF(C708=DATE(2026,12,1),"培训；注册午餐；机构晚餐",IF(C708=Options!$B$9,"抵达；"&amp;IF(C708=DATE(2026,11,28),"机构晚餐","无统一供餐"),IF(C708=Options!$B$10,"返程；"&amp;IF(C708=DATE(2026,12,2),"机构午餐","无统一供餐"),"差旅状态；无统一日程"))))))</f>
        <v/>
      </c>
      <c r="E708" s="13">
        <f>IF(C708=Options!$B$9,Options!$C$15,0)</f>
        <v/>
      </c>
      <c r="F708" s="13">
        <f>IF(AND(A708&lt;&gt;"",C708&lt;Options!$B$10),B708*Options!$X$5,0)</f>
        <v/>
      </c>
      <c r="G708" s="13">
        <f>F708*12%</f>
        <v/>
      </c>
      <c r="H708" s="13">
        <f>IF(A708="",0,B708*(92*IF(OR(C708=Options!$B$9,C708=Options!$B$10),75%,100%)-IF(C708=DATE(2026,11,29),26+IF(Options!$B$8="是",23,0),0)-IF(C708=DATE(2026,11,30),26,0)-IF(C708=DATE(2026,12,1),64,0)-IF(C708=DATE(2026,11,28),38,0)-IF(C708=DATE(2026,12,2),26,0)))</f>
        <v/>
      </c>
      <c r="I708" s="13">
        <f>IF(AND(C708&gt;=DATE(2026,11,29),C708&lt;=DATE(2026,12,1)),B708*60,0)</f>
        <v/>
      </c>
      <c r="J708" s="13">
        <f>IF(A708="",0,B708*(IF(C708=DATE(2026,11,28),38,0)+IF(C708=DATE(2026,12,1),38,0)+IF(C708=DATE(2026,12,2),26,0)))</f>
        <v/>
      </c>
      <c r="K708" s="13">
        <f>IF(C708=Options!$B$9,B708*12,0)</f>
        <v/>
      </c>
      <c r="L708" s="13">
        <f>IF(C708=Options!$B$9,B708*Options!$Z$5,0)</f>
        <v/>
      </c>
      <c r="M708" s="13" t="n">
        <v>0</v>
      </c>
      <c r="N708" s="13">
        <f>SUM(E708:M708)</f>
        <v/>
      </c>
    </row>
    <row r="709">
      <c r="A709" s="5">
        <f>IF(AND(C709&gt;=Options!$B$9,C709&lt;=Options!$B$10),"Chicago","")</f>
        <v/>
      </c>
      <c r="B709" s="5">
        <f>IF(A709="","",24)</f>
        <v/>
      </c>
      <c r="C709" s="17" t="n">
        <v>46635</v>
      </c>
      <c r="D709" s="5">
        <f>IF(A709="","",IF(C709=DATE(2026,11,29),"培训；注册午餐；早餐参数",IF(C709=DATE(2026,11,30),"培训；注册午餐",IF(C709=DATE(2026,12,1),"培训；注册午餐；机构晚餐",IF(C709=Options!$B$9,"抵达；"&amp;IF(C709=DATE(2026,11,28),"机构晚餐","无统一供餐"),IF(C709=Options!$B$10,"返程；"&amp;IF(C709=DATE(2026,12,2),"机构午餐","无统一供餐"),"差旅状态；无统一日程"))))))</f>
        <v/>
      </c>
      <c r="E709" s="13">
        <f>IF(C709=Options!$B$9,Options!$C$15,0)</f>
        <v/>
      </c>
      <c r="F709" s="13">
        <f>IF(AND(A709&lt;&gt;"",C709&lt;Options!$B$10),B709*Options!$X$5,0)</f>
        <v/>
      </c>
      <c r="G709" s="13">
        <f>F709*12%</f>
        <v/>
      </c>
      <c r="H709" s="13">
        <f>IF(A709="",0,B709*(92*IF(OR(C709=Options!$B$9,C709=Options!$B$10),75%,100%)-IF(C709=DATE(2026,11,29),26+IF(Options!$B$8="是",23,0),0)-IF(C709=DATE(2026,11,30),26,0)-IF(C709=DATE(2026,12,1),64,0)-IF(C709=DATE(2026,11,28),38,0)-IF(C709=DATE(2026,12,2),26,0)))</f>
        <v/>
      </c>
      <c r="I709" s="13">
        <f>IF(AND(C709&gt;=DATE(2026,11,29),C709&lt;=DATE(2026,12,1)),B709*60,0)</f>
        <v/>
      </c>
      <c r="J709" s="13">
        <f>IF(A709="",0,B709*(IF(C709=DATE(2026,11,28),38,0)+IF(C709=DATE(2026,12,1),38,0)+IF(C709=DATE(2026,12,2),26,0)))</f>
        <v/>
      </c>
      <c r="K709" s="13">
        <f>IF(C709=Options!$B$9,B709*12,0)</f>
        <v/>
      </c>
      <c r="L709" s="13">
        <f>IF(C709=Options!$B$9,B709*Options!$Z$5,0)</f>
        <v/>
      </c>
      <c r="M709" s="13" t="n">
        <v>0</v>
      </c>
      <c r="N709" s="13">
        <f>SUM(E709:M709)</f>
        <v/>
      </c>
    </row>
    <row r="710">
      <c r="A710" s="5">
        <f>IF(AND(C710&gt;=Options!$B$9,C710&lt;=Options!$B$10),"Chicago","")</f>
        <v/>
      </c>
      <c r="B710" s="5">
        <f>IF(A710="","",24)</f>
        <v/>
      </c>
      <c r="C710" s="17" t="n">
        <v>46636</v>
      </c>
      <c r="D710" s="5">
        <f>IF(A710="","",IF(C710=DATE(2026,11,29),"培训；注册午餐；早餐参数",IF(C710=DATE(2026,11,30),"培训；注册午餐",IF(C710=DATE(2026,12,1),"培训；注册午餐；机构晚餐",IF(C710=Options!$B$9,"抵达；"&amp;IF(C710=DATE(2026,11,28),"机构晚餐","无统一供餐"),IF(C710=Options!$B$10,"返程；"&amp;IF(C710=DATE(2026,12,2),"机构午餐","无统一供餐"),"差旅状态；无统一日程"))))))</f>
        <v/>
      </c>
      <c r="E710" s="13">
        <f>IF(C710=Options!$B$9,Options!$C$15,0)</f>
        <v/>
      </c>
      <c r="F710" s="13">
        <f>IF(AND(A710&lt;&gt;"",C710&lt;Options!$B$10),B710*Options!$X$5,0)</f>
        <v/>
      </c>
      <c r="G710" s="13">
        <f>F710*12%</f>
        <v/>
      </c>
      <c r="H710" s="13">
        <f>IF(A710="",0,B710*(92*IF(OR(C710=Options!$B$9,C710=Options!$B$10),75%,100%)-IF(C710=DATE(2026,11,29),26+IF(Options!$B$8="是",23,0),0)-IF(C710=DATE(2026,11,30),26,0)-IF(C710=DATE(2026,12,1),64,0)-IF(C710=DATE(2026,11,28),38,0)-IF(C710=DATE(2026,12,2),26,0)))</f>
        <v/>
      </c>
      <c r="I710" s="13">
        <f>IF(AND(C710&gt;=DATE(2026,11,29),C710&lt;=DATE(2026,12,1)),B710*60,0)</f>
        <v/>
      </c>
      <c r="J710" s="13">
        <f>IF(A710="",0,B710*(IF(C710=DATE(2026,11,28),38,0)+IF(C710=DATE(2026,12,1),38,0)+IF(C710=DATE(2026,12,2),26,0)))</f>
        <v/>
      </c>
      <c r="K710" s="13">
        <f>IF(C710=Options!$B$9,B710*12,0)</f>
        <v/>
      </c>
      <c r="L710" s="13">
        <f>IF(C710=Options!$B$9,B710*Options!$Z$5,0)</f>
        <v/>
      </c>
      <c r="M710" s="13" t="n">
        <v>0</v>
      </c>
      <c r="N710" s="13">
        <f>SUM(E710:M710)</f>
        <v/>
      </c>
    </row>
    <row r="711">
      <c r="A711" s="5">
        <f>IF(AND(C711&gt;=Options!$B$9,C711&lt;=Options!$B$10),"Chicago","")</f>
        <v/>
      </c>
      <c r="B711" s="5">
        <f>IF(A711="","",24)</f>
        <v/>
      </c>
      <c r="C711" s="17" t="n">
        <v>46637</v>
      </c>
      <c r="D711" s="5">
        <f>IF(A711="","",IF(C711=DATE(2026,11,29),"培训；注册午餐；早餐参数",IF(C711=DATE(2026,11,30),"培训；注册午餐",IF(C711=DATE(2026,12,1),"培训；注册午餐；机构晚餐",IF(C711=Options!$B$9,"抵达；"&amp;IF(C711=DATE(2026,11,28),"机构晚餐","无统一供餐"),IF(C711=Options!$B$10,"返程；"&amp;IF(C711=DATE(2026,12,2),"机构午餐","无统一供餐"),"差旅状态；无统一日程"))))))</f>
        <v/>
      </c>
      <c r="E711" s="13">
        <f>IF(C711=Options!$B$9,Options!$C$15,0)</f>
        <v/>
      </c>
      <c r="F711" s="13">
        <f>IF(AND(A711&lt;&gt;"",C711&lt;Options!$B$10),B711*Options!$X$5,0)</f>
        <v/>
      </c>
      <c r="G711" s="13">
        <f>F711*12%</f>
        <v/>
      </c>
      <c r="H711" s="13">
        <f>IF(A711="",0,B711*(92*IF(OR(C711=Options!$B$9,C711=Options!$B$10),75%,100%)-IF(C711=DATE(2026,11,29),26+IF(Options!$B$8="是",23,0),0)-IF(C711=DATE(2026,11,30),26,0)-IF(C711=DATE(2026,12,1),64,0)-IF(C711=DATE(2026,11,28),38,0)-IF(C711=DATE(2026,12,2),26,0)))</f>
        <v/>
      </c>
      <c r="I711" s="13">
        <f>IF(AND(C711&gt;=DATE(2026,11,29),C711&lt;=DATE(2026,12,1)),B711*60,0)</f>
        <v/>
      </c>
      <c r="J711" s="13">
        <f>IF(A711="",0,B711*(IF(C711=DATE(2026,11,28),38,0)+IF(C711=DATE(2026,12,1),38,0)+IF(C711=DATE(2026,12,2),26,0)))</f>
        <v/>
      </c>
      <c r="K711" s="13">
        <f>IF(C711=Options!$B$9,B711*12,0)</f>
        <v/>
      </c>
      <c r="L711" s="13">
        <f>IF(C711=Options!$B$9,B711*Options!$Z$5,0)</f>
        <v/>
      </c>
      <c r="M711" s="13" t="n">
        <v>0</v>
      </c>
      <c r="N711" s="13">
        <f>SUM(E711:M711)</f>
        <v/>
      </c>
    </row>
    <row r="712">
      <c r="A712" s="5">
        <f>IF(AND(C712&gt;=Options!$B$9,C712&lt;=Options!$B$10),"Chicago","")</f>
        <v/>
      </c>
      <c r="B712" s="5">
        <f>IF(A712="","",24)</f>
        <v/>
      </c>
      <c r="C712" s="17" t="n">
        <v>46638</v>
      </c>
      <c r="D712" s="5">
        <f>IF(A712="","",IF(C712=DATE(2026,11,29),"培训；注册午餐；早餐参数",IF(C712=DATE(2026,11,30),"培训；注册午餐",IF(C712=DATE(2026,12,1),"培训；注册午餐；机构晚餐",IF(C712=Options!$B$9,"抵达；"&amp;IF(C712=DATE(2026,11,28),"机构晚餐","无统一供餐"),IF(C712=Options!$B$10,"返程；"&amp;IF(C712=DATE(2026,12,2),"机构午餐","无统一供餐"),"差旅状态；无统一日程"))))))</f>
        <v/>
      </c>
      <c r="E712" s="13">
        <f>IF(C712=Options!$B$9,Options!$C$15,0)</f>
        <v/>
      </c>
      <c r="F712" s="13">
        <f>IF(AND(A712&lt;&gt;"",C712&lt;Options!$B$10),B712*Options!$X$5,0)</f>
        <v/>
      </c>
      <c r="G712" s="13">
        <f>F712*12%</f>
        <v/>
      </c>
      <c r="H712" s="13">
        <f>IF(A712="",0,B712*(92*IF(OR(C712=Options!$B$9,C712=Options!$B$10),75%,100%)-IF(C712=DATE(2026,11,29),26+IF(Options!$B$8="是",23,0),0)-IF(C712=DATE(2026,11,30),26,0)-IF(C712=DATE(2026,12,1),64,0)-IF(C712=DATE(2026,11,28),38,0)-IF(C712=DATE(2026,12,2),26,0)))</f>
        <v/>
      </c>
      <c r="I712" s="13">
        <f>IF(AND(C712&gt;=DATE(2026,11,29),C712&lt;=DATE(2026,12,1)),B712*60,0)</f>
        <v/>
      </c>
      <c r="J712" s="13">
        <f>IF(A712="",0,B712*(IF(C712=DATE(2026,11,28),38,0)+IF(C712=DATE(2026,12,1),38,0)+IF(C712=DATE(2026,12,2),26,0)))</f>
        <v/>
      </c>
      <c r="K712" s="13">
        <f>IF(C712=Options!$B$9,B712*12,0)</f>
        <v/>
      </c>
      <c r="L712" s="13">
        <f>IF(C712=Options!$B$9,B712*Options!$Z$5,0)</f>
        <v/>
      </c>
      <c r="M712" s="13" t="n">
        <v>0</v>
      </c>
      <c r="N712" s="13">
        <f>SUM(E712:M712)</f>
        <v/>
      </c>
    </row>
    <row r="713">
      <c r="A713" s="5">
        <f>IF(AND(C713&gt;=Options!$B$9,C713&lt;=Options!$B$10),"Chicago","")</f>
        <v/>
      </c>
      <c r="B713" s="5">
        <f>IF(A713="","",24)</f>
        <v/>
      </c>
      <c r="C713" s="17" t="n">
        <v>46639</v>
      </c>
      <c r="D713" s="5">
        <f>IF(A713="","",IF(C713=DATE(2026,11,29),"培训；注册午餐；早餐参数",IF(C713=DATE(2026,11,30),"培训；注册午餐",IF(C713=DATE(2026,12,1),"培训；注册午餐；机构晚餐",IF(C713=Options!$B$9,"抵达；"&amp;IF(C713=DATE(2026,11,28),"机构晚餐","无统一供餐"),IF(C713=Options!$B$10,"返程；"&amp;IF(C713=DATE(2026,12,2),"机构午餐","无统一供餐"),"差旅状态；无统一日程"))))))</f>
        <v/>
      </c>
      <c r="E713" s="13">
        <f>IF(C713=Options!$B$9,Options!$C$15,0)</f>
        <v/>
      </c>
      <c r="F713" s="13">
        <f>IF(AND(A713&lt;&gt;"",C713&lt;Options!$B$10),B713*Options!$X$5,0)</f>
        <v/>
      </c>
      <c r="G713" s="13">
        <f>F713*12%</f>
        <v/>
      </c>
      <c r="H713" s="13">
        <f>IF(A713="",0,B713*(92*IF(OR(C713=Options!$B$9,C713=Options!$B$10),75%,100%)-IF(C713=DATE(2026,11,29),26+IF(Options!$B$8="是",23,0),0)-IF(C713=DATE(2026,11,30),26,0)-IF(C713=DATE(2026,12,1),64,0)-IF(C713=DATE(2026,11,28),38,0)-IF(C713=DATE(2026,12,2),26,0)))</f>
        <v/>
      </c>
      <c r="I713" s="13">
        <f>IF(AND(C713&gt;=DATE(2026,11,29),C713&lt;=DATE(2026,12,1)),B713*60,0)</f>
        <v/>
      </c>
      <c r="J713" s="13">
        <f>IF(A713="",0,B713*(IF(C713=DATE(2026,11,28),38,0)+IF(C713=DATE(2026,12,1),38,0)+IF(C713=DATE(2026,12,2),26,0)))</f>
        <v/>
      </c>
      <c r="K713" s="13">
        <f>IF(C713=Options!$B$9,B713*12,0)</f>
        <v/>
      </c>
      <c r="L713" s="13">
        <f>IF(C713=Options!$B$9,B713*Options!$Z$5,0)</f>
        <v/>
      </c>
      <c r="M713" s="13" t="n">
        <v>0</v>
      </c>
      <c r="N713" s="13">
        <f>SUM(E713:M713)</f>
        <v/>
      </c>
    </row>
    <row r="714">
      <c r="A714" s="5">
        <f>IF(AND(C714&gt;=Options!$B$9,C714&lt;=Options!$B$10),"Chicago","")</f>
        <v/>
      </c>
      <c r="B714" s="5">
        <f>IF(A714="","",24)</f>
        <v/>
      </c>
      <c r="C714" s="17" t="n">
        <v>46640</v>
      </c>
      <c r="D714" s="5">
        <f>IF(A714="","",IF(C714=DATE(2026,11,29),"培训；注册午餐；早餐参数",IF(C714=DATE(2026,11,30),"培训；注册午餐",IF(C714=DATE(2026,12,1),"培训；注册午餐；机构晚餐",IF(C714=Options!$B$9,"抵达；"&amp;IF(C714=DATE(2026,11,28),"机构晚餐","无统一供餐"),IF(C714=Options!$B$10,"返程；"&amp;IF(C714=DATE(2026,12,2),"机构午餐","无统一供餐"),"差旅状态；无统一日程"))))))</f>
        <v/>
      </c>
      <c r="E714" s="13">
        <f>IF(C714=Options!$B$9,Options!$C$15,0)</f>
        <v/>
      </c>
      <c r="F714" s="13">
        <f>IF(AND(A714&lt;&gt;"",C714&lt;Options!$B$10),B714*Options!$X$5,0)</f>
        <v/>
      </c>
      <c r="G714" s="13">
        <f>F714*12%</f>
        <v/>
      </c>
      <c r="H714" s="13">
        <f>IF(A714="",0,B714*(92*IF(OR(C714=Options!$B$9,C714=Options!$B$10),75%,100%)-IF(C714=DATE(2026,11,29),26+IF(Options!$B$8="是",23,0),0)-IF(C714=DATE(2026,11,30),26,0)-IF(C714=DATE(2026,12,1),64,0)-IF(C714=DATE(2026,11,28),38,0)-IF(C714=DATE(2026,12,2),26,0)))</f>
        <v/>
      </c>
      <c r="I714" s="13">
        <f>IF(AND(C714&gt;=DATE(2026,11,29),C714&lt;=DATE(2026,12,1)),B714*60,0)</f>
        <v/>
      </c>
      <c r="J714" s="13">
        <f>IF(A714="",0,B714*(IF(C714=DATE(2026,11,28),38,0)+IF(C714=DATE(2026,12,1),38,0)+IF(C714=DATE(2026,12,2),26,0)))</f>
        <v/>
      </c>
      <c r="K714" s="13">
        <f>IF(C714=Options!$B$9,B714*12,0)</f>
        <v/>
      </c>
      <c r="L714" s="13">
        <f>IF(C714=Options!$B$9,B714*Options!$Z$5,0)</f>
        <v/>
      </c>
      <c r="M714" s="13" t="n">
        <v>0</v>
      </c>
      <c r="N714" s="13">
        <f>SUM(E714:M714)</f>
        <v/>
      </c>
    </row>
    <row r="715">
      <c r="A715" s="5">
        <f>IF(AND(C715&gt;=Options!$B$9,C715&lt;=Options!$B$10),"Chicago","")</f>
        <v/>
      </c>
      <c r="B715" s="5">
        <f>IF(A715="","",24)</f>
        <v/>
      </c>
      <c r="C715" s="17" t="n">
        <v>46641</v>
      </c>
      <c r="D715" s="5">
        <f>IF(A715="","",IF(C715=DATE(2026,11,29),"培训；注册午餐；早餐参数",IF(C715=DATE(2026,11,30),"培训；注册午餐",IF(C715=DATE(2026,12,1),"培训；注册午餐；机构晚餐",IF(C715=Options!$B$9,"抵达；"&amp;IF(C715=DATE(2026,11,28),"机构晚餐","无统一供餐"),IF(C715=Options!$B$10,"返程；"&amp;IF(C715=DATE(2026,12,2),"机构午餐","无统一供餐"),"差旅状态；无统一日程"))))))</f>
        <v/>
      </c>
      <c r="E715" s="13">
        <f>IF(C715=Options!$B$9,Options!$C$15,0)</f>
        <v/>
      </c>
      <c r="F715" s="13">
        <f>IF(AND(A715&lt;&gt;"",C715&lt;Options!$B$10),B715*Options!$X$5,0)</f>
        <v/>
      </c>
      <c r="G715" s="13">
        <f>F715*12%</f>
        <v/>
      </c>
      <c r="H715" s="13">
        <f>IF(A715="",0,B715*(92*IF(OR(C715=Options!$B$9,C715=Options!$B$10),75%,100%)-IF(C715=DATE(2026,11,29),26+IF(Options!$B$8="是",23,0),0)-IF(C715=DATE(2026,11,30),26,0)-IF(C715=DATE(2026,12,1),64,0)-IF(C715=DATE(2026,11,28),38,0)-IF(C715=DATE(2026,12,2),26,0)))</f>
        <v/>
      </c>
      <c r="I715" s="13">
        <f>IF(AND(C715&gt;=DATE(2026,11,29),C715&lt;=DATE(2026,12,1)),B715*60,0)</f>
        <v/>
      </c>
      <c r="J715" s="13">
        <f>IF(A715="",0,B715*(IF(C715=DATE(2026,11,28),38,0)+IF(C715=DATE(2026,12,1),38,0)+IF(C715=DATE(2026,12,2),26,0)))</f>
        <v/>
      </c>
      <c r="K715" s="13">
        <f>IF(C715=Options!$B$9,B715*12,0)</f>
        <v/>
      </c>
      <c r="L715" s="13">
        <f>IF(C715=Options!$B$9,B715*Options!$Z$5,0)</f>
        <v/>
      </c>
      <c r="M715" s="13" t="n">
        <v>0</v>
      </c>
      <c r="N715" s="13">
        <f>SUM(E715:M715)</f>
        <v/>
      </c>
    </row>
    <row r="716">
      <c r="A716" s="5">
        <f>IF(AND(C716&gt;=Options!$B$9,C716&lt;=Options!$B$10),"Chicago","")</f>
        <v/>
      </c>
      <c r="B716" s="5">
        <f>IF(A716="","",24)</f>
        <v/>
      </c>
      <c r="C716" s="17" t="n">
        <v>46642</v>
      </c>
      <c r="D716" s="5">
        <f>IF(A716="","",IF(C716=DATE(2026,11,29),"培训；注册午餐；早餐参数",IF(C716=DATE(2026,11,30),"培训；注册午餐",IF(C716=DATE(2026,12,1),"培训；注册午餐；机构晚餐",IF(C716=Options!$B$9,"抵达；"&amp;IF(C716=DATE(2026,11,28),"机构晚餐","无统一供餐"),IF(C716=Options!$B$10,"返程；"&amp;IF(C716=DATE(2026,12,2),"机构午餐","无统一供餐"),"差旅状态；无统一日程"))))))</f>
        <v/>
      </c>
      <c r="E716" s="13">
        <f>IF(C716=Options!$B$9,Options!$C$15,0)</f>
        <v/>
      </c>
      <c r="F716" s="13">
        <f>IF(AND(A716&lt;&gt;"",C716&lt;Options!$B$10),B716*Options!$X$5,0)</f>
        <v/>
      </c>
      <c r="G716" s="13">
        <f>F716*12%</f>
        <v/>
      </c>
      <c r="H716" s="13">
        <f>IF(A716="",0,B716*(92*IF(OR(C716=Options!$B$9,C716=Options!$B$10),75%,100%)-IF(C716=DATE(2026,11,29),26+IF(Options!$B$8="是",23,0),0)-IF(C716=DATE(2026,11,30),26,0)-IF(C716=DATE(2026,12,1),64,0)-IF(C716=DATE(2026,11,28),38,0)-IF(C716=DATE(2026,12,2),26,0)))</f>
        <v/>
      </c>
      <c r="I716" s="13">
        <f>IF(AND(C716&gt;=DATE(2026,11,29),C716&lt;=DATE(2026,12,1)),B716*60,0)</f>
        <v/>
      </c>
      <c r="J716" s="13">
        <f>IF(A716="",0,B716*(IF(C716=DATE(2026,11,28),38,0)+IF(C716=DATE(2026,12,1),38,0)+IF(C716=DATE(2026,12,2),26,0)))</f>
        <v/>
      </c>
      <c r="K716" s="13">
        <f>IF(C716=Options!$B$9,B716*12,0)</f>
        <v/>
      </c>
      <c r="L716" s="13">
        <f>IF(C716=Options!$B$9,B716*Options!$Z$5,0)</f>
        <v/>
      </c>
      <c r="M716" s="13" t="n">
        <v>0</v>
      </c>
      <c r="N716" s="13">
        <f>SUM(E716:M716)</f>
        <v/>
      </c>
    </row>
    <row r="717">
      <c r="A717" s="5">
        <f>IF(AND(C717&gt;=Options!$B$9,C717&lt;=Options!$B$10),"Chicago","")</f>
        <v/>
      </c>
      <c r="B717" s="5">
        <f>IF(A717="","",24)</f>
        <v/>
      </c>
      <c r="C717" s="17" t="n">
        <v>46643</v>
      </c>
      <c r="D717" s="5">
        <f>IF(A717="","",IF(C717=DATE(2026,11,29),"培训；注册午餐；早餐参数",IF(C717=DATE(2026,11,30),"培训；注册午餐",IF(C717=DATE(2026,12,1),"培训；注册午餐；机构晚餐",IF(C717=Options!$B$9,"抵达；"&amp;IF(C717=DATE(2026,11,28),"机构晚餐","无统一供餐"),IF(C717=Options!$B$10,"返程；"&amp;IF(C717=DATE(2026,12,2),"机构午餐","无统一供餐"),"差旅状态；无统一日程"))))))</f>
        <v/>
      </c>
      <c r="E717" s="13">
        <f>IF(C717=Options!$B$9,Options!$C$15,0)</f>
        <v/>
      </c>
      <c r="F717" s="13">
        <f>IF(AND(A717&lt;&gt;"",C717&lt;Options!$B$10),B717*Options!$X$5,0)</f>
        <v/>
      </c>
      <c r="G717" s="13">
        <f>F717*12%</f>
        <v/>
      </c>
      <c r="H717" s="13">
        <f>IF(A717="",0,B717*(92*IF(OR(C717=Options!$B$9,C717=Options!$B$10),75%,100%)-IF(C717=DATE(2026,11,29),26+IF(Options!$B$8="是",23,0),0)-IF(C717=DATE(2026,11,30),26,0)-IF(C717=DATE(2026,12,1),64,0)-IF(C717=DATE(2026,11,28),38,0)-IF(C717=DATE(2026,12,2),26,0)))</f>
        <v/>
      </c>
      <c r="I717" s="13">
        <f>IF(AND(C717&gt;=DATE(2026,11,29),C717&lt;=DATE(2026,12,1)),B717*60,0)</f>
        <v/>
      </c>
      <c r="J717" s="13">
        <f>IF(A717="",0,B717*(IF(C717=DATE(2026,11,28),38,0)+IF(C717=DATE(2026,12,1),38,0)+IF(C717=DATE(2026,12,2),26,0)))</f>
        <v/>
      </c>
      <c r="K717" s="13">
        <f>IF(C717=Options!$B$9,B717*12,0)</f>
        <v/>
      </c>
      <c r="L717" s="13">
        <f>IF(C717=Options!$B$9,B717*Options!$Z$5,0)</f>
        <v/>
      </c>
      <c r="M717" s="13" t="n">
        <v>0</v>
      </c>
      <c r="N717" s="13">
        <f>SUM(E717:M717)</f>
        <v/>
      </c>
    </row>
    <row r="718">
      <c r="A718" s="5">
        <f>IF(AND(C718&gt;=Options!$B$9,C718&lt;=Options!$B$10),"Chicago","")</f>
        <v/>
      </c>
      <c r="B718" s="5">
        <f>IF(A718="","",24)</f>
        <v/>
      </c>
      <c r="C718" s="17" t="n">
        <v>46644</v>
      </c>
      <c r="D718" s="5">
        <f>IF(A718="","",IF(C718=DATE(2026,11,29),"培训；注册午餐；早餐参数",IF(C718=DATE(2026,11,30),"培训；注册午餐",IF(C718=DATE(2026,12,1),"培训；注册午餐；机构晚餐",IF(C718=Options!$B$9,"抵达；"&amp;IF(C718=DATE(2026,11,28),"机构晚餐","无统一供餐"),IF(C718=Options!$B$10,"返程；"&amp;IF(C718=DATE(2026,12,2),"机构午餐","无统一供餐"),"差旅状态；无统一日程"))))))</f>
        <v/>
      </c>
      <c r="E718" s="13">
        <f>IF(C718=Options!$B$9,Options!$C$15,0)</f>
        <v/>
      </c>
      <c r="F718" s="13">
        <f>IF(AND(A718&lt;&gt;"",C718&lt;Options!$B$10),B718*Options!$X$5,0)</f>
        <v/>
      </c>
      <c r="G718" s="13">
        <f>F718*12%</f>
        <v/>
      </c>
      <c r="H718" s="13">
        <f>IF(A718="",0,B718*(92*IF(OR(C718=Options!$B$9,C718=Options!$B$10),75%,100%)-IF(C718=DATE(2026,11,29),26+IF(Options!$B$8="是",23,0),0)-IF(C718=DATE(2026,11,30),26,0)-IF(C718=DATE(2026,12,1),64,0)-IF(C718=DATE(2026,11,28),38,0)-IF(C718=DATE(2026,12,2),26,0)))</f>
        <v/>
      </c>
      <c r="I718" s="13">
        <f>IF(AND(C718&gt;=DATE(2026,11,29),C718&lt;=DATE(2026,12,1)),B718*60,0)</f>
        <v/>
      </c>
      <c r="J718" s="13">
        <f>IF(A718="",0,B718*(IF(C718=DATE(2026,11,28),38,0)+IF(C718=DATE(2026,12,1),38,0)+IF(C718=DATE(2026,12,2),26,0)))</f>
        <v/>
      </c>
      <c r="K718" s="13">
        <f>IF(C718=Options!$B$9,B718*12,0)</f>
        <v/>
      </c>
      <c r="L718" s="13">
        <f>IF(C718=Options!$B$9,B718*Options!$Z$5,0)</f>
        <v/>
      </c>
      <c r="M718" s="13" t="n">
        <v>0</v>
      </c>
      <c r="N718" s="13">
        <f>SUM(E718:M718)</f>
        <v/>
      </c>
    </row>
    <row r="719">
      <c r="A719" s="5">
        <f>IF(AND(C719&gt;=Options!$B$9,C719&lt;=Options!$B$10),"Chicago","")</f>
        <v/>
      </c>
      <c r="B719" s="5">
        <f>IF(A719="","",24)</f>
        <v/>
      </c>
      <c r="C719" s="17" t="n">
        <v>46645</v>
      </c>
      <c r="D719" s="5">
        <f>IF(A719="","",IF(C719=DATE(2026,11,29),"培训；注册午餐；早餐参数",IF(C719=DATE(2026,11,30),"培训；注册午餐",IF(C719=DATE(2026,12,1),"培训；注册午餐；机构晚餐",IF(C719=Options!$B$9,"抵达；"&amp;IF(C719=DATE(2026,11,28),"机构晚餐","无统一供餐"),IF(C719=Options!$B$10,"返程；"&amp;IF(C719=DATE(2026,12,2),"机构午餐","无统一供餐"),"差旅状态；无统一日程"))))))</f>
        <v/>
      </c>
      <c r="E719" s="13">
        <f>IF(C719=Options!$B$9,Options!$C$15,0)</f>
        <v/>
      </c>
      <c r="F719" s="13">
        <f>IF(AND(A719&lt;&gt;"",C719&lt;Options!$B$10),B719*Options!$X$5,0)</f>
        <v/>
      </c>
      <c r="G719" s="13">
        <f>F719*12%</f>
        <v/>
      </c>
      <c r="H719" s="13">
        <f>IF(A719="",0,B719*(92*IF(OR(C719=Options!$B$9,C719=Options!$B$10),75%,100%)-IF(C719=DATE(2026,11,29),26+IF(Options!$B$8="是",23,0),0)-IF(C719=DATE(2026,11,30),26,0)-IF(C719=DATE(2026,12,1),64,0)-IF(C719=DATE(2026,11,28),38,0)-IF(C719=DATE(2026,12,2),26,0)))</f>
        <v/>
      </c>
      <c r="I719" s="13">
        <f>IF(AND(C719&gt;=DATE(2026,11,29),C719&lt;=DATE(2026,12,1)),B719*60,0)</f>
        <v/>
      </c>
      <c r="J719" s="13">
        <f>IF(A719="",0,B719*(IF(C719=DATE(2026,11,28),38,0)+IF(C719=DATE(2026,12,1),38,0)+IF(C719=DATE(2026,12,2),26,0)))</f>
        <v/>
      </c>
      <c r="K719" s="13">
        <f>IF(C719=Options!$B$9,B719*12,0)</f>
        <v/>
      </c>
      <c r="L719" s="13">
        <f>IF(C719=Options!$B$9,B719*Options!$Z$5,0)</f>
        <v/>
      </c>
      <c r="M719" s="13" t="n">
        <v>0</v>
      </c>
      <c r="N719" s="13">
        <f>SUM(E719:M719)</f>
        <v/>
      </c>
    </row>
    <row r="720">
      <c r="A720" s="5">
        <f>IF(AND(C720&gt;=Options!$B$9,C720&lt;=Options!$B$10),"Chicago","")</f>
        <v/>
      </c>
      <c r="B720" s="5">
        <f>IF(A720="","",24)</f>
        <v/>
      </c>
      <c r="C720" s="17" t="n">
        <v>46646</v>
      </c>
      <c r="D720" s="5">
        <f>IF(A720="","",IF(C720=DATE(2026,11,29),"培训；注册午餐；早餐参数",IF(C720=DATE(2026,11,30),"培训；注册午餐",IF(C720=DATE(2026,12,1),"培训；注册午餐；机构晚餐",IF(C720=Options!$B$9,"抵达；"&amp;IF(C720=DATE(2026,11,28),"机构晚餐","无统一供餐"),IF(C720=Options!$B$10,"返程；"&amp;IF(C720=DATE(2026,12,2),"机构午餐","无统一供餐"),"差旅状态；无统一日程"))))))</f>
        <v/>
      </c>
      <c r="E720" s="13">
        <f>IF(C720=Options!$B$9,Options!$C$15,0)</f>
        <v/>
      </c>
      <c r="F720" s="13">
        <f>IF(AND(A720&lt;&gt;"",C720&lt;Options!$B$10),B720*Options!$X$5,0)</f>
        <v/>
      </c>
      <c r="G720" s="13">
        <f>F720*12%</f>
        <v/>
      </c>
      <c r="H720" s="13">
        <f>IF(A720="",0,B720*(92*IF(OR(C720=Options!$B$9,C720=Options!$B$10),75%,100%)-IF(C720=DATE(2026,11,29),26+IF(Options!$B$8="是",23,0),0)-IF(C720=DATE(2026,11,30),26,0)-IF(C720=DATE(2026,12,1),64,0)-IF(C720=DATE(2026,11,28),38,0)-IF(C720=DATE(2026,12,2),26,0)))</f>
        <v/>
      </c>
      <c r="I720" s="13">
        <f>IF(AND(C720&gt;=DATE(2026,11,29),C720&lt;=DATE(2026,12,1)),B720*60,0)</f>
        <v/>
      </c>
      <c r="J720" s="13">
        <f>IF(A720="",0,B720*(IF(C720=DATE(2026,11,28),38,0)+IF(C720=DATE(2026,12,1),38,0)+IF(C720=DATE(2026,12,2),26,0)))</f>
        <v/>
      </c>
      <c r="K720" s="13">
        <f>IF(C720=Options!$B$9,B720*12,0)</f>
        <v/>
      </c>
      <c r="L720" s="13">
        <f>IF(C720=Options!$B$9,B720*Options!$Z$5,0)</f>
        <v/>
      </c>
      <c r="M720" s="13" t="n">
        <v>0</v>
      </c>
      <c r="N720" s="13">
        <f>SUM(E720:M720)</f>
        <v/>
      </c>
    </row>
    <row r="721">
      <c r="A721" s="5">
        <f>IF(AND(C721&gt;=Options!$B$9,C721&lt;=Options!$B$10),"Chicago","")</f>
        <v/>
      </c>
      <c r="B721" s="5">
        <f>IF(A721="","",24)</f>
        <v/>
      </c>
      <c r="C721" s="17" t="n">
        <v>46647</v>
      </c>
      <c r="D721" s="5">
        <f>IF(A721="","",IF(C721=DATE(2026,11,29),"培训；注册午餐；早餐参数",IF(C721=DATE(2026,11,30),"培训；注册午餐",IF(C721=DATE(2026,12,1),"培训；注册午餐；机构晚餐",IF(C721=Options!$B$9,"抵达；"&amp;IF(C721=DATE(2026,11,28),"机构晚餐","无统一供餐"),IF(C721=Options!$B$10,"返程；"&amp;IF(C721=DATE(2026,12,2),"机构午餐","无统一供餐"),"差旅状态；无统一日程"))))))</f>
        <v/>
      </c>
      <c r="E721" s="13">
        <f>IF(C721=Options!$B$9,Options!$C$15,0)</f>
        <v/>
      </c>
      <c r="F721" s="13">
        <f>IF(AND(A721&lt;&gt;"",C721&lt;Options!$B$10),B721*Options!$X$5,0)</f>
        <v/>
      </c>
      <c r="G721" s="13">
        <f>F721*12%</f>
        <v/>
      </c>
      <c r="H721" s="13">
        <f>IF(A721="",0,B721*(92*IF(OR(C721=Options!$B$9,C721=Options!$B$10),75%,100%)-IF(C721=DATE(2026,11,29),26+IF(Options!$B$8="是",23,0),0)-IF(C721=DATE(2026,11,30),26,0)-IF(C721=DATE(2026,12,1),64,0)-IF(C721=DATE(2026,11,28),38,0)-IF(C721=DATE(2026,12,2),26,0)))</f>
        <v/>
      </c>
      <c r="I721" s="13">
        <f>IF(AND(C721&gt;=DATE(2026,11,29),C721&lt;=DATE(2026,12,1)),B721*60,0)</f>
        <v/>
      </c>
      <c r="J721" s="13">
        <f>IF(A721="",0,B721*(IF(C721=DATE(2026,11,28),38,0)+IF(C721=DATE(2026,12,1),38,0)+IF(C721=DATE(2026,12,2),26,0)))</f>
        <v/>
      </c>
      <c r="K721" s="13">
        <f>IF(C721=Options!$B$9,B721*12,0)</f>
        <v/>
      </c>
      <c r="L721" s="13">
        <f>IF(C721=Options!$B$9,B721*Options!$Z$5,0)</f>
        <v/>
      </c>
      <c r="M721" s="13" t="n">
        <v>0</v>
      </c>
      <c r="N721" s="13">
        <f>SUM(E721:M721)</f>
        <v/>
      </c>
    </row>
    <row r="722">
      <c r="A722" s="5">
        <f>IF(AND(C722&gt;=Options!$B$9,C722&lt;=Options!$B$10),"Chicago","")</f>
        <v/>
      </c>
      <c r="B722" s="5">
        <f>IF(A722="","",24)</f>
        <v/>
      </c>
      <c r="C722" s="17" t="n">
        <v>46648</v>
      </c>
      <c r="D722" s="5">
        <f>IF(A722="","",IF(C722=DATE(2026,11,29),"培训；注册午餐；早餐参数",IF(C722=DATE(2026,11,30),"培训；注册午餐",IF(C722=DATE(2026,12,1),"培训；注册午餐；机构晚餐",IF(C722=Options!$B$9,"抵达；"&amp;IF(C722=DATE(2026,11,28),"机构晚餐","无统一供餐"),IF(C722=Options!$B$10,"返程；"&amp;IF(C722=DATE(2026,12,2),"机构午餐","无统一供餐"),"差旅状态；无统一日程"))))))</f>
        <v/>
      </c>
      <c r="E722" s="13">
        <f>IF(C722=Options!$B$9,Options!$C$15,0)</f>
        <v/>
      </c>
      <c r="F722" s="13">
        <f>IF(AND(A722&lt;&gt;"",C722&lt;Options!$B$10),B722*Options!$X$5,0)</f>
        <v/>
      </c>
      <c r="G722" s="13">
        <f>F722*12%</f>
        <v/>
      </c>
      <c r="H722" s="13">
        <f>IF(A722="",0,B722*(92*IF(OR(C722=Options!$B$9,C722=Options!$B$10),75%,100%)-IF(C722=DATE(2026,11,29),26+IF(Options!$B$8="是",23,0),0)-IF(C722=DATE(2026,11,30),26,0)-IF(C722=DATE(2026,12,1),64,0)-IF(C722=DATE(2026,11,28),38,0)-IF(C722=DATE(2026,12,2),26,0)))</f>
        <v/>
      </c>
      <c r="I722" s="13">
        <f>IF(AND(C722&gt;=DATE(2026,11,29),C722&lt;=DATE(2026,12,1)),B722*60,0)</f>
        <v/>
      </c>
      <c r="J722" s="13">
        <f>IF(A722="",0,B722*(IF(C722=DATE(2026,11,28),38,0)+IF(C722=DATE(2026,12,1),38,0)+IF(C722=DATE(2026,12,2),26,0)))</f>
        <v/>
      </c>
      <c r="K722" s="13">
        <f>IF(C722=Options!$B$9,B722*12,0)</f>
        <v/>
      </c>
      <c r="L722" s="13">
        <f>IF(C722=Options!$B$9,B722*Options!$Z$5,0)</f>
        <v/>
      </c>
      <c r="M722" s="13" t="n">
        <v>0</v>
      </c>
      <c r="N722" s="13">
        <f>SUM(E722:M722)</f>
        <v/>
      </c>
    </row>
    <row r="723">
      <c r="A723" s="5">
        <f>IF(AND(C723&gt;=Options!$B$9,C723&lt;=Options!$B$10),"Chicago","")</f>
        <v/>
      </c>
      <c r="B723" s="5">
        <f>IF(A723="","",24)</f>
        <v/>
      </c>
      <c r="C723" s="17" t="n">
        <v>46649</v>
      </c>
      <c r="D723" s="5">
        <f>IF(A723="","",IF(C723=DATE(2026,11,29),"培训；注册午餐；早餐参数",IF(C723=DATE(2026,11,30),"培训；注册午餐",IF(C723=DATE(2026,12,1),"培训；注册午餐；机构晚餐",IF(C723=Options!$B$9,"抵达；"&amp;IF(C723=DATE(2026,11,28),"机构晚餐","无统一供餐"),IF(C723=Options!$B$10,"返程；"&amp;IF(C723=DATE(2026,12,2),"机构午餐","无统一供餐"),"差旅状态；无统一日程"))))))</f>
        <v/>
      </c>
      <c r="E723" s="13">
        <f>IF(C723=Options!$B$9,Options!$C$15,0)</f>
        <v/>
      </c>
      <c r="F723" s="13">
        <f>IF(AND(A723&lt;&gt;"",C723&lt;Options!$B$10),B723*Options!$X$5,0)</f>
        <v/>
      </c>
      <c r="G723" s="13">
        <f>F723*12%</f>
        <v/>
      </c>
      <c r="H723" s="13">
        <f>IF(A723="",0,B723*(92*IF(OR(C723=Options!$B$9,C723=Options!$B$10),75%,100%)-IF(C723=DATE(2026,11,29),26+IF(Options!$B$8="是",23,0),0)-IF(C723=DATE(2026,11,30),26,0)-IF(C723=DATE(2026,12,1),64,0)-IF(C723=DATE(2026,11,28),38,0)-IF(C723=DATE(2026,12,2),26,0)))</f>
        <v/>
      </c>
      <c r="I723" s="13">
        <f>IF(AND(C723&gt;=DATE(2026,11,29),C723&lt;=DATE(2026,12,1)),B723*60,0)</f>
        <v/>
      </c>
      <c r="J723" s="13">
        <f>IF(A723="",0,B723*(IF(C723=DATE(2026,11,28),38,0)+IF(C723=DATE(2026,12,1),38,0)+IF(C723=DATE(2026,12,2),26,0)))</f>
        <v/>
      </c>
      <c r="K723" s="13">
        <f>IF(C723=Options!$B$9,B723*12,0)</f>
        <v/>
      </c>
      <c r="L723" s="13">
        <f>IF(C723=Options!$B$9,B723*Options!$Z$5,0)</f>
        <v/>
      </c>
      <c r="M723" s="13" t="n">
        <v>0</v>
      </c>
      <c r="N723" s="13">
        <f>SUM(E723:M723)</f>
        <v/>
      </c>
    </row>
    <row r="724">
      <c r="A724" s="5">
        <f>IF(AND(C724&gt;=Options!$B$9,C724&lt;=Options!$B$10),"Chicago","")</f>
        <v/>
      </c>
      <c r="B724" s="5">
        <f>IF(A724="","",24)</f>
        <v/>
      </c>
      <c r="C724" s="17" t="n">
        <v>46650</v>
      </c>
      <c r="D724" s="5">
        <f>IF(A724="","",IF(C724=DATE(2026,11,29),"培训；注册午餐；早餐参数",IF(C724=DATE(2026,11,30),"培训；注册午餐",IF(C724=DATE(2026,12,1),"培训；注册午餐；机构晚餐",IF(C724=Options!$B$9,"抵达；"&amp;IF(C724=DATE(2026,11,28),"机构晚餐","无统一供餐"),IF(C724=Options!$B$10,"返程；"&amp;IF(C724=DATE(2026,12,2),"机构午餐","无统一供餐"),"差旅状态；无统一日程"))))))</f>
        <v/>
      </c>
      <c r="E724" s="13">
        <f>IF(C724=Options!$B$9,Options!$C$15,0)</f>
        <v/>
      </c>
      <c r="F724" s="13">
        <f>IF(AND(A724&lt;&gt;"",C724&lt;Options!$B$10),B724*Options!$X$5,0)</f>
        <v/>
      </c>
      <c r="G724" s="13">
        <f>F724*12%</f>
        <v/>
      </c>
      <c r="H724" s="13">
        <f>IF(A724="",0,B724*(92*IF(OR(C724=Options!$B$9,C724=Options!$B$10),75%,100%)-IF(C724=DATE(2026,11,29),26+IF(Options!$B$8="是",23,0),0)-IF(C724=DATE(2026,11,30),26,0)-IF(C724=DATE(2026,12,1),64,0)-IF(C724=DATE(2026,11,28),38,0)-IF(C724=DATE(2026,12,2),26,0)))</f>
        <v/>
      </c>
      <c r="I724" s="13">
        <f>IF(AND(C724&gt;=DATE(2026,11,29),C724&lt;=DATE(2026,12,1)),B724*60,0)</f>
        <v/>
      </c>
      <c r="J724" s="13">
        <f>IF(A724="",0,B724*(IF(C724=DATE(2026,11,28),38,0)+IF(C724=DATE(2026,12,1),38,0)+IF(C724=DATE(2026,12,2),26,0)))</f>
        <v/>
      </c>
      <c r="K724" s="13">
        <f>IF(C724=Options!$B$9,B724*12,0)</f>
        <v/>
      </c>
      <c r="L724" s="13">
        <f>IF(C724=Options!$B$9,B724*Options!$Z$5,0)</f>
        <v/>
      </c>
      <c r="M724" s="13" t="n">
        <v>0</v>
      </c>
      <c r="N724" s="13">
        <f>SUM(E724:M724)</f>
        <v/>
      </c>
    </row>
    <row r="725">
      <c r="A725" s="5">
        <f>IF(AND(C725&gt;=Options!$B$9,C725&lt;=Options!$B$10),"Chicago","")</f>
        <v/>
      </c>
      <c r="B725" s="5">
        <f>IF(A725="","",24)</f>
        <v/>
      </c>
      <c r="C725" s="17" t="n">
        <v>46651</v>
      </c>
      <c r="D725" s="5">
        <f>IF(A725="","",IF(C725=DATE(2026,11,29),"培训；注册午餐；早餐参数",IF(C725=DATE(2026,11,30),"培训；注册午餐",IF(C725=DATE(2026,12,1),"培训；注册午餐；机构晚餐",IF(C725=Options!$B$9,"抵达；"&amp;IF(C725=DATE(2026,11,28),"机构晚餐","无统一供餐"),IF(C725=Options!$B$10,"返程；"&amp;IF(C725=DATE(2026,12,2),"机构午餐","无统一供餐"),"差旅状态；无统一日程"))))))</f>
        <v/>
      </c>
      <c r="E725" s="13">
        <f>IF(C725=Options!$B$9,Options!$C$15,0)</f>
        <v/>
      </c>
      <c r="F725" s="13">
        <f>IF(AND(A725&lt;&gt;"",C725&lt;Options!$B$10),B725*Options!$X$5,0)</f>
        <v/>
      </c>
      <c r="G725" s="13">
        <f>F725*12%</f>
        <v/>
      </c>
      <c r="H725" s="13">
        <f>IF(A725="",0,B725*(92*IF(OR(C725=Options!$B$9,C725=Options!$B$10),75%,100%)-IF(C725=DATE(2026,11,29),26+IF(Options!$B$8="是",23,0),0)-IF(C725=DATE(2026,11,30),26,0)-IF(C725=DATE(2026,12,1),64,0)-IF(C725=DATE(2026,11,28),38,0)-IF(C725=DATE(2026,12,2),26,0)))</f>
        <v/>
      </c>
      <c r="I725" s="13">
        <f>IF(AND(C725&gt;=DATE(2026,11,29),C725&lt;=DATE(2026,12,1)),B725*60,0)</f>
        <v/>
      </c>
      <c r="J725" s="13">
        <f>IF(A725="",0,B725*(IF(C725=DATE(2026,11,28),38,0)+IF(C725=DATE(2026,12,1),38,0)+IF(C725=DATE(2026,12,2),26,0)))</f>
        <v/>
      </c>
      <c r="K725" s="13">
        <f>IF(C725=Options!$B$9,B725*12,0)</f>
        <v/>
      </c>
      <c r="L725" s="13">
        <f>IF(C725=Options!$B$9,B725*Options!$Z$5,0)</f>
        <v/>
      </c>
      <c r="M725" s="13" t="n">
        <v>0</v>
      </c>
      <c r="N725" s="13">
        <f>SUM(E725:M725)</f>
        <v/>
      </c>
    </row>
    <row r="726">
      <c r="A726" s="5">
        <f>IF(AND(C726&gt;=Options!$B$9,C726&lt;=Options!$B$10),"Chicago","")</f>
        <v/>
      </c>
      <c r="B726" s="5">
        <f>IF(A726="","",24)</f>
        <v/>
      </c>
      <c r="C726" s="17" t="n">
        <v>46652</v>
      </c>
      <c r="D726" s="5">
        <f>IF(A726="","",IF(C726=DATE(2026,11,29),"培训；注册午餐；早餐参数",IF(C726=DATE(2026,11,30),"培训；注册午餐",IF(C726=DATE(2026,12,1),"培训；注册午餐；机构晚餐",IF(C726=Options!$B$9,"抵达；"&amp;IF(C726=DATE(2026,11,28),"机构晚餐","无统一供餐"),IF(C726=Options!$B$10,"返程；"&amp;IF(C726=DATE(2026,12,2),"机构午餐","无统一供餐"),"差旅状态；无统一日程"))))))</f>
        <v/>
      </c>
      <c r="E726" s="13">
        <f>IF(C726=Options!$B$9,Options!$C$15,0)</f>
        <v/>
      </c>
      <c r="F726" s="13">
        <f>IF(AND(A726&lt;&gt;"",C726&lt;Options!$B$10),B726*Options!$X$5,0)</f>
        <v/>
      </c>
      <c r="G726" s="13">
        <f>F726*12%</f>
        <v/>
      </c>
      <c r="H726" s="13">
        <f>IF(A726="",0,B726*(92*IF(OR(C726=Options!$B$9,C726=Options!$B$10),75%,100%)-IF(C726=DATE(2026,11,29),26+IF(Options!$B$8="是",23,0),0)-IF(C726=DATE(2026,11,30),26,0)-IF(C726=DATE(2026,12,1),64,0)-IF(C726=DATE(2026,11,28),38,0)-IF(C726=DATE(2026,12,2),26,0)))</f>
        <v/>
      </c>
      <c r="I726" s="13">
        <f>IF(AND(C726&gt;=DATE(2026,11,29),C726&lt;=DATE(2026,12,1)),B726*60,0)</f>
        <v/>
      </c>
      <c r="J726" s="13">
        <f>IF(A726="",0,B726*(IF(C726=DATE(2026,11,28),38,0)+IF(C726=DATE(2026,12,1),38,0)+IF(C726=DATE(2026,12,2),26,0)))</f>
        <v/>
      </c>
      <c r="K726" s="13">
        <f>IF(C726=Options!$B$9,B726*12,0)</f>
        <v/>
      </c>
      <c r="L726" s="13">
        <f>IF(C726=Options!$B$9,B726*Options!$Z$5,0)</f>
        <v/>
      </c>
      <c r="M726" s="13" t="n">
        <v>0</v>
      </c>
      <c r="N726" s="13">
        <f>SUM(E726:M726)</f>
        <v/>
      </c>
    </row>
    <row r="727">
      <c r="A727" s="5">
        <f>IF(AND(C727&gt;=Options!$B$9,C727&lt;=Options!$B$10),"Chicago","")</f>
        <v/>
      </c>
      <c r="B727" s="5">
        <f>IF(A727="","",24)</f>
        <v/>
      </c>
      <c r="C727" s="17" t="n">
        <v>46653</v>
      </c>
      <c r="D727" s="5">
        <f>IF(A727="","",IF(C727=DATE(2026,11,29),"培训；注册午餐；早餐参数",IF(C727=DATE(2026,11,30),"培训；注册午餐",IF(C727=DATE(2026,12,1),"培训；注册午餐；机构晚餐",IF(C727=Options!$B$9,"抵达；"&amp;IF(C727=DATE(2026,11,28),"机构晚餐","无统一供餐"),IF(C727=Options!$B$10,"返程；"&amp;IF(C727=DATE(2026,12,2),"机构午餐","无统一供餐"),"差旅状态；无统一日程"))))))</f>
        <v/>
      </c>
      <c r="E727" s="13">
        <f>IF(C727=Options!$B$9,Options!$C$15,0)</f>
        <v/>
      </c>
      <c r="F727" s="13">
        <f>IF(AND(A727&lt;&gt;"",C727&lt;Options!$B$10),B727*Options!$X$5,0)</f>
        <v/>
      </c>
      <c r="G727" s="13">
        <f>F727*12%</f>
        <v/>
      </c>
      <c r="H727" s="13">
        <f>IF(A727="",0,B727*(92*IF(OR(C727=Options!$B$9,C727=Options!$B$10),75%,100%)-IF(C727=DATE(2026,11,29),26+IF(Options!$B$8="是",23,0),0)-IF(C727=DATE(2026,11,30),26,0)-IF(C727=DATE(2026,12,1),64,0)-IF(C727=DATE(2026,11,28),38,0)-IF(C727=DATE(2026,12,2),26,0)))</f>
        <v/>
      </c>
      <c r="I727" s="13">
        <f>IF(AND(C727&gt;=DATE(2026,11,29),C727&lt;=DATE(2026,12,1)),B727*60,0)</f>
        <v/>
      </c>
      <c r="J727" s="13">
        <f>IF(A727="",0,B727*(IF(C727=DATE(2026,11,28),38,0)+IF(C727=DATE(2026,12,1),38,0)+IF(C727=DATE(2026,12,2),26,0)))</f>
        <v/>
      </c>
      <c r="K727" s="13">
        <f>IF(C727=Options!$B$9,B727*12,0)</f>
        <v/>
      </c>
      <c r="L727" s="13">
        <f>IF(C727=Options!$B$9,B727*Options!$Z$5,0)</f>
        <v/>
      </c>
      <c r="M727" s="13" t="n">
        <v>0</v>
      </c>
      <c r="N727" s="13">
        <f>SUM(E727:M727)</f>
        <v/>
      </c>
    </row>
    <row r="728">
      <c r="A728" s="5">
        <f>IF(AND(C728&gt;=Options!$B$9,C728&lt;=Options!$B$10),"Chicago","")</f>
        <v/>
      </c>
      <c r="B728" s="5">
        <f>IF(A728="","",24)</f>
        <v/>
      </c>
      <c r="C728" s="17" t="n">
        <v>46654</v>
      </c>
      <c r="D728" s="5">
        <f>IF(A728="","",IF(C728=DATE(2026,11,29),"培训；注册午餐；早餐参数",IF(C728=DATE(2026,11,30),"培训；注册午餐",IF(C728=DATE(2026,12,1),"培训；注册午餐；机构晚餐",IF(C728=Options!$B$9,"抵达；"&amp;IF(C728=DATE(2026,11,28),"机构晚餐","无统一供餐"),IF(C728=Options!$B$10,"返程；"&amp;IF(C728=DATE(2026,12,2),"机构午餐","无统一供餐"),"差旅状态；无统一日程"))))))</f>
        <v/>
      </c>
      <c r="E728" s="13">
        <f>IF(C728=Options!$B$9,Options!$C$15,0)</f>
        <v/>
      </c>
      <c r="F728" s="13">
        <f>IF(AND(A728&lt;&gt;"",C728&lt;Options!$B$10),B728*Options!$X$5,0)</f>
        <v/>
      </c>
      <c r="G728" s="13">
        <f>F728*12%</f>
        <v/>
      </c>
      <c r="H728" s="13">
        <f>IF(A728="",0,B728*(92*IF(OR(C728=Options!$B$9,C728=Options!$B$10),75%,100%)-IF(C728=DATE(2026,11,29),26+IF(Options!$B$8="是",23,0),0)-IF(C728=DATE(2026,11,30),26,0)-IF(C728=DATE(2026,12,1),64,0)-IF(C728=DATE(2026,11,28),38,0)-IF(C728=DATE(2026,12,2),26,0)))</f>
        <v/>
      </c>
      <c r="I728" s="13">
        <f>IF(AND(C728&gt;=DATE(2026,11,29),C728&lt;=DATE(2026,12,1)),B728*60,0)</f>
        <v/>
      </c>
      <c r="J728" s="13">
        <f>IF(A728="",0,B728*(IF(C728=DATE(2026,11,28),38,0)+IF(C728=DATE(2026,12,1),38,0)+IF(C728=DATE(2026,12,2),26,0)))</f>
        <v/>
      </c>
      <c r="K728" s="13">
        <f>IF(C728=Options!$B$9,B728*12,0)</f>
        <v/>
      </c>
      <c r="L728" s="13">
        <f>IF(C728=Options!$B$9,B728*Options!$Z$5,0)</f>
        <v/>
      </c>
      <c r="M728" s="13" t="n">
        <v>0</v>
      </c>
      <c r="N728" s="13">
        <f>SUM(E728:M728)</f>
        <v/>
      </c>
    </row>
    <row r="729">
      <c r="A729" s="5">
        <f>IF(AND(C729&gt;=Options!$B$9,C729&lt;=Options!$B$10),"Chicago","")</f>
        <v/>
      </c>
      <c r="B729" s="5">
        <f>IF(A729="","",24)</f>
        <v/>
      </c>
      <c r="C729" s="17" t="n">
        <v>46655</v>
      </c>
      <c r="D729" s="5">
        <f>IF(A729="","",IF(C729=DATE(2026,11,29),"培训；注册午餐；早餐参数",IF(C729=DATE(2026,11,30),"培训；注册午餐",IF(C729=DATE(2026,12,1),"培训；注册午餐；机构晚餐",IF(C729=Options!$B$9,"抵达；"&amp;IF(C729=DATE(2026,11,28),"机构晚餐","无统一供餐"),IF(C729=Options!$B$10,"返程；"&amp;IF(C729=DATE(2026,12,2),"机构午餐","无统一供餐"),"差旅状态；无统一日程"))))))</f>
        <v/>
      </c>
      <c r="E729" s="13">
        <f>IF(C729=Options!$B$9,Options!$C$15,0)</f>
        <v/>
      </c>
      <c r="F729" s="13">
        <f>IF(AND(A729&lt;&gt;"",C729&lt;Options!$B$10),B729*Options!$X$5,0)</f>
        <v/>
      </c>
      <c r="G729" s="13">
        <f>F729*12%</f>
        <v/>
      </c>
      <c r="H729" s="13">
        <f>IF(A729="",0,B729*(92*IF(OR(C729=Options!$B$9,C729=Options!$B$10),75%,100%)-IF(C729=DATE(2026,11,29),26+IF(Options!$B$8="是",23,0),0)-IF(C729=DATE(2026,11,30),26,0)-IF(C729=DATE(2026,12,1),64,0)-IF(C729=DATE(2026,11,28),38,0)-IF(C729=DATE(2026,12,2),26,0)))</f>
        <v/>
      </c>
      <c r="I729" s="13">
        <f>IF(AND(C729&gt;=DATE(2026,11,29),C729&lt;=DATE(2026,12,1)),B729*60,0)</f>
        <v/>
      </c>
      <c r="J729" s="13">
        <f>IF(A729="",0,B729*(IF(C729=DATE(2026,11,28),38,0)+IF(C729=DATE(2026,12,1),38,0)+IF(C729=DATE(2026,12,2),26,0)))</f>
        <v/>
      </c>
      <c r="K729" s="13">
        <f>IF(C729=Options!$B$9,B729*12,0)</f>
        <v/>
      </c>
      <c r="L729" s="13">
        <f>IF(C729=Options!$B$9,B729*Options!$Z$5,0)</f>
        <v/>
      </c>
      <c r="M729" s="13" t="n">
        <v>0</v>
      </c>
      <c r="N729" s="13">
        <f>SUM(E729:M729)</f>
        <v/>
      </c>
    </row>
    <row r="730">
      <c r="A730" s="5">
        <f>IF(AND(C730&gt;=Options!$B$9,C730&lt;=Options!$B$10),"Chicago","")</f>
        <v/>
      </c>
      <c r="B730" s="5">
        <f>IF(A730="","",24)</f>
        <v/>
      </c>
      <c r="C730" s="17" t="n">
        <v>46656</v>
      </c>
      <c r="D730" s="5">
        <f>IF(A730="","",IF(C730=DATE(2026,11,29),"培训；注册午餐；早餐参数",IF(C730=DATE(2026,11,30),"培训；注册午餐",IF(C730=DATE(2026,12,1),"培训；注册午餐；机构晚餐",IF(C730=Options!$B$9,"抵达；"&amp;IF(C730=DATE(2026,11,28),"机构晚餐","无统一供餐"),IF(C730=Options!$B$10,"返程；"&amp;IF(C730=DATE(2026,12,2),"机构午餐","无统一供餐"),"差旅状态；无统一日程"))))))</f>
        <v/>
      </c>
      <c r="E730" s="13">
        <f>IF(C730=Options!$B$9,Options!$C$15,0)</f>
        <v/>
      </c>
      <c r="F730" s="13">
        <f>IF(AND(A730&lt;&gt;"",C730&lt;Options!$B$10),B730*Options!$X$5,0)</f>
        <v/>
      </c>
      <c r="G730" s="13">
        <f>F730*12%</f>
        <v/>
      </c>
      <c r="H730" s="13">
        <f>IF(A730="",0,B730*(92*IF(OR(C730=Options!$B$9,C730=Options!$B$10),75%,100%)-IF(C730=DATE(2026,11,29),26+IF(Options!$B$8="是",23,0),0)-IF(C730=DATE(2026,11,30),26,0)-IF(C730=DATE(2026,12,1),64,0)-IF(C730=DATE(2026,11,28),38,0)-IF(C730=DATE(2026,12,2),26,0)))</f>
        <v/>
      </c>
      <c r="I730" s="13">
        <f>IF(AND(C730&gt;=DATE(2026,11,29),C730&lt;=DATE(2026,12,1)),B730*60,0)</f>
        <v/>
      </c>
      <c r="J730" s="13">
        <f>IF(A730="",0,B730*(IF(C730=DATE(2026,11,28),38,0)+IF(C730=DATE(2026,12,1),38,0)+IF(C730=DATE(2026,12,2),26,0)))</f>
        <v/>
      </c>
      <c r="K730" s="13">
        <f>IF(C730=Options!$B$9,B730*12,0)</f>
        <v/>
      </c>
      <c r="L730" s="13">
        <f>IF(C730=Options!$B$9,B730*Options!$Z$5,0)</f>
        <v/>
      </c>
      <c r="M730" s="13" t="n">
        <v>0</v>
      </c>
      <c r="N730" s="13">
        <f>SUM(E730:M730)</f>
        <v/>
      </c>
    </row>
    <row r="731">
      <c r="A731" s="5">
        <f>IF(AND(C731&gt;=Options!$B$9,C731&lt;=Options!$B$10),"Chicago","")</f>
        <v/>
      </c>
      <c r="B731" s="5">
        <f>IF(A731="","",24)</f>
        <v/>
      </c>
      <c r="C731" s="17" t="n">
        <v>46657</v>
      </c>
      <c r="D731" s="5">
        <f>IF(A731="","",IF(C731=DATE(2026,11,29),"培训；注册午餐；早餐参数",IF(C731=DATE(2026,11,30),"培训；注册午餐",IF(C731=DATE(2026,12,1),"培训；注册午餐；机构晚餐",IF(C731=Options!$B$9,"抵达；"&amp;IF(C731=DATE(2026,11,28),"机构晚餐","无统一供餐"),IF(C731=Options!$B$10,"返程；"&amp;IF(C731=DATE(2026,12,2),"机构午餐","无统一供餐"),"差旅状态；无统一日程"))))))</f>
        <v/>
      </c>
      <c r="E731" s="13">
        <f>IF(C731=Options!$B$9,Options!$C$15,0)</f>
        <v/>
      </c>
      <c r="F731" s="13">
        <f>IF(AND(A731&lt;&gt;"",C731&lt;Options!$B$10),B731*Options!$X$5,0)</f>
        <v/>
      </c>
      <c r="G731" s="13">
        <f>F731*12%</f>
        <v/>
      </c>
      <c r="H731" s="13">
        <f>IF(A731="",0,B731*(92*IF(OR(C731=Options!$B$9,C731=Options!$B$10),75%,100%)-IF(C731=DATE(2026,11,29),26+IF(Options!$B$8="是",23,0),0)-IF(C731=DATE(2026,11,30),26,0)-IF(C731=DATE(2026,12,1),64,0)-IF(C731=DATE(2026,11,28),38,0)-IF(C731=DATE(2026,12,2),26,0)))</f>
        <v/>
      </c>
      <c r="I731" s="13">
        <f>IF(AND(C731&gt;=DATE(2026,11,29),C731&lt;=DATE(2026,12,1)),B731*60,0)</f>
        <v/>
      </c>
      <c r="J731" s="13">
        <f>IF(A731="",0,B731*(IF(C731=DATE(2026,11,28),38,0)+IF(C731=DATE(2026,12,1),38,0)+IF(C731=DATE(2026,12,2),26,0)))</f>
        <v/>
      </c>
      <c r="K731" s="13">
        <f>IF(C731=Options!$B$9,B731*12,0)</f>
        <v/>
      </c>
      <c r="L731" s="13">
        <f>IF(C731=Options!$B$9,B731*Options!$Z$5,0)</f>
        <v/>
      </c>
      <c r="M731" s="13" t="n">
        <v>0</v>
      </c>
      <c r="N731" s="13">
        <f>SUM(E731:M731)</f>
        <v/>
      </c>
    </row>
    <row r="732">
      <c r="A732" s="5">
        <f>IF(AND(C732&gt;=Options!$B$9,C732&lt;=Options!$B$10),"Chicago","")</f>
        <v/>
      </c>
      <c r="B732" s="5">
        <f>IF(A732="","",24)</f>
        <v/>
      </c>
      <c r="C732" s="17" t="n">
        <v>46658</v>
      </c>
      <c r="D732" s="5">
        <f>IF(A732="","",IF(C732=DATE(2026,11,29),"培训；注册午餐；早餐参数",IF(C732=DATE(2026,11,30),"培训；注册午餐",IF(C732=DATE(2026,12,1),"培训；注册午餐；机构晚餐",IF(C732=Options!$B$9,"抵达；"&amp;IF(C732=DATE(2026,11,28),"机构晚餐","无统一供餐"),IF(C732=Options!$B$10,"返程；"&amp;IF(C732=DATE(2026,12,2),"机构午餐","无统一供餐"),"差旅状态；无统一日程"))))))</f>
        <v/>
      </c>
      <c r="E732" s="13">
        <f>IF(C732=Options!$B$9,Options!$C$15,0)</f>
        <v/>
      </c>
      <c r="F732" s="13">
        <f>IF(AND(A732&lt;&gt;"",C732&lt;Options!$B$10),B732*Options!$X$5,0)</f>
        <v/>
      </c>
      <c r="G732" s="13">
        <f>F732*12%</f>
        <v/>
      </c>
      <c r="H732" s="13">
        <f>IF(A732="",0,B732*(92*IF(OR(C732=Options!$B$9,C732=Options!$B$10),75%,100%)-IF(C732=DATE(2026,11,29),26+IF(Options!$B$8="是",23,0),0)-IF(C732=DATE(2026,11,30),26,0)-IF(C732=DATE(2026,12,1),64,0)-IF(C732=DATE(2026,11,28),38,0)-IF(C732=DATE(2026,12,2),26,0)))</f>
        <v/>
      </c>
      <c r="I732" s="13">
        <f>IF(AND(C732&gt;=DATE(2026,11,29),C732&lt;=DATE(2026,12,1)),B732*60,0)</f>
        <v/>
      </c>
      <c r="J732" s="13">
        <f>IF(A732="",0,B732*(IF(C732=DATE(2026,11,28),38,0)+IF(C732=DATE(2026,12,1),38,0)+IF(C732=DATE(2026,12,2),26,0)))</f>
        <v/>
      </c>
      <c r="K732" s="13">
        <f>IF(C732=Options!$B$9,B732*12,0)</f>
        <v/>
      </c>
      <c r="L732" s="13">
        <f>IF(C732=Options!$B$9,B732*Options!$Z$5,0)</f>
        <v/>
      </c>
      <c r="M732" s="13" t="n">
        <v>0</v>
      </c>
      <c r="N732" s="13">
        <f>SUM(E732:M732)</f>
        <v/>
      </c>
    </row>
    <row r="733">
      <c r="A733" s="5">
        <f>IF(AND(C733&gt;=Options!$B$9,C733&lt;=Options!$B$10),"Chicago","")</f>
        <v/>
      </c>
      <c r="B733" s="5">
        <f>IF(A733="","",24)</f>
        <v/>
      </c>
      <c r="C733" s="17" t="n">
        <v>46659</v>
      </c>
      <c r="D733" s="5">
        <f>IF(A733="","",IF(C733=DATE(2026,11,29),"培训；注册午餐；早餐参数",IF(C733=DATE(2026,11,30),"培训；注册午餐",IF(C733=DATE(2026,12,1),"培训；注册午餐；机构晚餐",IF(C733=Options!$B$9,"抵达；"&amp;IF(C733=DATE(2026,11,28),"机构晚餐","无统一供餐"),IF(C733=Options!$B$10,"返程；"&amp;IF(C733=DATE(2026,12,2),"机构午餐","无统一供餐"),"差旅状态；无统一日程"))))))</f>
        <v/>
      </c>
      <c r="E733" s="13">
        <f>IF(C733=Options!$B$9,Options!$C$15,0)</f>
        <v/>
      </c>
      <c r="F733" s="13">
        <f>IF(AND(A733&lt;&gt;"",C733&lt;Options!$B$10),B733*Options!$X$5,0)</f>
        <v/>
      </c>
      <c r="G733" s="13">
        <f>F733*12%</f>
        <v/>
      </c>
      <c r="H733" s="13">
        <f>IF(A733="",0,B733*(92*IF(OR(C733=Options!$B$9,C733=Options!$B$10),75%,100%)-IF(C733=DATE(2026,11,29),26+IF(Options!$B$8="是",23,0),0)-IF(C733=DATE(2026,11,30),26,0)-IF(C733=DATE(2026,12,1),64,0)-IF(C733=DATE(2026,11,28),38,0)-IF(C733=DATE(2026,12,2),26,0)))</f>
        <v/>
      </c>
      <c r="I733" s="13">
        <f>IF(AND(C733&gt;=DATE(2026,11,29),C733&lt;=DATE(2026,12,1)),B733*60,0)</f>
        <v/>
      </c>
      <c r="J733" s="13">
        <f>IF(A733="",0,B733*(IF(C733=DATE(2026,11,28),38,0)+IF(C733=DATE(2026,12,1),38,0)+IF(C733=DATE(2026,12,2),26,0)))</f>
        <v/>
      </c>
      <c r="K733" s="13">
        <f>IF(C733=Options!$B$9,B733*12,0)</f>
        <v/>
      </c>
      <c r="L733" s="13">
        <f>IF(C733=Options!$B$9,B733*Options!$Z$5,0)</f>
        <v/>
      </c>
      <c r="M733" s="13" t="n">
        <v>0</v>
      </c>
      <c r="N733" s="13">
        <f>SUM(E733:M733)</f>
        <v/>
      </c>
    </row>
    <row r="734">
      <c r="A734" s="5">
        <f>IF(AND(C734&gt;=Options!$B$9,C734&lt;=Options!$B$10),"Chicago","")</f>
        <v/>
      </c>
      <c r="B734" s="5">
        <f>IF(A734="","",24)</f>
        <v/>
      </c>
      <c r="C734" s="17" t="n">
        <v>46660</v>
      </c>
      <c r="D734" s="5">
        <f>IF(A734="","",IF(C734=DATE(2026,11,29),"培训；注册午餐；早餐参数",IF(C734=DATE(2026,11,30),"培训；注册午餐",IF(C734=DATE(2026,12,1),"培训；注册午餐；机构晚餐",IF(C734=Options!$B$9,"抵达；"&amp;IF(C734=DATE(2026,11,28),"机构晚餐","无统一供餐"),IF(C734=Options!$B$10,"返程；"&amp;IF(C734=DATE(2026,12,2),"机构午餐","无统一供餐"),"差旅状态；无统一日程"))))))</f>
        <v/>
      </c>
      <c r="E734" s="13">
        <f>IF(C734=Options!$B$9,Options!$C$15,0)</f>
        <v/>
      </c>
      <c r="F734" s="13">
        <f>IF(AND(A734&lt;&gt;"",C734&lt;Options!$B$10),B734*Options!$X$5,0)</f>
        <v/>
      </c>
      <c r="G734" s="13">
        <f>F734*12%</f>
        <v/>
      </c>
      <c r="H734" s="13">
        <f>IF(A734="",0,B734*(92*IF(OR(C734=Options!$B$9,C734=Options!$B$10),75%,100%)-IF(C734=DATE(2026,11,29),26+IF(Options!$B$8="是",23,0),0)-IF(C734=DATE(2026,11,30),26,0)-IF(C734=DATE(2026,12,1),64,0)-IF(C734=DATE(2026,11,28),38,0)-IF(C734=DATE(2026,12,2),26,0)))</f>
        <v/>
      </c>
      <c r="I734" s="13">
        <f>IF(AND(C734&gt;=DATE(2026,11,29),C734&lt;=DATE(2026,12,1)),B734*60,0)</f>
        <v/>
      </c>
      <c r="J734" s="13">
        <f>IF(A734="",0,B734*(IF(C734=DATE(2026,11,28),38,0)+IF(C734=DATE(2026,12,1),38,0)+IF(C734=DATE(2026,12,2),26,0)))</f>
        <v/>
      </c>
      <c r="K734" s="13">
        <f>IF(C734=Options!$B$9,B734*12,0)</f>
        <v/>
      </c>
      <c r="L734" s="13">
        <f>IF(C734=Options!$B$9,B734*Options!$Z$5,0)</f>
        <v/>
      </c>
      <c r="M734" s="13" t="n">
        <v>0</v>
      </c>
      <c r="N734" s="13">
        <f>SUM(E734:M734)</f>
        <v/>
      </c>
    </row>
    <row r="735">
      <c r="A735" s="5">
        <f>IF(AND(C735&gt;=Options!$B$9,C735&lt;=Options!$B$10),"Denver","")</f>
        <v/>
      </c>
      <c r="B735" s="5">
        <f>IF(A735="","",18)</f>
        <v/>
      </c>
      <c r="C735" s="17" t="n">
        <v>46296</v>
      </c>
      <c r="D735" s="5">
        <f>IF(A735="","",IF(C735=DATE(2026,11,29),"培训；注册午餐；早餐参数",IF(C735=DATE(2026,11,30),"培训；注册午餐",IF(C735=DATE(2026,12,1),"培训；注册午餐；机构晚餐",IF(C735=Options!$B$9,"抵达；"&amp;IF(C735=DATE(2026,11,28),"机构晚餐","无统一供餐"),IF(C735=Options!$B$10,"返程；"&amp;IF(C735=DATE(2026,12,2),"机构午餐","无统一供餐"),"差旅状态；无统一日程"))))))</f>
        <v/>
      </c>
      <c r="E735" s="13">
        <f>IF(C735=Options!$B$9,Options!$C$16,0)</f>
        <v/>
      </c>
      <c r="F735" s="13">
        <f>IF(AND(A735&lt;&gt;"",C735&lt;Options!$B$10),B735*Options!$X$6,0)</f>
        <v/>
      </c>
      <c r="G735" s="13">
        <f>F735*12%</f>
        <v/>
      </c>
      <c r="H735" s="13">
        <f>IF(A735="",0,B735*(92*IF(OR(C735=Options!$B$9,C735=Options!$B$10),75%,100%)-IF(C735=DATE(2026,11,29),26+IF(Options!$B$8="是",23,0),0)-IF(C735=DATE(2026,11,30),26,0)-IF(C735=DATE(2026,12,1),64,0)-IF(C735=DATE(2026,11,28),38,0)-IF(C735=DATE(2026,12,2),26,0)))</f>
        <v/>
      </c>
      <c r="I735" s="13">
        <f>IF(AND(C735&gt;=DATE(2026,11,29),C735&lt;=DATE(2026,12,1)),B735*60,0)</f>
        <v/>
      </c>
      <c r="J735" s="13">
        <f>IF(A735="",0,B735*(IF(C735=DATE(2026,11,28),38,0)+IF(C735=DATE(2026,12,1),38,0)+IF(C735=DATE(2026,12,2),26,0)))</f>
        <v/>
      </c>
      <c r="K735" s="13">
        <f>IF(C735=Options!$B$9,B735*12,0)</f>
        <v/>
      </c>
      <c r="L735" s="13">
        <f>IF(C735=Options!$B$9,B735*Options!$Z$6,0)</f>
        <v/>
      </c>
      <c r="M735" s="13" t="n">
        <v>0</v>
      </c>
      <c r="N735" s="13">
        <f>SUM(E735:M735)</f>
        <v/>
      </c>
    </row>
    <row r="736">
      <c r="A736" s="5">
        <f>IF(AND(C736&gt;=Options!$B$9,C736&lt;=Options!$B$10),"Denver","")</f>
        <v/>
      </c>
      <c r="B736" s="5">
        <f>IF(A736="","",18)</f>
        <v/>
      </c>
      <c r="C736" s="17" t="n">
        <v>46297</v>
      </c>
      <c r="D736" s="5">
        <f>IF(A736="","",IF(C736=DATE(2026,11,29),"培训；注册午餐；早餐参数",IF(C736=DATE(2026,11,30),"培训；注册午餐",IF(C736=DATE(2026,12,1),"培训；注册午餐；机构晚餐",IF(C736=Options!$B$9,"抵达；"&amp;IF(C736=DATE(2026,11,28),"机构晚餐","无统一供餐"),IF(C736=Options!$B$10,"返程；"&amp;IF(C736=DATE(2026,12,2),"机构午餐","无统一供餐"),"差旅状态；无统一日程"))))))</f>
        <v/>
      </c>
      <c r="E736" s="13">
        <f>IF(C736=Options!$B$9,Options!$C$16,0)</f>
        <v/>
      </c>
      <c r="F736" s="13">
        <f>IF(AND(A736&lt;&gt;"",C736&lt;Options!$B$10),B736*Options!$X$6,0)</f>
        <v/>
      </c>
      <c r="G736" s="13">
        <f>F736*12%</f>
        <v/>
      </c>
      <c r="H736" s="13">
        <f>IF(A736="",0,B736*(92*IF(OR(C736=Options!$B$9,C736=Options!$B$10),75%,100%)-IF(C736=DATE(2026,11,29),26+IF(Options!$B$8="是",23,0),0)-IF(C736=DATE(2026,11,30),26,0)-IF(C736=DATE(2026,12,1),64,0)-IF(C736=DATE(2026,11,28),38,0)-IF(C736=DATE(2026,12,2),26,0)))</f>
        <v/>
      </c>
      <c r="I736" s="13">
        <f>IF(AND(C736&gt;=DATE(2026,11,29),C736&lt;=DATE(2026,12,1)),B736*60,0)</f>
        <v/>
      </c>
      <c r="J736" s="13">
        <f>IF(A736="",0,B736*(IF(C736=DATE(2026,11,28),38,0)+IF(C736=DATE(2026,12,1),38,0)+IF(C736=DATE(2026,12,2),26,0)))</f>
        <v/>
      </c>
      <c r="K736" s="13">
        <f>IF(C736=Options!$B$9,B736*12,0)</f>
        <v/>
      </c>
      <c r="L736" s="13">
        <f>IF(C736=Options!$B$9,B736*Options!$Z$6,0)</f>
        <v/>
      </c>
      <c r="M736" s="13" t="n">
        <v>0</v>
      </c>
      <c r="N736" s="13">
        <f>SUM(E736:M736)</f>
        <v/>
      </c>
    </row>
    <row r="737">
      <c r="A737" s="5">
        <f>IF(AND(C737&gt;=Options!$B$9,C737&lt;=Options!$B$10),"Denver","")</f>
        <v/>
      </c>
      <c r="B737" s="5">
        <f>IF(A737="","",18)</f>
        <v/>
      </c>
      <c r="C737" s="17" t="n">
        <v>46298</v>
      </c>
      <c r="D737" s="5">
        <f>IF(A737="","",IF(C737=DATE(2026,11,29),"培训；注册午餐；早餐参数",IF(C737=DATE(2026,11,30),"培训；注册午餐",IF(C737=DATE(2026,12,1),"培训；注册午餐；机构晚餐",IF(C737=Options!$B$9,"抵达；"&amp;IF(C737=DATE(2026,11,28),"机构晚餐","无统一供餐"),IF(C737=Options!$B$10,"返程；"&amp;IF(C737=DATE(2026,12,2),"机构午餐","无统一供餐"),"差旅状态；无统一日程"))))))</f>
        <v/>
      </c>
      <c r="E737" s="13">
        <f>IF(C737=Options!$B$9,Options!$C$16,0)</f>
        <v/>
      </c>
      <c r="F737" s="13">
        <f>IF(AND(A737&lt;&gt;"",C737&lt;Options!$B$10),B737*Options!$X$6,0)</f>
        <v/>
      </c>
      <c r="G737" s="13">
        <f>F737*12%</f>
        <v/>
      </c>
      <c r="H737" s="13">
        <f>IF(A737="",0,B737*(92*IF(OR(C737=Options!$B$9,C737=Options!$B$10),75%,100%)-IF(C737=DATE(2026,11,29),26+IF(Options!$B$8="是",23,0),0)-IF(C737=DATE(2026,11,30),26,0)-IF(C737=DATE(2026,12,1),64,0)-IF(C737=DATE(2026,11,28),38,0)-IF(C737=DATE(2026,12,2),26,0)))</f>
        <v/>
      </c>
      <c r="I737" s="13">
        <f>IF(AND(C737&gt;=DATE(2026,11,29),C737&lt;=DATE(2026,12,1)),B737*60,0)</f>
        <v/>
      </c>
      <c r="J737" s="13">
        <f>IF(A737="",0,B737*(IF(C737=DATE(2026,11,28),38,0)+IF(C737=DATE(2026,12,1),38,0)+IF(C737=DATE(2026,12,2),26,0)))</f>
        <v/>
      </c>
      <c r="K737" s="13">
        <f>IF(C737=Options!$B$9,B737*12,0)</f>
        <v/>
      </c>
      <c r="L737" s="13">
        <f>IF(C737=Options!$B$9,B737*Options!$Z$6,0)</f>
        <v/>
      </c>
      <c r="M737" s="13" t="n">
        <v>0</v>
      </c>
      <c r="N737" s="13">
        <f>SUM(E737:M737)</f>
        <v/>
      </c>
    </row>
    <row r="738">
      <c r="A738" s="5">
        <f>IF(AND(C738&gt;=Options!$B$9,C738&lt;=Options!$B$10),"Denver","")</f>
        <v/>
      </c>
      <c r="B738" s="5">
        <f>IF(A738="","",18)</f>
        <v/>
      </c>
      <c r="C738" s="17" t="n">
        <v>46299</v>
      </c>
      <c r="D738" s="5">
        <f>IF(A738="","",IF(C738=DATE(2026,11,29),"培训；注册午餐；早餐参数",IF(C738=DATE(2026,11,30),"培训；注册午餐",IF(C738=DATE(2026,12,1),"培训；注册午餐；机构晚餐",IF(C738=Options!$B$9,"抵达；"&amp;IF(C738=DATE(2026,11,28),"机构晚餐","无统一供餐"),IF(C738=Options!$B$10,"返程；"&amp;IF(C738=DATE(2026,12,2),"机构午餐","无统一供餐"),"差旅状态；无统一日程"))))))</f>
        <v/>
      </c>
      <c r="E738" s="13">
        <f>IF(C738=Options!$B$9,Options!$C$16,0)</f>
        <v/>
      </c>
      <c r="F738" s="13">
        <f>IF(AND(A738&lt;&gt;"",C738&lt;Options!$B$10),B738*Options!$X$6,0)</f>
        <v/>
      </c>
      <c r="G738" s="13">
        <f>F738*12%</f>
        <v/>
      </c>
      <c r="H738" s="13">
        <f>IF(A738="",0,B738*(92*IF(OR(C738=Options!$B$9,C738=Options!$B$10),75%,100%)-IF(C738=DATE(2026,11,29),26+IF(Options!$B$8="是",23,0),0)-IF(C738=DATE(2026,11,30),26,0)-IF(C738=DATE(2026,12,1),64,0)-IF(C738=DATE(2026,11,28),38,0)-IF(C738=DATE(2026,12,2),26,0)))</f>
        <v/>
      </c>
      <c r="I738" s="13">
        <f>IF(AND(C738&gt;=DATE(2026,11,29),C738&lt;=DATE(2026,12,1)),B738*60,0)</f>
        <v/>
      </c>
      <c r="J738" s="13">
        <f>IF(A738="",0,B738*(IF(C738=DATE(2026,11,28),38,0)+IF(C738=DATE(2026,12,1),38,0)+IF(C738=DATE(2026,12,2),26,0)))</f>
        <v/>
      </c>
      <c r="K738" s="13">
        <f>IF(C738=Options!$B$9,B738*12,0)</f>
        <v/>
      </c>
      <c r="L738" s="13">
        <f>IF(C738=Options!$B$9,B738*Options!$Z$6,0)</f>
        <v/>
      </c>
      <c r="M738" s="13" t="n">
        <v>0</v>
      </c>
      <c r="N738" s="13">
        <f>SUM(E738:M738)</f>
        <v/>
      </c>
    </row>
    <row r="739">
      <c r="A739" s="5">
        <f>IF(AND(C739&gt;=Options!$B$9,C739&lt;=Options!$B$10),"Denver","")</f>
        <v/>
      </c>
      <c r="B739" s="5">
        <f>IF(A739="","",18)</f>
        <v/>
      </c>
      <c r="C739" s="17" t="n">
        <v>46300</v>
      </c>
      <c r="D739" s="5">
        <f>IF(A739="","",IF(C739=DATE(2026,11,29),"培训；注册午餐；早餐参数",IF(C739=DATE(2026,11,30),"培训；注册午餐",IF(C739=DATE(2026,12,1),"培训；注册午餐；机构晚餐",IF(C739=Options!$B$9,"抵达；"&amp;IF(C739=DATE(2026,11,28),"机构晚餐","无统一供餐"),IF(C739=Options!$B$10,"返程；"&amp;IF(C739=DATE(2026,12,2),"机构午餐","无统一供餐"),"差旅状态；无统一日程"))))))</f>
        <v/>
      </c>
      <c r="E739" s="13">
        <f>IF(C739=Options!$B$9,Options!$C$16,0)</f>
        <v/>
      </c>
      <c r="F739" s="13">
        <f>IF(AND(A739&lt;&gt;"",C739&lt;Options!$B$10),B739*Options!$X$6,0)</f>
        <v/>
      </c>
      <c r="G739" s="13">
        <f>F739*12%</f>
        <v/>
      </c>
      <c r="H739" s="13">
        <f>IF(A739="",0,B739*(92*IF(OR(C739=Options!$B$9,C739=Options!$B$10),75%,100%)-IF(C739=DATE(2026,11,29),26+IF(Options!$B$8="是",23,0),0)-IF(C739=DATE(2026,11,30),26,0)-IF(C739=DATE(2026,12,1),64,0)-IF(C739=DATE(2026,11,28),38,0)-IF(C739=DATE(2026,12,2),26,0)))</f>
        <v/>
      </c>
      <c r="I739" s="13">
        <f>IF(AND(C739&gt;=DATE(2026,11,29),C739&lt;=DATE(2026,12,1)),B739*60,0)</f>
        <v/>
      </c>
      <c r="J739" s="13">
        <f>IF(A739="",0,B739*(IF(C739=DATE(2026,11,28),38,0)+IF(C739=DATE(2026,12,1),38,0)+IF(C739=DATE(2026,12,2),26,0)))</f>
        <v/>
      </c>
      <c r="K739" s="13">
        <f>IF(C739=Options!$B$9,B739*12,0)</f>
        <v/>
      </c>
      <c r="L739" s="13">
        <f>IF(C739=Options!$B$9,B739*Options!$Z$6,0)</f>
        <v/>
      </c>
      <c r="M739" s="13" t="n">
        <v>0</v>
      </c>
      <c r="N739" s="13">
        <f>SUM(E739:M739)</f>
        <v/>
      </c>
    </row>
    <row r="740">
      <c r="A740" s="5">
        <f>IF(AND(C740&gt;=Options!$B$9,C740&lt;=Options!$B$10),"Denver","")</f>
        <v/>
      </c>
      <c r="B740" s="5">
        <f>IF(A740="","",18)</f>
        <v/>
      </c>
      <c r="C740" s="17" t="n">
        <v>46301</v>
      </c>
      <c r="D740" s="5">
        <f>IF(A740="","",IF(C740=DATE(2026,11,29),"培训；注册午餐；早餐参数",IF(C740=DATE(2026,11,30),"培训；注册午餐",IF(C740=DATE(2026,12,1),"培训；注册午餐；机构晚餐",IF(C740=Options!$B$9,"抵达；"&amp;IF(C740=DATE(2026,11,28),"机构晚餐","无统一供餐"),IF(C740=Options!$B$10,"返程；"&amp;IF(C740=DATE(2026,12,2),"机构午餐","无统一供餐"),"差旅状态；无统一日程"))))))</f>
        <v/>
      </c>
      <c r="E740" s="13">
        <f>IF(C740=Options!$B$9,Options!$C$16,0)</f>
        <v/>
      </c>
      <c r="F740" s="13">
        <f>IF(AND(A740&lt;&gt;"",C740&lt;Options!$B$10),B740*Options!$X$6,0)</f>
        <v/>
      </c>
      <c r="G740" s="13">
        <f>F740*12%</f>
        <v/>
      </c>
      <c r="H740" s="13">
        <f>IF(A740="",0,B740*(92*IF(OR(C740=Options!$B$9,C740=Options!$B$10),75%,100%)-IF(C740=DATE(2026,11,29),26+IF(Options!$B$8="是",23,0),0)-IF(C740=DATE(2026,11,30),26,0)-IF(C740=DATE(2026,12,1),64,0)-IF(C740=DATE(2026,11,28),38,0)-IF(C740=DATE(2026,12,2),26,0)))</f>
        <v/>
      </c>
      <c r="I740" s="13">
        <f>IF(AND(C740&gt;=DATE(2026,11,29),C740&lt;=DATE(2026,12,1)),B740*60,0)</f>
        <v/>
      </c>
      <c r="J740" s="13">
        <f>IF(A740="",0,B740*(IF(C740=DATE(2026,11,28),38,0)+IF(C740=DATE(2026,12,1),38,0)+IF(C740=DATE(2026,12,2),26,0)))</f>
        <v/>
      </c>
      <c r="K740" s="13">
        <f>IF(C740=Options!$B$9,B740*12,0)</f>
        <v/>
      </c>
      <c r="L740" s="13">
        <f>IF(C740=Options!$B$9,B740*Options!$Z$6,0)</f>
        <v/>
      </c>
      <c r="M740" s="13" t="n">
        <v>0</v>
      </c>
      <c r="N740" s="13">
        <f>SUM(E740:M740)</f>
        <v/>
      </c>
    </row>
    <row r="741">
      <c r="A741" s="5">
        <f>IF(AND(C741&gt;=Options!$B$9,C741&lt;=Options!$B$10),"Denver","")</f>
        <v/>
      </c>
      <c r="B741" s="5">
        <f>IF(A741="","",18)</f>
        <v/>
      </c>
      <c r="C741" s="17" t="n">
        <v>46302</v>
      </c>
      <c r="D741" s="5">
        <f>IF(A741="","",IF(C741=DATE(2026,11,29),"培训；注册午餐；早餐参数",IF(C741=DATE(2026,11,30),"培训；注册午餐",IF(C741=DATE(2026,12,1),"培训；注册午餐；机构晚餐",IF(C741=Options!$B$9,"抵达；"&amp;IF(C741=DATE(2026,11,28),"机构晚餐","无统一供餐"),IF(C741=Options!$B$10,"返程；"&amp;IF(C741=DATE(2026,12,2),"机构午餐","无统一供餐"),"差旅状态；无统一日程"))))))</f>
        <v/>
      </c>
      <c r="E741" s="13">
        <f>IF(C741=Options!$B$9,Options!$C$16,0)</f>
        <v/>
      </c>
      <c r="F741" s="13">
        <f>IF(AND(A741&lt;&gt;"",C741&lt;Options!$B$10),B741*Options!$X$6,0)</f>
        <v/>
      </c>
      <c r="G741" s="13">
        <f>F741*12%</f>
        <v/>
      </c>
      <c r="H741" s="13">
        <f>IF(A741="",0,B741*(92*IF(OR(C741=Options!$B$9,C741=Options!$B$10),75%,100%)-IF(C741=DATE(2026,11,29),26+IF(Options!$B$8="是",23,0),0)-IF(C741=DATE(2026,11,30),26,0)-IF(C741=DATE(2026,12,1),64,0)-IF(C741=DATE(2026,11,28),38,0)-IF(C741=DATE(2026,12,2),26,0)))</f>
        <v/>
      </c>
      <c r="I741" s="13">
        <f>IF(AND(C741&gt;=DATE(2026,11,29),C741&lt;=DATE(2026,12,1)),B741*60,0)</f>
        <v/>
      </c>
      <c r="J741" s="13">
        <f>IF(A741="",0,B741*(IF(C741=DATE(2026,11,28),38,0)+IF(C741=DATE(2026,12,1),38,0)+IF(C741=DATE(2026,12,2),26,0)))</f>
        <v/>
      </c>
      <c r="K741" s="13">
        <f>IF(C741=Options!$B$9,B741*12,0)</f>
        <v/>
      </c>
      <c r="L741" s="13">
        <f>IF(C741=Options!$B$9,B741*Options!$Z$6,0)</f>
        <v/>
      </c>
      <c r="M741" s="13" t="n">
        <v>0</v>
      </c>
      <c r="N741" s="13">
        <f>SUM(E741:M741)</f>
        <v/>
      </c>
    </row>
    <row r="742">
      <c r="A742" s="5">
        <f>IF(AND(C742&gt;=Options!$B$9,C742&lt;=Options!$B$10),"Denver","")</f>
        <v/>
      </c>
      <c r="B742" s="5">
        <f>IF(A742="","",18)</f>
        <v/>
      </c>
      <c r="C742" s="17" t="n">
        <v>46303</v>
      </c>
      <c r="D742" s="5">
        <f>IF(A742="","",IF(C742=DATE(2026,11,29),"培训；注册午餐；早餐参数",IF(C742=DATE(2026,11,30),"培训；注册午餐",IF(C742=DATE(2026,12,1),"培训；注册午餐；机构晚餐",IF(C742=Options!$B$9,"抵达；"&amp;IF(C742=DATE(2026,11,28),"机构晚餐","无统一供餐"),IF(C742=Options!$B$10,"返程；"&amp;IF(C742=DATE(2026,12,2),"机构午餐","无统一供餐"),"差旅状态；无统一日程"))))))</f>
        <v/>
      </c>
      <c r="E742" s="13">
        <f>IF(C742=Options!$B$9,Options!$C$16,0)</f>
        <v/>
      </c>
      <c r="F742" s="13">
        <f>IF(AND(A742&lt;&gt;"",C742&lt;Options!$B$10),B742*Options!$X$6,0)</f>
        <v/>
      </c>
      <c r="G742" s="13">
        <f>F742*12%</f>
        <v/>
      </c>
      <c r="H742" s="13">
        <f>IF(A742="",0,B742*(92*IF(OR(C742=Options!$B$9,C742=Options!$B$10),75%,100%)-IF(C742=DATE(2026,11,29),26+IF(Options!$B$8="是",23,0),0)-IF(C742=DATE(2026,11,30),26,0)-IF(C742=DATE(2026,12,1),64,0)-IF(C742=DATE(2026,11,28),38,0)-IF(C742=DATE(2026,12,2),26,0)))</f>
        <v/>
      </c>
      <c r="I742" s="13">
        <f>IF(AND(C742&gt;=DATE(2026,11,29),C742&lt;=DATE(2026,12,1)),B742*60,0)</f>
        <v/>
      </c>
      <c r="J742" s="13">
        <f>IF(A742="",0,B742*(IF(C742=DATE(2026,11,28),38,0)+IF(C742=DATE(2026,12,1),38,0)+IF(C742=DATE(2026,12,2),26,0)))</f>
        <v/>
      </c>
      <c r="K742" s="13">
        <f>IF(C742=Options!$B$9,B742*12,0)</f>
        <v/>
      </c>
      <c r="L742" s="13">
        <f>IF(C742=Options!$B$9,B742*Options!$Z$6,0)</f>
        <v/>
      </c>
      <c r="M742" s="13" t="n">
        <v>0</v>
      </c>
      <c r="N742" s="13">
        <f>SUM(E742:M742)</f>
        <v/>
      </c>
    </row>
    <row r="743">
      <c r="A743" s="5">
        <f>IF(AND(C743&gt;=Options!$B$9,C743&lt;=Options!$B$10),"Denver","")</f>
        <v/>
      </c>
      <c r="B743" s="5">
        <f>IF(A743="","",18)</f>
        <v/>
      </c>
      <c r="C743" s="17" t="n">
        <v>46304</v>
      </c>
      <c r="D743" s="5">
        <f>IF(A743="","",IF(C743=DATE(2026,11,29),"培训；注册午餐；早餐参数",IF(C743=DATE(2026,11,30),"培训；注册午餐",IF(C743=DATE(2026,12,1),"培训；注册午餐；机构晚餐",IF(C743=Options!$B$9,"抵达；"&amp;IF(C743=DATE(2026,11,28),"机构晚餐","无统一供餐"),IF(C743=Options!$B$10,"返程；"&amp;IF(C743=DATE(2026,12,2),"机构午餐","无统一供餐"),"差旅状态；无统一日程"))))))</f>
        <v/>
      </c>
      <c r="E743" s="13">
        <f>IF(C743=Options!$B$9,Options!$C$16,0)</f>
        <v/>
      </c>
      <c r="F743" s="13">
        <f>IF(AND(A743&lt;&gt;"",C743&lt;Options!$B$10),B743*Options!$X$6,0)</f>
        <v/>
      </c>
      <c r="G743" s="13">
        <f>F743*12%</f>
        <v/>
      </c>
      <c r="H743" s="13">
        <f>IF(A743="",0,B743*(92*IF(OR(C743=Options!$B$9,C743=Options!$B$10),75%,100%)-IF(C743=DATE(2026,11,29),26+IF(Options!$B$8="是",23,0),0)-IF(C743=DATE(2026,11,30),26,0)-IF(C743=DATE(2026,12,1),64,0)-IF(C743=DATE(2026,11,28),38,0)-IF(C743=DATE(2026,12,2),26,0)))</f>
        <v/>
      </c>
      <c r="I743" s="13">
        <f>IF(AND(C743&gt;=DATE(2026,11,29),C743&lt;=DATE(2026,12,1)),B743*60,0)</f>
        <v/>
      </c>
      <c r="J743" s="13">
        <f>IF(A743="",0,B743*(IF(C743=DATE(2026,11,28),38,0)+IF(C743=DATE(2026,12,1),38,0)+IF(C743=DATE(2026,12,2),26,0)))</f>
        <v/>
      </c>
      <c r="K743" s="13">
        <f>IF(C743=Options!$B$9,B743*12,0)</f>
        <v/>
      </c>
      <c r="L743" s="13">
        <f>IF(C743=Options!$B$9,B743*Options!$Z$6,0)</f>
        <v/>
      </c>
      <c r="M743" s="13" t="n">
        <v>0</v>
      </c>
      <c r="N743" s="13">
        <f>SUM(E743:M743)</f>
        <v/>
      </c>
    </row>
    <row r="744">
      <c r="A744" s="5">
        <f>IF(AND(C744&gt;=Options!$B$9,C744&lt;=Options!$B$10),"Denver","")</f>
        <v/>
      </c>
      <c r="B744" s="5">
        <f>IF(A744="","",18)</f>
        <v/>
      </c>
      <c r="C744" s="17" t="n">
        <v>46305</v>
      </c>
      <c r="D744" s="5">
        <f>IF(A744="","",IF(C744=DATE(2026,11,29),"培训；注册午餐；早餐参数",IF(C744=DATE(2026,11,30),"培训；注册午餐",IF(C744=DATE(2026,12,1),"培训；注册午餐；机构晚餐",IF(C744=Options!$B$9,"抵达；"&amp;IF(C744=DATE(2026,11,28),"机构晚餐","无统一供餐"),IF(C744=Options!$B$10,"返程；"&amp;IF(C744=DATE(2026,12,2),"机构午餐","无统一供餐"),"差旅状态；无统一日程"))))))</f>
        <v/>
      </c>
      <c r="E744" s="13">
        <f>IF(C744=Options!$B$9,Options!$C$16,0)</f>
        <v/>
      </c>
      <c r="F744" s="13">
        <f>IF(AND(A744&lt;&gt;"",C744&lt;Options!$B$10),B744*Options!$X$6,0)</f>
        <v/>
      </c>
      <c r="G744" s="13">
        <f>F744*12%</f>
        <v/>
      </c>
      <c r="H744" s="13">
        <f>IF(A744="",0,B744*(92*IF(OR(C744=Options!$B$9,C744=Options!$B$10),75%,100%)-IF(C744=DATE(2026,11,29),26+IF(Options!$B$8="是",23,0),0)-IF(C744=DATE(2026,11,30),26,0)-IF(C744=DATE(2026,12,1),64,0)-IF(C744=DATE(2026,11,28),38,0)-IF(C744=DATE(2026,12,2),26,0)))</f>
        <v/>
      </c>
      <c r="I744" s="13">
        <f>IF(AND(C744&gt;=DATE(2026,11,29),C744&lt;=DATE(2026,12,1)),B744*60,0)</f>
        <v/>
      </c>
      <c r="J744" s="13">
        <f>IF(A744="",0,B744*(IF(C744=DATE(2026,11,28),38,0)+IF(C744=DATE(2026,12,1),38,0)+IF(C744=DATE(2026,12,2),26,0)))</f>
        <v/>
      </c>
      <c r="K744" s="13">
        <f>IF(C744=Options!$B$9,B744*12,0)</f>
        <v/>
      </c>
      <c r="L744" s="13">
        <f>IF(C744=Options!$B$9,B744*Options!$Z$6,0)</f>
        <v/>
      </c>
      <c r="M744" s="13" t="n">
        <v>0</v>
      </c>
      <c r="N744" s="13">
        <f>SUM(E744:M744)</f>
        <v/>
      </c>
    </row>
    <row r="745">
      <c r="A745" s="5">
        <f>IF(AND(C745&gt;=Options!$B$9,C745&lt;=Options!$B$10),"Denver","")</f>
        <v/>
      </c>
      <c r="B745" s="5">
        <f>IF(A745="","",18)</f>
        <v/>
      </c>
      <c r="C745" s="17" t="n">
        <v>46306</v>
      </c>
      <c r="D745" s="5">
        <f>IF(A745="","",IF(C745=DATE(2026,11,29),"培训；注册午餐；早餐参数",IF(C745=DATE(2026,11,30),"培训；注册午餐",IF(C745=DATE(2026,12,1),"培训；注册午餐；机构晚餐",IF(C745=Options!$B$9,"抵达；"&amp;IF(C745=DATE(2026,11,28),"机构晚餐","无统一供餐"),IF(C745=Options!$B$10,"返程；"&amp;IF(C745=DATE(2026,12,2),"机构午餐","无统一供餐"),"差旅状态；无统一日程"))))))</f>
        <v/>
      </c>
      <c r="E745" s="13">
        <f>IF(C745=Options!$B$9,Options!$C$16,0)</f>
        <v/>
      </c>
      <c r="F745" s="13">
        <f>IF(AND(A745&lt;&gt;"",C745&lt;Options!$B$10),B745*Options!$X$6,0)</f>
        <v/>
      </c>
      <c r="G745" s="13">
        <f>F745*12%</f>
        <v/>
      </c>
      <c r="H745" s="13">
        <f>IF(A745="",0,B745*(92*IF(OR(C745=Options!$B$9,C745=Options!$B$10),75%,100%)-IF(C745=DATE(2026,11,29),26+IF(Options!$B$8="是",23,0),0)-IF(C745=DATE(2026,11,30),26,0)-IF(C745=DATE(2026,12,1),64,0)-IF(C745=DATE(2026,11,28),38,0)-IF(C745=DATE(2026,12,2),26,0)))</f>
        <v/>
      </c>
      <c r="I745" s="13">
        <f>IF(AND(C745&gt;=DATE(2026,11,29),C745&lt;=DATE(2026,12,1)),B745*60,0)</f>
        <v/>
      </c>
      <c r="J745" s="13">
        <f>IF(A745="",0,B745*(IF(C745=DATE(2026,11,28),38,0)+IF(C745=DATE(2026,12,1),38,0)+IF(C745=DATE(2026,12,2),26,0)))</f>
        <v/>
      </c>
      <c r="K745" s="13">
        <f>IF(C745=Options!$B$9,B745*12,0)</f>
        <v/>
      </c>
      <c r="L745" s="13">
        <f>IF(C745=Options!$B$9,B745*Options!$Z$6,0)</f>
        <v/>
      </c>
      <c r="M745" s="13" t="n">
        <v>0</v>
      </c>
      <c r="N745" s="13">
        <f>SUM(E745:M745)</f>
        <v/>
      </c>
    </row>
    <row r="746">
      <c r="A746" s="5">
        <f>IF(AND(C746&gt;=Options!$B$9,C746&lt;=Options!$B$10),"Denver","")</f>
        <v/>
      </c>
      <c r="B746" s="5">
        <f>IF(A746="","",18)</f>
        <v/>
      </c>
      <c r="C746" s="17" t="n">
        <v>46307</v>
      </c>
      <c r="D746" s="5">
        <f>IF(A746="","",IF(C746=DATE(2026,11,29),"培训；注册午餐；早餐参数",IF(C746=DATE(2026,11,30),"培训；注册午餐",IF(C746=DATE(2026,12,1),"培训；注册午餐；机构晚餐",IF(C746=Options!$B$9,"抵达；"&amp;IF(C746=DATE(2026,11,28),"机构晚餐","无统一供餐"),IF(C746=Options!$B$10,"返程；"&amp;IF(C746=DATE(2026,12,2),"机构午餐","无统一供餐"),"差旅状态；无统一日程"))))))</f>
        <v/>
      </c>
      <c r="E746" s="13">
        <f>IF(C746=Options!$B$9,Options!$C$16,0)</f>
        <v/>
      </c>
      <c r="F746" s="13">
        <f>IF(AND(A746&lt;&gt;"",C746&lt;Options!$B$10),B746*Options!$X$6,0)</f>
        <v/>
      </c>
      <c r="G746" s="13">
        <f>F746*12%</f>
        <v/>
      </c>
      <c r="H746" s="13">
        <f>IF(A746="",0,B746*(92*IF(OR(C746=Options!$B$9,C746=Options!$B$10),75%,100%)-IF(C746=DATE(2026,11,29),26+IF(Options!$B$8="是",23,0),0)-IF(C746=DATE(2026,11,30),26,0)-IF(C746=DATE(2026,12,1),64,0)-IF(C746=DATE(2026,11,28),38,0)-IF(C746=DATE(2026,12,2),26,0)))</f>
        <v/>
      </c>
      <c r="I746" s="13">
        <f>IF(AND(C746&gt;=DATE(2026,11,29),C746&lt;=DATE(2026,12,1)),B746*60,0)</f>
        <v/>
      </c>
      <c r="J746" s="13">
        <f>IF(A746="",0,B746*(IF(C746=DATE(2026,11,28),38,0)+IF(C746=DATE(2026,12,1),38,0)+IF(C746=DATE(2026,12,2),26,0)))</f>
        <v/>
      </c>
      <c r="K746" s="13">
        <f>IF(C746=Options!$B$9,B746*12,0)</f>
        <v/>
      </c>
      <c r="L746" s="13">
        <f>IF(C746=Options!$B$9,B746*Options!$Z$6,0)</f>
        <v/>
      </c>
      <c r="M746" s="13" t="n">
        <v>0</v>
      </c>
      <c r="N746" s="13">
        <f>SUM(E746:M746)</f>
        <v/>
      </c>
    </row>
    <row r="747">
      <c r="A747" s="5">
        <f>IF(AND(C747&gt;=Options!$B$9,C747&lt;=Options!$B$10),"Denver","")</f>
        <v/>
      </c>
      <c r="B747" s="5">
        <f>IF(A747="","",18)</f>
        <v/>
      </c>
      <c r="C747" s="17" t="n">
        <v>46308</v>
      </c>
      <c r="D747" s="5">
        <f>IF(A747="","",IF(C747=DATE(2026,11,29),"培训；注册午餐；早餐参数",IF(C747=DATE(2026,11,30),"培训；注册午餐",IF(C747=DATE(2026,12,1),"培训；注册午餐；机构晚餐",IF(C747=Options!$B$9,"抵达；"&amp;IF(C747=DATE(2026,11,28),"机构晚餐","无统一供餐"),IF(C747=Options!$B$10,"返程；"&amp;IF(C747=DATE(2026,12,2),"机构午餐","无统一供餐"),"差旅状态；无统一日程"))))))</f>
        <v/>
      </c>
      <c r="E747" s="13">
        <f>IF(C747=Options!$B$9,Options!$C$16,0)</f>
        <v/>
      </c>
      <c r="F747" s="13">
        <f>IF(AND(A747&lt;&gt;"",C747&lt;Options!$B$10),B747*Options!$X$6,0)</f>
        <v/>
      </c>
      <c r="G747" s="13">
        <f>F747*12%</f>
        <v/>
      </c>
      <c r="H747" s="13">
        <f>IF(A747="",0,B747*(92*IF(OR(C747=Options!$B$9,C747=Options!$B$10),75%,100%)-IF(C747=DATE(2026,11,29),26+IF(Options!$B$8="是",23,0),0)-IF(C747=DATE(2026,11,30),26,0)-IF(C747=DATE(2026,12,1),64,0)-IF(C747=DATE(2026,11,28),38,0)-IF(C747=DATE(2026,12,2),26,0)))</f>
        <v/>
      </c>
      <c r="I747" s="13">
        <f>IF(AND(C747&gt;=DATE(2026,11,29),C747&lt;=DATE(2026,12,1)),B747*60,0)</f>
        <v/>
      </c>
      <c r="J747" s="13">
        <f>IF(A747="",0,B747*(IF(C747=DATE(2026,11,28),38,0)+IF(C747=DATE(2026,12,1),38,0)+IF(C747=DATE(2026,12,2),26,0)))</f>
        <v/>
      </c>
      <c r="K747" s="13">
        <f>IF(C747=Options!$B$9,B747*12,0)</f>
        <v/>
      </c>
      <c r="L747" s="13">
        <f>IF(C747=Options!$B$9,B747*Options!$Z$6,0)</f>
        <v/>
      </c>
      <c r="M747" s="13" t="n">
        <v>0</v>
      </c>
      <c r="N747" s="13">
        <f>SUM(E747:M747)</f>
        <v/>
      </c>
    </row>
    <row r="748">
      <c r="A748" s="5">
        <f>IF(AND(C748&gt;=Options!$B$9,C748&lt;=Options!$B$10),"Denver","")</f>
        <v/>
      </c>
      <c r="B748" s="5">
        <f>IF(A748="","",18)</f>
        <v/>
      </c>
      <c r="C748" s="17" t="n">
        <v>46309</v>
      </c>
      <c r="D748" s="5">
        <f>IF(A748="","",IF(C748=DATE(2026,11,29),"培训；注册午餐；早餐参数",IF(C748=DATE(2026,11,30),"培训；注册午餐",IF(C748=DATE(2026,12,1),"培训；注册午餐；机构晚餐",IF(C748=Options!$B$9,"抵达；"&amp;IF(C748=DATE(2026,11,28),"机构晚餐","无统一供餐"),IF(C748=Options!$B$10,"返程；"&amp;IF(C748=DATE(2026,12,2),"机构午餐","无统一供餐"),"差旅状态；无统一日程"))))))</f>
        <v/>
      </c>
      <c r="E748" s="13">
        <f>IF(C748=Options!$B$9,Options!$C$16,0)</f>
        <v/>
      </c>
      <c r="F748" s="13">
        <f>IF(AND(A748&lt;&gt;"",C748&lt;Options!$B$10),B748*Options!$X$6,0)</f>
        <v/>
      </c>
      <c r="G748" s="13">
        <f>F748*12%</f>
        <v/>
      </c>
      <c r="H748" s="13">
        <f>IF(A748="",0,B748*(92*IF(OR(C748=Options!$B$9,C748=Options!$B$10),75%,100%)-IF(C748=DATE(2026,11,29),26+IF(Options!$B$8="是",23,0),0)-IF(C748=DATE(2026,11,30),26,0)-IF(C748=DATE(2026,12,1),64,0)-IF(C748=DATE(2026,11,28),38,0)-IF(C748=DATE(2026,12,2),26,0)))</f>
        <v/>
      </c>
      <c r="I748" s="13">
        <f>IF(AND(C748&gt;=DATE(2026,11,29),C748&lt;=DATE(2026,12,1)),B748*60,0)</f>
        <v/>
      </c>
      <c r="J748" s="13">
        <f>IF(A748="",0,B748*(IF(C748=DATE(2026,11,28),38,0)+IF(C748=DATE(2026,12,1),38,0)+IF(C748=DATE(2026,12,2),26,0)))</f>
        <v/>
      </c>
      <c r="K748" s="13">
        <f>IF(C748=Options!$B$9,B748*12,0)</f>
        <v/>
      </c>
      <c r="L748" s="13">
        <f>IF(C748=Options!$B$9,B748*Options!$Z$6,0)</f>
        <v/>
      </c>
      <c r="M748" s="13" t="n">
        <v>0</v>
      </c>
      <c r="N748" s="13">
        <f>SUM(E748:M748)</f>
        <v/>
      </c>
    </row>
    <row r="749">
      <c r="A749" s="5">
        <f>IF(AND(C749&gt;=Options!$B$9,C749&lt;=Options!$B$10),"Denver","")</f>
        <v/>
      </c>
      <c r="B749" s="5">
        <f>IF(A749="","",18)</f>
        <v/>
      </c>
      <c r="C749" s="17" t="n">
        <v>46310</v>
      </c>
      <c r="D749" s="5">
        <f>IF(A749="","",IF(C749=DATE(2026,11,29),"培训；注册午餐；早餐参数",IF(C749=DATE(2026,11,30),"培训；注册午餐",IF(C749=DATE(2026,12,1),"培训；注册午餐；机构晚餐",IF(C749=Options!$B$9,"抵达；"&amp;IF(C749=DATE(2026,11,28),"机构晚餐","无统一供餐"),IF(C749=Options!$B$10,"返程；"&amp;IF(C749=DATE(2026,12,2),"机构午餐","无统一供餐"),"差旅状态；无统一日程"))))))</f>
        <v/>
      </c>
      <c r="E749" s="13">
        <f>IF(C749=Options!$B$9,Options!$C$16,0)</f>
        <v/>
      </c>
      <c r="F749" s="13">
        <f>IF(AND(A749&lt;&gt;"",C749&lt;Options!$B$10),B749*Options!$X$6,0)</f>
        <v/>
      </c>
      <c r="G749" s="13">
        <f>F749*12%</f>
        <v/>
      </c>
      <c r="H749" s="13">
        <f>IF(A749="",0,B749*(92*IF(OR(C749=Options!$B$9,C749=Options!$B$10),75%,100%)-IF(C749=DATE(2026,11,29),26+IF(Options!$B$8="是",23,0),0)-IF(C749=DATE(2026,11,30),26,0)-IF(C749=DATE(2026,12,1),64,0)-IF(C749=DATE(2026,11,28),38,0)-IF(C749=DATE(2026,12,2),26,0)))</f>
        <v/>
      </c>
      <c r="I749" s="13">
        <f>IF(AND(C749&gt;=DATE(2026,11,29),C749&lt;=DATE(2026,12,1)),B749*60,0)</f>
        <v/>
      </c>
      <c r="J749" s="13">
        <f>IF(A749="",0,B749*(IF(C749=DATE(2026,11,28),38,0)+IF(C749=DATE(2026,12,1),38,0)+IF(C749=DATE(2026,12,2),26,0)))</f>
        <v/>
      </c>
      <c r="K749" s="13">
        <f>IF(C749=Options!$B$9,B749*12,0)</f>
        <v/>
      </c>
      <c r="L749" s="13">
        <f>IF(C749=Options!$B$9,B749*Options!$Z$6,0)</f>
        <v/>
      </c>
      <c r="M749" s="13" t="n">
        <v>0</v>
      </c>
      <c r="N749" s="13">
        <f>SUM(E749:M749)</f>
        <v/>
      </c>
    </row>
    <row r="750">
      <c r="A750" s="5">
        <f>IF(AND(C750&gt;=Options!$B$9,C750&lt;=Options!$B$10),"Denver","")</f>
        <v/>
      </c>
      <c r="B750" s="5">
        <f>IF(A750="","",18)</f>
        <v/>
      </c>
      <c r="C750" s="17" t="n">
        <v>46311</v>
      </c>
      <c r="D750" s="5">
        <f>IF(A750="","",IF(C750=DATE(2026,11,29),"培训；注册午餐；早餐参数",IF(C750=DATE(2026,11,30),"培训；注册午餐",IF(C750=DATE(2026,12,1),"培训；注册午餐；机构晚餐",IF(C750=Options!$B$9,"抵达；"&amp;IF(C750=DATE(2026,11,28),"机构晚餐","无统一供餐"),IF(C750=Options!$B$10,"返程；"&amp;IF(C750=DATE(2026,12,2),"机构午餐","无统一供餐"),"差旅状态；无统一日程"))))))</f>
        <v/>
      </c>
      <c r="E750" s="13">
        <f>IF(C750=Options!$B$9,Options!$C$16,0)</f>
        <v/>
      </c>
      <c r="F750" s="13">
        <f>IF(AND(A750&lt;&gt;"",C750&lt;Options!$B$10),B750*Options!$X$6,0)</f>
        <v/>
      </c>
      <c r="G750" s="13">
        <f>F750*12%</f>
        <v/>
      </c>
      <c r="H750" s="13">
        <f>IF(A750="",0,B750*(92*IF(OR(C750=Options!$B$9,C750=Options!$B$10),75%,100%)-IF(C750=DATE(2026,11,29),26+IF(Options!$B$8="是",23,0),0)-IF(C750=DATE(2026,11,30),26,0)-IF(C750=DATE(2026,12,1),64,0)-IF(C750=DATE(2026,11,28),38,0)-IF(C750=DATE(2026,12,2),26,0)))</f>
        <v/>
      </c>
      <c r="I750" s="13">
        <f>IF(AND(C750&gt;=DATE(2026,11,29),C750&lt;=DATE(2026,12,1)),B750*60,0)</f>
        <v/>
      </c>
      <c r="J750" s="13">
        <f>IF(A750="",0,B750*(IF(C750=DATE(2026,11,28),38,0)+IF(C750=DATE(2026,12,1),38,0)+IF(C750=DATE(2026,12,2),26,0)))</f>
        <v/>
      </c>
      <c r="K750" s="13">
        <f>IF(C750=Options!$B$9,B750*12,0)</f>
        <v/>
      </c>
      <c r="L750" s="13">
        <f>IF(C750=Options!$B$9,B750*Options!$Z$6,0)</f>
        <v/>
      </c>
      <c r="M750" s="13" t="n">
        <v>0</v>
      </c>
      <c r="N750" s="13">
        <f>SUM(E750:M750)</f>
        <v/>
      </c>
    </row>
    <row r="751">
      <c r="A751" s="5">
        <f>IF(AND(C751&gt;=Options!$B$9,C751&lt;=Options!$B$10),"Denver","")</f>
        <v/>
      </c>
      <c r="B751" s="5">
        <f>IF(A751="","",18)</f>
        <v/>
      </c>
      <c r="C751" s="17" t="n">
        <v>46312</v>
      </c>
      <c r="D751" s="5">
        <f>IF(A751="","",IF(C751=DATE(2026,11,29),"培训；注册午餐；早餐参数",IF(C751=DATE(2026,11,30),"培训；注册午餐",IF(C751=DATE(2026,12,1),"培训；注册午餐；机构晚餐",IF(C751=Options!$B$9,"抵达；"&amp;IF(C751=DATE(2026,11,28),"机构晚餐","无统一供餐"),IF(C751=Options!$B$10,"返程；"&amp;IF(C751=DATE(2026,12,2),"机构午餐","无统一供餐"),"差旅状态；无统一日程"))))))</f>
        <v/>
      </c>
      <c r="E751" s="13">
        <f>IF(C751=Options!$B$9,Options!$C$16,0)</f>
        <v/>
      </c>
      <c r="F751" s="13">
        <f>IF(AND(A751&lt;&gt;"",C751&lt;Options!$B$10),B751*Options!$X$6,0)</f>
        <v/>
      </c>
      <c r="G751" s="13">
        <f>F751*12%</f>
        <v/>
      </c>
      <c r="H751" s="13">
        <f>IF(A751="",0,B751*(92*IF(OR(C751=Options!$B$9,C751=Options!$B$10),75%,100%)-IF(C751=DATE(2026,11,29),26+IF(Options!$B$8="是",23,0),0)-IF(C751=DATE(2026,11,30),26,0)-IF(C751=DATE(2026,12,1),64,0)-IF(C751=DATE(2026,11,28),38,0)-IF(C751=DATE(2026,12,2),26,0)))</f>
        <v/>
      </c>
      <c r="I751" s="13">
        <f>IF(AND(C751&gt;=DATE(2026,11,29),C751&lt;=DATE(2026,12,1)),B751*60,0)</f>
        <v/>
      </c>
      <c r="J751" s="13">
        <f>IF(A751="",0,B751*(IF(C751=DATE(2026,11,28),38,0)+IF(C751=DATE(2026,12,1),38,0)+IF(C751=DATE(2026,12,2),26,0)))</f>
        <v/>
      </c>
      <c r="K751" s="13">
        <f>IF(C751=Options!$B$9,B751*12,0)</f>
        <v/>
      </c>
      <c r="L751" s="13">
        <f>IF(C751=Options!$B$9,B751*Options!$Z$6,0)</f>
        <v/>
      </c>
      <c r="M751" s="13" t="n">
        <v>0</v>
      </c>
      <c r="N751" s="13">
        <f>SUM(E751:M751)</f>
        <v/>
      </c>
    </row>
    <row r="752">
      <c r="A752" s="5">
        <f>IF(AND(C752&gt;=Options!$B$9,C752&lt;=Options!$B$10),"Denver","")</f>
        <v/>
      </c>
      <c r="B752" s="5">
        <f>IF(A752="","",18)</f>
        <v/>
      </c>
      <c r="C752" s="17" t="n">
        <v>46313</v>
      </c>
      <c r="D752" s="5">
        <f>IF(A752="","",IF(C752=DATE(2026,11,29),"培训；注册午餐；早餐参数",IF(C752=DATE(2026,11,30),"培训；注册午餐",IF(C752=DATE(2026,12,1),"培训；注册午餐；机构晚餐",IF(C752=Options!$B$9,"抵达；"&amp;IF(C752=DATE(2026,11,28),"机构晚餐","无统一供餐"),IF(C752=Options!$B$10,"返程；"&amp;IF(C752=DATE(2026,12,2),"机构午餐","无统一供餐"),"差旅状态；无统一日程"))))))</f>
        <v/>
      </c>
      <c r="E752" s="13">
        <f>IF(C752=Options!$B$9,Options!$C$16,0)</f>
        <v/>
      </c>
      <c r="F752" s="13">
        <f>IF(AND(A752&lt;&gt;"",C752&lt;Options!$B$10),B752*Options!$X$6,0)</f>
        <v/>
      </c>
      <c r="G752" s="13">
        <f>F752*12%</f>
        <v/>
      </c>
      <c r="H752" s="13">
        <f>IF(A752="",0,B752*(92*IF(OR(C752=Options!$B$9,C752=Options!$B$10),75%,100%)-IF(C752=DATE(2026,11,29),26+IF(Options!$B$8="是",23,0),0)-IF(C752=DATE(2026,11,30),26,0)-IF(C752=DATE(2026,12,1),64,0)-IF(C752=DATE(2026,11,28),38,0)-IF(C752=DATE(2026,12,2),26,0)))</f>
        <v/>
      </c>
      <c r="I752" s="13">
        <f>IF(AND(C752&gt;=DATE(2026,11,29),C752&lt;=DATE(2026,12,1)),B752*60,0)</f>
        <v/>
      </c>
      <c r="J752" s="13">
        <f>IF(A752="",0,B752*(IF(C752=DATE(2026,11,28),38,0)+IF(C752=DATE(2026,12,1),38,0)+IF(C752=DATE(2026,12,2),26,0)))</f>
        <v/>
      </c>
      <c r="K752" s="13">
        <f>IF(C752=Options!$B$9,B752*12,0)</f>
        <v/>
      </c>
      <c r="L752" s="13">
        <f>IF(C752=Options!$B$9,B752*Options!$Z$6,0)</f>
        <v/>
      </c>
      <c r="M752" s="13" t="n">
        <v>0</v>
      </c>
      <c r="N752" s="13">
        <f>SUM(E752:M752)</f>
        <v/>
      </c>
    </row>
    <row r="753">
      <c r="A753" s="5">
        <f>IF(AND(C753&gt;=Options!$B$9,C753&lt;=Options!$B$10),"Denver","")</f>
        <v/>
      </c>
      <c r="B753" s="5">
        <f>IF(A753="","",18)</f>
        <v/>
      </c>
      <c r="C753" s="17" t="n">
        <v>46314</v>
      </c>
      <c r="D753" s="5">
        <f>IF(A753="","",IF(C753=DATE(2026,11,29),"培训；注册午餐；早餐参数",IF(C753=DATE(2026,11,30),"培训；注册午餐",IF(C753=DATE(2026,12,1),"培训；注册午餐；机构晚餐",IF(C753=Options!$B$9,"抵达；"&amp;IF(C753=DATE(2026,11,28),"机构晚餐","无统一供餐"),IF(C753=Options!$B$10,"返程；"&amp;IF(C753=DATE(2026,12,2),"机构午餐","无统一供餐"),"差旅状态；无统一日程"))))))</f>
        <v/>
      </c>
      <c r="E753" s="13">
        <f>IF(C753=Options!$B$9,Options!$C$16,0)</f>
        <v/>
      </c>
      <c r="F753" s="13">
        <f>IF(AND(A753&lt;&gt;"",C753&lt;Options!$B$10),B753*Options!$X$6,0)</f>
        <v/>
      </c>
      <c r="G753" s="13">
        <f>F753*12%</f>
        <v/>
      </c>
      <c r="H753" s="13">
        <f>IF(A753="",0,B753*(92*IF(OR(C753=Options!$B$9,C753=Options!$B$10),75%,100%)-IF(C753=DATE(2026,11,29),26+IF(Options!$B$8="是",23,0),0)-IF(C753=DATE(2026,11,30),26,0)-IF(C753=DATE(2026,12,1),64,0)-IF(C753=DATE(2026,11,28),38,0)-IF(C753=DATE(2026,12,2),26,0)))</f>
        <v/>
      </c>
      <c r="I753" s="13">
        <f>IF(AND(C753&gt;=DATE(2026,11,29),C753&lt;=DATE(2026,12,1)),B753*60,0)</f>
        <v/>
      </c>
      <c r="J753" s="13">
        <f>IF(A753="",0,B753*(IF(C753=DATE(2026,11,28),38,0)+IF(C753=DATE(2026,12,1),38,0)+IF(C753=DATE(2026,12,2),26,0)))</f>
        <v/>
      </c>
      <c r="K753" s="13">
        <f>IF(C753=Options!$B$9,B753*12,0)</f>
        <v/>
      </c>
      <c r="L753" s="13">
        <f>IF(C753=Options!$B$9,B753*Options!$Z$6,0)</f>
        <v/>
      </c>
      <c r="M753" s="13" t="n">
        <v>0</v>
      </c>
      <c r="N753" s="13">
        <f>SUM(E753:M753)</f>
        <v/>
      </c>
    </row>
    <row r="754">
      <c r="A754" s="5">
        <f>IF(AND(C754&gt;=Options!$B$9,C754&lt;=Options!$B$10),"Denver","")</f>
        <v/>
      </c>
      <c r="B754" s="5">
        <f>IF(A754="","",18)</f>
        <v/>
      </c>
      <c r="C754" s="17" t="n">
        <v>46315</v>
      </c>
      <c r="D754" s="5">
        <f>IF(A754="","",IF(C754=DATE(2026,11,29),"培训；注册午餐；早餐参数",IF(C754=DATE(2026,11,30),"培训；注册午餐",IF(C754=DATE(2026,12,1),"培训；注册午餐；机构晚餐",IF(C754=Options!$B$9,"抵达；"&amp;IF(C754=DATE(2026,11,28),"机构晚餐","无统一供餐"),IF(C754=Options!$B$10,"返程；"&amp;IF(C754=DATE(2026,12,2),"机构午餐","无统一供餐"),"差旅状态；无统一日程"))))))</f>
        <v/>
      </c>
      <c r="E754" s="13">
        <f>IF(C754=Options!$B$9,Options!$C$16,0)</f>
        <v/>
      </c>
      <c r="F754" s="13">
        <f>IF(AND(A754&lt;&gt;"",C754&lt;Options!$B$10),B754*Options!$X$6,0)</f>
        <v/>
      </c>
      <c r="G754" s="13">
        <f>F754*12%</f>
        <v/>
      </c>
      <c r="H754" s="13">
        <f>IF(A754="",0,B754*(92*IF(OR(C754=Options!$B$9,C754=Options!$B$10),75%,100%)-IF(C754=DATE(2026,11,29),26+IF(Options!$B$8="是",23,0),0)-IF(C754=DATE(2026,11,30),26,0)-IF(C754=DATE(2026,12,1),64,0)-IF(C754=DATE(2026,11,28),38,0)-IF(C754=DATE(2026,12,2),26,0)))</f>
        <v/>
      </c>
      <c r="I754" s="13">
        <f>IF(AND(C754&gt;=DATE(2026,11,29),C754&lt;=DATE(2026,12,1)),B754*60,0)</f>
        <v/>
      </c>
      <c r="J754" s="13">
        <f>IF(A754="",0,B754*(IF(C754=DATE(2026,11,28),38,0)+IF(C754=DATE(2026,12,1),38,0)+IF(C754=DATE(2026,12,2),26,0)))</f>
        <v/>
      </c>
      <c r="K754" s="13">
        <f>IF(C754=Options!$B$9,B754*12,0)</f>
        <v/>
      </c>
      <c r="L754" s="13">
        <f>IF(C754=Options!$B$9,B754*Options!$Z$6,0)</f>
        <v/>
      </c>
      <c r="M754" s="13" t="n">
        <v>0</v>
      </c>
      <c r="N754" s="13">
        <f>SUM(E754:M754)</f>
        <v/>
      </c>
    </row>
    <row r="755">
      <c r="A755" s="5">
        <f>IF(AND(C755&gt;=Options!$B$9,C755&lt;=Options!$B$10),"Denver","")</f>
        <v/>
      </c>
      <c r="B755" s="5">
        <f>IF(A755="","",18)</f>
        <v/>
      </c>
      <c r="C755" s="17" t="n">
        <v>46316</v>
      </c>
      <c r="D755" s="5">
        <f>IF(A755="","",IF(C755=DATE(2026,11,29),"培训；注册午餐；早餐参数",IF(C755=DATE(2026,11,30),"培训；注册午餐",IF(C755=DATE(2026,12,1),"培训；注册午餐；机构晚餐",IF(C755=Options!$B$9,"抵达；"&amp;IF(C755=DATE(2026,11,28),"机构晚餐","无统一供餐"),IF(C755=Options!$B$10,"返程；"&amp;IF(C755=DATE(2026,12,2),"机构午餐","无统一供餐"),"差旅状态；无统一日程"))))))</f>
        <v/>
      </c>
      <c r="E755" s="13">
        <f>IF(C755=Options!$B$9,Options!$C$16,0)</f>
        <v/>
      </c>
      <c r="F755" s="13">
        <f>IF(AND(A755&lt;&gt;"",C755&lt;Options!$B$10),B755*Options!$X$6,0)</f>
        <v/>
      </c>
      <c r="G755" s="13">
        <f>F755*12%</f>
        <v/>
      </c>
      <c r="H755" s="13">
        <f>IF(A755="",0,B755*(92*IF(OR(C755=Options!$B$9,C755=Options!$B$10),75%,100%)-IF(C755=DATE(2026,11,29),26+IF(Options!$B$8="是",23,0),0)-IF(C755=DATE(2026,11,30),26,0)-IF(C755=DATE(2026,12,1),64,0)-IF(C755=DATE(2026,11,28),38,0)-IF(C755=DATE(2026,12,2),26,0)))</f>
        <v/>
      </c>
      <c r="I755" s="13">
        <f>IF(AND(C755&gt;=DATE(2026,11,29),C755&lt;=DATE(2026,12,1)),B755*60,0)</f>
        <v/>
      </c>
      <c r="J755" s="13">
        <f>IF(A755="",0,B755*(IF(C755=DATE(2026,11,28),38,0)+IF(C755=DATE(2026,12,1),38,0)+IF(C755=DATE(2026,12,2),26,0)))</f>
        <v/>
      </c>
      <c r="K755" s="13">
        <f>IF(C755=Options!$B$9,B755*12,0)</f>
        <v/>
      </c>
      <c r="L755" s="13">
        <f>IF(C755=Options!$B$9,B755*Options!$Z$6,0)</f>
        <v/>
      </c>
      <c r="M755" s="13" t="n">
        <v>0</v>
      </c>
      <c r="N755" s="13">
        <f>SUM(E755:M755)</f>
        <v/>
      </c>
    </row>
    <row r="756">
      <c r="A756" s="5">
        <f>IF(AND(C756&gt;=Options!$B$9,C756&lt;=Options!$B$10),"Denver","")</f>
        <v/>
      </c>
      <c r="B756" s="5">
        <f>IF(A756="","",18)</f>
        <v/>
      </c>
      <c r="C756" s="17" t="n">
        <v>46317</v>
      </c>
      <c r="D756" s="5">
        <f>IF(A756="","",IF(C756=DATE(2026,11,29),"培训；注册午餐；早餐参数",IF(C756=DATE(2026,11,30),"培训；注册午餐",IF(C756=DATE(2026,12,1),"培训；注册午餐；机构晚餐",IF(C756=Options!$B$9,"抵达；"&amp;IF(C756=DATE(2026,11,28),"机构晚餐","无统一供餐"),IF(C756=Options!$B$10,"返程；"&amp;IF(C756=DATE(2026,12,2),"机构午餐","无统一供餐"),"差旅状态；无统一日程"))))))</f>
        <v/>
      </c>
      <c r="E756" s="13">
        <f>IF(C756=Options!$B$9,Options!$C$16,0)</f>
        <v/>
      </c>
      <c r="F756" s="13">
        <f>IF(AND(A756&lt;&gt;"",C756&lt;Options!$B$10),B756*Options!$X$6,0)</f>
        <v/>
      </c>
      <c r="G756" s="13">
        <f>F756*12%</f>
        <v/>
      </c>
      <c r="H756" s="13">
        <f>IF(A756="",0,B756*(92*IF(OR(C756=Options!$B$9,C756=Options!$B$10),75%,100%)-IF(C756=DATE(2026,11,29),26+IF(Options!$B$8="是",23,0),0)-IF(C756=DATE(2026,11,30),26,0)-IF(C756=DATE(2026,12,1),64,0)-IF(C756=DATE(2026,11,28),38,0)-IF(C756=DATE(2026,12,2),26,0)))</f>
        <v/>
      </c>
      <c r="I756" s="13">
        <f>IF(AND(C756&gt;=DATE(2026,11,29),C756&lt;=DATE(2026,12,1)),B756*60,0)</f>
        <v/>
      </c>
      <c r="J756" s="13">
        <f>IF(A756="",0,B756*(IF(C756=DATE(2026,11,28),38,0)+IF(C756=DATE(2026,12,1),38,0)+IF(C756=DATE(2026,12,2),26,0)))</f>
        <v/>
      </c>
      <c r="K756" s="13">
        <f>IF(C756=Options!$B$9,B756*12,0)</f>
        <v/>
      </c>
      <c r="L756" s="13">
        <f>IF(C756=Options!$B$9,B756*Options!$Z$6,0)</f>
        <v/>
      </c>
      <c r="M756" s="13" t="n">
        <v>0</v>
      </c>
      <c r="N756" s="13">
        <f>SUM(E756:M756)</f>
        <v/>
      </c>
    </row>
    <row r="757">
      <c r="A757" s="5">
        <f>IF(AND(C757&gt;=Options!$B$9,C757&lt;=Options!$B$10),"Denver","")</f>
        <v/>
      </c>
      <c r="B757" s="5">
        <f>IF(A757="","",18)</f>
        <v/>
      </c>
      <c r="C757" s="17" t="n">
        <v>46318</v>
      </c>
      <c r="D757" s="5">
        <f>IF(A757="","",IF(C757=DATE(2026,11,29),"培训；注册午餐；早餐参数",IF(C757=DATE(2026,11,30),"培训；注册午餐",IF(C757=DATE(2026,12,1),"培训；注册午餐；机构晚餐",IF(C757=Options!$B$9,"抵达；"&amp;IF(C757=DATE(2026,11,28),"机构晚餐","无统一供餐"),IF(C757=Options!$B$10,"返程；"&amp;IF(C757=DATE(2026,12,2),"机构午餐","无统一供餐"),"差旅状态；无统一日程"))))))</f>
        <v/>
      </c>
      <c r="E757" s="13">
        <f>IF(C757=Options!$B$9,Options!$C$16,0)</f>
        <v/>
      </c>
      <c r="F757" s="13">
        <f>IF(AND(A757&lt;&gt;"",C757&lt;Options!$B$10),B757*Options!$X$6,0)</f>
        <v/>
      </c>
      <c r="G757" s="13">
        <f>F757*12%</f>
        <v/>
      </c>
      <c r="H757" s="13">
        <f>IF(A757="",0,B757*(92*IF(OR(C757=Options!$B$9,C757=Options!$B$10),75%,100%)-IF(C757=DATE(2026,11,29),26+IF(Options!$B$8="是",23,0),0)-IF(C757=DATE(2026,11,30),26,0)-IF(C757=DATE(2026,12,1),64,0)-IF(C757=DATE(2026,11,28),38,0)-IF(C757=DATE(2026,12,2),26,0)))</f>
        <v/>
      </c>
      <c r="I757" s="13">
        <f>IF(AND(C757&gt;=DATE(2026,11,29),C757&lt;=DATE(2026,12,1)),B757*60,0)</f>
        <v/>
      </c>
      <c r="J757" s="13">
        <f>IF(A757="",0,B757*(IF(C757=DATE(2026,11,28),38,0)+IF(C757=DATE(2026,12,1),38,0)+IF(C757=DATE(2026,12,2),26,0)))</f>
        <v/>
      </c>
      <c r="K757" s="13">
        <f>IF(C757=Options!$B$9,B757*12,0)</f>
        <v/>
      </c>
      <c r="L757" s="13">
        <f>IF(C757=Options!$B$9,B757*Options!$Z$6,0)</f>
        <v/>
      </c>
      <c r="M757" s="13" t="n">
        <v>0</v>
      </c>
      <c r="N757" s="13">
        <f>SUM(E757:M757)</f>
        <v/>
      </c>
    </row>
    <row r="758">
      <c r="A758" s="5">
        <f>IF(AND(C758&gt;=Options!$B$9,C758&lt;=Options!$B$10),"Denver","")</f>
        <v/>
      </c>
      <c r="B758" s="5">
        <f>IF(A758="","",18)</f>
        <v/>
      </c>
      <c r="C758" s="17" t="n">
        <v>46319</v>
      </c>
      <c r="D758" s="5">
        <f>IF(A758="","",IF(C758=DATE(2026,11,29),"培训；注册午餐；早餐参数",IF(C758=DATE(2026,11,30),"培训；注册午餐",IF(C758=DATE(2026,12,1),"培训；注册午餐；机构晚餐",IF(C758=Options!$B$9,"抵达；"&amp;IF(C758=DATE(2026,11,28),"机构晚餐","无统一供餐"),IF(C758=Options!$B$10,"返程；"&amp;IF(C758=DATE(2026,12,2),"机构午餐","无统一供餐"),"差旅状态；无统一日程"))))))</f>
        <v/>
      </c>
      <c r="E758" s="13">
        <f>IF(C758=Options!$B$9,Options!$C$16,0)</f>
        <v/>
      </c>
      <c r="F758" s="13">
        <f>IF(AND(A758&lt;&gt;"",C758&lt;Options!$B$10),B758*Options!$X$6,0)</f>
        <v/>
      </c>
      <c r="G758" s="13">
        <f>F758*12%</f>
        <v/>
      </c>
      <c r="H758" s="13">
        <f>IF(A758="",0,B758*(92*IF(OR(C758=Options!$B$9,C758=Options!$B$10),75%,100%)-IF(C758=DATE(2026,11,29),26+IF(Options!$B$8="是",23,0),0)-IF(C758=DATE(2026,11,30),26,0)-IF(C758=DATE(2026,12,1),64,0)-IF(C758=DATE(2026,11,28),38,0)-IF(C758=DATE(2026,12,2),26,0)))</f>
        <v/>
      </c>
      <c r="I758" s="13">
        <f>IF(AND(C758&gt;=DATE(2026,11,29),C758&lt;=DATE(2026,12,1)),B758*60,0)</f>
        <v/>
      </c>
      <c r="J758" s="13">
        <f>IF(A758="",0,B758*(IF(C758=DATE(2026,11,28),38,0)+IF(C758=DATE(2026,12,1),38,0)+IF(C758=DATE(2026,12,2),26,0)))</f>
        <v/>
      </c>
      <c r="K758" s="13">
        <f>IF(C758=Options!$B$9,B758*12,0)</f>
        <v/>
      </c>
      <c r="L758" s="13">
        <f>IF(C758=Options!$B$9,B758*Options!$Z$6,0)</f>
        <v/>
      </c>
      <c r="M758" s="13" t="n">
        <v>0</v>
      </c>
      <c r="N758" s="13">
        <f>SUM(E758:M758)</f>
        <v/>
      </c>
    </row>
    <row r="759">
      <c r="A759" s="5">
        <f>IF(AND(C759&gt;=Options!$B$9,C759&lt;=Options!$B$10),"Denver","")</f>
        <v/>
      </c>
      <c r="B759" s="5">
        <f>IF(A759="","",18)</f>
        <v/>
      </c>
      <c r="C759" s="17" t="n">
        <v>46320</v>
      </c>
      <c r="D759" s="5">
        <f>IF(A759="","",IF(C759=DATE(2026,11,29),"培训；注册午餐；早餐参数",IF(C759=DATE(2026,11,30),"培训；注册午餐",IF(C759=DATE(2026,12,1),"培训；注册午餐；机构晚餐",IF(C759=Options!$B$9,"抵达；"&amp;IF(C759=DATE(2026,11,28),"机构晚餐","无统一供餐"),IF(C759=Options!$B$10,"返程；"&amp;IF(C759=DATE(2026,12,2),"机构午餐","无统一供餐"),"差旅状态；无统一日程"))))))</f>
        <v/>
      </c>
      <c r="E759" s="13">
        <f>IF(C759=Options!$B$9,Options!$C$16,0)</f>
        <v/>
      </c>
      <c r="F759" s="13">
        <f>IF(AND(A759&lt;&gt;"",C759&lt;Options!$B$10),B759*Options!$X$6,0)</f>
        <v/>
      </c>
      <c r="G759" s="13">
        <f>F759*12%</f>
        <v/>
      </c>
      <c r="H759" s="13">
        <f>IF(A759="",0,B759*(92*IF(OR(C759=Options!$B$9,C759=Options!$B$10),75%,100%)-IF(C759=DATE(2026,11,29),26+IF(Options!$B$8="是",23,0),0)-IF(C759=DATE(2026,11,30),26,0)-IF(C759=DATE(2026,12,1),64,0)-IF(C759=DATE(2026,11,28),38,0)-IF(C759=DATE(2026,12,2),26,0)))</f>
        <v/>
      </c>
      <c r="I759" s="13">
        <f>IF(AND(C759&gt;=DATE(2026,11,29),C759&lt;=DATE(2026,12,1)),B759*60,0)</f>
        <v/>
      </c>
      <c r="J759" s="13">
        <f>IF(A759="",0,B759*(IF(C759=DATE(2026,11,28),38,0)+IF(C759=DATE(2026,12,1),38,0)+IF(C759=DATE(2026,12,2),26,0)))</f>
        <v/>
      </c>
      <c r="K759" s="13">
        <f>IF(C759=Options!$B$9,B759*12,0)</f>
        <v/>
      </c>
      <c r="L759" s="13">
        <f>IF(C759=Options!$B$9,B759*Options!$Z$6,0)</f>
        <v/>
      </c>
      <c r="M759" s="13" t="n">
        <v>0</v>
      </c>
      <c r="N759" s="13">
        <f>SUM(E759:M759)</f>
        <v/>
      </c>
    </row>
    <row r="760">
      <c r="A760" s="5">
        <f>IF(AND(C760&gt;=Options!$B$9,C760&lt;=Options!$B$10),"Denver","")</f>
        <v/>
      </c>
      <c r="B760" s="5">
        <f>IF(A760="","",18)</f>
        <v/>
      </c>
      <c r="C760" s="17" t="n">
        <v>46321</v>
      </c>
      <c r="D760" s="5">
        <f>IF(A760="","",IF(C760=DATE(2026,11,29),"培训；注册午餐；早餐参数",IF(C760=DATE(2026,11,30),"培训；注册午餐",IF(C760=DATE(2026,12,1),"培训；注册午餐；机构晚餐",IF(C760=Options!$B$9,"抵达；"&amp;IF(C760=DATE(2026,11,28),"机构晚餐","无统一供餐"),IF(C760=Options!$B$10,"返程；"&amp;IF(C760=DATE(2026,12,2),"机构午餐","无统一供餐"),"差旅状态；无统一日程"))))))</f>
        <v/>
      </c>
      <c r="E760" s="13">
        <f>IF(C760=Options!$B$9,Options!$C$16,0)</f>
        <v/>
      </c>
      <c r="F760" s="13">
        <f>IF(AND(A760&lt;&gt;"",C760&lt;Options!$B$10),B760*Options!$X$6,0)</f>
        <v/>
      </c>
      <c r="G760" s="13">
        <f>F760*12%</f>
        <v/>
      </c>
      <c r="H760" s="13">
        <f>IF(A760="",0,B760*(92*IF(OR(C760=Options!$B$9,C760=Options!$B$10),75%,100%)-IF(C760=DATE(2026,11,29),26+IF(Options!$B$8="是",23,0),0)-IF(C760=DATE(2026,11,30),26,0)-IF(C760=DATE(2026,12,1),64,0)-IF(C760=DATE(2026,11,28),38,0)-IF(C760=DATE(2026,12,2),26,0)))</f>
        <v/>
      </c>
      <c r="I760" s="13">
        <f>IF(AND(C760&gt;=DATE(2026,11,29),C760&lt;=DATE(2026,12,1)),B760*60,0)</f>
        <v/>
      </c>
      <c r="J760" s="13">
        <f>IF(A760="",0,B760*(IF(C760=DATE(2026,11,28),38,0)+IF(C760=DATE(2026,12,1),38,0)+IF(C760=DATE(2026,12,2),26,0)))</f>
        <v/>
      </c>
      <c r="K760" s="13">
        <f>IF(C760=Options!$B$9,B760*12,0)</f>
        <v/>
      </c>
      <c r="L760" s="13">
        <f>IF(C760=Options!$B$9,B760*Options!$Z$6,0)</f>
        <v/>
      </c>
      <c r="M760" s="13" t="n">
        <v>0</v>
      </c>
      <c r="N760" s="13">
        <f>SUM(E760:M760)</f>
        <v/>
      </c>
    </row>
    <row r="761">
      <c r="A761" s="5">
        <f>IF(AND(C761&gt;=Options!$B$9,C761&lt;=Options!$B$10),"Denver","")</f>
        <v/>
      </c>
      <c r="B761" s="5">
        <f>IF(A761="","",18)</f>
        <v/>
      </c>
      <c r="C761" s="17" t="n">
        <v>46322</v>
      </c>
      <c r="D761" s="5">
        <f>IF(A761="","",IF(C761=DATE(2026,11,29),"培训；注册午餐；早餐参数",IF(C761=DATE(2026,11,30),"培训；注册午餐",IF(C761=DATE(2026,12,1),"培训；注册午餐；机构晚餐",IF(C761=Options!$B$9,"抵达；"&amp;IF(C761=DATE(2026,11,28),"机构晚餐","无统一供餐"),IF(C761=Options!$B$10,"返程；"&amp;IF(C761=DATE(2026,12,2),"机构午餐","无统一供餐"),"差旅状态；无统一日程"))))))</f>
        <v/>
      </c>
      <c r="E761" s="13">
        <f>IF(C761=Options!$B$9,Options!$C$16,0)</f>
        <v/>
      </c>
      <c r="F761" s="13">
        <f>IF(AND(A761&lt;&gt;"",C761&lt;Options!$B$10),B761*Options!$X$6,0)</f>
        <v/>
      </c>
      <c r="G761" s="13">
        <f>F761*12%</f>
        <v/>
      </c>
      <c r="H761" s="13">
        <f>IF(A761="",0,B761*(92*IF(OR(C761=Options!$B$9,C761=Options!$B$10),75%,100%)-IF(C761=DATE(2026,11,29),26+IF(Options!$B$8="是",23,0),0)-IF(C761=DATE(2026,11,30),26,0)-IF(C761=DATE(2026,12,1),64,0)-IF(C761=DATE(2026,11,28),38,0)-IF(C761=DATE(2026,12,2),26,0)))</f>
        <v/>
      </c>
      <c r="I761" s="13">
        <f>IF(AND(C761&gt;=DATE(2026,11,29),C761&lt;=DATE(2026,12,1)),B761*60,0)</f>
        <v/>
      </c>
      <c r="J761" s="13">
        <f>IF(A761="",0,B761*(IF(C761=DATE(2026,11,28),38,0)+IF(C761=DATE(2026,12,1),38,0)+IF(C761=DATE(2026,12,2),26,0)))</f>
        <v/>
      </c>
      <c r="K761" s="13">
        <f>IF(C761=Options!$B$9,B761*12,0)</f>
        <v/>
      </c>
      <c r="L761" s="13">
        <f>IF(C761=Options!$B$9,B761*Options!$Z$6,0)</f>
        <v/>
      </c>
      <c r="M761" s="13" t="n">
        <v>0</v>
      </c>
      <c r="N761" s="13">
        <f>SUM(E761:M761)</f>
        <v/>
      </c>
    </row>
    <row r="762">
      <c r="A762" s="5">
        <f>IF(AND(C762&gt;=Options!$B$9,C762&lt;=Options!$B$10),"Denver","")</f>
        <v/>
      </c>
      <c r="B762" s="5">
        <f>IF(A762="","",18)</f>
        <v/>
      </c>
      <c r="C762" s="17" t="n">
        <v>46323</v>
      </c>
      <c r="D762" s="5">
        <f>IF(A762="","",IF(C762=DATE(2026,11,29),"培训；注册午餐；早餐参数",IF(C762=DATE(2026,11,30),"培训；注册午餐",IF(C762=DATE(2026,12,1),"培训；注册午餐；机构晚餐",IF(C762=Options!$B$9,"抵达；"&amp;IF(C762=DATE(2026,11,28),"机构晚餐","无统一供餐"),IF(C762=Options!$B$10,"返程；"&amp;IF(C762=DATE(2026,12,2),"机构午餐","无统一供餐"),"差旅状态；无统一日程"))))))</f>
        <v/>
      </c>
      <c r="E762" s="13">
        <f>IF(C762=Options!$B$9,Options!$C$16,0)</f>
        <v/>
      </c>
      <c r="F762" s="13">
        <f>IF(AND(A762&lt;&gt;"",C762&lt;Options!$B$10),B762*Options!$X$6,0)</f>
        <v/>
      </c>
      <c r="G762" s="13">
        <f>F762*12%</f>
        <v/>
      </c>
      <c r="H762" s="13">
        <f>IF(A762="",0,B762*(92*IF(OR(C762=Options!$B$9,C762=Options!$B$10),75%,100%)-IF(C762=DATE(2026,11,29),26+IF(Options!$B$8="是",23,0),0)-IF(C762=DATE(2026,11,30),26,0)-IF(C762=DATE(2026,12,1),64,0)-IF(C762=DATE(2026,11,28),38,0)-IF(C762=DATE(2026,12,2),26,0)))</f>
        <v/>
      </c>
      <c r="I762" s="13">
        <f>IF(AND(C762&gt;=DATE(2026,11,29),C762&lt;=DATE(2026,12,1)),B762*60,0)</f>
        <v/>
      </c>
      <c r="J762" s="13">
        <f>IF(A762="",0,B762*(IF(C762=DATE(2026,11,28),38,0)+IF(C762=DATE(2026,12,1),38,0)+IF(C762=DATE(2026,12,2),26,0)))</f>
        <v/>
      </c>
      <c r="K762" s="13">
        <f>IF(C762=Options!$B$9,B762*12,0)</f>
        <v/>
      </c>
      <c r="L762" s="13">
        <f>IF(C762=Options!$B$9,B762*Options!$Z$6,0)</f>
        <v/>
      </c>
      <c r="M762" s="13" t="n">
        <v>0</v>
      </c>
      <c r="N762" s="13">
        <f>SUM(E762:M762)</f>
        <v/>
      </c>
    </row>
    <row r="763">
      <c r="A763" s="5">
        <f>IF(AND(C763&gt;=Options!$B$9,C763&lt;=Options!$B$10),"Denver","")</f>
        <v/>
      </c>
      <c r="B763" s="5">
        <f>IF(A763="","",18)</f>
        <v/>
      </c>
      <c r="C763" s="17" t="n">
        <v>46324</v>
      </c>
      <c r="D763" s="5">
        <f>IF(A763="","",IF(C763=DATE(2026,11,29),"培训；注册午餐；早餐参数",IF(C763=DATE(2026,11,30),"培训；注册午餐",IF(C763=DATE(2026,12,1),"培训；注册午餐；机构晚餐",IF(C763=Options!$B$9,"抵达；"&amp;IF(C763=DATE(2026,11,28),"机构晚餐","无统一供餐"),IF(C763=Options!$B$10,"返程；"&amp;IF(C763=DATE(2026,12,2),"机构午餐","无统一供餐"),"差旅状态；无统一日程"))))))</f>
        <v/>
      </c>
      <c r="E763" s="13">
        <f>IF(C763=Options!$B$9,Options!$C$16,0)</f>
        <v/>
      </c>
      <c r="F763" s="13">
        <f>IF(AND(A763&lt;&gt;"",C763&lt;Options!$B$10),B763*Options!$X$6,0)</f>
        <v/>
      </c>
      <c r="G763" s="13">
        <f>F763*12%</f>
        <v/>
      </c>
      <c r="H763" s="13">
        <f>IF(A763="",0,B763*(92*IF(OR(C763=Options!$B$9,C763=Options!$B$10),75%,100%)-IF(C763=DATE(2026,11,29),26+IF(Options!$B$8="是",23,0),0)-IF(C763=DATE(2026,11,30),26,0)-IF(C763=DATE(2026,12,1),64,0)-IF(C763=DATE(2026,11,28),38,0)-IF(C763=DATE(2026,12,2),26,0)))</f>
        <v/>
      </c>
      <c r="I763" s="13">
        <f>IF(AND(C763&gt;=DATE(2026,11,29),C763&lt;=DATE(2026,12,1)),B763*60,0)</f>
        <v/>
      </c>
      <c r="J763" s="13">
        <f>IF(A763="",0,B763*(IF(C763=DATE(2026,11,28),38,0)+IF(C763=DATE(2026,12,1),38,0)+IF(C763=DATE(2026,12,2),26,0)))</f>
        <v/>
      </c>
      <c r="K763" s="13">
        <f>IF(C763=Options!$B$9,B763*12,0)</f>
        <v/>
      </c>
      <c r="L763" s="13">
        <f>IF(C763=Options!$B$9,B763*Options!$Z$6,0)</f>
        <v/>
      </c>
      <c r="M763" s="13" t="n">
        <v>0</v>
      </c>
      <c r="N763" s="13">
        <f>SUM(E763:M763)</f>
        <v/>
      </c>
    </row>
    <row r="764">
      <c r="A764" s="5">
        <f>IF(AND(C764&gt;=Options!$B$9,C764&lt;=Options!$B$10),"Denver","")</f>
        <v/>
      </c>
      <c r="B764" s="5">
        <f>IF(A764="","",18)</f>
        <v/>
      </c>
      <c r="C764" s="17" t="n">
        <v>46325</v>
      </c>
      <c r="D764" s="5">
        <f>IF(A764="","",IF(C764=DATE(2026,11,29),"培训；注册午餐；早餐参数",IF(C764=DATE(2026,11,30),"培训；注册午餐",IF(C764=DATE(2026,12,1),"培训；注册午餐；机构晚餐",IF(C764=Options!$B$9,"抵达；"&amp;IF(C764=DATE(2026,11,28),"机构晚餐","无统一供餐"),IF(C764=Options!$B$10,"返程；"&amp;IF(C764=DATE(2026,12,2),"机构午餐","无统一供餐"),"差旅状态；无统一日程"))))))</f>
        <v/>
      </c>
      <c r="E764" s="13">
        <f>IF(C764=Options!$B$9,Options!$C$16,0)</f>
        <v/>
      </c>
      <c r="F764" s="13">
        <f>IF(AND(A764&lt;&gt;"",C764&lt;Options!$B$10),B764*Options!$X$6,0)</f>
        <v/>
      </c>
      <c r="G764" s="13">
        <f>F764*12%</f>
        <v/>
      </c>
      <c r="H764" s="13">
        <f>IF(A764="",0,B764*(92*IF(OR(C764=Options!$B$9,C764=Options!$B$10),75%,100%)-IF(C764=DATE(2026,11,29),26+IF(Options!$B$8="是",23,0),0)-IF(C764=DATE(2026,11,30),26,0)-IF(C764=DATE(2026,12,1),64,0)-IF(C764=DATE(2026,11,28),38,0)-IF(C764=DATE(2026,12,2),26,0)))</f>
        <v/>
      </c>
      <c r="I764" s="13">
        <f>IF(AND(C764&gt;=DATE(2026,11,29),C764&lt;=DATE(2026,12,1)),B764*60,0)</f>
        <v/>
      </c>
      <c r="J764" s="13">
        <f>IF(A764="",0,B764*(IF(C764=DATE(2026,11,28),38,0)+IF(C764=DATE(2026,12,1),38,0)+IF(C764=DATE(2026,12,2),26,0)))</f>
        <v/>
      </c>
      <c r="K764" s="13">
        <f>IF(C764=Options!$B$9,B764*12,0)</f>
        <v/>
      </c>
      <c r="L764" s="13">
        <f>IF(C764=Options!$B$9,B764*Options!$Z$6,0)</f>
        <v/>
      </c>
      <c r="M764" s="13" t="n">
        <v>0</v>
      </c>
      <c r="N764" s="13">
        <f>SUM(E764:M764)</f>
        <v/>
      </c>
    </row>
    <row r="765">
      <c r="A765" s="5">
        <f>IF(AND(C765&gt;=Options!$B$9,C765&lt;=Options!$B$10),"Denver","")</f>
        <v/>
      </c>
      <c r="B765" s="5">
        <f>IF(A765="","",18)</f>
        <v/>
      </c>
      <c r="C765" s="17" t="n">
        <v>46326</v>
      </c>
      <c r="D765" s="5">
        <f>IF(A765="","",IF(C765=DATE(2026,11,29),"培训；注册午餐；早餐参数",IF(C765=DATE(2026,11,30),"培训；注册午餐",IF(C765=DATE(2026,12,1),"培训；注册午餐；机构晚餐",IF(C765=Options!$B$9,"抵达；"&amp;IF(C765=DATE(2026,11,28),"机构晚餐","无统一供餐"),IF(C765=Options!$B$10,"返程；"&amp;IF(C765=DATE(2026,12,2),"机构午餐","无统一供餐"),"差旅状态；无统一日程"))))))</f>
        <v/>
      </c>
      <c r="E765" s="13">
        <f>IF(C765=Options!$B$9,Options!$C$16,0)</f>
        <v/>
      </c>
      <c r="F765" s="13">
        <f>IF(AND(A765&lt;&gt;"",C765&lt;Options!$B$10),B765*Options!$X$6,0)</f>
        <v/>
      </c>
      <c r="G765" s="13">
        <f>F765*12%</f>
        <v/>
      </c>
      <c r="H765" s="13">
        <f>IF(A765="",0,B765*(92*IF(OR(C765=Options!$B$9,C765=Options!$B$10),75%,100%)-IF(C765=DATE(2026,11,29),26+IF(Options!$B$8="是",23,0),0)-IF(C765=DATE(2026,11,30),26,0)-IF(C765=DATE(2026,12,1),64,0)-IF(C765=DATE(2026,11,28),38,0)-IF(C765=DATE(2026,12,2),26,0)))</f>
        <v/>
      </c>
      <c r="I765" s="13">
        <f>IF(AND(C765&gt;=DATE(2026,11,29),C765&lt;=DATE(2026,12,1)),B765*60,0)</f>
        <v/>
      </c>
      <c r="J765" s="13">
        <f>IF(A765="",0,B765*(IF(C765=DATE(2026,11,28),38,0)+IF(C765=DATE(2026,12,1),38,0)+IF(C765=DATE(2026,12,2),26,0)))</f>
        <v/>
      </c>
      <c r="K765" s="13">
        <f>IF(C765=Options!$B$9,B765*12,0)</f>
        <v/>
      </c>
      <c r="L765" s="13">
        <f>IF(C765=Options!$B$9,B765*Options!$Z$6,0)</f>
        <v/>
      </c>
      <c r="M765" s="13" t="n">
        <v>0</v>
      </c>
      <c r="N765" s="13">
        <f>SUM(E765:M765)</f>
        <v/>
      </c>
    </row>
    <row r="766">
      <c r="A766" s="5">
        <f>IF(AND(C766&gt;=Options!$B$9,C766&lt;=Options!$B$10),"Denver","")</f>
        <v/>
      </c>
      <c r="B766" s="5">
        <f>IF(A766="","",18)</f>
        <v/>
      </c>
      <c r="C766" s="17" t="n">
        <v>46327</v>
      </c>
      <c r="D766" s="5">
        <f>IF(A766="","",IF(C766=DATE(2026,11,29),"培训；注册午餐；早餐参数",IF(C766=DATE(2026,11,30),"培训；注册午餐",IF(C766=DATE(2026,12,1),"培训；注册午餐；机构晚餐",IF(C766=Options!$B$9,"抵达；"&amp;IF(C766=DATE(2026,11,28),"机构晚餐","无统一供餐"),IF(C766=Options!$B$10,"返程；"&amp;IF(C766=DATE(2026,12,2),"机构午餐","无统一供餐"),"差旅状态；无统一日程"))))))</f>
        <v/>
      </c>
      <c r="E766" s="13">
        <f>IF(C766=Options!$B$9,Options!$C$16,0)</f>
        <v/>
      </c>
      <c r="F766" s="13">
        <f>IF(AND(A766&lt;&gt;"",C766&lt;Options!$B$10),B766*Options!$X$6,0)</f>
        <v/>
      </c>
      <c r="G766" s="13">
        <f>F766*12%</f>
        <v/>
      </c>
      <c r="H766" s="13">
        <f>IF(A766="",0,B766*(92*IF(OR(C766=Options!$B$9,C766=Options!$B$10),75%,100%)-IF(C766=DATE(2026,11,29),26+IF(Options!$B$8="是",23,0),0)-IF(C766=DATE(2026,11,30),26,0)-IF(C766=DATE(2026,12,1),64,0)-IF(C766=DATE(2026,11,28),38,0)-IF(C766=DATE(2026,12,2),26,0)))</f>
        <v/>
      </c>
      <c r="I766" s="13">
        <f>IF(AND(C766&gt;=DATE(2026,11,29),C766&lt;=DATE(2026,12,1)),B766*60,0)</f>
        <v/>
      </c>
      <c r="J766" s="13">
        <f>IF(A766="",0,B766*(IF(C766=DATE(2026,11,28),38,0)+IF(C766=DATE(2026,12,1),38,0)+IF(C766=DATE(2026,12,2),26,0)))</f>
        <v/>
      </c>
      <c r="K766" s="13">
        <f>IF(C766=Options!$B$9,B766*12,0)</f>
        <v/>
      </c>
      <c r="L766" s="13">
        <f>IF(C766=Options!$B$9,B766*Options!$Z$6,0)</f>
        <v/>
      </c>
      <c r="M766" s="13" t="n">
        <v>0</v>
      </c>
      <c r="N766" s="13">
        <f>SUM(E766:M766)</f>
        <v/>
      </c>
    </row>
    <row r="767">
      <c r="A767" s="5">
        <f>IF(AND(C767&gt;=Options!$B$9,C767&lt;=Options!$B$10),"Denver","")</f>
        <v/>
      </c>
      <c r="B767" s="5">
        <f>IF(A767="","",18)</f>
        <v/>
      </c>
      <c r="C767" s="17" t="n">
        <v>46328</v>
      </c>
      <c r="D767" s="5">
        <f>IF(A767="","",IF(C767=DATE(2026,11,29),"培训；注册午餐；早餐参数",IF(C767=DATE(2026,11,30),"培训；注册午餐",IF(C767=DATE(2026,12,1),"培训；注册午餐；机构晚餐",IF(C767=Options!$B$9,"抵达；"&amp;IF(C767=DATE(2026,11,28),"机构晚餐","无统一供餐"),IF(C767=Options!$B$10,"返程；"&amp;IF(C767=DATE(2026,12,2),"机构午餐","无统一供餐"),"差旅状态；无统一日程"))))))</f>
        <v/>
      </c>
      <c r="E767" s="13">
        <f>IF(C767=Options!$B$9,Options!$C$16,0)</f>
        <v/>
      </c>
      <c r="F767" s="13">
        <f>IF(AND(A767&lt;&gt;"",C767&lt;Options!$B$10),B767*Options!$X$6,0)</f>
        <v/>
      </c>
      <c r="G767" s="13">
        <f>F767*12%</f>
        <v/>
      </c>
      <c r="H767" s="13">
        <f>IF(A767="",0,B767*(92*IF(OR(C767=Options!$B$9,C767=Options!$B$10),75%,100%)-IF(C767=DATE(2026,11,29),26+IF(Options!$B$8="是",23,0),0)-IF(C767=DATE(2026,11,30),26,0)-IF(C767=DATE(2026,12,1),64,0)-IF(C767=DATE(2026,11,28),38,0)-IF(C767=DATE(2026,12,2),26,0)))</f>
        <v/>
      </c>
      <c r="I767" s="13">
        <f>IF(AND(C767&gt;=DATE(2026,11,29),C767&lt;=DATE(2026,12,1)),B767*60,0)</f>
        <v/>
      </c>
      <c r="J767" s="13">
        <f>IF(A767="",0,B767*(IF(C767=DATE(2026,11,28),38,0)+IF(C767=DATE(2026,12,1),38,0)+IF(C767=DATE(2026,12,2),26,0)))</f>
        <v/>
      </c>
      <c r="K767" s="13">
        <f>IF(C767=Options!$B$9,B767*12,0)</f>
        <v/>
      </c>
      <c r="L767" s="13">
        <f>IF(C767=Options!$B$9,B767*Options!$Z$6,0)</f>
        <v/>
      </c>
      <c r="M767" s="13" t="n">
        <v>0</v>
      </c>
      <c r="N767" s="13">
        <f>SUM(E767:M767)</f>
        <v/>
      </c>
    </row>
    <row r="768">
      <c r="A768" s="5">
        <f>IF(AND(C768&gt;=Options!$B$9,C768&lt;=Options!$B$10),"Denver","")</f>
        <v/>
      </c>
      <c r="B768" s="5">
        <f>IF(A768="","",18)</f>
        <v/>
      </c>
      <c r="C768" s="17" t="n">
        <v>46329</v>
      </c>
      <c r="D768" s="5">
        <f>IF(A768="","",IF(C768=DATE(2026,11,29),"培训；注册午餐；早餐参数",IF(C768=DATE(2026,11,30),"培训；注册午餐",IF(C768=DATE(2026,12,1),"培训；注册午餐；机构晚餐",IF(C768=Options!$B$9,"抵达；"&amp;IF(C768=DATE(2026,11,28),"机构晚餐","无统一供餐"),IF(C768=Options!$B$10,"返程；"&amp;IF(C768=DATE(2026,12,2),"机构午餐","无统一供餐"),"差旅状态；无统一日程"))))))</f>
        <v/>
      </c>
      <c r="E768" s="13">
        <f>IF(C768=Options!$B$9,Options!$C$16,0)</f>
        <v/>
      </c>
      <c r="F768" s="13">
        <f>IF(AND(A768&lt;&gt;"",C768&lt;Options!$B$10),B768*Options!$X$6,0)</f>
        <v/>
      </c>
      <c r="G768" s="13">
        <f>F768*12%</f>
        <v/>
      </c>
      <c r="H768" s="13">
        <f>IF(A768="",0,B768*(92*IF(OR(C768=Options!$B$9,C768=Options!$B$10),75%,100%)-IF(C768=DATE(2026,11,29),26+IF(Options!$B$8="是",23,0),0)-IF(C768=DATE(2026,11,30),26,0)-IF(C768=DATE(2026,12,1),64,0)-IF(C768=DATE(2026,11,28),38,0)-IF(C768=DATE(2026,12,2),26,0)))</f>
        <v/>
      </c>
      <c r="I768" s="13">
        <f>IF(AND(C768&gt;=DATE(2026,11,29),C768&lt;=DATE(2026,12,1)),B768*60,0)</f>
        <v/>
      </c>
      <c r="J768" s="13">
        <f>IF(A768="",0,B768*(IF(C768=DATE(2026,11,28),38,0)+IF(C768=DATE(2026,12,1),38,0)+IF(C768=DATE(2026,12,2),26,0)))</f>
        <v/>
      </c>
      <c r="K768" s="13">
        <f>IF(C768=Options!$B$9,B768*12,0)</f>
        <v/>
      </c>
      <c r="L768" s="13">
        <f>IF(C768=Options!$B$9,B768*Options!$Z$6,0)</f>
        <v/>
      </c>
      <c r="M768" s="13" t="n">
        <v>0</v>
      </c>
      <c r="N768" s="13">
        <f>SUM(E768:M768)</f>
        <v/>
      </c>
    </row>
    <row r="769">
      <c r="A769" s="5">
        <f>IF(AND(C769&gt;=Options!$B$9,C769&lt;=Options!$B$10),"Denver","")</f>
        <v/>
      </c>
      <c r="B769" s="5">
        <f>IF(A769="","",18)</f>
        <v/>
      </c>
      <c r="C769" s="17" t="n">
        <v>46330</v>
      </c>
      <c r="D769" s="5">
        <f>IF(A769="","",IF(C769=DATE(2026,11,29),"培训；注册午餐；早餐参数",IF(C769=DATE(2026,11,30),"培训；注册午餐",IF(C769=DATE(2026,12,1),"培训；注册午餐；机构晚餐",IF(C769=Options!$B$9,"抵达；"&amp;IF(C769=DATE(2026,11,28),"机构晚餐","无统一供餐"),IF(C769=Options!$B$10,"返程；"&amp;IF(C769=DATE(2026,12,2),"机构午餐","无统一供餐"),"差旅状态；无统一日程"))))))</f>
        <v/>
      </c>
      <c r="E769" s="13">
        <f>IF(C769=Options!$B$9,Options!$C$16,0)</f>
        <v/>
      </c>
      <c r="F769" s="13">
        <f>IF(AND(A769&lt;&gt;"",C769&lt;Options!$B$10),B769*Options!$X$6,0)</f>
        <v/>
      </c>
      <c r="G769" s="13">
        <f>F769*12%</f>
        <v/>
      </c>
      <c r="H769" s="13">
        <f>IF(A769="",0,B769*(92*IF(OR(C769=Options!$B$9,C769=Options!$B$10),75%,100%)-IF(C769=DATE(2026,11,29),26+IF(Options!$B$8="是",23,0),0)-IF(C769=DATE(2026,11,30),26,0)-IF(C769=DATE(2026,12,1),64,0)-IF(C769=DATE(2026,11,28),38,0)-IF(C769=DATE(2026,12,2),26,0)))</f>
        <v/>
      </c>
      <c r="I769" s="13">
        <f>IF(AND(C769&gt;=DATE(2026,11,29),C769&lt;=DATE(2026,12,1)),B769*60,0)</f>
        <v/>
      </c>
      <c r="J769" s="13">
        <f>IF(A769="",0,B769*(IF(C769=DATE(2026,11,28),38,0)+IF(C769=DATE(2026,12,1),38,0)+IF(C769=DATE(2026,12,2),26,0)))</f>
        <v/>
      </c>
      <c r="K769" s="13">
        <f>IF(C769=Options!$B$9,B769*12,0)</f>
        <v/>
      </c>
      <c r="L769" s="13">
        <f>IF(C769=Options!$B$9,B769*Options!$Z$6,0)</f>
        <v/>
      </c>
      <c r="M769" s="13" t="n">
        <v>0</v>
      </c>
      <c r="N769" s="13">
        <f>SUM(E769:M769)</f>
        <v/>
      </c>
    </row>
    <row r="770">
      <c r="A770" s="5">
        <f>IF(AND(C770&gt;=Options!$B$9,C770&lt;=Options!$B$10),"Denver","")</f>
        <v/>
      </c>
      <c r="B770" s="5">
        <f>IF(A770="","",18)</f>
        <v/>
      </c>
      <c r="C770" s="17" t="n">
        <v>46331</v>
      </c>
      <c r="D770" s="5">
        <f>IF(A770="","",IF(C770=DATE(2026,11,29),"培训；注册午餐；早餐参数",IF(C770=DATE(2026,11,30),"培训；注册午餐",IF(C770=DATE(2026,12,1),"培训；注册午餐；机构晚餐",IF(C770=Options!$B$9,"抵达；"&amp;IF(C770=DATE(2026,11,28),"机构晚餐","无统一供餐"),IF(C770=Options!$B$10,"返程；"&amp;IF(C770=DATE(2026,12,2),"机构午餐","无统一供餐"),"差旅状态；无统一日程"))))))</f>
        <v/>
      </c>
      <c r="E770" s="13">
        <f>IF(C770=Options!$B$9,Options!$C$16,0)</f>
        <v/>
      </c>
      <c r="F770" s="13">
        <f>IF(AND(A770&lt;&gt;"",C770&lt;Options!$B$10),B770*Options!$X$6,0)</f>
        <v/>
      </c>
      <c r="G770" s="13">
        <f>F770*12%</f>
        <v/>
      </c>
      <c r="H770" s="13">
        <f>IF(A770="",0,B770*(92*IF(OR(C770=Options!$B$9,C770=Options!$B$10),75%,100%)-IF(C770=DATE(2026,11,29),26+IF(Options!$B$8="是",23,0),0)-IF(C770=DATE(2026,11,30),26,0)-IF(C770=DATE(2026,12,1),64,0)-IF(C770=DATE(2026,11,28),38,0)-IF(C770=DATE(2026,12,2),26,0)))</f>
        <v/>
      </c>
      <c r="I770" s="13">
        <f>IF(AND(C770&gt;=DATE(2026,11,29),C770&lt;=DATE(2026,12,1)),B770*60,0)</f>
        <v/>
      </c>
      <c r="J770" s="13">
        <f>IF(A770="",0,B770*(IF(C770=DATE(2026,11,28),38,0)+IF(C770=DATE(2026,12,1),38,0)+IF(C770=DATE(2026,12,2),26,0)))</f>
        <v/>
      </c>
      <c r="K770" s="13">
        <f>IF(C770=Options!$B$9,B770*12,0)</f>
        <v/>
      </c>
      <c r="L770" s="13">
        <f>IF(C770=Options!$B$9,B770*Options!$Z$6,0)</f>
        <v/>
      </c>
      <c r="M770" s="13" t="n">
        <v>0</v>
      </c>
      <c r="N770" s="13">
        <f>SUM(E770:M770)</f>
        <v/>
      </c>
    </row>
    <row r="771">
      <c r="A771" s="5">
        <f>IF(AND(C771&gt;=Options!$B$9,C771&lt;=Options!$B$10),"Denver","")</f>
        <v/>
      </c>
      <c r="B771" s="5">
        <f>IF(A771="","",18)</f>
        <v/>
      </c>
      <c r="C771" s="17" t="n">
        <v>46332</v>
      </c>
      <c r="D771" s="5">
        <f>IF(A771="","",IF(C771=DATE(2026,11,29),"培训；注册午餐；早餐参数",IF(C771=DATE(2026,11,30),"培训；注册午餐",IF(C771=DATE(2026,12,1),"培训；注册午餐；机构晚餐",IF(C771=Options!$B$9,"抵达；"&amp;IF(C771=DATE(2026,11,28),"机构晚餐","无统一供餐"),IF(C771=Options!$B$10,"返程；"&amp;IF(C771=DATE(2026,12,2),"机构午餐","无统一供餐"),"差旅状态；无统一日程"))))))</f>
        <v/>
      </c>
      <c r="E771" s="13">
        <f>IF(C771=Options!$B$9,Options!$C$16,0)</f>
        <v/>
      </c>
      <c r="F771" s="13">
        <f>IF(AND(A771&lt;&gt;"",C771&lt;Options!$B$10),B771*Options!$X$6,0)</f>
        <v/>
      </c>
      <c r="G771" s="13">
        <f>F771*12%</f>
        <v/>
      </c>
      <c r="H771" s="13">
        <f>IF(A771="",0,B771*(92*IF(OR(C771=Options!$B$9,C771=Options!$B$10),75%,100%)-IF(C771=DATE(2026,11,29),26+IF(Options!$B$8="是",23,0),0)-IF(C771=DATE(2026,11,30),26,0)-IF(C771=DATE(2026,12,1),64,0)-IF(C771=DATE(2026,11,28),38,0)-IF(C771=DATE(2026,12,2),26,0)))</f>
        <v/>
      </c>
      <c r="I771" s="13">
        <f>IF(AND(C771&gt;=DATE(2026,11,29),C771&lt;=DATE(2026,12,1)),B771*60,0)</f>
        <v/>
      </c>
      <c r="J771" s="13">
        <f>IF(A771="",0,B771*(IF(C771=DATE(2026,11,28),38,0)+IF(C771=DATE(2026,12,1),38,0)+IF(C771=DATE(2026,12,2),26,0)))</f>
        <v/>
      </c>
      <c r="K771" s="13">
        <f>IF(C771=Options!$B$9,B771*12,0)</f>
        <v/>
      </c>
      <c r="L771" s="13">
        <f>IF(C771=Options!$B$9,B771*Options!$Z$6,0)</f>
        <v/>
      </c>
      <c r="M771" s="13" t="n">
        <v>0</v>
      </c>
      <c r="N771" s="13">
        <f>SUM(E771:M771)</f>
        <v/>
      </c>
    </row>
    <row r="772">
      <c r="A772" s="5">
        <f>IF(AND(C772&gt;=Options!$B$9,C772&lt;=Options!$B$10),"Denver","")</f>
        <v/>
      </c>
      <c r="B772" s="5">
        <f>IF(A772="","",18)</f>
        <v/>
      </c>
      <c r="C772" s="17" t="n">
        <v>46333</v>
      </c>
      <c r="D772" s="5">
        <f>IF(A772="","",IF(C772=DATE(2026,11,29),"培训；注册午餐；早餐参数",IF(C772=DATE(2026,11,30),"培训；注册午餐",IF(C772=DATE(2026,12,1),"培训；注册午餐；机构晚餐",IF(C772=Options!$B$9,"抵达；"&amp;IF(C772=DATE(2026,11,28),"机构晚餐","无统一供餐"),IF(C772=Options!$B$10,"返程；"&amp;IF(C772=DATE(2026,12,2),"机构午餐","无统一供餐"),"差旅状态；无统一日程"))))))</f>
        <v/>
      </c>
      <c r="E772" s="13">
        <f>IF(C772=Options!$B$9,Options!$C$16,0)</f>
        <v/>
      </c>
      <c r="F772" s="13">
        <f>IF(AND(A772&lt;&gt;"",C772&lt;Options!$B$10),B772*Options!$X$6,0)</f>
        <v/>
      </c>
      <c r="G772" s="13">
        <f>F772*12%</f>
        <v/>
      </c>
      <c r="H772" s="13">
        <f>IF(A772="",0,B772*(92*IF(OR(C772=Options!$B$9,C772=Options!$B$10),75%,100%)-IF(C772=DATE(2026,11,29),26+IF(Options!$B$8="是",23,0),0)-IF(C772=DATE(2026,11,30),26,0)-IF(C772=DATE(2026,12,1),64,0)-IF(C772=DATE(2026,11,28),38,0)-IF(C772=DATE(2026,12,2),26,0)))</f>
        <v/>
      </c>
      <c r="I772" s="13">
        <f>IF(AND(C772&gt;=DATE(2026,11,29),C772&lt;=DATE(2026,12,1)),B772*60,0)</f>
        <v/>
      </c>
      <c r="J772" s="13">
        <f>IF(A772="",0,B772*(IF(C772=DATE(2026,11,28),38,0)+IF(C772=DATE(2026,12,1),38,0)+IF(C772=DATE(2026,12,2),26,0)))</f>
        <v/>
      </c>
      <c r="K772" s="13">
        <f>IF(C772=Options!$B$9,B772*12,0)</f>
        <v/>
      </c>
      <c r="L772" s="13">
        <f>IF(C772=Options!$B$9,B772*Options!$Z$6,0)</f>
        <v/>
      </c>
      <c r="M772" s="13" t="n">
        <v>0</v>
      </c>
      <c r="N772" s="13">
        <f>SUM(E772:M772)</f>
        <v/>
      </c>
    </row>
    <row r="773">
      <c r="A773" s="5">
        <f>IF(AND(C773&gt;=Options!$B$9,C773&lt;=Options!$B$10),"Denver","")</f>
        <v/>
      </c>
      <c r="B773" s="5">
        <f>IF(A773="","",18)</f>
        <v/>
      </c>
      <c r="C773" s="17" t="n">
        <v>46334</v>
      </c>
      <c r="D773" s="5">
        <f>IF(A773="","",IF(C773=DATE(2026,11,29),"培训；注册午餐；早餐参数",IF(C773=DATE(2026,11,30),"培训；注册午餐",IF(C773=DATE(2026,12,1),"培训；注册午餐；机构晚餐",IF(C773=Options!$B$9,"抵达；"&amp;IF(C773=DATE(2026,11,28),"机构晚餐","无统一供餐"),IF(C773=Options!$B$10,"返程；"&amp;IF(C773=DATE(2026,12,2),"机构午餐","无统一供餐"),"差旅状态；无统一日程"))))))</f>
        <v/>
      </c>
      <c r="E773" s="13">
        <f>IF(C773=Options!$B$9,Options!$C$16,0)</f>
        <v/>
      </c>
      <c r="F773" s="13">
        <f>IF(AND(A773&lt;&gt;"",C773&lt;Options!$B$10),B773*Options!$X$6,0)</f>
        <v/>
      </c>
      <c r="G773" s="13">
        <f>F773*12%</f>
        <v/>
      </c>
      <c r="H773" s="13">
        <f>IF(A773="",0,B773*(92*IF(OR(C773=Options!$B$9,C773=Options!$B$10),75%,100%)-IF(C773=DATE(2026,11,29),26+IF(Options!$B$8="是",23,0),0)-IF(C773=DATE(2026,11,30),26,0)-IF(C773=DATE(2026,12,1),64,0)-IF(C773=DATE(2026,11,28),38,0)-IF(C773=DATE(2026,12,2),26,0)))</f>
        <v/>
      </c>
      <c r="I773" s="13">
        <f>IF(AND(C773&gt;=DATE(2026,11,29),C773&lt;=DATE(2026,12,1)),B773*60,0)</f>
        <v/>
      </c>
      <c r="J773" s="13">
        <f>IF(A773="",0,B773*(IF(C773=DATE(2026,11,28),38,0)+IF(C773=DATE(2026,12,1),38,0)+IF(C773=DATE(2026,12,2),26,0)))</f>
        <v/>
      </c>
      <c r="K773" s="13">
        <f>IF(C773=Options!$B$9,B773*12,0)</f>
        <v/>
      </c>
      <c r="L773" s="13">
        <f>IF(C773=Options!$B$9,B773*Options!$Z$6,0)</f>
        <v/>
      </c>
      <c r="M773" s="13" t="n">
        <v>0</v>
      </c>
      <c r="N773" s="13">
        <f>SUM(E773:M773)</f>
        <v/>
      </c>
    </row>
    <row r="774">
      <c r="A774" s="5">
        <f>IF(AND(C774&gt;=Options!$B$9,C774&lt;=Options!$B$10),"Denver","")</f>
        <v/>
      </c>
      <c r="B774" s="5">
        <f>IF(A774="","",18)</f>
        <v/>
      </c>
      <c r="C774" s="17" t="n">
        <v>46335</v>
      </c>
      <c r="D774" s="5">
        <f>IF(A774="","",IF(C774=DATE(2026,11,29),"培训；注册午餐；早餐参数",IF(C774=DATE(2026,11,30),"培训；注册午餐",IF(C774=DATE(2026,12,1),"培训；注册午餐；机构晚餐",IF(C774=Options!$B$9,"抵达；"&amp;IF(C774=DATE(2026,11,28),"机构晚餐","无统一供餐"),IF(C774=Options!$B$10,"返程；"&amp;IF(C774=DATE(2026,12,2),"机构午餐","无统一供餐"),"差旅状态；无统一日程"))))))</f>
        <v/>
      </c>
      <c r="E774" s="13">
        <f>IF(C774=Options!$B$9,Options!$C$16,0)</f>
        <v/>
      </c>
      <c r="F774" s="13">
        <f>IF(AND(A774&lt;&gt;"",C774&lt;Options!$B$10),B774*Options!$X$6,0)</f>
        <v/>
      </c>
      <c r="G774" s="13">
        <f>F774*12%</f>
        <v/>
      </c>
      <c r="H774" s="13">
        <f>IF(A774="",0,B774*(92*IF(OR(C774=Options!$B$9,C774=Options!$B$10),75%,100%)-IF(C774=DATE(2026,11,29),26+IF(Options!$B$8="是",23,0),0)-IF(C774=DATE(2026,11,30),26,0)-IF(C774=DATE(2026,12,1),64,0)-IF(C774=DATE(2026,11,28),38,0)-IF(C774=DATE(2026,12,2),26,0)))</f>
        <v/>
      </c>
      <c r="I774" s="13">
        <f>IF(AND(C774&gt;=DATE(2026,11,29),C774&lt;=DATE(2026,12,1)),B774*60,0)</f>
        <v/>
      </c>
      <c r="J774" s="13">
        <f>IF(A774="",0,B774*(IF(C774=DATE(2026,11,28),38,0)+IF(C774=DATE(2026,12,1),38,0)+IF(C774=DATE(2026,12,2),26,0)))</f>
        <v/>
      </c>
      <c r="K774" s="13">
        <f>IF(C774=Options!$B$9,B774*12,0)</f>
        <v/>
      </c>
      <c r="L774" s="13">
        <f>IF(C774=Options!$B$9,B774*Options!$Z$6,0)</f>
        <v/>
      </c>
      <c r="M774" s="13" t="n">
        <v>0</v>
      </c>
      <c r="N774" s="13">
        <f>SUM(E774:M774)</f>
        <v/>
      </c>
    </row>
    <row r="775">
      <c r="A775" s="5">
        <f>IF(AND(C775&gt;=Options!$B$9,C775&lt;=Options!$B$10),"Denver","")</f>
        <v/>
      </c>
      <c r="B775" s="5">
        <f>IF(A775="","",18)</f>
        <v/>
      </c>
      <c r="C775" s="17" t="n">
        <v>46336</v>
      </c>
      <c r="D775" s="5">
        <f>IF(A775="","",IF(C775=DATE(2026,11,29),"培训；注册午餐；早餐参数",IF(C775=DATE(2026,11,30),"培训；注册午餐",IF(C775=DATE(2026,12,1),"培训；注册午餐；机构晚餐",IF(C775=Options!$B$9,"抵达；"&amp;IF(C775=DATE(2026,11,28),"机构晚餐","无统一供餐"),IF(C775=Options!$B$10,"返程；"&amp;IF(C775=DATE(2026,12,2),"机构午餐","无统一供餐"),"差旅状态；无统一日程"))))))</f>
        <v/>
      </c>
      <c r="E775" s="13">
        <f>IF(C775=Options!$B$9,Options!$C$16,0)</f>
        <v/>
      </c>
      <c r="F775" s="13">
        <f>IF(AND(A775&lt;&gt;"",C775&lt;Options!$B$10),B775*Options!$X$6,0)</f>
        <v/>
      </c>
      <c r="G775" s="13">
        <f>F775*12%</f>
        <v/>
      </c>
      <c r="H775" s="13">
        <f>IF(A775="",0,B775*(92*IF(OR(C775=Options!$B$9,C775=Options!$B$10),75%,100%)-IF(C775=DATE(2026,11,29),26+IF(Options!$B$8="是",23,0),0)-IF(C775=DATE(2026,11,30),26,0)-IF(C775=DATE(2026,12,1),64,0)-IF(C775=DATE(2026,11,28),38,0)-IF(C775=DATE(2026,12,2),26,0)))</f>
        <v/>
      </c>
      <c r="I775" s="13">
        <f>IF(AND(C775&gt;=DATE(2026,11,29),C775&lt;=DATE(2026,12,1)),B775*60,0)</f>
        <v/>
      </c>
      <c r="J775" s="13">
        <f>IF(A775="",0,B775*(IF(C775=DATE(2026,11,28),38,0)+IF(C775=DATE(2026,12,1),38,0)+IF(C775=DATE(2026,12,2),26,0)))</f>
        <v/>
      </c>
      <c r="K775" s="13">
        <f>IF(C775=Options!$B$9,B775*12,0)</f>
        <v/>
      </c>
      <c r="L775" s="13">
        <f>IF(C775=Options!$B$9,B775*Options!$Z$6,0)</f>
        <v/>
      </c>
      <c r="M775" s="13" t="n">
        <v>0</v>
      </c>
      <c r="N775" s="13">
        <f>SUM(E775:M775)</f>
        <v/>
      </c>
    </row>
    <row r="776">
      <c r="A776" s="5">
        <f>IF(AND(C776&gt;=Options!$B$9,C776&lt;=Options!$B$10),"Denver","")</f>
        <v/>
      </c>
      <c r="B776" s="5">
        <f>IF(A776="","",18)</f>
        <v/>
      </c>
      <c r="C776" s="17" t="n">
        <v>46337</v>
      </c>
      <c r="D776" s="5">
        <f>IF(A776="","",IF(C776=DATE(2026,11,29),"培训；注册午餐；早餐参数",IF(C776=DATE(2026,11,30),"培训；注册午餐",IF(C776=DATE(2026,12,1),"培训；注册午餐；机构晚餐",IF(C776=Options!$B$9,"抵达；"&amp;IF(C776=DATE(2026,11,28),"机构晚餐","无统一供餐"),IF(C776=Options!$B$10,"返程；"&amp;IF(C776=DATE(2026,12,2),"机构午餐","无统一供餐"),"差旅状态；无统一日程"))))))</f>
        <v/>
      </c>
      <c r="E776" s="13">
        <f>IF(C776=Options!$B$9,Options!$C$16,0)</f>
        <v/>
      </c>
      <c r="F776" s="13">
        <f>IF(AND(A776&lt;&gt;"",C776&lt;Options!$B$10),B776*Options!$X$6,0)</f>
        <v/>
      </c>
      <c r="G776" s="13">
        <f>F776*12%</f>
        <v/>
      </c>
      <c r="H776" s="13">
        <f>IF(A776="",0,B776*(92*IF(OR(C776=Options!$B$9,C776=Options!$B$10),75%,100%)-IF(C776=DATE(2026,11,29),26+IF(Options!$B$8="是",23,0),0)-IF(C776=DATE(2026,11,30),26,0)-IF(C776=DATE(2026,12,1),64,0)-IF(C776=DATE(2026,11,28),38,0)-IF(C776=DATE(2026,12,2),26,0)))</f>
        <v/>
      </c>
      <c r="I776" s="13">
        <f>IF(AND(C776&gt;=DATE(2026,11,29),C776&lt;=DATE(2026,12,1)),B776*60,0)</f>
        <v/>
      </c>
      <c r="J776" s="13">
        <f>IF(A776="",0,B776*(IF(C776=DATE(2026,11,28),38,0)+IF(C776=DATE(2026,12,1),38,0)+IF(C776=DATE(2026,12,2),26,0)))</f>
        <v/>
      </c>
      <c r="K776" s="13">
        <f>IF(C776=Options!$B$9,B776*12,0)</f>
        <v/>
      </c>
      <c r="L776" s="13">
        <f>IF(C776=Options!$B$9,B776*Options!$Z$6,0)</f>
        <v/>
      </c>
      <c r="M776" s="13" t="n">
        <v>0</v>
      </c>
      <c r="N776" s="13">
        <f>SUM(E776:M776)</f>
        <v/>
      </c>
    </row>
    <row r="777">
      <c r="A777" s="5">
        <f>IF(AND(C777&gt;=Options!$B$9,C777&lt;=Options!$B$10),"Denver","")</f>
        <v/>
      </c>
      <c r="B777" s="5">
        <f>IF(A777="","",18)</f>
        <v/>
      </c>
      <c r="C777" s="17" t="n">
        <v>46338</v>
      </c>
      <c r="D777" s="5">
        <f>IF(A777="","",IF(C777=DATE(2026,11,29),"培训；注册午餐；早餐参数",IF(C777=DATE(2026,11,30),"培训；注册午餐",IF(C777=DATE(2026,12,1),"培训；注册午餐；机构晚餐",IF(C777=Options!$B$9,"抵达；"&amp;IF(C777=DATE(2026,11,28),"机构晚餐","无统一供餐"),IF(C777=Options!$B$10,"返程；"&amp;IF(C777=DATE(2026,12,2),"机构午餐","无统一供餐"),"差旅状态；无统一日程"))))))</f>
        <v/>
      </c>
      <c r="E777" s="13">
        <f>IF(C777=Options!$B$9,Options!$C$16,0)</f>
        <v/>
      </c>
      <c r="F777" s="13">
        <f>IF(AND(A777&lt;&gt;"",C777&lt;Options!$B$10),B777*Options!$X$6,0)</f>
        <v/>
      </c>
      <c r="G777" s="13">
        <f>F777*12%</f>
        <v/>
      </c>
      <c r="H777" s="13">
        <f>IF(A777="",0,B777*(92*IF(OR(C777=Options!$B$9,C777=Options!$B$10),75%,100%)-IF(C777=DATE(2026,11,29),26+IF(Options!$B$8="是",23,0),0)-IF(C777=DATE(2026,11,30),26,0)-IF(C777=DATE(2026,12,1),64,0)-IF(C777=DATE(2026,11,28),38,0)-IF(C777=DATE(2026,12,2),26,0)))</f>
        <v/>
      </c>
      <c r="I777" s="13">
        <f>IF(AND(C777&gt;=DATE(2026,11,29),C777&lt;=DATE(2026,12,1)),B777*60,0)</f>
        <v/>
      </c>
      <c r="J777" s="13">
        <f>IF(A777="",0,B777*(IF(C777=DATE(2026,11,28),38,0)+IF(C777=DATE(2026,12,1),38,0)+IF(C777=DATE(2026,12,2),26,0)))</f>
        <v/>
      </c>
      <c r="K777" s="13">
        <f>IF(C777=Options!$B$9,B777*12,0)</f>
        <v/>
      </c>
      <c r="L777" s="13">
        <f>IF(C777=Options!$B$9,B777*Options!$Z$6,0)</f>
        <v/>
      </c>
      <c r="M777" s="13" t="n">
        <v>0</v>
      </c>
      <c r="N777" s="13">
        <f>SUM(E777:M777)</f>
        <v/>
      </c>
    </row>
    <row r="778">
      <c r="A778" s="5">
        <f>IF(AND(C778&gt;=Options!$B$9,C778&lt;=Options!$B$10),"Denver","")</f>
        <v/>
      </c>
      <c r="B778" s="5">
        <f>IF(A778="","",18)</f>
        <v/>
      </c>
      <c r="C778" s="17" t="n">
        <v>46339</v>
      </c>
      <c r="D778" s="5">
        <f>IF(A778="","",IF(C778=DATE(2026,11,29),"培训；注册午餐；早餐参数",IF(C778=DATE(2026,11,30),"培训；注册午餐",IF(C778=DATE(2026,12,1),"培训；注册午餐；机构晚餐",IF(C778=Options!$B$9,"抵达；"&amp;IF(C778=DATE(2026,11,28),"机构晚餐","无统一供餐"),IF(C778=Options!$B$10,"返程；"&amp;IF(C778=DATE(2026,12,2),"机构午餐","无统一供餐"),"差旅状态；无统一日程"))))))</f>
        <v/>
      </c>
      <c r="E778" s="13">
        <f>IF(C778=Options!$B$9,Options!$C$16,0)</f>
        <v/>
      </c>
      <c r="F778" s="13">
        <f>IF(AND(A778&lt;&gt;"",C778&lt;Options!$B$10),B778*Options!$X$6,0)</f>
        <v/>
      </c>
      <c r="G778" s="13">
        <f>F778*12%</f>
        <v/>
      </c>
      <c r="H778" s="13">
        <f>IF(A778="",0,B778*(92*IF(OR(C778=Options!$B$9,C778=Options!$B$10),75%,100%)-IF(C778=DATE(2026,11,29),26+IF(Options!$B$8="是",23,0),0)-IF(C778=DATE(2026,11,30),26,0)-IF(C778=DATE(2026,12,1),64,0)-IF(C778=DATE(2026,11,28),38,0)-IF(C778=DATE(2026,12,2),26,0)))</f>
        <v/>
      </c>
      <c r="I778" s="13">
        <f>IF(AND(C778&gt;=DATE(2026,11,29),C778&lt;=DATE(2026,12,1)),B778*60,0)</f>
        <v/>
      </c>
      <c r="J778" s="13">
        <f>IF(A778="",0,B778*(IF(C778=DATE(2026,11,28),38,0)+IF(C778=DATE(2026,12,1),38,0)+IF(C778=DATE(2026,12,2),26,0)))</f>
        <v/>
      </c>
      <c r="K778" s="13">
        <f>IF(C778=Options!$B$9,B778*12,0)</f>
        <v/>
      </c>
      <c r="L778" s="13">
        <f>IF(C778=Options!$B$9,B778*Options!$Z$6,0)</f>
        <v/>
      </c>
      <c r="M778" s="13" t="n">
        <v>0</v>
      </c>
      <c r="N778" s="13">
        <f>SUM(E778:M778)</f>
        <v/>
      </c>
    </row>
    <row r="779">
      <c r="A779" s="5">
        <f>IF(AND(C779&gt;=Options!$B$9,C779&lt;=Options!$B$10),"Denver","")</f>
        <v/>
      </c>
      <c r="B779" s="5">
        <f>IF(A779="","",18)</f>
        <v/>
      </c>
      <c r="C779" s="17" t="n">
        <v>46340</v>
      </c>
      <c r="D779" s="5">
        <f>IF(A779="","",IF(C779=DATE(2026,11,29),"培训；注册午餐；早餐参数",IF(C779=DATE(2026,11,30),"培训；注册午餐",IF(C779=DATE(2026,12,1),"培训；注册午餐；机构晚餐",IF(C779=Options!$B$9,"抵达；"&amp;IF(C779=DATE(2026,11,28),"机构晚餐","无统一供餐"),IF(C779=Options!$B$10,"返程；"&amp;IF(C779=DATE(2026,12,2),"机构午餐","无统一供餐"),"差旅状态；无统一日程"))))))</f>
        <v/>
      </c>
      <c r="E779" s="13">
        <f>IF(C779=Options!$B$9,Options!$C$16,0)</f>
        <v/>
      </c>
      <c r="F779" s="13">
        <f>IF(AND(A779&lt;&gt;"",C779&lt;Options!$B$10),B779*Options!$X$6,0)</f>
        <v/>
      </c>
      <c r="G779" s="13">
        <f>F779*12%</f>
        <v/>
      </c>
      <c r="H779" s="13">
        <f>IF(A779="",0,B779*(92*IF(OR(C779=Options!$B$9,C779=Options!$B$10),75%,100%)-IF(C779=DATE(2026,11,29),26+IF(Options!$B$8="是",23,0),0)-IF(C779=DATE(2026,11,30),26,0)-IF(C779=DATE(2026,12,1),64,0)-IF(C779=DATE(2026,11,28),38,0)-IF(C779=DATE(2026,12,2),26,0)))</f>
        <v/>
      </c>
      <c r="I779" s="13">
        <f>IF(AND(C779&gt;=DATE(2026,11,29),C779&lt;=DATE(2026,12,1)),B779*60,0)</f>
        <v/>
      </c>
      <c r="J779" s="13">
        <f>IF(A779="",0,B779*(IF(C779=DATE(2026,11,28),38,0)+IF(C779=DATE(2026,12,1),38,0)+IF(C779=DATE(2026,12,2),26,0)))</f>
        <v/>
      </c>
      <c r="K779" s="13">
        <f>IF(C779=Options!$B$9,B779*12,0)</f>
        <v/>
      </c>
      <c r="L779" s="13">
        <f>IF(C779=Options!$B$9,B779*Options!$Z$6,0)</f>
        <v/>
      </c>
      <c r="M779" s="13" t="n">
        <v>0</v>
      </c>
      <c r="N779" s="13">
        <f>SUM(E779:M779)</f>
        <v/>
      </c>
    </row>
    <row r="780">
      <c r="A780" s="5">
        <f>IF(AND(C780&gt;=Options!$B$9,C780&lt;=Options!$B$10),"Denver","")</f>
        <v/>
      </c>
      <c r="B780" s="5">
        <f>IF(A780="","",18)</f>
        <v/>
      </c>
      <c r="C780" s="17" t="n">
        <v>46341</v>
      </c>
      <c r="D780" s="5">
        <f>IF(A780="","",IF(C780=DATE(2026,11,29),"培训；注册午餐；早餐参数",IF(C780=DATE(2026,11,30),"培训；注册午餐",IF(C780=DATE(2026,12,1),"培训；注册午餐；机构晚餐",IF(C780=Options!$B$9,"抵达；"&amp;IF(C780=DATE(2026,11,28),"机构晚餐","无统一供餐"),IF(C780=Options!$B$10,"返程；"&amp;IF(C780=DATE(2026,12,2),"机构午餐","无统一供餐"),"差旅状态；无统一日程"))))))</f>
        <v/>
      </c>
      <c r="E780" s="13">
        <f>IF(C780=Options!$B$9,Options!$C$16,0)</f>
        <v/>
      </c>
      <c r="F780" s="13">
        <f>IF(AND(A780&lt;&gt;"",C780&lt;Options!$B$10),B780*Options!$X$6,0)</f>
        <v/>
      </c>
      <c r="G780" s="13">
        <f>F780*12%</f>
        <v/>
      </c>
      <c r="H780" s="13">
        <f>IF(A780="",0,B780*(92*IF(OR(C780=Options!$B$9,C780=Options!$B$10),75%,100%)-IF(C780=DATE(2026,11,29),26+IF(Options!$B$8="是",23,0),0)-IF(C780=DATE(2026,11,30),26,0)-IF(C780=DATE(2026,12,1),64,0)-IF(C780=DATE(2026,11,28),38,0)-IF(C780=DATE(2026,12,2),26,0)))</f>
        <v/>
      </c>
      <c r="I780" s="13">
        <f>IF(AND(C780&gt;=DATE(2026,11,29),C780&lt;=DATE(2026,12,1)),B780*60,0)</f>
        <v/>
      </c>
      <c r="J780" s="13">
        <f>IF(A780="",0,B780*(IF(C780=DATE(2026,11,28),38,0)+IF(C780=DATE(2026,12,1),38,0)+IF(C780=DATE(2026,12,2),26,0)))</f>
        <v/>
      </c>
      <c r="K780" s="13">
        <f>IF(C780=Options!$B$9,B780*12,0)</f>
        <v/>
      </c>
      <c r="L780" s="13">
        <f>IF(C780=Options!$B$9,B780*Options!$Z$6,0)</f>
        <v/>
      </c>
      <c r="M780" s="13" t="n">
        <v>0</v>
      </c>
      <c r="N780" s="13">
        <f>SUM(E780:M780)</f>
        <v/>
      </c>
    </row>
    <row r="781">
      <c r="A781" s="5">
        <f>IF(AND(C781&gt;=Options!$B$9,C781&lt;=Options!$B$10),"Denver","")</f>
        <v/>
      </c>
      <c r="B781" s="5">
        <f>IF(A781="","",18)</f>
        <v/>
      </c>
      <c r="C781" s="17" t="n">
        <v>46342</v>
      </c>
      <c r="D781" s="5">
        <f>IF(A781="","",IF(C781=DATE(2026,11,29),"培训；注册午餐；早餐参数",IF(C781=DATE(2026,11,30),"培训；注册午餐",IF(C781=DATE(2026,12,1),"培训；注册午餐；机构晚餐",IF(C781=Options!$B$9,"抵达；"&amp;IF(C781=DATE(2026,11,28),"机构晚餐","无统一供餐"),IF(C781=Options!$B$10,"返程；"&amp;IF(C781=DATE(2026,12,2),"机构午餐","无统一供餐"),"差旅状态；无统一日程"))))))</f>
        <v/>
      </c>
      <c r="E781" s="13">
        <f>IF(C781=Options!$B$9,Options!$C$16,0)</f>
        <v/>
      </c>
      <c r="F781" s="13">
        <f>IF(AND(A781&lt;&gt;"",C781&lt;Options!$B$10),B781*Options!$X$6,0)</f>
        <v/>
      </c>
      <c r="G781" s="13">
        <f>F781*12%</f>
        <v/>
      </c>
      <c r="H781" s="13">
        <f>IF(A781="",0,B781*(92*IF(OR(C781=Options!$B$9,C781=Options!$B$10),75%,100%)-IF(C781=DATE(2026,11,29),26+IF(Options!$B$8="是",23,0),0)-IF(C781=DATE(2026,11,30),26,0)-IF(C781=DATE(2026,12,1),64,0)-IF(C781=DATE(2026,11,28),38,0)-IF(C781=DATE(2026,12,2),26,0)))</f>
        <v/>
      </c>
      <c r="I781" s="13">
        <f>IF(AND(C781&gt;=DATE(2026,11,29),C781&lt;=DATE(2026,12,1)),B781*60,0)</f>
        <v/>
      </c>
      <c r="J781" s="13">
        <f>IF(A781="",0,B781*(IF(C781=DATE(2026,11,28),38,0)+IF(C781=DATE(2026,12,1),38,0)+IF(C781=DATE(2026,12,2),26,0)))</f>
        <v/>
      </c>
      <c r="K781" s="13">
        <f>IF(C781=Options!$B$9,B781*12,0)</f>
        <v/>
      </c>
      <c r="L781" s="13">
        <f>IF(C781=Options!$B$9,B781*Options!$Z$6,0)</f>
        <v/>
      </c>
      <c r="M781" s="13" t="n">
        <v>0</v>
      </c>
      <c r="N781" s="13">
        <f>SUM(E781:M781)</f>
        <v/>
      </c>
    </row>
    <row r="782">
      <c r="A782" s="5">
        <f>IF(AND(C782&gt;=Options!$B$9,C782&lt;=Options!$B$10),"Denver","")</f>
        <v/>
      </c>
      <c r="B782" s="5">
        <f>IF(A782="","",18)</f>
        <v/>
      </c>
      <c r="C782" s="17" t="n">
        <v>46343</v>
      </c>
      <c r="D782" s="5">
        <f>IF(A782="","",IF(C782=DATE(2026,11,29),"培训；注册午餐；早餐参数",IF(C782=DATE(2026,11,30),"培训；注册午餐",IF(C782=DATE(2026,12,1),"培训；注册午餐；机构晚餐",IF(C782=Options!$B$9,"抵达；"&amp;IF(C782=DATE(2026,11,28),"机构晚餐","无统一供餐"),IF(C782=Options!$B$10,"返程；"&amp;IF(C782=DATE(2026,12,2),"机构午餐","无统一供餐"),"差旅状态；无统一日程"))))))</f>
        <v/>
      </c>
      <c r="E782" s="13">
        <f>IF(C782=Options!$B$9,Options!$C$16,0)</f>
        <v/>
      </c>
      <c r="F782" s="13">
        <f>IF(AND(A782&lt;&gt;"",C782&lt;Options!$B$10),B782*Options!$X$6,0)</f>
        <v/>
      </c>
      <c r="G782" s="13">
        <f>F782*12%</f>
        <v/>
      </c>
      <c r="H782" s="13">
        <f>IF(A782="",0,B782*(92*IF(OR(C782=Options!$B$9,C782=Options!$B$10),75%,100%)-IF(C782=DATE(2026,11,29),26+IF(Options!$B$8="是",23,0),0)-IF(C782=DATE(2026,11,30),26,0)-IF(C782=DATE(2026,12,1),64,0)-IF(C782=DATE(2026,11,28),38,0)-IF(C782=DATE(2026,12,2),26,0)))</f>
        <v/>
      </c>
      <c r="I782" s="13">
        <f>IF(AND(C782&gt;=DATE(2026,11,29),C782&lt;=DATE(2026,12,1)),B782*60,0)</f>
        <v/>
      </c>
      <c r="J782" s="13">
        <f>IF(A782="",0,B782*(IF(C782=DATE(2026,11,28),38,0)+IF(C782=DATE(2026,12,1),38,0)+IF(C782=DATE(2026,12,2),26,0)))</f>
        <v/>
      </c>
      <c r="K782" s="13">
        <f>IF(C782=Options!$B$9,B782*12,0)</f>
        <v/>
      </c>
      <c r="L782" s="13">
        <f>IF(C782=Options!$B$9,B782*Options!$Z$6,0)</f>
        <v/>
      </c>
      <c r="M782" s="13" t="n">
        <v>0</v>
      </c>
      <c r="N782" s="13">
        <f>SUM(E782:M782)</f>
        <v/>
      </c>
    </row>
    <row r="783">
      <c r="A783" s="5">
        <f>IF(AND(C783&gt;=Options!$B$9,C783&lt;=Options!$B$10),"Denver","")</f>
        <v/>
      </c>
      <c r="B783" s="5">
        <f>IF(A783="","",18)</f>
        <v/>
      </c>
      <c r="C783" s="17" t="n">
        <v>46344</v>
      </c>
      <c r="D783" s="5">
        <f>IF(A783="","",IF(C783=DATE(2026,11,29),"培训；注册午餐；早餐参数",IF(C783=DATE(2026,11,30),"培训；注册午餐",IF(C783=DATE(2026,12,1),"培训；注册午餐；机构晚餐",IF(C783=Options!$B$9,"抵达；"&amp;IF(C783=DATE(2026,11,28),"机构晚餐","无统一供餐"),IF(C783=Options!$B$10,"返程；"&amp;IF(C783=DATE(2026,12,2),"机构午餐","无统一供餐"),"差旅状态；无统一日程"))))))</f>
        <v/>
      </c>
      <c r="E783" s="13">
        <f>IF(C783=Options!$B$9,Options!$C$16,0)</f>
        <v/>
      </c>
      <c r="F783" s="13">
        <f>IF(AND(A783&lt;&gt;"",C783&lt;Options!$B$10),B783*Options!$X$6,0)</f>
        <v/>
      </c>
      <c r="G783" s="13">
        <f>F783*12%</f>
        <v/>
      </c>
      <c r="H783" s="13">
        <f>IF(A783="",0,B783*(92*IF(OR(C783=Options!$B$9,C783=Options!$B$10),75%,100%)-IF(C783=DATE(2026,11,29),26+IF(Options!$B$8="是",23,0),0)-IF(C783=DATE(2026,11,30),26,0)-IF(C783=DATE(2026,12,1),64,0)-IF(C783=DATE(2026,11,28),38,0)-IF(C783=DATE(2026,12,2),26,0)))</f>
        <v/>
      </c>
      <c r="I783" s="13">
        <f>IF(AND(C783&gt;=DATE(2026,11,29),C783&lt;=DATE(2026,12,1)),B783*60,0)</f>
        <v/>
      </c>
      <c r="J783" s="13">
        <f>IF(A783="",0,B783*(IF(C783=DATE(2026,11,28),38,0)+IF(C783=DATE(2026,12,1),38,0)+IF(C783=DATE(2026,12,2),26,0)))</f>
        <v/>
      </c>
      <c r="K783" s="13">
        <f>IF(C783=Options!$B$9,B783*12,0)</f>
        <v/>
      </c>
      <c r="L783" s="13">
        <f>IF(C783=Options!$B$9,B783*Options!$Z$6,0)</f>
        <v/>
      </c>
      <c r="M783" s="13" t="n">
        <v>0</v>
      </c>
      <c r="N783" s="13">
        <f>SUM(E783:M783)</f>
        <v/>
      </c>
    </row>
    <row r="784">
      <c r="A784" s="5">
        <f>IF(AND(C784&gt;=Options!$B$9,C784&lt;=Options!$B$10),"Denver","")</f>
        <v/>
      </c>
      <c r="B784" s="5">
        <f>IF(A784="","",18)</f>
        <v/>
      </c>
      <c r="C784" s="17" t="n">
        <v>46345</v>
      </c>
      <c r="D784" s="5">
        <f>IF(A784="","",IF(C784=DATE(2026,11,29),"培训；注册午餐；早餐参数",IF(C784=DATE(2026,11,30),"培训；注册午餐",IF(C784=DATE(2026,12,1),"培训；注册午餐；机构晚餐",IF(C784=Options!$B$9,"抵达；"&amp;IF(C784=DATE(2026,11,28),"机构晚餐","无统一供餐"),IF(C784=Options!$B$10,"返程；"&amp;IF(C784=DATE(2026,12,2),"机构午餐","无统一供餐"),"差旅状态；无统一日程"))))))</f>
        <v/>
      </c>
      <c r="E784" s="13">
        <f>IF(C784=Options!$B$9,Options!$C$16,0)</f>
        <v/>
      </c>
      <c r="F784" s="13">
        <f>IF(AND(A784&lt;&gt;"",C784&lt;Options!$B$10),B784*Options!$X$6,0)</f>
        <v/>
      </c>
      <c r="G784" s="13">
        <f>F784*12%</f>
        <v/>
      </c>
      <c r="H784" s="13">
        <f>IF(A784="",0,B784*(92*IF(OR(C784=Options!$B$9,C784=Options!$B$10),75%,100%)-IF(C784=DATE(2026,11,29),26+IF(Options!$B$8="是",23,0),0)-IF(C784=DATE(2026,11,30),26,0)-IF(C784=DATE(2026,12,1),64,0)-IF(C784=DATE(2026,11,28),38,0)-IF(C784=DATE(2026,12,2),26,0)))</f>
        <v/>
      </c>
      <c r="I784" s="13">
        <f>IF(AND(C784&gt;=DATE(2026,11,29),C784&lt;=DATE(2026,12,1)),B784*60,0)</f>
        <v/>
      </c>
      <c r="J784" s="13">
        <f>IF(A784="",0,B784*(IF(C784=DATE(2026,11,28),38,0)+IF(C784=DATE(2026,12,1),38,0)+IF(C784=DATE(2026,12,2),26,0)))</f>
        <v/>
      </c>
      <c r="K784" s="13">
        <f>IF(C784=Options!$B$9,B784*12,0)</f>
        <v/>
      </c>
      <c r="L784" s="13">
        <f>IF(C784=Options!$B$9,B784*Options!$Z$6,0)</f>
        <v/>
      </c>
      <c r="M784" s="13" t="n">
        <v>0</v>
      </c>
      <c r="N784" s="13">
        <f>SUM(E784:M784)</f>
        <v/>
      </c>
    </row>
    <row r="785">
      <c r="A785" s="5">
        <f>IF(AND(C785&gt;=Options!$B$9,C785&lt;=Options!$B$10),"Denver","")</f>
        <v/>
      </c>
      <c r="B785" s="5">
        <f>IF(A785="","",18)</f>
        <v/>
      </c>
      <c r="C785" s="17" t="n">
        <v>46346</v>
      </c>
      <c r="D785" s="5">
        <f>IF(A785="","",IF(C785=DATE(2026,11,29),"培训；注册午餐；早餐参数",IF(C785=DATE(2026,11,30),"培训；注册午餐",IF(C785=DATE(2026,12,1),"培训；注册午餐；机构晚餐",IF(C785=Options!$B$9,"抵达；"&amp;IF(C785=DATE(2026,11,28),"机构晚餐","无统一供餐"),IF(C785=Options!$B$10,"返程；"&amp;IF(C785=DATE(2026,12,2),"机构午餐","无统一供餐"),"差旅状态；无统一日程"))))))</f>
        <v/>
      </c>
      <c r="E785" s="13">
        <f>IF(C785=Options!$B$9,Options!$C$16,0)</f>
        <v/>
      </c>
      <c r="F785" s="13">
        <f>IF(AND(A785&lt;&gt;"",C785&lt;Options!$B$10),B785*Options!$X$6,0)</f>
        <v/>
      </c>
      <c r="G785" s="13">
        <f>F785*12%</f>
        <v/>
      </c>
      <c r="H785" s="13">
        <f>IF(A785="",0,B785*(92*IF(OR(C785=Options!$B$9,C785=Options!$B$10),75%,100%)-IF(C785=DATE(2026,11,29),26+IF(Options!$B$8="是",23,0),0)-IF(C785=DATE(2026,11,30),26,0)-IF(C785=DATE(2026,12,1),64,0)-IF(C785=DATE(2026,11,28),38,0)-IF(C785=DATE(2026,12,2),26,0)))</f>
        <v/>
      </c>
      <c r="I785" s="13">
        <f>IF(AND(C785&gt;=DATE(2026,11,29),C785&lt;=DATE(2026,12,1)),B785*60,0)</f>
        <v/>
      </c>
      <c r="J785" s="13">
        <f>IF(A785="",0,B785*(IF(C785=DATE(2026,11,28),38,0)+IF(C785=DATE(2026,12,1),38,0)+IF(C785=DATE(2026,12,2),26,0)))</f>
        <v/>
      </c>
      <c r="K785" s="13">
        <f>IF(C785=Options!$B$9,B785*12,0)</f>
        <v/>
      </c>
      <c r="L785" s="13">
        <f>IF(C785=Options!$B$9,B785*Options!$Z$6,0)</f>
        <v/>
      </c>
      <c r="M785" s="13" t="n">
        <v>0</v>
      </c>
      <c r="N785" s="13">
        <f>SUM(E785:M785)</f>
        <v/>
      </c>
    </row>
    <row r="786">
      <c r="A786" s="5">
        <f>IF(AND(C786&gt;=Options!$B$9,C786&lt;=Options!$B$10),"Denver","")</f>
        <v/>
      </c>
      <c r="B786" s="5">
        <f>IF(A786="","",18)</f>
        <v/>
      </c>
      <c r="C786" s="17" t="n">
        <v>46347</v>
      </c>
      <c r="D786" s="5">
        <f>IF(A786="","",IF(C786=DATE(2026,11,29),"培训；注册午餐；早餐参数",IF(C786=DATE(2026,11,30),"培训；注册午餐",IF(C786=DATE(2026,12,1),"培训；注册午餐；机构晚餐",IF(C786=Options!$B$9,"抵达；"&amp;IF(C786=DATE(2026,11,28),"机构晚餐","无统一供餐"),IF(C786=Options!$B$10,"返程；"&amp;IF(C786=DATE(2026,12,2),"机构午餐","无统一供餐"),"差旅状态；无统一日程"))))))</f>
        <v/>
      </c>
      <c r="E786" s="13">
        <f>IF(C786=Options!$B$9,Options!$C$16,0)</f>
        <v/>
      </c>
      <c r="F786" s="13">
        <f>IF(AND(A786&lt;&gt;"",C786&lt;Options!$B$10),B786*Options!$X$6,0)</f>
        <v/>
      </c>
      <c r="G786" s="13">
        <f>F786*12%</f>
        <v/>
      </c>
      <c r="H786" s="13">
        <f>IF(A786="",0,B786*(92*IF(OR(C786=Options!$B$9,C786=Options!$B$10),75%,100%)-IF(C786=DATE(2026,11,29),26+IF(Options!$B$8="是",23,0),0)-IF(C786=DATE(2026,11,30),26,0)-IF(C786=DATE(2026,12,1),64,0)-IF(C786=DATE(2026,11,28),38,0)-IF(C786=DATE(2026,12,2),26,0)))</f>
        <v/>
      </c>
      <c r="I786" s="13">
        <f>IF(AND(C786&gt;=DATE(2026,11,29),C786&lt;=DATE(2026,12,1)),B786*60,0)</f>
        <v/>
      </c>
      <c r="J786" s="13">
        <f>IF(A786="",0,B786*(IF(C786=DATE(2026,11,28),38,0)+IF(C786=DATE(2026,12,1),38,0)+IF(C786=DATE(2026,12,2),26,0)))</f>
        <v/>
      </c>
      <c r="K786" s="13">
        <f>IF(C786=Options!$B$9,B786*12,0)</f>
        <v/>
      </c>
      <c r="L786" s="13">
        <f>IF(C786=Options!$B$9,B786*Options!$Z$6,0)</f>
        <v/>
      </c>
      <c r="M786" s="13" t="n">
        <v>0</v>
      </c>
      <c r="N786" s="13">
        <f>SUM(E786:M786)</f>
        <v/>
      </c>
    </row>
    <row r="787">
      <c r="A787" s="5">
        <f>IF(AND(C787&gt;=Options!$B$9,C787&lt;=Options!$B$10),"Denver","")</f>
        <v/>
      </c>
      <c r="B787" s="5">
        <f>IF(A787="","",18)</f>
        <v/>
      </c>
      <c r="C787" s="17" t="n">
        <v>46348</v>
      </c>
      <c r="D787" s="5">
        <f>IF(A787="","",IF(C787=DATE(2026,11,29),"培训；注册午餐；早餐参数",IF(C787=DATE(2026,11,30),"培训；注册午餐",IF(C787=DATE(2026,12,1),"培训；注册午餐；机构晚餐",IF(C787=Options!$B$9,"抵达；"&amp;IF(C787=DATE(2026,11,28),"机构晚餐","无统一供餐"),IF(C787=Options!$B$10,"返程；"&amp;IF(C787=DATE(2026,12,2),"机构午餐","无统一供餐"),"差旅状态；无统一日程"))))))</f>
        <v/>
      </c>
      <c r="E787" s="13">
        <f>IF(C787=Options!$B$9,Options!$C$16,0)</f>
        <v/>
      </c>
      <c r="F787" s="13">
        <f>IF(AND(A787&lt;&gt;"",C787&lt;Options!$B$10),B787*Options!$X$6,0)</f>
        <v/>
      </c>
      <c r="G787" s="13">
        <f>F787*12%</f>
        <v/>
      </c>
      <c r="H787" s="13">
        <f>IF(A787="",0,B787*(92*IF(OR(C787=Options!$B$9,C787=Options!$B$10),75%,100%)-IF(C787=DATE(2026,11,29),26+IF(Options!$B$8="是",23,0),0)-IF(C787=DATE(2026,11,30),26,0)-IF(C787=DATE(2026,12,1),64,0)-IF(C787=DATE(2026,11,28),38,0)-IF(C787=DATE(2026,12,2),26,0)))</f>
        <v/>
      </c>
      <c r="I787" s="13">
        <f>IF(AND(C787&gt;=DATE(2026,11,29),C787&lt;=DATE(2026,12,1)),B787*60,0)</f>
        <v/>
      </c>
      <c r="J787" s="13">
        <f>IF(A787="",0,B787*(IF(C787=DATE(2026,11,28),38,0)+IF(C787=DATE(2026,12,1),38,0)+IF(C787=DATE(2026,12,2),26,0)))</f>
        <v/>
      </c>
      <c r="K787" s="13">
        <f>IF(C787=Options!$B$9,B787*12,0)</f>
        <v/>
      </c>
      <c r="L787" s="13">
        <f>IF(C787=Options!$B$9,B787*Options!$Z$6,0)</f>
        <v/>
      </c>
      <c r="M787" s="13" t="n">
        <v>0</v>
      </c>
      <c r="N787" s="13">
        <f>SUM(E787:M787)</f>
        <v/>
      </c>
    </row>
    <row r="788">
      <c r="A788" s="5">
        <f>IF(AND(C788&gt;=Options!$B$9,C788&lt;=Options!$B$10),"Denver","")</f>
        <v/>
      </c>
      <c r="B788" s="5">
        <f>IF(A788="","",18)</f>
        <v/>
      </c>
      <c r="C788" s="17" t="n">
        <v>46349</v>
      </c>
      <c r="D788" s="5">
        <f>IF(A788="","",IF(C788=DATE(2026,11,29),"培训；注册午餐；早餐参数",IF(C788=DATE(2026,11,30),"培训；注册午餐",IF(C788=DATE(2026,12,1),"培训；注册午餐；机构晚餐",IF(C788=Options!$B$9,"抵达；"&amp;IF(C788=DATE(2026,11,28),"机构晚餐","无统一供餐"),IF(C788=Options!$B$10,"返程；"&amp;IF(C788=DATE(2026,12,2),"机构午餐","无统一供餐"),"差旅状态；无统一日程"))))))</f>
        <v/>
      </c>
      <c r="E788" s="13">
        <f>IF(C788=Options!$B$9,Options!$C$16,0)</f>
        <v/>
      </c>
      <c r="F788" s="13">
        <f>IF(AND(A788&lt;&gt;"",C788&lt;Options!$B$10),B788*Options!$X$6,0)</f>
        <v/>
      </c>
      <c r="G788" s="13">
        <f>F788*12%</f>
        <v/>
      </c>
      <c r="H788" s="13">
        <f>IF(A788="",0,B788*(92*IF(OR(C788=Options!$B$9,C788=Options!$B$10),75%,100%)-IF(C788=DATE(2026,11,29),26+IF(Options!$B$8="是",23,0),0)-IF(C788=DATE(2026,11,30),26,0)-IF(C788=DATE(2026,12,1),64,0)-IF(C788=DATE(2026,11,28),38,0)-IF(C788=DATE(2026,12,2),26,0)))</f>
        <v/>
      </c>
      <c r="I788" s="13">
        <f>IF(AND(C788&gt;=DATE(2026,11,29),C788&lt;=DATE(2026,12,1)),B788*60,0)</f>
        <v/>
      </c>
      <c r="J788" s="13">
        <f>IF(A788="",0,B788*(IF(C788=DATE(2026,11,28),38,0)+IF(C788=DATE(2026,12,1),38,0)+IF(C788=DATE(2026,12,2),26,0)))</f>
        <v/>
      </c>
      <c r="K788" s="13">
        <f>IF(C788=Options!$B$9,B788*12,0)</f>
        <v/>
      </c>
      <c r="L788" s="13">
        <f>IF(C788=Options!$B$9,B788*Options!$Z$6,0)</f>
        <v/>
      </c>
      <c r="M788" s="13" t="n">
        <v>0</v>
      </c>
      <c r="N788" s="13">
        <f>SUM(E788:M788)</f>
        <v/>
      </c>
    </row>
    <row r="789">
      <c r="A789" s="5">
        <f>IF(AND(C789&gt;=Options!$B$9,C789&lt;=Options!$B$10),"Denver","")</f>
        <v/>
      </c>
      <c r="B789" s="5">
        <f>IF(A789="","",18)</f>
        <v/>
      </c>
      <c r="C789" s="17" t="n">
        <v>46350</v>
      </c>
      <c r="D789" s="5">
        <f>IF(A789="","",IF(C789=DATE(2026,11,29),"培训；注册午餐；早餐参数",IF(C789=DATE(2026,11,30),"培训；注册午餐",IF(C789=DATE(2026,12,1),"培训；注册午餐；机构晚餐",IF(C789=Options!$B$9,"抵达；"&amp;IF(C789=DATE(2026,11,28),"机构晚餐","无统一供餐"),IF(C789=Options!$B$10,"返程；"&amp;IF(C789=DATE(2026,12,2),"机构午餐","无统一供餐"),"差旅状态；无统一日程"))))))</f>
        <v/>
      </c>
      <c r="E789" s="13">
        <f>IF(C789=Options!$B$9,Options!$C$16,0)</f>
        <v/>
      </c>
      <c r="F789" s="13">
        <f>IF(AND(A789&lt;&gt;"",C789&lt;Options!$B$10),B789*Options!$X$6,0)</f>
        <v/>
      </c>
      <c r="G789" s="13">
        <f>F789*12%</f>
        <v/>
      </c>
      <c r="H789" s="13">
        <f>IF(A789="",0,B789*(92*IF(OR(C789=Options!$B$9,C789=Options!$B$10),75%,100%)-IF(C789=DATE(2026,11,29),26+IF(Options!$B$8="是",23,0),0)-IF(C789=DATE(2026,11,30),26,0)-IF(C789=DATE(2026,12,1),64,0)-IF(C789=DATE(2026,11,28),38,0)-IF(C789=DATE(2026,12,2),26,0)))</f>
        <v/>
      </c>
      <c r="I789" s="13">
        <f>IF(AND(C789&gt;=DATE(2026,11,29),C789&lt;=DATE(2026,12,1)),B789*60,0)</f>
        <v/>
      </c>
      <c r="J789" s="13">
        <f>IF(A789="",0,B789*(IF(C789=DATE(2026,11,28),38,0)+IF(C789=DATE(2026,12,1),38,0)+IF(C789=DATE(2026,12,2),26,0)))</f>
        <v/>
      </c>
      <c r="K789" s="13">
        <f>IF(C789=Options!$B$9,B789*12,0)</f>
        <v/>
      </c>
      <c r="L789" s="13">
        <f>IF(C789=Options!$B$9,B789*Options!$Z$6,0)</f>
        <v/>
      </c>
      <c r="M789" s="13" t="n">
        <v>0</v>
      </c>
      <c r="N789" s="13">
        <f>SUM(E789:M789)</f>
        <v/>
      </c>
    </row>
    <row r="790">
      <c r="A790" s="5">
        <f>IF(AND(C790&gt;=Options!$B$9,C790&lt;=Options!$B$10),"Denver","")</f>
        <v/>
      </c>
      <c r="B790" s="5">
        <f>IF(A790="","",18)</f>
        <v/>
      </c>
      <c r="C790" s="17" t="n">
        <v>46351</v>
      </c>
      <c r="D790" s="5">
        <f>IF(A790="","",IF(C790=DATE(2026,11,29),"培训；注册午餐；早餐参数",IF(C790=DATE(2026,11,30),"培训；注册午餐",IF(C790=DATE(2026,12,1),"培训；注册午餐；机构晚餐",IF(C790=Options!$B$9,"抵达；"&amp;IF(C790=DATE(2026,11,28),"机构晚餐","无统一供餐"),IF(C790=Options!$B$10,"返程；"&amp;IF(C790=DATE(2026,12,2),"机构午餐","无统一供餐"),"差旅状态；无统一日程"))))))</f>
        <v/>
      </c>
      <c r="E790" s="13">
        <f>IF(C790=Options!$B$9,Options!$C$16,0)</f>
        <v/>
      </c>
      <c r="F790" s="13">
        <f>IF(AND(A790&lt;&gt;"",C790&lt;Options!$B$10),B790*Options!$X$6,0)</f>
        <v/>
      </c>
      <c r="G790" s="13">
        <f>F790*12%</f>
        <v/>
      </c>
      <c r="H790" s="13">
        <f>IF(A790="",0,B790*(92*IF(OR(C790=Options!$B$9,C790=Options!$B$10),75%,100%)-IF(C790=DATE(2026,11,29),26+IF(Options!$B$8="是",23,0),0)-IF(C790=DATE(2026,11,30),26,0)-IF(C790=DATE(2026,12,1),64,0)-IF(C790=DATE(2026,11,28),38,0)-IF(C790=DATE(2026,12,2),26,0)))</f>
        <v/>
      </c>
      <c r="I790" s="13">
        <f>IF(AND(C790&gt;=DATE(2026,11,29),C790&lt;=DATE(2026,12,1)),B790*60,0)</f>
        <v/>
      </c>
      <c r="J790" s="13">
        <f>IF(A790="",0,B790*(IF(C790=DATE(2026,11,28),38,0)+IF(C790=DATE(2026,12,1),38,0)+IF(C790=DATE(2026,12,2),26,0)))</f>
        <v/>
      </c>
      <c r="K790" s="13">
        <f>IF(C790=Options!$B$9,B790*12,0)</f>
        <v/>
      </c>
      <c r="L790" s="13">
        <f>IF(C790=Options!$B$9,B790*Options!$Z$6,0)</f>
        <v/>
      </c>
      <c r="M790" s="13" t="n">
        <v>0</v>
      </c>
      <c r="N790" s="13">
        <f>SUM(E790:M790)</f>
        <v/>
      </c>
    </row>
    <row r="791">
      <c r="A791" s="5">
        <f>IF(AND(C791&gt;=Options!$B$9,C791&lt;=Options!$B$10),"Denver","")</f>
        <v/>
      </c>
      <c r="B791" s="5">
        <f>IF(A791="","",18)</f>
        <v/>
      </c>
      <c r="C791" s="17" t="n">
        <v>46352</v>
      </c>
      <c r="D791" s="5">
        <f>IF(A791="","",IF(C791=DATE(2026,11,29),"培训；注册午餐；早餐参数",IF(C791=DATE(2026,11,30),"培训；注册午餐",IF(C791=DATE(2026,12,1),"培训；注册午餐；机构晚餐",IF(C791=Options!$B$9,"抵达；"&amp;IF(C791=DATE(2026,11,28),"机构晚餐","无统一供餐"),IF(C791=Options!$B$10,"返程；"&amp;IF(C791=DATE(2026,12,2),"机构午餐","无统一供餐"),"差旅状态；无统一日程"))))))</f>
        <v/>
      </c>
      <c r="E791" s="13">
        <f>IF(C791=Options!$B$9,Options!$C$16,0)</f>
        <v/>
      </c>
      <c r="F791" s="13">
        <f>IF(AND(A791&lt;&gt;"",C791&lt;Options!$B$10),B791*Options!$X$6,0)</f>
        <v/>
      </c>
      <c r="G791" s="13">
        <f>F791*12%</f>
        <v/>
      </c>
      <c r="H791" s="13">
        <f>IF(A791="",0,B791*(92*IF(OR(C791=Options!$B$9,C791=Options!$B$10),75%,100%)-IF(C791=DATE(2026,11,29),26+IF(Options!$B$8="是",23,0),0)-IF(C791=DATE(2026,11,30),26,0)-IF(C791=DATE(2026,12,1),64,0)-IF(C791=DATE(2026,11,28),38,0)-IF(C791=DATE(2026,12,2),26,0)))</f>
        <v/>
      </c>
      <c r="I791" s="13">
        <f>IF(AND(C791&gt;=DATE(2026,11,29),C791&lt;=DATE(2026,12,1)),B791*60,0)</f>
        <v/>
      </c>
      <c r="J791" s="13">
        <f>IF(A791="",0,B791*(IF(C791=DATE(2026,11,28),38,0)+IF(C791=DATE(2026,12,1),38,0)+IF(C791=DATE(2026,12,2),26,0)))</f>
        <v/>
      </c>
      <c r="K791" s="13">
        <f>IF(C791=Options!$B$9,B791*12,0)</f>
        <v/>
      </c>
      <c r="L791" s="13">
        <f>IF(C791=Options!$B$9,B791*Options!$Z$6,0)</f>
        <v/>
      </c>
      <c r="M791" s="13" t="n">
        <v>0</v>
      </c>
      <c r="N791" s="13">
        <f>SUM(E791:M791)</f>
        <v/>
      </c>
    </row>
    <row r="792">
      <c r="A792" s="5">
        <f>IF(AND(C792&gt;=Options!$B$9,C792&lt;=Options!$B$10),"Denver","")</f>
        <v/>
      </c>
      <c r="B792" s="5">
        <f>IF(A792="","",18)</f>
        <v/>
      </c>
      <c r="C792" s="17" t="n">
        <v>46353</v>
      </c>
      <c r="D792" s="5">
        <f>IF(A792="","",IF(C792=DATE(2026,11,29),"培训；注册午餐；早餐参数",IF(C792=DATE(2026,11,30),"培训；注册午餐",IF(C792=DATE(2026,12,1),"培训；注册午餐；机构晚餐",IF(C792=Options!$B$9,"抵达；"&amp;IF(C792=DATE(2026,11,28),"机构晚餐","无统一供餐"),IF(C792=Options!$B$10,"返程；"&amp;IF(C792=DATE(2026,12,2),"机构午餐","无统一供餐"),"差旅状态；无统一日程"))))))</f>
        <v/>
      </c>
      <c r="E792" s="13">
        <f>IF(C792=Options!$B$9,Options!$C$16,0)</f>
        <v/>
      </c>
      <c r="F792" s="13">
        <f>IF(AND(A792&lt;&gt;"",C792&lt;Options!$B$10),B792*Options!$X$6,0)</f>
        <v/>
      </c>
      <c r="G792" s="13">
        <f>F792*12%</f>
        <v/>
      </c>
      <c r="H792" s="13">
        <f>IF(A792="",0,B792*(92*IF(OR(C792=Options!$B$9,C792=Options!$B$10),75%,100%)-IF(C792=DATE(2026,11,29),26+IF(Options!$B$8="是",23,0),0)-IF(C792=DATE(2026,11,30),26,0)-IF(C792=DATE(2026,12,1),64,0)-IF(C792=DATE(2026,11,28),38,0)-IF(C792=DATE(2026,12,2),26,0)))</f>
        <v/>
      </c>
      <c r="I792" s="13">
        <f>IF(AND(C792&gt;=DATE(2026,11,29),C792&lt;=DATE(2026,12,1)),B792*60,0)</f>
        <v/>
      </c>
      <c r="J792" s="13">
        <f>IF(A792="",0,B792*(IF(C792=DATE(2026,11,28),38,0)+IF(C792=DATE(2026,12,1),38,0)+IF(C792=DATE(2026,12,2),26,0)))</f>
        <v/>
      </c>
      <c r="K792" s="13">
        <f>IF(C792=Options!$B$9,B792*12,0)</f>
        <v/>
      </c>
      <c r="L792" s="13">
        <f>IF(C792=Options!$B$9,B792*Options!$Z$6,0)</f>
        <v/>
      </c>
      <c r="M792" s="13" t="n">
        <v>0</v>
      </c>
      <c r="N792" s="13">
        <f>SUM(E792:M792)</f>
        <v/>
      </c>
    </row>
    <row r="793">
      <c r="A793" s="5">
        <f>IF(AND(C793&gt;=Options!$B$9,C793&lt;=Options!$B$10),"Denver","")</f>
        <v/>
      </c>
      <c r="B793" s="5">
        <f>IF(A793="","",18)</f>
        <v/>
      </c>
      <c r="C793" s="17" t="n">
        <v>46354</v>
      </c>
      <c r="D793" s="5">
        <f>IF(A793="","",IF(C793=DATE(2026,11,29),"培训；注册午餐；早餐参数",IF(C793=DATE(2026,11,30),"培训；注册午餐",IF(C793=DATE(2026,12,1),"培训；注册午餐；机构晚餐",IF(C793=Options!$B$9,"抵达；"&amp;IF(C793=DATE(2026,11,28),"机构晚餐","无统一供餐"),IF(C793=Options!$B$10,"返程；"&amp;IF(C793=DATE(2026,12,2),"机构午餐","无统一供餐"),"差旅状态；无统一日程"))))))</f>
        <v/>
      </c>
      <c r="E793" s="13">
        <f>IF(C793=Options!$B$9,Options!$C$16,0)</f>
        <v/>
      </c>
      <c r="F793" s="13">
        <f>IF(AND(A793&lt;&gt;"",C793&lt;Options!$B$10),B793*Options!$X$6,0)</f>
        <v/>
      </c>
      <c r="G793" s="13">
        <f>F793*12%</f>
        <v/>
      </c>
      <c r="H793" s="13">
        <f>IF(A793="",0,B793*(92*IF(OR(C793=Options!$B$9,C793=Options!$B$10),75%,100%)-IF(C793=DATE(2026,11,29),26+IF(Options!$B$8="是",23,0),0)-IF(C793=DATE(2026,11,30),26,0)-IF(C793=DATE(2026,12,1),64,0)-IF(C793=DATE(2026,11,28),38,0)-IF(C793=DATE(2026,12,2),26,0)))</f>
        <v/>
      </c>
      <c r="I793" s="13">
        <f>IF(AND(C793&gt;=DATE(2026,11,29),C793&lt;=DATE(2026,12,1)),B793*60,0)</f>
        <v/>
      </c>
      <c r="J793" s="13">
        <f>IF(A793="",0,B793*(IF(C793=DATE(2026,11,28),38,0)+IF(C793=DATE(2026,12,1),38,0)+IF(C793=DATE(2026,12,2),26,0)))</f>
        <v/>
      </c>
      <c r="K793" s="13">
        <f>IF(C793=Options!$B$9,B793*12,0)</f>
        <v/>
      </c>
      <c r="L793" s="13">
        <f>IF(C793=Options!$B$9,B793*Options!$Z$6,0)</f>
        <v/>
      </c>
      <c r="M793" s="13" t="n">
        <v>0</v>
      </c>
      <c r="N793" s="13">
        <f>SUM(E793:M793)</f>
        <v/>
      </c>
    </row>
    <row r="794">
      <c r="A794" s="5">
        <f>IF(AND(C794&gt;=Options!$B$9,C794&lt;=Options!$B$10),"Denver","")</f>
        <v/>
      </c>
      <c r="B794" s="5">
        <f>IF(A794="","",18)</f>
        <v/>
      </c>
      <c r="C794" s="17" t="n">
        <v>46355</v>
      </c>
      <c r="D794" s="5">
        <f>IF(A794="","",IF(C794=DATE(2026,11,29),"培训；注册午餐；早餐参数",IF(C794=DATE(2026,11,30),"培训；注册午餐",IF(C794=DATE(2026,12,1),"培训；注册午餐；机构晚餐",IF(C794=Options!$B$9,"抵达；"&amp;IF(C794=DATE(2026,11,28),"机构晚餐","无统一供餐"),IF(C794=Options!$B$10,"返程；"&amp;IF(C794=DATE(2026,12,2),"机构午餐","无统一供餐"),"差旅状态；无统一日程"))))))</f>
        <v/>
      </c>
      <c r="E794" s="13">
        <f>IF(C794=Options!$B$9,Options!$C$16,0)</f>
        <v/>
      </c>
      <c r="F794" s="13">
        <f>IF(AND(A794&lt;&gt;"",C794&lt;Options!$B$10),B794*Options!$X$6,0)</f>
        <v/>
      </c>
      <c r="G794" s="13">
        <f>F794*12%</f>
        <v/>
      </c>
      <c r="H794" s="13">
        <f>IF(A794="",0,B794*(92*IF(OR(C794=Options!$B$9,C794=Options!$B$10),75%,100%)-IF(C794=DATE(2026,11,29),26+IF(Options!$B$8="是",23,0),0)-IF(C794=DATE(2026,11,30),26,0)-IF(C794=DATE(2026,12,1),64,0)-IF(C794=DATE(2026,11,28),38,0)-IF(C794=DATE(2026,12,2),26,0)))</f>
        <v/>
      </c>
      <c r="I794" s="13">
        <f>IF(AND(C794&gt;=DATE(2026,11,29),C794&lt;=DATE(2026,12,1)),B794*60,0)</f>
        <v/>
      </c>
      <c r="J794" s="13">
        <f>IF(A794="",0,B794*(IF(C794=DATE(2026,11,28),38,0)+IF(C794=DATE(2026,12,1),38,0)+IF(C794=DATE(2026,12,2),26,0)))</f>
        <v/>
      </c>
      <c r="K794" s="13">
        <f>IF(C794=Options!$B$9,B794*12,0)</f>
        <v/>
      </c>
      <c r="L794" s="13">
        <f>IF(C794=Options!$B$9,B794*Options!$Z$6,0)</f>
        <v/>
      </c>
      <c r="M794" s="13" t="n">
        <v>0</v>
      </c>
      <c r="N794" s="13">
        <f>SUM(E794:M794)</f>
        <v/>
      </c>
    </row>
    <row r="795">
      <c r="A795" s="5">
        <f>IF(AND(C795&gt;=Options!$B$9,C795&lt;=Options!$B$10),"Denver","")</f>
        <v/>
      </c>
      <c r="B795" s="5">
        <f>IF(A795="","",18)</f>
        <v/>
      </c>
      <c r="C795" s="17" t="n">
        <v>46356</v>
      </c>
      <c r="D795" s="5">
        <f>IF(A795="","",IF(C795=DATE(2026,11,29),"培训；注册午餐；早餐参数",IF(C795=DATE(2026,11,30),"培训；注册午餐",IF(C795=DATE(2026,12,1),"培训；注册午餐；机构晚餐",IF(C795=Options!$B$9,"抵达；"&amp;IF(C795=DATE(2026,11,28),"机构晚餐","无统一供餐"),IF(C795=Options!$B$10,"返程；"&amp;IF(C795=DATE(2026,12,2),"机构午餐","无统一供餐"),"差旅状态；无统一日程"))))))</f>
        <v/>
      </c>
      <c r="E795" s="13">
        <f>IF(C795=Options!$B$9,Options!$C$16,0)</f>
        <v/>
      </c>
      <c r="F795" s="13">
        <f>IF(AND(A795&lt;&gt;"",C795&lt;Options!$B$10),B795*Options!$X$6,0)</f>
        <v/>
      </c>
      <c r="G795" s="13">
        <f>F795*12%</f>
        <v/>
      </c>
      <c r="H795" s="13">
        <f>IF(A795="",0,B795*(92*IF(OR(C795=Options!$B$9,C795=Options!$B$10),75%,100%)-IF(C795=DATE(2026,11,29),26+IF(Options!$B$8="是",23,0),0)-IF(C795=DATE(2026,11,30),26,0)-IF(C795=DATE(2026,12,1),64,0)-IF(C795=DATE(2026,11,28),38,0)-IF(C795=DATE(2026,12,2),26,0)))</f>
        <v/>
      </c>
      <c r="I795" s="13">
        <f>IF(AND(C795&gt;=DATE(2026,11,29),C795&lt;=DATE(2026,12,1)),B795*60,0)</f>
        <v/>
      </c>
      <c r="J795" s="13">
        <f>IF(A795="",0,B795*(IF(C795=DATE(2026,11,28),38,0)+IF(C795=DATE(2026,12,1),38,0)+IF(C795=DATE(2026,12,2),26,0)))</f>
        <v/>
      </c>
      <c r="K795" s="13">
        <f>IF(C795=Options!$B$9,B795*12,0)</f>
        <v/>
      </c>
      <c r="L795" s="13">
        <f>IF(C795=Options!$B$9,B795*Options!$Z$6,0)</f>
        <v/>
      </c>
      <c r="M795" s="13" t="n">
        <v>0</v>
      </c>
      <c r="N795" s="13">
        <f>SUM(E795:M795)</f>
        <v/>
      </c>
    </row>
    <row r="796">
      <c r="A796" s="5">
        <f>IF(AND(C796&gt;=Options!$B$9,C796&lt;=Options!$B$10),"Denver","")</f>
        <v/>
      </c>
      <c r="B796" s="5">
        <f>IF(A796="","",18)</f>
        <v/>
      </c>
      <c r="C796" s="17" t="n">
        <v>46357</v>
      </c>
      <c r="D796" s="5">
        <f>IF(A796="","",IF(C796=DATE(2026,11,29),"培训；注册午餐；早餐参数",IF(C796=DATE(2026,11,30),"培训；注册午餐",IF(C796=DATE(2026,12,1),"培训；注册午餐；机构晚餐",IF(C796=Options!$B$9,"抵达；"&amp;IF(C796=DATE(2026,11,28),"机构晚餐","无统一供餐"),IF(C796=Options!$B$10,"返程；"&amp;IF(C796=DATE(2026,12,2),"机构午餐","无统一供餐"),"差旅状态；无统一日程"))))))</f>
        <v/>
      </c>
      <c r="E796" s="13">
        <f>IF(C796=Options!$B$9,Options!$C$16,0)</f>
        <v/>
      </c>
      <c r="F796" s="13">
        <f>IF(AND(A796&lt;&gt;"",C796&lt;Options!$B$10),B796*Options!$X$6,0)</f>
        <v/>
      </c>
      <c r="G796" s="13">
        <f>F796*12%</f>
        <v/>
      </c>
      <c r="H796" s="13">
        <f>IF(A796="",0,B796*(92*IF(OR(C796=Options!$B$9,C796=Options!$B$10),75%,100%)-IF(C796=DATE(2026,11,29),26+IF(Options!$B$8="是",23,0),0)-IF(C796=DATE(2026,11,30),26,0)-IF(C796=DATE(2026,12,1),64,0)-IF(C796=DATE(2026,11,28),38,0)-IF(C796=DATE(2026,12,2),26,0)))</f>
        <v/>
      </c>
      <c r="I796" s="13">
        <f>IF(AND(C796&gt;=DATE(2026,11,29),C796&lt;=DATE(2026,12,1)),B796*60,0)</f>
        <v/>
      </c>
      <c r="J796" s="13">
        <f>IF(A796="",0,B796*(IF(C796=DATE(2026,11,28),38,0)+IF(C796=DATE(2026,12,1),38,0)+IF(C796=DATE(2026,12,2),26,0)))</f>
        <v/>
      </c>
      <c r="K796" s="13">
        <f>IF(C796=Options!$B$9,B796*12,0)</f>
        <v/>
      </c>
      <c r="L796" s="13">
        <f>IF(C796=Options!$B$9,B796*Options!$Z$6,0)</f>
        <v/>
      </c>
      <c r="M796" s="13" t="n">
        <v>0</v>
      </c>
      <c r="N796" s="13">
        <f>SUM(E796:M796)</f>
        <v/>
      </c>
    </row>
    <row r="797">
      <c r="A797" s="5">
        <f>IF(AND(C797&gt;=Options!$B$9,C797&lt;=Options!$B$10),"Denver","")</f>
        <v/>
      </c>
      <c r="B797" s="5">
        <f>IF(A797="","",18)</f>
        <v/>
      </c>
      <c r="C797" s="17" t="n">
        <v>46358</v>
      </c>
      <c r="D797" s="5">
        <f>IF(A797="","",IF(C797=DATE(2026,11,29),"培训；注册午餐；早餐参数",IF(C797=DATE(2026,11,30),"培训；注册午餐",IF(C797=DATE(2026,12,1),"培训；注册午餐；机构晚餐",IF(C797=Options!$B$9,"抵达；"&amp;IF(C797=DATE(2026,11,28),"机构晚餐","无统一供餐"),IF(C797=Options!$B$10,"返程；"&amp;IF(C797=DATE(2026,12,2),"机构午餐","无统一供餐"),"差旅状态；无统一日程"))))))</f>
        <v/>
      </c>
      <c r="E797" s="13">
        <f>IF(C797=Options!$B$9,Options!$C$16,0)</f>
        <v/>
      </c>
      <c r="F797" s="13">
        <f>IF(AND(A797&lt;&gt;"",C797&lt;Options!$B$10),B797*Options!$X$6,0)</f>
        <v/>
      </c>
      <c r="G797" s="13">
        <f>F797*12%</f>
        <v/>
      </c>
      <c r="H797" s="13">
        <f>IF(A797="",0,B797*(92*IF(OR(C797=Options!$B$9,C797=Options!$B$10),75%,100%)-IF(C797=DATE(2026,11,29),26+IF(Options!$B$8="是",23,0),0)-IF(C797=DATE(2026,11,30),26,0)-IF(C797=DATE(2026,12,1),64,0)-IF(C797=DATE(2026,11,28),38,0)-IF(C797=DATE(2026,12,2),26,0)))</f>
        <v/>
      </c>
      <c r="I797" s="13">
        <f>IF(AND(C797&gt;=DATE(2026,11,29),C797&lt;=DATE(2026,12,1)),B797*60,0)</f>
        <v/>
      </c>
      <c r="J797" s="13">
        <f>IF(A797="",0,B797*(IF(C797=DATE(2026,11,28),38,0)+IF(C797=DATE(2026,12,1),38,0)+IF(C797=DATE(2026,12,2),26,0)))</f>
        <v/>
      </c>
      <c r="K797" s="13">
        <f>IF(C797=Options!$B$9,B797*12,0)</f>
        <v/>
      </c>
      <c r="L797" s="13">
        <f>IF(C797=Options!$B$9,B797*Options!$Z$6,0)</f>
        <v/>
      </c>
      <c r="M797" s="13" t="n">
        <v>0</v>
      </c>
      <c r="N797" s="13">
        <f>SUM(E797:M797)</f>
        <v/>
      </c>
    </row>
    <row r="798">
      <c r="A798" s="5">
        <f>IF(AND(C798&gt;=Options!$B$9,C798&lt;=Options!$B$10),"Denver","")</f>
        <v/>
      </c>
      <c r="B798" s="5">
        <f>IF(A798="","",18)</f>
        <v/>
      </c>
      <c r="C798" s="17" t="n">
        <v>46359</v>
      </c>
      <c r="D798" s="5">
        <f>IF(A798="","",IF(C798=DATE(2026,11,29),"培训；注册午餐；早餐参数",IF(C798=DATE(2026,11,30),"培训；注册午餐",IF(C798=DATE(2026,12,1),"培训；注册午餐；机构晚餐",IF(C798=Options!$B$9,"抵达；"&amp;IF(C798=DATE(2026,11,28),"机构晚餐","无统一供餐"),IF(C798=Options!$B$10,"返程；"&amp;IF(C798=DATE(2026,12,2),"机构午餐","无统一供餐"),"差旅状态；无统一日程"))))))</f>
        <v/>
      </c>
      <c r="E798" s="13">
        <f>IF(C798=Options!$B$9,Options!$C$16,0)</f>
        <v/>
      </c>
      <c r="F798" s="13">
        <f>IF(AND(A798&lt;&gt;"",C798&lt;Options!$B$10),B798*Options!$X$6,0)</f>
        <v/>
      </c>
      <c r="G798" s="13">
        <f>F798*12%</f>
        <v/>
      </c>
      <c r="H798" s="13">
        <f>IF(A798="",0,B798*(92*IF(OR(C798=Options!$B$9,C798=Options!$B$10),75%,100%)-IF(C798=DATE(2026,11,29),26+IF(Options!$B$8="是",23,0),0)-IF(C798=DATE(2026,11,30),26,0)-IF(C798=DATE(2026,12,1),64,0)-IF(C798=DATE(2026,11,28),38,0)-IF(C798=DATE(2026,12,2),26,0)))</f>
        <v/>
      </c>
      <c r="I798" s="13">
        <f>IF(AND(C798&gt;=DATE(2026,11,29),C798&lt;=DATE(2026,12,1)),B798*60,0)</f>
        <v/>
      </c>
      <c r="J798" s="13">
        <f>IF(A798="",0,B798*(IF(C798=DATE(2026,11,28),38,0)+IF(C798=DATE(2026,12,1),38,0)+IF(C798=DATE(2026,12,2),26,0)))</f>
        <v/>
      </c>
      <c r="K798" s="13">
        <f>IF(C798=Options!$B$9,B798*12,0)</f>
        <v/>
      </c>
      <c r="L798" s="13">
        <f>IF(C798=Options!$B$9,B798*Options!$Z$6,0)</f>
        <v/>
      </c>
      <c r="M798" s="13" t="n">
        <v>0</v>
      </c>
      <c r="N798" s="13">
        <f>SUM(E798:M798)</f>
        <v/>
      </c>
    </row>
    <row r="799">
      <c r="A799" s="5">
        <f>IF(AND(C799&gt;=Options!$B$9,C799&lt;=Options!$B$10),"Denver","")</f>
        <v/>
      </c>
      <c r="B799" s="5">
        <f>IF(A799="","",18)</f>
        <v/>
      </c>
      <c r="C799" s="17" t="n">
        <v>46360</v>
      </c>
      <c r="D799" s="5">
        <f>IF(A799="","",IF(C799=DATE(2026,11,29),"培训；注册午餐；早餐参数",IF(C799=DATE(2026,11,30),"培训；注册午餐",IF(C799=DATE(2026,12,1),"培训；注册午餐；机构晚餐",IF(C799=Options!$B$9,"抵达；"&amp;IF(C799=DATE(2026,11,28),"机构晚餐","无统一供餐"),IF(C799=Options!$B$10,"返程；"&amp;IF(C799=DATE(2026,12,2),"机构午餐","无统一供餐"),"差旅状态；无统一日程"))))))</f>
        <v/>
      </c>
      <c r="E799" s="13">
        <f>IF(C799=Options!$B$9,Options!$C$16,0)</f>
        <v/>
      </c>
      <c r="F799" s="13">
        <f>IF(AND(A799&lt;&gt;"",C799&lt;Options!$B$10),B799*Options!$X$6,0)</f>
        <v/>
      </c>
      <c r="G799" s="13">
        <f>F799*12%</f>
        <v/>
      </c>
      <c r="H799" s="13">
        <f>IF(A799="",0,B799*(92*IF(OR(C799=Options!$B$9,C799=Options!$B$10),75%,100%)-IF(C799=DATE(2026,11,29),26+IF(Options!$B$8="是",23,0),0)-IF(C799=DATE(2026,11,30),26,0)-IF(C799=DATE(2026,12,1),64,0)-IF(C799=DATE(2026,11,28),38,0)-IF(C799=DATE(2026,12,2),26,0)))</f>
        <v/>
      </c>
      <c r="I799" s="13">
        <f>IF(AND(C799&gt;=DATE(2026,11,29),C799&lt;=DATE(2026,12,1)),B799*60,0)</f>
        <v/>
      </c>
      <c r="J799" s="13">
        <f>IF(A799="",0,B799*(IF(C799=DATE(2026,11,28),38,0)+IF(C799=DATE(2026,12,1),38,0)+IF(C799=DATE(2026,12,2),26,0)))</f>
        <v/>
      </c>
      <c r="K799" s="13">
        <f>IF(C799=Options!$B$9,B799*12,0)</f>
        <v/>
      </c>
      <c r="L799" s="13">
        <f>IF(C799=Options!$B$9,B799*Options!$Z$6,0)</f>
        <v/>
      </c>
      <c r="M799" s="13" t="n">
        <v>0</v>
      </c>
      <c r="N799" s="13">
        <f>SUM(E799:M799)</f>
        <v/>
      </c>
    </row>
    <row r="800">
      <c r="A800" s="5">
        <f>IF(AND(C800&gt;=Options!$B$9,C800&lt;=Options!$B$10),"Denver","")</f>
        <v/>
      </c>
      <c r="B800" s="5">
        <f>IF(A800="","",18)</f>
        <v/>
      </c>
      <c r="C800" s="17" t="n">
        <v>46361</v>
      </c>
      <c r="D800" s="5">
        <f>IF(A800="","",IF(C800=DATE(2026,11,29),"培训；注册午餐；早餐参数",IF(C800=DATE(2026,11,30),"培训；注册午餐",IF(C800=DATE(2026,12,1),"培训；注册午餐；机构晚餐",IF(C800=Options!$B$9,"抵达；"&amp;IF(C800=DATE(2026,11,28),"机构晚餐","无统一供餐"),IF(C800=Options!$B$10,"返程；"&amp;IF(C800=DATE(2026,12,2),"机构午餐","无统一供餐"),"差旅状态；无统一日程"))))))</f>
        <v/>
      </c>
      <c r="E800" s="13">
        <f>IF(C800=Options!$B$9,Options!$C$16,0)</f>
        <v/>
      </c>
      <c r="F800" s="13">
        <f>IF(AND(A800&lt;&gt;"",C800&lt;Options!$B$10),B800*Options!$X$6,0)</f>
        <v/>
      </c>
      <c r="G800" s="13">
        <f>F800*12%</f>
        <v/>
      </c>
      <c r="H800" s="13">
        <f>IF(A800="",0,B800*(92*IF(OR(C800=Options!$B$9,C800=Options!$B$10),75%,100%)-IF(C800=DATE(2026,11,29),26+IF(Options!$B$8="是",23,0),0)-IF(C800=DATE(2026,11,30),26,0)-IF(C800=DATE(2026,12,1),64,0)-IF(C800=DATE(2026,11,28),38,0)-IF(C800=DATE(2026,12,2),26,0)))</f>
        <v/>
      </c>
      <c r="I800" s="13">
        <f>IF(AND(C800&gt;=DATE(2026,11,29),C800&lt;=DATE(2026,12,1)),B800*60,0)</f>
        <v/>
      </c>
      <c r="J800" s="13">
        <f>IF(A800="",0,B800*(IF(C800=DATE(2026,11,28),38,0)+IF(C800=DATE(2026,12,1),38,0)+IF(C800=DATE(2026,12,2),26,0)))</f>
        <v/>
      </c>
      <c r="K800" s="13">
        <f>IF(C800=Options!$B$9,B800*12,0)</f>
        <v/>
      </c>
      <c r="L800" s="13">
        <f>IF(C800=Options!$B$9,B800*Options!$Z$6,0)</f>
        <v/>
      </c>
      <c r="M800" s="13" t="n">
        <v>0</v>
      </c>
      <c r="N800" s="13">
        <f>SUM(E800:M800)</f>
        <v/>
      </c>
    </row>
    <row r="801">
      <c r="A801" s="5">
        <f>IF(AND(C801&gt;=Options!$B$9,C801&lt;=Options!$B$10),"Denver","")</f>
        <v/>
      </c>
      <c r="B801" s="5">
        <f>IF(A801="","",18)</f>
        <v/>
      </c>
      <c r="C801" s="17" t="n">
        <v>46362</v>
      </c>
      <c r="D801" s="5">
        <f>IF(A801="","",IF(C801=DATE(2026,11,29),"培训；注册午餐；早餐参数",IF(C801=DATE(2026,11,30),"培训；注册午餐",IF(C801=DATE(2026,12,1),"培训；注册午餐；机构晚餐",IF(C801=Options!$B$9,"抵达；"&amp;IF(C801=DATE(2026,11,28),"机构晚餐","无统一供餐"),IF(C801=Options!$B$10,"返程；"&amp;IF(C801=DATE(2026,12,2),"机构午餐","无统一供餐"),"差旅状态；无统一日程"))))))</f>
        <v/>
      </c>
      <c r="E801" s="13">
        <f>IF(C801=Options!$B$9,Options!$C$16,0)</f>
        <v/>
      </c>
      <c r="F801" s="13">
        <f>IF(AND(A801&lt;&gt;"",C801&lt;Options!$B$10),B801*Options!$X$6,0)</f>
        <v/>
      </c>
      <c r="G801" s="13">
        <f>F801*12%</f>
        <v/>
      </c>
      <c r="H801" s="13">
        <f>IF(A801="",0,B801*(92*IF(OR(C801=Options!$B$9,C801=Options!$B$10),75%,100%)-IF(C801=DATE(2026,11,29),26+IF(Options!$B$8="是",23,0),0)-IF(C801=DATE(2026,11,30),26,0)-IF(C801=DATE(2026,12,1),64,0)-IF(C801=DATE(2026,11,28),38,0)-IF(C801=DATE(2026,12,2),26,0)))</f>
        <v/>
      </c>
      <c r="I801" s="13">
        <f>IF(AND(C801&gt;=DATE(2026,11,29),C801&lt;=DATE(2026,12,1)),B801*60,0)</f>
        <v/>
      </c>
      <c r="J801" s="13">
        <f>IF(A801="",0,B801*(IF(C801=DATE(2026,11,28),38,0)+IF(C801=DATE(2026,12,1),38,0)+IF(C801=DATE(2026,12,2),26,0)))</f>
        <v/>
      </c>
      <c r="K801" s="13">
        <f>IF(C801=Options!$B$9,B801*12,0)</f>
        <v/>
      </c>
      <c r="L801" s="13">
        <f>IF(C801=Options!$B$9,B801*Options!$Z$6,0)</f>
        <v/>
      </c>
      <c r="M801" s="13" t="n">
        <v>0</v>
      </c>
      <c r="N801" s="13">
        <f>SUM(E801:M801)</f>
        <v/>
      </c>
    </row>
    <row r="802">
      <c r="A802" s="5">
        <f>IF(AND(C802&gt;=Options!$B$9,C802&lt;=Options!$B$10),"Denver","")</f>
        <v/>
      </c>
      <c r="B802" s="5">
        <f>IF(A802="","",18)</f>
        <v/>
      </c>
      <c r="C802" s="17" t="n">
        <v>46363</v>
      </c>
      <c r="D802" s="5">
        <f>IF(A802="","",IF(C802=DATE(2026,11,29),"培训；注册午餐；早餐参数",IF(C802=DATE(2026,11,30),"培训；注册午餐",IF(C802=DATE(2026,12,1),"培训；注册午餐；机构晚餐",IF(C802=Options!$B$9,"抵达；"&amp;IF(C802=DATE(2026,11,28),"机构晚餐","无统一供餐"),IF(C802=Options!$B$10,"返程；"&amp;IF(C802=DATE(2026,12,2),"机构午餐","无统一供餐"),"差旅状态；无统一日程"))))))</f>
        <v/>
      </c>
      <c r="E802" s="13">
        <f>IF(C802=Options!$B$9,Options!$C$16,0)</f>
        <v/>
      </c>
      <c r="F802" s="13">
        <f>IF(AND(A802&lt;&gt;"",C802&lt;Options!$B$10),B802*Options!$X$6,0)</f>
        <v/>
      </c>
      <c r="G802" s="13">
        <f>F802*12%</f>
        <v/>
      </c>
      <c r="H802" s="13">
        <f>IF(A802="",0,B802*(92*IF(OR(C802=Options!$B$9,C802=Options!$B$10),75%,100%)-IF(C802=DATE(2026,11,29),26+IF(Options!$B$8="是",23,0),0)-IF(C802=DATE(2026,11,30),26,0)-IF(C802=DATE(2026,12,1),64,0)-IF(C802=DATE(2026,11,28),38,0)-IF(C802=DATE(2026,12,2),26,0)))</f>
        <v/>
      </c>
      <c r="I802" s="13">
        <f>IF(AND(C802&gt;=DATE(2026,11,29),C802&lt;=DATE(2026,12,1)),B802*60,0)</f>
        <v/>
      </c>
      <c r="J802" s="13">
        <f>IF(A802="",0,B802*(IF(C802=DATE(2026,11,28),38,0)+IF(C802=DATE(2026,12,1),38,0)+IF(C802=DATE(2026,12,2),26,0)))</f>
        <v/>
      </c>
      <c r="K802" s="13">
        <f>IF(C802=Options!$B$9,B802*12,0)</f>
        <v/>
      </c>
      <c r="L802" s="13">
        <f>IF(C802=Options!$B$9,B802*Options!$Z$6,0)</f>
        <v/>
      </c>
      <c r="M802" s="13" t="n">
        <v>0</v>
      </c>
      <c r="N802" s="13">
        <f>SUM(E802:M802)</f>
        <v/>
      </c>
    </row>
    <row r="803">
      <c r="A803" s="5">
        <f>IF(AND(C803&gt;=Options!$B$9,C803&lt;=Options!$B$10),"Denver","")</f>
        <v/>
      </c>
      <c r="B803" s="5">
        <f>IF(A803="","",18)</f>
        <v/>
      </c>
      <c r="C803" s="17" t="n">
        <v>46364</v>
      </c>
      <c r="D803" s="5">
        <f>IF(A803="","",IF(C803=DATE(2026,11,29),"培训；注册午餐；早餐参数",IF(C803=DATE(2026,11,30),"培训；注册午餐",IF(C803=DATE(2026,12,1),"培训；注册午餐；机构晚餐",IF(C803=Options!$B$9,"抵达；"&amp;IF(C803=DATE(2026,11,28),"机构晚餐","无统一供餐"),IF(C803=Options!$B$10,"返程；"&amp;IF(C803=DATE(2026,12,2),"机构午餐","无统一供餐"),"差旅状态；无统一日程"))))))</f>
        <v/>
      </c>
      <c r="E803" s="13">
        <f>IF(C803=Options!$B$9,Options!$C$16,0)</f>
        <v/>
      </c>
      <c r="F803" s="13">
        <f>IF(AND(A803&lt;&gt;"",C803&lt;Options!$B$10),B803*Options!$X$6,0)</f>
        <v/>
      </c>
      <c r="G803" s="13">
        <f>F803*12%</f>
        <v/>
      </c>
      <c r="H803" s="13">
        <f>IF(A803="",0,B803*(92*IF(OR(C803=Options!$B$9,C803=Options!$B$10),75%,100%)-IF(C803=DATE(2026,11,29),26+IF(Options!$B$8="是",23,0),0)-IF(C803=DATE(2026,11,30),26,0)-IF(C803=DATE(2026,12,1),64,0)-IF(C803=DATE(2026,11,28),38,0)-IF(C803=DATE(2026,12,2),26,0)))</f>
        <v/>
      </c>
      <c r="I803" s="13">
        <f>IF(AND(C803&gt;=DATE(2026,11,29),C803&lt;=DATE(2026,12,1)),B803*60,0)</f>
        <v/>
      </c>
      <c r="J803" s="13">
        <f>IF(A803="",0,B803*(IF(C803=DATE(2026,11,28),38,0)+IF(C803=DATE(2026,12,1),38,0)+IF(C803=DATE(2026,12,2),26,0)))</f>
        <v/>
      </c>
      <c r="K803" s="13">
        <f>IF(C803=Options!$B$9,B803*12,0)</f>
        <v/>
      </c>
      <c r="L803" s="13">
        <f>IF(C803=Options!$B$9,B803*Options!$Z$6,0)</f>
        <v/>
      </c>
      <c r="M803" s="13" t="n">
        <v>0</v>
      </c>
      <c r="N803" s="13">
        <f>SUM(E803:M803)</f>
        <v/>
      </c>
    </row>
    <row r="804">
      <c r="A804" s="5">
        <f>IF(AND(C804&gt;=Options!$B$9,C804&lt;=Options!$B$10),"Denver","")</f>
        <v/>
      </c>
      <c r="B804" s="5">
        <f>IF(A804="","",18)</f>
        <v/>
      </c>
      <c r="C804" s="17" t="n">
        <v>46365</v>
      </c>
      <c r="D804" s="5">
        <f>IF(A804="","",IF(C804=DATE(2026,11,29),"培训；注册午餐；早餐参数",IF(C804=DATE(2026,11,30),"培训；注册午餐",IF(C804=DATE(2026,12,1),"培训；注册午餐；机构晚餐",IF(C804=Options!$B$9,"抵达；"&amp;IF(C804=DATE(2026,11,28),"机构晚餐","无统一供餐"),IF(C804=Options!$B$10,"返程；"&amp;IF(C804=DATE(2026,12,2),"机构午餐","无统一供餐"),"差旅状态；无统一日程"))))))</f>
        <v/>
      </c>
      <c r="E804" s="13">
        <f>IF(C804=Options!$B$9,Options!$C$16,0)</f>
        <v/>
      </c>
      <c r="F804" s="13">
        <f>IF(AND(A804&lt;&gt;"",C804&lt;Options!$B$10),B804*Options!$X$6,0)</f>
        <v/>
      </c>
      <c r="G804" s="13">
        <f>F804*12%</f>
        <v/>
      </c>
      <c r="H804" s="13">
        <f>IF(A804="",0,B804*(92*IF(OR(C804=Options!$B$9,C804=Options!$B$10),75%,100%)-IF(C804=DATE(2026,11,29),26+IF(Options!$B$8="是",23,0),0)-IF(C804=DATE(2026,11,30),26,0)-IF(C804=DATE(2026,12,1),64,0)-IF(C804=DATE(2026,11,28),38,0)-IF(C804=DATE(2026,12,2),26,0)))</f>
        <v/>
      </c>
      <c r="I804" s="13">
        <f>IF(AND(C804&gt;=DATE(2026,11,29),C804&lt;=DATE(2026,12,1)),B804*60,0)</f>
        <v/>
      </c>
      <c r="J804" s="13">
        <f>IF(A804="",0,B804*(IF(C804=DATE(2026,11,28),38,0)+IF(C804=DATE(2026,12,1),38,0)+IF(C804=DATE(2026,12,2),26,0)))</f>
        <v/>
      </c>
      <c r="K804" s="13">
        <f>IF(C804=Options!$B$9,B804*12,0)</f>
        <v/>
      </c>
      <c r="L804" s="13">
        <f>IF(C804=Options!$B$9,B804*Options!$Z$6,0)</f>
        <v/>
      </c>
      <c r="M804" s="13" t="n">
        <v>0</v>
      </c>
      <c r="N804" s="13">
        <f>SUM(E804:M804)</f>
        <v/>
      </c>
    </row>
    <row r="805">
      <c r="A805" s="5">
        <f>IF(AND(C805&gt;=Options!$B$9,C805&lt;=Options!$B$10),"Denver","")</f>
        <v/>
      </c>
      <c r="B805" s="5">
        <f>IF(A805="","",18)</f>
        <v/>
      </c>
      <c r="C805" s="17" t="n">
        <v>46366</v>
      </c>
      <c r="D805" s="5">
        <f>IF(A805="","",IF(C805=DATE(2026,11,29),"培训；注册午餐；早餐参数",IF(C805=DATE(2026,11,30),"培训；注册午餐",IF(C805=DATE(2026,12,1),"培训；注册午餐；机构晚餐",IF(C805=Options!$B$9,"抵达；"&amp;IF(C805=DATE(2026,11,28),"机构晚餐","无统一供餐"),IF(C805=Options!$B$10,"返程；"&amp;IF(C805=DATE(2026,12,2),"机构午餐","无统一供餐"),"差旅状态；无统一日程"))))))</f>
        <v/>
      </c>
      <c r="E805" s="13">
        <f>IF(C805=Options!$B$9,Options!$C$16,0)</f>
        <v/>
      </c>
      <c r="F805" s="13">
        <f>IF(AND(A805&lt;&gt;"",C805&lt;Options!$B$10),B805*Options!$X$6,0)</f>
        <v/>
      </c>
      <c r="G805" s="13">
        <f>F805*12%</f>
        <v/>
      </c>
      <c r="H805" s="13">
        <f>IF(A805="",0,B805*(92*IF(OR(C805=Options!$B$9,C805=Options!$B$10),75%,100%)-IF(C805=DATE(2026,11,29),26+IF(Options!$B$8="是",23,0),0)-IF(C805=DATE(2026,11,30),26,0)-IF(C805=DATE(2026,12,1),64,0)-IF(C805=DATE(2026,11,28),38,0)-IF(C805=DATE(2026,12,2),26,0)))</f>
        <v/>
      </c>
      <c r="I805" s="13">
        <f>IF(AND(C805&gt;=DATE(2026,11,29),C805&lt;=DATE(2026,12,1)),B805*60,0)</f>
        <v/>
      </c>
      <c r="J805" s="13">
        <f>IF(A805="",0,B805*(IF(C805=DATE(2026,11,28),38,0)+IF(C805=DATE(2026,12,1),38,0)+IF(C805=DATE(2026,12,2),26,0)))</f>
        <v/>
      </c>
      <c r="K805" s="13">
        <f>IF(C805=Options!$B$9,B805*12,0)</f>
        <v/>
      </c>
      <c r="L805" s="13">
        <f>IF(C805=Options!$B$9,B805*Options!$Z$6,0)</f>
        <v/>
      </c>
      <c r="M805" s="13" t="n">
        <v>0</v>
      </c>
      <c r="N805" s="13">
        <f>SUM(E805:M805)</f>
        <v/>
      </c>
    </row>
    <row r="806">
      <c r="A806" s="5">
        <f>IF(AND(C806&gt;=Options!$B$9,C806&lt;=Options!$B$10),"Denver","")</f>
        <v/>
      </c>
      <c r="B806" s="5">
        <f>IF(A806="","",18)</f>
        <v/>
      </c>
      <c r="C806" s="17" t="n">
        <v>46367</v>
      </c>
      <c r="D806" s="5">
        <f>IF(A806="","",IF(C806=DATE(2026,11,29),"培训；注册午餐；早餐参数",IF(C806=DATE(2026,11,30),"培训；注册午餐",IF(C806=DATE(2026,12,1),"培训；注册午餐；机构晚餐",IF(C806=Options!$B$9,"抵达；"&amp;IF(C806=DATE(2026,11,28),"机构晚餐","无统一供餐"),IF(C806=Options!$B$10,"返程；"&amp;IF(C806=DATE(2026,12,2),"机构午餐","无统一供餐"),"差旅状态；无统一日程"))))))</f>
        <v/>
      </c>
      <c r="E806" s="13">
        <f>IF(C806=Options!$B$9,Options!$C$16,0)</f>
        <v/>
      </c>
      <c r="F806" s="13">
        <f>IF(AND(A806&lt;&gt;"",C806&lt;Options!$B$10),B806*Options!$X$6,0)</f>
        <v/>
      </c>
      <c r="G806" s="13">
        <f>F806*12%</f>
        <v/>
      </c>
      <c r="H806" s="13">
        <f>IF(A806="",0,B806*(92*IF(OR(C806=Options!$B$9,C806=Options!$B$10),75%,100%)-IF(C806=DATE(2026,11,29),26+IF(Options!$B$8="是",23,0),0)-IF(C806=DATE(2026,11,30),26,0)-IF(C806=DATE(2026,12,1),64,0)-IF(C806=DATE(2026,11,28),38,0)-IF(C806=DATE(2026,12,2),26,0)))</f>
        <v/>
      </c>
      <c r="I806" s="13">
        <f>IF(AND(C806&gt;=DATE(2026,11,29),C806&lt;=DATE(2026,12,1)),B806*60,0)</f>
        <v/>
      </c>
      <c r="J806" s="13">
        <f>IF(A806="",0,B806*(IF(C806=DATE(2026,11,28),38,0)+IF(C806=DATE(2026,12,1),38,0)+IF(C806=DATE(2026,12,2),26,0)))</f>
        <v/>
      </c>
      <c r="K806" s="13">
        <f>IF(C806=Options!$B$9,B806*12,0)</f>
        <v/>
      </c>
      <c r="L806" s="13">
        <f>IF(C806=Options!$B$9,B806*Options!$Z$6,0)</f>
        <v/>
      </c>
      <c r="M806" s="13" t="n">
        <v>0</v>
      </c>
      <c r="N806" s="13">
        <f>SUM(E806:M806)</f>
        <v/>
      </c>
    </row>
    <row r="807">
      <c r="A807" s="5">
        <f>IF(AND(C807&gt;=Options!$B$9,C807&lt;=Options!$B$10),"Denver","")</f>
        <v/>
      </c>
      <c r="B807" s="5">
        <f>IF(A807="","",18)</f>
        <v/>
      </c>
      <c r="C807" s="17" t="n">
        <v>46368</v>
      </c>
      <c r="D807" s="5">
        <f>IF(A807="","",IF(C807=DATE(2026,11,29),"培训；注册午餐；早餐参数",IF(C807=DATE(2026,11,30),"培训；注册午餐",IF(C807=DATE(2026,12,1),"培训；注册午餐；机构晚餐",IF(C807=Options!$B$9,"抵达；"&amp;IF(C807=DATE(2026,11,28),"机构晚餐","无统一供餐"),IF(C807=Options!$B$10,"返程；"&amp;IF(C807=DATE(2026,12,2),"机构午餐","无统一供餐"),"差旅状态；无统一日程"))))))</f>
        <v/>
      </c>
      <c r="E807" s="13">
        <f>IF(C807=Options!$B$9,Options!$C$16,0)</f>
        <v/>
      </c>
      <c r="F807" s="13">
        <f>IF(AND(A807&lt;&gt;"",C807&lt;Options!$B$10),B807*Options!$X$6,0)</f>
        <v/>
      </c>
      <c r="G807" s="13">
        <f>F807*12%</f>
        <v/>
      </c>
      <c r="H807" s="13">
        <f>IF(A807="",0,B807*(92*IF(OR(C807=Options!$B$9,C807=Options!$B$10),75%,100%)-IF(C807=DATE(2026,11,29),26+IF(Options!$B$8="是",23,0),0)-IF(C807=DATE(2026,11,30),26,0)-IF(C807=DATE(2026,12,1),64,0)-IF(C807=DATE(2026,11,28),38,0)-IF(C807=DATE(2026,12,2),26,0)))</f>
        <v/>
      </c>
      <c r="I807" s="13">
        <f>IF(AND(C807&gt;=DATE(2026,11,29),C807&lt;=DATE(2026,12,1)),B807*60,0)</f>
        <v/>
      </c>
      <c r="J807" s="13">
        <f>IF(A807="",0,B807*(IF(C807=DATE(2026,11,28),38,0)+IF(C807=DATE(2026,12,1),38,0)+IF(C807=DATE(2026,12,2),26,0)))</f>
        <v/>
      </c>
      <c r="K807" s="13">
        <f>IF(C807=Options!$B$9,B807*12,0)</f>
        <v/>
      </c>
      <c r="L807" s="13">
        <f>IF(C807=Options!$B$9,B807*Options!$Z$6,0)</f>
        <v/>
      </c>
      <c r="M807" s="13" t="n">
        <v>0</v>
      </c>
      <c r="N807" s="13">
        <f>SUM(E807:M807)</f>
        <v/>
      </c>
    </row>
    <row r="808">
      <c r="A808" s="5">
        <f>IF(AND(C808&gt;=Options!$B$9,C808&lt;=Options!$B$10),"Denver","")</f>
        <v/>
      </c>
      <c r="B808" s="5">
        <f>IF(A808="","",18)</f>
        <v/>
      </c>
      <c r="C808" s="17" t="n">
        <v>46369</v>
      </c>
      <c r="D808" s="5">
        <f>IF(A808="","",IF(C808=DATE(2026,11,29),"培训；注册午餐；早餐参数",IF(C808=DATE(2026,11,30),"培训；注册午餐",IF(C808=DATE(2026,12,1),"培训；注册午餐；机构晚餐",IF(C808=Options!$B$9,"抵达；"&amp;IF(C808=DATE(2026,11,28),"机构晚餐","无统一供餐"),IF(C808=Options!$B$10,"返程；"&amp;IF(C808=DATE(2026,12,2),"机构午餐","无统一供餐"),"差旅状态；无统一日程"))))))</f>
        <v/>
      </c>
      <c r="E808" s="13">
        <f>IF(C808=Options!$B$9,Options!$C$16,0)</f>
        <v/>
      </c>
      <c r="F808" s="13">
        <f>IF(AND(A808&lt;&gt;"",C808&lt;Options!$B$10),B808*Options!$X$6,0)</f>
        <v/>
      </c>
      <c r="G808" s="13">
        <f>F808*12%</f>
        <v/>
      </c>
      <c r="H808" s="13">
        <f>IF(A808="",0,B808*(92*IF(OR(C808=Options!$B$9,C808=Options!$B$10),75%,100%)-IF(C808=DATE(2026,11,29),26+IF(Options!$B$8="是",23,0),0)-IF(C808=DATE(2026,11,30),26,0)-IF(C808=DATE(2026,12,1),64,0)-IF(C808=DATE(2026,11,28),38,0)-IF(C808=DATE(2026,12,2),26,0)))</f>
        <v/>
      </c>
      <c r="I808" s="13">
        <f>IF(AND(C808&gt;=DATE(2026,11,29),C808&lt;=DATE(2026,12,1)),B808*60,0)</f>
        <v/>
      </c>
      <c r="J808" s="13">
        <f>IF(A808="",0,B808*(IF(C808=DATE(2026,11,28),38,0)+IF(C808=DATE(2026,12,1),38,0)+IF(C808=DATE(2026,12,2),26,0)))</f>
        <v/>
      </c>
      <c r="K808" s="13">
        <f>IF(C808=Options!$B$9,B808*12,0)</f>
        <v/>
      </c>
      <c r="L808" s="13">
        <f>IF(C808=Options!$B$9,B808*Options!$Z$6,0)</f>
        <v/>
      </c>
      <c r="M808" s="13" t="n">
        <v>0</v>
      </c>
      <c r="N808" s="13">
        <f>SUM(E808:M808)</f>
        <v/>
      </c>
    </row>
    <row r="809">
      <c r="A809" s="5">
        <f>IF(AND(C809&gt;=Options!$B$9,C809&lt;=Options!$B$10),"Denver","")</f>
        <v/>
      </c>
      <c r="B809" s="5">
        <f>IF(A809="","",18)</f>
        <v/>
      </c>
      <c r="C809" s="17" t="n">
        <v>46370</v>
      </c>
      <c r="D809" s="5">
        <f>IF(A809="","",IF(C809=DATE(2026,11,29),"培训；注册午餐；早餐参数",IF(C809=DATE(2026,11,30),"培训；注册午餐",IF(C809=DATE(2026,12,1),"培训；注册午餐；机构晚餐",IF(C809=Options!$B$9,"抵达；"&amp;IF(C809=DATE(2026,11,28),"机构晚餐","无统一供餐"),IF(C809=Options!$B$10,"返程；"&amp;IF(C809=DATE(2026,12,2),"机构午餐","无统一供餐"),"差旅状态；无统一日程"))))))</f>
        <v/>
      </c>
      <c r="E809" s="13">
        <f>IF(C809=Options!$B$9,Options!$C$16,0)</f>
        <v/>
      </c>
      <c r="F809" s="13">
        <f>IF(AND(A809&lt;&gt;"",C809&lt;Options!$B$10),B809*Options!$X$6,0)</f>
        <v/>
      </c>
      <c r="G809" s="13">
        <f>F809*12%</f>
        <v/>
      </c>
      <c r="H809" s="13">
        <f>IF(A809="",0,B809*(92*IF(OR(C809=Options!$B$9,C809=Options!$B$10),75%,100%)-IF(C809=DATE(2026,11,29),26+IF(Options!$B$8="是",23,0),0)-IF(C809=DATE(2026,11,30),26,0)-IF(C809=DATE(2026,12,1),64,0)-IF(C809=DATE(2026,11,28),38,0)-IF(C809=DATE(2026,12,2),26,0)))</f>
        <v/>
      </c>
      <c r="I809" s="13">
        <f>IF(AND(C809&gt;=DATE(2026,11,29),C809&lt;=DATE(2026,12,1)),B809*60,0)</f>
        <v/>
      </c>
      <c r="J809" s="13">
        <f>IF(A809="",0,B809*(IF(C809=DATE(2026,11,28),38,0)+IF(C809=DATE(2026,12,1),38,0)+IF(C809=DATE(2026,12,2),26,0)))</f>
        <v/>
      </c>
      <c r="K809" s="13">
        <f>IF(C809=Options!$B$9,B809*12,0)</f>
        <v/>
      </c>
      <c r="L809" s="13">
        <f>IF(C809=Options!$B$9,B809*Options!$Z$6,0)</f>
        <v/>
      </c>
      <c r="M809" s="13" t="n">
        <v>0</v>
      </c>
      <c r="N809" s="13">
        <f>SUM(E809:M809)</f>
        <v/>
      </c>
    </row>
    <row r="810">
      <c r="A810" s="5">
        <f>IF(AND(C810&gt;=Options!$B$9,C810&lt;=Options!$B$10),"Denver","")</f>
        <v/>
      </c>
      <c r="B810" s="5">
        <f>IF(A810="","",18)</f>
        <v/>
      </c>
      <c r="C810" s="17" t="n">
        <v>46371</v>
      </c>
      <c r="D810" s="5">
        <f>IF(A810="","",IF(C810=DATE(2026,11,29),"培训；注册午餐；早餐参数",IF(C810=DATE(2026,11,30),"培训；注册午餐",IF(C810=DATE(2026,12,1),"培训；注册午餐；机构晚餐",IF(C810=Options!$B$9,"抵达；"&amp;IF(C810=DATE(2026,11,28),"机构晚餐","无统一供餐"),IF(C810=Options!$B$10,"返程；"&amp;IF(C810=DATE(2026,12,2),"机构午餐","无统一供餐"),"差旅状态；无统一日程"))))))</f>
        <v/>
      </c>
      <c r="E810" s="13">
        <f>IF(C810=Options!$B$9,Options!$C$16,0)</f>
        <v/>
      </c>
      <c r="F810" s="13">
        <f>IF(AND(A810&lt;&gt;"",C810&lt;Options!$B$10),B810*Options!$X$6,0)</f>
        <v/>
      </c>
      <c r="G810" s="13">
        <f>F810*12%</f>
        <v/>
      </c>
      <c r="H810" s="13">
        <f>IF(A810="",0,B810*(92*IF(OR(C810=Options!$B$9,C810=Options!$B$10),75%,100%)-IF(C810=DATE(2026,11,29),26+IF(Options!$B$8="是",23,0),0)-IF(C810=DATE(2026,11,30),26,0)-IF(C810=DATE(2026,12,1),64,0)-IF(C810=DATE(2026,11,28),38,0)-IF(C810=DATE(2026,12,2),26,0)))</f>
        <v/>
      </c>
      <c r="I810" s="13">
        <f>IF(AND(C810&gt;=DATE(2026,11,29),C810&lt;=DATE(2026,12,1)),B810*60,0)</f>
        <v/>
      </c>
      <c r="J810" s="13">
        <f>IF(A810="",0,B810*(IF(C810=DATE(2026,11,28),38,0)+IF(C810=DATE(2026,12,1),38,0)+IF(C810=DATE(2026,12,2),26,0)))</f>
        <v/>
      </c>
      <c r="K810" s="13">
        <f>IF(C810=Options!$B$9,B810*12,0)</f>
        <v/>
      </c>
      <c r="L810" s="13">
        <f>IF(C810=Options!$B$9,B810*Options!$Z$6,0)</f>
        <v/>
      </c>
      <c r="M810" s="13" t="n">
        <v>0</v>
      </c>
      <c r="N810" s="13">
        <f>SUM(E810:M810)</f>
        <v/>
      </c>
    </row>
    <row r="811">
      <c r="A811" s="5">
        <f>IF(AND(C811&gt;=Options!$B$9,C811&lt;=Options!$B$10),"Denver","")</f>
        <v/>
      </c>
      <c r="B811" s="5">
        <f>IF(A811="","",18)</f>
        <v/>
      </c>
      <c r="C811" s="17" t="n">
        <v>46372</v>
      </c>
      <c r="D811" s="5">
        <f>IF(A811="","",IF(C811=DATE(2026,11,29),"培训；注册午餐；早餐参数",IF(C811=DATE(2026,11,30),"培训；注册午餐",IF(C811=DATE(2026,12,1),"培训；注册午餐；机构晚餐",IF(C811=Options!$B$9,"抵达；"&amp;IF(C811=DATE(2026,11,28),"机构晚餐","无统一供餐"),IF(C811=Options!$B$10,"返程；"&amp;IF(C811=DATE(2026,12,2),"机构午餐","无统一供餐"),"差旅状态；无统一日程"))))))</f>
        <v/>
      </c>
      <c r="E811" s="13">
        <f>IF(C811=Options!$B$9,Options!$C$16,0)</f>
        <v/>
      </c>
      <c r="F811" s="13">
        <f>IF(AND(A811&lt;&gt;"",C811&lt;Options!$B$10),B811*Options!$X$6,0)</f>
        <v/>
      </c>
      <c r="G811" s="13">
        <f>F811*12%</f>
        <v/>
      </c>
      <c r="H811" s="13">
        <f>IF(A811="",0,B811*(92*IF(OR(C811=Options!$B$9,C811=Options!$B$10),75%,100%)-IF(C811=DATE(2026,11,29),26+IF(Options!$B$8="是",23,0),0)-IF(C811=DATE(2026,11,30),26,0)-IF(C811=DATE(2026,12,1),64,0)-IF(C811=DATE(2026,11,28),38,0)-IF(C811=DATE(2026,12,2),26,0)))</f>
        <v/>
      </c>
      <c r="I811" s="13">
        <f>IF(AND(C811&gt;=DATE(2026,11,29),C811&lt;=DATE(2026,12,1)),B811*60,0)</f>
        <v/>
      </c>
      <c r="J811" s="13">
        <f>IF(A811="",0,B811*(IF(C811=DATE(2026,11,28),38,0)+IF(C811=DATE(2026,12,1),38,0)+IF(C811=DATE(2026,12,2),26,0)))</f>
        <v/>
      </c>
      <c r="K811" s="13">
        <f>IF(C811=Options!$B$9,B811*12,0)</f>
        <v/>
      </c>
      <c r="L811" s="13">
        <f>IF(C811=Options!$B$9,B811*Options!$Z$6,0)</f>
        <v/>
      </c>
      <c r="M811" s="13" t="n">
        <v>0</v>
      </c>
      <c r="N811" s="13">
        <f>SUM(E811:M811)</f>
        <v/>
      </c>
    </row>
    <row r="812">
      <c r="A812" s="5">
        <f>IF(AND(C812&gt;=Options!$B$9,C812&lt;=Options!$B$10),"Denver","")</f>
        <v/>
      </c>
      <c r="B812" s="5">
        <f>IF(A812="","",18)</f>
        <v/>
      </c>
      <c r="C812" s="17" t="n">
        <v>46373</v>
      </c>
      <c r="D812" s="5">
        <f>IF(A812="","",IF(C812=DATE(2026,11,29),"培训；注册午餐；早餐参数",IF(C812=DATE(2026,11,30),"培训；注册午餐",IF(C812=DATE(2026,12,1),"培训；注册午餐；机构晚餐",IF(C812=Options!$B$9,"抵达；"&amp;IF(C812=DATE(2026,11,28),"机构晚餐","无统一供餐"),IF(C812=Options!$B$10,"返程；"&amp;IF(C812=DATE(2026,12,2),"机构午餐","无统一供餐"),"差旅状态；无统一日程"))))))</f>
        <v/>
      </c>
      <c r="E812" s="13">
        <f>IF(C812=Options!$B$9,Options!$C$16,0)</f>
        <v/>
      </c>
      <c r="F812" s="13">
        <f>IF(AND(A812&lt;&gt;"",C812&lt;Options!$B$10),B812*Options!$X$6,0)</f>
        <v/>
      </c>
      <c r="G812" s="13">
        <f>F812*12%</f>
        <v/>
      </c>
      <c r="H812" s="13">
        <f>IF(A812="",0,B812*(92*IF(OR(C812=Options!$B$9,C812=Options!$B$10),75%,100%)-IF(C812=DATE(2026,11,29),26+IF(Options!$B$8="是",23,0),0)-IF(C812=DATE(2026,11,30),26,0)-IF(C812=DATE(2026,12,1),64,0)-IF(C812=DATE(2026,11,28),38,0)-IF(C812=DATE(2026,12,2),26,0)))</f>
        <v/>
      </c>
      <c r="I812" s="13">
        <f>IF(AND(C812&gt;=DATE(2026,11,29),C812&lt;=DATE(2026,12,1)),B812*60,0)</f>
        <v/>
      </c>
      <c r="J812" s="13">
        <f>IF(A812="",0,B812*(IF(C812=DATE(2026,11,28),38,0)+IF(C812=DATE(2026,12,1),38,0)+IF(C812=DATE(2026,12,2),26,0)))</f>
        <v/>
      </c>
      <c r="K812" s="13">
        <f>IF(C812=Options!$B$9,B812*12,0)</f>
        <v/>
      </c>
      <c r="L812" s="13">
        <f>IF(C812=Options!$B$9,B812*Options!$Z$6,0)</f>
        <v/>
      </c>
      <c r="M812" s="13" t="n">
        <v>0</v>
      </c>
      <c r="N812" s="13">
        <f>SUM(E812:M812)</f>
        <v/>
      </c>
    </row>
    <row r="813">
      <c r="A813" s="5">
        <f>IF(AND(C813&gt;=Options!$B$9,C813&lt;=Options!$B$10),"Denver","")</f>
        <v/>
      </c>
      <c r="B813" s="5">
        <f>IF(A813="","",18)</f>
        <v/>
      </c>
      <c r="C813" s="17" t="n">
        <v>46374</v>
      </c>
      <c r="D813" s="5">
        <f>IF(A813="","",IF(C813=DATE(2026,11,29),"培训；注册午餐；早餐参数",IF(C813=DATE(2026,11,30),"培训；注册午餐",IF(C813=DATE(2026,12,1),"培训；注册午餐；机构晚餐",IF(C813=Options!$B$9,"抵达；"&amp;IF(C813=DATE(2026,11,28),"机构晚餐","无统一供餐"),IF(C813=Options!$B$10,"返程；"&amp;IF(C813=DATE(2026,12,2),"机构午餐","无统一供餐"),"差旅状态；无统一日程"))))))</f>
        <v/>
      </c>
      <c r="E813" s="13">
        <f>IF(C813=Options!$B$9,Options!$C$16,0)</f>
        <v/>
      </c>
      <c r="F813" s="13">
        <f>IF(AND(A813&lt;&gt;"",C813&lt;Options!$B$10),B813*Options!$X$6,0)</f>
        <v/>
      </c>
      <c r="G813" s="13">
        <f>F813*12%</f>
        <v/>
      </c>
      <c r="H813" s="13">
        <f>IF(A813="",0,B813*(92*IF(OR(C813=Options!$B$9,C813=Options!$B$10),75%,100%)-IF(C813=DATE(2026,11,29),26+IF(Options!$B$8="是",23,0),0)-IF(C813=DATE(2026,11,30),26,0)-IF(C813=DATE(2026,12,1),64,0)-IF(C813=DATE(2026,11,28),38,0)-IF(C813=DATE(2026,12,2),26,0)))</f>
        <v/>
      </c>
      <c r="I813" s="13">
        <f>IF(AND(C813&gt;=DATE(2026,11,29),C813&lt;=DATE(2026,12,1)),B813*60,0)</f>
        <v/>
      </c>
      <c r="J813" s="13">
        <f>IF(A813="",0,B813*(IF(C813=DATE(2026,11,28),38,0)+IF(C813=DATE(2026,12,1),38,0)+IF(C813=DATE(2026,12,2),26,0)))</f>
        <v/>
      </c>
      <c r="K813" s="13">
        <f>IF(C813=Options!$B$9,B813*12,0)</f>
        <v/>
      </c>
      <c r="L813" s="13">
        <f>IF(C813=Options!$B$9,B813*Options!$Z$6,0)</f>
        <v/>
      </c>
      <c r="M813" s="13" t="n">
        <v>0</v>
      </c>
      <c r="N813" s="13">
        <f>SUM(E813:M813)</f>
        <v/>
      </c>
    </row>
    <row r="814">
      <c r="A814" s="5">
        <f>IF(AND(C814&gt;=Options!$B$9,C814&lt;=Options!$B$10),"Denver","")</f>
        <v/>
      </c>
      <c r="B814" s="5">
        <f>IF(A814="","",18)</f>
        <v/>
      </c>
      <c r="C814" s="17" t="n">
        <v>46375</v>
      </c>
      <c r="D814" s="5">
        <f>IF(A814="","",IF(C814=DATE(2026,11,29),"培训；注册午餐；早餐参数",IF(C814=DATE(2026,11,30),"培训；注册午餐",IF(C814=DATE(2026,12,1),"培训；注册午餐；机构晚餐",IF(C814=Options!$B$9,"抵达；"&amp;IF(C814=DATE(2026,11,28),"机构晚餐","无统一供餐"),IF(C814=Options!$B$10,"返程；"&amp;IF(C814=DATE(2026,12,2),"机构午餐","无统一供餐"),"差旅状态；无统一日程"))))))</f>
        <v/>
      </c>
      <c r="E814" s="13">
        <f>IF(C814=Options!$B$9,Options!$C$16,0)</f>
        <v/>
      </c>
      <c r="F814" s="13">
        <f>IF(AND(A814&lt;&gt;"",C814&lt;Options!$B$10),B814*Options!$X$6,0)</f>
        <v/>
      </c>
      <c r="G814" s="13">
        <f>F814*12%</f>
        <v/>
      </c>
      <c r="H814" s="13">
        <f>IF(A814="",0,B814*(92*IF(OR(C814=Options!$B$9,C814=Options!$B$10),75%,100%)-IF(C814=DATE(2026,11,29),26+IF(Options!$B$8="是",23,0),0)-IF(C814=DATE(2026,11,30),26,0)-IF(C814=DATE(2026,12,1),64,0)-IF(C814=DATE(2026,11,28),38,0)-IF(C814=DATE(2026,12,2),26,0)))</f>
        <v/>
      </c>
      <c r="I814" s="13">
        <f>IF(AND(C814&gt;=DATE(2026,11,29),C814&lt;=DATE(2026,12,1)),B814*60,0)</f>
        <v/>
      </c>
      <c r="J814" s="13">
        <f>IF(A814="",0,B814*(IF(C814=DATE(2026,11,28),38,0)+IF(C814=DATE(2026,12,1),38,0)+IF(C814=DATE(2026,12,2),26,0)))</f>
        <v/>
      </c>
      <c r="K814" s="13">
        <f>IF(C814=Options!$B$9,B814*12,0)</f>
        <v/>
      </c>
      <c r="L814" s="13">
        <f>IF(C814=Options!$B$9,B814*Options!$Z$6,0)</f>
        <v/>
      </c>
      <c r="M814" s="13" t="n">
        <v>0</v>
      </c>
      <c r="N814" s="13">
        <f>SUM(E814:M814)</f>
        <v/>
      </c>
    </row>
    <row r="815">
      <c r="A815" s="5">
        <f>IF(AND(C815&gt;=Options!$B$9,C815&lt;=Options!$B$10),"Denver","")</f>
        <v/>
      </c>
      <c r="B815" s="5">
        <f>IF(A815="","",18)</f>
        <v/>
      </c>
      <c r="C815" s="17" t="n">
        <v>46376</v>
      </c>
      <c r="D815" s="5">
        <f>IF(A815="","",IF(C815=DATE(2026,11,29),"培训；注册午餐；早餐参数",IF(C815=DATE(2026,11,30),"培训；注册午餐",IF(C815=DATE(2026,12,1),"培训；注册午餐；机构晚餐",IF(C815=Options!$B$9,"抵达；"&amp;IF(C815=DATE(2026,11,28),"机构晚餐","无统一供餐"),IF(C815=Options!$B$10,"返程；"&amp;IF(C815=DATE(2026,12,2),"机构午餐","无统一供餐"),"差旅状态；无统一日程"))))))</f>
        <v/>
      </c>
      <c r="E815" s="13">
        <f>IF(C815=Options!$B$9,Options!$C$16,0)</f>
        <v/>
      </c>
      <c r="F815" s="13">
        <f>IF(AND(A815&lt;&gt;"",C815&lt;Options!$B$10),B815*Options!$X$6,0)</f>
        <v/>
      </c>
      <c r="G815" s="13">
        <f>F815*12%</f>
        <v/>
      </c>
      <c r="H815" s="13">
        <f>IF(A815="",0,B815*(92*IF(OR(C815=Options!$B$9,C815=Options!$B$10),75%,100%)-IF(C815=DATE(2026,11,29),26+IF(Options!$B$8="是",23,0),0)-IF(C815=DATE(2026,11,30),26,0)-IF(C815=DATE(2026,12,1),64,0)-IF(C815=DATE(2026,11,28),38,0)-IF(C815=DATE(2026,12,2),26,0)))</f>
        <v/>
      </c>
      <c r="I815" s="13">
        <f>IF(AND(C815&gt;=DATE(2026,11,29),C815&lt;=DATE(2026,12,1)),B815*60,0)</f>
        <v/>
      </c>
      <c r="J815" s="13">
        <f>IF(A815="",0,B815*(IF(C815=DATE(2026,11,28),38,0)+IF(C815=DATE(2026,12,1),38,0)+IF(C815=DATE(2026,12,2),26,0)))</f>
        <v/>
      </c>
      <c r="K815" s="13">
        <f>IF(C815=Options!$B$9,B815*12,0)</f>
        <v/>
      </c>
      <c r="L815" s="13">
        <f>IF(C815=Options!$B$9,B815*Options!$Z$6,0)</f>
        <v/>
      </c>
      <c r="M815" s="13" t="n">
        <v>0</v>
      </c>
      <c r="N815" s="13">
        <f>SUM(E815:M815)</f>
        <v/>
      </c>
    </row>
    <row r="816">
      <c r="A816" s="5">
        <f>IF(AND(C816&gt;=Options!$B$9,C816&lt;=Options!$B$10),"Denver","")</f>
        <v/>
      </c>
      <c r="B816" s="5">
        <f>IF(A816="","",18)</f>
        <v/>
      </c>
      <c r="C816" s="17" t="n">
        <v>46377</v>
      </c>
      <c r="D816" s="5">
        <f>IF(A816="","",IF(C816=DATE(2026,11,29),"培训；注册午餐；早餐参数",IF(C816=DATE(2026,11,30),"培训；注册午餐",IF(C816=DATE(2026,12,1),"培训；注册午餐；机构晚餐",IF(C816=Options!$B$9,"抵达；"&amp;IF(C816=DATE(2026,11,28),"机构晚餐","无统一供餐"),IF(C816=Options!$B$10,"返程；"&amp;IF(C816=DATE(2026,12,2),"机构午餐","无统一供餐"),"差旅状态；无统一日程"))))))</f>
        <v/>
      </c>
      <c r="E816" s="13">
        <f>IF(C816=Options!$B$9,Options!$C$16,0)</f>
        <v/>
      </c>
      <c r="F816" s="13">
        <f>IF(AND(A816&lt;&gt;"",C816&lt;Options!$B$10),B816*Options!$X$6,0)</f>
        <v/>
      </c>
      <c r="G816" s="13">
        <f>F816*12%</f>
        <v/>
      </c>
      <c r="H816" s="13">
        <f>IF(A816="",0,B816*(92*IF(OR(C816=Options!$B$9,C816=Options!$B$10),75%,100%)-IF(C816=DATE(2026,11,29),26+IF(Options!$B$8="是",23,0),0)-IF(C816=DATE(2026,11,30),26,0)-IF(C816=DATE(2026,12,1),64,0)-IF(C816=DATE(2026,11,28),38,0)-IF(C816=DATE(2026,12,2),26,0)))</f>
        <v/>
      </c>
      <c r="I816" s="13">
        <f>IF(AND(C816&gt;=DATE(2026,11,29),C816&lt;=DATE(2026,12,1)),B816*60,0)</f>
        <v/>
      </c>
      <c r="J816" s="13">
        <f>IF(A816="",0,B816*(IF(C816=DATE(2026,11,28),38,0)+IF(C816=DATE(2026,12,1),38,0)+IF(C816=DATE(2026,12,2),26,0)))</f>
        <v/>
      </c>
      <c r="K816" s="13">
        <f>IF(C816=Options!$B$9,B816*12,0)</f>
        <v/>
      </c>
      <c r="L816" s="13">
        <f>IF(C816=Options!$B$9,B816*Options!$Z$6,0)</f>
        <v/>
      </c>
      <c r="M816" s="13" t="n">
        <v>0</v>
      </c>
      <c r="N816" s="13">
        <f>SUM(E816:M816)</f>
        <v/>
      </c>
    </row>
    <row r="817">
      <c r="A817" s="5">
        <f>IF(AND(C817&gt;=Options!$B$9,C817&lt;=Options!$B$10),"Denver","")</f>
        <v/>
      </c>
      <c r="B817" s="5">
        <f>IF(A817="","",18)</f>
        <v/>
      </c>
      <c r="C817" s="17" t="n">
        <v>46378</v>
      </c>
      <c r="D817" s="5">
        <f>IF(A817="","",IF(C817=DATE(2026,11,29),"培训；注册午餐；早餐参数",IF(C817=DATE(2026,11,30),"培训；注册午餐",IF(C817=DATE(2026,12,1),"培训；注册午餐；机构晚餐",IF(C817=Options!$B$9,"抵达；"&amp;IF(C817=DATE(2026,11,28),"机构晚餐","无统一供餐"),IF(C817=Options!$B$10,"返程；"&amp;IF(C817=DATE(2026,12,2),"机构午餐","无统一供餐"),"差旅状态；无统一日程"))))))</f>
        <v/>
      </c>
      <c r="E817" s="13">
        <f>IF(C817=Options!$B$9,Options!$C$16,0)</f>
        <v/>
      </c>
      <c r="F817" s="13">
        <f>IF(AND(A817&lt;&gt;"",C817&lt;Options!$B$10),B817*Options!$X$6,0)</f>
        <v/>
      </c>
      <c r="G817" s="13">
        <f>F817*12%</f>
        <v/>
      </c>
      <c r="H817" s="13">
        <f>IF(A817="",0,B817*(92*IF(OR(C817=Options!$B$9,C817=Options!$B$10),75%,100%)-IF(C817=DATE(2026,11,29),26+IF(Options!$B$8="是",23,0),0)-IF(C817=DATE(2026,11,30),26,0)-IF(C817=DATE(2026,12,1),64,0)-IF(C817=DATE(2026,11,28),38,0)-IF(C817=DATE(2026,12,2),26,0)))</f>
        <v/>
      </c>
      <c r="I817" s="13">
        <f>IF(AND(C817&gt;=DATE(2026,11,29),C817&lt;=DATE(2026,12,1)),B817*60,0)</f>
        <v/>
      </c>
      <c r="J817" s="13">
        <f>IF(A817="",0,B817*(IF(C817=DATE(2026,11,28),38,0)+IF(C817=DATE(2026,12,1),38,0)+IF(C817=DATE(2026,12,2),26,0)))</f>
        <v/>
      </c>
      <c r="K817" s="13">
        <f>IF(C817=Options!$B$9,B817*12,0)</f>
        <v/>
      </c>
      <c r="L817" s="13">
        <f>IF(C817=Options!$B$9,B817*Options!$Z$6,0)</f>
        <v/>
      </c>
      <c r="M817" s="13" t="n">
        <v>0</v>
      </c>
      <c r="N817" s="13">
        <f>SUM(E817:M817)</f>
        <v/>
      </c>
    </row>
    <row r="818">
      <c r="A818" s="5">
        <f>IF(AND(C818&gt;=Options!$B$9,C818&lt;=Options!$B$10),"Denver","")</f>
        <v/>
      </c>
      <c r="B818" s="5">
        <f>IF(A818="","",18)</f>
        <v/>
      </c>
      <c r="C818" s="17" t="n">
        <v>46379</v>
      </c>
      <c r="D818" s="5">
        <f>IF(A818="","",IF(C818=DATE(2026,11,29),"培训；注册午餐；早餐参数",IF(C818=DATE(2026,11,30),"培训；注册午餐",IF(C818=DATE(2026,12,1),"培训；注册午餐；机构晚餐",IF(C818=Options!$B$9,"抵达；"&amp;IF(C818=DATE(2026,11,28),"机构晚餐","无统一供餐"),IF(C818=Options!$B$10,"返程；"&amp;IF(C818=DATE(2026,12,2),"机构午餐","无统一供餐"),"差旅状态；无统一日程"))))))</f>
        <v/>
      </c>
      <c r="E818" s="13">
        <f>IF(C818=Options!$B$9,Options!$C$16,0)</f>
        <v/>
      </c>
      <c r="F818" s="13">
        <f>IF(AND(A818&lt;&gt;"",C818&lt;Options!$B$10),B818*Options!$X$6,0)</f>
        <v/>
      </c>
      <c r="G818" s="13">
        <f>F818*12%</f>
        <v/>
      </c>
      <c r="H818" s="13">
        <f>IF(A818="",0,B818*(92*IF(OR(C818=Options!$B$9,C818=Options!$B$10),75%,100%)-IF(C818=DATE(2026,11,29),26+IF(Options!$B$8="是",23,0),0)-IF(C818=DATE(2026,11,30),26,0)-IF(C818=DATE(2026,12,1),64,0)-IF(C818=DATE(2026,11,28),38,0)-IF(C818=DATE(2026,12,2),26,0)))</f>
        <v/>
      </c>
      <c r="I818" s="13">
        <f>IF(AND(C818&gt;=DATE(2026,11,29),C818&lt;=DATE(2026,12,1)),B818*60,0)</f>
        <v/>
      </c>
      <c r="J818" s="13">
        <f>IF(A818="",0,B818*(IF(C818=DATE(2026,11,28),38,0)+IF(C818=DATE(2026,12,1),38,0)+IF(C818=DATE(2026,12,2),26,0)))</f>
        <v/>
      </c>
      <c r="K818" s="13">
        <f>IF(C818=Options!$B$9,B818*12,0)</f>
        <v/>
      </c>
      <c r="L818" s="13">
        <f>IF(C818=Options!$B$9,B818*Options!$Z$6,0)</f>
        <v/>
      </c>
      <c r="M818" s="13" t="n">
        <v>0</v>
      </c>
      <c r="N818" s="13">
        <f>SUM(E818:M818)</f>
        <v/>
      </c>
    </row>
    <row r="819">
      <c r="A819" s="5">
        <f>IF(AND(C819&gt;=Options!$B$9,C819&lt;=Options!$B$10),"Denver","")</f>
        <v/>
      </c>
      <c r="B819" s="5">
        <f>IF(A819="","",18)</f>
        <v/>
      </c>
      <c r="C819" s="17" t="n">
        <v>46380</v>
      </c>
      <c r="D819" s="5">
        <f>IF(A819="","",IF(C819=DATE(2026,11,29),"培训；注册午餐；早餐参数",IF(C819=DATE(2026,11,30),"培训；注册午餐",IF(C819=DATE(2026,12,1),"培训；注册午餐；机构晚餐",IF(C819=Options!$B$9,"抵达；"&amp;IF(C819=DATE(2026,11,28),"机构晚餐","无统一供餐"),IF(C819=Options!$B$10,"返程；"&amp;IF(C819=DATE(2026,12,2),"机构午餐","无统一供餐"),"差旅状态；无统一日程"))))))</f>
        <v/>
      </c>
      <c r="E819" s="13">
        <f>IF(C819=Options!$B$9,Options!$C$16,0)</f>
        <v/>
      </c>
      <c r="F819" s="13">
        <f>IF(AND(A819&lt;&gt;"",C819&lt;Options!$B$10),B819*Options!$X$6,0)</f>
        <v/>
      </c>
      <c r="G819" s="13">
        <f>F819*12%</f>
        <v/>
      </c>
      <c r="H819" s="13">
        <f>IF(A819="",0,B819*(92*IF(OR(C819=Options!$B$9,C819=Options!$B$10),75%,100%)-IF(C819=DATE(2026,11,29),26+IF(Options!$B$8="是",23,0),0)-IF(C819=DATE(2026,11,30),26,0)-IF(C819=DATE(2026,12,1),64,0)-IF(C819=DATE(2026,11,28),38,0)-IF(C819=DATE(2026,12,2),26,0)))</f>
        <v/>
      </c>
      <c r="I819" s="13">
        <f>IF(AND(C819&gt;=DATE(2026,11,29),C819&lt;=DATE(2026,12,1)),B819*60,0)</f>
        <v/>
      </c>
      <c r="J819" s="13">
        <f>IF(A819="",0,B819*(IF(C819=DATE(2026,11,28),38,0)+IF(C819=DATE(2026,12,1),38,0)+IF(C819=DATE(2026,12,2),26,0)))</f>
        <v/>
      </c>
      <c r="K819" s="13">
        <f>IF(C819=Options!$B$9,B819*12,0)</f>
        <v/>
      </c>
      <c r="L819" s="13">
        <f>IF(C819=Options!$B$9,B819*Options!$Z$6,0)</f>
        <v/>
      </c>
      <c r="M819" s="13" t="n">
        <v>0</v>
      </c>
      <c r="N819" s="13">
        <f>SUM(E819:M819)</f>
        <v/>
      </c>
    </row>
    <row r="820">
      <c r="A820" s="5">
        <f>IF(AND(C820&gt;=Options!$B$9,C820&lt;=Options!$B$10),"Denver","")</f>
        <v/>
      </c>
      <c r="B820" s="5">
        <f>IF(A820="","",18)</f>
        <v/>
      </c>
      <c r="C820" s="17" t="n">
        <v>46381</v>
      </c>
      <c r="D820" s="5">
        <f>IF(A820="","",IF(C820=DATE(2026,11,29),"培训；注册午餐；早餐参数",IF(C820=DATE(2026,11,30),"培训；注册午餐",IF(C820=DATE(2026,12,1),"培训；注册午餐；机构晚餐",IF(C820=Options!$B$9,"抵达；"&amp;IF(C820=DATE(2026,11,28),"机构晚餐","无统一供餐"),IF(C820=Options!$B$10,"返程；"&amp;IF(C820=DATE(2026,12,2),"机构午餐","无统一供餐"),"差旅状态；无统一日程"))))))</f>
        <v/>
      </c>
      <c r="E820" s="13">
        <f>IF(C820=Options!$B$9,Options!$C$16,0)</f>
        <v/>
      </c>
      <c r="F820" s="13">
        <f>IF(AND(A820&lt;&gt;"",C820&lt;Options!$B$10),B820*Options!$X$6,0)</f>
        <v/>
      </c>
      <c r="G820" s="13">
        <f>F820*12%</f>
        <v/>
      </c>
      <c r="H820" s="13">
        <f>IF(A820="",0,B820*(92*IF(OR(C820=Options!$B$9,C820=Options!$B$10),75%,100%)-IF(C820=DATE(2026,11,29),26+IF(Options!$B$8="是",23,0),0)-IF(C820=DATE(2026,11,30),26,0)-IF(C820=DATE(2026,12,1),64,0)-IF(C820=DATE(2026,11,28),38,0)-IF(C820=DATE(2026,12,2),26,0)))</f>
        <v/>
      </c>
      <c r="I820" s="13">
        <f>IF(AND(C820&gt;=DATE(2026,11,29),C820&lt;=DATE(2026,12,1)),B820*60,0)</f>
        <v/>
      </c>
      <c r="J820" s="13">
        <f>IF(A820="",0,B820*(IF(C820=DATE(2026,11,28),38,0)+IF(C820=DATE(2026,12,1),38,0)+IF(C820=DATE(2026,12,2),26,0)))</f>
        <v/>
      </c>
      <c r="K820" s="13">
        <f>IF(C820=Options!$B$9,B820*12,0)</f>
        <v/>
      </c>
      <c r="L820" s="13">
        <f>IF(C820=Options!$B$9,B820*Options!$Z$6,0)</f>
        <v/>
      </c>
      <c r="M820" s="13" t="n">
        <v>0</v>
      </c>
      <c r="N820" s="13">
        <f>SUM(E820:M820)</f>
        <v/>
      </c>
    </row>
    <row r="821">
      <c r="A821" s="5">
        <f>IF(AND(C821&gt;=Options!$B$9,C821&lt;=Options!$B$10),"Denver","")</f>
        <v/>
      </c>
      <c r="B821" s="5">
        <f>IF(A821="","",18)</f>
        <v/>
      </c>
      <c r="C821" s="17" t="n">
        <v>46382</v>
      </c>
      <c r="D821" s="5">
        <f>IF(A821="","",IF(C821=DATE(2026,11,29),"培训；注册午餐；早餐参数",IF(C821=DATE(2026,11,30),"培训；注册午餐",IF(C821=DATE(2026,12,1),"培训；注册午餐；机构晚餐",IF(C821=Options!$B$9,"抵达；"&amp;IF(C821=DATE(2026,11,28),"机构晚餐","无统一供餐"),IF(C821=Options!$B$10,"返程；"&amp;IF(C821=DATE(2026,12,2),"机构午餐","无统一供餐"),"差旅状态；无统一日程"))))))</f>
        <v/>
      </c>
      <c r="E821" s="13">
        <f>IF(C821=Options!$B$9,Options!$C$16,0)</f>
        <v/>
      </c>
      <c r="F821" s="13">
        <f>IF(AND(A821&lt;&gt;"",C821&lt;Options!$B$10),B821*Options!$X$6,0)</f>
        <v/>
      </c>
      <c r="G821" s="13">
        <f>F821*12%</f>
        <v/>
      </c>
      <c r="H821" s="13">
        <f>IF(A821="",0,B821*(92*IF(OR(C821=Options!$B$9,C821=Options!$B$10),75%,100%)-IF(C821=DATE(2026,11,29),26+IF(Options!$B$8="是",23,0),0)-IF(C821=DATE(2026,11,30),26,0)-IF(C821=DATE(2026,12,1),64,0)-IF(C821=DATE(2026,11,28),38,0)-IF(C821=DATE(2026,12,2),26,0)))</f>
        <v/>
      </c>
      <c r="I821" s="13">
        <f>IF(AND(C821&gt;=DATE(2026,11,29),C821&lt;=DATE(2026,12,1)),B821*60,0)</f>
        <v/>
      </c>
      <c r="J821" s="13">
        <f>IF(A821="",0,B821*(IF(C821=DATE(2026,11,28),38,0)+IF(C821=DATE(2026,12,1),38,0)+IF(C821=DATE(2026,12,2),26,0)))</f>
        <v/>
      </c>
      <c r="K821" s="13">
        <f>IF(C821=Options!$B$9,B821*12,0)</f>
        <v/>
      </c>
      <c r="L821" s="13">
        <f>IF(C821=Options!$B$9,B821*Options!$Z$6,0)</f>
        <v/>
      </c>
      <c r="M821" s="13" t="n">
        <v>0</v>
      </c>
      <c r="N821" s="13">
        <f>SUM(E821:M821)</f>
        <v/>
      </c>
    </row>
    <row r="822">
      <c r="A822" s="5">
        <f>IF(AND(C822&gt;=Options!$B$9,C822&lt;=Options!$B$10),"Denver","")</f>
        <v/>
      </c>
      <c r="B822" s="5">
        <f>IF(A822="","",18)</f>
        <v/>
      </c>
      <c r="C822" s="17" t="n">
        <v>46383</v>
      </c>
      <c r="D822" s="5">
        <f>IF(A822="","",IF(C822=DATE(2026,11,29),"培训；注册午餐；早餐参数",IF(C822=DATE(2026,11,30),"培训；注册午餐",IF(C822=DATE(2026,12,1),"培训；注册午餐；机构晚餐",IF(C822=Options!$B$9,"抵达；"&amp;IF(C822=DATE(2026,11,28),"机构晚餐","无统一供餐"),IF(C822=Options!$B$10,"返程；"&amp;IF(C822=DATE(2026,12,2),"机构午餐","无统一供餐"),"差旅状态；无统一日程"))))))</f>
        <v/>
      </c>
      <c r="E822" s="13">
        <f>IF(C822=Options!$B$9,Options!$C$16,0)</f>
        <v/>
      </c>
      <c r="F822" s="13">
        <f>IF(AND(A822&lt;&gt;"",C822&lt;Options!$B$10),B822*Options!$X$6,0)</f>
        <v/>
      </c>
      <c r="G822" s="13">
        <f>F822*12%</f>
        <v/>
      </c>
      <c r="H822" s="13">
        <f>IF(A822="",0,B822*(92*IF(OR(C822=Options!$B$9,C822=Options!$B$10),75%,100%)-IF(C822=DATE(2026,11,29),26+IF(Options!$B$8="是",23,0),0)-IF(C822=DATE(2026,11,30),26,0)-IF(C822=DATE(2026,12,1),64,0)-IF(C822=DATE(2026,11,28),38,0)-IF(C822=DATE(2026,12,2),26,0)))</f>
        <v/>
      </c>
      <c r="I822" s="13">
        <f>IF(AND(C822&gt;=DATE(2026,11,29),C822&lt;=DATE(2026,12,1)),B822*60,0)</f>
        <v/>
      </c>
      <c r="J822" s="13">
        <f>IF(A822="",0,B822*(IF(C822=DATE(2026,11,28),38,0)+IF(C822=DATE(2026,12,1),38,0)+IF(C822=DATE(2026,12,2),26,0)))</f>
        <v/>
      </c>
      <c r="K822" s="13">
        <f>IF(C822=Options!$B$9,B822*12,0)</f>
        <v/>
      </c>
      <c r="L822" s="13">
        <f>IF(C822=Options!$B$9,B822*Options!$Z$6,0)</f>
        <v/>
      </c>
      <c r="M822" s="13" t="n">
        <v>0</v>
      </c>
      <c r="N822" s="13">
        <f>SUM(E822:M822)</f>
        <v/>
      </c>
    </row>
    <row r="823">
      <c r="A823" s="5">
        <f>IF(AND(C823&gt;=Options!$B$9,C823&lt;=Options!$B$10),"Denver","")</f>
        <v/>
      </c>
      <c r="B823" s="5">
        <f>IF(A823="","",18)</f>
        <v/>
      </c>
      <c r="C823" s="17" t="n">
        <v>46384</v>
      </c>
      <c r="D823" s="5">
        <f>IF(A823="","",IF(C823=DATE(2026,11,29),"培训；注册午餐；早餐参数",IF(C823=DATE(2026,11,30),"培训；注册午餐",IF(C823=DATE(2026,12,1),"培训；注册午餐；机构晚餐",IF(C823=Options!$B$9,"抵达；"&amp;IF(C823=DATE(2026,11,28),"机构晚餐","无统一供餐"),IF(C823=Options!$B$10,"返程；"&amp;IF(C823=DATE(2026,12,2),"机构午餐","无统一供餐"),"差旅状态；无统一日程"))))))</f>
        <v/>
      </c>
      <c r="E823" s="13">
        <f>IF(C823=Options!$B$9,Options!$C$16,0)</f>
        <v/>
      </c>
      <c r="F823" s="13">
        <f>IF(AND(A823&lt;&gt;"",C823&lt;Options!$B$10),B823*Options!$X$6,0)</f>
        <v/>
      </c>
      <c r="G823" s="13">
        <f>F823*12%</f>
        <v/>
      </c>
      <c r="H823" s="13">
        <f>IF(A823="",0,B823*(92*IF(OR(C823=Options!$B$9,C823=Options!$B$10),75%,100%)-IF(C823=DATE(2026,11,29),26+IF(Options!$B$8="是",23,0),0)-IF(C823=DATE(2026,11,30),26,0)-IF(C823=DATE(2026,12,1),64,0)-IF(C823=DATE(2026,11,28),38,0)-IF(C823=DATE(2026,12,2),26,0)))</f>
        <v/>
      </c>
      <c r="I823" s="13">
        <f>IF(AND(C823&gt;=DATE(2026,11,29),C823&lt;=DATE(2026,12,1)),B823*60,0)</f>
        <v/>
      </c>
      <c r="J823" s="13">
        <f>IF(A823="",0,B823*(IF(C823=DATE(2026,11,28),38,0)+IF(C823=DATE(2026,12,1),38,0)+IF(C823=DATE(2026,12,2),26,0)))</f>
        <v/>
      </c>
      <c r="K823" s="13">
        <f>IF(C823=Options!$B$9,B823*12,0)</f>
        <v/>
      </c>
      <c r="L823" s="13">
        <f>IF(C823=Options!$B$9,B823*Options!$Z$6,0)</f>
        <v/>
      </c>
      <c r="M823" s="13" t="n">
        <v>0</v>
      </c>
      <c r="N823" s="13">
        <f>SUM(E823:M823)</f>
        <v/>
      </c>
    </row>
    <row r="824">
      <c r="A824" s="5">
        <f>IF(AND(C824&gt;=Options!$B$9,C824&lt;=Options!$B$10),"Denver","")</f>
        <v/>
      </c>
      <c r="B824" s="5">
        <f>IF(A824="","",18)</f>
        <v/>
      </c>
      <c r="C824" s="17" t="n">
        <v>46385</v>
      </c>
      <c r="D824" s="5">
        <f>IF(A824="","",IF(C824=DATE(2026,11,29),"培训；注册午餐；早餐参数",IF(C824=DATE(2026,11,30),"培训；注册午餐",IF(C824=DATE(2026,12,1),"培训；注册午餐；机构晚餐",IF(C824=Options!$B$9,"抵达；"&amp;IF(C824=DATE(2026,11,28),"机构晚餐","无统一供餐"),IF(C824=Options!$B$10,"返程；"&amp;IF(C824=DATE(2026,12,2),"机构午餐","无统一供餐"),"差旅状态；无统一日程"))))))</f>
        <v/>
      </c>
      <c r="E824" s="13">
        <f>IF(C824=Options!$B$9,Options!$C$16,0)</f>
        <v/>
      </c>
      <c r="F824" s="13">
        <f>IF(AND(A824&lt;&gt;"",C824&lt;Options!$B$10),B824*Options!$X$6,0)</f>
        <v/>
      </c>
      <c r="G824" s="13">
        <f>F824*12%</f>
        <v/>
      </c>
      <c r="H824" s="13">
        <f>IF(A824="",0,B824*(92*IF(OR(C824=Options!$B$9,C824=Options!$B$10),75%,100%)-IF(C824=DATE(2026,11,29),26+IF(Options!$B$8="是",23,0),0)-IF(C824=DATE(2026,11,30),26,0)-IF(C824=DATE(2026,12,1),64,0)-IF(C824=DATE(2026,11,28),38,0)-IF(C824=DATE(2026,12,2),26,0)))</f>
        <v/>
      </c>
      <c r="I824" s="13">
        <f>IF(AND(C824&gt;=DATE(2026,11,29),C824&lt;=DATE(2026,12,1)),B824*60,0)</f>
        <v/>
      </c>
      <c r="J824" s="13">
        <f>IF(A824="",0,B824*(IF(C824=DATE(2026,11,28),38,0)+IF(C824=DATE(2026,12,1),38,0)+IF(C824=DATE(2026,12,2),26,0)))</f>
        <v/>
      </c>
      <c r="K824" s="13">
        <f>IF(C824=Options!$B$9,B824*12,0)</f>
        <v/>
      </c>
      <c r="L824" s="13">
        <f>IF(C824=Options!$B$9,B824*Options!$Z$6,0)</f>
        <v/>
      </c>
      <c r="M824" s="13" t="n">
        <v>0</v>
      </c>
      <c r="N824" s="13">
        <f>SUM(E824:M824)</f>
        <v/>
      </c>
    </row>
    <row r="825">
      <c r="A825" s="5">
        <f>IF(AND(C825&gt;=Options!$B$9,C825&lt;=Options!$B$10),"Denver","")</f>
        <v/>
      </c>
      <c r="B825" s="5">
        <f>IF(A825="","",18)</f>
        <v/>
      </c>
      <c r="C825" s="17" t="n">
        <v>46386</v>
      </c>
      <c r="D825" s="5">
        <f>IF(A825="","",IF(C825=DATE(2026,11,29),"培训；注册午餐；早餐参数",IF(C825=DATE(2026,11,30),"培训；注册午餐",IF(C825=DATE(2026,12,1),"培训；注册午餐；机构晚餐",IF(C825=Options!$B$9,"抵达；"&amp;IF(C825=DATE(2026,11,28),"机构晚餐","无统一供餐"),IF(C825=Options!$B$10,"返程；"&amp;IF(C825=DATE(2026,12,2),"机构午餐","无统一供餐"),"差旅状态；无统一日程"))))))</f>
        <v/>
      </c>
      <c r="E825" s="13">
        <f>IF(C825=Options!$B$9,Options!$C$16,0)</f>
        <v/>
      </c>
      <c r="F825" s="13">
        <f>IF(AND(A825&lt;&gt;"",C825&lt;Options!$B$10),B825*Options!$X$6,0)</f>
        <v/>
      </c>
      <c r="G825" s="13">
        <f>F825*12%</f>
        <v/>
      </c>
      <c r="H825" s="13">
        <f>IF(A825="",0,B825*(92*IF(OR(C825=Options!$B$9,C825=Options!$B$10),75%,100%)-IF(C825=DATE(2026,11,29),26+IF(Options!$B$8="是",23,0),0)-IF(C825=DATE(2026,11,30),26,0)-IF(C825=DATE(2026,12,1),64,0)-IF(C825=DATE(2026,11,28),38,0)-IF(C825=DATE(2026,12,2),26,0)))</f>
        <v/>
      </c>
      <c r="I825" s="13">
        <f>IF(AND(C825&gt;=DATE(2026,11,29),C825&lt;=DATE(2026,12,1)),B825*60,0)</f>
        <v/>
      </c>
      <c r="J825" s="13">
        <f>IF(A825="",0,B825*(IF(C825=DATE(2026,11,28),38,0)+IF(C825=DATE(2026,12,1),38,0)+IF(C825=DATE(2026,12,2),26,0)))</f>
        <v/>
      </c>
      <c r="K825" s="13">
        <f>IF(C825=Options!$B$9,B825*12,0)</f>
        <v/>
      </c>
      <c r="L825" s="13">
        <f>IF(C825=Options!$B$9,B825*Options!$Z$6,0)</f>
        <v/>
      </c>
      <c r="M825" s="13" t="n">
        <v>0</v>
      </c>
      <c r="N825" s="13">
        <f>SUM(E825:M825)</f>
        <v/>
      </c>
    </row>
    <row r="826">
      <c r="A826" s="5">
        <f>IF(AND(C826&gt;=Options!$B$9,C826&lt;=Options!$B$10),"Denver","")</f>
        <v/>
      </c>
      <c r="B826" s="5">
        <f>IF(A826="","",18)</f>
        <v/>
      </c>
      <c r="C826" s="17" t="n">
        <v>46387</v>
      </c>
      <c r="D826" s="5">
        <f>IF(A826="","",IF(C826=DATE(2026,11,29),"培训；注册午餐；早餐参数",IF(C826=DATE(2026,11,30),"培训；注册午餐",IF(C826=DATE(2026,12,1),"培训；注册午餐；机构晚餐",IF(C826=Options!$B$9,"抵达；"&amp;IF(C826=DATE(2026,11,28),"机构晚餐","无统一供餐"),IF(C826=Options!$B$10,"返程；"&amp;IF(C826=DATE(2026,12,2),"机构午餐","无统一供餐"),"差旅状态；无统一日程"))))))</f>
        <v/>
      </c>
      <c r="E826" s="13">
        <f>IF(C826=Options!$B$9,Options!$C$16,0)</f>
        <v/>
      </c>
      <c r="F826" s="13">
        <f>IF(AND(A826&lt;&gt;"",C826&lt;Options!$B$10),B826*Options!$X$6,0)</f>
        <v/>
      </c>
      <c r="G826" s="13">
        <f>F826*12%</f>
        <v/>
      </c>
      <c r="H826" s="13">
        <f>IF(A826="",0,B826*(92*IF(OR(C826=Options!$B$9,C826=Options!$B$10),75%,100%)-IF(C826=DATE(2026,11,29),26+IF(Options!$B$8="是",23,0),0)-IF(C826=DATE(2026,11,30),26,0)-IF(C826=DATE(2026,12,1),64,0)-IF(C826=DATE(2026,11,28),38,0)-IF(C826=DATE(2026,12,2),26,0)))</f>
        <v/>
      </c>
      <c r="I826" s="13">
        <f>IF(AND(C826&gt;=DATE(2026,11,29),C826&lt;=DATE(2026,12,1)),B826*60,0)</f>
        <v/>
      </c>
      <c r="J826" s="13">
        <f>IF(A826="",0,B826*(IF(C826=DATE(2026,11,28),38,0)+IF(C826=DATE(2026,12,1),38,0)+IF(C826=DATE(2026,12,2),26,0)))</f>
        <v/>
      </c>
      <c r="K826" s="13">
        <f>IF(C826=Options!$B$9,B826*12,0)</f>
        <v/>
      </c>
      <c r="L826" s="13">
        <f>IF(C826=Options!$B$9,B826*Options!$Z$6,0)</f>
        <v/>
      </c>
      <c r="M826" s="13" t="n">
        <v>0</v>
      </c>
      <c r="N826" s="13">
        <f>SUM(E826:M826)</f>
        <v/>
      </c>
    </row>
    <row r="827">
      <c r="A827" s="5">
        <f>IF(AND(C827&gt;=Options!$B$9,C827&lt;=Options!$B$10),"Denver","")</f>
        <v/>
      </c>
      <c r="B827" s="5">
        <f>IF(A827="","",18)</f>
        <v/>
      </c>
      <c r="C827" s="17" t="n">
        <v>46388</v>
      </c>
      <c r="D827" s="5">
        <f>IF(A827="","",IF(C827=DATE(2026,11,29),"培训；注册午餐；早餐参数",IF(C827=DATE(2026,11,30),"培训；注册午餐",IF(C827=DATE(2026,12,1),"培训；注册午餐；机构晚餐",IF(C827=Options!$B$9,"抵达；"&amp;IF(C827=DATE(2026,11,28),"机构晚餐","无统一供餐"),IF(C827=Options!$B$10,"返程；"&amp;IF(C827=DATE(2026,12,2),"机构午餐","无统一供餐"),"差旅状态；无统一日程"))))))</f>
        <v/>
      </c>
      <c r="E827" s="13">
        <f>IF(C827=Options!$B$9,Options!$C$16,0)</f>
        <v/>
      </c>
      <c r="F827" s="13">
        <f>IF(AND(A827&lt;&gt;"",C827&lt;Options!$B$10),B827*Options!$X$6,0)</f>
        <v/>
      </c>
      <c r="G827" s="13">
        <f>F827*12%</f>
        <v/>
      </c>
      <c r="H827" s="13">
        <f>IF(A827="",0,B827*(92*IF(OR(C827=Options!$B$9,C827=Options!$B$10),75%,100%)-IF(C827=DATE(2026,11,29),26+IF(Options!$B$8="是",23,0),0)-IF(C827=DATE(2026,11,30),26,0)-IF(C827=DATE(2026,12,1),64,0)-IF(C827=DATE(2026,11,28),38,0)-IF(C827=DATE(2026,12,2),26,0)))</f>
        <v/>
      </c>
      <c r="I827" s="13">
        <f>IF(AND(C827&gt;=DATE(2026,11,29),C827&lt;=DATE(2026,12,1)),B827*60,0)</f>
        <v/>
      </c>
      <c r="J827" s="13">
        <f>IF(A827="",0,B827*(IF(C827=DATE(2026,11,28),38,0)+IF(C827=DATE(2026,12,1),38,0)+IF(C827=DATE(2026,12,2),26,0)))</f>
        <v/>
      </c>
      <c r="K827" s="13">
        <f>IF(C827=Options!$B$9,B827*12,0)</f>
        <v/>
      </c>
      <c r="L827" s="13">
        <f>IF(C827=Options!$B$9,B827*Options!$Z$6,0)</f>
        <v/>
      </c>
      <c r="M827" s="13" t="n">
        <v>0</v>
      </c>
      <c r="N827" s="13">
        <f>SUM(E827:M827)</f>
        <v/>
      </c>
    </row>
    <row r="828">
      <c r="A828" s="5">
        <f>IF(AND(C828&gt;=Options!$B$9,C828&lt;=Options!$B$10),"Denver","")</f>
        <v/>
      </c>
      <c r="B828" s="5">
        <f>IF(A828="","",18)</f>
        <v/>
      </c>
      <c r="C828" s="17" t="n">
        <v>46389</v>
      </c>
      <c r="D828" s="5">
        <f>IF(A828="","",IF(C828=DATE(2026,11,29),"培训；注册午餐；早餐参数",IF(C828=DATE(2026,11,30),"培训；注册午餐",IF(C828=DATE(2026,12,1),"培训；注册午餐；机构晚餐",IF(C828=Options!$B$9,"抵达；"&amp;IF(C828=DATE(2026,11,28),"机构晚餐","无统一供餐"),IF(C828=Options!$B$10,"返程；"&amp;IF(C828=DATE(2026,12,2),"机构午餐","无统一供餐"),"差旅状态；无统一日程"))))))</f>
        <v/>
      </c>
      <c r="E828" s="13">
        <f>IF(C828=Options!$B$9,Options!$C$16,0)</f>
        <v/>
      </c>
      <c r="F828" s="13">
        <f>IF(AND(A828&lt;&gt;"",C828&lt;Options!$B$10),B828*Options!$X$6,0)</f>
        <v/>
      </c>
      <c r="G828" s="13">
        <f>F828*12%</f>
        <v/>
      </c>
      <c r="H828" s="13">
        <f>IF(A828="",0,B828*(92*IF(OR(C828=Options!$B$9,C828=Options!$B$10),75%,100%)-IF(C828=DATE(2026,11,29),26+IF(Options!$B$8="是",23,0),0)-IF(C828=DATE(2026,11,30),26,0)-IF(C828=DATE(2026,12,1),64,0)-IF(C828=DATE(2026,11,28),38,0)-IF(C828=DATE(2026,12,2),26,0)))</f>
        <v/>
      </c>
      <c r="I828" s="13">
        <f>IF(AND(C828&gt;=DATE(2026,11,29),C828&lt;=DATE(2026,12,1)),B828*60,0)</f>
        <v/>
      </c>
      <c r="J828" s="13">
        <f>IF(A828="",0,B828*(IF(C828=DATE(2026,11,28),38,0)+IF(C828=DATE(2026,12,1),38,0)+IF(C828=DATE(2026,12,2),26,0)))</f>
        <v/>
      </c>
      <c r="K828" s="13">
        <f>IF(C828=Options!$B$9,B828*12,0)</f>
        <v/>
      </c>
      <c r="L828" s="13">
        <f>IF(C828=Options!$B$9,B828*Options!$Z$6,0)</f>
        <v/>
      </c>
      <c r="M828" s="13" t="n">
        <v>0</v>
      </c>
      <c r="N828" s="13">
        <f>SUM(E828:M828)</f>
        <v/>
      </c>
    </row>
    <row r="829">
      <c r="A829" s="5">
        <f>IF(AND(C829&gt;=Options!$B$9,C829&lt;=Options!$B$10),"Denver","")</f>
        <v/>
      </c>
      <c r="B829" s="5">
        <f>IF(A829="","",18)</f>
        <v/>
      </c>
      <c r="C829" s="17" t="n">
        <v>46390</v>
      </c>
      <c r="D829" s="5">
        <f>IF(A829="","",IF(C829=DATE(2026,11,29),"培训；注册午餐；早餐参数",IF(C829=DATE(2026,11,30),"培训；注册午餐",IF(C829=DATE(2026,12,1),"培训；注册午餐；机构晚餐",IF(C829=Options!$B$9,"抵达；"&amp;IF(C829=DATE(2026,11,28),"机构晚餐","无统一供餐"),IF(C829=Options!$B$10,"返程；"&amp;IF(C829=DATE(2026,12,2),"机构午餐","无统一供餐"),"差旅状态；无统一日程"))))))</f>
        <v/>
      </c>
      <c r="E829" s="13">
        <f>IF(C829=Options!$B$9,Options!$C$16,0)</f>
        <v/>
      </c>
      <c r="F829" s="13">
        <f>IF(AND(A829&lt;&gt;"",C829&lt;Options!$B$10),B829*Options!$X$6,0)</f>
        <v/>
      </c>
      <c r="G829" s="13">
        <f>F829*12%</f>
        <v/>
      </c>
      <c r="H829" s="13">
        <f>IF(A829="",0,B829*(92*IF(OR(C829=Options!$B$9,C829=Options!$B$10),75%,100%)-IF(C829=DATE(2026,11,29),26+IF(Options!$B$8="是",23,0),0)-IF(C829=DATE(2026,11,30),26,0)-IF(C829=DATE(2026,12,1),64,0)-IF(C829=DATE(2026,11,28),38,0)-IF(C829=DATE(2026,12,2),26,0)))</f>
        <v/>
      </c>
      <c r="I829" s="13">
        <f>IF(AND(C829&gt;=DATE(2026,11,29),C829&lt;=DATE(2026,12,1)),B829*60,0)</f>
        <v/>
      </c>
      <c r="J829" s="13">
        <f>IF(A829="",0,B829*(IF(C829=DATE(2026,11,28),38,0)+IF(C829=DATE(2026,12,1),38,0)+IF(C829=DATE(2026,12,2),26,0)))</f>
        <v/>
      </c>
      <c r="K829" s="13">
        <f>IF(C829=Options!$B$9,B829*12,0)</f>
        <v/>
      </c>
      <c r="L829" s="13">
        <f>IF(C829=Options!$B$9,B829*Options!$Z$6,0)</f>
        <v/>
      </c>
      <c r="M829" s="13" t="n">
        <v>0</v>
      </c>
      <c r="N829" s="13">
        <f>SUM(E829:M829)</f>
        <v/>
      </c>
    </row>
    <row r="830">
      <c r="A830" s="5">
        <f>IF(AND(C830&gt;=Options!$B$9,C830&lt;=Options!$B$10),"Denver","")</f>
        <v/>
      </c>
      <c r="B830" s="5">
        <f>IF(A830="","",18)</f>
        <v/>
      </c>
      <c r="C830" s="17" t="n">
        <v>46391</v>
      </c>
      <c r="D830" s="5">
        <f>IF(A830="","",IF(C830=DATE(2026,11,29),"培训；注册午餐；早餐参数",IF(C830=DATE(2026,11,30),"培训；注册午餐",IF(C830=DATE(2026,12,1),"培训；注册午餐；机构晚餐",IF(C830=Options!$B$9,"抵达；"&amp;IF(C830=DATE(2026,11,28),"机构晚餐","无统一供餐"),IF(C830=Options!$B$10,"返程；"&amp;IF(C830=DATE(2026,12,2),"机构午餐","无统一供餐"),"差旅状态；无统一日程"))))))</f>
        <v/>
      </c>
      <c r="E830" s="13">
        <f>IF(C830=Options!$B$9,Options!$C$16,0)</f>
        <v/>
      </c>
      <c r="F830" s="13">
        <f>IF(AND(A830&lt;&gt;"",C830&lt;Options!$B$10),B830*Options!$X$6,0)</f>
        <v/>
      </c>
      <c r="G830" s="13">
        <f>F830*12%</f>
        <v/>
      </c>
      <c r="H830" s="13">
        <f>IF(A830="",0,B830*(92*IF(OR(C830=Options!$B$9,C830=Options!$B$10),75%,100%)-IF(C830=DATE(2026,11,29),26+IF(Options!$B$8="是",23,0),0)-IF(C830=DATE(2026,11,30),26,0)-IF(C830=DATE(2026,12,1),64,0)-IF(C830=DATE(2026,11,28),38,0)-IF(C830=DATE(2026,12,2),26,0)))</f>
        <v/>
      </c>
      <c r="I830" s="13">
        <f>IF(AND(C830&gt;=DATE(2026,11,29),C830&lt;=DATE(2026,12,1)),B830*60,0)</f>
        <v/>
      </c>
      <c r="J830" s="13">
        <f>IF(A830="",0,B830*(IF(C830=DATE(2026,11,28),38,0)+IF(C830=DATE(2026,12,1),38,0)+IF(C830=DATE(2026,12,2),26,0)))</f>
        <v/>
      </c>
      <c r="K830" s="13">
        <f>IF(C830=Options!$B$9,B830*12,0)</f>
        <v/>
      </c>
      <c r="L830" s="13">
        <f>IF(C830=Options!$B$9,B830*Options!$Z$6,0)</f>
        <v/>
      </c>
      <c r="M830" s="13" t="n">
        <v>0</v>
      </c>
      <c r="N830" s="13">
        <f>SUM(E830:M830)</f>
        <v/>
      </c>
    </row>
    <row r="831">
      <c r="A831" s="5">
        <f>IF(AND(C831&gt;=Options!$B$9,C831&lt;=Options!$B$10),"Denver","")</f>
        <v/>
      </c>
      <c r="B831" s="5">
        <f>IF(A831="","",18)</f>
        <v/>
      </c>
      <c r="C831" s="17" t="n">
        <v>46392</v>
      </c>
      <c r="D831" s="5">
        <f>IF(A831="","",IF(C831=DATE(2026,11,29),"培训；注册午餐；早餐参数",IF(C831=DATE(2026,11,30),"培训；注册午餐",IF(C831=DATE(2026,12,1),"培训；注册午餐；机构晚餐",IF(C831=Options!$B$9,"抵达；"&amp;IF(C831=DATE(2026,11,28),"机构晚餐","无统一供餐"),IF(C831=Options!$B$10,"返程；"&amp;IF(C831=DATE(2026,12,2),"机构午餐","无统一供餐"),"差旅状态；无统一日程"))))))</f>
        <v/>
      </c>
      <c r="E831" s="13">
        <f>IF(C831=Options!$B$9,Options!$C$16,0)</f>
        <v/>
      </c>
      <c r="F831" s="13">
        <f>IF(AND(A831&lt;&gt;"",C831&lt;Options!$B$10),B831*Options!$X$6,0)</f>
        <v/>
      </c>
      <c r="G831" s="13">
        <f>F831*12%</f>
        <v/>
      </c>
      <c r="H831" s="13">
        <f>IF(A831="",0,B831*(92*IF(OR(C831=Options!$B$9,C831=Options!$B$10),75%,100%)-IF(C831=DATE(2026,11,29),26+IF(Options!$B$8="是",23,0),0)-IF(C831=DATE(2026,11,30),26,0)-IF(C831=DATE(2026,12,1),64,0)-IF(C831=DATE(2026,11,28),38,0)-IF(C831=DATE(2026,12,2),26,0)))</f>
        <v/>
      </c>
      <c r="I831" s="13">
        <f>IF(AND(C831&gt;=DATE(2026,11,29),C831&lt;=DATE(2026,12,1)),B831*60,0)</f>
        <v/>
      </c>
      <c r="J831" s="13">
        <f>IF(A831="",0,B831*(IF(C831=DATE(2026,11,28),38,0)+IF(C831=DATE(2026,12,1),38,0)+IF(C831=DATE(2026,12,2),26,0)))</f>
        <v/>
      </c>
      <c r="K831" s="13">
        <f>IF(C831=Options!$B$9,B831*12,0)</f>
        <v/>
      </c>
      <c r="L831" s="13">
        <f>IF(C831=Options!$B$9,B831*Options!$Z$6,0)</f>
        <v/>
      </c>
      <c r="M831" s="13" t="n">
        <v>0</v>
      </c>
      <c r="N831" s="13">
        <f>SUM(E831:M831)</f>
        <v/>
      </c>
    </row>
    <row r="832">
      <c r="A832" s="5">
        <f>IF(AND(C832&gt;=Options!$B$9,C832&lt;=Options!$B$10),"Denver","")</f>
        <v/>
      </c>
      <c r="B832" s="5">
        <f>IF(A832="","",18)</f>
        <v/>
      </c>
      <c r="C832" s="17" t="n">
        <v>46393</v>
      </c>
      <c r="D832" s="5">
        <f>IF(A832="","",IF(C832=DATE(2026,11,29),"培训；注册午餐；早餐参数",IF(C832=DATE(2026,11,30),"培训；注册午餐",IF(C832=DATE(2026,12,1),"培训；注册午餐；机构晚餐",IF(C832=Options!$B$9,"抵达；"&amp;IF(C832=DATE(2026,11,28),"机构晚餐","无统一供餐"),IF(C832=Options!$B$10,"返程；"&amp;IF(C832=DATE(2026,12,2),"机构午餐","无统一供餐"),"差旅状态；无统一日程"))))))</f>
        <v/>
      </c>
      <c r="E832" s="13">
        <f>IF(C832=Options!$B$9,Options!$C$16,0)</f>
        <v/>
      </c>
      <c r="F832" s="13">
        <f>IF(AND(A832&lt;&gt;"",C832&lt;Options!$B$10),B832*Options!$X$6,0)</f>
        <v/>
      </c>
      <c r="G832" s="13">
        <f>F832*12%</f>
        <v/>
      </c>
      <c r="H832" s="13">
        <f>IF(A832="",0,B832*(92*IF(OR(C832=Options!$B$9,C832=Options!$B$10),75%,100%)-IF(C832=DATE(2026,11,29),26+IF(Options!$B$8="是",23,0),0)-IF(C832=DATE(2026,11,30),26,0)-IF(C832=DATE(2026,12,1),64,0)-IF(C832=DATE(2026,11,28),38,0)-IF(C832=DATE(2026,12,2),26,0)))</f>
        <v/>
      </c>
      <c r="I832" s="13">
        <f>IF(AND(C832&gt;=DATE(2026,11,29),C832&lt;=DATE(2026,12,1)),B832*60,0)</f>
        <v/>
      </c>
      <c r="J832" s="13">
        <f>IF(A832="",0,B832*(IF(C832=DATE(2026,11,28),38,0)+IF(C832=DATE(2026,12,1),38,0)+IF(C832=DATE(2026,12,2),26,0)))</f>
        <v/>
      </c>
      <c r="K832" s="13">
        <f>IF(C832=Options!$B$9,B832*12,0)</f>
        <v/>
      </c>
      <c r="L832" s="13">
        <f>IF(C832=Options!$B$9,B832*Options!$Z$6,0)</f>
        <v/>
      </c>
      <c r="M832" s="13" t="n">
        <v>0</v>
      </c>
      <c r="N832" s="13">
        <f>SUM(E832:M832)</f>
        <v/>
      </c>
    </row>
    <row r="833">
      <c r="A833" s="5">
        <f>IF(AND(C833&gt;=Options!$B$9,C833&lt;=Options!$B$10),"Denver","")</f>
        <v/>
      </c>
      <c r="B833" s="5">
        <f>IF(A833="","",18)</f>
        <v/>
      </c>
      <c r="C833" s="17" t="n">
        <v>46394</v>
      </c>
      <c r="D833" s="5">
        <f>IF(A833="","",IF(C833=DATE(2026,11,29),"培训；注册午餐；早餐参数",IF(C833=DATE(2026,11,30),"培训；注册午餐",IF(C833=DATE(2026,12,1),"培训；注册午餐；机构晚餐",IF(C833=Options!$B$9,"抵达；"&amp;IF(C833=DATE(2026,11,28),"机构晚餐","无统一供餐"),IF(C833=Options!$B$10,"返程；"&amp;IF(C833=DATE(2026,12,2),"机构午餐","无统一供餐"),"差旅状态；无统一日程"))))))</f>
        <v/>
      </c>
      <c r="E833" s="13">
        <f>IF(C833=Options!$B$9,Options!$C$16,0)</f>
        <v/>
      </c>
      <c r="F833" s="13">
        <f>IF(AND(A833&lt;&gt;"",C833&lt;Options!$B$10),B833*Options!$X$6,0)</f>
        <v/>
      </c>
      <c r="G833" s="13">
        <f>F833*12%</f>
        <v/>
      </c>
      <c r="H833" s="13">
        <f>IF(A833="",0,B833*(92*IF(OR(C833=Options!$B$9,C833=Options!$B$10),75%,100%)-IF(C833=DATE(2026,11,29),26+IF(Options!$B$8="是",23,0),0)-IF(C833=DATE(2026,11,30),26,0)-IF(C833=DATE(2026,12,1),64,0)-IF(C833=DATE(2026,11,28),38,0)-IF(C833=DATE(2026,12,2),26,0)))</f>
        <v/>
      </c>
      <c r="I833" s="13">
        <f>IF(AND(C833&gt;=DATE(2026,11,29),C833&lt;=DATE(2026,12,1)),B833*60,0)</f>
        <v/>
      </c>
      <c r="J833" s="13">
        <f>IF(A833="",0,B833*(IF(C833=DATE(2026,11,28),38,0)+IF(C833=DATE(2026,12,1),38,0)+IF(C833=DATE(2026,12,2),26,0)))</f>
        <v/>
      </c>
      <c r="K833" s="13">
        <f>IF(C833=Options!$B$9,B833*12,0)</f>
        <v/>
      </c>
      <c r="L833" s="13">
        <f>IF(C833=Options!$B$9,B833*Options!$Z$6,0)</f>
        <v/>
      </c>
      <c r="M833" s="13" t="n">
        <v>0</v>
      </c>
      <c r="N833" s="13">
        <f>SUM(E833:M833)</f>
        <v/>
      </c>
    </row>
    <row r="834">
      <c r="A834" s="5">
        <f>IF(AND(C834&gt;=Options!$B$9,C834&lt;=Options!$B$10),"Denver","")</f>
        <v/>
      </c>
      <c r="B834" s="5">
        <f>IF(A834="","",18)</f>
        <v/>
      </c>
      <c r="C834" s="17" t="n">
        <v>46395</v>
      </c>
      <c r="D834" s="5">
        <f>IF(A834="","",IF(C834=DATE(2026,11,29),"培训；注册午餐；早餐参数",IF(C834=DATE(2026,11,30),"培训；注册午餐",IF(C834=DATE(2026,12,1),"培训；注册午餐；机构晚餐",IF(C834=Options!$B$9,"抵达；"&amp;IF(C834=DATE(2026,11,28),"机构晚餐","无统一供餐"),IF(C834=Options!$B$10,"返程；"&amp;IF(C834=DATE(2026,12,2),"机构午餐","无统一供餐"),"差旅状态；无统一日程"))))))</f>
        <v/>
      </c>
      <c r="E834" s="13">
        <f>IF(C834=Options!$B$9,Options!$C$16,0)</f>
        <v/>
      </c>
      <c r="F834" s="13">
        <f>IF(AND(A834&lt;&gt;"",C834&lt;Options!$B$10),B834*Options!$X$6,0)</f>
        <v/>
      </c>
      <c r="G834" s="13">
        <f>F834*12%</f>
        <v/>
      </c>
      <c r="H834" s="13">
        <f>IF(A834="",0,B834*(92*IF(OR(C834=Options!$B$9,C834=Options!$B$10),75%,100%)-IF(C834=DATE(2026,11,29),26+IF(Options!$B$8="是",23,0),0)-IF(C834=DATE(2026,11,30),26,0)-IF(C834=DATE(2026,12,1),64,0)-IF(C834=DATE(2026,11,28),38,0)-IF(C834=DATE(2026,12,2),26,0)))</f>
        <v/>
      </c>
      <c r="I834" s="13">
        <f>IF(AND(C834&gt;=DATE(2026,11,29),C834&lt;=DATE(2026,12,1)),B834*60,0)</f>
        <v/>
      </c>
      <c r="J834" s="13">
        <f>IF(A834="",0,B834*(IF(C834=DATE(2026,11,28),38,0)+IF(C834=DATE(2026,12,1),38,0)+IF(C834=DATE(2026,12,2),26,0)))</f>
        <v/>
      </c>
      <c r="K834" s="13">
        <f>IF(C834=Options!$B$9,B834*12,0)</f>
        <v/>
      </c>
      <c r="L834" s="13">
        <f>IF(C834=Options!$B$9,B834*Options!$Z$6,0)</f>
        <v/>
      </c>
      <c r="M834" s="13" t="n">
        <v>0</v>
      </c>
      <c r="N834" s="13">
        <f>SUM(E834:M834)</f>
        <v/>
      </c>
    </row>
    <row r="835">
      <c r="A835" s="5">
        <f>IF(AND(C835&gt;=Options!$B$9,C835&lt;=Options!$B$10),"Denver","")</f>
        <v/>
      </c>
      <c r="B835" s="5">
        <f>IF(A835="","",18)</f>
        <v/>
      </c>
      <c r="C835" s="17" t="n">
        <v>46396</v>
      </c>
      <c r="D835" s="5">
        <f>IF(A835="","",IF(C835=DATE(2026,11,29),"培训；注册午餐；早餐参数",IF(C835=DATE(2026,11,30),"培训；注册午餐",IF(C835=DATE(2026,12,1),"培训；注册午餐；机构晚餐",IF(C835=Options!$B$9,"抵达；"&amp;IF(C835=DATE(2026,11,28),"机构晚餐","无统一供餐"),IF(C835=Options!$B$10,"返程；"&amp;IF(C835=DATE(2026,12,2),"机构午餐","无统一供餐"),"差旅状态；无统一日程"))))))</f>
        <v/>
      </c>
      <c r="E835" s="13">
        <f>IF(C835=Options!$B$9,Options!$C$16,0)</f>
        <v/>
      </c>
      <c r="F835" s="13">
        <f>IF(AND(A835&lt;&gt;"",C835&lt;Options!$B$10),B835*Options!$X$6,0)</f>
        <v/>
      </c>
      <c r="G835" s="13">
        <f>F835*12%</f>
        <v/>
      </c>
      <c r="H835" s="13">
        <f>IF(A835="",0,B835*(92*IF(OR(C835=Options!$B$9,C835=Options!$B$10),75%,100%)-IF(C835=DATE(2026,11,29),26+IF(Options!$B$8="是",23,0),0)-IF(C835=DATE(2026,11,30),26,0)-IF(C835=DATE(2026,12,1),64,0)-IF(C835=DATE(2026,11,28),38,0)-IF(C835=DATE(2026,12,2),26,0)))</f>
        <v/>
      </c>
      <c r="I835" s="13">
        <f>IF(AND(C835&gt;=DATE(2026,11,29),C835&lt;=DATE(2026,12,1)),B835*60,0)</f>
        <v/>
      </c>
      <c r="J835" s="13">
        <f>IF(A835="",0,B835*(IF(C835=DATE(2026,11,28),38,0)+IF(C835=DATE(2026,12,1),38,0)+IF(C835=DATE(2026,12,2),26,0)))</f>
        <v/>
      </c>
      <c r="K835" s="13">
        <f>IF(C835=Options!$B$9,B835*12,0)</f>
        <v/>
      </c>
      <c r="L835" s="13">
        <f>IF(C835=Options!$B$9,B835*Options!$Z$6,0)</f>
        <v/>
      </c>
      <c r="M835" s="13" t="n">
        <v>0</v>
      </c>
      <c r="N835" s="13">
        <f>SUM(E835:M835)</f>
        <v/>
      </c>
    </row>
    <row r="836">
      <c r="A836" s="5">
        <f>IF(AND(C836&gt;=Options!$B$9,C836&lt;=Options!$B$10),"Denver","")</f>
        <v/>
      </c>
      <c r="B836" s="5">
        <f>IF(A836="","",18)</f>
        <v/>
      </c>
      <c r="C836" s="17" t="n">
        <v>46397</v>
      </c>
      <c r="D836" s="5">
        <f>IF(A836="","",IF(C836=DATE(2026,11,29),"培训；注册午餐；早餐参数",IF(C836=DATE(2026,11,30),"培训；注册午餐",IF(C836=DATE(2026,12,1),"培训；注册午餐；机构晚餐",IF(C836=Options!$B$9,"抵达；"&amp;IF(C836=DATE(2026,11,28),"机构晚餐","无统一供餐"),IF(C836=Options!$B$10,"返程；"&amp;IF(C836=DATE(2026,12,2),"机构午餐","无统一供餐"),"差旅状态；无统一日程"))))))</f>
        <v/>
      </c>
      <c r="E836" s="13">
        <f>IF(C836=Options!$B$9,Options!$C$16,0)</f>
        <v/>
      </c>
      <c r="F836" s="13">
        <f>IF(AND(A836&lt;&gt;"",C836&lt;Options!$B$10),B836*Options!$X$6,0)</f>
        <v/>
      </c>
      <c r="G836" s="13">
        <f>F836*12%</f>
        <v/>
      </c>
      <c r="H836" s="13">
        <f>IF(A836="",0,B836*(92*IF(OR(C836=Options!$B$9,C836=Options!$B$10),75%,100%)-IF(C836=DATE(2026,11,29),26+IF(Options!$B$8="是",23,0),0)-IF(C836=DATE(2026,11,30),26,0)-IF(C836=DATE(2026,12,1),64,0)-IF(C836=DATE(2026,11,28),38,0)-IF(C836=DATE(2026,12,2),26,0)))</f>
        <v/>
      </c>
      <c r="I836" s="13">
        <f>IF(AND(C836&gt;=DATE(2026,11,29),C836&lt;=DATE(2026,12,1)),B836*60,0)</f>
        <v/>
      </c>
      <c r="J836" s="13">
        <f>IF(A836="",0,B836*(IF(C836=DATE(2026,11,28),38,0)+IF(C836=DATE(2026,12,1),38,0)+IF(C836=DATE(2026,12,2),26,0)))</f>
        <v/>
      </c>
      <c r="K836" s="13">
        <f>IF(C836=Options!$B$9,B836*12,0)</f>
        <v/>
      </c>
      <c r="L836" s="13">
        <f>IF(C836=Options!$B$9,B836*Options!$Z$6,0)</f>
        <v/>
      </c>
      <c r="M836" s="13" t="n">
        <v>0</v>
      </c>
      <c r="N836" s="13">
        <f>SUM(E836:M836)</f>
        <v/>
      </c>
    </row>
    <row r="837">
      <c r="A837" s="5">
        <f>IF(AND(C837&gt;=Options!$B$9,C837&lt;=Options!$B$10),"Denver","")</f>
        <v/>
      </c>
      <c r="B837" s="5">
        <f>IF(A837="","",18)</f>
        <v/>
      </c>
      <c r="C837" s="17" t="n">
        <v>46398</v>
      </c>
      <c r="D837" s="5">
        <f>IF(A837="","",IF(C837=DATE(2026,11,29),"培训；注册午餐；早餐参数",IF(C837=DATE(2026,11,30),"培训；注册午餐",IF(C837=DATE(2026,12,1),"培训；注册午餐；机构晚餐",IF(C837=Options!$B$9,"抵达；"&amp;IF(C837=DATE(2026,11,28),"机构晚餐","无统一供餐"),IF(C837=Options!$B$10,"返程；"&amp;IF(C837=DATE(2026,12,2),"机构午餐","无统一供餐"),"差旅状态；无统一日程"))))))</f>
        <v/>
      </c>
      <c r="E837" s="13">
        <f>IF(C837=Options!$B$9,Options!$C$16,0)</f>
        <v/>
      </c>
      <c r="F837" s="13">
        <f>IF(AND(A837&lt;&gt;"",C837&lt;Options!$B$10),B837*Options!$X$6,0)</f>
        <v/>
      </c>
      <c r="G837" s="13">
        <f>F837*12%</f>
        <v/>
      </c>
      <c r="H837" s="13">
        <f>IF(A837="",0,B837*(92*IF(OR(C837=Options!$B$9,C837=Options!$B$10),75%,100%)-IF(C837=DATE(2026,11,29),26+IF(Options!$B$8="是",23,0),0)-IF(C837=DATE(2026,11,30),26,0)-IF(C837=DATE(2026,12,1),64,0)-IF(C837=DATE(2026,11,28),38,0)-IF(C837=DATE(2026,12,2),26,0)))</f>
        <v/>
      </c>
      <c r="I837" s="13">
        <f>IF(AND(C837&gt;=DATE(2026,11,29),C837&lt;=DATE(2026,12,1)),B837*60,0)</f>
        <v/>
      </c>
      <c r="J837" s="13">
        <f>IF(A837="",0,B837*(IF(C837=DATE(2026,11,28),38,0)+IF(C837=DATE(2026,12,1),38,0)+IF(C837=DATE(2026,12,2),26,0)))</f>
        <v/>
      </c>
      <c r="K837" s="13">
        <f>IF(C837=Options!$B$9,B837*12,0)</f>
        <v/>
      </c>
      <c r="L837" s="13">
        <f>IF(C837=Options!$B$9,B837*Options!$Z$6,0)</f>
        <v/>
      </c>
      <c r="M837" s="13" t="n">
        <v>0</v>
      </c>
      <c r="N837" s="13">
        <f>SUM(E837:M837)</f>
        <v/>
      </c>
    </row>
    <row r="838">
      <c r="A838" s="5">
        <f>IF(AND(C838&gt;=Options!$B$9,C838&lt;=Options!$B$10),"Denver","")</f>
        <v/>
      </c>
      <c r="B838" s="5">
        <f>IF(A838="","",18)</f>
        <v/>
      </c>
      <c r="C838" s="17" t="n">
        <v>46399</v>
      </c>
      <c r="D838" s="5">
        <f>IF(A838="","",IF(C838=DATE(2026,11,29),"培训；注册午餐；早餐参数",IF(C838=DATE(2026,11,30),"培训；注册午餐",IF(C838=DATE(2026,12,1),"培训；注册午餐；机构晚餐",IF(C838=Options!$B$9,"抵达；"&amp;IF(C838=DATE(2026,11,28),"机构晚餐","无统一供餐"),IF(C838=Options!$B$10,"返程；"&amp;IF(C838=DATE(2026,12,2),"机构午餐","无统一供餐"),"差旅状态；无统一日程"))))))</f>
        <v/>
      </c>
      <c r="E838" s="13">
        <f>IF(C838=Options!$B$9,Options!$C$16,0)</f>
        <v/>
      </c>
      <c r="F838" s="13">
        <f>IF(AND(A838&lt;&gt;"",C838&lt;Options!$B$10),B838*Options!$X$6,0)</f>
        <v/>
      </c>
      <c r="G838" s="13">
        <f>F838*12%</f>
        <v/>
      </c>
      <c r="H838" s="13">
        <f>IF(A838="",0,B838*(92*IF(OR(C838=Options!$B$9,C838=Options!$B$10),75%,100%)-IF(C838=DATE(2026,11,29),26+IF(Options!$B$8="是",23,0),0)-IF(C838=DATE(2026,11,30),26,0)-IF(C838=DATE(2026,12,1),64,0)-IF(C838=DATE(2026,11,28),38,0)-IF(C838=DATE(2026,12,2),26,0)))</f>
        <v/>
      </c>
      <c r="I838" s="13">
        <f>IF(AND(C838&gt;=DATE(2026,11,29),C838&lt;=DATE(2026,12,1)),B838*60,0)</f>
        <v/>
      </c>
      <c r="J838" s="13">
        <f>IF(A838="",0,B838*(IF(C838=DATE(2026,11,28),38,0)+IF(C838=DATE(2026,12,1),38,0)+IF(C838=DATE(2026,12,2),26,0)))</f>
        <v/>
      </c>
      <c r="K838" s="13">
        <f>IF(C838=Options!$B$9,B838*12,0)</f>
        <v/>
      </c>
      <c r="L838" s="13">
        <f>IF(C838=Options!$B$9,B838*Options!$Z$6,0)</f>
        <v/>
      </c>
      <c r="M838" s="13" t="n">
        <v>0</v>
      </c>
      <c r="N838" s="13">
        <f>SUM(E838:M838)</f>
        <v/>
      </c>
    </row>
    <row r="839">
      <c r="A839" s="5">
        <f>IF(AND(C839&gt;=Options!$B$9,C839&lt;=Options!$B$10),"Denver","")</f>
        <v/>
      </c>
      <c r="B839" s="5">
        <f>IF(A839="","",18)</f>
        <v/>
      </c>
      <c r="C839" s="17" t="n">
        <v>46400</v>
      </c>
      <c r="D839" s="5">
        <f>IF(A839="","",IF(C839=DATE(2026,11,29),"培训；注册午餐；早餐参数",IF(C839=DATE(2026,11,30),"培训；注册午餐",IF(C839=DATE(2026,12,1),"培训；注册午餐；机构晚餐",IF(C839=Options!$B$9,"抵达；"&amp;IF(C839=DATE(2026,11,28),"机构晚餐","无统一供餐"),IF(C839=Options!$B$10,"返程；"&amp;IF(C839=DATE(2026,12,2),"机构午餐","无统一供餐"),"差旅状态；无统一日程"))))))</f>
        <v/>
      </c>
      <c r="E839" s="13">
        <f>IF(C839=Options!$B$9,Options!$C$16,0)</f>
        <v/>
      </c>
      <c r="F839" s="13">
        <f>IF(AND(A839&lt;&gt;"",C839&lt;Options!$B$10),B839*Options!$X$6,0)</f>
        <v/>
      </c>
      <c r="G839" s="13">
        <f>F839*12%</f>
        <v/>
      </c>
      <c r="H839" s="13">
        <f>IF(A839="",0,B839*(92*IF(OR(C839=Options!$B$9,C839=Options!$B$10),75%,100%)-IF(C839=DATE(2026,11,29),26+IF(Options!$B$8="是",23,0),0)-IF(C839=DATE(2026,11,30),26,0)-IF(C839=DATE(2026,12,1),64,0)-IF(C839=DATE(2026,11,28),38,0)-IF(C839=DATE(2026,12,2),26,0)))</f>
        <v/>
      </c>
      <c r="I839" s="13">
        <f>IF(AND(C839&gt;=DATE(2026,11,29),C839&lt;=DATE(2026,12,1)),B839*60,0)</f>
        <v/>
      </c>
      <c r="J839" s="13">
        <f>IF(A839="",0,B839*(IF(C839=DATE(2026,11,28),38,0)+IF(C839=DATE(2026,12,1),38,0)+IF(C839=DATE(2026,12,2),26,0)))</f>
        <v/>
      </c>
      <c r="K839" s="13">
        <f>IF(C839=Options!$B$9,B839*12,0)</f>
        <v/>
      </c>
      <c r="L839" s="13">
        <f>IF(C839=Options!$B$9,B839*Options!$Z$6,0)</f>
        <v/>
      </c>
      <c r="M839" s="13" t="n">
        <v>0</v>
      </c>
      <c r="N839" s="13">
        <f>SUM(E839:M839)</f>
        <v/>
      </c>
    </row>
    <row r="840">
      <c r="A840" s="5">
        <f>IF(AND(C840&gt;=Options!$B$9,C840&lt;=Options!$B$10),"Denver","")</f>
        <v/>
      </c>
      <c r="B840" s="5">
        <f>IF(A840="","",18)</f>
        <v/>
      </c>
      <c r="C840" s="17" t="n">
        <v>46401</v>
      </c>
      <c r="D840" s="5">
        <f>IF(A840="","",IF(C840=DATE(2026,11,29),"培训；注册午餐；早餐参数",IF(C840=DATE(2026,11,30),"培训；注册午餐",IF(C840=DATE(2026,12,1),"培训；注册午餐；机构晚餐",IF(C840=Options!$B$9,"抵达；"&amp;IF(C840=DATE(2026,11,28),"机构晚餐","无统一供餐"),IF(C840=Options!$B$10,"返程；"&amp;IF(C840=DATE(2026,12,2),"机构午餐","无统一供餐"),"差旅状态；无统一日程"))))))</f>
        <v/>
      </c>
      <c r="E840" s="13">
        <f>IF(C840=Options!$B$9,Options!$C$16,0)</f>
        <v/>
      </c>
      <c r="F840" s="13">
        <f>IF(AND(A840&lt;&gt;"",C840&lt;Options!$B$10),B840*Options!$X$6,0)</f>
        <v/>
      </c>
      <c r="G840" s="13">
        <f>F840*12%</f>
        <v/>
      </c>
      <c r="H840" s="13">
        <f>IF(A840="",0,B840*(92*IF(OR(C840=Options!$B$9,C840=Options!$B$10),75%,100%)-IF(C840=DATE(2026,11,29),26+IF(Options!$B$8="是",23,0),0)-IF(C840=DATE(2026,11,30),26,0)-IF(C840=DATE(2026,12,1),64,0)-IF(C840=DATE(2026,11,28),38,0)-IF(C840=DATE(2026,12,2),26,0)))</f>
        <v/>
      </c>
      <c r="I840" s="13">
        <f>IF(AND(C840&gt;=DATE(2026,11,29),C840&lt;=DATE(2026,12,1)),B840*60,0)</f>
        <v/>
      </c>
      <c r="J840" s="13">
        <f>IF(A840="",0,B840*(IF(C840=DATE(2026,11,28),38,0)+IF(C840=DATE(2026,12,1),38,0)+IF(C840=DATE(2026,12,2),26,0)))</f>
        <v/>
      </c>
      <c r="K840" s="13">
        <f>IF(C840=Options!$B$9,B840*12,0)</f>
        <v/>
      </c>
      <c r="L840" s="13">
        <f>IF(C840=Options!$B$9,B840*Options!$Z$6,0)</f>
        <v/>
      </c>
      <c r="M840" s="13" t="n">
        <v>0</v>
      </c>
      <c r="N840" s="13">
        <f>SUM(E840:M840)</f>
        <v/>
      </c>
    </row>
    <row r="841">
      <c r="A841" s="5">
        <f>IF(AND(C841&gt;=Options!$B$9,C841&lt;=Options!$B$10),"Denver","")</f>
        <v/>
      </c>
      <c r="B841" s="5">
        <f>IF(A841="","",18)</f>
        <v/>
      </c>
      <c r="C841" s="17" t="n">
        <v>46402</v>
      </c>
      <c r="D841" s="5">
        <f>IF(A841="","",IF(C841=DATE(2026,11,29),"培训；注册午餐；早餐参数",IF(C841=DATE(2026,11,30),"培训；注册午餐",IF(C841=DATE(2026,12,1),"培训；注册午餐；机构晚餐",IF(C841=Options!$B$9,"抵达；"&amp;IF(C841=DATE(2026,11,28),"机构晚餐","无统一供餐"),IF(C841=Options!$B$10,"返程；"&amp;IF(C841=DATE(2026,12,2),"机构午餐","无统一供餐"),"差旅状态；无统一日程"))))))</f>
        <v/>
      </c>
      <c r="E841" s="13">
        <f>IF(C841=Options!$B$9,Options!$C$16,0)</f>
        <v/>
      </c>
      <c r="F841" s="13">
        <f>IF(AND(A841&lt;&gt;"",C841&lt;Options!$B$10),B841*Options!$X$6,0)</f>
        <v/>
      </c>
      <c r="G841" s="13">
        <f>F841*12%</f>
        <v/>
      </c>
      <c r="H841" s="13">
        <f>IF(A841="",0,B841*(92*IF(OR(C841=Options!$B$9,C841=Options!$B$10),75%,100%)-IF(C841=DATE(2026,11,29),26+IF(Options!$B$8="是",23,0),0)-IF(C841=DATE(2026,11,30),26,0)-IF(C841=DATE(2026,12,1),64,0)-IF(C841=DATE(2026,11,28),38,0)-IF(C841=DATE(2026,12,2),26,0)))</f>
        <v/>
      </c>
      <c r="I841" s="13">
        <f>IF(AND(C841&gt;=DATE(2026,11,29),C841&lt;=DATE(2026,12,1)),B841*60,0)</f>
        <v/>
      </c>
      <c r="J841" s="13">
        <f>IF(A841="",0,B841*(IF(C841=DATE(2026,11,28),38,0)+IF(C841=DATE(2026,12,1),38,0)+IF(C841=DATE(2026,12,2),26,0)))</f>
        <v/>
      </c>
      <c r="K841" s="13">
        <f>IF(C841=Options!$B$9,B841*12,0)</f>
        <v/>
      </c>
      <c r="L841" s="13">
        <f>IF(C841=Options!$B$9,B841*Options!$Z$6,0)</f>
        <v/>
      </c>
      <c r="M841" s="13" t="n">
        <v>0</v>
      </c>
      <c r="N841" s="13">
        <f>SUM(E841:M841)</f>
        <v/>
      </c>
    </row>
    <row r="842">
      <c r="A842" s="5">
        <f>IF(AND(C842&gt;=Options!$B$9,C842&lt;=Options!$B$10),"Denver","")</f>
        <v/>
      </c>
      <c r="B842" s="5">
        <f>IF(A842="","",18)</f>
        <v/>
      </c>
      <c r="C842" s="17" t="n">
        <v>46403</v>
      </c>
      <c r="D842" s="5">
        <f>IF(A842="","",IF(C842=DATE(2026,11,29),"培训；注册午餐；早餐参数",IF(C842=DATE(2026,11,30),"培训；注册午餐",IF(C842=DATE(2026,12,1),"培训；注册午餐；机构晚餐",IF(C842=Options!$B$9,"抵达；"&amp;IF(C842=DATE(2026,11,28),"机构晚餐","无统一供餐"),IF(C842=Options!$B$10,"返程；"&amp;IF(C842=DATE(2026,12,2),"机构午餐","无统一供餐"),"差旅状态；无统一日程"))))))</f>
        <v/>
      </c>
      <c r="E842" s="13">
        <f>IF(C842=Options!$B$9,Options!$C$16,0)</f>
        <v/>
      </c>
      <c r="F842" s="13">
        <f>IF(AND(A842&lt;&gt;"",C842&lt;Options!$B$10),B842*Options!$X$6,0)</f>
        <v/>
      </c>
      <c r="G842" s="13">
        <f>F842*12%</f>
        <v/>
      </c>
      <c r="H842" s="13">
        <f>IF(A842="",0,B842*(92*IF(OR(C842=Options!$B$9,C842=Options!$B$10),75%,100%)-IF(C842=DATE(2026,11,29),26+IF(Options!$B$8="是",23,0),0)-IF(C842=DATE(2026,11,30),26,0)-IF(C842=DATE(2026,12,1),64,0)-IF(C842=DATE(2026,11,28),38,0)-IF(C842=DATE(2026,12,2),26,0)))</f>
        <v/>
      </c>
      <c r="I842" s="13">
        <f>IF(AND(C842&gt;=DATE(2026,11,29),C842&lt;=DATE(2026,12,1)),B842*60,0)</f>
        <v/>
      </c>
      <c r="J842" s="13">
        <f>IF(A842="",0,B842*(IF(C842=DATE(2026,11,28),38,0)+IF(C842=DATE(2026,12,1),38,0)+IF(C842=DATE(2026,12,2),26,0)))</f>
        <v/>
      </c>
      <c r="K842" s="13">
        <f>IF(C842=Options!$B$9,B842*12,0)</f>
        <v/>
      </c>
      <c r="L842" s="13">
        <f>IF(C842=Options!$B$9,B842*Options!$Z$6,0)</f>
        <v/>
      </c>
      <c r="M842" s="13" t="n">
        <v>0</v>
      </c>
      <c r="N842" s="13">
        <f>SUM(E842:M842)</f>
        <v/>
      </c>
    </row>
    <row r="843">
      <c r="A843" s="5">
        <f>IF(AND(C843&gt;=Options!$B$9,C843&lt;=Options!$B$10),"Denver","")</f>
        <v/>
      </c>
      <c r="B843" s="5">
        <f>IF(A843="","",18)</f>
        <v/>
      </c>
      <c r="C843" s="17" t="n">
        <v>46404</v>
      </c>
      <c r="D843" s="5">
        <f>IF(A843="","",IF(C843=DATE(2026,11,29),"培训；注册午餐；早餐参数",IF(C843=DATE(2026,11,30),"培训；注册午餐",IF(C843=DATE(2026,12,1),"培训；注册午餐；机构晚餐",IF(C843=Options!$B$9,"抵达；"&amp;IF(C843=DATE(2026,11,28),"机构晚餐","无统一供餐"),IF(C843=Options!$B$10,"返程；"&amp;IF(C843=DATE(2026,12,2),"机构午餐","无统一供餐"),"差旅状态；无统一日程"))))))</f>
        <v/>
      </c>
      <c r="E843" s="13">
        <f>IF(C843=Options!$B$9,Options!$C$16,0)</f>
        <v/>
      </c>
      <c r="F843" s="13">
        <f>IF(AND(A843&lt;&gt;"",C843&lt;Options!$B$10),B843*Options!$X$6,0)</f>
        <v/>
      </c>
      <c r="G843" s="13">
        <f>F843*12%</f>
        <v/>
      </c>
      <c r="H843" s="13">
        <f>IF(A843="",0,B843*(92*IF(OR(C843=Options!$B$9,C843=Options!$B$10),75%,100%)-IF(C843=DATE(2026,11,29),26+IF(Options!$B$8="是",23,0),0)-IF(C843=DATE(2026,11,30),26,0)-IF(C843=DATE(2026,12,1),64,0)-IF(C843=DATE(2026,11,28),38,0)-IF(C843=DATE(2026,12,2),26,0)))</f>
        <v/>
      </c>
      <c r="I843" s="13">
        <f>IF(AND(C843&gt;=DATE(2026,11,29),C843&lt;=DATE(2026,12,1)),B843*60,0)</f>
        <v/>
      </c>
      <c r="J843" s="13">
        <f>IF(A843="",0,B843*(IF(C843=DATE(2026,11,28),38,0)+IF(C843=DATE(2026,12,1),38,0)+IF(C843=DATE(2026,12,2),26,0)))</f>
        <v/>
      </c>
      <c r="K843" s="13">
        <f>IF(C843=Options!$B$9,B843*12,0)</f>
        <v/>
      </c>
      <c r="L843" s="13">
        <f>IF(C843=Options!$B$9,B843*Options!$Z$6,0)</f>
        <v/>
      </c>
      <c r="M843" s="13" t="n">
        <v>0</v>
      </c>
      <c r="N843" s="13">
        <f>SUM(E843:M843)</f>
        <v/>
      </c>
    </row>
    <row r="844">
      <c r="A844" s="5">
        <f>IF(AND(C844&gt;=Options!$B$9,C844&lt;=Options!$B$10),"Denver","")</f>
        <v/>
      </c>
      <c r="B844" s="5">
        <f>IF(A844="","",18)</f>
        <v/>
      </c>
      <c r="C844" s="17" t="n">
        <v>46405</v>
      </c>
      <c r="D844" s="5">
        <f>IF(A844="","",IF(C844=DATE(2026,11,29),"培训；注册午餐；早餐参数",IF(C844=DATE(2026,11,30),"培训；注册午餐",IF(C844=DATE(2026,12,1),"培训；注册午餐；机构晚餐",IF(C844=Options!$B$9,"抵达；"&amp;IF(C844=DATE(2026,11,28),"机构晚餐","无统一供餐"),IF(C844=Options!$B$10,"返程；"&amp;IF(C844=DATE(2026,12,2),"机构午餐","无统一供餐"),"差旅状态；无统一日程"))))))</f>
        <v/>
      </c>
      <c r="E844" s="13">
        <f>IF(C844=Options!$B$9,Options!$C$16,0)</f>
        <v/>
      </c>
      <c r="F844" s="13">
        <f>IF(AND(A844&lt;&gt;"",C844&lt;Options!$B$10),B844*Options!$X$6,0)</f>
        <v/>
      </c>
      <c r="G844" s="13">
        <f>F844*12%</f>
        <v/>
      </c>
      <c r="H844" s="13">
        <f>IF(A844="",0,B844*(92*IF(OR(C844=Options!$B$9,C844=Options!$B$10),75%,100%)-IF(C844=DATE(2026,11,29),26+IF(Options!$B$8="是",23,0),0)-IF(C844=DATE(2026,11,30),26,0)-IF(C844=DATE(2026,12,1),64,0)-IF(C844=DATE(2026,11,28),38,0)-IF(C844=DATE(2026,12,2),26,0)))</f>
        <v/>
      </c>
      <c r="I844" s="13">
        <f>IF(AND(C844&gt;=DATE(2026,11,29),C844&lt;=DATE(2026,12,1)),B844*60,0)</f>
        <v/>
      </c>
      <c r="J844" s="13">
        <f>IF(A844="",0,B844*(IF(C844=DATE(2026,11,28),38,0)+IF(C844=DATE(2026,12,1),38,0)+IF(C844=DATE(2026,12,2),26,0)))</f>
        <v/>
      </c>
      <c r="K844" s="13">
        <f>IF(C844=Options!$B$9,B844*12,0)</f>
        <v/>
      </c>
      <c r="L844" s="13">
        <f>IF(C844=Options!$B$9,B844*Options!$Z$6,0)</f>
        <v/>
      </c>
      <c r="M844" s="13" t="n">
        <v>0</v>
      </c>
      <c r="N844" s="13">
        <f>SUM(E844:M844)</f>
        <v/>
      </c>
    </row>
    <row r="845">
      <c r="A845" s="5">
        <f>IF(AND(C845&gt;=Options!$B$9,C845&lt;=Options!$B$10),"Denver","")</f>
        <v/>
      </c>
      <c r="B845" s="5">
        <f>IF(A845="","",18)</f>
        <v/>
      </c>
      <c r="C845" s="17" t="n">
        <v>46406</v>
      </c>
      <c r="D845" s="5">
        <f>IF(A845="","",IF(C845=DATE(2026,11,29),"培训；注册午餐；早餐参数",IF(C845=DATE(2026,11,30),"培训；注册午餐",IF(C845=DATE(2026,12,1),"培训；注册午餐；机构晚餐",IF(C845=Options!$B$9,"抵达；"&amp;IF(C845=DATE(2026,11,28),"机构晚餐","无统一供餐"),IF(C845=Options!$B$10,"返程；"&amp;IF(C845=DATE(2026,12,2),"机构午餐","无统一供餐"),"差旅状态；无统一日程"))))))</f>
        <v/>
      </c>
      <c r="E845" s="13">
        <f>IF(C845=Options!$B$9,Options!$C$16,0)</f>
        <v/>
      </c>
      <c r="F845" s="13">
        <f>IF(AND(A845&lt;&gt;"",C845&lt;Options!$B$10),B845*Options!$X$6,0)</f>
        <v/>
      </c>
      <c r="G845" s="13">
        <f>F845*12%</f>
        <v/>
      </c>
      <c r="H845" s="13">
        <f>IF(A845="",0,B845*(92*IF(OR(C845=Options!$B$9,C845=Options!$B$10),75%,100%)-IF(C845=DATE(2026,11,29),26+IF(Options!$B$8="是",23,0),0)-IF(C845=DATE(2026,11,30),26,0)-IF(C845=DATE(2026,12,1),64,0)-IF(C845=DATE(2026,11,28),38,0)-IF(C845=DATE(2026,12,2),26,0)))</f>
        <v/>
      </c>
      <c r="I845" s="13">
        <f>IF(AND(C845&gt;=DATE(2026,11,29),C845&lt;=DATE(2026,12,1)),B845*60,0)</f>
        <v/>
      </c>
      <c r="J845" s="13">
        <f>IF(A845="",0,B845*(IF(C845=DATE(2026,11,28),38,0)+IF(C845=DATE(2026,12,1),38,0)+IF(C845=DATE(2026,12,2),26,0)))</f>
        <v/>
      </c>
      <c r="K845" s="13">
        <f>IF(C845=Options!$B$9,B845*12,0)</f>
        <v/>
      </c>
      <c r="L845" s="13">
        <f>IF(C845=Options!$B$9,B845*Options!$Z$6,0)</f>
        <v/>
      </c>
      <c r="M845" s="13" t="n">
        <v>0</v>
      </c>
      <c r="N845" s="13">
        <f>SUM(E845:M845)</f>
        <v/>
      </c>
    </row>
    <row r="846">
      <c r="A846" s="5">
        <f>IF(AND(C846&gt;=Options!$B$9,C846&lt;=Options!$B$10),"Denver","")</f>
        <v/>
      </c>
      <c r="B846" s="5">
        <f>IF(A846="","",18)</f>
        <v/>
      </c>
      <c r="C846" s="17" t="n">
        <v>46407</v>
      </c>
      <c r="D846" s="5">
        <f>IF(A846="","",IF(C846=DATE(2026,11,29),"培训；注册午餐；早餐参数",IF(C846=DATE(2026,11,30),"培训；注册午餐",IF(C846=DATE(2026,12,1),"培训；注册午餐；机构晚餐",IF(C846=Options!$B$9,"抵达；"&amp;IF(C846=DATE(2026,11,28),"机构晚餐","无统一供餐"),IF(C846=Options!$B$10,"返程；"&amp;IF(C846=DATE(2026,12,2),"机构午餐","无统一供餐"),"差旅状态；无统一日程"))))))</f>
        <v/>
      </c>
      <c r="E846" s="13">
        <f>IF(C846=Options!$B$9,Options!$C$16,0)</f>
        <v/>
      </c>
      <c r="F846" s="13">
        <f>IF(AND(A846&lt;&gt;"",C846&lt;Options!$B$10),B846*Options!$X$6,0)</f>
        <v/>
      </c>
      <c r="G846" s="13">
        <f>F846*12%</f>
        <v/>
      </c>
      <c r="H846" s="13">
        <f>IF(A846="",0,B846*(92*IF(OR(C846=Options!$B$9,C846=Options!$B$10),75%,100%)-IF(C846=DATE(2026,11,29),26+IF(Options!$B$8="是",23,0),0)-IF(C846=DATE(2026,11,30),26,0)-IF(C846=DATE(2026,12,1),64,0)-IF(C846=DATE(2026,11,28),38,0)-IF(C846=DATE(2026,12,2),26,0)))</f>
        <v/>
      </c>
      <c r="I846" s="13">
        <f>IF(AND(C846&gt;=DATE(2026,11,29),C846&lt;=DATE(2026,12,1)),B846*60,0)</f>
        <v/>
      </c>
      <c r="J846" s="13">
        <f>IF(A846="",0,B846*(IF(C846=DATE(2026,11,28),38,0)+IF(C846=DATE(2026,12,1),38,0)+IF(C846=DATE(2026,12,2),26,0)))</f>
        <v/>
      </c>
      <c r="K846" s="13">
        <f>IF(C846=Options!$B$9,B846*12,0)</f>
        <v/>
      </c>
      <c r="L846" s="13">
        <f>IF(C846=Options!$B$9,B846*Options!$Z$6,0)</f>
        <v/>
      </c>
      <c r="M846" s="13" t="n">
        <v>0</v>
      </c>
      <c r="N846" s="13">
        <f>SUM(E846:M846)</f>
        <v/>
      </c>
    </row>
    <row r="847">
      <c r="A847" s="5">
        <f>IF(AND(C847&gt;=Options!$B$9,C847&lt;=Options!$B$10),"Denver","")</f>
        <v/>
      </c>
      <c r="B847" s="5">
        <f>IF(A847="","",18)</f>
        <v/>
      </c>
      <c r="C847" s="17" t="n">
        <v>46408</v>
      </c>
      <c r="D847" s="5">
        <f>IF(A847="","",IF(C847=DATE(2026,11,29),"培训；注册午餐；早餐参数",IF(C847=DATE(2026,11,30),"培训；注册午餐",IF(C847=DATE(2026,12,1),"培训；注册午餐；机构晚餐",IF(C847=Options!$B$9,"抵达；"&amp;IF(C847=DATE(2026,11,28),"机构晚餐","无统一供餐"),IF(C847=Options!$B$10,"返程；"&amp;IF(C847=DATE(2026,12,2),"机构午餐","无统一供餐"),"差旅状态；无统一日程"))))))</f>
        <v/>
      </c>
      <c r="E847" s="13">
        <f>IF(C847=Options!$B$9,Options!$C$16,0)</f>
        <v/>
      </c>
      <c r="F847" s="13">
        <f>IF(AND(A847&lt;&gt;"",C847&lt;Options!$B$10),B847*Options!$X$6,0)</f>
        <v/>
      </c>
      <c r="G847" s="13">
        <f>F847*12%</f>
        <v/>
      </c>
      <c r="H847" s="13">
        <f>IF(A847="",0,B847*(92*IF(OR(C847=Options!$B$9,C847=Options!$B$10),75%,100%)-IF(C847=DATE(2026,11,29),26+IF(Options!$B$8="是",23,0),0)-IF(C847=DATE(2026,11,30),26,0)-IF(C847=DATE(2026,12,1),64,0)-IF(C847=DATE(2026,11,28),38,0)-IF(C847=DATE(2026,12,2),26,0)))</f>
        <v/>
      </c>
      <c r="I847" s="13">
        <f>IF(AND(C847&gt;=DATE(2026,11,29),C847&lt;=DATE(2026,12,1)),B847*60,0)</f>
        <v/>
      </c>
      <c r="J847" s="13">
        <f>IF(A847="",0,B847*(IF(C847=DATE(2026,11,28),38,0)+IF(C847=DATE(2026,12,1),38,0)+IF(C847=DATE(2026,12,2),26,0)))</f>
        <v/>
      </c>
      <c r="K847" s="13">
        <f>IF(C847=Options!$B$9,B847*12,0)</f>
        <v/>
      </c>
      <c r="L847" s="13">
        <f>IF(C847=Options!$B$9,B847*Options!$Z$6,0)</f>
        <v/>
      </c>
      <c r="M847" s="13" t="n">
        <v>0</v>
      </c>
      <c r="N847" s="13">
        <f>SUM(E847:M847)</f>
        <v/>
      </c>
    </row>
    <row r="848">
      <c r="A848" s="5">
        <f>IF(AND(C848&gt;=Options!$B$9,C848&lt;=Options!$B$10),"Denver","")</f>
        <v/>
      </c>
      <c r="B848" s="5">
        <f>IF(A848="","",18)</f>
        <v/>
      </c>
      <c r="C848" s="17" t="n">
        <v>46409</v>
      </c>
      <c r="D848" s="5">
        <f>IF(A848="","",IF(C848=DATE(2026,11,29),"培训；注册午餐；早餐参数",IF(C848=DATE(2026,11,30),"培训；注册午餐",IF(C848=DATE(2026,12,1),"培训；注册午餐；机构晚餐",IF(C848=Options!$B$9,"抵达；"&amp;IF(C848=DATE(2026,11,28),"机构晚餐","无统一供餐"),IF(C848=Options!$B$10,"返程；"&amp;IF(C848=DATE(2026,12,2),"机构午餐","无统一供餐"),"差旅状态；无统一日程"))))))</f>
        <v/>
      </c>
      <c r="E848" s="13">
        <f>IF(C848=Options!$B$9,Options!$C$16,0)</f>
        <v/>
      </c>
      <c r="F848" s="13">
        <f>IF(AND(A848&lt;&gt;"",C848&lt;Options!$B$10),B848*Options!$X$6,0)</f>
        <v/>
      </c>
      <c r="G848" s="13">
        <f>F848*12%</f>
        <v/>
      </c>
      <c r="H848" s="13">
        <f>IF(A848="",0,B848*(92*IF(OR(C848=Options!$B$9,C848=Options!$B$10),75%,100%)-IF(C848=DATE(2026,11,29),26+IF(Options!$B$8="是",23,0),0)-IF(C848=DATE(2026,11,30),26,0)-IF(C848=DATE(2026,12,1),64,0)-IF(C848=DATE(2026,11,28),38,0)-IF(C848=DATE(2026,12,2),26,0)))</f>
        <v/>
      </c>
      <c r="I848" s="13">
        <f>IF(AND(C848&gt;=DATE(2026,11,29),C848&lt;=DATE(2026,12,1)),B848*60,0)</f>
        <v/>
      </c>
      <c r="J848" s="13">
        <f>IF(A848="",0,B848*(IF(C848=DATE(2026,11,28),38,0)+IF(C848=DATE(2026,12,1),38,0)+IF(C848=DATE(2026,12,2),26,0)))</f>
        <v/>
      </c>
      <c r="K848" s="13">
        <f>IF(C848=Options!$B$9,B848*12,0)</f>
        <v/>
      </c>
      <c r="L848" s="13">
        <f>IF(C848=Options!$B$9,B848*Options!$Z$6,0)</f>
        <v/>
      </c>
      <c r="M848" s="13" t="n">
        <v>0</v>
      </c>
      <c r="N848" s="13">
        <f>SUM(E848:M848)</f>
        <v/>
      </c>
    </row>
    <row r="849">
      <c r="A849" s="5">
        <f>IF(AND(C849&gt;=Options!$B$9,C849&lt;=Options!$B$10),"Denver","")</f>
        <v/>
      </c>
      <c r="B849" s="5">
        <f>IF(A849="","",18)</f>
        <v/>
      </c>
      <c r="C849" s="17" t="n">
        <v>46410</v>
      </c>
      <c r="D849" s="5">
        <f>IF(A849="","",IF(C849=DATE(2026,11,29),"培训；注册午餐；早餐参数",IF(C849=DATE(2026,11,30),"培训；注册午餐",IF(C849=DATE(2026,12,1),"培训；注册午餐；机构晚餐",IF(C849=Options!$B$9,"抵达；"&amp;IF(C849=DATE(2026,11,28),"机构晚餐","无统一供餐"),IF(C849=Options!$B$10,"返程；"&amp;IF(C849=DATE(2026,12,2),"机构午餐","无统一供餐"),"差旅状态；无统一日程"))))))</f>
        <v/>
      </c>
      <c r="E849" s="13">
        <f>IF(C849=Options!$B$9,Options!$C$16,0)</f>
        <v/>
      </c>
      <c r="F849" s="13">
        <f>IF(AND(A849&lt;&gt;"",C849&lt;Options!$B$10),B849*Options!$X$6,0)</f>
        <v/>
      </c>
      <c r="G849" s="13">
        <f>F849*12%</f>
        <v/>
      </c>
      <c r="H849" s="13">
        <f>IF(A849="",0,B849*(92*IF(OR(C849=Options!$B$9,C849=Options!$B$10),75%,100%)-IF(C849=DATE(2026,11,29),26+IF(Options!$B$8="是",23,0),0)-IF(C849=DATE(2026,11,30),26,0)-IF(C849=DATE(2026,12,1),64,0)-IF(C849=DATE(2026,11,28),38,0)-IF(C849=DATE(2026,12,2),26,0)))</f>
        <v/>
      </c>
      <c r="I849" s="13">
        <f>IF(AND(C849&gt;=DATE(2026,11,29),C849&lt;=DATE(2026,12,1)),B849*60,0)</f>
        <v/>
      </c>
      <c r="J849" s="13">
        <f>IF(A849="",0,B849*(IF(C849=DATE(2026,11,28),38,0)+IF(C849=DATE(2026,12,1),38,0)+IF(C849=DATE(2026,12,2),26,0)))</f>
        <v/>
      </c>
      <c r="K849" s="13">
        <f>IF(C849=Options!$B$9,B849*12,0)</f>
        <v/>
      </c>
      <c r="L849" s="13">
        <f>IF(C849=Options!$B$9,B849*Options!$Z$6,0)</f>
        <v/>
      </c>
      <c r="M849" s="13" t="n">
        <v>0</v>
      </c>
      <c r="N849" s="13">
        <f>SUM(E849:M849)</f>
        <v/>
      </c>
    </row>
    <row r="850">
      <c r="A850" s="5">
        <f>IF(AND(C850&gt;=Options!$B$9,C850&lt;=Options!$B$10),"Denver","")</f>
        <v/>
      </c>
      <c r="B850" s="5">
        <f>IF(A850="","",18)</f>
        <v/>
      </c>
      <c r="C850" s="17" t="n">
        <v>46411</v>
      </c>
      <c r="D850" s="5">
        <f>IF(A850="","",IF(C850=DATE(2026,11,29),"培训；注册午餐；早餐参数",IF(C850=DATE(2026,11,30),"培训；注册午餐",IF(C850=DATE(2026,12,1),"培训；注册午餐；机构晚餐",IF(C850=Options!$B$9,"抵达；"&amp;IF(C850=DATE(2026,11,28),"机构晚餐","无统一供餐"),IF(C850=Options!$B$10,"返程；"&amp;IF(C850=DATE(2026,12,2),"机构午餐","无统一供餐"),"差旅状态；无统一日程"))))))</f>
        <v/>
      </c>
      <c r="E850" s="13">
        <f>IF(C850=Options!$B$9,Options!$C$16,0)</f>
        <v/>
      </c>
      <c r="F850" s="13">
        <f>IF(AND(A850&lt;&gt;"",C850&lt;Options!$B$10),B850*Options!$X$6,0)</f>
        <v/>
      </c>
      <c r="G850" s="13">
        <f>F850*12%</f>
        <v/>
      </c>
      <c r="H850" s="13">
        <f>IF(A850="",0,B850*(92*IF(OR(C850=Options!$B$9,C850=Options!$B$10),75%,100%)-IF(C850=DATE(2026,11,29),26+IF(Options!$B$8="是",23,0),0)-IF(C850=DATE(2026,11,30),26,0)-IF(C850=DATE(2026,12,1),64,0)-IF(C850=DATE(2026,11,28),38,0)-IF(C850=DATE(2026,12,2),26,0)))</f>
        <v/>
      </c>
      <c r="I850" s="13">
        <f>IF(AND(C850&gt;=DATE(2026,11,29),C850&lt;=DATE(2026,12,1)),B850*60,0)</f>
        <v/>
      </c>
      <c r="J850" s="13">
        <f>IF(A850="",0,B850*(IF(C850=DATE(2026,11,28),38,0)+IF(C850=DATE(2026,12,1),38,0)+IF(C850=DATE(2026,12,2),26,0)))</f>
        <v/>
      </c>
      <c r="K850" s="13">
        <f>IF(C850=Options!$B$9,B850*12,0)</f>
        <v/>
      </c>
      <c r="L850" s="13">
        <f>IF(C850=Options!$B$9,B850*Options!$Z$6,0)</f>
        <v/>
      </c>
      <c r="M850" s="13" t="n">
        <v>0</v>
      </c>
      <c r="N850" s="13">
        <f>SUM(E850:M850)</f>
        <v/>
      </c>
    </row>
    <row r="851">
      <c r="A851" s="5">
        <f>IF(AND(C851&gt;=Options!$B$9,C851&lt;=Options!$B$10),"Denver","")</f>
        <v/>
      </c>
      <c r="B851" s="5">
        <f>IF(A851="","",18)</f>
        <v/>
      </c>
      <c r="C851" s="17" t="n">
        <v>46412</v>
      </c>
      <c r="D851" s="5">
        <f>IF(A851="","",IF(C851=DATE(2026,11,29),"培训；注册午餐；早餐参数",IF(C851=DATE(2026,11,30),"培训；注册午餐",IF(C851=DATE(2026,12,1),"培训；注册午餐；机构晚餐",IF(C851=Options!$B$9,"抵达；"&amp;IF(C851=DATE(2026,11,28),"机构晚餐","无统一供餐"),IF(C851=Options!$B$10,"返程；"&amp;IF(C851=DATE(2026,12,2),"机构午餐","无统一供餐"),"差旅状态；无统一日程"))))))</f>
        <v/>
      </c>
      <c r="E851" s="13">
        <f>IF(C851=Options!$B$9,Options!$C$16,0)</f>
        <v/>
      </c>
      <c r="F851" s="13">
        <f>IF(AND(A851&lt;&gt;"",C851&lt;Options!$B$10),B851*Options!$X$6,0)</f>
        <v/>
      </c>
      <c r="G851" s="13">
        <f>F851*12%</f>
        <v/>
      </c>
      <c r="H851" s="13">
        <f>IF(A851="",0,B851*(92*IF(OR(C851=Options!$B$9,C851=Options!$B$10),75%,100%)-IF(C851=DATE(2026,11,29),26+IF(Options!$B$8="是",23,0),0)-IF(C851=DATE(2026,11,30),26,0)-IF(C851=DATE(2026,12,1),64,0)-IF(C851=DATE(2026,11,28),38,0)-IF(C851=DATE(2026,12,2),26,0)))</f>
        <v/>
      </c>
      <c r="I851" s="13">
        <f>IF(AND(C851&gt;=DATE(2026,11,29),C851&lt;=DATE(2026,12,1)),B851*60,0)</f>
        <v/>
      </c>
      <c r="J851" s="13">
        <f>IF(A851="",0,B851*(IF(C851=DATE(2026,11,28),38,0)+IF(C851=DATE(2026,12,1),38,0)+IF(C851=DATE(2026,12,2),26,0)))</f>
        <v/>
      </c>
      <c r="K851" s="13">
        <f>IF(C851=Options!$B$9,B851*12,0)</f>
        <v/>
      </c>
      <c r="L851" s="13">
        <f>IF(C851=Options!$B$9,B851*Options!$Z$6,0)</f>
        <v/>
      </c>
      <c r="M851" s="13" t="n">
        <v>0</v>
      </c>
      <c r="N851" s="13">
        <f>SUM(E851:M851)</f>
        <v/>
      </c>
    </row>
    <row r="852">
      <c r="A852" s="5">
        <f>IF(AND(C852&gt;=Options!$B$9,C852&lt;=Options!$B$10),"Denver","")</f>
        <v/>
      </c>
      <c r="B852" s="5">
        <f>IF(A852="","",18)</f>
        <v/>
      </c>
      <c r="C852" s="17" t="n">
        <v>46413</v>
      </c>
      <c r="D852" s="5">
        <f>IF(A852="","",IF(C852=DATE(2026,11,29),"培训；注册午餐；早餐参数",IF(C852=DATE(2026,11,30),"培训；注册午餐",IF(C852=DATE(2026,12,1),"培训；注册午餐；机构晚餐",IF(C852=Options!$B$9,"抵达；"&amp;IF(C852=DATE(2026,11,28),"机构晚餐","无统一供餐"),IF(C852=Options!$B$10,"返程；"&amp;IF(C852=DATE(2026,12,2),"机构午餐","无统一供餐"),"差旅状态；无统一日程"))))))</f>
        <v/>
      </c>
      <c r="E852" s="13">
        <f>IF(C852=Options!$B$9,Options!$C$16,0)</f>
        <v/>
      </c>
      <c r="F852" s="13">
        <f>IF(AND(A852&lt;&gt;"",C852&lt;Options!$B$10),B852*Options!$X$6,0)</f>
        <v/>
      </c>
      <c r="G852" s="13">
        <f>F852*12%</f>
        <v/>
      </c>
      <c r="H852" s="13">
        <f>IF(A852="",0,B852*(92*IF(OR(C852=Options!$B$9,C852=Options!$B$10),75%,100%)-IF(C852=DATE(2026,11,29),26+IF(Options!$B$8="是",23,0),0)-IF(C852=DATE(2026,11,30),26,0)-IF(C852=DATE(2026,12,1),64,0)-IF(C852=DATE(2026,11,28),38,0)-IF(C852=DATE(2026,12,2),26,0)))</f>
        <v/>
      </c>
      <c r="I852" s="13">
        <f>IF(AND(C852&gt;=DATE(2026,11,29),C852&lt;=DATE(2026,12,1)),B852*60,0)</f>
        <v/>
      </c>
      <c r="J852" s="13">
        <f>IF(A852="",0,B852*(IF(C852=DATE(2026,11,28),38,0)+IF(C852=DATE(2026,12,1),38,0)+IF(C852=DATE(2026,12,2),26,0)))</f>
        <v/>
      </c>
      <c r="K852" s="13">
        <f>IF(C852=Options!$B$9,B852*12,0)</f>
        <v/>
      </c>
      <c r="L852" s="13">
        <f>IF(C852=Options!$B$9,B852*Options!$Z$6,0)</f>
        <v/>
      </c>
      <c r="M852" s="13" t="n">
        <v>0</v>
      </c>
      <c r="N852" s="13">
        <f>SUM(E852:M852)</f>
        <v/>
      </c>
    </row>
    <row r="853">
      <c r="A853" s="5">
        <f>IF(AND(C853&gt;=Options!$B$9,C853&lt;=Options!$B$10),"Denver","")</f>
        <v/>
      </c>
      <c r="B853" s="5">
        <f>IF(A853="","",18)</f>
        <v/>
      </c>
      <c r="C853" s="17" t="n">
        <v>46414</v>
      </c>
      <c r="D853" s="5">
        <f>IF(A853="","",IF(C853=DATE(2026,11,29),"培训；注册午餐；早餐参数",IF(C853=DATE(2026,11,30),"培训；注册午餐",IF(C853=DATE(2026,12,1),"培训；注册午餐；机构晚餐",IF(C853=Options!$B$9,"抵达；"&amp;IF(C853=DATE(2026,11,28),"机构晚餐","无统一供餐"),IF(C853=Options!$B$10,"返程；"&amp;IF(C853=DATE(2026,12,2),"机构午餐","无统一供餐"),"差旅状态；无统一日程"))))))</f>
        <v/>
      </c>
      <c r="E853" s="13">
        <f>IF(C853=Options!$B$9,Options!$C$16,0)</f>
        <v/>
      </c>
      <c r="F853" s="13">
        <f>IF(AND(A853&lt;&gt;"",C853&lt;Options!$B$10),B853*Options!$X$6,0)</f>
        <v/>
      </c>
      <c r="G853" s="13">
        <f>F853*12%</f>
        <v/>
      </c>
      <c r="H853" s="13">
        <f>IF(A853="",0,B853*(92*IF(OR(C853=Options!$B$9,C853=Options!$B$10),75%,100%)-IF(C853=DATE(2026,11,29),26+IF(Options!$B$8="是",23,0),0)-IF(C853=DATE(2026,11,30),26,0)-IF(C853=DATE(2026,12,1),64,0)-IF(C853=DATE(2026,11,28),38,0)-IF(C853=DATE(2026,12,2),26,0)))</f>
        <v/>
      </c>
      <c r="I853" s="13">
        <f>IF(AND(C853&gt;=DATE(2026,11,29),C853&lt;=DATE(2026,12,1)),B853*60,0)</f>
        <v/>
      </c>
      <c r="J853" s="13">
        <f>IF(A853="",0,B853*(IF(C853=DATE(2026,11,28),38,0)+IF(C853=DATE(2026,12,1),38,0)+IF(C853=DATE(2026,12,2),26,0)))</f>
        <v/>
      </c>
      <c r="K853" s="13">
        <f>IF(C853=Options!$B$9,B853*12,0)</f>
        <v/>
      </c>
      <c r="L853" s="13">
        <f>IF(C853=Options!$B$9,B853*Options!$Z$6,0)</f>
        <v/>
      </c>
      <c r="M853" s="13" t="n">
        <v>0</v>
      </c>
      <c r="N853" s="13">
        <f>SUM(E853:M853)</f>
        <v/>
      </c>
    </row>
    <row r="854">
      <c r="A854" s="5">
        <f>IF(AND(C854&gt;=Options!$B$9,C854&lt;=Options!$B$10),"Denver","")</f>
        <v/>
      </c>
      <c r="B854" s="5">
        <f>IF(A854="","",18)</f>
        <v/>
      </c>
      <c r="C854" s="17" t="n">
        <v>46415</v>
      </c>
      <c r="D854" s="5">
        <f>IF(A854="","",IF(C854=DATE(2026,11,29),"培训；注册午餐；早餐参数",IF(C854=DATE(2026,11,30),"培训；注册午餐",IF(C854=DATE(2026,12,1),"培训；注册午餐；机构晚餐",IF(C854=Options!$B$9,"抵达；"&amp;IF(C854=DATE(2026,11,28),"机构晚餐","无统一供餐"),IF(C854=Options!$B$10,"返程；"&amp;IF(C854=DATE(2026,12,2),"机构午餐","无统一供餐"),"差旅状态；无统一日程"))))))</f>
        <v/>
      </c>
      <c r="E854" s="13">
        <f>IF(C854=Options!$B$9,Options!$C$16,0)</f>
        <v/>
      </c>
      <c r="F854" s="13">
        <f>IF(AND(A854&lt;&gt;"",C854&lt;Options!$B$10),B854*Options!$X$6,0)</f>
        <v/>
      </c>
      <c r="G854" s="13">
        <f>F854*12%</f>
        <v/>
      </c>
      <c r="H854" s="13">
        <f>IF(A854="",0,B854*(92*IF(OR(C854=Options!$B$9,C854=Options!$B$10),75%,100%)-IF(C854=DATE(2026,11,29),26+IF(Options!$B$8="是",23,0),0)-IF(C854=DATE(2026,11,30),26,0)-IF(C854=DATE(2026,12,1),64,0)-IF(C854=DATE(2026,11,28),38,0)-IF(C854=DATE(2026,12,2),26,0)))</f>
        <v/>
      </c>
      <c r="I854" s="13">
        <f>IF(AND(C854&gt;=DATE(2026,11,29),C854&lt;=DATE(2026,12,1)),B854*60,0)</f>
        <v/>
      </c>
      <c r="J854" s="13">
        <f>IF(A854="",0,B854*(IF(C854=DATE(2026,11,28),38,0)+IF(C854=DATE(2026,12,1),38,0)+IF(C854=DATE(2026,12,2),26,0)))</f>
        <v/>
      </c>
      <c r="K854" s="13">
        <f>IF(C854=Options!$B$9,B854*12,0)</f>
        <v/>
      </c>
      <c r="L854" s="13">
        <f>IF(C854=Options!$B$9,B854*Options!$Z$6,0)</f>
        <v/>
      </c>
      <c r="M854" s="13" t="n">
        <v>0</v>
      </c>
      <c r="N854" s="13">
        <f>SUM(E854:M854)</f>
        <v/>
      </c>
    </row>
    <row r="855">
      <c r="A855" s="5">
        <f>IF(AND(C855&gt;=Options!$B$9,C855&lt;=Options!$B$10),"Denver","")</f>
        <v/>
      </c>
      <c r="B855" s="5">
        <f>IF(A855="","",18)</f>
        <v/>
      </c>
      <c r="C855" s="17" t="n">
        <v>46416</v>
      </c>
      <c r="D855" s="5">
        <f>IF(A855="","",IF(C855=DATE(2026,11,29),"培训；注册午餐；早餐参数",IF(C855=DATE(2026,11,30),"培训；注册午餐",IF(C855=DATE(2026,12,1),"培训；注册午餐；机构晚餐",IF(C855=Options!$B$9,"抵达；"&amp;IF(C855=DATE(2026,11,28),"机构晚餐","无统一供餐"),IF(C855=Options!$B$10,"返程；"&amp;IF(C855=DATE(2026,12,2),"机构午餐","无统一供餐"),"差旅状态；无统一日程"))))))</f>
        <v/>
      </c>
      <c r="E855" s="13">
        <f>IF(C855=Options!$B$9,Options!$C$16,0)</f>
        <v/>
      </c>
      <c r="F855" s="13">
        <f>IF(AND(A855&lt;&gt;"",C855&lt;Options!$B$10),B855*Options!$X$6,0)</f>
        <v/>
      </c>
      <c r="G855" s="13">
        <f>F855*12%</f>
        <v/>
      </c>
      <c r="H855" s="13">
        <f>IF(A855="",0,B855*(92*IF(OR(C855=Options!$B$9,C855=Options!$B$10),75%,100%)-IF(C855=DATE(2026,11,29),26+IF(Options!$B$8="是",23,0),0)-IF(C855=DATE(2026,11,30),26,0)-IF(C855=DATE(2026,12,1),64,0)-IF(C855=DATE(2026,11,28),38,0)-IF(C855=DATE(2026,12,2),26,0)))</f>
        <v/>
      </c>
      <c r="I855" s="13">
        <f>IF(AND(C855&gt;=DATE(2026,11,29),C855&lt;=DATE(2026,12,1)),B855*60,0)</f>
        <v/>
      </c>
      <c r="J855" s="13">
        <f>IF(A855="",0,B855*(IF(C855=DATE(2026,11,28),38,0)+IF(C855=DATE(2026,12,1),38,0)+IF(C855=DATE(2026,12,2),26,0)))</f>
        <v/>
      </c>
      <c r="K855" s="13">
        <f>IF(C855=Options!$B$9,B855*12,0)</f>
        <v/>
      </c>
      <c r="L855" s="13">
        <f>IF(C855=Options!$B$9,B855*Options!$Z$6,0)</f>
        <v/>
      </c>
      <c r="M855" s="13" t="n">
        <v>0</v>
      </c>
      <c r="N855" s="13">
        <f>SUM(E855:M855)</f>
        <v/>
      </c>
    </row>
    <row r="856">
      <c r="A856" s="5">
        <f>IF(AND(C856&gt;=Options!$B$9,C856&lt;=Options!$B$10),"Denver","")</f>
        <v/>
      </c>
      <c r="B856" s="5">
        <f>IF(A856="","",18)</f>
        <v/>
      </c>
      <c r="C856" s="17" t="n">
        <v>46417</v>
      </c>
      <c r="D856" s="5">
        <f>IF(A856="","",IF(C856=DATE(2026,11,29),"培训；注册午餐；早餐参数",IF(C856=DATE(2026,11,30),"培训；注册午餐",IF(C856=DATE(2026,12,1),"培训；注册午餐；机构晚餐",IF(C856=Options!$B$9,"抵达；"&amp;IF(C856=DATE(2026,11,28),"机构晚餐","无统一供餐"),IF(C856=Options!$B$10,"返程；"&amp;IF(C856=DATE(2026,12,2),"机构午餐","无统一供餐"),"差旅状态；无统一日程"))))))</f>
        <v/>
      </c>
      <c r="E856" s="13">
        <f>IF(C856=Options!$B$9,Options!$C$16,0)</f>
        <v/>
      </c>
      <c r="F856" s="13">
        <f>IF(AND(A856&lt;&gt;"",C856&lt;Options!$B$10),B856*Options!$X$6,0)</f>
        <v/>
      </c>
      <c r="G856" s="13">
        <f>F856*12%</f>
        <v/>
      </c>
      <c r="H856" s="13">
        <f>IF(A856="",0,B856*(92*IF(OR(C856=Options!$B$9,C856=Options!$B$10),75%,100%)-IF(C856=DATE(2026,11,29),26+IF(Options!$B$8="是",23,0),0)-IF(C856=DATE(2026,11,30),26,0)-IF(C856=DATE(2026,12,1),64,0)-IF(C856=DATE(2026,11,28),38,0)-IF(C856=DATE(2026,12,2),26,0)))</f>
        <v/>
      </c>
      <c r="I856" s="13">
        <f>IF(AND(C856&gt;=DATE(2026,11,29),C856&lt;=DATE(2026,12,1)),B856*60,0)</f>
        <v/>
      </c>
      <c r="J856" s="13">
        <f>IF(A856="",0,B856*(IF(C856=DATE(2026,11,28),38,0)+IF(C856=DATE(2026,12,1),38,0)+IF(C856=DATE(2026,12,2),26,0)))</f>
        <v/>
      </c>
      <c r="K856" s="13">
        <f>IF(C856=Options!$B$9,B856*12,0)</f>
        <v/>
      </c>
      <c r="L856" s="13">
        <f>IF(C856=Options!$B$9,B856*Options!$Z$6,0)</f>
        <v/>
      </c>
      <c r="M856" s="13" t="n">
        <v>0</v>
      </c>
      <c r="N856" s="13">
        <f>SUM(E856:M856)</f>
        <v/>
      </c>
    </row>
    <row r="857">
      <c r="A857" s="5">
        <f>IF(AND(C857&gt;=Options!$B$9,C857&lt;=Options!$B$10),"Denver","")</f>
        <v/>
      </c>
      <c r="B857" s="5">
        <f>IF(A857="","",18)</f>
        <v/>
      </c>
      <c r="C857" s="17" t="n">
        <v>46418</v>
      </c>
      <c r="D857" s="5">
        <f>IF(A857="","",IF(C857=DATE(2026,11,29),"培训；注册午餐；早餐参数",IF(C857=DATE(2026,11,30),"培训；注册午餐",IF(C857=DATE(2026,12,1),"培训；注册午餐；机构晚餐",IF(C857=Options!$B$9,"抵达；"&amp;IF(C857=DATE(2026,11,28),"机构晚餐","无统一供餐"),IF(C857=Options!$B$10,"返程；"&amp;IF(C857=DATE(2026,12,2),"机构午餐","无统一供餐"),"差旅状态；无统一日程"))))))</f>
        <v/>
      </c>
      <c r="E857" s="13">
        <f>IF(C857=Options!$B$9,Options!$C$16,0)</f>
        <v/>
      </c>
      <c r="F857" s="13">
        <f>IF(AND(A857&lt;&gt;"",C857&lt;Options!$B$10),B857*Options!$X$6,0)</f>
        <v/>
      </c>
      <c r="G857" s="13">
        <f>F857*12%</f>
        <v/>
      </c>
      <c r="H857" s="13">
        <f>IF(A857="",0,B857*(92*IF(OR(C857=Options!$B$9,C857=Options!$B$10),75%,100%)-IF(C857=DATE(2026,11,29),26+IF(Options!$B$8="是",23,0),0)-IF(C857=DATE(2026,11,30),26,0)-IF(C857=DATE(2026,12,1),64,0)-IF(C857=DATE(2026,11,28),38,0)-IF(C857=DATE(2026,12,2),26,0)))</f>
        <v/>
      </c>
      <c r="I857" s="13">
        <f>IF(AND(C857&gt;=DATE(2026,11,29),C857&lt;=DATE(2026,12,1)),B857*60,0)</f>
        <v/>
      </c>
      <c r="J857" s="13">
        <f>IF(A857="",0,B857*(IF(C857=DATE(2026,11,28),38,0)+IF(C857=DATE(2026,12,1),38,0)+IF(C857=DATE(2026,12,2),26,0)))</f>
        <v/>
      </c>
      <c r="K857" s="13">
        <f>IF(C857=Options!$B$9,B857*12,0)</f>
        <v/>
      </c>
      <c r="L857" s="13">
        <f>IF(C857=Options!$B$9,B857*Options!$Z$6,0)</f>
        <v/>
      </c>
      <c r="M857" s="13" t="n">
        <v>0</v>
      </c>
      <c r="N857" s="13">
        <f>SUM(E857:M857)</f>
        <v/>
      </c>
    </row>
    <row r="858">
      <c r="A858" s="5">
        <f>IF(AND(C858&gt;=Options!$B$9,C858&lt;=Options!$B$10),"Denver","")</f>
        <v/>
      </c>
      <c r="B858" s="5">
        <f>IF(A858="","",18)</f>
        <v/>
      </c>
      <c r="C858" s="17" t="n">
        <v>46419</v>
      </c>
      <c r="D858" s="5">
        <f>IF(A858="","",IF(C858=DATE(2026,11,29),"培训；注册午餐；早餐参数",IF(C858=DATE(2026,11,30),"培训；注册午餐",IF(C858=DATE(2026,12,1),"培训；注册午餐；机构晚餐",IF(C858=Options!$B$9,"抵达；"&amp;IF(C858=DATE(2026,11,28),"机构晚餐","无统一供餐"),IF(C858=Options!$B$10,"返程；"&amp;IF(C858=DATE(2026,12,2),"机构午餐","无统一供餐"),"差旅状态；无统一日程"))))))</f>
        <v/>
      </c>
      <c r="E858" s="13">
        <f>IF(C858=Options!$B$9,Options!$C$16,0)</f>
        <v/>
      </c>
      <c r="F858" s="13">
        <f>IF(AND(A858&lt;&gt;"",C858&lt;Options!$B$10),B858*Options!$X$6,0)</f>
        <v/>
      </c>
      <c r="G858" s="13">
        <f>F858*12%</f>
        <v/>
      </c>
      <c r="H858" s="13">
        <f>IF(A858="",0,B858*(92*IF(OR(C858=Options!$B$9,C858=Options!$B$10),75%,100%)-IF(C858=DATE(2026,11,29),26+IF(Options!$B$8="是",23,0),0)-IF(C858=DATE(2026,11,30),26,0)-IF(C858=DATE(2026,12,1),64,0)-IF(C858=DATE(2026,11,28),38,0)-IF(C858=DATE(2026,12,2),26,0)))</f>
        <v/>
      </c>
      <c r="I858" s="13">
        <f>IF(AND(C858&gt;=DATE(2026,11,29),C858&lt;=DATE(2026,12,1)),B858*60,0)</f>
        <v/>
      </c>
      <c r="J858" s="13">
        <f>IF(A858="",0,B858*(IF(C858=DATE(2026,11,28),38,0)+IF(C858=DATE(2026,12,1),38,0)+IF(C858=DATE(2026,12,2),26,0)))</f>
        <v/>
      </c>
      <c r="K858" s="13">
        <f>IF(C858=Options!$B$9,B858*12,0)</f>
        <v/>
      </c>
      <c r="L858" s="13">
        <f>IF(C858=Options!$B$9,B858*Options!$Z$6,0)</f>
        <v/>
      </c>
      <c r="M858" s="13" t="n">
        <v>0</v>
      </c>
      <c r="N858" s="13">
        <f>SUM(E858:M858)</f>
        <v/>
      </c>
    </row>
    <row r="859">
      <c r="A859" s="5">
        <f>IF(AND(C859&gt;=Options!$B$9,C859&lt;=Options!$B$10),"Denver","")</f>
        <v/>
      </c>
      <c r="B859" s="5">
        <f>IF(A859="","",18)</f>
        <v/>
      </c>
      <c r="C859" s="17" t="n">
        <v>46420</v>
      </c>
      <c r="D859" s="5">
        <f>IF(A859="","",IF(C859=DATE(2026,11,29),"培训；注册午餐；早餐参数",IF(C859=DATE(2026,11,30),"培训；注册午餐",IF(C859=DATE(2026,12,1),"培训；注册午餐；机构晚餐",IF(C859=Options!$B$9,"抵达；"&amp;IF(C859=DATE(2026,11,28),"机构晚餐","无统一供餐"),IF(C859=Options!$B$10,"返程；"&amp;IF(C859=DATE(2026,12,2),"机构午餐","无统一供餐"),"差旅状态；无统一日程"))))))</f>
        <v/>
      </c>
      <c r="E859" s="13">
        <f>IF(C859=Options!$B$9,Options!$C$16,0)</f>
        <v/>
      </c>
      <c r="F859" s="13">
        <f>IF(AND(A859&lt;&gt;"",C859&lt;Options!$B$10),B859*Options!$X$6,0)</f>
        <v/>
      </c>
      <c r="G859" s="13">
        <f>F859*12%</f>
        <v/>
      </c>
      <c r="H859" s="13">
        <f>IF(A859="",0,B859*(92*IF(OR(C859=Options!$B$9,C859=Options!$B$10),75%,100%)-IF(C859=DATE(2026,11,29),26+IF(Options!$B$8="是",23,0),0)-IF(C859=DATE(2026,11,30),26,0)-IF(C859=DATE(2026,12,1),64,0)-IF(C859=DATE(2026,11,28),38,0)-IF(C859=DATE(2026,12,2),26,0)))</f>
        <v/>
      </c>
      <c r="I859" s="13">
        <f>IF(AND(C859&gt;=DATE(2026,11,29),C859&lt;=DATE(2026,12,1)),B859*60,0)</f>
        <v/>
      </c>
      <c r="J859" s="13">
        <f>IF(A859="",0,B859*(IF(C859=DATE(2026,11,28),38,0)+IF(C859=DATE(2026,12,1),38,0)+IF(C859=DATE(2026,12,2),26,0)))</f>
        <v/>
      </c>
      <c r="K859" s="13">
        <f>IF(C859=Options!$B$9,B859*12,0)</f>
        <v/>
      </c>
      <c r="L859" s="13">
        <f>IF(C859=Options!$B$9,B859*Options!$Z$6,0)</f>
        <v/>
      </c>
      <c r="M859" s="13" t="n">
        <v>0</v>
      </c>
      <c r="N859" s="13">
        <f>SUM(E859:M859)</f>
        <v/>
      </c>
    </row>
    <row r="860">
      <c r="A860" s="5">
        <f>IF(AND(C860&gt;=Options!$B$9,C860&lt;=Options!$B$10),"Denver","")</f>
        <v/>
      </c>
      <c r="B860" s="5">
        <f>IF(A860="","",18)</f>
        <v/>
      </c>
      <c r="C860" s="17" t="n">
        <v>46421</v>
      </c>
      <c r="D860" s="5">
        <f>IF(A860="","",IF(C860=DATE(2026,11,29),"培训；注册午餐；早餐参数",IF(C860=DATE(2026,11,30),"培训；注册午餐",IF(C860=DATE(2026,12,1),"培训；注册午餐；机构晚餐",IF(C860=Options!$B$9,"抵达；"&amp;IF(C860=DATE(2026,11,28),"机构晚餐","无统一供餐"),IF(C860=Options!$B$10,"返程；"&amp;IF(C860=DATE(2026,12,2),"机构午餐","无统一供餐"),"差旅状态；无统一日程"))))))</f>
        <v/>
      </c>
      <c r="E860" s="13">
        <f>IF(C860=Options!$B$9,Options!$C$16,0)</f>
        <v/>
      </c>
      <c r="F860" s="13">
        <f>IF(AND(A860&lt;&gt;"",C860&lt;Options!$B$10),B860*Options!$X$6,0)</f>
        <v/>
      </c>
      <c r="G860" s="13">
        <f>F860*12%</f>
        <v/>
      </c>
      <c r="H860" s="13">
        <f>IF(A860="",0,B860*(92*IF(OR(C860=Options!$B$9,C860=Options!$B$10),75%,100%)-IF(C860=DATE(2026,11,29),26+IF(Options!$B$8="是",23,0),0)-IF(C860=DATE(2026,11,30),26,0)-IF(C860=DATE(2026,12,1),64,0)-IF(C860=DATE(2026,11,28),38,0)-IF(C860=DATE(2026,12,2),26,0)))</f>
        <v/>
      </c>
      <c r="I860" s="13">
        <f>IF(AND(C860&gt;=DATE(2026,11,29),C860&lt;=DATE(2026,12,1)),B860*60,0)</f>
        <v/>
      </c>
      <c r="J860" s="13">
        <f>IF(A860="",0,B860*(IF(C860=DATE(2026,11,28),38,0)+IF(C860=DATE(2026,12,1),38,0)+IF(C860=DATE(2026,12,2),26,0)))</f>
        <v/>
      </c>
      <c r="K860" s="13">
        <f>IF(C860=Options!$B$9,B860*12,0)</f>
        <v/>
      </c>
      <c r="L860" s="13">
        <f>IF(C860=Options!$B$9,B860*Options!$Z$6,0)</f>
        <v/>
      </c>
      <c r="M860" s="13" t="n">
        <v>0</v>
      </c>
      <c r="N860" s="13">
        <f>SUM(E860:M860)</f>
        <v/>
      </c>
    </row>
    <row r="861">
      <c r="A861" s="5">
        <f>IF(AND(C861&gt;=Options!$B$9,C861&lt;=Options!$B$10),"Denver","")</f>
        <v/>
      </c>
      <c r="B861" s="5">
        <f>IF(A861="","",18)</f>
        <v/>
      </c>
      <c r="C861" s="17" t="n">
        <v>46422</v>
      </c>
      <c r="D861" s="5">
        <f>IF(A861="","",IF(C861=DATE(2026,11,29),"培训；注册午餐；早餐参数",IF(C861=DATE(2026,11,30),"培训；注册午餐",IF(C861=DATE(2026,12,1),"培训；注册午餐；机构晚餐",IF(C861=Options!$B$9,"抵达；"&amp;IF(C861=DATE(2026,11,28),"机构晚餐","无统一供餐"),IF(C861=Options!$B$10,"返程；"&amp;IF(C861=DATE(2026,12,2),"机构午餐","无统一供餐"),"差旅状态；无统一日程"))))))</f>
        <v/>
      </c>
      <c r="E861" s="13">
        <f>IF(C861=Options!$B$9,Options!$C$16,0)</f>
        <v/>
      </c>
      <c r="F861" s="13">
        <f>IF(AND(A861&lt;&gt;"",C861&lt;Options!$B$10),B861*Options!$X$6,0)</f>
        <v/>
      </c>
      <c r="G861" s="13">
        <f>F861*12%</f>
        <v/>
      </c>
      <c r="H861" s="13">
        <f>IF(A861="",0,B861*(92*IF(OR(C861=Options!$B$9,C861=Options!$B$10),75%,100%)-IF(C861=DATE(2026,11,29),26+IF(Options!$B$8="是",23,0),0)-IF(C861=DATE(2026,11,30),26,0)-IF(C861=DATE(2026,12,1),64,0)-IF(C861=DATE(2026,11,28),38,0)-IF(C861=DATE(2026,12,2),26,0)))</f>
        <v/>
      </c>
      <c r="I861" s="13">
        <f>IF(AND(C861&gt;=DATE(2026,11,29),C861&lt;=DATE(2026,12,1)),B861*60,0)</f>
        <v/>
      </c>
      <c r="J861" s="13">
        <f>IF(A861="",0,B861*(IF(C861=DATE(2026,11,28),38,0)+IF(C861=DATE(2026,12,1),38,0)+IF(C861=DATE(2026,12,2),26,0)))</f>
        <v/>
      </c>
      <c r="K861" s="13">
        <f>IF(C861=Options!$B$9,B861*12,0)</f>
        <v/>
      </c>
      <c r="L861" s="13">
        <f>IF(C861=Options!$B$9,B861*Options!$Z$6,0)</f>
        <v/>
      </c>
      <c r="M861" s="13" t="n">
        <v>0</v>
      </c>
      <c r="N861" s="13">
        <f>SUM(E861:M861)</f>
        <v/>
      </c>
    </row>
    <row r="862">
      <c r="A862" s="5">
        <f>IF(AND(C862&gt;=Options!$B$9,C862&lt;=Options!$B$10),"Denver","")</f>
        <v/>
      </c>
      <c r="B862" s="5">
        <f>IF(A862="","",18)</f>
        <v/>
      </c>
      <c r="C862" s="17" t="n">
        <v>46423</v>
      </c>
      <c r="D862" s="5">
        <f>IF(A862="","",IF(C862=DATE(2026,11,29),"培训；注册午餐；早餐参数",IF(C862=DATE(2026,11,30),"培训；注册午餐",IF(C862=DATE(2026,12,1),"培训；注册午餐；机构晚餐",IF(C862=Options!$B$9,"抵达；"&amp;IF(C862=DATE(2026,11,28),"机构晚餐","无统一供餐"),IF(C862=Options!$B$10,"返程；"&amp;IF(C862=DATE(2026,12,2),"机构午餐","无统一供餐"),"差旅状态；无统一日程"))))))</f>
        <v/>
      </c>
      <c r="E862" s="13">
        <f>IF(C862=Options!$B$9,Options!$C$16,0)</f>
        <v/>
      </c>
      <c r="F862" s="13">
        <f>IF(AND(A862&lt;&gt;"",C862&lt;Options!$B$10),B862*Options!$X$6,0)</f>
        <v/>
      </c>
      <c r="G862" s="13">
        <f>F862*12%</f>
        <v/>
      </c>
      <c r="H862" s="13">
        <f>IF(A862="",0,B862*(92*IF(OR(C862=Options!$B$9,C862=Options!$B$10),75%,100%)-IF(C862=DATE(2026,11,29),26+IF(Options!$B$8="是",23,0),0)-IF(C862=DATE(2026,11,30),26,0)-IF(C862=DATE(2026,12,1),64,0)-IF(C862=DATE(2026,11,28),38,0)-IF(C862=DATE(2026,12,2),26,0)))</f>
        <v/>
      </c>
      <c r="I862" s="13">
        <f>IF(AND(C862&gt;=DATE(2026,11,29),C862&lt;=DATE(2026,12,1)),B862*60,0)</f>
        <v/>
      </c>
      <c r="J862" s="13">
        <f>IF(A862="",0,B862*(IF(C862=DATE(2026,11,28),38,0)+IF(C862=DATE(2026,12,1),38,0)+IF(C862=DATE(2026,12,2),26,0)))</f>
        <v/>
      </c>
      <c r="K862" s="13">
        <f>IF(C862=Options!$B$9,B862*12,0)</f>
        <v/>
      </c>
      <c r="L862" s="13">
        <f>IF(C862=Options!$B$9,B862*Options!$Z$6,0)</f>
        <v/>
      </c>
      <c r="M862" s="13" t="n">
        <v>0</v>
      </c>
      <c r="N862" s="13">
        <f>SUM(E862:M862)</f>
        <v/>
      </c>
    </row>
    <row r="863">
      <c r="A863" s="5">
        <f>IF(AND(C863&gt;=Options!$B$9,C863&lt;=Options!$B$10),"Denver","")</f>
        <v/>
      </c>
      <c r="B863" s="5">
        <f>IF(A863="","",18)</f>
        <v/>
      </c>
      <c r="C863" s="17" t="n">
        <v>46424</v>
      </c>
      <c r="D863" s="5">
        <f>IF(A863="","",IF(C863=DATE(2026,11,29),"培训；注册午餐；早餐参数",IF(C863=DATE(2026,11,30),"培训；注册午餐",IF(C863=DATE(2026,12,1),"培训；注册午餐；机构晚餐",IF(C863=Options!$B$9,"抵达；"&amp;IF(C863=DATE(2026,11,28),"机构晚餐","无统一供餐"),IF(C863=Options!$B$10,"返程；"&amp;IF(C863=DATE(2026,12,2),"机构午餐","无统一供餐"),"差旅状态；无统一日程"))))))</f>
        <v/>
      </c>
      <c r="E863" s="13">
        <f>IF(C863=Options!$B$9,Options!$C$16,0)</f>
        <v/>
      </c>
      <c r="F863" s="13">
        <f>IF(AND(A863&lt;&gt;"",C863&lt;Options!$B$10),B863*Options!$X$6,0)</f>
        <v/>
      </c>
      <c r="G863" s="13">
        <f>F863*12%</f>
        <v/>
      </c>
      <c r="H863" s="13">
        <f>IF(A863="",0,B863*(92*IF(OR(C863=Options!$B$9,C863=Options!$B$10),75%,100%)-IF(C863=DATE(2026,11,29),26+IF(Options!$B$8="是",23,0),0)-IF(C863=DATE(2026,11,30),26,0)-IF(C863=DATE(2026,12,1),64,0)-IF(C863=DATE(2026,11,28),38,0)-IF(C863=DATE(2026,12,2),26,0)))</f>
        <v/>
      </c>
      <c r="I863" s="13">
        <f>IF(AND(C863&gt;=DATE(2026,11,29),C863&lt;=DATE(2026,12,1)),B863*60,0)</f>
        <v/>
      </c>
      <c r="J863" s="13">
        <f>IF(A863="",0,B863*(IF(C863=DATE(2026,11,28),38,0)+IF(C863=DATE(2026,12,1),38,0)+IF(C863=DATE(2026,12,2),26,0)))</f>
        <v/>
      </c>
      <c r="K863" s="13">
        <f>IF(C863=Options!$B$9,B863*12,0)</f>
        <v/>
      </c>
      <c r="L863" s="13">
        <f>IF(C863=Options!$B$9,B863*Options!$Z$6,0)</f>
        <v/>
      </c>
      <c r="M863" s="13" t="n">
        <v>0</v>
      </c>
      <c r="N863" s="13">
        <f>SUM(E863:M863)</f>
        <v/>
      </c>
    </row>
    <row r="864">
      <c r="A864" s="5">
        <f>IF(AND(C864&gt;=Options!$B$9,C864&lt;=Options!$B$10),"Denver","")</f>
        <v/>
      </c>
      <c r="B864" s="5">
        <f>IF(A864="","",18)</f>
        <v/>
      </c>
      <c r="C864" s="17" t="n">
        <v>46425</v>
      </c>
      <c r="D864" s="5">
        <f>IF(A864="","",IF(C864=DATE(2026,11,29),"培训；注册午餐；早餐参数",IF(C864=DATE(2026,11,30),"培训；注册午餐",IF(C864=DATE(2026,12,1),"培训；注册午餐；机构晚餐",IF(C864=Options!$B$9,"抵达；"&amp;IF(C864=DATE(2026,11,28),"机构晚餐","无统一供餐"),IF(C864=Options!$B$10,"返程；"&amp;IF(C864=DATE(2026,12,2),"机构午餐","无统一供餐"),"差旅状态；无统一日程"))))))</f>
        <v/>
      </c>
      <c r="E864" s="13">
        <f>IF(C864=Options!$B$9,Options!$C$16,0)</f>
        <v/>
      </c>
      <c r="F864" s="13">
        <f>IF(AND(A864&lt;&gt;"",C864&lt;Options!$B$10),B864*Options!$X$6,0)</f>
        <v/>
      </c>
      <c r="G864" s="13">
        <f>F864*12%</f>
        <v/>
      </c>
      <c r="H864" s="13">
        <f>IF(A864="",0,B864*(92*IF(OR(C864=Options!$B$9,C864=Options!$B$10),75%,100%)-IF(C864=DATE(2026,11,29),26+IF(Options!$B$8="是",23,0),0)-IF(C864=DATE(2026,11,30),26,0)-IF(C864=DATE(2026,12,1),64,0)-IF(C864=DATE(2026,11,28),38,0)-IF(C864=DATE(2026,12,2),26,0)))</f>
        <v/>
      </c>
      <c r="I864" s="13">
        <f>IF(AND(C864&gt;=DATE(2026,11,29),C864&lt;=DATE(2026,12,1)),B864*60,0)</f>
        <v/>
      </c>
      <c r="J864" s="13">
        <f>IF(A864="",0,B864*(IF(C864=DATE(2026,11,28),38,0)+IF(C864=DATE(2026,12,1),38,0)+IF(C864=DATE(2026,12,2),26,0)))</f>
        <v/>
      </c>
      <c r="K864" s="13">
        <f>IF(C864=Options!$B$9,B864*12,0)</f>
        <v/>
      </c>
      <c r="L864" s="13">
        <f>IF(C864=Options!$B$9,B864*Options!$Z$6,0)</f>
        <v/>
      </c>
      <c r="M864" s="13" t="n">
        <v>0</v>
      </c>
      <c r="N864" s="13">
        <f>SUM(E864:M864)</f>
        <v/>
      </c>
    </row>
    <row r="865">
      <c r="A865" s="5">
        <f>IF(AND(C865&gt;=Options!$B$9,C865&lt;=Options!$B$10),"Denver","")</f>
        <v/>
      </c>
      <c r="B865" s="5">
        <f>IF(A865="","",18)</f>
        <v/>
      </c>
      <c r="C865" s="17" t="n">
        <v>46426</v>
      </c>
      <c r="D865" s="5">
        <f>IF(A865="","",IF(C865=DATE(2026,11,29),"培训；注册午餐；早餐参数",IF(C865=DATE(2026,11,30),"培训；注册午餐",IF(C865=DATE(2026,12,1),"培训；注册午餐；机构晚餐",IF(C865=Options!$B$9,"抵达；"&amp;IF(C865=DATE(2026,11,28),"机构晚餐","无统一供餐"),IF(C865=Options!$B$10,"返程；"&amp;IF(C865=DATE(2026,12,2),"机构午餐","无统一供餐"),"差旅状态；无统一日程"))))))</f>
        <v/>
      </c>
      <c r="E865" s="13">
        <f>IF(C865=Options!$B$9,Options!$C$16,0)</f>
        <v/>
      </c>
      <c r="F865" s="13">
        <f>IF(AND(A865&lt;&gt;"",C865&lt;Options!$B$10),B865*Options!$X$6,0)</f>
        <v/>
      </c>
      <c r="G865" s="13">
        <f>F865*12%</f>
        <v/>
      </c>
      <c r="H865" s="13">
        <f>IF(A865="",0,B865*(92*IF(OR(C865=Options!$B$9,C865=Options!$B$10),75%,100%)-IF(C865=DATE(2026,11,29),26+IF(Options!$B$8="是",23,0),0)-IF(C865=DATE(2026,11,30),26,0)-IF(C865=DATE(2026,12,1),64,0)-IF(C865=DATE(2026,11,28),38,0)-IF(C865=DATE(2026,12,2),26,0)))</f>
        <v/>
      </c>
      <c r="I865" s="13">
        <f>IF(AND(C865&gt;=DATE(2026,11,29),C865&lt;=DATE(2026,12,1)),B865*60,0)</f>
        <v/>
      </c>
      <c r="J865" s="13">
        <f>IF(A865="",0,B865*(IF(C865=DATE(2026,11,28),38,0)+IF(C865=DATE(2026,12,1),38,0)+IF(C865=DATE(2026,12,2),26,0)))</f>
        <v/>
      </c>
      <c r="K865" s="13">
        <f>IF(C865=Options!$B$9,B865*12,0)</f>
        <v/>
      </c>
      <c r="L865" s="13">
        <f>IF(C865=Options!$B$9,B865*Options!$Z$6,0)</f>
        <v/>
      </c>
      <c r="M865" s="13" t="n">
        <v>0</v>
      </c>
      <c r="N865" s="13">
        <f>SUM(E865:M865)</f>
        <v/>
      </c>
    </row>
    <row r="866">
      <c r="A866" s="5">
        <f>IF(AND(C866&gt;=Options!$B$9,C866&lt;=Options!$B$10),"Denver","")</f>
        <v/>
      </c>
      <c r="B866" s="5">
        <f>IF(A866="","",18)</f>
        <v/>
      </c>
      <c r="C866" s="17" t="n">
        <v>46427</v>
      </c>
      <c r="D866" s="5">
        <f>IF(A866="","",IF(C866=DATE(2026,11,29),"培训；注册午餐；早餐参数",IF(C866=DATE(2026,11,30),"培训；注册午餐",IF(C866=DATE(2026,12,1),"培训；注册午餐；机构晚餐",IF(C866=Options!$B$9,"抵达；"&amp;IF(C866=DATE(2026,11,28),"机构晚餐","无统一供餐"),IF(C866=Options!$B$10,"返程；"&amp;IF(C866=DATE(2026,12,2),"机构午餐","无统一供餐"),"差旅状态；无统一日程"))))))</f>
        <v/>
      </c>
      <c r="E866" s="13">
        <f>IF(C866=Options!$B$9,Options!$C$16,0)</f>
        <v/>
      </c>
      <c r="F866" s="13">
        <f>IF(AND(A866&lt;&gt;"",C866&lt;Options!$B$10),B866*Options!$X$6,0)</f>
        <v/>
      </c>
      <c r="G866" s="13">
        <f>F866*12%</f>
        <v/>
      </c>
      <c r="H866" s="13">
        <f>IF(A866="",0,B866*(92*IF(OR(C866=Options!$B$9,C866=Options!$B$10),75%,100%)-IF(C866=DATE(2026,11,29),26+IF(Options!$B$8="是",23,0),0)-IF(C866=DATE(2026,11,30),26,0)-IF(C866=DATE(2026,12,1),64,0)-IF(C866=DATE(2026,11,28),38,0)-IF(C866=DATE(2026,12,2),26,0)))</f>
        <v/>
      </c>
      <c r="I866" s="13">
        <f>IF(AND(C866&gt;=DATE(2026,11,29),C866&lt;=DATE(2026,12,1)),B866*60,0)</f>
        <v/>
      </c>
      <c r="J866" s="13">
        <f>IF(A866="",0,B866*(IF(C866=DATE(2026,11,28),38,0)+IF(C866=DATE(2026,12,1),38,0)+IF(C866=DATE(2026,12,2),26,0)))</f>
        <v/>
      </c>
      <c r="K866" s="13">
        <f>IF(C866=Options!$B$9,B866*12,0)</f>
        <v/>
      </c>
      <c r="L866" s="13">
        <f>IF(C866=Options!$B$9,B866*Options!$Z$6,0)</f>
        <v/>
      </c>
      <c r="M866" s="13" t="n">
        <v>0</v>
      </c>
      <c r="N866" s="13">
        <f>SUM(E866:M866)</f>
        <v/>
      </c>
    </row>
    <row r="867">
      <c r="A867" s="5">
        <f>IF(AND(C867&gt;=Options!$B$9,C867&lt;=Options!$B$10),"Denver","")</f>
        <v/>
      </c>
      <c r="B867" s="5">
        <f>IF(A867="","",18)</f>
        <v/>
      </c>
      <c r="C867" s="17" t="n">
        <v>46428</v>
      </c>
      <c r="D867" s="5">
        <f>IF(A867="","",IF(C867=DATE(2026,11,29),"培训；注册午餐；早餐参数",IF(C867=DATE(2026,11,30),"培训；注册午餐",IF(C867=DATE(2026,12,1),"培训；注册午餐；机构晚餐",IF(C867=Options!$B$9,"抵达；"&amp;IF(C867=DATE(2026,11,28),"机构晚餐","无统一供餐"),IF(C867=Options!$B$10,"返程；"&amp;IF(C867=DATE(2026,12,2),"机构午餐","无统一供餐"),"差旅状态；无统一日程"))))))</f>
        <v/>
      </c>
      <c r="E867" s="13">
        <f>IF(C867=Options!$B$9,Options!$C$16,0)</f>
        <v/>
      </c>
      <c r="F867" s="13">
        <f>IF(AND(A867&lt;&gt;"",C867&lt;Options!$B$10),B867*Options!$X$6,0)</f>
        <v/>
      </c>
      <c r="G867" s="13">
        <f>F867*12%</f>
        <v/>
      </c>
      <c r="H867" s="13">
        <f>IF(A867="",0,B867*(92*IF(OR(C867=Options!$B$9,C867=Options!$B$10),75%,100%)-IF(C867=DATE(2026,11,29),26+IF(Options!$B$8="是",23,0),0)-IF(C867=DATE(2026,11,30),26,0)-IF(C867=DATE(2026,12,1),64,0)-IF(C867=DATE(2026,11,28),38,0)-IF(C867=DATE(2026,12,2),26,0)))</f>
        <v/>
      </c>
      <c r="I867" s="13">
        <f>IF(AND(C867&gt;=DATE(2026,11,29),C867&lt;=DATE(2026,12,1)),B867*60,0)</f>
        <v/>
      </c>
      <c r="J867" s="13">
        <f>IF(A867="",0,B867*(IF(C867=DATE(2026,11,28),38,0)+IF(C867=DATE(2026,12,1),38,0)+IF(C867=DATE(2026,12,2),26,0)))</f>
        <v/>
      </c>
      <c r="K867" s="13">
        <f>IF(C867=Options!$B$9,B867*12,0)</f>
        <v/>
      </c>
      <c r="L867" s="13">
        <f>IF(C867=Options!$B$9,B867*Options!$Z$6,0)</f>
        <v/>
      </c>
      <c r="M867" s="13" t="n">
        <v>0</v>
      </c>
      <c r="N867" s="13">
        <f>SUM(E867:M867)</f>
        <v/>
      </c>
    </row>
    <row r="868">
      <c r="A868" s="5">
        <f>IF(AND(C868&gt;=Options!$B$9,C868&lt;=Options!$B$10),"Denver","")</f>
        <v/>
      </c>
      <c r="B868" s="5">
        <f>IF(A868="","",18)</f>
        <v/>
      </c>
      <c r="C868" s="17" t="n">
        <v>46429</v>
      </c>
      <c r="D868" s="5">
        <f>IF(A868="","",IF(C868=DATE(2026,11,29),"培训；注册午餐；早餐参数",IF(C868=DATE(2026,11,30),"培训；注册午餐",IF(C868=DATE(2026,12,1),"培训；注册午餐；机构晚餐",IF(C868=Options!$B$9,"抵达；"&amp;IF(C868=DATE(2026,11,28),"机构晚餐","无统一供餐"),IF(C868=Options!$B$10,"返程；"&amp;IF(C868=DATE(2026,12,2),"机构午餐","无统一供餐"),"差旅状态；无统一日程"))))))</f>
        <v/>
      </c>
      <c r="E868" s="13">
        <f>IF(C868=Options!$B$9,Options!$C$16,0)</f>
        <v/>
      </c>
      <c r="F868" s="13">
        <f>IF(AND(A868&lt;&gt;"",C868&lt;Options!$B$10),B868*Options!$X$6,0)</f>
        <v/>
      </c>
      <c r="G868" s="13">
        <f>F868*12%</f>
        <v/>
      </c>
      <c r="H868" s="13">
        <f>IF(A868="",0,B868*(92*IF(OR(C868=Options!$B$9,C868=Options!$B$10),75%,100%)-IF(C868=DATE(2026,11,29),26+IF(Options!$B$8="是",23,0),0)-IF(C868=DATE(2026,11,30),26,0)-IF(C868=DATE(2026,12,1),64,0)-IF(C868=DATE(2026,11,28),38,0)-IF(C868=DATE(2026,12,2),26,0)))</f>
        <v/>
      </c>
      <c r="I868" s="13">
        <f>IF(AND(C868&gt;=DATE(2026,11,29),C868&lt;=DATE(2026,12,1)),B868*60,0)</f>
        <v/>
      </c>
      <c r="J868" s="13">
        <f>IF(A868="",0,B868*(IF(C868=DATE(2026,11,28),38,0)+IF(C868=DATE(2026,12,1),38,0)+IF(C868=DATE(2026,12,2),26,0)))</f>
        <v/>
      </c>
      <c r="K868" s="13">
        <f>IF(C868=Options!$B$9,B868*12,0)</f>
        <v/>
      </c>
      <c r="L868" s="13">
        <f>IF(C868=Options!$B$9,B868*Options!$Z$6,0)</f>
        <v/>
      </c>
      <c r="M868" s="13" t="n">
        <v>0</v>
      </c>
      <c r="N868" s="13">
        <f>SUM(E868:M868)</f>
        <v/>
      </c>
    </row>
    <row r="869">
      <c r="A869" s="5">
        <f>IF(AND(C869&gt;=Options!$B$9,C869&lt;=Options!$B$10),"Denver","")</f>
        <v/>
      </c>
      <c r="B869" s="5">
        <f>IF(A869="","",18)</f>
        <v/>
      </c>
      <c r="C869" s="17" t="n">
        <v>46430</v>
      </c>
      <c r="D869" s="5">
        <f>IF(A869="","",IF(C869=DATE(2026,11,29),"培训；注册午餐；早餐参数",IF(C869=DATE(2026,11,30),"培训；注册午餐",IF(C869=DATE(2026,12,1),"培训；注册午餐；机构晚餐",IF(C869=Options!$B$9,"抵达；"&amp;IF(C869=DATE(2026,11,28),"机构晚餐","无统一供餐"),IF(C869=Options!$B$10,"返程；"&amp;IF(C869=DATE(2026,12,2),"机构午餐","无统一供餐"),"差旅状态；无统一日程"))))))</f>
        <v/>
      </c>
      <c r="E869" s="13">
        <f>IF(C869=Options!$B$9,Options!$C$16,0)</f>
        <v/>
      </c>
      <c r="F869" s="13">
        <f>IF(AND(A869&lt;&gt;"",C869&lt;Options!$B$10),B869*Options!$X$6,0)</f>
        <v/>
      </c>
      <c r="G869" s="13">
        <f>F869*12%</f>
        <v/>
      </c>
      <c r="H869" s="13">
        <f>IF(A869="",0,B869*(92*IF(OR(C869=Options!$B$9,C869=Options!$B$10),75%,100%)-IF(C869=DATE(2026,11,29),26+IF(Options!$B$8="是",23,0),0)-IF(C869=DATE(2026,11,30),26,0)-IF(C869=DATE(2026,12,1),64,0)-IF(C869=DATE(2026,11,28),38,0)-IF(C869=DATE(2026,12,2),26,0)))</f>
        <v/>
      </c>
      <c r="I869" s="13">
        <f>IF(AND(C869&gt;=DATE(2026,11,29),C869&lt;=DATE(2026,12,1)),B869*60,0)</f>
        <v/>
      </c>
      <c r="J869" s="13">
        <f>IF(A869="",0,B869*(IF(C869=DATE(2026,11,28),38,0)+IF(C869=DATE(2026,12,1),38,0)+IF(C869=DATE(2026,12,2),26,0)))</f>
        <v/>
      </c>
      <c r="K869" s="13">
        <f>IF(C869=Options!$B$9,B869*12,0)</f>
        <v/>
      </c>
      <c r="L869" s="13">
        <f>IF(C869=Options!$B$9,B869*Options!$Z$6,0)</f>
        <v/>
      </c>
      <c r="M869" s="13" t="n">
        <v>0</v>
      </c>
      <c r="N869" s="13">
        <f>SUM(E869:M869)</f>
        <v/>
      </c>
    </row>
    <row r="870">
      <c r="A870" s="5">
        <f>IF(AND(C870&gt;=Options!$B$9,C870&lt;=Options!$B$10),"Denver","")</f>
        <v/>
      </c>
      <c r="B870" s="5">
        <f>IF(A870="","",18)</f>
        <v/>
      </c>
      <c r="C870" s="17" t="n">
        <v>46431</v>
      </c>
      <c r="D870" s="5">
        <f>IF(A870="","",IF(C870=DATE(2026,11,29),"培训；注册午餐；早餐参数",IF(C870=DATE(2026,11,30),"培训；注册午餐",IF(C870=DATE(2026,12,1),"培训；注册午餐；机构晚餐",IF(C870=Options!$B$9,"抵达；"&amp;IF(C870=DATE(2026,11,28),"机构晚餐","无统一供餐"),IF(C870=Options!$B$10,"返程；"&amp;IF(C870=DATE(2026,12,2),"机构午餐","无统一供餐"),"差旅状态；无统一日程"))))))</f>
        <v/>
      </c>
      <c r="E870" s="13">
        <f>IF(C870=Options!$B$9,Options!$C$16,0)</f>
        <v/>
      </c>
      <c r="F870" s="13">
        <f>IF(AND(A870&lt;&gt;"",C870&lt;Options!$B$10),B870*Options!$X$6,0)</f>
        <v/>
      </c>
      <c r="G870" s="13">
        <f>F870*12%</f>
        <v/>
      </c>
      <c r="H870" s="13">
        <f>IF(A870="",0,B870*(92*IF(OR(C870=Options!$B$9,C870=Options!$B$10),75%,100%)-IF(C870=DATE(2026,11,29),26+IF(Options!$B$8="是",23,0),0)-IF(C870=DATE(2026,11,30),26,0)-IF(C870=DATE(2026,12,1),64,0)-IF(C870=DATE(2026,11,28),38,0)-IF(C870=DATE(2026,12,2),26,0)))</f>
        <v/>
      </c>
      <c r="I870" s="13">
        <f>IF(AND(C870&gt;=DATE(2026,11,29),C870&lt;=DATE(2026,12,1)),B870*60,0)</f>
        <v/>
      </c>
      <c r="J870" s="13">
        <f>IF(A870="",0,B870*(IF(C870=DATE(2026,11,28),38,0)+IF(C870=DATE(2026,12,1),38,0)+IF(C870=DATE(2026,12,2),26,0)))</f>
        <v/>
      </c>
      <c r="K870" s="13">
        <f>IF(C870=Options!$B$9,B870*12,0)</f>
        <v/>
      </c>
      <c r="L870" s="13">
        <f>IF(C870=Options!$B$9,B870*Options!$Z$6,0)</f>
        <v/>
      </c>
      <c r="M870" s="13" t="n">
        <v>0</v>
      </c>
      <c r="N870" s="13">
        <f>SUM(E870:M870)</f>
        <v/>
      </c>
    </row>
    <row r="871">
      <c r="A871" s="5">
        <f>IF(AND(C871&gt;=Options!$B$9,C871&lt;=Options!$B$10),"Denver","")</f>
        <v/>
      </c>
      <c r="B871" s="5">
        <f>IF(A871="","",18)</f>
        <v/>
      </c>
      <c r="C871" s="17" t="n">
        <v>46432</v>
      </c>
      <c r="D871" s="5">
        <f>IF(A871="","",IF(C871=DATE(2026,11,29),"培训；注册午餐；早餐参数",IF(C871=DATE(2026,11,30),"培训；注册午餐",IF(C871=DATE(2026,12,1),"培训；注册午餐；机构晚餐",IF(C871=Options!$B$9,"抵达；"&amp;IF(C871=DATE(2026,11,28),"机构晚餐","无统一供餐"),IF(C871=Options!$B$10,"返程；"&amp;IF(C871=DATE(2026,12,2),"机构午餐","无统一供餐"),"差旅状态；无统一日程"))))))</f>
        <v/>
      </c>
      <c r="E871" s="13">
        <f>IF(C871=Options!$B$9,Options!$C$16,0)</f>
        <v/>
      </c>
      <c r="F871" s="13">
        <f>IF(AND(A871&lt;&gt;"",C871&lt;Options!$B$10),B871*Options!$X$6,0)</f>
        <v/>
      </c>
      <c r="G871" s="13">
        <f>F871*12%</f>
        <v/>
      </c>
      <c r="H871" s="13">
        <f>IF(A871="",0,B871*(92*IF(OR(C871=Options!$B$9,C871=Options!$B$10),75%,100%)-IF(C871=DATE(2026,11,29),26+IF(Options!$B$8="是",23,0),0)-IF(C871=DATE(2026,11,30),26,0)-IF(C871=DATE(2026,12,1),64,0)-IF(C871=DATE(2026,11,28),38,0)-IF(C871=DATE(2026,12,2),26,0)))</f>
        <v/>
      </c>
      <c r="I871" s="13">
        <f>IF(AND(C871&gt;=DATE(2026,11,29),C871&lt;=DATE(2026,12,1)),B871*60,0)</f>
        <v/>
      </c>
      <c r="J871" s="13">
        <f>IF(A871="",0,B871*(IF(C871=DATE(2026,11,28),38,0)+IF(C871=DATE(2026,12,1),38,0)+IF(C871=DATE(2026,12,2),26,0)))</f>
        <v/>
      </c>
      <c r="K871" s="13">
        <f>IF(C871=Options!$B$9,B871*12,0)</f>
        <v/>
      </c>
      <c r="L871" s="13">
        <f>IF(C871=Options!$B$9,B871*Options!$Z$6,0)</f>
        <v/>
      </c>
      <c r="M871" s="13" t="n">
        <v>0</v>
      </c>
      <c r="N871" s="13">
        <f>SUM(E871:M871)</f>
        <v/>
      </c>
    </row>
    <row r="872">
      <c r="A872" s="5">
        <f>IF(AND(C872&gt;=Options!$B$9,C872&lt;=Options!$B$10),"Denver","")</f>
        <v/>
      </c>
      <c r="B872" s="5">
        <f>IF(A872="","",18)</f>
        <v/>
      </c>
      <c r="C872" s="17" t="n">
        <v>46433</v>
      </c>
      <c r="D872" s="5">
        <f>IF(A872="","",IF(C872=DATE(2026,11,29),"培训；注册午餐；早餐参数",IF(C872=DATE(2026,11,30),"培训；注册午餐",IF(C872=DATE(2026,12,1),"培训；注册午餐；机构晚餐",IF(C872=Options!$B$9,"抵达；"&amp;IF(C872=DATE(2026,11,28),"机构晚餐","无统一供餐"),IF(C872=Options!$B$10,"返程；"&amp;IF(C872=DATE(2026,12,2),"机构午餐","无统一供餐"),"差旅状态；无统一日程"))))))</f>
        <v/>
      </c>
      <c r="E872" s="13">
        <f>IF(C872=Options!$B$9,Options!$C$16,0)</f>
        <v/>
      </c>
      <c r="F872" s="13">
        <f>IF(AND(A872&lt;&gt;"",C872&lt;Options!$B$10),B872*Options!$X$6,0)</f>
        <v/>
      </c>
      <c r="G872" s="13">
        <f>F872*12%</f>
        <v/>
      </c>
      <c r="H872" s="13">
        <f>IF(A872="",0,B872*(92*IF(OR(C872=Options!$B$9,C872=Options!$B$10),75%,100%)-IF(C872=DATE(2026,11,29),26+IF(Options!$B$8="是",23,0),0)-IF(C872=DATE(2026,11,30),26,0)-IF(C872=DATE(2026,12,1),64,0)-IF(C872=DATE(2026,11,28),38,0)-IF(C872=DATE(2026,12,2),26,0)))</f>
        <v/>
      </c>
      <c r="I872" s="13">
        <f>IF(AND(C872&gt;=DATE(2026,11,29),C872&lt;=DATE(2026,12,1)),B872*60,0)</f>
        <v/>
      </c>
      <c r="J872" s="13">
        <f>IF(A872="",0,B872*(IF(C872=DATE(2026,11,28),38,0)+IF(C872=DATE(2026,12,1),38,0)+IF(C872=DATE(2026,12,2),26,0)))</f>
        <v/>
      </c>
      <c r="K872" s="13">
        <f>IF(C872=Options!$B$9,B872*12,0)</f>
        <v/>
      </c>
      <c r="L872" s="13">
        <f>IF(C872=Options!$B$9,B872*Options!$Z$6,0)</f>
        <v/>
      </c>
      <c r="M872" s="13" t="n">
        <v>0</v>
      </c>
      <c r="N872" s="13">
        <f>SUM(E872:M872)</f>
        <v/>
      </c>
    </row>
    <row r="873">
      <c r="A873" s="5">
        <f>IF(AND(C873&gt;=Options!$B$9,C873&lt;=Options!$B$10),"Denver","")</f>
        <v/>
      </c>
      <c r="B873" s="5">
        <f>IF(A873="","",18)</f>
        <v/>
      </c>
      <c r="C873" s="17" t="n">
        <v>46434</v>
      </c>
      <c r="D873" s="5">
        <f>IF(A873="","",IF(C873=DATE(2026,11,29),"培训；注册午餐；早餐参数",IF(C873=DATE(2026,11,30),"培训；注册午餐",IF(C873=DATE(2026,12,1),"培训；注册午餐；机构晚餐",IF(C873=Options!$B$9,"抵达；"&amp;IF(C873=DATE(2026,11,28),"机构晚餐","无统一供餐"),IF(C873=Options!$B$10,"返程；"&amp;IF(C873=DATE(2026,12,2),"机构午餐","无统一供餐"),"差旅状态；无统一日程"))))))</f>
        <v/>
      </c>
      <c r="E873" s="13">
        <f>IF(C873=Options!$B$9,Options!$C$16,0)</f>
        <v/>
      </c>
      <c r="F873" s="13">
        <f>IF(AND(A873&lt;&gt;"",C873&lt;Options!$B$10),B873*Options!$X$6,0)</f>
        <v/>
      </c>
      <c r="G873" s="13">
        <f>F873*12%</f>
        <v/>
      </c>
      <c r="H873" s="13">
        <f>IF(A873="",0,B873*(92*IF(OR(C873=Options!$B$9,C873=Options!$B$10),75%,100%)-IF(C873=DATE(2026,11,29),26+IF(Options!$B$8="是",23,0),0)-IF(C873=DATE(2026,11,30),26,0)-IF(C873=DATE(2026,12,1),64,0)-IF(C873=DATE(2026,11,28),38,0)-IF(C873=DATE(2026,12,2),26,0)))</f>
        <v/>
      </c>
      <c r="I873" s="13">
        <f>IF(AND(C873&gt;=DATE(2026,11,29),C873&lt;=DATE(2026,12,1)),B873*60,0)</f>
        <v/>
      </c>
      <c r="J873" s="13">
        <f>IF(A873="",0,B873*(IF(C873=DATE(2026,11,28),38,0)+IF(C873=DATE(2026,12,1),38,0)+IF(C873=DATE(2026,12,2),26,0)))</f>
        <v/>
      </c>
      <c r="K873" s="13">
        <f>IF(C873=Options!$B$9,B873*12,0)</f>
        <v/>
      </c>
      <c r="L873" s="13">
        <f>IF(C873=Options!$B$9,B873*Options!$Z$6,0)</f>
        <v/>
      </c>
      <c r="M873" s="13" t="n">
        <v>0</v>
      </c>
      <c r="N873" s="13">
        <f>SUM(E873:M873)</f>
        <v/>
      </c>
    </row>
    <row r="874">
      <c r="A874" s="5">
        <f>IF(AND(C874&gt;=Options!$B$9,C874&lt;=Options!$B$10),"Denver","")</f>
        <v/>
      </c>
      <c r="B874" s="5">
        <f>IF(A874="","",18)</f>
        <v/>
      </c>
      <c r="C874" s="17" t="n">
        <v>46435</v>
      </c>
      <c r="D874" s="5">
        <f>IF(A874="","",IF(C874=DATE(2026,11,29),"培训；注册午餐；早餐参数",IF(C874=DATE(2026,11,30),"培训；注册午餐",IF(C874=DATE(2026,12,1),"培训；注册午餐；机构晚餐",IF(C874=Options!$B$9,"抵达；"&amp;IF(C874=DATE(2026,11,28),"机构晚餐","无统一供餐"),IF(C874=Options!$B$10,"返程；"&amp;IF(C874=DATE(2026,12,2),"机构午餐","无统一供餐"),"差旅状态；无统一日程"))))))</f>
        <v/>
      </c>
      <c r="E874" s="13">
        <f>IF(C874=Options!$B$9,Options!$C$16,0)</f>
        <v/>
      </c>
      <c r="F874" s="13">
        <f>IF(AND(A874&lt;&gt;"",C874&lt;Options!$B$10),B874*Options!$X$6,0)</f>
        <v/>
      </c>
      <c r="G874" s="13">
        <f>F874*12%</f>
        <v/>
      </c>
      <c r="H874" s="13">
        <f>IF(A874="",0,B874*(92*IF(OR(C874=Options!$B$9,C874=Options!$B$10),75%,100%)-IF(C874=DATE(2026,11,29),26+IF(Options!$B$8="是",23,0),0)-IF(C874=DATE(2026,11,30),26,0)-IF(C874=DATE(2026,12,1),64,0)-IF(C874=DATE(2026,11,28),38,0)-IF(C874=DATE(2026,12,2),26,0)))</f>
        <v/>
      </c>
      <c r="I874" s="13">
        <f>IF(AND(C874&gt;=DATE(2026,11,29),C874&lt;=DATE(2026,12,1)),B874*60,0)</f>
        <v/>
      </c>
      <c r="J874" s="13">
        <f>IF(A874="",0,B874*(IF(C874=DATE(2026,11,28),38,0)+IF(C874=DATE(2026,12,1),38,0)+IF(C874=DATE(2026,12,2),26,0)))</f>
        <v/>
      </c>
      <c r="K874" s="13">
        <f>IF(C874=Options!$B$9,B874*12,0)</f>
        <v/>
      </c>
      <c r="L874" s="13">
        <f>IF(C874=Options!$B$9,B874*Options!$Z$6,0)</f>
        <v/>
      </c>
      <c r="M874" s="13" t="n">
        <v>0</v>
      </c>
      <c r="N874" s="13">
        <f>SUM(E874:M874)</f>
        <v/>
      </c>
    </row>
    <row r="875">
      <c r="A875" s="5">
        <f>IF(AND(C875&gt;=Options!$B$9,C875&lt;=Options!$B$10),"Denver","")</f>
        <v/>
      </c>
      <c r="B875" s="5">
        <f>IF(A875="","",18)</f>
        <v/>
      </c>
      <c r="C875" s="17" t="n">
        <v>46436</v>
      </c>
      <c r="D875" s="5">
        <f>IF(A875="","",IF(C875=DATE(2026,11,29),"培训；注册午餐；早餐参数",IF(C875=DATE(2026,11,30),"培训；注册午餐",IF(C875=DATE(2026,12,1),"培训；注册午餐；机构晚餐",IF(C875=Options!$B$9,"抵达；"&amp;IF(C875=DATE(2026,11,28),"机构晚餐","无统一供餐"),IF(C875=Options!$B$10,"返程；"&amp;IF(C875=DATE(2026,12,2),"机构午餐","无统一供餐"),"差旅状态；无统一日程"))))))</f>
        <v/>
      </c>
      <c r="E875" s="13">
        <f>IF(C875=Options!$B$9,Options!$C$16,0)</f>
        <v/>
      </c>
      <c r="F875" s="13">
        <f>IF(AND(A875&lt;&gt;"",C875&lt;Options!$B$10),B875*Options!$X$6,0)</f>
        <v/>
      </c>
      <c r="G875" s="13">
        <f>F875*12%</f>
        <v/>
      </c>
      <c r="H875" s="13">
        <f>IF(A875="",0,B875*(92*IF(OR(C875=Options!$B$9,C875=Options!$B$10),75%,100%)-IF(C875=DATE(2026,11,29),26+IF(Options!$B$8="是",23,0),0)-IF(C875=DATE(2026,11,30),26,0)-IF(C875=DATE(2026,12,1),64,0)-IF(C875=DATE(2026,11,28),38,0)-IF(C875=DATE(2026,12,2),26,0)))</f>
        <v/>
      </c>
      <c r="I875" s="13">
        <f>IF(AND(C875&gt;=DATE(2026,11,29),C875&lt;=DATE(2026,12,1)),B875*60,0)</f>
        <v/>
      </c>
      <c r="J875" s="13">
        <f>IF(A875="",0,B875*(IF(C875=DATE(2026,11,28),38,0)+IF(C875=DATE(2026,12,1),38,0)+IF(C875=DATE(2026,12,2),26,0)))</f>
        <v/>
      </c>
      <c r="K875" s="13">
        <f>IF(C875=Options!$B$9,B875*12,0)</f>
        <v/>
      </c>
      <c r="L875" s="13">
        <f>IF(C875=Options!$B$9,B875*Options!$Z$6,0)</f>
        <v/>
      </c>
      <c r="M875" s="13" t="n">
        <v>0</v>
      </c>
      <c r="N875" s="13">
        <f>SUM(E875:M875)</f>
        <v/>
      </c>
    </row>
    <row r="876">
      <c r="A876" s="5">
        <f>IF(AND(C876&gt;=Options!$B$9,C876&lt;=Options!$B$10),"Denver","")</f>
        <v/>
      </c>
      <c r="B876" s="5">
        <f>IF(A876="","",18)</f>
        <v/>
      </c>
      <c r="C876" s="17" t="n">
        <v>46437</v>
      </c>
      <c r="D876" s="5">
        <f>IF(A876="","",IF(C876=DATE(2026,11,29),"培训；注册午餐；早餐参数",IF(C876=DATE(2026,11,30),"培训；注册午餐",IF(C876=DATE(2026,12,1),"培训；注册午餐；机构晚餐",IF(C876=Options!$B$9,"抵达；"&amp;IF(C876=DATE(2026,11,28),"机构晚餐","无统一供餐"),IF(C876=Options!$B$10,"返程；"&amp;IF(C876=DATE(2026,12,2),"机构午餐","无统一供餐"),"差旅状态；无统一日程"))))))</f>
        <v/>
      </c>
      <c r="E876" s="13">
        <f>IF(C876=Options!$B$9,Options!$C$16,0)</f>
        <v/>
      </c>
      <c r="F876" s="13">
        <f>IF(AND(A876&lt;&gt;"",C876&lt;Options!$B$10),B876*Options!$X$6,0)</f>
        <v/>
      </c>
      <c r="G876" s="13">
        <f>F876*12%</f>
        <v/>
      </c>
      <c r="H876" s="13">
        <f>IF(A876="",0,B876*(92*IF(OR(C876=Options!$B$9,C876=Options!$B$10),75%,100%)-IF(C876=DATE(2026,11,29),26+IF(Options!$B$8="是",23,0),0)-IF(C876=DATE(2026,11,30),26,0)-IF(C876=DATE(2026,12,1),64,0)-IF(C876=DATE(2026,11,28),38,0)-IF(C876=DATE(2026,12,2),26,0)))</f>
        <v/>
      </c>
      <c r="I876" s="13">
        <f>IF(AND(C876&gt;=DATE(2026,11,29),C876&lt;=DATE(2026,12,1)),B876*60,0)</f>
        <v/>
      </c>
      <c r="J876" s="13">
        <f>IF(A876="",0,B876*(IF(C876=DATE(2026,11,28),38,0)+IF(C876=DATE(2026,12,1),38,0)+IF(C876=DATE(2026,12,2),26,0)))</f>
        <v/>
      </c>
      <c r="K876" s="13">
        <f>IF(C876=Options!$B$9,B876*12,0)</f>
        <v/>
      </c>
      <c r="L876" s="13">
        <f>IF(C876=Options!$B$9,B876*Options!$Z$6,0)</f>
        <v/>
      </c>
      <c r="M876" s="13" t="n">
        <v>0</v>
      </c>
      <c r="N876" s="13">
        <f>SUM(E876:M876)</f>
        <v/>
      </c>
    </row>
    <row r="877">
      <c r="A877" s="5">
        <f>IF(AND(C877&gt;=Options!$B$9,C877&lt;=Options!$B$10),"Denver","")</f>
        <v/>
      </c>
      <c r="B877" s="5">
        <f>IF(A877="","",18)</f>
        <v/>
      </c>
      <c r="C877" s="17" t="n">
        <v>46438</v>
      </c>
      <c r="D877" s="5">
        <f>IF(A877="","",IF(C877=DATE(2026,11,29),"培训；注册午餐；早餐参数",IF(C877=DATE(2026,11,30),"培训；注册午餐",IF(C877=DATE(2026,12,1),"培训；注册午餐；机构晚餐",IF(C877=Options!$B$9,"抵达；"&amp;IF(C877=DATE(2026,11,28),"机构晚餐","无统一供餐"),IF(C877=Options!$B$10,"返程；"&amp;IF(C877=DATE(2026,12,2),"机构午餐","无统一供餐"),"差旅状态；无统一日程"))))))</f>
        <v/>
      </c>
      <c r="E877" s="13">
        <f>IF(C877=Options!$B$9,Options!$C$16,0)</f>
        <v/>
      </c>
      <c r="F877" s="13">
        <f>IF(AND(A877&lt;&gt;"",C877&lt;Options!$B$10),B877*Options!$X$6,0)</f>
        <v/>
      </c>
      <c r="G877" s="13">
        <f>F877*12%</f>
        <v/>
      </c>
      <c r="H877" s="13">
        <f>IF(A877="",0,B877*(92*IF(OR(C877=Options!$B$9,C877=Options!$B$10),75%,100%)-IF(C877=DATE(2026,11,29),26+IF(Options!$B$8="是",23,0),0)-IF(C877=DATE(2026,11,30),26,0)-IF(C877=DATE(2026,12,1),64,0)-IF(C877=DATE(2026,11,28),38,0)-IF(C877=DATE(2026,12,2),26,0)))</f>
        <v/>
      </c>
      <c r="I877" s="13">
        <f>IF(AND(C877&gt;=DATE(2026,11,29),C877&lt;=DATE(2026,12,1)),B877*60,0)</f>
        <v/>
      </c>
      <c r="J877" s="13">
        <f>IF(A877="",0,B877*(IF(C877=DATE(2026,11,28),38,0)+IF(C877=DATE(2026,12,1),38,0)+IF(C877=DATE(2026,12,2),26,0)))</f>
        <v/>
      </c>
      <c r="K877" s="13">
        <f>IF(C877=Options!$B$9,B877*12,0)</f>
        <v/>
      </c>
      <c r="L877" s="13">
        <f>IF(C877=Options!$B$9,B877*Options!$Z$6,0)</f>
        <v/>
      </c>
      <c r="M877" s="13" t="n">
        <v>0</v>
      </c>
      <c r="N877" s="13">
        <f>SUM(E877:M877)</f>
        <v/>
      </c>
    </row>
    <row r="878">
      <c r="A878" s="5">
        <f>IF(AND(C878&gt;=Options!$B$9,C878&lt;=Options!$B$10),"Denver","")</f>
        <v/>
      </c>
      <c r="B878" s="5">
        <f>IF(A878="","",18)</f>
        <v/>
      </c>
      <c r="C878" s="17" t="n">
        <v>46439</v>
      </c>
      <c r="D878" s="5">
        <f>IF(A878="","",IF(C878=DATE(2026,11,29),"培训；注册午餐；早餐参数",IF(C878=DATE(2026,11,30),"培训；注册午餐",IF(C878=DATE(2026,12,1),"培训；注册午餐；机构晚餐",IF(C878=Options!$B$9,"抵达；"&amp;IF(C878=DATE(2026,11,28),"机构晚餐","无统一供餐"),IF(C878=Options!$B$10,"返程；"&amp;IF(C878=DATE(2026,12,2),"机构午餐","无统一供餐"),"差旅状态；无统一日程"))))))</f>
        <v/>
      </c>
      <c r="E878" s="13">
        <f>IF(C878=Options!$B$9,Options!$C$16,0)</f>
        <v/>
      </c>
      <c r="F878" s="13">
        <f>IF(AND(A878&lt;&gt;"",C878&lt;Options!$B$10),B878*Options!$X$6,0)</f>
        <v/>
      </c>
      <c r="G878" s="13">
        <f>F878*12%</f>
        <v/>
      </c>
      <c r="H878" s="13">
        <f>IF(A878="",0,B878*(92*IF(OR(C878=Options!$B$9,C878=Options!$B$10),75%,100%)-IF(C878=DATE(2026,11,29),26+IF(Options!$B$8="是",23,0),0)-IF(C878=DATE(2026,11,30),26,0)-IF(C878=DATE(2026,12,1),64,0)-IF(C878=DATE(2026,11,28),38,0)-IF(C878=DATE(2026,12,2),26,0)))</f>
        <v/>
      </c>
      <c r="I878" s="13">
        <f>IF(AND(C878&gt;=DATE(2026,11,29),C878&lt;=DATE(2026,12,1)),B878*60,0)</f>
        <v/>
      </c>
      <c r="J878" s="13">
        <f>IF(A878="",0,B878*(IF(C878=DATE(2026,11,28),38,0)+IF(C878=DATE(2026,12,1),38,0)+IF(C878=DATE(2026,12,2),26,0)))</f>
        <v/>
      </c>
      <c r="K878" s="13">
        <f>IF(C878=Options!$B$9,B878*12,0)</f>
        <v/>
      </c>
      <c r="L878" s="13">
        <f>IF(C878=Options!$B$9,B878*Options!$Z$6,0)</f>
        <v/>
      </c>
      <c r="M878" s="13" t="n">
        <v>0</v>
      </c>
      <c r="N878" s="13">
        <f>SUM(E878:M878)</f>
        <v/>
      </c>
    </row>
    <row r="879">
      <c r="A879" s="5">
        <f>IF(AND(C879&gt;=Options!$B$9,C879&lt;=Options!$B$10),"Denver","")</f>
        <v/>
      </c>
      <c r="B879" s="5">
        <f>IF(A879="","",18)</f>
        <v/>
      </c>
      <c r="C879" s="17" t="n">
        <v>46440</v>
      </c>
      <c r="D879" s="5">
        <f>IF(A879="","",IF(C879=DATE(2026,11,29),"培训；注册午餐；早餐参数",IF(C879=DATE(2026,11,30),"培训；注册午餐",IF(C879=DATE(2026,12,1),"培训；注册午餐；机构晚餐",IF(C879=Options!$B$9,"抵达；"&amp;IF(C879=DATE(2026,11,28),"机构晚餐","无统一供餐"),IF(C879=Options!$B$10,"返程；"&amp;IF(C879=DATE(2026,12,2),"机构午餐","无统一供餐"),"差旅状态；无统一日程"))))))</f>
        <v/>
      </c>
      <c r="E879" s="13">
        <f>IF(C879=Options!$B$9,Options!$C$16,0)</f>
        <v/>
      </c>
      <c r="F879" s="13">
        <f>IF(AND(A879&lt;&gt;"",C879&lt;Options!$B$10),B879*Options!$X$6,0)</f>
        <v/>
      </c>
      <c r="G879" s="13">
        <f>F879*12%</f>
        <v/>
      </c>
      <c r="H879" s="13">
        <f>IF(A879="",0,B879*(92*IF(OR(C879=Options!$B$9,C879=Options!$B$10),75%,100%)-IF(C879=DATE(2026,11,29),26+IF(Options!$B$8="是",23,0),0)-IF(C879=DATE(2026,11,30),26,0)-IF(C879=DATE(2026,12,1),64,0)-IF(C879=DATE(2026,11,28),38,0)-IF(C879=DATE(2026,12,2),26,0)))</f>
        <v/>
      </c>
      <c r="I879" s="13">
        <f>IF(AND(C879&gt;=DATE(2026,11,29),C879&lt;=DATE(2026,12,1)),B879*60,0)</f>
        <v/>
      </c>
      <c r="J879" s="13">
        <f>IF(A879="",0,B879*(IF(C879=DATE(2026,11,28),38,0)+IF(C879=DATE(2026,12,1),38,0)+IF(C879=DATE(2026,12,2),26,0)))</f>
        <v/>
      </c>
      <c r="K879" s="13">
        <f>IF(C879=Options!$B$9,B879*12,0)</f>
        <v/>
      </c>
      <c r="L879" s="13">
        <f>IF(C879=Options!$B$9,B879*Options!$Z$6,0)</f>
        <v/>
      </c>
      <c r="M879" s="13" t="n">
        <v>0</v>
      </c>
      <c r="N879" s="13">
        <f>SUM(E879:M879)</f>
        <v/>
      </c>
    </row>
    <row r="880">
      <c r="A880" s="5">
        <f>IF(AND(C880&gt;=Options!$B$9,C880&lt;=Options!$B$10),"Denver","")</f>
        <v/>
      </c>
      <c r="B880" s="5">
        <f>IF(A880="","",18)</f>
        <v/>
      </c>
      <c r="C880" s="17" t="n">
        <v>46441</v>
      </c>
      <c r="D880" s="5">
        <f>IF(A880="","",IF(C880=DATE(2026,11,29),"培训；注册午餐；早餐参数",IF(C880=DATE(2026,11,30),"培训；注册午餐",IF(C880=DATE(2026,12,1),"培训；注册午餐；机构晚餐",IF(C880=Options!$B$9,"抵达；"&amp;IF(C880=DATE(2026,11,28),"机构晚餐","无统一供餐"),IF(C880=Options!$B$10,"返程；"&amp;IF(C880=DATE(2026,12,2),"机构午餐","无统一供餐"),"差旅状态；无统一日程"))))))</f>
        <v/>
      </c>
      <c r="E880" s="13">
        <f>IF(C880=Options!$B$9,Options!$C$16,0)</f>
        <v/>
      </c>
      <c r="F880" s="13">
        <f>IF(AND(A880&lt;&gt;"",C880&lt;Options!$B$10),B880*Options!$X$6,0)</f>
        <v/>
      </c>
      <c r="G880" s="13">
        <f>F880*12%</f>
        <v/>
      </c>
      <c r="H880" s="13">
        <f>IF(A880="",0,B880*(92*IF(OR(C880=Options!$B$9,C880=Options!$B$10),75%,100%)-IF(C880=DATE(2026,11,29),26+IF(Options!$B$8="是",23,0),0)-IF(C880=DATE(2026,11,30),26,0)-IF(C880=DATE(2026,12,1),64,0)-IF(C880=DATE(2026,11,28),38,0)-IF(C880=DATE(2026,12,2),26,0)))</f>
        <v/>
      </c>
      <c r="I880" s="13">
        <f>IF(AND(C880&gt;=DATE(2026,11,29),C880&lt;=DATE(2026,12,1)),B880*60,0)</f>
        <v/>
      </c>
      <c r="J880" s="13">
        <f>IF(A880="",0,B880*(IF(C880=DATE(2026,11,28),38,0)+IF(C880=DATE(2026,12,1),38,0)+IF(C880=DATE(2026,12,2),26,0)))</f>
        <v/>
      </c>
      <c r="K880" s="13">
        <f>IF(C880=Options!$B$9,B880*12,0)</f>
        <v/>
      </c>
      <c r="L880" s="13">
        <f>IF(C880=Options!$B$9,B880*Options!$Z$6,0)</f>
        <v/>
      </c>
      <c r="M880" s="13" t="n">
        <v>0</v>
      </c>
      <c r="N880" s="13">
        <f>SUM(E880:M880)</f>
        <v/>
      </c>
    </row>
    <row r="881">
      <c r="A881" s="5">
        <f>IF(AND(C881&gt;=Options!$B$9,C881&lt;=Options!$B$10),"Denver","")</f>
        <v/>
      </c>
      <c r="B881" s="5">
        <f>IF(A881="","",18)</f>
        <v/>
      </c>
      <c r="C881" s="17" t="n">
        <v>46442</v>
      </c>
      <c r="D881" s="5">
        <f>IF(A881="","",IF(C881=DATE(2026,11,29),"培训；注册午餐；早餐参数",IF(C881=DATE(2026,11,30),"培训；注册午餐",IF(C881=DATE(2026,12,1),"培训；注册午餐；机构晚餐",IF(C881=Options!$B$9,"抵达；"&amp;IF(C881=DATE(2026,11,28),"机构晚餐","无统一供餐"),IF(C881=Options!$B$10,"返程；"&amp;IF(C881=DATE(2026,12,2),"机构午餐","无统一供餐"),"差旅状态；无统一日程"))))))</f>
        <v/>
      </c>
      <c r="E881" s="13">
        <f>IF(C881=Options!$B$9,Options!$C$16,0)</f>
        <v/>
      </c>
      <c r="F881" s="13">
        <f>IF(AND(A881&lt;&gt;"",C881&lt;Options!$B$10),B881*Options!$X$6,0)</f>
        <v/>
      </c>
      <c r="G881" s="13">
        <f>F881*12%</f>
        <v/>
      </c>
      <c r="H881" s="13">
        <f>IF(A881="",0,B881*(92*IF(OR(C881=Options!$B$9,C881=Options!$B$10),75%,100%)-IF(C881=DATE(2026,11,29),26+IF(Options!$B$8="是",23,0),0)-IF(C881=DATE(2026,11,30),26,0)-IF(C881=DATE(2026,12,1),64,0)-IF(C881=DATE(2026,11,28),38,0)-IF(C881=DATE(2026,12,2),26,0)))</f>
        <v/>
      </c>
      <c r="I881" s="13">
        <f>IF(AND(C881&gt;=DATE(2026,11,29),C881&lt;=DATE(2026,12,1)),B881*60,0)</f>
        <v/>
      </c>
      <c r="J881" s="13">
        <f>IF(A881="",0,B881*(IF(C881=DATE(2026,11,28),38,0)+IF(C881=DATE(2026,12,1),38,0)+IF(C881=DATE(2026,12,2),26,0)))</f>
        <v/>
      </c>
      <c r="K881" s="13">
        <f>IF(C881=Options!$B$9,B881*12,0)</f>
        <v/>
      </c>
      <c r="L881" s="13">
        <f>IF(C881=Options!$B$9,B881*Options!$Z$6,0)</f>
        <v/>
      </c>
      <c r="M881" s="13" t="n">
        <v>0</v>
      </c>
      <c r="N881" s="13">
        <f>SUM(E881:M881)</f>
        <v/>
      </c>
    </row>
    <row r="882">
      <c r="A882" s="5">
        <f>IF(AND(C882&gt;=Options!$B$9,C882&lt;=Options!$B$10),"Denver","")</f>
        <v/>
      </c>
      <c r="B882" s="5">
        <f>IF(A882="","",18)</f>
        <v/>
      </c>
      <c r="C882" s="17" t="n">
        <v>46443</v>
      </c>
      <c r="D882" s="5">
        <f>IF(A882="","",IF(C882=DATE(2026,11,29),"培训；注册午餐；早餐参数",IF(C882=DATE(2026,11,30),"培训；注册午餐",IF(C882=DATE(2026,12,1),"培训；注册午餐；机构晚餐",IF(C882=Options!$B$9,"抵达；"&amp;IF(C882=DATE(2026,11,28),"机构晚餐","无统一供餐"),IF(C882=Options!$B$10,"返程；"&amp;IF(C882=DATE(2026,12,2),"机构午餐","无统一供餐"),"差旅状态；无统一日程"))))))</f>
        <v/>
      </c>
      <c r="E882" s="13">
        <f>IF(C882=Options!$B$9,Options!$C$16,0)</f>
        <v/>
      </c>
      <c r="F882" s="13">
        <f>IF(AND(A882&lt;&gt;"",C882&lt;Options!$B$10),B882*Options!$X$6,0)</f>
        <v/>
      </c>
      <c r="G882" s="13">
        <f>F882*12%</f>
        <v/>
      </c>
      <c r="H882" s="13">
        <f>IF(A882="",0,B882*(92*IF(OR(C882=Options!$B$9,C882=Options!$B$10),75%,100%)-IF(C882=DATE(2026,11,29),26+IF(Options!$B$8="是",23,0),0)-IF(C882=DATE(2026,11,30),26,0)-IF(C882=DATE(2026,12,1),64,0)-IF(C882=DATE(2026,11,28),38,0)-IF(C882=DATE(2026,12,2),26,0)))</f>
        <v/>
      </c>
      <c r="I882" s="13">
        <f>IF(AND(C882&gt;=DATE(2026,11,29),C882&lt;=DATE(2026,12,1)),B882*60,0)</f>
        <v/>
      </c>
      <c r="J882" s="13">
        <f>IF(A882="",0,B882*(IF(C882=DATE(2026,11,28),38,0)+IF(C882=DATE(2026,12,1),38,0)+IF(C882=DATE(2026,12,2),26,0)))</f>
        <v/>
      </c>
      <c r="K882" s="13">
        <f>IF(C882=Options!$B$9,B882*12,0)</f>
        <v/>
      </c>
      <c r="L882" s="13">
        <f>IF(C882=Options!$B$9,B882*Options!$Z$6,0)</f>
        <v/>
      </c>
      <c r="M882" s="13" t="n">
        <v>0</v>
      </c>
      <c r="N882" s="13">
        <f>SUM(E882:M882)</f>
        <v/>
      </c>
    </row>
    <row r="883">
      <c r="A883" s="5">
        <f>IF(AND(C883&gt;=Options!$B$9,C883&lt;=Options!$B$10),"Denver","")</f>
        <v/>
      </c>
      <c r="B883" s="5">
        <f>IF(A883="","",18)</f>
        <v/>
      </c>
      <c r="C883" s="17" t="n">
        <v>46444</v>
      </c>
      <c r="D883" s="5">
        <f>IF(A883="","",IF(C883=DATE(2026,11,29),"培训；注册午餐；早餐参数",IF(C883=DATE(2026,11,30),"培训；注册午餐",IF(C883=DATE(2026,12,1),"培训；注册午餐；机构晚餐",IF(C883=Options!$B$9,"抵达；"&amp;IF(C883=DATE(2026,11,28),"机构晚餐","无统一供餐"),IF(C883=Options!$B$10,"返程；"&amp;IF(C883=DATE(2026,12,2),"机构午餐","无统一供餐"),"差旅状态；无统一日程"))))))</f>
        <v/>
      </c>
      <c r="E883" s="13">
        <f>IF(C883=Options!$B$9,Options!$C$16,0)</f>
        <v/>
      </c>
      <c r="F883" s="13">
        <f>IF(AND(A883&lt;&gt;"",C883&lt;Options!$B$10),B883*Options!$X$6,0)</f>
        <v/>
      </c>
      <c r="G883" s="13">
        <f>F883*12%</f>
        <v/>
      </c>
      <c r="H883" s="13">
        <f>IF(A883="",0,B883*(92*IF(OR(C883=Options!$B$9,C883=Options!$B$10),75%,100%)-IF(C883=DATE(2026,11,29),26+IF(Options!$B$8="是",23,0),0)-IF(C883=DATE(2026,11,30),26,0)-IF(C883=DATE(2026,12,1),64,0)-IF(C883=DATE(2026,11,28),38,0)-IF(C883=DATE(2026,12,2),26,0)))</f>
        <v/>
      </c>
      <c r="I883" s="13">
        <f>IF(AND(C883&gt;=DATE(2026,11,29),C883&lt;=DATE(2026,12,1)),B883*60,0)</f>
        <v/>
      </c>
      <c r="J883" s="13">
        <f>IF(A883="",0,B883*(IF(C883=DATE(2026,11,28),38,0)+IF(C883=DATE(2026,12,1),38,0)+IF(C883=DATE(2026,12,2),26,0)))</f>
        <v/>
      </c>
      <c r="K883" s="13">
        <f>IF(C883=Options!$B$9,B883*12,0)</f>
        <v/>
      </c>
      <c r="L883" s="13">
        <f>IF(C883=Options!$B$9,B883*Options!$Z$6,0)</f>
        <v/>
      </c>
      <c r="M883" s="13" t="n">
        <v>0</v>
      </c>
      <c r="N883" s="13">
        <f>SUM(E883:M883)</f>
        <v/>
      </c>
    </row>
    <row r="884">
      <c r="A884" s="5">
        <f>IF(AND(C884&gt;=Options!$B$9,C884&lt;=Options!$B$10),"Denver","")</f>
        <v/>
      </c>
      <c r="B884" s="5">
        <f>IF(A884="","",18)</f>
        <v/>
      </c>
      <c r="C884" s="17" t="n">
        <v>46445</v>
      </c>
      <c r="D884" s="5">
        <f>IF(A884="","",IF(C884=DATE(2026,11,29),"培训；注册午餐；早餐参数",IF(C884=DATE(2026,11,30),"培训；注册午餐",IF(C884=DATE(2026,12,1),"培训；注册午餐；机构晚餐",IF(C884=Options!$B$9,"抵达；"&amp;IF(C884=DATE(2026,11,28),"机构晚餐","无统一供餐"),IF(C884=Options!$B$10,"返程；"&amp;IF(C884=DATE(2026,12,2),"机构午餐","无统一供餐"),"差旅状态；无统一日程"))))))</f>
        <v/>
      </c>
      <c r="E884" s="13">
        <f>IF(C884=Options!$B$9,Options!$C$16,0)</f>
        <v/>
      </c>
      <c r="F884" s="13">
        <f>IF(AND(A884&lt;&gt;"",C884&lt;Options!$B$10),B884*Options!$X$6,0)</f>
        <v/>
      </c>
      <c r="G884" s="13">
        <f>F884*12%</f>
        <v/>
      </c>
      <c r="H884" s="13">
        <f>IF(A884="",0,B884*(92*IF(OR(C884=Options!$B$9,C884=Options!$B$10),75%,100%)-IF(C884=DATE(2026,11,29),26+IF(Options!$B$8="是",23,0),0)-IF(C884=DATE(2026,11,30),26,0)-IF(C884=DATE(2026,12,1),64,0)-IF(C884=DATE(2026,11,28),38,0)-IF(C884=DATE(2026,12,2),26,0)))</f>
        <v/>
      </c>
      <c r="I884" s="13">
        <f>IF(AND(C884&gt;=DATE(2026,11,29),C884&lt;=DATE(2026,12,1)),B884*60,0)</f>
        <v/>
      </c>
      <c r="J884" s="13">
        <f>IF(A884="",0,B884*(IF(C884=DATE(2026,11,28),38,0)+IF(C884=DATE(2026,12,1),38,0)+IF(C884=DATE(2026,12,2),26,0)))</f>
        <v/>
      </c>
      <c r="K884" s="13">
        <f>IF(C884=Options!$B$9,B884*12,0)</f>
        <v/>
      </c>
      <c r="L884" s="13">
        <f>IF(C884=Options!$B$9,B884*Options!$Z$6,0)</f>
        <v/>
      </c>
      <c r="M884" s="13" t="n">
        <v>0</v>
      </c>
      <c r="N884" s="13">
        <f>SUM(E884:M884)</f>
        <v/>
      </c>
    </row>
    <row r="885">
      <c r="A885" s="5">
        <f>IF(AND(C885&gt;=Options!$B$9,C885&lt;=Options!$B$10),"Denver","")</f>
        <v/>
      </c>
      <c r="B885" s="5">
        <f>IF(A885="","",18)</f>
        <v/>
      </c>
      <c r="C885" s="17" t="n">
        <v>46446</v>
      </c>
      <c r="D885" s="5">
        <f>IF(A885="","",IF(C885=DATE(2026,11,29),"培训；注册午餐；早餐参数",IF(C885=DATE(2026,11,30),"培训；注册午餐",IF(C885=DATE(2026,12,1),"培训；注册午餐；机构晚餐",IF(C885=Options!$B$9,"抵达；"&amp;IF(C885=DATE(2026,11,28),"机构晚餐","无统一供餐"),IF(C885=Options!$B$10,"返程；"&amp;IF(C885=DATE(2026,12,2),"机构午餐","无统一供餐"),"差旅状态；无统一日程"))))))</f>
        <v/>
      </c>
      <c r="E885" s="13">
        <f>IF(C885=Options!$B$9,Options!$C$16,0)</f>
        <v/>
      </c>
      <c r="F885" s="13">
        <f>IF(AND(A885&lt;&gt;"",C885&lt;Options!$B$10),B885*Options!$X$6,0)</f>
        <v/>
      </c>
      <c r="G885" s="13">
        <f>F885*12%</f>
        <v/>
      </c>
      <c r="H885" s="13">
        <f>IF(A885="",0,B885*(92*IF(OR(C885=Options!$B$9,C885=Options!$B$10),75%,100%)-IF(C885=DATE(2026,11,29),26+IF(Options!$B$8="是",23,0),0)-IF(C885=DATE(2026,11,30),26,0)-IF(C885=DATE(2026,12,1),64,0)-IF(C885=DATE(2026,11,28),38,0)-IF(C885=DATE(2026,12,2),26,0)))</f>
        <v/>
      </c>
      <c r="I885" s="13">
        <f>IF(AND(C885&gt;=DATE(2026,11,29),C885&lt;=DATE(2026,12,1)),B885*60,0)</f>
        <v/>
      </c>
      <c r="J885" s="13">
        <f>IF(A885="",0,B885*(IF(C885=DATE(2026,11,28),38,0)+IF(C885=DATE(2026,12,1),38,0)+IF(C885=DATE(2026,12,2),26,0)))</f>
        <v/>
      </c>
      <c r="K885" s="13">
        <f>IF(C885=Options!$B$9,B885*12,0)</f>
        <v/>
      </c>
      <c r="L885" s="13">
        <f>IF(C885=Options!$B$9,B885*Options!$Z$6,0)</f>
        <v/>
      </c>
      <c r="M885" s="13" t="n">
        <v>0</v>
      </c>
      <c r="N885" s="13">
        <f>SUM(E885:M885)</f>
        <v/>
      </c>
    </row>
    <row r="886">
      <c r="A886" s="5">
        <f>IF(AND(C886&gt;=Options!$B$9,C886&lt;=Options!$B$10),"Denver","")</f>
        <v/>
      </c>
      <c r="B886" s="5">
        <f>IF(A886="","",18)</f>
        <v/>
      </c>
      <c r="C886" s="17" t="n">
        <v>46447</v>
      </c>
      <c r="D886" s="5">
        <f>IF(A886="","",IF(C886=DATE(2026,11,29),"培训；注册午餐；早餐参数",IF(C886=DATE(2026,11,30),"培训；注册午餐",IF(C886=DATE(2026,12,1),"培训；注册午餐；机构晚餐",IF(C886=Options!$B$9,"抵达；"&amp;IF(C886=DATE(2026,11,28),"机构晚餐","无统一供餐"),IF(C886=Options!$B$10,"返程；"&amp;IF(C886=DATE(2026,12,2),"机构午餐","无统一供餐"),"差旅状态；无统一日程"))))))</f>
        <v/>
      </c>
      <c r="E886" s="13">
        <f>IF(C886=Options!$B$9,Options!$C$16,0)</f>
        <v/>
      </c>
      <c r="F886" s="13">
        <f>IF(AND(A886&lt;&gt;"",C886&lt;Options!$B$10),B886*Options!$X$6,0)</f>
        <v/>
      </c>
      <c r="G886" s="13">
        <f>F886*12%</f>
        <v/>
      </c>
      <c r="H886" s="13">
        <f>IF(A886="",0,B886*(92*IF(OR(C886=Options!$B$9,C886=Options!$B$10),75%,100%)-IF(C886=DATE(2026,11,29),26+IF(Options!$B$8="是",23,0),0)-IF(C886=DATE(2026,11,30),26,0)-IF(C886=DATE(2026,12,1),64,0)-IF(C886=DATE(2026,11,28),38,0)-IF(C886=DATE(2026,12,2),26,0)))</f>
        <v/>
      </c>
      <c r="I886" s="13">
        <f>IF(AND(C886&gt;=DATE(2026,11,29),C886&lt;=DATE(2026,12,1)),B886*60,0)</f>
        <v/>
      </c>
      <c r="J886" s="13">
        <f>IF(A886="",0,B886*(IF(C886=DATE(2026,11,28),38,0)+IF(C886=DATE(2026,12,1),38,0)+IF(C886=DATE(2026,12,2),26,0)))</f>
        <v/>
      </c>
      <c r="K886" s="13">
        <f>IF(C886=Options!$B$9,B886*12,0)</f>
        <v/>
      </c>
      <c r="L886" s="13">
        <f>IF(C886=Options!$B$9,B886*Options!$Z$6,0)</f>
        <v/>
      </c>
      <c r="M886" s="13" t="n">
        <v>0</v>
      </c>
      <c r="N886" s="13">
        <f>SUM(E886:M886)</f>
        <v/>
      </c>
    </row>
    <row r="887">
      <c r="A887" s="5">
        <f>IF(AND(C887&gt;=Options!$B$9,C887&lt;=Options!$B$10),"Denver","")</f>
        <v/>
      </c>
      <c r="B887" s="5">
        <f>IF(A887="","",18)</f>
        <v/>
      </c>
      <c r="C887" s="17" t="n">
        <v>46448</v>
      </c>
      <c r="D887" s="5">
        <f>IF(A887="","",IF(C887=DATE(2026,11,29),"培训；注册午餐；早餐参数",IF(C887=DATE(2026,11,30),"培训；注册午餐",IF(C887=DATE(2026,12,1),"培训；注册午餐；机构晚餐",IF(C887=Options!$B$9,"抵达；"&amp;IF(C887=DATE(2026,11,28),"机构晚餐","无统一供餐"),IF(C887=Options!$B$10,"返程；"&amp;IF(C887=DATE(2026,12,2),"机构午餐","无统一供餐"),"差旅状态；无统一日程"))))))</f>
        <v/>
      </c>
      <c r="E887" s="13">
        <f>IF(C887=Options!$B$9,Options!$C$16,0)</f>
        <v/>
      </c>
      <c r="F887" s="13">
        <f>IF(AND(A887&lt;&gt;"",C887&lt;Options!$B$10),B887*Options!$X$6,0)</f>
        <v/>
      </c>
      <c r="G887" s="13">
        <f>F887*12%</f>
        <v/>
      </c>
      <c r="H887" s="13">
        <f>IF(A887="",0,B887*(92*IF(OR(C887=Options!$B$9,C887=Options!$B$10),75%,100%)-IF(C887=DATE(2026,11,29),26+IF(Options!$B$8="是",23,0),0)-IF(C887=DATE(2026,11,30),26,0)-IF(C887=DATE(2026,12,1),64,0)-IF(C887=DATE(2026,11,28),38,0)-IF(C887=DATE(2026,12,2),26,0)))</f>
        <v/>
      </c>
      <c r="I887" s="13">
        <f>IF(AND(C887&gt;=DATE(2026,11,29),C887&lt;=DATE(2026,12,1)),B887*60,0)</f>
        <v/>
      </c>
      <c r="J887" s="13">
        <f>IF(A887="",0,B887*(IF(C887=DATE(2026,11,28),38,0)+IF(C887=DATE(2026,12,1),38,0)+IF(C887=DATE(2026,12,2),26,0)))</f>
        <v/>
      </c>
      <c r="K887" s="13">
        <f>IF(C887=Options!$B$9,B887*12,0)</f>
        <v/>
      </c>
      <c r="L887" s="13">
        <f>IF(C887=Options!$B$9,B887*Options!$Z$6,0)</f>
        <v/>
      </c>
      <c r="M887" s="13" t="n">
        <v>0</v>
      </c>
      <c r="N887" s="13">
        <f>SUM(E887:M887)</f>
        <v/>
      </c>
    </row>
    <row r="888">
      <c r="A888" s="5">
        <f>IF(AND(C888&gt;=Options!$B$9,C888&lt;=Options!$B$10),"Denver","")</f>
        <v/>
      </c>
      <c r="B888" s="5">
        <f>IF(A888="","",18)</f>
        <v/>
      </c>
      <c r="C888" s="17" t="n">
        <v>46449</v>
      </c>
      <c r="D888" s="5">
        <f>IF(A888="","",IF(C888=DATE(2026,11,29),"培训；注册午餐；早餐参数",IF(C888=DATE(2026,11,30),"培训；注册午餐",IF(C888=DATE(2026,12,1),"培训；注册午餐；机构晚餐",IF(C888=Options!$B$9,"抵达；"&amp;IF(C888=DATE(2026,11,28),"机构晚餐","无统一供餐"),IF(C888=Options!$B$10,"返程；"&amp;IF(C888=DATE(2026,12,2),"机构午餐","无统一供餐"),"差旅状态；无统一日程"))))))</f>
        <v/>
      </c>
      <c r="E888" s="13">
        <f>IF(C888=Options!$B$9,Options!$C$16,0)</f>
        <v/>
      </c>
      <c r="F888" s="13">
        <f>IF(AND(A888&lt;&gt;"",C888&lt;Options!$B$10),B888*Options!$X$6,0)</f>
        <v/>
      </c>
      <c r="G888" s="13">
        <f>F888*12%</f>
        <v/>
      </c>
      <c r="H888" s="13">
        <f>IF(A888="",0,B888*(92*IF(OR(C888=Options!$B$9,C888=Options!$B$10),75%,100%)-IF(C888=DATE(2026,11,29),26+IF(Options!$B$8="是",23,0),0)-IF(C888=DATE(2026,11,30),26,0)-IF(C888=DATE(2026,12,1),64,0)-IF(C888=DATE(2026,11,28),38,0)-IF(C888=DATE(2026,12,2),26,0)))</f>
        <v/>
      </c>
      <c r="I888" s="13">
        <f>IF(AND(C888&gt;=DATE(2026,11,29),C888&lt;=DATE(2026,12,1)),B888*60,0)</f>
        <v/>
      </c>
      <c r="J888" s="13">
        <f>IF(A888="",0,B888*(IF(C888=DATE(2026,11,28),38,0)+IF(C888=DATE(2026,12,1),38,0)+IF(C888=DATE(2026,12,2),26,0)))</f>
        <v/>
      </c>
      <c r="K888" s="13">
        <f>IF(C888=Options!$B$9,B888*12,0)</f>
        <v/>
      </c>
      <c r="L888" s="13">
        <f>IF(C888=Options!$B$9,B888*Options!$Z$6,0)</f>
        <v/>
      </c>
      <c r="M888" s="13" t="n">
        <v>0</v>
      </c>
      <c r="N888" s="13">
        <f>SUM(E888:M888)</f>
        <v/>
      </c>
    </row>
    <row r="889">
      <c r="A889" s="5">
        <f>IF(AND(C889&gt;=Options!$B$9,C889&lt;=Options!$B$10),"Denver","")</f>
        <v/>
      </c>
      <c r="B889" s="5">
        <f>IF(A889="","",18)</f>
        <v/>
      </c>
      <c r="C889" s="17" t="n">
        <v>46450</v>
      </c>
      <c r="D889" s="5">
        <f>IF(A889="","",IF(C889=DATE(2026,11,29),"培训；注册午餐；早餐参数",IF(C889=DATE(2026,11,30),"培训；注册午餐",IF(C889=DATE(2026,12,1),"培训；注册午餐；机构晚餐",IF(C889=Options!$B$9,"抵达；"&amp;IF(C889=DATE(2026,11,28),"机构晚餐","无统一供餐"),IF(C889=Options!$B$10,"返程；"&amp;IF(C889=DATE(2026,12,2),"机构午餐","无统一供餐"),"差旅状态；无统一日程"))))))</f>
        <v/>
      </c>
      <c r="E889" s="13">
        <f>IF(C889=Options!$B$9,Options!$C$16,0)</f>
        <v/>
      </c>
      <c r="F889" s="13">
        <f>IF(AND(A889&lt;&gt;"",C889&lt;Options!$B$10),B889*Options!$X$6,0)</f>
        <v/>
      </c>
      <c r="G889" s="13">
        <f>F889*12%</f>
        <v/>
      </c>
      <c r="H889" s="13">
        <f>IF(A889="",0,B889*(92*IF(OR(C889=Options!$B$9,C889=Options!$B$10),75%,100%)-IF(C889=DATE(2026,11,29),26+IF(Options!$B$8="是",23,0),0)-IF(C889=DATE(2026,11,30),26,0)-IF(C889=DATE(2026,12,1),64,0)-IF(C889=DATE(2026,11,28),38,0)-IF(C889=DATE(2026,12,2),26,0)))</f>
        <v/>
      </c>
      <c r="I889" s="13">
        <f>IF(AND(C889&gt;=DATE(2026,11,29),C889&lt;=DATE(2026,12,1)),B889*60,0)</f>
        <v/>
      </c>
      <c r="J889" s="13">
        <f>IF(A889="",0,B889*(IF(C889=DATE(2026,11,28),38,0)+IF(C889=DATE(2026,12,1),38,0)+IF(C889=DATE(2026,12,2),26,0)))</f>
        <v/>
      </c>
      <c r="K889" s="13">
        <f>IF(C889=Options!$B$9,B889*12,0)</f>
        <v/>
      </c>
      <c r="L889" s="13">
        <f>IF(C889=Options!$B$9,B889*Options!$Z$6,0)</f>
        <v/>
      </c>
      <c r="M889" s="13" t="n">
        <v>0</v>
      </c>
      <c r="N889" s="13">
        <f>SUM(E889:M889)</f>
        <v/>
      </c>
    </row>
    <row r="890">
      <c r="A890" s="5">
        <f>IF(AND(C890&gt;=Options!$B$9,C890&lt;=Options!$B$10),"Denver","")</f>
        <v/>
      </c>
      <c r="B890" s="5">
        <f>IF(A890="","",18)</f>
        <v/>
      </c>
      <c r="C890" s="17" t="n">
        <v>46451</v>
      </c>
      <c r="D890" s="5">
        <f>IF(A890="","",IF(C890=DATE(2026,11,29),"培训；注册午餐；早餐参数",IF(C890=DATE(2026,11,30),"培训；注册午餐",IF(C890=DATE(2026,12,1),"培训；注册午餐；机构晚餐",IF(C890=Options!$B$9,"抵达；"&amp;IF(C890=DATE(2026,11,28),"机构晚餐","无统一供餐"),IF(C890=Options!$B$10,"返程；"&amp;IF(C890=DATE(2026,12,2),"机构午餐","无统一供餐"),"差旅状态；无统一日程"))))))</f>
        <v/>
      </c>
      <c r="E890" s="13">
        <f>IF(C890=Options!$B$9,Options!$C$16,0)</f>
        <v/>
      </c>
      <c r="F890" s="13">
        <f>IF(AND(A890&lt;&gt;"",C890&lt;Options!$B$10),B890*Options!$X$6,0)</f>
        <v/>
      </c>
      <c r="G890" s="13">
        <f>F890*12%</f>
        <v/>
      </c>
      <c r="H890" s="13">
        <f>IF(A890="",0,B890*(92*IF(OR(C890=Options!$B$9,C890=Options!$B$10),75%,100%)-IF(C890=DATE(2026,11,29),26+IF(Options!$B$8="是",23,0),0)-IF(C890=DATE(2026,11,30),26,0)-IF(C890=DATE(2026,12,1),64,0)-IF(C890=DATE(2026,11,28),38,0)-IF(C890=DATE(2026,12,2),26,0)))</f>
        <v/>
      </c>
      <c r="I890" s="13">
        <f>IF(AND(C890&gt;=DATE(2026,11,29),C890&lt;=DATE(2026,12,1)),B890*60,0)</f>
        <v/>
      </c>
      <c r="J890" s="13">
        <f>IF(A890="",0,B890*(IF(C890=DATE(2026,11,28),38,0)+IF(C890=DATE(2026,12,1),38,0)+IF(C890=DATE(2026,12,2),26,0)))</f>
        <v/>
      </c>
      <c r="K890" s="13">
        <f>IF(C890=Options!$B$9,B890*12,0)</f>
        <v/>
      </c>
      <c r="L890" s="13">
        <f>IF(C890=Options!$B$9,B890*Options!$Z$6,0)</f>
        <v/>
      </c>
      <c r="M890" s="13" t="n">
        <v>0</v>
      </c>
      <c r="N890" s="13">
        <f>SUM(E890:M890)</f>
        <v/>
      </c>
    </row>
    <row r="891">
      <c r="A891" s="5">
        <f>IF(AND(C891&gt;=Options!$B$9,C891&lt;=Options!$B$10),"Denver","")</f>
        <v/>
      </c>
      <c r="B891" s="5">
        <f>IF(A891="","",18)</f>
        <v/>
      </c>
      <c r="C891" s="17" t="n">
        <v>46452</v>
      </c>
      <c r="D891" s="5">
        <f>IF(A891="","",IF(C891=DATE(2026,11,29),"培训；注册午餐；早餐参数",IF(C891=DATE(2026,11,30),"培训；注册午餐",IF(C891=DATE(2026,12,1),"培训；注册午餐；机构晚餐",IF(C891=Options!$B$9,"抵达；"&amp;IF(C891=DATE(2026,11,28),"机构晚餐","无统一供餐"),IF(C891=Options!$B$10,"返程；"&amp;IF(C891=DATE(2026,12,2),"机构午餐","无统一供餐"),"差旅状态；无统一日程"))))))</f>
        <v/>
      </c>
      <c r="E891" s="13">
        <f>IF(C891=Options!$B$9,Options!$C$16,0)</f>
        <v/>
      </c>
      <c r="F891" s="13">
        <f>IF(AND(A891&lt;&gt;"",C891&lt;Options!$B$10),B891*Options!$X$6,0)</f>
        <v/>
      </c>
      <c r="G891" s="13">
        <f>F891*12%</f>
        <v/>
      </c>
      <c r="H891" s="13">
        <f>IF(A891="",0,B891*(92*IF(OR(C891=Options!$B$9,C891=Options!$B$10),75%,100%)-IF(C891=DATE(2026,11,29),26+IF(Options!$B$8="是",23,0),0)-IF(C891=DATE(2026,11,30),26,0)-IF(C891=DATE(2026,12,1),64,0)-IF(C891=DATE(2026,11,28),38,0)-IF(C891=DATE(2026,12,2),26,0)))</f>
        <v/>
      </c>
      <c r="I891" s="13">
        <f>IF(AND(C891&gt;=DATE(2026,11,29),C891&lt;=DATE(2026,12,1)),B891*60,0)</f>
        <v/>
      </c>
      <c r="J891" s="13">
        <f>IF(A891="",0,B891*(IF(C891=DATE(2026,11,28),38,0)+IF(C891=DATE(2026,12,1),38,0)+IF(C891=DATE(2026,12,2),26,0)))</f>
        <v/>
      </c>
      <c r="K891" s="13">
        <f>IF(C891=Options!$B$9,B891*12,0)</f>
        <v/>
      </c>
      <c r="L891" s="13">
        <f>IF(C891=Options!$B$9,B891*Options!$Z$6,0)</f>
        <v/>
      </c>
      <c r="M891" s="13" t="n">
        <v>0</v>
      </c>
      <c r="N891" s="13">
        <f>SUM(E891:M891)</f>
        <v/>
      </c>
    </row>
    <row r="892">
      <c r="A892" s="5">
        <f>IF(AND(C892&gt;=Options!$B$9,C892&lt;=Options!$B$10),"Denver","")</f>
        <v/>
      </c>
      <c r="B892" s="5">
        <f>IF(A892="","",18)</f>
        <v/>
      </c>
      <c r="C892" s="17" t="n">
        <v>46453</v>
      </c>
      <c r="D892" s="5">
        <f>IF(A892="","",IF(C892=DATE(2026,11,29),"培训；注册午餐；早餐参数",IF(C892=DATE(2026,11,30),"培训；注册午餐",IF(C892=DATE(2026,12,1),"培训；注册午餐；机构晚餐",IF(C892=Options!$B$9,"抵达；"&amp;IF(C892=DATE(2026,11,28),"机构晚餐","无统一供餐"),IF(C892=Options!$B$10,"返程；"&amp;IF(C892=DATE(2026,12,2),"机构午餐","无统一供餐"),"差旅状态；无统一日程"))))))</f>
        <v/>
      </c>
      <c r="E892" s="13">
        <f>IF(C892=Options!$B$9,Options!$C$16,0)</f>
        <v/>
      </c>
      <c r="F892" s="13">
        <f>IF(AND(A892&lt;&gt;"",C892&lt;Options!$B$10),B892*Options!$X$6,0)</f>
        <v/>
      </c>
      <c r="G892" s="13">
        <f>F892*12%</f>
        <v/>
      </c>
      <c r="H892" s="13">
        <f>IF(A892="",0,B892*(92*IF(OR(C892=Options!$B$9,C892=Options!$B$10),75%,100%)-IF(C892=DATE(2026,11,29),26+IF(Options!$B$8="是",23,0),0)-IF(C892=DATE(2026,11,30),26,0)-IF(C892=DATE(2026,12,1),64,0)-IF(C892=DATE(2026,11,28),38,0)-IF(C892=DATE(2026,12,2),26,0)))</f>
        <v/>
      </c>
      <c r="I892" s="13">
        <f>IF(AND(C892&gt;=DATE(2026,11,29),C892&lt;=DATE(2026,12,1)),B892*60,0)</f>
        <v/>
      </c>
      <c r="J892" s="13">
        <f>IF(A892="",0,B892*(IF(C892=DATE(2026,11,28),38,0)+IF(C892=DATE(2026,12,1),38,0)+IF(C892=DATE(2026,12,2),26,0)))</f>
        <v/>
      </c>
      <c r="K892" s="13">
        <f>IF(C892=Options!$B$9,B892*12,0)</f>
        <v/>
      </c>
      <c r="L892" s="13">
        <f>IF(C892=Options!$B$9,B892*Options!$Z$6,0)</f>
        <v/>
      </c>
      <c r="M892" s="13" t="n">
        <v>0</v>
      </c>
      <c r="N892" s="13">
        <f>SUM(E892:M892)</f>
        <v/>
      </c>
    </row>
    <row r="893">
      <c r="A893" s="5">
        <f>IF(AND(C893&gt;=Options!$B$9,C893&lt;=Options!$B$10),"Denver","")</f>
        <v/>
      </c>
      <c r="B893" s="5">
        <f>IF(A893="","",18)</f>
        <v/>
      </c>
      <c r="C893" s="17" t="n">
        <v>46454</v>
      </c>
      <c r="D893" s="5">
        <f>IF(A893="","",IF(C893=DATE(2026,11,29),"培训；注册午餐；早餐参数",IF(C893=DATE(2026,11,30),"培训；注册午餐",IF(C893=DATE(2026,12,1),"培训；注册午餐；机构晚餐",IF(C893=Options!$B$9,"抵达；"&amp;IF(C893=DATE(2026,11,28),"机构晚餐","无统一供餐"),IF(C893=Options!$B$10,"返程；"&amp;IF(C893=DATE(2026,12,2),"机构午餐","无统一供餐"),"差旅状态；无统一日程"))))))</f>
        <v/>
      </c>
      <c r="E893" s="13">
        <f>IF(C893=Options!$B$9,Options!$C$16,0)</f>
        <v/>
      </c>
      <c r="F893" s="13">
        <f>IF(AND(A893&lt;&gt;"",C893&lt;Options!$B$10),B893*Options!$X$6,0)</f>
        <v/>
      </c>
      <c r="G893" s="13">
        <f>F893*12%</f>
        <v/>
      </c>
      <c r="H893" s="13">
        <f>IF(A893="",0,B893*(92*IF(OR(C893=Options!$B$9,C893=Options!$B$10),75%,100%)-IF(C893=DATE(2026,11,29),26+IF(Options!$B$8="是",23,0),0)-IF(C893=DATE(2026,11,30),26,0)-IF(C893=DATE(2026,12,1),64,0)-IF(C893=DATE(2026,11,28),38,0)-IF(C893=DATE(2026,12,2),26,0)))</f>
        <v/>
      </c>
      <c r="I893" s="13">
        <f>IF(AND(C893&gt;=DATE(2026,11,29),C893&lt;=DATE(2026,12,1)),B893*60,0)</f>
        <v/>
      </c>
      <c r="J893" s="13">
        <f>IF(A893="",0,B893*(IF(C893=DATE(2026,11,28),38,0)+IF(C893=DATE(2026,12,1),38,0)+IF(C893=DATE(2026,12,2),26,0)))</f>
        <v/>
      </c>
      <c r="K893" s="13">
        <f>IF(C893=Options!$B$9,B893*12,0)</f>
        <v/>
      </c>
      <c r="L893" s="13">
        <f>IF(C893=Options!$B$9,B893*Options!$Z$6,0)</f>
        <v/>
      </c>
      <c r="M893" s="13" t="n">
        <v>0</v>
      </c>
      <c r="N893" s="13">
        <f>SUM(E893:M893)</f>
        <v/>
      </c>
    </row>
    <row r="894">
      <c r="A894" s="5">
        <f>IF(AND(C894&gt;=Options!$B$9,C894&lt;=Options!$B$10),"Denver","")</f>
        <v/>
      </c>
      <c r="B894" s="5">
        <f>IF(A894="","",18)</f>
        <v/>
      </c>
      <c r="C894" s="17" t="n">
        <v>46455</v>
      </c>
      <c r="D894" s="5">
        <f>IF(A894="","",IF(C894=DATE(2026,11,29),"培训；注册午餐；早餐参数",IF(C894=DATE(2026,11,30),"培训；注册午餐",IF(C894=DATE(2026,12,1),"培训；注册午餐；机构晚餐",IF(C894=Options!$B$9,"抵达；"&amp;IF(C894=DATE(2026,11,28),"机构晚餐","无统一供餐"),IF(C894=Options!$B$10,"返程；"&amp;IF(C894=DATE(2026,12,2),"机构午餐","无统一供餐"),"差旅状态；无统一日程"))))))</f>
        <v/>
      </c>
      <c r="E894" s="13">
        <f>IF(C894=Options!$B$9,Options!$C$16,0)</f>
        <v/>
      </c>
      <c r="F894" s="13">
        <f>IF(AND(A894&lt;&gt;"",C894&lt;Options!$B$10),B894*Options!$X$6,0)</f>
        <v/>
      </c>
      <c r="G894" s="13">
        <f>F894*12%</f>
        <v/>
      </c>
      <c r="H894" s="13">
        <f>IF(A894="",0,B894*(92*IF(OR(C894=Options!$B$9,C894=Options!$B$10),75%,100%)-IF(C894=DATE(2026,11,29),26+IF(Options!$B$8="是",23,0),0)-IF(C894=DATE(2026,11,30),26,0)-IF(C894=DATE(2026,12,1),64,0)-IF(C894=DATE(2026,11,28),38,0)-IF(C894=DATE(2026,12,2),26,0)))</f>
        <v/>
      </c>
      <c r="I894" s="13">
        <f>IF(AND(C894&gt;=DATE(2026,11,29),C894&lt;=DATE(2026,12,1)),B894*60,0)</f>
        <v/>
      </c>
      <c r="J894" s="13">
        <f>IF(A894="",0,B894*(IF(C894=DATE(2026,11,28),38,0)+IF(C894=DATE(2026,12,1),38,0)+IF(C894=DATE(2026,12,2),26,0)))</f>
        <v/>
      </c>
      <c r="K894" s="13">
        <f>IF(C894=Options!$B$9,B894*12,0)</f>
        <v/>
      </c>
      <c r="L894" s="13">
        <f>IF(C894=Options!$B$9,B894*Options!$Z$6,0)</f>
        <v/>
      </c>
      <c r="M894" s="13" t="n">
        <v>0</v>
      </c>
      <c r="N894" s="13">
        <f>SUM(E894:M894)</f>
        <v/>
      </c>
    </row>
    <row r="895">
      <c r="A895" s="5">
        <f>IF(AND(C895&gt;=Options!$B$9,C895&lt;=Options!$B$10),"Denver","")</f>
        <v/>
      </c>
      <c r="B895" s="5">
        <f>IF(A895="","",18)</f>
        <v/>
      </c>
      <c r="C895" s="17" t="n">
        <v>46456</v>
      </c>
      <c r="D895" s="5">
        <f>IF(A895="","",IF(C895=DATE(2026,11,29),"培训；注册午餐；早餐参数",IF(C895=DATE(2026,11,30),"培训；注册午餐",IF(C895=DATE(2026,12,1),"培训；注册午餐；机构晚餐",IF(C895=Options!$B$9,"抵达；"&amp;IF(C895=DATE(2026,11,28),"机构晚餐","无统一供餐"),IF(C895=Options!$B$10,"返程；"&amp;IF(C895=DATE(2026,12,2),"机构午餐","无统一供餐"),"差旅状态；无统一日程"))))))</f>
        <v/>
      </c>
      <c r="E895" s="13">
        <f>IF(C895=Options!$B$9,Options!$C$16,0)</f>
        <v/>
      </c>
      <c r="F895" s="13">
        <f>IF(AND(A895&lt;&gt;"",C895&lt;Options!$B$10),B895*Options!$X$6,0)</f>
        <v/>
      </c>
      <c r="G895" s="13">
        <f>F895*12%</f>
        <v/>
      </c>
      <c r="H895" s="13">
        <f>IF(A895="",0,B895*(92*IF(OR(C895=Options!$B$9,C895=Options!$B$10),75%,100%)-IF(C895=DATE(2026,11,29),26+IF(Options!$B$8="是",23,0),0)-IF(C895=DATE(2026,11,30),26,0)-IF(C895=DATE(2026,12,1),64,0)-IF(C895=DATE(2026,11,28),38,0)-IF(C895=DATE(2026,12,2),26,0)))</f>
        <v/>
      </c>
      <c r="I895" s="13">
        <f>IF(AND(C895&gt;=DATE(2026,11,29),C895&lt;=DATE(2026,12,1)),B895*60,0)</f>
        <v/>
      </c>
      <c r="J895" s="13">
        <f>IF(A895="",0,B895*(IF(C895=DATE(2026,11,28),38,0)+IF(C895=DATE(2026,12,1),38,0)+IF(C895=DATE(2026,12,2),26,0)))</f>
        <v/>
      </c>
      <c r="K895" s="13">
        <f>IF(C895=Options!$B$9,B895*12,0)</f>
        <v/>
      </c>
      <c r="L895" s="13">
        <f>IF(C895=Options!$B$9,B895*Options!$Z$6,0)</f>
        <v/>
      </c>
      <c r="M895" s="13" t="n">
        <v>0</v>
      </c>
      <c r="N895" s="13">
        <f>SUM(E895:M895)</f>
        <v/>
      </c>
    </row>
    <row r="896">
      <c r="A896" s="5">
        <f>IF(AND(C896&gt;=Options!$B$9,C896&lt;=Options!$B$10),"Denver","")</f>
        <v/>
      </c>
      <c r="B896" s="5">
        <f>IF(A896="","",18)</f>
        <v/>
      </c>
      <c r="C896" s="17" t="n">
        <v>46457</v>
      </c>
      <c r="D896" s="5">
        <f>IF(A896="","",IF(C896=DATE(2026,11,29),"培训；注册午餐；早餐参数",IF(C896=DATE(2026,11,30),"培训；注册午餐",IF(C896=DATE(2026,12,1),"培训；注册午餐；机构晚餐",IF(C896=Options!$B$9,"抵达；"&amp;IF(C896=DATE(2026,11,28),"机构晚餐","无统一供餐"),IF(C896=Options!$B$10,"返程；"&amp;IF(C896=DATE(2026,12,2),"机构午餐","无统一供餐"),"差旅状态；无统一日程"))))))</f>
        <v/>
      </c>
      <c r="E896" s="13">
        <f>IF(C896=Options!$B$9,Options!$C$16,0)</f>
        <v/>
      </c>
      <c r="F896" s="13">
        <f>IF(AND(A896&lt;&gt;"",C896&lt;Options!$B$10),B896*Options!$X$6,0)</f>
        <v/>
      </c>
      <c r="G896" s="13">
        <f>F896*12%</f>
        <v/>
      </c>
      <c r="H896" s="13">
        <f>IF(A896="",0,B896*(92*IF(OR(C896=Options!$B$9,C896=Options!$B$10),75%,100%)-IF(C896=DATE(2026,11,29),26+IF(Options!$B$8="是",23,0),0)-IF(C896=DATE(2026,11,30),26,0)-IF(C896=DATE(2026,12,1),64,0)-IF(C896=DATE(2026,11,28),38,0)-IF(C896=DATE(2026,12,2),26,0)))</f>
        <v/>
      </c>
      <c r="I896" s="13">
        <f>IF(AND(C896&gt;=DATE(2026,11,29),C896&lt;=DATE(2026,12,1)),B896*60,0)</f>
        <v/>
      </c>
      <c r="J896" s="13">
        <f>IF(A896="",0,B896*(IF(C896=DATE(2026,11,28),38,0)+IF(C896=DATE(2026,12,1),38,0)+IF(C896=DATE(2026,12,2),26,0)))</f>
        <v/>
      </c>
      <c r="K896" s="13">
        <f>IF(C896=Options!$B$9,B896*12,0)</f>
        <v/>
      </c>
      <c r="L896" s="13">
        <f>IF(C896=Options!$B$9,B896*Options!$Z$6,0)</f>
        <v/>
      </c>
      <c r="M896" s="13" t="n">
        <v>0</v>
      </c>
      <c r="N896" s="13">
        <f>SUM(E896:M896)</f>
        <v/>
      </c>
    </row>
    <row r="897">
      <c r="A897" s="5">
        <f>IF(AND(C897&gt;=Options!$B$9,C897&lt;=Options!$B$10),"Denver","")</f>
        <v/>
      </c>
      <c r="B897" s="5">
        <f>IF(A897="","",18)</f>
        <v/>
      </c>
      <c r="C897" s="17" t="n">
        <v>46458</v>
      </c>
      <c r="D897" s="5">
        <f>IF(A897="","",IF(C897=DATE(2026,11,29),"培训；注册午餐；早餐参数",IF(C897=DATE(2026,11,30),"培训；注册午餐",IF(C897=DATE(2026,12,1),"培训；注册午餐；机构晚餐",IF(C897=Options!$B$9,"抵达；"&amp;IF(C897=DATE(2026,11,28),"机构晚餐","无统一供餐"),IF(C897=Options!$B$10,"返程；"&amp;IF(C897=DATE(2026,12,2),"机构午餐","无统一供餐"),"差旅状态；无统一日程"))))))</f>
        <v/>
      </c>
      <c r="E897" s="13">
        <f>IF(C897=Options!$B$9,Options!$C$16,0)</f>
        <v/>
      </c>
      <c r="F897" s="13">
        <f>IF(AND(A897&lt;&gt;"",C897&lt;Options!$B$10),B897*Options!$X$6,0)</f>
        <v/>
      </c>
      <c r="G897" s="13">
        <f>F897*12%</f>
        <v/>
      </c>
      <c r="H897" s="13">
        <f>IF(A897="",0,B897*(92*IF(OR(C897=Options!$B$9,C897=Options!$B$10),75%,100%)-IF(C897=DATE(2026,11,29),26+IF(Options!$B$8="是",23,0),0)-IF(C897=DATE(2026,11,30),26,0)-IF(C897=DATE(2026,12,1),64,0)-IF(C897=DATE(2026,11,28),38,0)-IF(C897=DATE(2026,12,2),26,0)))</f>
        <v/>
      </c>
      <c r="I897" s="13">
        <f>IF(AND(C897&gt;=DATE(2026,11,29),C897&lt;=DATE(2026,12,1)),B897*60,0)</f>
        <v/>
      </c>
      <c r="J897" s="13">
        <f>IF(A897="",0,B897*(IF(C897=DATE(2026,11,28),38,0)+IF(C897=DATE(2026,12,1),38,0)+IF(C897=DATE(2026,12,2),26,0)))</f>
        <v/>
      </c>
      <c r="K897" s="13">
        <f>IF(C897=Options!$B$9,B897*12,0)</f>
        <v/>
      </c>
      <c r="L897" s="13">
        <f>IF(C897=Options!$B$9,B897*Options!$Z$6,0)</f>
        <v/>
      </c>
      <c r="M897" s="13" t="n">
        <v>0</v>
      </c>
      <c r="N897" s="13">
        <f>SUM(E897:M897)</f>
        <v/>
      </c>
    </row>
    <row r="898">
      <c r="A898" s="5">
        <f>IF(AND(C898&gt;=Options!$B$9,C898&lt;=Options!$B$10),"Denver","")</f>
        <v/>
      </c>
      <c r="B898" s="5">
        <f>IF(A898="","",18)</f>
        <v/>
      </c>
      <c r="C898" s="17" t="n">
        <v>46459</v>
      </c>
      <c r="D898" s="5">
        <f>IF(A898="","",IF(C898=DATE(2026,11,29),"培训；注册午餐；早餐参数",IF(C898=DATE(2026,11,30),"培训；注册午餐",IF(C898=DATE(2026,12,1),"培训；注册午餐；机构晚餐",IF(C898=Options!$B$9,"抵达；"&amp;IF(C898=DATE(2026,11,28),"机构晚餐","无统一供餐"),IF(C898=Options!$B$10,"返程；"&amp;IF(C898=DATE(2026,12,2),"机构午餐","无统一供餐"),"差旅状态；无统一日程"))))))</f>
        <v/>
      </c>
      <c r="E898" s="13">
        <f>IF(C898=Options!$B$9,Options!$C$16,0)</f>
        <v/>
      </c>
      <c r="F898" s="13">
        <f>IF(AND(A898&lt;&gt;"",C898&lt;Options!$B$10),B898*Options!$X$6,0)</f>
        <v/>
      </c>
      <c r="G898" s="13">
        <f>F898*12%</f>
        <v/>
      </c>
      <c r="H898" s="13">
        <f>IF(A898="",0,B898*(92*IF(OR(C898=Options!$B$9,C898=Options!$B$10),75%,100%)-IF(C898=DATE(2026,11,29),26+IF(Options!$B$8="是",23,0),0)-IF(C898=DATE(2026,11,30),26,0)-IF(C898=DATE(2026,12,1),64,0)-IF(C898=DATE(2026,11,28),38,0)-IF(C898=DATE(2026,12,2),26,0)))</f>
        <v/>
      </c>
      <c r="I898" s="13">
        <f>IF(AND(C898&gt;=DATE(2026,11,29),C898&lt;=DATE(2026,12,1)),B898*60,0)</f>
        <v/>
      </c>
      <c r="J898" s="13">
        <f>IF(A898="",0,B898*(IF(C898=DATE(2026,11,28),38,0)+IF(C898=DATE(2026,12,1),38,0)+IF(C898=DATE(2026,12,2),26,0)))</f>
        <v/>
      </c>
      <c r="K898" s="13">
        <f>IF(C898=Options!$B$9,B898*12,0)</f>
        <v/>
      </c>
      <c r="L898" s="13">
        <f>IF(C898=Options!$B$9,B898*Options!$Z$6,0)</f>
        <v/>
      </c>
      <c r="M898" s="13" t="n">
        <v>0</v>
      </c>
      <c r="N898" s="13">
        <f>SUM(E898:M898)</f>
        <v/>
      </c>
    </row>
    <row r="899">
      <c r="A899" s="5">
        <f>IF(AND(C899&gt;=Options!$B$9,C899&lt;=Options!$B$10),"Denver","")</f>
        <v/>
      </c>
      <c r="B899" s="5">
        <f>IF(A899="","",18)</f>
        <v/>
      </c>
      <c r="C899" s="17" t="n">
        <v>46460</v>
      </c>
      <c r="D899" s="5">
        <f>IF(A899="","",IF(C899=DATE(2026,11,29),"培训；注册午餐；早餐参数",IF(C899=DATE(2026,11,30),"培训；注册午餐",IF(C899=DATE(2026,12,1),"培训；注册午餐；机构晚餐",IF(C899=Options!$B$9,"抵达；"&amp;IF(C899=DATE(2026,11,28),"机构晚餐","无统一供餐"),IF(C899=Options!$B$10,"返程；"&amp;IF(C899=DATE(2026,12,2),"机构午餐","无统一供餐"),"差旅状态；无统一日程"))))))</f>
        <v/>
      </c>
      <c r="E899" s="13">
        <f>IF(C899=Options!$B$9,Options!$C$16,0)</f>
        <v/>
      </c>
      <c r="F899" s="13">
        <f>IF(AND(A899&lt;&gt;"",C899&lt;Options!$B$10),B899*Options!$X$6,0)</f>
        <v/>
      </c>
      <c r="G899" s="13">
        <f>F899*12%</f>
        <v/>
      </c>
      <c r="H899" s="13">
        <f>IF(A899="",0,B899*(92*IF(OR(C899=Options!$B$9,C899=Options!$B$10),75%,100%)-IF(C899=DATE(2026,11,29),26+IF(Options!$B$8="是",23,0),0)-IF(C899=DATE(2026,11,30),26,0)-IF(C899=DATE(2026,12,1),64,0)-IF(C899=DATE(2026,11,28),38,0)-IF(C899=DATE(2026,12,2),26,0)))</f>
        <v/>
      </c>
      <c r="I899" s="13">
        <f>IF(AND(C899&gt;=DATE(2026,11,29),C899&lt;=DATE(2026,12,1)),B899*60,0)</f>
        <v/>
      </c>
      <c r="J899" s="13">
        <f>IF(A899="",0,B899*(IF(C899=DATE(2026,11,28),38,0)+IF(C899=DATE(2026,12,1),38,0)+IF(C899=DATE(2026,12,2),26,0)))</f>
        <v/>
      </c>
      <c r="K899" s="13">
        <f>IF(C899=Options!$B$9,B899*12,0)</f>
        <v/>
      </c>
      <c r="L899" s="13">
        <f>IF(C899=Options!$B$9,B899*Options!$Z$6,0)</f>
        <v/>
      </c>
      <c r="M899" s="13" t="n">
        <v>0</v>
      </c>
      <c r="N899" s="13">
        <f>SUM(E899:M899)</f>
        <v/>
      </c>
    </row>
    <row r="900">
      <c r="A900" s="5">
        <f>IF(AND(C900&gt;=Options!$B$9,C900&lt;=Options!$B$10),"Denver","")</f>
        <v/>
      </c>
      <c r="B900" s="5">
        <f>IF(A900="","",18)</f>
        <v/>
      </c>
      <c r="C900" s="17" t="n">
        <v>46461</v>
      </c>
      <c r="D900" s="5">
        <f>IF(A900="","",IF(C900=DATE(2026,11,29),"培训；注册午餐；早餐参数",IF(C900=DATE(2026,11,30),"培训；注册午餐",IF(C900=DATE(2026,12,1),"培训；注册午餐；机构晚餐",IF(C900=Options!$B$9,"抵达；"&amp;IF(C900=DATE(2026,11,28),"机构晚餐","无统一供餐"),IF(C900=Options!$B$10,"返程；"&amp;IF(C900=DATE(2026,12,2),"机构午餐","无统一供餐"),"差旅状态；无统一日程"))))))</f>
        <v/>
      </c>
      <c r="E900" s="13">
        <f>IF(C900=Options!$B$9,Options!$C$16,0)</f>
        <v/>
      </c>
      <c r="F900" s="13">
        <f>IF(AND(A900&lt;&gt;"",C900&lt;Options!$B$10),B900*Options!$X$6,0)</f>
        <v/>
      </c>
      <c r="G900" s="13">
        <f>F900*12%</f>
        <v/>
      </c>
      <c r="H900" s="13">
        <f>IF(A900="",0,B900*(92*IF(OR(C900=Options!$B$9,C900=Options!$B$10),75%,100%)-IF(C900=DATE(2026,11,29),26+IF(Options!$B$8="是",23,0),0)-IF(C900=DATE(2026,11,30),26,0)-IF(C900=DATE(2026,12,1),64,0)-IF(C900=DATE(2026,11,28),38,0)-IF(C900=DATE(2026,12,2),26,0)))</f>
        <v/>
      </c>
      <c r="I900" s="13">
        <f>IF(AND(C900&gt;=DATE(2026,11,29),C900&lt;=DATE(2026,12,1)),B900*60,0)</f>
        <v/>
      </c>
      <c r="J900" s="13">
        <f>IF(A900="",0,B900*(IF(C900=DATE(2026,11,28),38,0)+IF(C900=DATE(2026,12,1),38,0)+IF(C900=DATE(2026,12,2),26,0)))</f>
        <v/>
      </c>
      <c r="K900" s="13">
        <f>IF(C900=Options!$B$9,B900*12,0)</f>
        <v/>
      </c>
      <c r="L900" s="13">
        <f>IF(C900=Options!$B$9,B900*Options!$Z$6,0)</f>
        <v/>
      </c>
      <c r="M900" s="13" t="n">
        <v>0</v>
      </c>
      <c r="N900" s="13">
        <f>SUM(E900:M900)</f>
        <v/>
      </c>
    </row>
    <row r="901">
      <c r="A901" s="5">
        <f>IF(AND(C901&gt;=Options!$B$9,C901&lt;=Options!$B$10),"Denver","")</f>
        <v/>
      </c>
      <c r="B901" s="5">
        <f>IF(A901="","",18)</f>
        <v/>
      </c>
      <c r="C901" s="17" t="n">
        <v>46462</v>
      </c>
      <c r="D901" s="5">
        <f>IF(A901="","",IF(C901=DATE(2026,11,29),"培训；注册午餐；早餐参数",IF(C901=DATE(2026,11,30),"培训；注册午餐",IF(C901=DATE(2026,12,1),"培训；注册午餐；机构晚餐",IF(C901=Options!$B$9,"抵达；"&amp;IF(C901=DATE(2026,11,28),"机构晚餐","无统一供餐"),IF(C901=Options!$B$10,"返程；"&amp;IF(C901=DATE(2026,12,2),"机构午餐","无统一供餐"),"差旅状态；无统一日程"))))))</f>
        <v/>
      </c>
      <c r="E901" s="13">
        <f>IF(C901=Options!$B$9,Options!$C$16,0)</f>
        <v/>
      </c>
      <c r="F901" s="13">
        <f>IF(AND(A901&lt;&gt;"",C901&lt;Options!$B$10),B901*Options!$X$6,0)</f>
        <v/>
      </c>
      <c r="G901" s="13">
        <f>F901*12%</f>
        <v/>
      </c>
      <c r="H901" s="13">
        <f>IF(A901="",0,B901*(92*IF(OR(C901=Options!$B$9,C901=Options!$B$10),75%,100%)-IF(C901=DATE(2026,11,29),26+IF(Options!$B$8="是",23,0),0)-IF(C901=DATE(2026,11,30),26,0)-IF(C901=DATE(2026,12,1),64,0)-IF(C901=DATE(2026,11,28),38,0)-IF(C901=DATE(2026,12,2),26,0)))</f>
        <v/>
      </c>
      <c r="I901" s="13">
        <f>IF(AND(C901&gt;=DATE(2026,11,29),C901&lt;=DATE(2026,12,1)),B901*60,0)</f>
        <v/>
      </c>
      <c r="J901" s="13">
        <f>IF(A901="",0,B901*(IF(C901=DATE(2026,11,28),38,0)+IF(C901=DATE(2026,12,1),38,0)+IF(C901=DATE(2026,12,2),26,0)))</f>
        <v/>
      </c>
      <c r="K901" s="13">
        <f>IF(C901=Options!$B$9,B901*12,0)</f>
        <v/>
      </c>
      <c r="L901" s="13">
        <f>IF(C901=Options!$B$9,B901*Options!$Z$6,0)</f>
        <v/>
      </c>
      <c r="M901" s="13" t="n">
        <v>0</v>
      </c>
      <c r="N901" s="13">
        <f>SUM(E901:M901)</f>
        <v/>
      </c>
    </row>
    <row r="902">
      <c r="A902" s="5">
        <f>IF(AND(C902&gt;=Options!$B$9,C902&lt;=Options!$B$10),"Denver","")</f>
        <v/>
      </c>
      <c r="B902" s="5">
        <f>IF(A902="","",18)</f>
        <v/>
      </c>
      <c r="C902" s="17" t="n">
        <v>46463</v>
      </c>
      <c r="D902" s="5">
        <f>IF(A902="","",IF(C902=DATE(2026,11,29),"培训；注册午餐；早餐参数",IF(C902=DATE(2026,11,30),"培训；注册午餐",IF(C902=DATE(2026,12,1),"培训；注册午餐；机构晚餐",IF(C902=Options!$B$9,"抵达；"&amp;IF(C902=DATE(2026,11,28),"机构晚餐","无统一供餐"),IF(C902=Options!$B$10,"返程；"&amp;IF(C902=DATE(2026,12,2),"机构午餐","无统一供餐"),"差旅状态；无统一日程"))))))</f>
        <v/>
      </c>
      <c r="E902" s="13">
        <f>IF(C902=Options!$B$9,Options!$C$16,0)</f>
        <v/>
      </c>
      <c r="F902" s="13">
        <f>IF(AND(A902&lt;&gt;"",C902&lt;Options!$B$10),B902*Options!$X$6,0)</f>
        <v/>
      </c>
      <c r="G902" s="13">
        <f>F902*12%</f>
        <v/>
      </c>
      <c r="H902" s="13">
        <f>IF(A902="",0,B902*(92*IF(OR(C902=Options!$B$9,C902=Options!$B$10),75%,100%)-IF(C902=DATE(2026,11,29),26+IF(Options!$B$8="是",23,0),0)-IF(C902=DATE(2026,11,30),26,0)-IF(C902=DATE(2026,12,1),64,0)-IF(C902=DATE(2026,11,28),38,0)-IF(C902=DATE(2026,12,2),26,0)))</f>
        <v/>
      </c>
      <c r="I902" s="13">
        <f>IF(AND(C902&gt;=DATE(2026,11,29),C902&lt;=DATE(2026,12,1)),B902*60,0)</f>
        <v/>
      </c>
      <c r="J902" s="13">
        <f>IF(A902="",0,B902*(IF(C902=DATE(2026,11,28),38,0)+IF(C902=DATE(2026,12,1),38,0)+IF(C902=DATE(2026,12,2),26,0)))</f>
        <v/>
      </c>
      <c r="K902" s="13">
        <f>IF(C902=Options!$B$9,B902*12,0)</f>
        <v/>
      </c>
      <c r="L902" s="13">
        <f>IF(C902=Options!$B$9,B902*Options!$Z$6,0)</f>
        <v/>
      </c>
      <c r="M902" s="13" t="n">
        <v>0</v>
      </c>
      <c r="N902" s="13">
        <f>SUM(E902:M902)</f>
        <v/>
      </c>
    </row>
    <row r="903">
      <c r="A903" s="5">
        <f>IF(AND(C903&gt;=Options!$B$9,C903&lt;=Options!$B$10),"Denver","")</f>
        <v/>
      </c>
      <c r="B903" s="5">
        <f>IF(A903="","",18)</f>
        <v/>
      </c>
      <c r="C903" s="17" t="n">
        <v>46464</v>
      </c>
      <c r="D903" s="5">
        <f>IF(A903="","",IF(C903=DATE(2026,11,29),"培训；注册午餐；早餐参数",IF(C903=DATE(2026,11,30),"培训；注册午餐",IF(C903=DATE(2026,12,1),"培训；注册午餐；机构晚餐",IF(C903=Options!$B$9,"抵达；"&amp;IF(C903=DATE(2026,11,28),"机构晚餐","无统一供餐"),IF(C903=Options!$B$10,"返程；"&amp;IF(C903=DATE(2026,12,2),"机构午餐","无统一供餐"),"差旅状态；无统一日程"))))))</f>
        <v/>
      </c>
      <c r="E903" s="13">
        <f>IF(C903=Options!$B$9,Options!$C$16,0)</f>
        <v/>
      </c>
      <c r="F903" s="13">
        <f>IF(AND(A903&lt;&gt;"",C903&lt;Options!$B$10),B903*Options!$X$6,0)</f>
        <v/>
      </c>
      <c r="G903" s="13">
        <f>F903*12%</f>
        <v/>
      </c>
      <c r="H903" s="13">
        <f>IF(A903="",0,B903*(92*IF(OR(C903=Options!$B$9,C903=Options!$B$10),75%,100%)-IF(C903=DATE(2026,11,29),26+IF(Options!$B$8="是",23,0),0)-IF(C903=DATE(2026,11,30),26,0)-IF(C903=DATE(2026,12,1),64,0)-IF(C903=DATE(2026,11,28),38,0)-IF(C903=DATE(2026,12,2),26,0)))</f>
        <v/>
      </c>
      <c r="I903" s="13">
        <f>IF(AND(C903&gt;=DATE(2026,11,29),C903&lt;=DATE(2026,12,1)),B903*60,0)</f>
        <v/>
      </c>
      <c r="J903" s="13">
        <f>IF(A903="",0,B903*(IF(C903=DATE(2026,11,28),38,0)+IF(C903=DATE(2026,12,1),38,0)+IF(C903=DATE(2026,12,2),26,0)))</f>
        <v/>
      </c>
      <c r="K903" s="13">
        <f>IF(C903=Options!$B$9,B903*12,0)</f>
        <v/>
      </c>
      <c r="L903" s="13">
        <f>IF(C903=Options!$B$9,B903*Options!$Z$6,0)</f>
        <v/>
      </c>
      <c r="M903" s="13" t="n">
        <v>0</v>
      </c>
      <c r="N903" s="13">
        <f>SUM(E903:M903)</f>
        <v/>
      </c>
    </row>
    <row r="904">
      <c r="A904" s="5">
        <f>IF(AND(C904&gt;=Options!$B$9,C904&lt;=Options!$B$10),"Denver","")</f>
        <v/>
      </c>
      <c r="B904" s="5">
        <f>IF(A904="","",18)</f>
        <v/>
      </c>
      <c r="C904" s="17" t="n">
        <v>46465</v>
      </c>
      <c r="D904" s="5">
        <f>IF(A904="","",IF(C904=DATE(2026,11,29),"培训；注册午餐；早餐参数",IF(C904=DATE(2026,11,30),"培训；注册午餐",IF(C904=DATE(2026,12,1),"培训；注册午餐；机构晚餐",IF(C904=Options!$B$9,"抵达；"&amp;IF(C904=DATE(2026,11,28),"机构晚餐","无统一供餐"),IF(C904=Options!$B$10,"返程；"&amp;IF(C904=DATE(2026,12,2),"机构午餐","无统一供餐"),"差旅状态；无统一日程"))))))</f>
        <v/>
      </c>
      <c r="E904" s="13">
        <f>IF(C904=Options!$B$9,Options!$C$16,0)</f>
        <v/>
      </c>
      <c r="F904" s="13">
        <f>IF(AND(A904&lt;&gt;"",C904&lt;Options!$B$10),B904*Options!$X$6,0)</f>
        <v/>
      </c>
      <c r="G904" s="13">
        <f>F904*12%</f>
        <v/>
      </c>
      <c r="H904" s="13">
        <f>IF(A904="",0,B904*(92*IF(OR(C904=Options!$B$9,C904=Options!$B$10),75%,100%)-IF(C904=DATE(2026,11,29),26+IF(Options!$B$8="是",23,0),0)-IF(C904=DATE(2026,11,30),26,0)-IF(C904=DATE(2026,12,1),64,0)-IF(C904=DATE(2026,11,28),38,0)-IF(C904=DATE(2026,12,2),26,0)))</f>
        <v/>
      </c>
      <c r="I904" s="13">
        <f>IF(AND(C904&gt;=DATE(2026,11,29),C904&lt;=DATE(2026,12,1)),B904*60,0)</f>
        <v/>
      </c>
      <c r="J904" s="13">
        <f>IF(A904="",0,B904*(IF(C904=DATE(2026,11,28),38,0)+IF(C904=DATE(2026,12,1),38,0)+IF(C904=DATE(2026,12,2),26,0)))</f>
        <v/>
      </c>
      <c r="K904" s="13">
        <f>IF(C904=Options!$B$9,B904*12,0)</f>
        <v/>
      </c>
      <c r="L904" s="13">
        <f>IF(C904=Options!$B$9,B904*Options!$Z$6,0)</f>
        <v/>
      </c>
      <c r="M904" s="13" t="n">
        <v>0</v>
      </c>
      <c r="N904" s="13">
        <f>SUM(E904:M904)</f>
        <v/>
      </c>
    </row>
    <row r="905">
      <c r="A905" s="5">
        <f>IF(AND(C905&gt;=Options!$B$9,C905&lt;=Options!$B$10),"Denver","")</f>
        <v/>
      </c>
      <c r="B905" s="5">
        <f>IF(A905="","",18)</f>
        <v/>
      </c>
      <c r="C905" s="17" t="n">
        <v>46466</v>
      </c>
      <c r="D905" s="5">
        <f>IF(A905="","",IF(C905=DATE(2026,11,29),"培训；注册午餐；早餐参数",IF(C905=DATE(2026,11,30),"培训；注册午餐",IF(C905=DATE(2026,12,1),"培训；注册午餐；机构晚餐",IF(C905=Options!$B$9,"抵达；"&amp;IF(C905=DATE(2026,11,28),"机构晚餐","无统一供餐"),IF(C905=Options!$B$10,"返程；"&amp;IF(C905=DATE(2026,12,2),"机构午餐","无统一供餐"),"差旅状态；无统一日程"))))))</f>
        <v/>
      </c>
      <c r="E905" s="13">
        <f>IF(C905=Options!$B$9,Options!$C$16,0)</f>
        <v/>
      </c>
      <c r="F905" s="13">
        <f>IF(AND(A905&lt;&gt;"",C905&lt;Options!$B$10),B905*Options!$X$6,0)</f>
        <v/>
      </c>
      <c r="G905" s="13">
        <f>F905*12%</f>
        <v/>
      </c>
      <c r="H905" s="13">
        <f>IF(A905="",0,B905*(92*IF(OR(C905=Options!$B$9,C905=Options!$B$10),75%,100%)-IF(C905=DATE(2026,11,29),26+IF(Options!$B$8="是",23,0),0)-IF(C905=DATE(2026,11,30),26,0)-IF(C905=DATE(2026,12,1),64,0)-IF(C905=DATE(2026,11,28),38,0)-IF(C905=DATE(2026,12,2),26,0)))</f>
        <v/>
      </c>
      <c r="I905" s="13">
        <f>IF(AND(C905&gt;=DATE(2026,11,29),C905&lt;=DATE(2026,12,1)),B905*60,0)</f>
        <v/>
      </c>
      <c r="J905" s="13">
        <f>IF(A905="",0,B905*(IF(C905=DATE(2026,11,28),38,0)+IF(C905=DATE(2026,12,1),38,0)+IF(C905=DATE(2026,12,2),26,0)))</f>
        <v/>
      </c>
      <c r="K905" s="13">
        <f>IF(C905=Options!$B$9,B905*12,0)</f>
        <v/>
      </c>
      <c r="L905" s="13">
        <f>IF(C905=Options!$B$9,B905*Options!$Z$6,0)</f>
        <v/>
      </c>
      <c r="M905" s="13" t="n">
        <v>0</v>
      </c>
      <c r="N905" s="13">
        <f>SUM(E905:M905)</f>
        <v/>
      </c>
    </row>
    <row r="906">
      <c r="A906" s="5">
        <f>IF(AND(C906&gt;=Options!$B$9,C906&lt;=Options!$B$10),"Denver","")</f>
        <v/>
      </c>
      <c r="B906" s="5">
        <f>IF(A906="","",18)</f>
        <v/>
      </c>
      <c r="C906" s="17" t="n">
        <v>46467</v>
      </c>
      <c r="D906" s="5">
        <f>IF(A906="","",IF(C906=DATE(2026,11,29),"培训；注册午餐；早餐参数",IF(C906=DATE(2026,11,30),"培训；注册午餐",IF(C906=DATE(2026,12,1),"培训；注册午餐；机构晚餐",IF(C906=Options!$B$9,"抵达；"&amp;IF(C906=DATE(2026,11,28),"机构晚餐","无统一供餐"),IF(C906=Options!$B$10,"返程；"&amp;IF(C906=DATE(2026,12,2),"机构午餐","无统一供餐"),"差旅状态；无统一日程"))))))</f>
        <v/>
      </c>
      <c r="E906" s="13">
        <f>IF(C906=Options!$B$9,Options!$C$16,0)</f>
        <v/>
      </c>
      <c r="F906" s="13">
        <f>IF(AND(A906&lt;&gt;"",C906&lt;Options!$B$10),B906*Options!$X$6,0)</f>
        <v/>
      </c>
      <c r="G906" s="13">
        <f>F906*12%</f>
        <v/>
      </c>
      <c r="H906" s="13">
        <f>IF(A906="",0,B906*(92*IF(OR(C906=Options!$B$9,C906=Options!$B$10),75%,100%)-IF(C906=DATE(2026,11,29),26+IF(Options!$B$8="是",23,0),0)-IF(C906=DATE(2026,11,30),26,0)-IF(C906=DATE(2026,12,1),64,0)-IF(C906=DATE(2026,11,28),38,0)-IF(C906=DATE(2026,12,2),26,0)))</f>
        <v/>
      </c>
      <c r="I906" s="13">
        <f>IF(AND(C906&gt;=DATE(2026,11,29),C906&lt;=DATE(2026,12,1)),B906*60,0)</f>
        <v/>
      </c>
      <c r="J906" s="13">
        <f>IF(A906="",0,B906*(IF(C906=DATE(2026,11,28),38,0)+IF(C906=DATE(2026,12,1),38,0)+IF(C906=DATE(2026,12,2),26,0)))</f>
        <v/>
      </c>
      <c r="K906" s="13">
        <f>IF(C906=Options!$B$9,B906*12,0)</f>
        <v/>
      </c>
      <c r="L906" s="13">
        <f>IF(C906=Options!$B$9,B906*Options!$Z$6,0)</f>
        <v/>
      </c>
      <c r="M906" s="13" t="n">
        <v>0</v>
      </c>
      <c r="N906" s="13">
        <f>SUM(E906:M906)</f>
        <v/>
      </c>
    </row>
    <row r="907">
      <c r="A907" s="5">
        <f>IF(AND(C907&gt;=Options!$B$9,C907&lt;=Options!$B$10),"Denver","")</f>
        <v/>
      </c>
      <c r="B907" s="5">
        <f>IF(A907="","",18)</f>
        <v/>
      </c>
      <c r="C907" s="17" t="n">
        <v>46468</v>
      </c>
      <c r="D907" s="5">
        <f>IF(A907="","",IF(C907=DATE(2026,11,29),"培训；注册午餐；早餐参数",IF(C907=DATE(2026,11,30),"培训；注册午餐",IF(C907=DATE(2026,12,1),"培训；注册午餐；机构晚餐",IF(C907=Options!$B$9,"抵达；"&amp;IF(C907=DATE(2026,11,28),"机构晚餐","无统一供餐"),IF(C907=Options!$B$10,"返程；"&amp;IF(C907=DATE(2026,12,2),"机构午餐","无统一供餐"),"差旅状态；无统一日程"))))))</f>
        <v/>
      </c>
      <c r="E907" s="13">
        <f>IF(C907=Options!$B$9,Options!$C$16,0)</f>
        <v/>
      </c>
      <c r="F907" s="13">
        <f>IF(AND(A907&lt;&gt;"",C907&lt;Options!$B$10),B907*Options!$X$6,0)</f>
        <v/>
      </c>
      <c r="G907" s="13">
        <f>F907*12%</f>
        <v/>
      </c>
      <c r="H907" s="13">
        <f>IF(A907="",0,B907*(92*IF(OR(C907=Options!$B$9,C907=Options!$B$10),75%,100%)-IF(C907=DATE(2026,11,29),26+IF(Options!$B$8="是",23,0),0)-IF(C907=DATE(2026,11,30),26,0)-IF(C907=DATE(2026,12,1),64,0)-IF(C907=DATE(2026,11,28),38,0)-IF(C907=DATE(2026,12,2),26,0)))</f>
        <v/>
      </c>
      <c r="I907" s="13">
        <f>IF(AND(C907&gt;=DATE(2026,11,29),C907&lt;=DATE(2026,12,1)),B907*60,0)</f>
        <v/>
      </c>
      <c r="J907" s="13">
        <f>IF(A907="",0,B907*(IF(C907=DATE(2026,11,28),38,0)+IF(C907=DATE(2026,12,1),38,0)+IF(C907=DATE(2026,12,2),26,0)))</f>
        <v/>
      </c>
      <c r="K907" s="13">
        <f>IF(C907=Options!$B$9,B907*12,0)</f>
        <v/>
      </c>
      <c r="L907" s="13">
        <f>IF(C907=Options!$B$9,B907*Options!$Z$6,0)</f>
        <v/>
      </c>
      <c r="M907" s="13" t="n">
        <v>0</v>
      </c>
      <c r="N907" s="13">
        <f>SUM(E907:M907)</f>
        <v/>
      </c>
    </row>
    <row r="908">
      <c r="A908" s="5">
        <f>IF(AND(C908&gt;=Options!$B$9,C908&lt;=Options!$B$10),"Denver","")</f>
        <v/>
      </c>
      <c r="B908" s="5">
        <f>IF(A908="","",18)</f>
        <v/>
      </c>
      <c r="C908" s="17" t="n">
        <v>46469</v>
      </c>
      <c r="D908" s="5">
        <f>IF(A908="","",IF(C908=DATE(2026,11,29),"培训；注册午餐；早餐参数",IF(C908=DATE(2026,11,30),"培训；注册午餐",IF(C908=DATE(2026,12,1),"培训；注册午餐；机构晚餐",IF(C908=Options!$B$9,"抵达；"&amp;IF(C908=DATE(2026,11,28),"机构晚餐","无统一供餐"),IF(C908=Options!$B$10,"返程；"&amp;IF(C908=DATE(2026,12,2),"机构午餐","无统一供餐"),"差旅状态；无统一日程"))))))</f>
        <v/>
      </c>
      <c r="E908" s="13">
        <f>IF(C908=Options!$B$9,Options!$C$16,0)</f>
        <v/>
      </c>
      <c r="F908" s="13">
        <f>IF(AND(A908&lt;&gt;"",C908&lt;Options!$B$10),B908*Options!$X$6,0)</f>
        <v/>
      </c>
      <c r="G908" s="13">
        <f>F908*12%</f>
        <v/>
      </c>
      <c r="H908" s="13">
        <f>IF(A908="",0,B908*(92*IF(OR(C908=Options!$B$9,C908=Options!$B$10),75%,100%)-IF(C908=DATE(2026,11,29),26+IF(Options!$B$8="是",23,0),0)-IF(C908=DATE(2026,11,30),26,0)-IF(C908=DATE(2026,12,1),64,0)-IF(C908=DATE(2026,11,28),38,0)-IF(C908=DATE(2026,12,2),26,0)))</f>
        <v/>
      </c>
      <c r="I908" s="13">
        <f>IF(AND(C908&gt;=DATE(2026,11,29),C908&lt;=DATE(2026,12,1)),B908*60,0)</f>
        <v/>
      </c>
      <c r="J908" s="13">
        <f>IF(A908="",0,B908*(IF(C908=DATE(2026,11,28),38,0)+IF(C908=DATE(2026,12,1),38,0)+IF(C908=DATE(2026,12,2),26,0)))</f>
        <v/>
      </c>
      <c r="K908" s="13">
        <f>IF(C908=Options!$B$9,B908*12,0)</f>
        <v/>
      </c>
      <c r="L908" s="13">
        <f>IF(C908=Options!$B$9,B908*Options!$Z$6,0)</f>
        <v/>
      </c>
      <c r="M908" s="13" t="n">
        <v>0</v>
      </c>
      <c r="N908" s="13">
        <f>SUM(E908:M908)</f>
        <v/>
      </c>
    </row>
    <row r="909">
      <c r="A909" s="5">
        <f>IF(AND(C909&gt;=Options!$B$9,C909&lt;=Options!$B$10),"Denver","")</f>
        <v/>
      </c>
      <c r="B909" s="5">
        <f>IF(A909="","",18)</f>
        <v/>
      </c>
      <c r="C909" s="17" t="n">
        <v>46470</v>
      </c>
      <c r="D909" s="5">
        <f>IF(A909="","",IF(C909=DATE(2026,11,29),"培训；注册午餐；早餐参数",IF(C909=DATE(2026,11,30),"培训；注册午餐",IF(C909=DATE(2026,12,1),"培训；注册午餐；机构晚餐",IF(C909=Options!$B$9,"抵达；"&amp;IF(C909=DATE(2026,11,28),"机构晚餐","无统一供餐"),IF(C909=Options!$B$10,"返程；"&amp;IF(C909=DATE(2026,12,2),"机构午餐","无统一供餐"),"差旅状态；无统一日程"))))))</f>
        <v/>
      </c>
      <c r="E909" s="13">
        <f>IF(C909=Options!$B$9,Options!$C$16,0)</f>
        <v/>
      </c>
      <c r="F909" s="13">
        <f>IF(AND(A909&lt;&gt;"",C909&lt;Options!$B$10),B909*Options!$X$6,0)</f>
        <v/>
      </c>
      <c r="G909" s="13">
        <f>F909*12%</f>
        <v/>
      </c>
      <c r="H909" s="13">
        <f>IF(A909="",0,B909*(92*IF(OR(C909=Options!$B$9,C909=Options!$B$10),75%,100%)-IF(C909=DATE(2026,11,29),26+IF(Options!$B$8="是",23,0),0)-IF(C909=DATE(2026,11,30),26,0)-IF(C909=DATE(2026,12,1),64,0)-IF(C909=DATE(2026,11,28),38,0)-IF(C909=DATE(2026,12,2),26,0)))</f>
        <v/>
      </c>
      <c r="I909" s="13">
        <f>IF(AND(C909&gt;=DATE(2026,11,29),C909&lt;=DATE(2026,12,1)),B909*60,0)</f>
        <v/>
      </c>
      <c r="J909" s="13">
        <f>IF(A909="",0,B909*(IF(C909=DATE(2026,11,28),38,0)+IF(C909=DATE(2026,12,1),38,0)+IF(C909=DATE(2026,12,2),26,0)))</f>
        <v/>
      </c>
      <c r="K909" s="13">
        <f>IF(C909=Options!$B$9,B909*12,0)</f>
        <v/>
      </c>
      <c r="L909" s="13">
        <f>IF(C909=Options!$B$9,B909*Options!$Z$6,0)</f>
        <v/>
      </c>
      <c r="M909" s="13" t="n">
        <v>0</v>
      </c>
      <c r="N909" s="13">
        <f>SUM(E909:M909)</f>
        <v/>
      </c>
    </row>
    <row r="910">
      <c r="A910" s="5">
        <f>IF(AND(C910&gt;=Options!$B$9,C910&lt;=Options!$B$10),"Denver","")</f>
        <v/>
      </c>
      <c r="B910" s="5">
        <f>IF(A910="","",18)</f>
        <v/>
      </c>
      <c r="C910" s="17" t="n">
        <v>46471</v>
      </c>
      <c r="D910" s="5">
        <f>IF(A910="","",IF(C910=DATE(2026,11,29),"培训；注册午餐；早餐参数",IF(C910=DATE(2026,11,30),"培训；注册午餐",IF(C910=DATE(2026,12,1),"培训；注册午餐；机构晚餐",IF(C910=Options!$B$9,"抵达；"&amp;IF(C910=DATE(2026,11,28),"机构晚餐","无统一供餐"),IF(C910=Options!$B$10,"返程；"&amp;IF(C910=DATE(2026,12,2),"机构午餐","无统一供餐"),"差旅状态；无统一日程"))))))</f>
        <v/>
      </c>
      <c r="E910" s="13">
        <f>IF(C910=Options!$B$9,Options!$C$16,0)</f>
        <v/>
      </c>
      <c r="F910" s="13">
        <f>IF(AND(A910&lt;&gt;"",C910&lt;Options!$B$10),B910*Options!$X$6,0)</f>
        <v/>
      </c>
      <c r="G910" s="13">
        <f>F910*12%</f>
        <v/>
      </c>
      <c r="H910" s="13">
        <f>IF(A910="",0,B910*(92*IF(OR(C910=Options!$B$9,C910=Options!$B$10),75%,100%)-IF(C910=DATE(2026,11,29),26+IF(Options!$B$8="是",23,0),0)-IF(C910=DATE(2026,11,30),26,0)-IF(C910=DATE(2026,12,1),64,0)-IF(C910=DATE(2026,11,28),38,0)-IF(C910=DATE(2026,12,2),26,0)))</f>
        <v/>
      </c>
      <c r="I910" s="13">
        <f>IF(AND(C910&gt;=DATE(2026,11,29),C910&lt;=DATE(2026,12,1)),B910*60,0)</f>
        <v/>
      </c>
      <c r="J910" s="13">
        <f>IF(A910="",0,B910*(IF(C910=DATE(2026,11,28),38,0)+IF(C910=DATE(2026,12,1),38,0)+IF(C910=DATE(2026,12,2),26,0)))</f>
        <v/>
      </c>
      <c r="K910" s="13">
        <f>IF(C910=Options!$B$9,B910*12,0)</f>
        <v/>
      </c>
      <c r="L910" s="13">
        <f>IF(C910=Options!$B$9,B910*Options!$Z$6,0)</f>
        <v/>
      </c>
      <c r="M910" s="13" t="n">
        <v>0</v>
      </c>
      <c r="N910" s="13">
        <f>SUM(E910:M910)</f>
        <v/>
      </c>
    </row>
    <row r="911">
      <c r="A911" s="5">
        <f>IF(AND(C911&gt;=Options!$B$9,C911&lt;=Options!$B$10),"Denver","")</f>
        <v/>
      </c>
      <c r="B911" s="5">
        <f>IF(A911="","",18)</f>
        <v/>
      </c>
      <c r="C911" s="17" t="n">
        <v>46472</v>
      </c>
      <c r="D911" s="5">
        <f>IF(A911="","",IF(C911=DATE(2026,11,29),"培训；注册午餐；早餐参数",IF(C911=DATE(2026,11,30),"培训；注册午餐",IF(C911=DATE(2026,12,1),"培训；注册午餐；机构晚餐",IF(C911=Options!$B$9,"抵达；"&amp;IF(C911=DATE(2026,11,28),"机构晚餐","无统一供餐"),IF(C911=Options!$B$10,"返程；"&amp;IF(C911=DATE(2026,12,2),"机构午餐","无统一供餐"),"差旅状态；无统一日程"))))))</f>
        <v/>
      </c>
      <c r="E911" s="13">
        <f>IF(C911=Options!$B$9,Options!$C$16,0)</f>
        <v/>
      </c>
      <c r="F911" s="13">
        <f>IF(AND(A911&lt;&gt;"",C911&lt;Options!$B$10),B911*Options!$X$6,0)</f>
        <v/>
      </c>
      <c r="G911" s="13">
        <f>F911*12%</f>
        <v/>
      </c>
      <c r="H911" s="13">
        <f>IF(A911="",0,B911*(92*IF(OR(C911=Options!$B$9,C911=Options!$B$10),75%,100%)-IF(C911=DATE(2026,11,29),26+IF(Options!$B$8="是",23,0),0)-IF(C911=DATE(2026,11,30),26,0)-IF(C911=DATE(2026,12,1),64,0)-IF(C911=DATE(2026,11,28),38,0)-IF(C911=DATE(2026,12,2),26,0)))</f>
        <v/>
      </c>
      <c r="I911" s="13">
        <f>IF(AND(C911&gt;=DATE(2026,11,29),C911&lt;=DATE(2026,12,1)),B911*60,0)</f>
        <v/>
      </c>
      <c r="J911" s="13">
        <f>IF(A911="",0,B911*(IF(C911=DATE(2026,11,28),38,0)+IF(C911=DATE(2026,12,1),38,0)+IF(C911=DATE(2026,12,2),26,0)))</f>
        <v/>
      </c>
      <c r="K911" s="13">
        <f>IF(C911=Options!$B$9,B911*12,0)</f>
        <v/>
      </c>
      <c r="L911" s="13">
        <f>IF(C911=Options!$B$9,B911*Options!$Z$6,0)</f>
        <v/>
      </c>
      <c r="M911" s="13" t="n">
        <v>0</v>
      </c>
      <c r="N911" s="13">
        <f>SUM(E911:M911)</f>
        <v/>
      </c>
    </row>
    <row r="912">
      <c r="A912" s="5">
        <f>IF(AND(C912&gt;=Options!$B$9,C912&lt;=Options!$B$10),"Denver","")</f>
        <v/>
      </c>
      <c r="B912" s="5">
        <f>IF(A912="","",18)</f>
        <v/>
      </c>
      <c r="C912" s="17" t="n">
        <v>46473</v>
      </c>
      <c r="D912" s="5">
        <f>IF(A912="","",IF(C912=DATE(2026,11,29),"培训；注册午餐；早餐参数",IF(C912=DATE(2026,11,30),"培训；注册午餐",IF(C912=DATE(2026,12,1),"培训；注册午餐；机构晚餐",IF(C912=Options!$B$9,"抵达；"&amp;IF(C912=DATE(2026,11,28),"机构晚餐","无统一供餐"),IF(C912=Options!$B$10,"返程；"&amp;IF(C912=DATE(2026,12,2),"机构午餐","无统一供餐"),"差旅状态；无统一日程"))))))</f>
        <v/>
      </c>
      <c r="E912" s="13">
        <f>IF(C912=Options!$B$9,Options!$C$16,0)</f>
        <v/>
      </c>
      <c r="F912" s="13">
        <f>IF(AND(A912&lt;&gt;"",C912&lt;Options!$B$10),B912*Options!$X$6,0)</f>
        <v/>
      </c>
      <c r="G912" s="13">
        <f>F912*12%</f>
        <v/>
      </c>
      <c r="H912" s="13">
        <f>IF(A912="",0,B912*(92*IF(OR(C912=Options!$B$9,C912=Options!$B$10),75%,100%)-IF(C912=DATE(2026,11,29),26+IF(Options!$B$8="是",23,0),0)-IF(C912=DATE(2026,11,30),26,0)-IF(C912=DATE(2026,12,1),64,0)-IF(C912=DATE(2026,11,28),38,0)-IF(C912=DATE(2026,12,2),26,0)))</f>
        <v/>
      </c>
      <c r="I912" s="13">
        <f>IF(AND(C912&gt;=DATE(2026,11,29),C912&lt;=DATE(2026,12,1)),B912*60,0)</f>
        <v/>
      </c>
      <c r="J912" s="13">
        <f>IF(A912="",0,B912*(IF(C912=DATE(2026,11,28),38,0)+IF(C912=DATE(2026,12,1),38,0)+IF(C912=DATE(2026,12,2),26,0)))</f>
        <v/>
      </c>
      <c r="K912" s="13">
        <f>IF(C912=Options!$B$9,B912*12,0)</f>
        <v/>
      </c>
      <c r="L912" s="13">
        <f>IF(C912=Options!$B$9,B912*Options!$Z$6,0)</f>
        <v/>
      </c>
      <c r="M912" s="13" t="n">
        <v>0</v>
      </c>
      <c r="N912" s="13">
        <f>SUM(E912:M912)</f>
        <v/>
      </c>
    </row>
    <row r="913">
      <c r="A913" s="5">
        <f>IF(AND(C913&gt;=Options!$B$9,C913&lt;=Options!$B$10),"Denver","")</f>
        <v/>
      </c>
      <c r="B913" s="5">
        <f>IF(A913="","",18)</f>
        <v/>
      </c>
      <c r="C913" s="17" t="n">
        <v>46474</v>
      </c>
      <c r="D913" s="5">
        <f>IF(A913="","",IF(C913=DATE(2026,11,29),"培训；注册午餐；早餐参数",IF(C913=DATE(2026,11,30),"培训；注册午餐",IF(C913=DATE(2026,12,1),"培训；注册午餐；机构晚餐",IF(C913=Options!$B$9,"抵达；"&amp;IF(C913=DATE(2026,11,28),"机构晚餐","无统一供餐"),IF(C913=Options!$B$10,"返程；"&amp;IF(C913=DATE(2026,12,2),"机构午餐","无统一供餐"),"差旅状态；无统一日程"))))))</f>
        <v/>
      </c>
      <c r="E913" s="13">
        <f>IF(C913=Options!$B$9,Options!$C$16,0)</f>
        <v/>
      </c>
      <c r="F913" s="13">
        <f>IF(AND(A913&lt;&gt;"",C913&lt;Options!$B$10),B913*Options!$X$6,0)</f>
        <v/>
      </c>
      <c r="G913" s="13">
        <f>F913*12%</f>
        <v/>
      </c>
      <c r="H913" s="13">
        <f>IF(A913="",0,B913*(92*IF(OR(C913=Options!$B$9,C913=Options!$B$10),75%,100%)-IF(C913=DATE(2026,11,29),26+IF(Options!$B$8="是",23,0),0)-IF(C913=DATE(2026,11,30),26,0)-IF(C913=DATE(2026,12,1),64,0)-IF(C913=DATE(2026,11,28),38,0)-IF(C913=DATE(2026,12,2),26,0)))</f>
        <v/>
      </c>
      <c r="I913" s="13">
        <f>IF(AND(C913&gt;=DATE(2026,11,29),C913&lt;=DATE(2026,12,1)),B913*60,0)</f>
        <v/>
      </c>
      <c r="J913" s="13">
        <f>IF(A913="",0,B913*(IF(C913=DATE(2026,11,28),38,0)+IF(C913=DATE(2026,12,1),38,0)+IF(C913=DATE(2026,12,2),26,0)))</f>
        <v/>
      </c>
      <c r="K913" s="13">
        <f>IF(C913=Options!$B$9,B913*12,0)</f>
        <v/>
      </c>
      <c r="L913" s="13">
        <f>IF(C913=Options!$B$9,B913*Options!$Z$6,0)</f>
        <v/>
      </c>
      <c r="M913" s="13" t="n">
        <v>0</v>
      </c>
      <c r="N913" s="13">
        <f>SUM(E913:M913)</f>
        <v/>
      </c>
    </row>
    <row r="914">
      <c r="A914" s="5">
        <f>IF(AND(C914&gt;=Options!$B$9,C914&lt;=Options!$B$10),"Denver","")</f>
        <v/>
      </c>
      <c r="B914" s="5">
        <f>IF(A914="","",18)</f>
        <v/>
      </c>
      <c r="C914" s="17" t="n">
        <v>46475</v>
      </c>
      <c r="D914" s="5">
        <f>IF(A914="","",IF(C914=DATE(2026,11,29),"培训；注册午餐；早餐参数",IF(C914=DATE(2026,11,30),"培训；注册午餐",IF(C914=DATE(2026,12,1),"培训；注册午餐；机构晚餐",IF(C914=Options!$B$9,"抵达；"&amp;IF(C914=DATE(2026,11,28),"机构晚餐","无统一供餐"),IF(C914=Options!$B$10,"返程；"&amp;IF(C914=DATE(2026,12,2),"机构午餐","无统一供餐"),"差旅状态；无统一日程"))))))</f>
        <v/>
      </c>
      <c r="E914" s="13">
        <f>IF(C914=Options!$B$9,Options!$C$16,0)</f>
        <v/>
      </c>
      <c r="F914" s="13">
        <f>IF(AND(A914&lt;&gt;"",C914&lt;Options!$B$10),B914*Options!$X$6,0)</f>
        <v/>
      </c>
      <c r="G914" s="13">
        <f>F914*12%</f>
        <v/>
      </c>
      <c r="H914" s="13">
        <f>IF(A914="",0,B914*(92*IF(OR(C914=Options!$B$9,C914=Options!$B$10),75%,100%)-IF(C914=DATE(2026,11,29),26+IF(Options!$B$8="是",23,0),0)-IF(C914=DATE(2026,11,30),26,0)-IF(C914=DATE(2026,12,1),64,0)-IF(C914=DATE(2026,11,28),38,0)-IF(C914=DATE(2026,12,2),26,0)))</f>
        <v/>
      </c>
      <c r="I914" s="13">
        <f>IF(AND(C914&gt;=DATE(2026,11,29),C914&lt;=DATE(2026,12,1)),B914*60,0)</f>
        <v/>
      </c>
      <c r="J914" s="13">
        <f>IF(A914="",0,B914*(IF(C914=DATE(2026,11,28),38,0)+IF(C914=DATE(2026,12,1),38,0)+IF(C914=DATE(2026,12,2),26,0)))</f>
        <v/>
      </c>
      <c r="K914" s="13">
        <f>IF(C914=Options!$B$9,B914*12,0)</f>
        <v/>
      </c>
      <c r="L914" s="13">
        <f>IF(C914=Options!$B$9,B914*Options!$Z$6,0)</f>
        <v/>
      </c>
      <c r="M914" s="13" t="n">
        <v>0</v>
      </c>
      <c r="N914" s="13">
        <f>SUM(E914:M914)</f>
        <v/>
      </c>
    </row>
    <row r="915">
      <c r="A915" s="5">
        <f>IF(AND(C915&gt;=Options!$B$9,C915&lt;=Options!$B$10),"Denver","")</f>
        <v/>
      </c>
      <c r="B915" s="5">
        <f>IF(A915="","",18)</f>
        <v/>
      </c>
      <c r="C915" s="17" t="n">
        <v>46476</v>
      </c>
      <c r="D915" s="5">
        <f>IF(A915="","",IF(C915=DATE(2026,11,29),"培训；注册午餐；早餐参数",IF(C915=DATE(2026,11,30),"培训；注册午餐",IF(C915=DATE(2026,12,1),"培训；注册午餐；机构晚餐",IF(C915=Options!$B$9,"抵达；"&amp;IF(C915=DATE(2026,11,28),"机构晚餐","无统一供餐"),IF(C915=Options!$B$10,"返程；"&amp;IF(C915=DATE(2026,12,2),"机构午餐","无统一供餐"),"差旅状态；无统一日程"))))))</f>
        <v/>
      </c>
      <c r="E915" s="13">
        <f>IF(C915=Options!$B$9,Options!$C$16,0)</f>
        <v/>
      </c>
      <c r="F915" s="13">
        <f>IF(AND(A915&lt;&gt;"",C915&lt;Options!$B$10),B915*Options!$X$6,0)</f>
        <v/>
      </c>
      <c r="G915" s="13">
        <f>F915*12%</f>
        <v/>
      </c>
      <c r="H915" s="13">
        <f>IF(A915="",0,B915*(92*IF(OR(C915=Options!$B$9,C915=Options!$B$10),75%,100%)-IF(C915=DATE(2026,11,29),26+IF(Options!$B$8="是",23,0),0)-IF(C915=DATE(2026,11,30),26,0)-IF(C915=DATE(2026,12,1),64,0)-IF(C915=DATE(2026,11,28),38,0)-IF(C915=DATE(2026,12,2),26,0)))</f>
        <v/>
      </c>
      <c r="I915" s="13">
        <f>IF(AND(C915&gt;=DATE(2026,11,29),C915&lt;=DATE(2026,12,1)),B915*60,0)</f>
        <v/>
      </c>
      <c r="J915" s="13">
        <f>IF(A915="",0,B915*(IF(C915=DATE(2026,11,28),38,0)+IF(C915=DATE(2026,12,1),38,0)+IF(C915=DATE(2026,12,2),26,0)))</f>
        <v/>
      </c>
      <c r="K915" s="13">
        <f>IF(C915=Options!$B$9,B915*12,0)</f>
        <v/>
      </c>
      <c r="L915" s="13">
        <f>IF(C915=Options!$B$9,B915*Options!$Z$6,0)</f>
        <v/>
      </c>
      <c r="M915" s="13" t="n">
        <v>0</v>
      </c>
      <c r="N915" s="13">
        <f>SUM(E915:M915)</f>
        <v/>
      </c>
    </row>
    <row r="916">
      <c r="A916" s="5">
        <f>IF(AND(C916&gt;=Options!$B$9,C916&lt;=Options!$B$10),"Denver","")</f>
        <v/>
      </c>
      <c r="B916" s="5">
        <f>IF(A916="","",18)</f>
        <v/>
      </c>
      <c r="C916" s="17" t="n">
        <v>46477</v>
      </c>
      <c r="D916" s="5">
        <f>IF(A916="","",IF(C916=DATE(2026,11,29),"培训；注册午餐；早餐参数",IF(C916=DATE(2026,11,30),"培训；注册午餐",IF(C916=DATE(2026,12,1),"培训；注册午餐；机构晚餐",IF(C916=Options!$B$9,"抵达；"&amp;IF(C916=DATE(2026,11,28),"机构晚餐","无统一供餐"),IF(C916=Options!$B$10,"返程；"&amp;IF(C916=DATE(2026,12,2),"机构午餐","无统一供餐"),"差旅状态；无统一日程"))))))</f>
        <v/>
      </c>
      <c r="E916" s="13">
        <f>IF(C916=Options!$B$9,Options!$C$16,0)</f>
        <v/>
      </c>
      <c r="F916" s="13">
        <f>IF(AND(A916&lt;&gt;"",C916&lt;Options!$B$10),B916*Options!$X$6,0)</f>
        <v/>
      </c>
      <c r="G916" s="13">
        <f>F916*12%</f>
        <v/>
      </c>
      <c r="H916" s="13">
        <f>IF(A916="",0,B916*(92*IF(OR(C916=Options!$B$9,C916=Options!$B$10),75%,100%)-IF(C916=DATE(2026,11,29),26+IF(Options!$B$8="是",23,0),0)-IF(C916=DATE(2026,11,30),26,0)-IF(C916=DATE(2026,12,1),64,0)-IF(C916=DATE(2026,11,28),38,0)-IF(C916=DATE(2026,12,2),26,0)))</f>
        <v/>
      </c>
      <c r="I916" s="13">
        <f>IF(AND(C916&gt;=DATE(2026,11,29),C916&lt;=DATE(2026,12,1)),B916*60,0)</f>
        <v/>
      </c>
      <c r="J916" s="13">
        <f>IF(A916="",0,B916*(IF(C916=DATE(2026,11,28),38,0)+IF(C916=DATE(2026,12,1),38,0)+IF(C916=DATE(2026,12,2),26,0)))</f>
        <v/>
      </c>
      <c r="K916" s="13">
        <f>IF(C916=Options!$B$9,B916*12,0)</f>
        <v/>
      </c>
      <c r="L916" s="13">
        <f>IF(C916=Options!$B$9,B916*Options!$Z$6,0)</f>
        <v/>
      </c>
      <c r="M916" s="13" t="n">
        <v>0</v>
      </c>
      <c r="N916" s="13">
        <f>SUM(E916:M916)</f>
        <v/>
      </c>
    </row>
    <row r="917">
      <c r="A917" s="5">
        <f>IF(AND(C917&gt;=Options!$B$9,C917&lt;=Options!$B$10),"Denver","")</f>
        <v/>
      </c>
      <c r="B917" s="5">
        <f>IF(A917="","",18)</f>
        <v/>
      </c>
      <c r="C917" s="17" t="n">
        <v>46478</v>
      </c>
      <c r="D917" s="5">
        <f>IF(A917="","",IF(C917=DATE(2026,11,29),"培训；注册午餐；早餐参数",IF(C917=DATE(2026,11,30),"培训；注册午餐",IF(C917=DATE(2026,12,1),"培训；注册午餐；机构晚餐",IF(C917=Options!$B$9,"抵达；"&amp;IF(C917=DATE(2026,11,28),"机构晚餐","无统一供餐"),IF(C917=Options!$B$10,"返程；"&amp;IF(C917=DATE(2026,12,2),"机构午餐","无统一供餐"),"差旅状态；无统一日程"))))))</f>
        <v/>
      </c>
      <c r="E917" s="13">
        <f>IF(C917=Options!$B$9,Options!$C$16,0)</f>
        <v/>
      </c>
      <c r="F917" s="13">
        <f>IF(AND(A917&lt;&gt;"",C917&lt;Options!$B$10),B917*Options!$X$6,0)</f>
        <v/>
      </c>
      <c r="G917" s="13">
        <f>F917*12%</f>
        <v/>
      </c>
      <c r="H917" s="13">
        <f>IF(A917="",0,B917*(92*IF(OR(C917=Options!$B$9,C917=Options!$B$10),75%,100%)-IF(C917=DATE(2026,11,29),26+IF(Options!$B$8="是",23,0),0)-IF(C917=DATE(2026,11,30),26,0)-IF(C917=DATE(2026,12,1),64,0)-IF(C917=DATE(2026,11,28),38,0)-IF(C917=DATE(2026,12,2),26,0)))</f>
        <v/>
      </c>
      <c r="I917" s="13">
        <f>IF(AND(C917&gt;=DATE(2026,11,29),C917&lt;=DATE(2026,12,1)),B917*60,0)</f>
        <v/>
      </c>
      <c r="J917" s="13">
        <f>IF(A917="",0,B917*(IF(C917=DATE(2026,11,28),38,0)+IF(C917=DATE(2026,12,1),38,0)+IF(C917=DATE(2026,12,2),26,0)))</f>
        <v/>
      </c>
      <c r="K917" s="13">
        <f>IF(C917=Options!$B$9,B917*12,0)</f>
        <v/>
      </c>
      <c r="L917" s="13">
        <f>IF(C917=Options!$B$9,B917*Options!$Z$6,0)</f>
        <v/>
      </c>
      <c r="M917" s="13" t="n">
        <v>0</v>
      </c>
      <c r="N917" s="13">
        <f>SUM(E917:M917)</f>
        <v/>
      </c>
    </row>
    <row r="918">
      <c r="A918" s="5">
        <f>IF(AND(C918&gt;=Options!$B$9,C918&lt;=Options!$B$10),"Denver","")</f>
        <v/>
      </c>
      <c r="B918" s="5">
        <f>IF(A918="","",18)</f>
        <v/>
      </c>
      <c r="C918" s="17" t="n">
        <v>46479</v>
      </c>
      <c r="D918" s="5">
        <f>IF(A918="","",IF(C918=DATE(2026,11,29),"培训；注册午餐；早餐参数",IF(C918=DATE(2026,11,30),"培训；注册午餐",IF(C918=DATE(2026,12,1),"培训；注册午餐；机构晚餐",IF(C918=Options!$B$9,"抵达；"&amp;IF(C918=DATE(2026,11,28),"机构晚餐","无统一供餐"),IF(C918=Options!$B$10,"返程；"&amp;IF(C918=DATE(2026,12,2),"机构午餐","无统一供餐"),"差旅状态；无统一日程"))))))</f>
        <v/>
      </c>
      <c r="E918" s="13">
        <f>IF(C918=Options!$B$9,Options!$C$16,0)</f>
        <v/>
      </c>
      <c r="F918" s="13">
        <f>IF(AND(A918&lt;&gt;"",C918&lt;Options!$B$10),B918*Options!$X$6,0)</f>
        <v/>
      </c>
      <c r="G918" s="13">
        <f>F918*12%</f>
        <v/>
      </c>
      <c r="H918" s="13">
        <f>IF(A918="",0,B918*(92*IF(OR(C918=Options!$B$9,C918=Options!$B$10),75%,100%)-IF(C918=DATE(2026,11,29),26+IF(Options!$B$8="是",23,0),0)-IF(C918=DATE(2026,11,30),26,0)-IF(C918=DATE(2026,12,1),64,0)-IF(C918=DATE(2026,11,28),38,0)-IF(C918=DATE(2026,12,2),26,0)))</f>
        <v/>
      </c>
      <c r="I918" s="13">
        <f>IF(AND(C918&gt;=DATE(2026,11,29),C918&lt;=DATE(2026,12,1)),B918*60,0)</f>
        <v/>
      </c>
      <c r="J918" s="13">
        <f>IF(A918="",0,B918*(IF(C918=DATE(2026,11,28),38,0)+IF(C918=DATE(2026,12,1),38,0)+IF(C918=DATE(2026,12,2),26,0)))</f>
        <v/>
      </c>
      <c r="K918" s="13">
        <f>IF(C918=Options!$B$9,B918*12,0)</f>
        <v/>
      </c>
      <c r="L918" s="13">
        <f>IF(C918=Options!$B$9,B918*Options!$Z$6,0)</f>
        <v/>
      </c>
      <c r="M918" s="13" t="n">
        <v>0</v>
      </c>
      <c r="N918" s="13">
        <f>SUM(E918:M918)</f>
        <v/>
      </c>
    </row>
    <row r="919">
      <c r="A919" s="5">
        <f>IF(AND(C919&gt;=Options!$B$9,C919&lt;=Options!$B$10),"Denver","")</f>
        <v/>
      </c>
      <c r="B919" s="5">
        <f>IF(A919="","",18)</f>
        <v/>
      </c>
      <c r="C919" s="17" t="n">
        <v>46480</v>
      </c>
      <c r="D919" s="5">
        <f>IF(A919="","",IF(C919=DATE(2026,11,29),"培训；注册午餐；早餐参数",IF(C919=DATE(2026,11,30),"培训；注册午餐",IF(C919=DATE(2026,12,1),"培训；注册午餐；机构晚餐",IF(C919=Options!$B$9,"抵达；"&amp;IF(C919=DATE(2026,11,28),"机构晚餐","无统一供餐"),IF(C919=Options!$B$10,"返程；"&amp;IF(C919=DATE(2026,12,2),"机构午餐","无统一供餐"),"差旅状态；无统一日程"))))))</f>
        <v/>
      </c>
      <c r="E919" s="13">
        <f>IF(C919=Options!$B$9,Options!$C$16,0)</f>
        <v/>
      </c>
      <c r="F919" s="13">
        <f>IF(AND(A919&lt;&gt;"",C919&lt;Options!$B$10),B919*Options!$X$6,0)</f>
        <v/>
      </c>
      <c r="G919" s="13">
        <f>F919*12%</f>
        <v/>
      </c>
      <c r="H919" s="13">
        <f>IF(A919="",0,B919*(92*IF(OR(C919=Options!$B$9,C919=Options!$B$10),75%,100%)-IF(C919=DATE(2026,11,29),26+IF(Options!$B$8="是",23,0),0)-IF(C919=DATE(2026,11,30),26,0)-IF(C919=DATE(2026,12,1),64,0)-IF(C919=DATE(2026,11,28),38,0)-IF(C919=DATE(2026,12,2),26,0)))</f>
        <v/>
      </c>
      <c r="I919" s="13">
        <f>IF(AND(C919&gt;=DATE(2026,11,29),C919&lt;=DATE(2026,12,1)),B919*60,0)</f>
        <v/>
      </c>
      <c r="J919" s="13">
        <f>IF(A919="",0,B919*(IF(C919=DATE(2026,11,28),38,0)+IF(C919=DATE(2026,12,1),38,0)+IF(C919=DATE(2026,12,2),26,0)))</f>
        <v/>
      </c>
      <c r="K919" s="13">
        <f>IF(C919=Options!$B$9,B919*12,0)</f>
        <v/>
      </c>
      <c r="L919" s="13">
        <f>IF(C919=Options!$B$9,B919*Options!$Z$6,0)</f>
        <v/>
      </c>
      <c r="M919" s="13" t="n">
        <v>0</v>
      </c>
      <c r="N919" s="13">
        <f>SUM(E919:M919)</f>
        <v/>
      </c>
    </row>
    <row r="920">
      <c r="A920" s="5">
        <f>IF(AND(C920&gt;=Options!$B$9,C920&lt;=Options!$B$10),"Denver","")</f>
        <v/>
      </c>
      <c r="B920" s="5">
        <f>IF(A920="","",18)</f>
        <v/>
      </c>
      <c r="C920" s="17" t="n">
        <v>46481</v>
      </c>
      <c r="D920" s="5">
        <f>IF(A920="","",IF(C920=DATE(2026,11,29),"培训；注册午餐；早餐参数",IF(C920=DATE(2026,11,30),"培训；注册午餐",IF(C920=DATE(2026,12,1),"培训；注册午餐；机构晚餐",IF(C920=Options!$B$9,"抵达；"&amp;IF(C920=DATE(2026,11,28),"机构晚餐","无统一供餐"),IF(C920=Options!$B$10,"返程；"&amp;IF(C920=DATE(2026,12,2),"机构午餐","无统一供餐"),"差旅状态；无统一日程"))))))</f>
        <v/>
      </c>
      <c r="E920" s="13">
        <f>IF(C920=Options!$B$9,Options!$C$16,0)</f>
        <v/>
      </c>
      <c r="F920" s="13">
        <f>IF(AND(A920&lt;&gt;"",C920&lt;Options!$B$10),B920*Options!$X$6,0)</f>
        <v/>
      </c>
      <c r="G920" s="13">
        <f>F920*12%</f>
        <v/>
      </c>
      <c r="H920" s="13">
        <f>IF(A920="",0,B920*(92*IF(OR(C920=Options!$B$9,C920=Options!$B$10),75%,100%)-IF(C920=DATE(2026,11,29),26+IF(Options!$B$8="是",23,0),0)-IF(C920=DATE(2026,11,30),26,0)-IF(C920=DATE(2026,12,1),64,0)-IF(C920=DATE(2026,11,28),38,0)-IF(C920=DATE(2026,12,2),26,0)))</f>
        <v/>
      </c>
      <c r="I920" s="13">
        <f>IF(AND(C920&gt;=DATE(2026,11,29),C920&lt;=DATE(2026,12,1)),B920*60,0)</f>
        <v/>
      </c>
      <c r="J920" s="13">
        <f>IF(A920="",0,B920*(IF(C920=DATE(2026,11,28),38,0)+IF(C920=DATE(2026,12,1),38,0)+IF(C920=DATE(2026,12,2),26,0)))</f>
        <v/>
      </c>
      <c r="K920" s="13">
        <f>IF(C920=Options!$B$9,B920*12,0)</f>
        <v/>
      </c>
      <c r="L920" s="13">
        <f>IF(C920=Options!$B$9,B920*Options!$Z$6,0)</f>
        <v/>
      </c>
      <c r="M920" s="13" t="n">
        <v>0</v>
      </c>
      <c r="N920" s="13">
        <f>SUM(E920:M920)</f>
        <v/>
      </c>
    </row>
    <row r="921">
      <c r="A921" s="5">
        <f>IF(AND(C921&gt;=Options!$B$9,C921&lt;=Options!$B$10),"Denver","")</f>
        <v/>
      </c>
      <c r="B921" s="5">
        <f>IF(A921="","",18)</f>
        <v/>
      </c>
      <c r="C921" s="17" t="n">
        <v>46482</v>
      </c>
      <c r="D921" s="5">
        <f>IF(A921="","",IF(C921=DATE(2026,11,29),"培训；注册午餐；早餐参数",IF(C921=DATE(2026,11,30),"培训；注册午餐",IF(C921=DATE(2026,12,1),"培训；注册午餐；机构晚餐",IF(C921=Options!$B$9,"抵达；"&amp;IF(C921=DATE(2026,11,28),"机构晚餐","无统一供餐"),IF(C921=Options!$B$10,"返程；"&amp;IF(C921=DATE(2026,12,2),"机构午餐","无统一供餐"),"差旅状态；无统一日程"))))))</f>
        <v/>
      </c>
      <c r="E921" s="13">
        <f>IF(C921=Options!$B$9,Options!$C$16,0)</f>
        <v/>
      </c>
      <c r="F921" s="13">
        <f>IF(AND(A921&lt;&gt;"",C921&lt;Options!$B$10),B921*Options!$X$6,0)</f>
        <v/>
      </c>
      <c r="G921" s="13">
        <f>F921*12%</f>
        <v/>
      </c>
      <c r="H921" s="13">
        <f>IF(A921="",0,B921*(92*IF(OR(C921=Options!$B$9,C921=Options!$B$10),75%,100%)-IF(C921=DATE(2026,11,29),26+IF(Options!$B$8="是",23,0),0)-IF(C921=DATE(2026,11,30),26,0)-IF(C921=DATE(2026,12,1),64,0)-IF(C921=DATE(2026,11,28),38,0)-IF(C921=DATE(2026,12,2),26,0)))</f>
        <v/>
      </c>
      <c r="I921" s="13">
        <f>IF(AND(C921&gt;=DATE(2026,11,29),C921&lt;=DATE(2026,12,1)),B921*60,0)</f>
        <v/>
      </c>
      <c r="J921" s="13">
        <f>IF(A921="",0,B921*(IF(C921=DATE(2026,11,28),38,0)+IF(C921=DATE(2026,12,1),38,0)+IF(C921=DATE(2026,12,2),26,0)))</f>
        <v/>
      </c>
      <c r="K921" s="13">
        <f>IF(C921=Options!$B$9,B921*12,0)</f>
        <v/>
      </c>
      <c r="L921" s="13">
        <f>IF(C921=Options!$B$9,B921*Options!$Z$6,0)</f>
        <v/>
      </c>
      <c r="M921" s="13" t="n">
        <v>0</v>
      </c>
      <c r="N921" s="13">
        <f>SUM(E921:M921)</f>
        <v/>
      </c>
    </row>
    <row r="922">
      <c r="A922" s="5">
        <f>IF(AND(C922&gt;=Options!$B$9,C922&lt;=Options!$B$10),"Denver","")</f>
        <v/>
      </c>
      <c r="B922" s="5">
        <f>IF(A922="","",18)</f>
        <v/>
      </c>
      <c r="C922" s="17" t="n">
        <v>46483</v>
      </c>
      <c r="D922" s="5">
        <f>IF(A922="","",IF(C922=DATE(2026,11,29),"培训；注册午餐；早餐参数",IF(C922=DATE(2026,11,30),"培训；注册午餐",IF(C922=DATE(2026,12,1),"培训；注册午餐；机构晚餐",IF(C922=Options!$B$9,"抵达；"&amp;IF(C922=DATE(2026,11,28),"机构晚餐","无统一供餐"),IF(C922=Options!$B$10,"返程；"&amp;IF(C922=DATE(2026,12,2),"机构午餐","无统一供餐"),"差旅状态；无统一日程"))))))</f>
        <v/>
      </c>
      <c r="E922" s="13">
        <f>IF(C922=Options!$B$9,Options!$C$16,0)</f>
        <v/>
      </c>
      <c r="F922" s="13">
        <f>IF(AND(A922&lt;&gt;"",C922&lt;Options!$B$10),B922*Options!$X$6,0)</f>
        <v/>
      </c>
      <c r="G922" s="13">
        <f>F922*12%</f>
        <v/>
      </c>
      <c r="H922" s="13">
        <f>IF(A922="",0,B922*(92*IF(OR(C922=Options!$B$9,C922=Options!$B$10),75%,100%)-IF(C922=DATE(2026,11,29),26+IF(Options!$B$8="是",23,0),0)-IF(C922=DATE(2026,11,30),26,0)-IF(C922=DATE(2026,12,1),64,0)-IF(C922=DATE(2026,11,28),38,0)-IF(C922=DATE(2026,12,2),26,0)))</f>
        <v/>
      </c>
      <c r="I922" s="13">
        <f>IF(AND(C922&gt;=DATE(2026,11,29),C922&lt;=DATE(2026,12,1)),B922*60,0)</f>
        <v/>
      </c>
      <c r="J922" s="13">
        <f>IF(A922="",0,B922*(IF(C922=DATE(2026,11,28),38,0)+IF(C922=DATE(2026,12,1),38,0)+IF(C922=DATE(2026,12,2),26,0)))</f>
        <v/>
      </c>
      <c r="K922" s="13">
        <f>IF(C922=Options!$B$9,B922*12,0)</f>
        <v/>
      </c>
      <c r="L922" s="13">
        <f>IF(C922=Options!$B$9,B922*Options!$Z$6,0)</f>
        <v/>
      </c>
      <c r="M922" s="13" t="n">
        <v>0</v>
      </c>
      <c r="N922" s="13">
        <f>SUM(E922:M922)</f>
        <v/>
      </c>
    </row>
    <row r="923">
      <c r="A923" s="5">
        <f>IF(AND(C923&gt;=Options!$B$9,C923&lt;=Options!$B$10),"Denver","")</f>
        <v/>
      </c>
      <c r="B923" s="5">
        <f>IF(A923="","",18)</f>
        <v/>
      </c>
      <c r="C923" s="17" t="n">
        <v>46484</v>
      </c>
      <c r="D923" s="5">
        <f>IF(A923="","",IF(C923=DATE(2026,11,29),"培训；注册午餐；早餐参数",IF(C923=DATE(2026,11,30),"培训；注册午餐",IF(C923=DATE(2026,12,1),"培训；注册午餐；机构晚餐",IF(C923=Options!$B$9,"抵达；"&amp;IF(C923=DATE(2026,11,28),"机构晚餐","无统一供餐"),IF(C923=Options!$B$10,"返程；"&amp;IF(C923=DATE(2026,12,2),"机构午餐","无统一供餐"),"差旅状态；无统一日程"))))))</f>
        <v/>
      </c>
      <c r="E923" s="13">
        <f>IF(C923=Options!$B$9,Options!$C$16,0)</f>
        <v/>
      </c>
      <c r="F923" s="13">
        <f>IF(AND(A923&lt;&gt;"",C923&lt;Options!$B$10),B923*Options!$X$6,0)</f>
        <v/>
      </c>
      <c r="G923" s="13">
        <f>F923*12%</f>
        <v/>
      </c>
      <c r="H923" s="13">
        <f>IF(A923="",0,B923*(92*IF(OR(C923=Options!$B$9,C923=Options!$B$10),75%,100%)-IF(C923=DATE(2026,11,29),26+IF(Options!$B$8="是",23,0),0)-IF(C923=DATE(2026,11,30),26,0)-IF(C923=DATE(2026,12,1),64,0)-IF(C923=DATE(2026,11,28),38,0)-IF(C923=DATE(2026,12,2),26,0)))</f>
        <v/>
      </c>
      <c r="I923" s="13">
        <f>IF(AND(C923&gt;=DATE(2026,11,29),C923&lt;=DATE(2026,12,1)),B923*60,0)</f>
        <v/>
      </c>
      <c r="J923" s="13">
        <f>IF(A923="",0,B923*(IF(C923=DATE(2026,11,28),38,0)+IF(C923=DATE(2026,12,1),38,0)+IF(C923=DATE(2026,12,2),26,0)))</f>
        <v/>
      </c>
      <c r="K923" s="13">
        <f>IF(C923=Options!$B$9,B923*12,0)</f>
        <v/>
      </c>
      <c r="L923" s="13">
        <f>IF(C923=Options!$B$9,B923*Options!$Z$6,0)</f>
        <v/>
      </c>
      <c r="M923" s="13" t="n">
        <v>0</v>
      </c>
      <c r="N923" s="13">
        <f>SUM(E923:M923)</f>
        <v/>
      </c>
    </row>
    <row r="924">
      <c r="A924" s="5">
        <f>IF(AND(C924&gt;=Options!$B$9,C924&lt;=Options!$B$10),"Denver","")</f>
        <v/>
      </c>
      <c r="B924" s="5">
        <f>IF(A924="","",18)</f>
        <v/>
      </c>
      <c r="C924" s="17" t="n">
        <v>46485</v>
      </c>
      <c r="D924" s="5">
        <f>IF(A924="","",IF(C924=DATE(2026,11,29),"培训；注册午餐；早餐参数",IF(C924=DATE(2026,11,30),"培训；注册午餐",IF(C924=DATE(2026,12,1),"培训；注册午餐；机构晚餐",IF(C924=Options!$B$9,"抵达；"&amp;IF(C924=DATE(2026,11,28),"机构晚餐","无统一供餐"),IF(C924=Options!$B$10,"返程；"&amp;IF(C924=DATE(2026,12,2),"机构午餐","无统一供餐"),"差旅状态；无统一日程"))))))</f>
        <v/>
      </c>
      <c r="E924" s="13">
        <f>IF(C924=Options!$B$9,Options!$C$16,0)</f>
        <v/>
      </c>
      <c r="F924" s="13">
        <f>IF(AND(A924&lt;&gt;"",C924&lt;Options!$B$10),B924*Options!$X$6,0)</f>
        <v/>
      </c>
      <c r="G924" s="13">
        <f>F924*12%</f>
        <v/>
      </c>
      <c r="H924" s="13">
        <f>IF(A924="",0,B924*(92*IF(OR(C924=Options!$B$9,C924=Options!$B$10),75%,100%)-IF(C924=DATE(2026,11,29),26+IF(Options!$B$8="是",23,0),0)-IF(C924=DATE(2026,11,30),26,0)-IF(C924=DATE(2026,12,1),64,0)-IF(C924=DATE(2026,11,28),38,0)-IF(C924=DATE(2026,12,2),26,0)))</f>
        <v/>
      </c>
      <c r="I924" s="13">
        <f>IF(AND(C924&gt;=DATE(2026,11,29),C924&lt;=DATE(2026,12,1)),B924*60,0)</f>
        <v/>
      </c>
      <c r="J924" s="13">
        <f>IF(A924="",0,B924*(IF(C924=DATE(2026,11,28),38,0)+IF(C924=DATE(2026,12,1),38,0)+IF(C924=DATE(2026,12,2),26,0)))</f>
        <v/>
      </c>
      <c r="K924" s="13">
        <f>IF(C924=Options!$B$9,B924*12,0)</f>
        <v/>
      </c>
      <c r="L924" s="13">
        <f>IF(C924=Options!$B$9,B924*Options!$Z$6,0)</f>
        <v/>
      </c>
      <c r="M924" s="13" t="n">
        <v>0</v>
      </c>
      <c r="N924" s="13">
        <f>SUM(E924:M924)</f>
        <v/>
      </c>
    </row>
    <row r="925">
      <c r="A925" s="5">
        <f>IF(AND(C925&gt;=Options!$B$9,C925&lt;=Options!$B$10),"Denver","")</f>
        <v/>
      </c>
      <c r="B925" s="5">
        <f>IF(A925="","",18)</f>
        <v/>
      </c>
      <c r="C925" s="17" t="n">
        <v>46486</v>
      </c>
      <c r="D925" s="5">
        <f>IF(A925="","",IF(C925=DATE(2026,11,29),"培训；注册午餐；早餐参数",IF(C925=DATE(2026,11,30),"培训；注册午餐",IF(C925=DATE(2026,12,1),"培训；注册午餐；机构晚餐",IF(C925=Options!$B$9,"抵达；"&amp;IF(C925=DATE(2026,11,28),"机构晚餐","无统一供餐"),IF(C925=Options!$B$10,"返程；"&amp;IF(C925=DATE(2026,12,2),"机构午餐","无统一供餐"),"差旅状态；无统一日程"))))))</f>
        <v/>
      </c>
      <c r="E925" s="13">
        <f>IF(C925=Options!$B$9,Options!$C$16,0)</f>
        <v/>
      </c>
      <c r="F925" s="13">
        <f>IF(AND(A925&lt;&gt;"",C925&lt;Options!$B$10),B925*Options!$X$6,0)</f>
        <v/>
      </c>
      <c r="G925" s="13">
        <f>F925*12%</f>
        <v/>
      </c>
      <c r="H925" s="13">
        <f>IF(A925="",0,B925*(92*IF(OR(C925=Options!$B$9,C925=Options!$B$10),75%,100%)-IF(C925=DATE(2026,11,29),26+IF(Options!$B$8="是",23,0),0)-IF(C925=DATE(2026,11,30),26,0)-IF(C925=DATE(2026,12,1),64,0)-IF(C925=DATE(2026,11,28),38,0)-IF(C925=DATE(2026,12,2),26,0)))</f>
        <v/>
      </c>
      <c r="I925" s="13">
        <f>IF(AND(C925&gt;=DATE(2026,11,29),C925&lt;=DATE(2026,12,1)),B925*60,0)</f>
        <v/>
      </c>
      <c r="J925" s="13">
        <f>IF(A925="",0,B925*(IF(C925=DATE(2026,11,28),38,0)+IF(C925=DATE(2026,12,1),38,0)+IF(C925=DATE(2026,12,2),26,0)))</f>
        <v/>
      </c>
      <c r="K925" s="13">
        <f>IF(C925=Options!$B$9,B925*12,0)</f>
        <v/>
      </c>
      <c r="L925" s="13">
        <f>IF(C925=Options!$B$9,B925*Options!$Z$6,0)</f>
        <v/>
      </c>
      <c r="M925" s="13" t="n">
        <v>0</v>
      </c>
      <c r="N925" s="13">
        <f>SUM(E925:M925)</f>
        <v/>
      </c>
    </row>
    <row r="926">
      <c r="A926" s="5">
        <f>IF(AND(C926&gt;=Options!$B$9,C926&lt;=Options!$B$10),"Denver","")</f>
        <v/>
      </c>
      <c r="B926" s="5">
        <f>IF(A926="","",18)</f>
        <v/>
      </c>
      <c r="C926" s="17" t="n">
        <v>46487</v>
      </c>
      <c r="D926" s="5">
        <f>IF(A926="","",IF(C926=DATE(2026,11,29),"培训；注册午餐；早餐参数",IF(C926=DATE(2026,11,30),"培训；注册午餐",IF(C926=DATE(2026,12,1),"培训；注册午餐；机构晚餐",IF(C926=Options!$B$9,"抵达；"&amp;IF(C926=DATE(2026,11,28),"机构晚餐","无统一供餐"),IF(C926=Options!$B$10,"返程；"&amp;IF(C926=DATE(2026,12,2),"机构午餐","无统一供餐"),"差旅状态；无统一日程"))))))</f>
        <v/>
      </c>
      <c r="E926" s="13">
        <f>IF(C926=Options!$B$9,Options!$C$16,0)</f>
        <v/>
      </c>
      <c r="F926" s="13">
        <f>IF(AND(A926&lt;&gt;"",C926&lt;Options!$B$10),B926*Options!$X$6,0)</f>
        <v/>
      </c>
      <c r="G926" s="13">
        <f>F926*12%</f>
        <v/>
      </c>
      <c r="H926" s="13">
        <f>IF(A926="",0,B926*(92*IF(OR(C926=Options!$B$9,C926=Options!$B$10),75%,100%)-IF(C926=DATE(2026,11,29),26+IF(Options!$B$8="是",23,0),0)-IF(C926=DATE(2026,11,30),26,0)-IF(C926=DATE(2026,12,1),64,0)-IF(C926=DATE(2026,11,28),38,0)-IF(C926=DATE(2026,12,2),26,0)))</f>
        <v/>
      </c>
      <c r="I926" s="13">
        <f>IF(AND(C926&gt;=DATE(2026,11,29),C926&lt;=DATE(2026,12,1)),B926*60,0)</f>
        <v/>
      </c>
      <c r="J926" s="13">
        <f>IF(A926="",0,B926*(IF(C926=DATE(2026,11,28),38,0)+IF(C926=DATE(2026,12,1),38,0)+IF(C926=DATE(2026,12,2),26,0)))</f>
        <v/>
      </c>
      <c r="K926" s="13">
        <f>IF(C926=Options!$B$9,B926*12,0)</f>
        <v/>
      </c>
      <c r="L926" s="13">
        <f>IF(C926=Options!$B$9,B926*Options!$Z$6,0)</f>
        <v/>
      </c>
      <c r="M926" s="13" t="n">
        <v>0</v>
      </c>
      <c r="N926" s="13">
        <f>SUM(E926:M926)</f>
        <v/>
      </c>
    </row>
    <row r="927">
      <c r="A927" s="5">
        <f>IF(AND(C927&gt;=Options!$B$9,C927&lt;=Options!$B$10),"Denver","")</f>
        <v/>
      </c>
      <c r="B927" s="5">
        <f>IF(A927="","",18)</f>
        <v/>
      </c>
      <c r="C927" s="17" t="n">
        <v>46488</v>
      </c>
      <c r="D927" s="5">
        <f>IF(A927="","",IF(C927=DATE(2026,11,29),"培训；注册午餐；早餐参数",IF(C927=DATE(2026,11,30),"培训；注册午餐",IF(C927=DATE(2026,12,1),"培训；注册午餐；机构晚餐",IF(C927=Options!$B$9,"抵达；"&amp;IF(C927=DATE(2026,11,28),"机构晚餐","无统一供餐"),IF(C927=Options!$B$10,"返程；"&amp;IF(C927=DATE(2026,12,2),"机构午餐","无统一供餐"),"差旅状态；无统一日程"))))))</f>
        <v/>
      </c>
      <c r="E927" s="13">
        <f>IF(C927=Options!$B$9,Options!$C$16,0)</f>
        <v/>
      </c>
      <c r="F927" s="13">
        <f>IF(AND(A927&lt;&gt;"",C927&lt;Options!$B$10),B927*Options!$X$6,0)</f>
        <v/>
      </c>
      <c r="G927" s="13">
        <f>F927*12%</f>
        <v/>
      </c>
      <c r="H927" s="13">
        <f>IF(A927="",0,B927*(92*IF(OR(C927=Options!$B$9,C927=Options!$B$10),75%,100%)-IF(C927=DATE(2026,11,29),26+IF(Options!$B$8="是",23,0),0)-IF(C927=DATE(2026,11,30),26,0)-IF(C927=DATE(2026,12,1),64,0)-IF(C927=DATE(2026,11,28),38,0)-IF(C927=DATE(2026,12,2),26,0)))</f>
        <v/>
      </c>
      <c r="I927" s="13">
        <f>IF(AND(C927&gt;=DATE(2026,11,29),C927&lt;=DATE(2026,12,1)),B927*60,0)</f>
        <v/>
      </c>
      <c r="J927" s="13">
        <f>IF(A927="",0,B927*(IF(C927=DATE(2026,11,28),38,0)+IF(C927=DATE(2026,12,1),38,0)+IF(C927=DATE(2026,12,2),26,0)))</f>
        <v/>
      </c>
      <c r="K927" s="13">
        <f>IF(C927=Options!$B$9,B927*12,0)</f>
        <v/>
      </c>
      <c r="L927" s="13">
        <f>IF(C927=Options!$B$9,B927*Options!$Z$6,0)</f>
        <v/>
      </c>
      <c r="M927" s="13" t="n">
        <v>0</v>
      </c>
      <c r="N927" s="13">
        <f>SUM(E927:M927)</f>
        <v/>
      </c>
    </row>
    <row r="928">
      <c r="A928" s="5">
        <f>IF(AND(C928&gt;=Options!$B$9,C928&lt;=Options!$B$10),"Denver","")</f>
        <v/>
      </c>
      <c r="B928" s="5">
        <f>IF(A928="","",18)</f>
        <v/>
      </c>
      <c r="C928" s="17" t="n">
        <v>46489</v>
      </c>
      <c r="D928" s="5">
        <f>IF(A928="","",IF(C928=DATE(2026,11,29),"培训；注册午餐；早餐参数",IF(C928=DATE(2026,11,30),"培训；注册午餐",IF(C928=DATE(2026,12,1),"培训；注册午餐；机构晚餐",IF(C928=Options!$B$9,"抵达；"&amp;IF(C928=DATE(2026,11,28),"机构晚餐","无统一供餐"),IF(C928=Options!$B$10,"返程；"&amp;IF(C928=DATE(2026,12,2),"机构午餐","无统一供餐"),"差旅状态；无统一日程"))))))</f>
        <v/>
      </c>
      <c r="E928" s="13">
        <f>IF(C928=Options!$B$9,Options!$C$16,0)</f>
        <v/>
      </c>
      <c r="F928" s="13">
        <f>IF(AND(A928&lt;&gt;"",C928&lt;Options!$B$10),B928*Options!$X$6,0)</f>
        <v/>
      </c>
      <c r="G928" s="13">
        <f>F928*12%</f>
        <v/>
      </c>
      <c r="H928" s="13">
        <f>IF(A928="",0,B928*(92*IF(OR(C928=Options!$B$9,C928=Options!$B$10),75%,100%)-IF(C928=DATE(2026,11,29),26+IF(Options!$B$8="是",23,0),0)-IF(C928=DATE(2026,11,30),26,0)-IF(C928=DATE(2026,12,1),64,0)-IF(C928=DATE(2026,11,28),38,0)-IF(C928=DATE(2026,12,2),26,0)))</f>
        <v/>
      </c>
      <c r="I928" s="13">
        <f>IF(AND(C928&gt;=DATE(2026,11,29),C928&lt;=DATE(2026,12,1)),B928*60,0)</f>
        <v/>
      </c>
      <c r="J928" s="13">
        <f>IF(A928="",0,B928*(IF(C928=DATE(2026,11,28),38,0)+IF(C928=DATE(2026,12,1),38,0)+IF(C928=DATE(2026,12,2),26,0)))</f>
        <v/>
      </c>
      <c r="K928" s="13">
        <f>IF(C928=Options!$B$9,B928*12,0)</f>
        <v/>
      </c>
      <c r="L928" s="13">
        <f>IF(C928=Options!$B$9,B928*Options!$Z$6,0)</f>
        <v/>
      </c>
      <c r="M928" s="13" t="n">
        <v>0</v>
      </c>
      <c r="N928" s="13">
        <f>SUM(E928:M928)</f>
        <v/>
      </c>
    </row>
    <row r="929">
      <c r="A929" s="5">
        <f>IF(AND(C929&gt;=Options!$B$9,C929&lt;=Options!$B$10),"Denver","")</f>
        <v/>
      </c>
      <c r="B929" s="5">
        <f>IF(A929="","",18)</f>
        <v/>
      </c>
      <c r="C929" s="17" t="n">
        <v>46490</v>
      </c>
      <c r="D929" s="5">
        <f>IF(A929="","",IF(C929=DATE(2026,11,29),"培训；注册午餐；早餐参数",IF(C929=DATE(2026,11,30),"培训；注册午餐",IF(C929=DATE(2026,12,1),"培训；注册午餐；机构晚餐",IF(C929=Options!$B$9,"抵达；"&amp;IF(C929=DATE(2026,11,28),"机构晚餐","无统一供餐"),IF(C929=Options!$B$10,"返程；"&amp;IF(C929=DATE(2026,12,2),"机构午餐","无统一供餐"),"差旅状态；无统一日程"))))))</f>
        <v/>
      </c>
      <c r="E929" s="13">
        <f>IF(C929=Options!$B$9,Options!$C$16,0)</f>
        <v/>
      </c>
      <c r="F929" s="13">
        <f>IF(AND(A929&lt;&gt;"",C929&lt;Options!$B$10),B929*Options!$X$6,0)</f>
        <v/>
      </c>
      <c r="G929" s="13">
        <f>F929*12%</f>
        <v/>
      </c>
      <c r="H929" s="13">
        <f>IF(A929="",0,B929*(92*IF(OR(C929=Options!$B$9,C929=Options!$B$10),75%,100%)-IF(C929=DATE(2026,11,29),26+IF(Options!$B$8="是",23,0),0)-IF(C929=DATE(2026,11,30),26,0)-IF(C929=DATE(2026,12,1),64,0)-IF(C929=DATE(2026,11,28),38,0)-IF(C929=DATE(2026,12,2),26,0)))</f>
        <v/>
      </c>
      <c r="I929" s="13">
        <f>IF(AND(C929&gt;=DATE(2026,11,29),C929&lt;=DATE(2026,12,1)),B929*60,0)</f>
        <v/>
      </c>
      <c r="J929" s="13">
        <f>IF(A929="",0,B929*(IF(C929=DATE(2026,11,28),38,0)+IF(C929=DATE(2026,12,1),38,0)+IF(C929=DATE(2026,12,2),26,0)))</f>
        <v/>
      </c>
      <c r="K929" s="13">
        <f>IF(C929=Options!$B$9,B929*12,0)</f>
        <v/>
      </c>
      <c r="L929" s="13">
        <f>IF(C929=Options!$B$9,B929*Options!$Z$6,0)</f>
        <v/>
      </c>
      <c r="M929" s="13" t="n">
        <v>0</v>
      </c>
      <c r="N929" s="13">
        <f>SUM(E929:M929)</f>
        <v/>
      </c>
    </row>
    <row r="930">
      <c r="A930" s="5">
        <f>IF(AND(C930&gt;=Options!$B$9,C930&lt;=Options!$B$10),"Denver","")</f>
        <v/>
      </c>
      <c r="B930" s="5">
        <f>IF(A930="","",18)</f>
        <v/>
      </c>
      <c r="C930" s="17" t="n">
        <v>46491</v>
      </c>
      <c r="D930" s="5">
        <f>IF(A930="","",IF(C930=DATE(2026,11,29),"培训；注册午餐；早餐参数",IF(C930=DATE(2026,11,30),"培训；注册午餐",IF(C930=DATE(2026,12,1),"培训；注册午餐；机构晚餐",IF(C930=Options!$B$9,"抵达；"&amp;IF(C930=DATE(2026,11,28),"机构晚餐","无统一供餐"),IF(C930=Options!$B$10,"返程；"&amp;IF(C930=DATE(2026,12,2),"机构午餐","无统一供餐"),"差旅状态；无统一日程"))))))</f>
        <v/>
      </c>
      <c r="E930" s="13">
        <f>IF(C930=Options!$B$9,Options!$C$16,0)</f>
        <v/>
      </c>
      <c r="F930" s="13">
        <f>IF(AND(A930&lt;&gt;"",C930&lt;Options!$B$10),B930*Options!$X$6,0)</f>
        <v/>
      </c>
      <c r="G930" s="13">
        <f>F930*12%</f>
        <v/>
      </c>
      <c r="H930" s="13">
        <f>IF(A930="",0,B930*(92*IF(OR(C930=Options!$B$9,C930=Options!$B$10),75%,100%)-IF(C930=DATE(2026,11,29),26+IF(Options!$B$8="是",23,0),0)-IF(C930=DATE(2026,11,30),26,0)-IF(C930=DATE(2026,12,1),64,0)-IF(C930=DATE(2026,11,28),38,0)-IF(C930=DATE(2026,12,2),26,0)))</f>
        <v/>
      </c>
      <c r="I930" s="13">
        <f>IF(AND(C930&gt;=DATE(2026,11,29),C930&lt;=DATE(2026,12,1)),B930*60,0)</f>
        <v/>
      </c>
      <c r="J930" s="13">
        <f>IF(A930="",0,B930*(IF(C930=DATE(2026,11,28),38,0)+IF(C930=DATE(2026,12,1),38,0)+IF(C930=DATE(2026,12,2),26,0)))</f>
        <v/>
      </c>
      <c r="K930" s="13">
        <f>IF(C930=Options!$B$9,B930*12,0)</f>
        <v/>
      </c>
      <c r="L930" s="13">
        <f>IF(C930=Options!$B$9,B930*Options!$Z$6,0)</f>
        <v/>
      </c>
      <c r="M930" s="13" t="n">
        <v>0</v>
      </c>
      <c r="N930" s="13">
        <f>SUM(E930:M930)</f>
        <v/>
      </c>
    </row>
    <row r="931">
      <c r="A931" s="5">
        <f>IF(AND(C931&gt;=Options!$B$9,C931&lt;=Options!$B$10),"Denver","")</f>
        <v/>
      </c>
      <c r="B931" s="5">
        <f>IF(A931="","",18)</f>
        <v/>
      </c>
      <c r="C931" s="17" t="n">
        <v>46492</v>
      </c>
      <c r="D931" s="5">
        <f>IF(A931="","",IF(C931=DATE(2026,11,29),"培训；注册午餐；早餐参数",IF(C931=DATE(2026,11,30),"培训；注册午餐",IF(C931=DATE(2026,12,1),"培训；注册午餐；机构晚餐",IF(C931=Options!$B$9,"抵达；"&amp;IF(C931=DATE(2026,11,28),"机构晚餐","无统一供餐"),IF(C931=Options!$B$10,"返程；"&amp;IF(C931=DATE(2026,12,2),"机构午餐","无统一供餐"),"差旅状态；无统一日程"))))))</f>
        <v/>
      </c>
      <c r="E931" s="13">
        <f>IF(C931=Options!$B$9,Options!$C$16,0)</f>
        <v/>
      </c>
      <c r="F931" s="13">
        <f>IF(AND(A931&lt;&gt;"",C931&lt;Options!$B$10),B931*Options!$X$6,0)</f>
        <v/>
      </c>
      <c r="G931" s="13">
        <f>F931*12%</f>
        <v/>
      </c>
      <c r="H931" s="13">
        <f>IF(A931="",0,B931*(92*IF(OR(C931=Options!$B$9,C931=Options!$B$10),75%,100%)-IF(C931=DATE(2026,11,29),26+IF(Options!$B$8="是",23,0),0)-IF(C931=DATE(2026,11,30),26,0)-IF(C931=DATE(2026,12,1),64,0)-IF(C931=DATE(2026,11,28),38,0)-IF(C931=DATE(2026,12,2),26,0)))</f>
        <v/>
      </c>
      <c r="I931" s="13">
        <f>IF(AND(C931&gt;=DATE(2026,11,29),C931&lt;=DATE(2026,12,1)),B931*60,0)</f>
        <v/>
      </c>
      <c r="J931" s="13">
        <f>IF(A931="",0,B931*(IF(C931=DATE(2026,11,28),38,0)+IF(C931=DATE(2026,12,1),38,0)+IF(C931=DATE(2026,12,2),26,0)))</f>
        <v/>
      </c>
      <c r="K931" s="13">
        <f>IF(C931=Options!$B$9,B931*12,0)</f>
        <v/>
      </c>
      <c r="L931" s="13">
        <f>IF(C931=Options!$B$9,B931*Options!$Z$6,0)</f>
        <v/>
      </c>
      <c r="M931" s="13" t="n">
        <v>0</v>
      </c>
      <c r="N931" s="13">
        <f>SUM(E931:M931)</f>
        <v/>
      </c>
    </row>
    <row r="932">
      <c r="A932" s="5">
        <f>IF(AND(C932&gt;=Options!$B$9,C932&lt;=Options!$B$10),"Denver","")</f>
        <v/>
      </c>
      <c r="B932" s="5">
        <f>IF(A932="","",18)</f>
        <v/>
      </c>
      <c r="C932" s="17" t="n">
        <v>46493</v>
      </c>
      <c r="D932" s="5">
        <f>IF(A932="","",IF(C932=DATE(2026,11,29),"培训；注册午餐；早餐参数",IF(C932=DATE(2026,11,30),"培训；注册午餐",IF(C932=DATE(2026,12,1),"培训；注册午餐；机构晚餐",IF(C932=Options!$B$9,"抵达；"&amp;IF(C932=DATE(2026,11,28),"机构晚餐","无统一供餐"),IF(C932=Options!$B$10,"返程；"&amp;IF(C932=DATE(2026,12,2),"机构午餐","无统一供餐"),"差旅状态；无统一日程"))))))</f>
        <v/>
      </c>
      <c r="E932" s="13">
        <f>IF(C932=Options!$B$9,Options!$C$16,0)</f>
        <v/>
      </c>
      <c r="F932" s="13">
        <f>IF(AND(A932&lt;&gt;"",C932&lt;Options!$B$10),B932*Options!$X$6,0)</f>
        <v/>
      </c>
      <c r="G932" s="13">
        <f>F932*12%</f>
        <v/>
      </c>
      <c r="H932" s="13">
        <f>IF(A932="",0,B932*(92*IF(OR(C932=Options!$B$9,C932=Options!$B$10),75%,100%)-IF(C932=DATE(2026,11,29),26+IF(Options!$B$8="是",23,0),0)-IF(C932=DATE(2026,11,30),26,0)-IF(C932=DATE(2026,12,1),64,0)-IF(C932=DATE(2026,11,28),38,0)-IF(C932=DATE(2026,12,2),26,0)))</f>
        <v/>
      </c>
      <c r="I932" s="13">
        <f>IF(AND(C932&gt;=DATE(2026,11,29),C932&lt;=DATE(2026,12,1)),B932*60,0)</f>
        <v/>
      </c>
      <c r="J932" s="13">
        <f>IF(A932="",0,B932*(IF(C932=DATE(2026,11,28),38,0)+IF(C932=DATE(2026,12,1),38,0)+IF(C932=DATE(2026,12,2),26,0)))</f>
        <v/>
      </c>
      <c r="K932" s="13">
        <f>IF(C932=Options!$B$9,B932*12,0)</f>
        <v/>
      </c>
      <c r="L932" s="13">
        <f>IF(C932=Options!$B$9,B932*Options!$Z$6,0)</f>
        <v/>
      </c>
      <c r="M932" s="13" t="n">
        <v>0</v>
      </c>
      <c r="N932" s="13">
        <f>SUM(E932:M932)</f>
        <v/>
      </c>
    </row>
    <row r="933">
      <c r="A933" s="5">
        <f>IF(AND(C933&gt;=Options!$B$9,C933&lt;=Options!$B$10),"Denver","")</f>
        <v/>
      </c>
      <c r="B933" s="5">
        <f>IF(A933="","",18)</f>
        <v/>
      </c>
      <c r="C933" s="17" t="n">
        <v>46494</v>
      </c>
      <c r="D933" s="5">
        <f>IF(A933="","",IF(C933=DATE(2026,11,29),"培训；注册午餐；早餐参数",IF(C933=DATE(2026,11,30),"培训；注册午餐",IF(C933=DATE(2026,12,1),"培训；注册午餐；机构晚餐",IF(C933=Options!$B$9,"抵达；"&amp;IF(C933=DATE(2026,11,28),"机构晚餐","无统一供餐"),IF(C933=Options!$B$10,"返程；"&amp;IF(C933=DATE(2026,12,2),"机构午餐","无统一供餐"),"差旅状态；无统一日程"))))))</f>
        <v/>
      </c>
      <c r="E933" s="13">
        <f>IF(C933=Options!$B$9,Options!$C$16,0)</f>
        <v/>
      </c>
      <c r="F933" s="13">
        <f>IF(AND(A933&lt;&gt;"",C933&lt;Options!$B$10),B933*Options!$X$6,0)</f>
        <v/>
      </c>
      <c r="G933" s="13">
        <f>F933*12%</f>
        <v/>
      </c>
      <c r="H933" s="13">
        <f>IF(A933="",0,B933*(92*IF(OR(C933=Options!$B$9,C933=Options!$B$10),75%,100%)-IF(C933=DATE(2026,11,29),26+IF(Options!$B$8="是",23,0),0)-IF(C933=DATE(2026,11,30),26,0)-IF(C933=DATE(2026,12,1),64,0)-IF(C933=DATE(2026,11,28),38,0)-IF(C933=DATE(2026,12,2),26,0)))</f>
        <v/>
      </c>
      <c r="I933" s="13">
        <f>IF(AND(C933&gt;=DATE(2026,11,29),C933&lt;=DATE(2026,12,1)),B933*60,0)</f>
        <v/>
      </c>
      <c r="J933" s="13">
        <f>IF(A933="",0,B933*(IF(C933=DATE(2026,11,28),38,0)+IF(C933=DATE(2026,12,1),38,0)+IF(C933=DATE(2026,12,2),26,0)))</f>
        <v/>
      </c>
      <c r="K933" s="13">
        <f>IF(C933=Options!$B$9,B933*12,0)</f>
        <v/>
      </c>
      <c r="L933" s="13">
        <f>IF(C933=Options!$B$9,B933*Options!$Z$6,0)</f>
        <v/>
      </c>
      <c r="M933" s="13" t="n">
        <v>0</v>
      </c>
      <c r="N933" s="13">
        <f>SUM(E933:M933)</f>
        <v/>
      </c>
    </row>
    <row r="934">
      <c r="A934" s="5">
        <f>IF(AND(C934&gt;=Options!$B$9,C934&lt;=Options!$B$10),"Denver","")</f>
        <v/>
      </c>
      <c r="B934" s="5">
        <f>IF(A934="","",18)</f>
        <v/>
      </c>
      <c r="C934" s="17" t="n">
        <v>46495</v>
      </c>
      <c r="D934" s="5">
        <f>IF(A934="","",IF(C934=DATE(2026,11,29),"培训；注册午餐；早餐参数",IF(C934=DATE(2026,11,30),"培训；注册午餐",IF(C934=DATE(2026,12,1),"培训；注册午餐；机构晚餐",IF(C934=Options!$B$9,"抵达；"&amp;IF(C934=DATE(2026,11,28),"机构晚餐","无统一供餐"),IF(C934=Options!$B$10,"返程；"&amp;IF(C934=DATE(2026,12,2),"机构午餐","无统一供餐"),"差旅状态；无统一日程"))))))</f>
        <v/>
      </c>
      <c r="E934" s="13">
        <f>IF(C934=Options!$B$9,Options!$C$16,0)</f>
        <v/>
      </c>
      <c r="F934" s="13">
        <f>IF(AND(A934&lt;&gt;"",C934&lt;Options!$B$10),B934*Options!$X$6,0)</f>
        <v/>
      </c>
      <c r="G934" s="13">
        <f>F934*12%</f>
        <v/>
      </c>
      <c r="H934" s="13">
        <f>IF(A934="",0,B934*(92*IF(OR(C934=Options!$B$9,C934=Options!$B$10),75%,100%)-IF(C934=DATE(2026,11,29),26+IF(Options!$B$8="是",23,0),0)-IF(C934=DATE(2026,11,30),26,0)-IF(C934=DATE(2026,12,1),64,0)-IF(C934=DATE(2026,11,28),38,0)-IF(C934=DATE(2026,12,2),26,0)))</f>
        <v/>
      </c>
      <c r="I934" s="13">
        <f>IF(AND(C934&gt;=DATE(2026,11,29),C934&lt;=DATE(2026,12,1)),B934*60,0)</f>
        <v/>
      </c>
      <c r="J934" s="13">
        <f>IF(A934="",0,B934*(IF(C934=DATE(2026,11,28),38,0)+IF(C934=DATE(2026,12,1),38,0)+IF(C934=DATE(2026,12,2),26,0)))</f>
        <v/>
      </c>
      <c r="K934" s="13">
        <f>IF(C934=Options!$B$9,B934*12,0)</f>
        <v/>
      </c>
      <c r="L934" s="13">
        <f>IF(C934=Options!$B$9,B934*Options!$Z$6,0)</f>
        <v/>
      </c>
      <c r="M934" s="13" t="n">
        <v>0</v>
      </c>
      <c r="N934" s="13">
        <f>SUM(E934:M934)</f>
        <v/>
      </c>
    </row>
    <row r="935">
      <c r="A935" s="5">
        <f>IF(AND(C935&gt;=Options!$B$9,C935&lt;=Options!$B$10),"Denver","")</f>
        <v/>
      </c>
      <c r="B935" s="5">
        <f>IF(A935="","",18)</f>
        <v/>
      </c>
      <c r="C935" s="17" t="n">
        <v>46496</v>
      </c>
      <c r="D935" s="5">
        <f>IF(A935="","",IF(C935=DATE(2026,11,29),"培训；注册午餐；早餐参数",IF(C935=DATE(2026,11,30),"培训；注册午餐",IF(C935=DATE(2026,12,1),"培训；注册午餐；机构晚餐",IF(C935=Options!$B$9,"抵达；"&amp;IF(C935=DATE(2026,11,28),"机构晚餐","无统一供餐"),IF(C935=Options!$B$10,"返程；"&amp;IF(C935=DATE(2026,12,2),"机构午餐","无统一供餐"),"差旅状态；无统一日程"))))))</f>
        <v/>
      </c>
      <c r="E935" s="13">
        <f>IF(C935=Options!$B$9,Options!$C$16,0)</f>
        <v/>
      </c>
      <c r="F935" s="13">
        <f>IF(AND(A935&lt;&gt;"",C935&lt;Options!$B$10),B935*Options!$X$6,0)</f>
        <v/>
      </c>
      <c r="G935" s="13">
        <f>F935*12%</f>
        <v/>
      </c>
      <c r="H935" s="13">
        <f>IF(A935="",0,B935*(92*IF(OR(C935=Options!$B$9,C935=Options!$B$10),75%,100%)-IF(C935=DATE(2026,11,29),26+IF(Options!$B$8="是",23,0),0)-IF(C935=DATE(2026,11,30),26,0)-IF(C935=DATE(2026,12,1),64,0)-IF(C935=DATE(2026,11,28),38,0)-IF(C935=DATE(2026,12,2),26,0)))</f>
        <v/>
      </c>
      <c r="I935" s="13">
        <f>IF(AND(C935&gt;=DATE(2026,11,29),C935&lt;=DATE(2026,12,1)),B935*60,0)</f>
        <v/>
      </c>
      <c r="J935" s="13">
        <f>IF(A935="",0,B935*(IF(C935=DATE(2026,11,28),38,0)+IF(C935=DATE(2026,12,1),38,0)+IF(C935=DATE(2026,12,2),26,0)))</f>
        <v/>
      </c>
      <c r="K935" s="13">
        <f>IF(C935=Options!$B$9,B935*12,0)</f>
        <v/>
      </c>
      <c r="L935" s="13">
        <f>IF(C935=Options!$B$9,B935*Options!$Z$6,0)</f>
        <v/>
      </c>
      <c r="M935" s="13" t="n">
        <v>0</v>
      </c>
      <c r="N935" s="13">
        <f>SUM(E935:M935)</f>
        <v/>
      </c>
    </row>
    <row r="936">
      <c r="A936" s="5">
        <f>IF(AND(C936&gt;=Options!$B$9,C936&lt;=Options!$B$10),"Denver","")</f>
        <v/>
      </c>
      <c r="B936" s="5">
        <f>IF(A936="","",18)</f>
        <v/>
      </c>
      <c r="C936" s="17" t="n">
        <v>46497</v>
      </c>
      <c r="D936" s="5">
        <f>IF(A936="","",IF(C936=DATE(2026,11,29),"培训；注册午餐；早餐参数",IF(C936=DATE(2026,11,30),"培训；注册午餐",IF(C936=DATE(2026,12,1),"培训；注册午餐；机构晚餐",IF(C936=Options!$B$9,"抵达；"&amp;IF(C936=DATE(2026,11,28),"机构晚餐","无统一供餐"),IF(C936=Options!$B$10,"返程；"&amp;IF(C936=DATE(2026,12,2),"机构午餐","无统一供餐"),"差旅状态；无统一日程"))))))</f>
        <v/>
      </c>
      <c r="E936" s="13">
        <f>IF(C936=Options!$B$9,Options!$C$16,0)</f>
        <v/>
      </c>
      <c r="F936" s="13">
        <f>IF(AND(A936&lt;&gt;"",C936&lt;Options!$B$10),B936*Options!$X$6,0)</f>
        <v/>
      </c>
      <c r="G936" s="13">
        <f>F936*12%</f>
        <v/>
      </c>
      <c r="H936" s="13">
        <f>IF(A936="",0,B936*(92*IF(OR(C936=Options!$B$9,C936=Options!$B$10),75%,100%)-IF(C936=DATE(2026,11,29),26+IF(Options!$B$8="是",23,0),0)-IF(C936=DATE(2026,11,30),26,0)-IF(C936=DATE(2026,12,1),64,0)-IF(C936=DATE(2026,11,28),38,0)-IF(C936=DATE(2026,12,2),26,0)))</f>
        <v/>
      </c>
      <c r="I936" s="13">
        <f>IF(AND(C936&gt;=DATE(2026,11,29),C936&lt;=DATE(2026,12,1)),B936*60,0)</f>
        <v/>
      </c>
      <c r="J936" s="13">
        <f>IF(A936="",0,B936*(IF(C936=DATE(2026,11,28),38,0)+IF(C936=DATE(2026,12,1),38,0)+IF(C936=DATE(2026,12,2),26,0)))</f>
        <v/>
      </c>
      <c r="K936" s="13">
        <f>IF(C936=Options!$B$9,B936*12,0)</f>
        <v/>
      </c>
      <c r="L936" s="13">
        <f>IF(C936=Options!$B$9,B936*Options!$Z$6,0)</f>
        <v/>
      </c>
      <c r="M936" s="13" t="n">
        <v>0</v>
      </c>
      <c r="N936" s="13">
        <f>SUM(E936:M936)</f>
        <v/>
      </c>
    </row>
    <row r="937">
      <c r="A937" s="5">
        <f>IF(AND(C937&gt;=Options!$B$9,C937&lt;=Options!$B$10),"Denver","")</f>
        <v/>
      </c>
      <c r="B937" s="5">
        <f>IF(A937="","",18)</f>
        <v/>
      </c>
      <c r="C937" s="17" t="n">
        <v>46498</v>
      </c>
      <c r="D937" s="5">
        <f>IF(A937="","",IF(C937=DATE(2026,11,29),"培训；注册午餐；早餐参数",IF(C937=DATE(2026,11,30),"培训；注册午餐",IF(C937=DATE(2026,12,1),"培训；注册午餐；机构晚餐",IF(C937=Options!$B$9,"抵达；"&amp;IF(C937=DATE(2026,11,28),"机构晚餐","无统一供餐"),IF(C937=Options!$B$10,"返程；"&amp;IF(C937=DATE(2026,12,2),"机构午餐","无统一供餐"),"差旅状态；无统一日程"))))))</f>
        <v/>
      </c>
      <c r="E937" s="13">
        <f>IF(C937=Options!$B$9,Options!$C$16,0)</f>
        <v/>
      </c>
      <c r="F937" s="13">
        <f>IF(AND(A937&lt;&gt;"",C937&lt;Options!$B$10),B937*Options!$X$6,0)</f>
        <v/>
      </c>
      <c r="G937" s="13">
        <f>F937*12%</f>
        <v/>
      </c>
      <c r="H937" s="13">
        <f>IF(A937="",0,B937*(92*IF(OR(C937=Options!$B$9,C937=Options!$B$10),75%,100%)-IF(C937=DATE(2026,11,29),26+IF(Options!$B$8="是",23,0),0)-IF(C937=DATE(2026,11,30),26,0)-IF(C937=DATE(2026,12,1),64,0)-IF(C937=DATE(2026,11,28),38,0)-IF(C937=DATE(2026,12,2),26,0)))</f>
        <v/>
      </c>
      <c r="I937" s="13">
        <f>IF(AND(C937&gt;=DATE(2026,11,29),C937&lt;=DATE(2026,12,1)),B937*60,0)</f>
        <v/>
      </c>
      <c r="J937" s="13">
        <f>IF(A937="",0,B937*(IF(C937=DATE(2026,11,28),38,0)+IF(C937=DATE(2026,12,1),38,0)+IF(C937=DATE(2026,12,2),26,0)))</f>
        <v/>
      </c>
      <c r="K937" s="13">
        <f>IF(C937=Options!$B$9,B937*12,0)</f>
        <v/>
      </c>
      <c r="L937" s="13">
        <f>IF(C937=Options!$B$9,B937*Options!$Z$6,0)</f>
        <v/>
      </c>
      <c r="M937" s="13" t="n">
        <v>0</v>
      </c>
      <c r="N937" s="13">
        <f>SUM(E937:M937)</f>
        <v/>
      </c>
    </row>
    <row r="938">
      <c r="A938" s="5">
        <f>IF(AND(C938&gt;=Options!$B$9,C938&lt;=Options!$B$10),"Denver","")</f>
        <v/>
      </c>
      <c r="B938" s="5">
        <f>IF(A938="","",18)</f>
        <v/>
      </c>
      <c r="C938" s="17" t="n">
        <v>46499</v>
      </c>
      <c r="D938" s="5">
        <f>IF(A938="","",IF(C938=DATE(2026,11,29),"培训；注册午餐；早餐参数",IF(C938=DATE(2026,11,30),"培训；注册午餐",IF(C938=DATE(2026,12,1),"培训；注册午餐；机构晚餐",IF(C938=Options!$B$9,"抵达；"&amp;IF(C938=DATE(2026,11,28),"机构晚餐","无统一供餐"),IF(C938=Options!$B$10,"返程；"&amp;IF(C938=DATE(2026,12,2),"机构午餐","无统一供餐"),"差旅状态；无统一日程"))))))</f>
        <v/>
      </c>
      <c r="E938" s="13">
        <f>IF(C938=Options!$B$9,Options!$C$16,0)</f>
        <v/>
      </c>
      <c r="F938" s="13">
        <f>IF(AND(A938&lt;&gt;"",C938&lt;Options!$B$10),B938*Options!$X$6,0)</f>
        <v/>
      </c>
      <c r="G938" s="13">
        <f>F938*12%</f>
        <v/>
      </c>
      <c r="H938" s="13">
        <f>IF(A938="",0,B938*(92*IF(OR(C938=Options!$B$9,C938=Options!$B$10),75%,100%)-IF(C938=DATE(2026,11,29),26+IF(Options!$B$8="是",23,0),0)-IF(C938=DATE(2026,11,30),26,0)-IF(C938=DATE(2026,12,1),64,0)-IF(C938=DATE(2026,11,28),38,0)-IF(C938=DATE(2026,12,2),26,0)))</f>
        <v/>
      </c>
      <c r="I938" s="13">
        <f>IF(AND(C938&gt;=DATE(2026,11,29),C938&lt;=DATE(2026,12,1)),B938*60,0)</f>
        <v/>
      </c>
      <c r="J938" s="13">
        <f>IF(A938="",0,B938*(IF(C938=DATE(2026,11,28),38,0)+IF(C938=DATE(2026,12,1),38,0)+IF(C938=DATE(2026,12,2),26,0)))</f>
        <v/>
      </c>
      <c r="K938" s="13">
        <f>IF(C938=Options!$B$9,B938*12,0)</f>
        <v/>
      </c>
      <c r="L938" s="13">
        <f>IF(C938=Options!$B$9,B938*Options!$Z$6,0)</f>
        <v/>
      </c>
      <c r="M938" s="13" t="n">
        <v>0</v>
      </c>
      <c r="N938" s="13">
        <f>SUM(E938:M938)</f>
        <v/>
      </c>
    </row>
    <row r="939">
      <c r="A939" s="5">
        <f>IF(AND(C939&gt;=Options!$B$9,C939&lt;=Options!$B$10),"Denver","")</f>
        <v/>
      </c>
      <c r="B939" s="5">
        <f>IF(A939="","",18)</f>
        <v/>
      </c>
      <c r="C939" s="17" t="n">
        <v>46500</v>
      </c>
      <c r="D939" s="5">
        <f>IF(A939="","",IF(C939=DATE(2026,11,29),"培训；注册午餐；早餐参数",IF(C939=DATE(2026,11,30),"培训；注册午餐",IF(C939=DATE(2026,12,1),"培训；注册午餐；机构晚餐",IF(C939=Options!$B$9,"抵达；"&amp;IF(C939=DATE(2026,11,28),"机构晚餐","无统一供餐"),IF(C939=Options!$B$10,"返程；"&amp;IF(C939=DATE(2026,12,2),"机构午餐","无统一供餐"),"差旅状态；无统一日程"))))))</f>
        <v/>
      </c>
      <c r="E939" s="13">
        <f>IF(C939=Options!$B$9,Options!$C$16,0)</f>
        <v/>
      </c>
      <c r="F939" s="13">
        <f>IF(AND(A939&lt;&gt;"",C939&lt;Options!$B$10),B939*Options!$X$6,0)</f>
        <v/>
      </c>
      <c r="G939" s="13">
        <f>F939*12%</f>
        <v/>
      </c>
      <c r="H939" s="13">
        <f>IF(A939="",0,B939*(92*IF(OR(C939=Options!$B$9,C939=Options!$B$10),75%,100%)-IF(C939=DATE(2026,11,29),26+IF(Options!$B$8="是",23,0),0)-IF(C939=DATE(2026,11,30),26,0)-IF(C939=DATE(2026,12,1),64,0)-IF(C939=DATE(2026,11,28),38,0)-IF(C939=DATE(2026,12,2),26,0)))</f>
        <v/>
      </c>
      <c r="I939" s="13">
        <f>IF(AND(C939&gt;=DATE(2026,11,29),C939&lt;=DATE(2026,12,1)),B939*60,0)</f>
        <v/>
      </c>
      <c r="J939" s="13">
        <f>IF(A939="",0,B939*(IF(C939=DATE(2026,11,28),38,0)+IF(C939=DATE(2026,12,1),38,0)+IF(C939=DATE(2026,12,2),26,0)))</f>
        <v/>
      </c>
      <c r="K939" s="13">
        <f>IF(C939=Options!$B$9,B939*12,0)</f>
        <v/>
      </c>
      <c r="L939" s="13">
        <f>IF(C939=Options!$B$9,B939*Options!$Z$6,0)</f>
        <v/>
      </c>
      <c r="M939" s="13" t="n">
        <v>0</v>
      </c>
      <c r="N939" s="13">
        <f>SUM(E939:M939)</f>
        <v/>
      </c>
    </row>
    <row r="940">
      <c r="A940" s="5">
        <f>IF(AND(C940&gt;=Options!$B$9,C940&lt;=Options!$B$10),"Denver","")</f>
        <v/>
      </c>
      <c r="B940" s="5">
        <f>IF(A940="","",18)</f>
        <v/>
      </c>
      <c r="C940" s="17" t="n">
        <v>46501</v>
      </c>
      <c r="D940" s="5">
        <f>IF(A940="","",IF(C940=DATE(2026,11,29),"培训；注册午餐；早餐参数",IF(C940=DATE(2026,11,30),"培训；注册午餐",IF(C940=DATE(2026,12,1),"培训；注册午餐；机构晚餐",IF(C940=Options!$B$9,"抵达；"&amp;IF(C940=DATE(2026,11,28),"机构晚餐","无统一供餐"),IF(C940=Options!$B$10,"返程；"&amp;IF(C940=DATE(2026,12,2),"机构午餐","无统一供餐"),"差旅状态；无统一日程"))))))</f>
        <v/>
      </c>
      <c r="E940" s="13">
        <f>IF(C940=Options!$B$9,Options!$C$16,0)</f>
        <v/>
      </c>
      <c r="F940" s="13">
        <f>IF(AND(A940&lt;&gt;"",C940&lt;Options!$B$10),B940*Options!$X$6,0)</f>
        <v/>
      </c>
      <c r="G940" s="13">
        <f>F940*12%</f>
        <v/>
      </c>
      <c r="H940" s="13">
        <f>IF(A940="",0,B940*(92*IF(OR(C940=Options!$B$9,C940=Options!$B$10),75%,100%)-IF(C940=DATE(2026,11,29),26+IF(Options!$B$8="是",23,0),0)-IF(C940=DATE(2026,11,30),26,0)-IF(C940=DATE(2026,12,1),64,0)-IF(C940=DATE(2026,11,28),38,0)-IF(C940=DATE(2026,12,2),26,0)))</f>
        <v/>
      </c>
      <c r="I940" s="13">
        <f>IF(AND(C940&gt;=DATE(2026,11,29),C940&lt;=DATE(2026,12,1)),B940*60,0)</f>
        <v/>
      </c>
      <c r="J940" s="13">
        <f>IF(A940="",0,B940*(IF(C940=DATE(2026,11,28),38,0)+IF(C940=DATE(2026,12,1),38,0)+IF(C940=DATE(2026,12,2),26,0)))</f>
        <v/>
      </c>
      <c r="K940" s="13">
        <f>IF(C940=Options!$B$9,B940*12,0)</f>
        <v/>
      </c>
      <c r="L940" s="13">
        <f>IF(C940=Options!$B$9,B940*Options!$Z$6,0)</f>
        <v/>
      </c>
      <c r="M940" s="13" t="n">
        <v>0</v>
      </c>
      <c r="N940" s="13">
        <f>SUM(E940:M940)</f>
        <v/>
      </c>
    </row>
    <row r="941">
      <c r="A941" s="5">
        <f>IF(AND(C941&gt;=Options!$B$9,C941&lt;=Options!$B$10),"Denver","")</f>
        <v/>
      </c>
      <c r="B941" s="5">
        <f>IF(A941="","",18)</f>
        <v/>
      </c>
      <c r="C941" s="17" t="n">
        <v>46502</v>
      </c>
      <c r="D941" s="5">
        <f>IF(A941="","",IF(C941=DATE(2026,11,29),"培训；注册午餐；早餐参数",IF(C941=DATE(2026,11,30),"培训；注册午餐",IF(C941=DATE(2026,12,1),"培训；注册午餐；机构晚餐",IF(C941=Options!$B$9,"抵达；"&amp;IF(C941=DATE(2026,11,28),"机构晚餐","无统一供餐"),IF(C941=Options!$B$10,"返程；"&amp;IF(C941=DATE(2026,12,2),"机构午餐","无统一供餐"),"差旅状态；无统一日程"))))))</f>
        <v/>
      </c>
      <c r="E941" s="13">
        <f>IF(C941=Options!$B$9,Options!$C$16,0)</f>
        <v/>
      </c>
      <c r="F941" s="13">
        <f>IF(AND(A941&lt;&gt;"",C941&lt;Options!$B$10),B941*Options!$X$6,0)</f>
        <v/>
      </c>
      <c r="G941" s="13">
        <f>F941*12%</f>
        <v/>
      </c>
      <c r="H941" s="13">
        <f>IF(A941="",0,B941*(92*IF(OR(C941=Options!$B$9,C941=Options!$B$10),75%,100%)-IF(C941=DATE(2026,11,29),26+IF(Options!$B$8="是",23,0),0)-IF(C941=DATE(2026,11,30),26,0)-IF(C941=DATE(2026,12,1),64,0)-IF(C941=DATE(2026,11,28),38,0)-IF(C941=DATE(2026,12,2),26,0)))</f>
        <v/>
      </c>
      <c r="I941" s="13">
        <f>IF(AND(C941&gt;=DATE(2026,11,29),C941&lt;=DATE(2026,12,1)),B941*60,0)</f>
        <v/>
      </c>
      <c r="J941" s="13">
        <f>IF(A941="",0,B941*(IF(C941=DATE(2026,11,28),38,0)+IF(C941=DATE(2026,12,1),38,0)+IF(C941=DATE(2026,12,2),26,0)))</f>
        <v/>
      </c>
      <c r="K941" s="13">
        <f>IF(C941=Options!$B$9,B941*12,0)</f>
        <v/>
      </c>
      <c r="L941" s="13">
        <f>IF(C941=Options!$B$9,B941*Options!$Z$6,0)</f>
        <v/>
      </c>
      <c r="M941" s="13" t="n">
        <v>0</v>
      </c>
      <c r="N941" s="13">
        <f>SUM(E941:M941)</f>
        <v/>
      </c>
    </row>
    <row r="942">
      <c r="A942" s="5">
        <f>IF(AND(C942&gt;=Options!$B$9,C942&lt;=Options!$B$10),"Denver","")</f>
        <v/>
      </c>
      <c r="B942" s="5">
        <f>IF(A942="","",18)</f>
        <v/>
      </c>
      <c r="C942" s="17" t="n">
        <v>46503</v>
      </c>
      <c r="D942" s="5">
        <f>IF(A942="","",IF(C942=DATE(2026,11,29),"培训；注册午餐；早餐参数",IF(C942=DATE(2026,11,30),"培训；注册午餐",IF(C942=DATE(2026,12,1),"培训；注册午餐；机构晚餐",IF(C942=Options!$B$9,"抵达；"&amp;IF(C942=DATE(2026,11,28),"机构晚餐","无统一供餐"),IF(C942=Options!$B$10,"返程；"&amp;IF(C942=DATE(2026,12,2),"机构午餐","无统一供餐"),"差旅状态；无统一日程"))))))</f>
        <v/>
      </c>
      <c r="E942" s="13">
        <f>IF(C942=Options!$B$9,Options!$C$16,0)</f>
        <v/>
      </c>
      <c r="F942" s="13">
        <f>IF(AND(A942&lt;&gt;"",C942&lt;Options!$B$10),B942*Options!$X$6,0)</f>
        <v/>
      </c>
      <c r="G942" s="13">
        <f>F942*12%</f>
        <v/>
      </c>
      <c r="H942" s="13">
        <f>IF(A942="",0,B942*(92*IF(OR(C942=Options!$B$9,C942=Options!$B$10),75%,100%)-IF(C942=DATE(2026,11,29),26+IF(Options!$B$8="是",23,0),0)-IF(C942=DATE(2026,11,30),26,0)-IF(C942=DATE(2026,12,1),64,0)-IF(C942=DATE(2026,11,28),38,0)-IF(C942=DATE(2026,12,2),26,0)))</f>
        <v/>
      </c>
      <c r="I942" s="13">
        <f>IF(AND(C942&gt;=DATE(2026,11,29),C942&lt;=DATE(2026,12,1)),B942*60,0)</f>
        <v/>
      </c>
      <c r="J942" s="13">
        <f>IF(A942="",0,B942*(IF(C942=DATE(2026,11,28),38,0)+IF(C942=DATE(2026,12,1),38,0)+IF(C942=DATE(2026,12,2),26,0)))</f>
        <v/>
      </c>
      <c r="K942" s="13">
        <f>IF(C942=Options!$B$9,B942*12,0)</f>
        <v/>
      </c>
      <c r="L942" s="13">
        <f>IF(C942=Options!$B$9,B942*Options!$Z$6,0)</f>
        <v/>
      </c>
      <c r="M942" s="13" t="n">
        <v>0</v>
      </c>
      <c r="N942" s="13">
        <f>SUM(E942:M942)</f>
        <v/>
      </c>
    </row>
    <row r="943">
      <c r="A943" s="5">
        <f>IF(AND(C943&gt;=Options!$B$9,C943&lt;=Options!$B$10),"Denver","")</f>
        <v/>
      </c>
      <c r="B943" s="5">
        <f>IF(A943="","",18)</f>
        <v/>
      </c>
      <c r="C943" s="17" t="n">
        <v>46504</v>
      </c>
      <c r="D943" s="5">
        <f>IF(A943="","",IF(C943=DATE(2026,11,29),"培训；注册午餐；早餐参数",IF(C943=DATE(2026,11,30),"培训；注册午餐",IF(C943=DATE(2026,12,1),"培训；注册午餐；机构晚餐",IF(C943=Options!$B$9,"抵达；"&amp;IF(C943=DATE(2026,11,28),"机构晚餐","无统一供餐"),IF(C943=Options!$B$10,"返程；"&amp;IF(C943=DATE(2026,12,2),"机构午餐","无统一供餐"),"差旅状态；无统一日程"))))))</f>
        <v/>
      </c>
      <c r="E943" s="13">
        <f>IF(C943=Options!$B$9,Options!$C$16,0)</f>
        <v/>
      </c>
      <c r="F943" s="13">
        <f>IF(AND(A943&lt;&gt;"",C943&lt;Options!$B$10),B943*Options!$X$6,0)</f>
        <v/>
      </c>
      <c r="G943" s="13">
        <f>F943*12%</f>
        <v/>
      </c>
      <c r="H943" s="13">
        <f>IF(A943="",0,B943*(92*IF(OR(C943=Options!$B$9,C943=Options!$B$10),75%,100%)-IF(C943=DATE(2026,11,29),26+IF(Options!$B$8="是",23,0),0)-IF(C943=DATE(2026,11,30),26,0)-IF(C943=DATE(2026,12,1),64,0)-IF(C943=DATE(2026,11,28),38,0)-IF(C943=DATE(2026,12,2),26,0)))</f>
        <v/>
      </c>
      <c r="I943" s="13">
        <f>IF(AND(C943&gt;=DATE(2026,11,29),C943&lt;=DATE(2026,12,1)),B943*60,0)</f>
        <v/>
      </c>
      <c r="J943" s="13">
        <f>IF(A943="",0,B943*(IF(C943=DATE(2026,11,28),38,0)+IF(C943=DATE(2026,12,1),38,0)+IF(C943=DATE(2026,12,2),26,0)))</f>
        <v/>
      </c>
      <c r="K943" s="13">
        <f>IF(C943=Options!$B$9,B943*12,0)</f>
        <v/>
      </c>
      <c r="L943" s="13">
        <f>IF(C943=Options!$B$9,B943*Options!$Z$6,0)</f>
        <v/>
      </c>
      <c r="M943" s="13" t="n">
        <v>0</v>
      </c>
      <c r="N943" s="13">
        <f>SUM(E943:M943)</f>
        <v/>
      </c>
    </row>
    <row r="944">
      <c r="A944" s="5">
        <f>IF(AND(C944&gt;=Options!$B$9,C944&lt;=Options!$B$10),"Denver","")</f>
        <v/>
      </c>
      <c r="B944" s="5">
        <f>IF(A944="","",18)</f>
        <v/>
      </c>
      <c r="C944" s="17" t="n">
        <v>46505</v>
      </c>
      <c r="D944" s="5">
        <f>IF(A944="","",IF(C944=DATE(2026,11,29),"培训；注册午餐；早餐参数",IF(C944=DATE(2026,11,30),"培训；注册午餐",IF(C944=DATE(2026,12,1),"培训；注册午餐；机构晚餐",IF(C944=Options!$B$9,"抵达；"&amp;IF(C944=DATE(2026,11,28),"机构晚餐","无统一供餐"),IF(C944=Options!$B$10,"返程；"&amp;IF(C944=DATE(2026,12,2),"机构午餐","无统一供餐"),"差旅状态；无统一日程"))))))</f>
        <v/>
      </c>
      <c r="E944" s="13">
        <f>IF(C944=Options!$B$9,Options!$C$16,0)</f>
        <v/>
      </c>
      <c r="F944" s="13">
        <f>IF(AND(A944&lt;&gt;"",C944&lt;Options!$B$10),B944*Options!$X$6,0)</f>
        <v/>
      </c>
      <c r="G944" s="13">
        <f>F944*12%</f>
        <v/>
      </c>
      <c r="H944" s="13">
        <f>IF(A944="",0,B944*(92*IF(OR(C944=Options!$B$9,C944=Options!$B$10),75%,100%)-IF(C944=DATE(2026,11,29),26+IF(Options!$B$8="是",23,0),0)-IF(C944=DATE(2026,11,30),26,0)-IF(C944=DATE(2026,12,1),64,0)-IF(C944=DATE(2026,11,28),38,0)-IF(C944=DATE(2026,12,2),26,0)))</f>
        <v/>
      </c>
      <c r="I944" s="13">
        <f>IF(AND(C944&gt;=DATE(2026,11,29),C944&lt;=DATE(2026,12,1)),B944*60,0)</f>
        <v/>
      </c>
      <c r="J944" s="13">
        <f>IF(A944="",0,B944*(IF(C944=DATE(2026,11,28),38,0)+IF(C944=DATE(2026,12,1),38,0)+IF(C944=DATE(2026,12,2),26,0)))</f>
        <v/>
      </c>
      <c r="K944" s="13">
        <f>IF(C944=Options!$B$9,B944*12,0)</f>
        <v/>
      </c>
      <c r="L944" s="13">
        <f>IF(C944=Options!$B$9,B944*Options!$Z$6,0)</f>
        <v/>
      </c>
      <c r="M944" s="13" t="n">
        <v>0</v>
      </c>
      <c r="N944" s="13">
        <f>SUM(E944:M944)</f>
        <v/>
      </c>
    </row>
    <row r="945">
      <c r="A945" s="5">
        <f>IF(AND(C945&gt;=Options!$B$9,C945&lt;=Options!$B$10),"Denver","")</f>
        <v/>
      </c>
      <c r="B945" s="5">
        <f>IF(A945="","",18)</f>
        <v/>
      </c>
      <c r="C945" s="17" t="n">
        <v>46506</v>
      </c>
      <c r="D945" s="5">
        <f>IF(A945="","",IF(C945=DATE(2026,11,29),"培训；注册午餐；早餐参数",IF(C945=DATE(2026,11,30),"培训；注册午餐",IF(C945=DATE(2026,12,1),"培训；注册午餐；机构晚餐",IF(C945=Options!$B$9,"抵达；"&amp;IF(C945=DATE(2026,11,28),"机构晚餐","无统一供餐"),IF(C945=Options!$B$10,"返程；"&amp;IF(C945=DATE(2026,12,2),"机构午餐","无统一供餐"),"差旅状态；无统一日程"))))))</f>
        <v/>
      </c>
      <c r="E945" s="13">
        <f>IF(C945=Options!$B$9,Options!$C$16,0)</f>
        <v/>
      </c>
      <c r="F945" s="13">
        <f>IF(AND(A945&lt;&gt;"",C945&lt;Options!$B$10),B945*Options!$X$6,0)</f>
        <v/>
      </c>
      <c r="G945" s="13">
        <f>F945*12%</f>
        <v/>
      </c>
      <c r="H945" s="13">
        <f>IF(A945="",0,B945*(92*IF(OR(C945=Options!$B$9,C945=Options!$B$10),75%,100%)-IF(C945=DATE(2026,11,29),26+IF(Options!$B$8="是",23,0),0)-IF(C945=DATE(2026,11,30),26,0)-IF(C945=DATE(2026,12,1),64,0)-IF(C945=DATE(2026,11,28),38,0)-IF(C945=DATE(2026,12,2),26,0)))</f>
        <v/>
      </c>
      <c r="I945" s="13">
        <f>IF(AND(C945&gt;=DATE(2026,11,29),C945&lt;=DATE(2026,12,1)),B945*60,0)</f>
        <v/>
      </c>
      <c r="J945" s="13">
        <f>IF(A945="",0,B945*(IF(C945=DATE(2026,11,28),38,0)+IF(C945=DATE(2026,12,1),38,0)+IF(C945=DATE(2026,12,2),26,0)))</f>
        <v/>
      </c>
      <c r="K945" s="13">
        <f>IF(C945=Options!$B$9,B945*12,0)</f>
        <v/>
      </c>
      <c r="L945" s="13">
        <f>IF(C945=Options!$B$9,B945*Options!$Z$6,0)</f>
        <v/>
      </c>
      <c r="M945" s="13" t="n">
        <v>0</v>
      </c>
      <c r="N945" s="13">
        <f>SUM(E945:M945)</f>
        <v/>
      </c>
    </row>
    <row r="946">
      <c r="A946" s="5">
        <f>IF(AND(C946&gt;=Options!$B$9,C946&lt;=Options!$B$10),"Denver","")</f>
        <v/>
      </c>
      <c r="B946" s="5">
        <f>IF(A946="","",18)</f>
        <v/>
      </c>
      <c r="C946" s="17" t="n">
        <v>46507</v>
      </c>
      <c r="D946" s="5">
        <f>IF(A946="","",IF(C946=DATE(2026,11,29),"培训；注册午餐；早餐参数",IF(C946=DATE(2026,11,30),"培训；注册午餐",IF(C946=DATE(2026,12,1),"培训；注册午餐；机构晚餐",IF(C946=Options!$B$9,"抵达；"&amp;IF(C946=DATE(2026,11,28),"机构晚餐","无统一供餐"),IF(C946=Options!$B$10,"返程；"&amp;IF(C946=DATE(2026,12,2),"机构午餐","无统一供餐"),"差旅状态；无统一日程"))))))</f>
        <v/>
      </c>
      <c r="E946" s="13">
        <f>IF(C946=Options!$B$9,Options!$C$16,0)</f>
        <v/>
      </c>
      <c r="F946" s="13">
        <f>IF(AND(A946&lt;&gt;"",C946&lt;Options!$B$10),B946*Options!$X$6,0)</f>
        <v/>
      </c>
      <c r="G946" s="13">
        <f>F946*12%</f>
        <v/>
      </c>
      <c r="H946" s="13">
        <f>IF(A946="",0,B946*(92*IF(OR(C946=Options!$B$9,C946=Options!$B$10),75%,100%)-IF(C946=DATE(2026,11,29),26+IF(Options!$B$8="是",23,0),0)-IF(C946=DATE(2026,11,30),26,0)-IF(C946=DATE(2026,12,1),64,0)-IF(C946=DATE(2026,11,28),38,0)-IF(C946=DATE(2026,12,2),26,0)))</f>
        <v/>
      </c>
      <c r="I946" s="13">
        <f>IF(AND(C946&gt;=DATE(2026,11,29),C946&lt;=DATE(2026,12,1)),B946*60,0)</f>
        <v/>
      </c>
      <c r="J946" s="13">
        <f>IF(A946="",0,B946*(IF(C946=DATE(2026,11,28),38,0)+IF(C946=DATE(2026,12,1),38,0)+IF(C946=DATE(2026,12,2),26,0)))</f>
        <v/>
      </c>
      <c r="K946" s="13">
        <f>IF(C946=Options!$B$9,B946*12,0)</f>
        <v/>
      </c>
      <c r="L946" s="13">
        <f>IF(C946=Options!$B$9,B946*Options!$Z$6,0)</f>
        <v/>
      </c>
      <c r="M946" s="13" t="n">
        <v>0</v>
      </c>
      <c r="N946" s="13">
        <f>SUM(E946:M946)</f>
        <v/>
      </c>
    </row>
    <row r="947">
      <c r="A947" s="5">
        <f>IF(AND(C947&gt;=Options!$B$9,C947&lt;=Options!$B$10),"Denver","")</f>
        <v/>
      </c>
      <c r="B947" s="5">
        <f>IF(A947="","",18)</f>
        <v/>
      </c>
      <c r="C947" s="17" t="n">
        <v>46508</v>
      </c>
      <c r="D947" s="5">
        <f>IF(A947="","",IF(C947=DATE(2026,11,29),"培训；注册午餐；早餐参数",IF(C947=DATE(2026,11,30),"培训；注册午餐",IF(C947=DATE(2026,12,1),"培训；注册午餐；机构晚餐",IF(C947=Options!$B$9,"抵达；"&amp;IF(C947=DATE(2026,11,28),"机构晚餐","无统一供餐"),IF(C947=Options!$B$10,"返程；"&amp;IF(C947=DATE(2026,12,2),"机构午餐","无统一供餐"),"差旅状态；无统一日程"))))))</f>
        <v/>
      </c>
      <c r="E947" s="13">
        <f>IF(C947=Options!$B$9,Options!$C$16,0)</f>
        <v/>
      </c>
      <c r="F947" s="13">
        <f>IF(AND(A947&lt;&gt;"",C947&lt;Options!$B$10),B947*Options!$X$6,0)</f>
        <v/>
      </c>
      <c r="G947" s="13">
        <f>F947*12%</f>
        <v/>
      </c>
      <c r="H947" s="13">
        <f>IF(A947="",0,B947*(92*IF(OR(C947=Options!$B$9,C947=Options!$B$10),75%,100%)-IF(C947=DATE(2026,11,29),26+IF(Options!$B$8="是",23,0),0)-IF(C947=DATE(2026,11,30),26,0)-IF(C947=DATE(2026,12,1),64,0)-IF(C947=DATE(2026,11,28),38,0)-IF(C947=DATE(2026,12,2),26,0)))</f>
        <v/>
      </c>
      <c r="I947" s="13">
        <f>IF(AND(C947&gt;=DATE(2026,11,29),C947&lt;=DATE(2026,12,1)),B947*60,0)</f>
        <v/>
      </c>
      <c r="J947" s="13">
        <f>IF(A947="",0,B947*(IF(C947=DATE(2026,11,28),38,0)+IF(C947=DATE(2026,12,1),38,0)+IF(C947=DATE(2026,12,2),26,0)))</f>
        <v/>
      </c>
      <c r="K947" s="13">
        <f>IF(C947=Options!$B$9,B947*12,0)</f>
        <v/>
      </c>
      <c r="L947" s="13">
        <f>IF(C947=Options!$B$9,B947*Options!$Z$6,0)</f>
        <v/>
      </c>
      <c r="M947" s="13" t="n">
        <v>0</v>
      </c>
      <c r="N947" s="13">
        <f>SUM(E947:M947)</f>
        <v/>
      </c>
    </row>
    <row r="948">
      <c r="A948" s="5">
        <f>IF(AND(C948&gt;=Options!$B$9,C948&lt;=Options!$B$10),"Denver","")</f>
        <v/>
      </c>
      <c r="B948" s="5">
        <f>IF(A948="","",18)</f>
        <v/>
      </c>
      <c r="C948" s="17" t="n">
        <v>46509</v>
      </c>
      <c r="D948" s="5">
        <f>IF(A948="","",IF(C948=DATE(2026,11,29),"培训；注册午餐；早餐参数",IF(C948=DATE(2026,11,30),"培训；注册午餐",IF(C948=DATE(2026,12,1),"培训；注册午餐；机构晚餐",IF(C948=Options!$B$9,"抵达；"&amp;IF(C948=DATE(2026,11,28),"机构晚餐","无统一供餐"),IF(C948=Options!$B$10,"返程；"&amp;IF(C948=DATE(2026,12,2),"机构午餐","无统一供餐"),"差旅状态；无统一日程"))))))</f>
        <v/>
      </c>
      <c r="E948" s="13">
        <f>IF(C948=Options!$B$9,Options!$C$16,0)</f>
        <v/>
      </c>
      <c r="F948" s="13">
        <f>IF(AND(A948&lt;&gt;"",C948&lt;Options!$B$10),B948*Options!$X$6,0)</f>
        <v/>
      </c>
      <c r="G948" s="13">
        <f>F948*12%</f>
        <v/>
      </c>
      <c r="H948" s="13">
        <f>IF(A948="",0,B948*(92*IF(OR(C948=Options!$B$9,C948=Options!$B$10),75%,100%)-IF(C948=DATE(2026,11,29),26+IF(Options!$B$8="是",23,0),0)-IF(C948=DATE(2026,11,30),26,0)-IF(C948=DATE(2026,12,1),64,0)-IF(C948=DATE(2026,11,28),38,0)-IF(C948=DATE(2026,12,2),26,0)))</f>
        <v/>
      </c>
      <c r="I948" s="13">
        <f>IF(AND(C948&gt;=DATE(2026,11,29),C948&lt;=DATE(2026,12,1)),B948*60,0)</f>
        <v/>
      </c>
      <c r="J948" s="13">
        <f>IF(A948="",0,B948*(IF(C948=DATE(2026,11,28),38,0)+IF(C948=DATE(2026,12,1),38,0)+IF(C948=DATE(2026,12,2),26,0)))</f>
        <v/>
      </c>
      <c r="K948" s="13">
        <f>IF(C948=Options!$B$9,B948*12,0)</f>
        <v/>
      </c>
      <c r="L948" s="13">
        <f>IF(C948=Options!$B$9,B948*Options!$Z$6,0)</f>
        <v/>
      </c>
      <c r="M948" s="13" t="n">
        <v>0</v>
      </c>
      <c r="N948" s="13">
        <f>SUM(E948:M948)</f>
        <v/>
      </c>
    </row>
    <row r="949">
      <c r="A949" s="5">
        <f>IF(AND(C949&gt;=Options!$B$9,C949&lt;=Options!$B$10),"Denver","")</f>
        <v/>
      </c>
      <c r="B949" s="5">
        <f>IF(A949="","",18)</f>
        <v/>
      </c>
      <c r="C949" s="17" t="n">
        <v>46510</v>
      </c>
      <c r="D949" s="5">
        <f>IF(A949="","",IF(C949=DATE(2026,11,29),"培训；注册午餐；早餐参数",IF(C949=DATE(2026,11,30),"培训；注册午餐",IF(C949=DATE(2026,12,1),"培训；注册午餐；机构晚餐",IF(C949=Options!$B$9,"抵达；"&amp;IF(C949=DATE(2026,11,28),"机构晚餐","无统一供餐"),IF(C949=Options!$B$10,"返程；"&amp;IF(C949=DATE(2026,12,2),"机构午餐","无统一供餐"),"差旅状态；无统一日程"))))))</f>
        <v/>
      </c>
      <c r="E949" s="13">
        <f>IF(C949=Options!$B$9,Options!$C$16,0)</f>
        <v/>
      </c>
      <c r="F949" s="13">
        <f>IF(AND(A949&lt;&gt;"",C949&lt;Options!$B$10),B949*Options!$X$6,0)</f>
        <v/>
      </c>
      <c r="G949" s="13">
        <f>F949*12%</f>
        <v/>
      </c>
      <c r="H949" s="13">
        <f>IF(A949="",0,B949*(92*IF(OR(C949=Options!$B$9,C949=Options!$B$10),75%,100%)-IF(C949=DATE(2026,11,29),26+IF(Options!$B$8="是",23,0),0)-IF(C949=DATE(2026,11,30),26,0)-IF(C949=DATE(2026,12,1),64,0)-IF(C949=DATE(2026,11,28),38,0)-IF(C949=DATE(2026,12,2),26,0)))</f>
        <v/>
      </c>
      <c r="I949" s="13">
        <f>IF(AND(C949&gt;=DATE(2026,11,29),C949&lt;=DATE(2026,12,1)),B949*60,0)</f>
        <v/>
      </c>
      <c r="J949" s="13">
        <f>IF(A949="",0,B949*(IF(C949=DATE(2026,11,28),38,0)+IF(C949=DATE(2026,12,1),38,0)+IF(C949=DATE(2026,12,2),26,0)))</f>
        <v/>
      </c>
      <c r="K949" s="13">
        <f>IF(C949=Options!$B$9,B949*12,0)</f>
        <v/>
      </c>
      <c r="L949" s="13">
        <f>IF(C949=Options!$B$9,B949*Options!$Z$6,0)</f>
        <v/>
      </c>
      <c r="M949" s="13" t="n">
        <v>0</v>
      </c>
      <c r="N949" s="13">
        <f>SUM(E949:M949)</f>
        <v/>
      </c>
    </row>
    <row r="950">
      <c r="A950" s="5">
        <f>IF(AND(C950&gt;=Options!$B$9,C950&lt;=Options!$B$10),"Denver","")</f>
        <v/>
      </c>
      <c r="B950" s="5">
        <f>IF(A950="","",18)</f>
        <v/>
      </c>
      <c r="C950" s="17" t="n">
        <v>46511</v>
      </c>
      <c r="D950" s="5">
        <f>IF(A950="","",IF(C950=DATE(2026,11,29),"培训；注册午餐；早餐参数",IF(C950=DATE(2026,11,30),"培训；注册午餐",IF(C950=DATE(2026,12,1),"培训；注册午餐；机构晚餐",IF(C950=Options!$B$9,"抵达；"&amp;IF(C950=DATE(2026,11,28),"机构晚餐","无统一供餐"),IF(C950=Options!$B$10,"返程；"&amp;IF(C950=DATE(2026,12,2),"机构午餐","无统一供餐"),"差旅状态；无统一日程"))))))</f>
        <v/>
      </c>
      <c r="E950" s="13">
        <f>IF(C950=Options!$B$9,Options!$C$16,0)</f>
        <v/>
      </c>
      <c r="F950" s="13">
        <f>IF(AND(A950&lt;&gt;"",C950&lt;Options!$B$10),B950*Options!$X$6,0)</f>
        <v/>
      </c>
      <c r="G950" s="13">
        <f>F950*12%</f>
        <v/>
      </c>
      <c r="H950" s="13">
        <f>IF(A950="",0,B950*(92*IF(OR(C950=Options!$B$9,C950=Options!$B$10),75%,100%)-IF(C950=DATE(2026,11,29),26+IF(Options!$B$8="是",23,0),0)-IF(C950=DATE(2026,11,30),26,0)-IF(C950=DATE(2026,12,1),64,0)-IF(C950=DATE(2026,11,28),38,0)-IF(C950=DATE(2026,12,2),26,0)))</f>
        <v/>
      </c>
      <c r="I950" s="13">
        <f>IF(AND(C950&gt;=DATE(2026,11,29),C950&lt;=DATE(2026,12,1)),B950*60,0)</f>
        <v/>
      </c>
      <c r="J950" s="13">
        <f>IF(A950="",0,B950*(IF(C950=DATE(2026,11,28),38,0)+IF(C950=DATE(2026,12,1),38,0)+IF(C950=DATE(2026,12,2),26,0)))</f>
        <v/>
      </c>
      <c r="K950" s="13">
        <f>IF(C950=Options!$B$9,B950*12,0)</f>
        <v/>
      </c>
      <c r="L950" s="13">
        <f>IF(C950=Options!$B$9,B950*Options!$Z$6,0)</f>
        <v/>
      </c>
      <c r="M950" s="13" t="n">
        <v>0</v>
      </c>
      <c r="N950" s="13">
        <f>SUM(E950:M950)</f>
        <v/>
      </c>
    </row>
    <row r="951">
      <c r="A951" s="5">
        <f>IF(AND(C951&gt;=Options!$B$9,C951&lt;=Options!$B$10),"Denver","")</f>
        <v/>
      </c>
      <c r="B951" s="5">
        <f>IF(A951="","",18)</f>
        <v/>
      </c>
      <c r="C951" s="17" t="n">
        <v>46512</v>
      </c>
      <c r="D951" s="5">
        <f>IF(A951="","",IF(C951=DATE(2026,11,29),"培训；注册午餐；早餐参数",IF(C951=DATE(2026,11,30),"培训；注册午餐",IF(C951=DATE(2026,12,1),"培训；注册午餐；机构晚餐",IF(C951=Options!$B$9,"抵达；"&amp;IF(C951=DATE(2026,11,28),"机构晚餐","无统一供餐"),IF(C951=Options!$B$10,"返程；"&amp;IF(C951=DATE(2026,12,2),"机构午餐","无统一供餐"),"差旅状态；无统一日程"))))))</f>
        <v/>
      </c>
      <c r="E951" s="13">
        <f>IF(C951=Options!$B$9,Options!$C$16,0)</f>
        <v/>
      </c>
      <c r="F951" s="13">
        <f>IF(AND(A951&lt;&gt;"",C951&lt;Options!$B$10),B951*Options!$X$6,0)</f>
        <v/>
      </c>
      <c r="G951" s="13">
        <f>F951*12%</f>
        <v/>
      </c>
      <c r="H951" s="13">
        <f>IF(A951="",0,B951*(92*IF(OR(C951=Options!$B$9,C951=Options!$B$10),75%,100%)-IF(C951=DATE(2026,11,29),26+IF(Options!$B$8="是",23,0),0)-IF(C951=DATE(2026,11,30),26,0)-IF(C951=DATE(2026,12,1),64,0)-IF(C951=DATE(2026,11,28),38,0)-IF(C951=DATE(2026,12,2),26,0)))</f>
        <v/>
      </c>
      <c r="I951" s="13">
        <f>IF(AND(C951&gt;=DATE(2026,11,29),C951&lt;=DATE(2026,12,1)),B951*60,0)</f>
        <v/>
      </c>
      <c r="J951" s="13">
        <f>IF(A951="",0,B951*(IF(C951=DATE(2026,11,28),38,0)+IF(C951=DATE(2026,12,1),38,0)+IF(C951=DATE(2026,12,2),26,0)))</f>
        <v/>
      </c>
      <c r="K951" s="13">
        <f>IF(C951=Options!$B$9,B951*12,0)</f>
        <v/>
      </c>
      <c r="L951" s="13">
        <f>IF(C951=Options!$B$9,B951*Options!$Z$6,0)</f>
        <v/>
      </c>
      <c r="M951" s="13" t="n">
        <v>0</v>
      </c>
      <c r="N951" s="13">
        <f>SUM(E951:M951)</f>
        <v/>
      </c>
    </row>
    <row r="952">
      <c r="A952" s="5">
        <f>IF(AND(C952&gt;=Options!$B$9,C952&lt;=Options!$B$10),"Denver","")</f>
        <v/>
      </c>
      <c r="B952" s="5">
        <f>IF(A952="","",18)</f>
        <v/>
      </c>
      <c r="C952" s="17" t="n">
        <v>46513</v>
      </c>
      <c r="D952" s="5">
        <f>IF(A952="","",IF(C952=DATE(2026,11,29),"培训；注册午餐；早餐参数",IF(C952=DATE(2026,11,30),"培训；注册午餐",IF(C952=DATE(2026,12,1),"培训；注册午餐；机构晚餐",IF(C952=Options!$B$9,"抵达；"&amp;IF(C952=DATE(2026,11,28),"机构晚餐","无统一供餐"),IF(C952=Options!$B$10,"返程；"&amp;IF(C952=DATE(2026,12,2),"机构午餐","无统一供餐"),"差旅状态；无统一日程"))))))</f>
        <v/>
      </c>
      <c r="E952" s="13">
        <f>IF(C952=Options!$B$9,Options!$C$16,0)</f>
        <v/>
      </c>
      <c r="F952" s="13">
        <f>IF(AND(A952&lt;&gt;"",C952&lt;Options!$B$10),B952*Options!$X$6,0)</f>
        <v/>
      </c>
      <c r="G952" s="13">
        <f>F952*12%</f>
        <v/>
      </c>
      <c r="H952" s="13">
        <f>IF(A952="",0,B952*(92*IF(OR(C952=Options!$B$9,C952=Options!$B$10),75%,100%)-IF(C952=DATE(2026,11,29),26+IF(Options!$B$8="是",23,0),0)-IF(C952=DATE(2026,11,30),26,0)-IF(C952=DATE(2026,12,1),64,0)-IF(C952=DATE(2026,11,28),38,0)-IF(C952=DATE(2026,12,2),26,0)))</f>
        <v/>
      </c>
      <c r="I952" s="13">
        <f>IF(AND(C952&gt;=DATE(2026,11,29),C952&lt;=DATE(2026,12,1)),B952*60,0)</f>
        <v/>
      </c>
      <c r="J952" s="13">
        <f>IF(A952="",0,B952*(IF(C952=DATE(2026,11,28),38,0)+IF(C952=DATE(2026,12,1),38,0)+IF(C952=DATE(2026,12,2),26,0)))</f>
        <v/>
      </c>
      <c r="K952" s="13">
        <f>IF(C952=Options!$B$9,B952*12,0)</f>
        <v/>
      </c>
      <c r="L952" s="13">
        <f>IF(C952=Options!$B$9,B952*Options!$Z$6,0)</f>
        <v/>
      </c>
      <c r="M952" s="13" t="n">
        <v>0</v>
      </c>
      <c r="N952" s="13">
        <f>SUM(E952:M952)</f>
        <v/>
      </c>
    </row>
    <row r="953">
      <c r="A953" s="5">
        <f>IF(AND(C953&gt;=Options!$B$9,C953&lt;=Options!$B$10),"Denver","")</f>
        <v/>
      </c>
      <c r="B953" s="5">
        <f>IF(A953="","",18)</f>
        <v/>
      </c>
      <c r="C953" s="17" t="n">
        <v>46514</v>
      </c>
      <c r="D953" s="5">
        <f>IF(A953="","",IF(C953=DATE(2026,11,29),"培训；注册午餐；早餐参数",IF(C953=DATE(2026,11,30),"培训；注册午餐",IF(C953=DATE(2026,12,1),"培训；注册午餐；机构晚餐",IF(C953=Options!$B$9,"抵达；"&amp;IF(C953=DATE(2026,11,28),"机构晚餐","无统一供餐"),IF(C953=Options!$B$10,"返程；"&amp;IF(C953=DATE(2026,12,2),"机构午餐","无统一供餐"),"差旅状态；无统一日程"))))))</f>
        <v/>
      </c>
      <c r="E953" s="13">
        <f>IF(C953=Options!$B$9,Options!$C$16,0)</f>
        <v/>
      </c>
      <c r="F953" s="13">
        <f>IF(AND(A953&lt;&gt;"",C953&lt;Options!$B$10),B953*Options!$X$6,0)</f>
        <v/>
      </c>
      <c r="G953" s="13">
        <f>F953*12%</f>
        <v/>
      </c>
      <c r="H953" s="13">
        <f>IF(A953="",0,B953*(92*IF(OR(C953=Options!$B$9,C953=Options!$B$10),75%,100%)-IF(C953=DATE(2026,11,29),26+IF(Options!$B$8="是",23,0),0)-IF(C953=DATE(2026,11,30),26,0)-IF(C953=DATE(2026,12,1),64,0)-IF(C953=DATE(2026,11,28),38,0)-IF(C953=DATE(2026,12,2),26,0)))</f>
        <v/>
      </c>
      <c r="I953" s="13">
        <f>IF(AND(C953&gt;=DATE(2026,11,29),C953&lt;=DATE(2026,12,1)),B953*60,0)</f>
        <v/>
      </c>
      <c r="J953" s="13">
        <f>IF(A953="",0,B953*(IF(C953=DATE(2026,11,28),38,0)+IF(C953=DATE(2026,12,1),38,0)+IF(C953=DATE(2026,12,2),26,0)))</f>
        <v/>
      </c>
      <c r="K953" s="13">
        <f>IF(C953=Options!$B$9,B953*12,0)</f>
        <v/>
      </c>
      <c r="L953" s="13">
        <f>IF(C953=Options!$B$9,B953*Options!$Z$6,0)</f>
        <v/>
      </c>
      <c r="M953" s="13" t="n">
        <v>0</v>
      </c>
      <c r="N953" s="13">
        <f>SUM(E953:M953)</f>
        <v/>
      </c>
    </row>
    <row r="954">
      <c r="A954" s="5">
        <f>IF(AND(C954&gt;=Options!$B$9,C954&lt;=Options!$B$10),"Denver","")</f>
        <v/>
      </c>
      <c r="B954" s="5">
        <f>IF(A954="","",18)</f>
        <v/>
      </c>
      <c r="C954" s="17" t="n">
        <v>46515</v>
      </c>
      <c r="D954" s="5">
        <f>IF(A954="","",IF(C954=DATE(2026,11,29),"培训；注册午餐；早餐参数",IF(C954=DATE(2026,11,30),"培训；注册午餐",IF(C954=DATE(2026,12,1),"培训；注册午餐；机构晚餐",IF(C954=Options!$B$9,"抵达；"&amp;IF(C954=DATE(2026,11,28),"机构晚餐","无统一供餐"),IF(C954=Options!$B$10,"返程；"&amp;IF(C954=DATE(2026,12,2),"机构午餐","无统一供餐"),"差旅状态；无统一日程"))))))</f>
        <v/>
      </c>
      <c r="E954" s="13">
        <f>IF(C954=Options!$B$9,Options!$C$16,0)</f>
        <v/>
      </c>
      <c r="F954" s="13">
        <f>IF(AND(A954&lt;&gt;"",C954&lt;Options!$B$10),B954*Options!$X$6,0)</f>
        <v/>
      </c>
      <c r="G954" s="13">
        <f>F954*12%</f>
        <v/>
      </c>
      <c r="H954" s="13">
        <f>IF(A954="",0,B954*(92*IF(OR(C954=Options!$B$9,C954=Options!$B$10),75%,100%)-IF(C954=DATE(2026,11,29),26+IF(Options!$B$8="是",23,0),0)-IF(C954=DATE(2026,11,30),26,0)-IF(C954=DATE(2026,12,1),64,0)-IF(C954=DATE(2026,11,28),38,0)-IF(C954=DATE(2026,12,2),26,0)))</f>
        <v/>
      </c>
      <c r="I954" s="13">
        <f>IF(AND(C954&gt;=DATE(2026,11,29),C954&lt;=DATE(2026,12,1)),B954*60,0)</f>
        <v/>
      </c>
      <c r="J954" s="13">
        <f>IF(A954="",0,B954*(IF(C954=DATE(2026,11,28),38,0)+IF(C954=DATE(2026,12,1),38,0)+IF(C954=DATE(2026,12,2),26,0)))</f>
        <v/>
      </c>
      <c r="K954" s="13">
        <f>IF(C954=Options!$B$9,B954*12,0)</f>
        <v/>
      </c>
      <c r="L954" s="13">
        <f>IF(C954=Options!$B$9,B954*Options!$Z$6,0)</f>
        <v/>
      </c>
      <c r="M954" s="13" t="n">
        <v>0</v>
      </c>
      <c r="N954" s="13">
        <f>SUM(E954:M954)</f>
        <v/>
      </c>
    </row>
    <row r="955">
      <c r="A955" s="5">
        <f>IF(AND(C955&gt;=Options!$B$9,C955&lt;=Options!$B$10),"Denver","")</f>
        <v/>
      </c>
      <c r="B955" s="5">
        <f>IF(A955="","",18)</f>
        <v/>
      </c>
      <c r="C955" s="17" t="n">
        <v>46516</v>
      </c>
      <c r="D955" s="5">
        <f>IF(A955="","",IF(C955=DATE(2026,11,29),"培训；注册午餐；早餐参数",IF(C955=DATE(2026,11,30),"培训；注册午餐",IF(C955=DATE(2026,12,1),"培训；注册午餐；机构晚餐",IF(C955=Options!$B$9,"抵达；"&amp;IF(C955=DATE(2026,11,28),"机构晚餐","无统一供餐"),IF(C955=Options!$B$10,"返程；"&amp;IF(C955=DATE(2026,12,2),"机构午餐","无统一供餐"),"差旅状态；无统一日程"))))))</f>
        <v/>
      </c>
      <c r="E955" s="13">
        <f>IF(C955=Options!$B$9,Options!$C$16,0)</f>
        <v/>
      </c>
      <c r="F955" s="13">
        <f>IF(AND(A955&lt;&gt;"",C955&lt;Options!$B$10),B955*Options!$X$6,0)</f>
        <v/>
      </c>
      <c r="G955" s="13">
        <f>F955*12%</f>
        <v/>
      </c>
      <c r="H955" s="13">
        <f>IF(A955="",0,B955*(92*IF(OR(C955=Options!$B$9,C955=Options!$B$10),75%,100%)-IF(C955=DATE(2026,11,29),26+IF(Options!$B$8="是",23,0),0)-IF(C955=DATE(2026,11,30),26,0)-IF(C955=DATE(2026,12,1),64,0)-IF(C955=DATE(2026,11,28),38,0)-IF(C955=DATE(2026,12,2),26,0)))</f>
        <v/>
      </c>
      <c r="I955" s="13">
        <f>IF(AND(C955&gt;=DATE(2026,11,29),C955&lt;=DATE(2026,12,1)),B955*60,0)</f>
        <v/>
      </c>
      <c r="J955" s="13">
        <f>IF(A955="",0,B955*(IF(C955=DATE(2026,11,28),38,0)+IF(C955=DATE(2026,12,1),38,0)+IF(C955=DATE(2026,12,2),26,0)))</f>
        <v/>
      </c>
      <c r="K955" s="13">
        <f>IF(C955=Options!$B$9,B955*12,0)</f>
        <v/>
      </c>
      <c r="L955" s="13">
        <f>IF(C955=Options!$B$9,B955*Options!$Z$6,0)</f>
        <v/>
      </c>
      <c r="M955" s="13" t="n">
        <v>0</v>
      </c>
      <c r="N955" s="13">
        <f>SUM(E955:M955)</f>
        <v/>
      </c>
    </row>
    <row r="956">
      <c r="A956" s="5">
        <f>IF(AND(C956&gt;=Options!$B$9,C956&lt;=Options!$B$10),"Denver","")</f>
        <v/>
      </c>
      <c r="B956" s="5">
        <f>IF(A956="","",18)</f>
        <v/>
      </c>
      <c r="C956" s="17" t="n">
        <v>46517</v>
      </c>
      <c r="D956" s="5">
        <f>IF(A956="","",IF(C956=DATE(2026,11,29),"培训；注册午餐；早餐参数",IF(C956=DATE(2026,11,30),"培训；注册午餐",IF(C956=DATE(2026,12,1),"培训；注册午餐；机构晚餐",IF(C956=Options!$B$9,"抵达；"&amp;IF(C956=DATE(2026,11,28),"机构晚餐","无统一供餐"),IF(C956=Options!$B$10,"返程；"&amp;IF(C956=DATE(2026,12,2),"机构午餐","无统一供餐"),"差旅状态；无统一日程"))))))</f>
        <v/>
      </c>
      <c r="E956" s="13">
        <f>IF(C956=Options!$B$9,Options!$C$16,0)</f>
        <v/>
      </c>
      <c r="F956" s="13">
        <f>IF(AND(A956&lt;&gt;"",C956&lt;Options!$B$10),B956*Options!$X$6,0)</f>
        <v/>
      </c>
      <c r="G956" s="13">
        <f>F956*12%</f>
        <v/>
      </c>
      <c r="H956" s="13">
        <f>IF(A956="",0,B956*(92*IF(OR(C956=Options!$B$9,C956=Options!$B$10),75%,100%)-IF(C956=DATE(2026,11,29),26+IF(Options!$B$8="是",23,0),0)-IF(C956=DATE(2026,11,30),26,0)-IF(C956=DATE(2026,12,1),64,0)-IF(C956=DATE(2026,11,28),38,0)-IF(C956=DATE(2026,12,2),26,0)))</f>
        <v/>
      </c>
      <c r="I956" s="13">
        <f>IF(AND(C956&gt;=DATE(2026,11,29),C956&lt;=DATE(2026,12,1)),B956*60,0)</f>
        <v/>
      </c>
      <c r="J956" s="13">
        <f>IF(A956="",0,B956*(IF(C956=DATE(2026,11,28),38,0)+IF(C956=DATE(2026,12,1),38,0)+IF(C956=DATE(2026,12,2),26,0)))</f>
        <v/>
      </c>
      <c r="K956" s="13">
        <f>IF(C956=Options!$B$9,B956*12,0)</f>
        <v/>
      </c>
      <c r="L956" s="13">
        <f>IF(C956=Options!$B$9,B956*Options!$Z$6,0)</f>
        <v/>
      </c>
      <c r="M956" s="13" t="n">
        <v>0</v>
      </c>
      <c r="N956" s="13">
        <f>SUM(E956:M956)</f>
        <v/>
      </c>
    </row>
    <row r="957">
      <c r="A957" s="5">
        <f>IF(AND(C957&gt;=Options!$B$9,C957&lt;=Options!$B$10),"Denver","")</f>
        <v/>
      </c>
      <c r="B957" s="5">
        <f>IF(A957="","",18)</f>
        <v/>
      </c>
      <c r="C957" s="17" t="n">
        <v>46518</v>
      </c>
      <c r="D957" s="5">
        <f>IF(A957="","",IF(C957=DATE(2026,11,29),"培训；注册午餐；早餐参数",IF(C957=DATE(2026,11,30),"培训；注册午餐",IF(C957=DATE(2026,12,1),"培训；注册午餐；机构晚餐",IF(C957=Options!$B$9,"抵达；"&amp;IF(C957=DATE(2026,11,28),"机构晚餐","无统一供餐"),IF(C957=Options!$B$10,"返程；"&amp;IF(C957=DATE(2026,12,2),"机构午餐","无统一供餐"),"差旅状态；无统一日程"))))))</f>
        <v/>
      </c>
      <c r="E957" s="13">
        <f>IF(C957=Options!$B$9,Options!$C$16,0)</f>
        <v/>
      </c>
      <c r="F957" s="13">
        <f>IF(AND(A957&lt;&gt;"",C957&lt;Options!$B$10),B957*Options!$X$6,0)</f>
        <v/>
      </c>
      <c r="G957" s="13">
        <f>F957*12%</f>
        <v/>
      </c>
      <c r="H957" s="13">
        <f>IF(A957="",0,B957*(92*IF(OR(C957=Options!$B$9,C957=Options!$B$10),75%,100%)-IF(C957=DATE(2026,11,29),26+IF(Options!$B$8="是",23,0),0)-IF(C957=DATE(2026,11,30),26,0)-IF(C957=DATE(2026,12,1),64,0)-IF(C957=DATE(2026,11,28),38,0)-IF(C957=DATE(2026,12,2),26,0)))</f>
        <v/>
      </c>
      <c r="I957" s="13">
        <f>IF(AND(C957&gt;=DATE(2026,11,29),C957&lt;=DATE(2026,12,1)),B957*60,0)</f>
        <v/>
      </c>
      <c r="J957" s="13">
        <f>IF(A957="",0,B957*(IF(C957=DATE(2026,11,28),38,0)+IF(C957=DATE(2026,12,1),38,0)+IF(C957=DATE(2026,12,2),26,0)))</f>
        <v/>
      </c>
      <c r="K957" s="13">
        <f>IF(C957=Options!$B$9,B957*12,0)</f>
        <v/>
      </c>
      <c r="L957" s="13">
        <f>IF(C957=Options!$B$9,B957*Options!$Z$6,0)</f>
        <v/>
      </c>
      <c r="M957" s="13" t="n">
        <v>0</v>
      </c>
      <c r="N957" s="13">
        <f>SUM(E957:M957)</f>
        <v/>
      </c>
    </row>
    <row r="958">
      <c r="A958" s="5">
        <f>IF(AND(C958&gt;=Options!$B$9,C958&lt;=Options!$B$10),"Denver","")</f>
        <v/>
      </c>
      <c r="B958" s="5">
        <f>IF(A958="","",18)</f>
        <v/>
      </c>
      <c r="C958" s="17" t="n">
        <v>46519</v>
      </c>
      <c r="D958" s="5">
        <f>IF(A958="","",IF(C958=DATE(2026,11,29),"培训；注册午餐；早餐参数",IF(C958=DATE(2026,11,30),"培训；注册午餐",IF(C958=DATE(2026,12,1),"培训；注册午餐；机构晚餐",IF(C958=Options!$B$9,"抵达；"&amp;IF(C958=DATE(2026,11,28),"机构晚餐","无统一供餐"),IF(C958=Options!$B$10,"返程；"&amp;IF(C958=DATE(2026,12,2),"机构午餐","无统一供餐"),"差旅状态；无统一日程"))))))</f>
        <v/>
      </c>
      <c r="E958" s="13">
        <f>IF(C958=Options!$B$9,Options!$C$16,0)</f>
        <v/>
      </c>
      <c r="F958" s="13">
        <f>IF(AND(A958&lt;&gt;"",C958&lt;Options!$B$10),B958*Options!$X$6,0)</f>
        <v/>
      </c>
      <c r="G958" s="13">
        <f>F958*12%</f>
        <v/>
      </c>
      <c r="H958" s="13">
        <f>IF(A958="",0,B958*(92*IF(OR(C958=Options!$B$9,C958=Options!$B$10),75%,100%)-IF(C958=DATE(2026,11,29),26+IF(Options!$B$8="是",23,0),0)-IF(C958=DATE(2026,11,30),26,0)-IF(C958=DATE(2026,12,1),64,0)-IF(C958=DATE(2026,11,28),38,0)-IF(C958=DATE(2026,12,2),26,0)))</f>
        <v/>
      </c>
      <c r="I958" s="13">
        <f>IF(AND(C958&gt;=DATE(2026,11,29),C958&lt;=DATE(2026,12,1)),B958*60,0)</f>
        <v/>
      </c>
      <c r="J958" s="13">
        <f>IF(A958="",0,B958*(IF(C958=DATE(2026,11,28),38,0)+IF(C958=DATE(2026,12,1),38,0)+IF(C958=DATE(2026,12,2),26,0)))</f>
        <v/>
      </c>
      <c r="K958" s="13">
        <f>IF(C958=Options!$B$9,B958*12,0)</f>
        <v/>
      </c>
      <c r="L958" s="13">
        <f>IF(C958=Options!$B$9,B958*Options!$Z$6,0)</f>
        <v/>
      </c>
      <c r="M958" s="13" t="n">
        <v>0</v>
      </c>
      <c r="N958" s="13">
        <f>SUM(E958:M958)</f>
        <v/>
      </c>
    </row>
    <row r="959">
      <c r="A959" s="5">
        <f>IF(AND(C959&gt;=Options!$B$9,C959&lt;=Options!$B$10),"Denver","")</f>
        <v/>
      </c>
      <c r="B959" s="5">
        <f>IF(A959="","",18)</f>
        <v/>
      </c>
      <c r="C959" s="17" t="n">
        <v>46520</v>
      </c>
      <c r="D959" s="5">
        <f>IF(A959="","",IF(C959=DATE(2026,11,29),"培训；注册午餐；早餐参数",IF(C959=DATE(2026,11,30),"培训；注册午餐",IF(C959=DATE(2026,12,1),"培训；注册午餐；机构晚餐",IF(C959=Options!$B$9,"抵达；"&amp;IF(C959=DATE(2026,11,28),"机构晚餐","无统一供餐"),IF(C959=Options!$B$10,"返程；"&amp;IF(C959=DATE(2026,12,2),"机构午餐","无统一供餐"),"差旅状态；无统一日程"))))))</f>
        <v/>
      </c>
      <c r="E959" s="13">
        <f>IF(C959=Options!$B$9,Options!$C$16,0)</f>
        <v/>
      </c>
      <c r="F959" s="13">
        <f>IF(AND(A959&lt;&gt;"",C959&lt;Options!$B$10),B959*Options!$X$6,0)</f>
        <v/>
      </c>
      <c r="G959" s="13">
        <f>F959*12%</f>
        <v/>
      </c>
      <c r="H959" s="13">
        <f>IF(A959="",0,B959*(92*IF(OR(C959=Options!$B$9,C959=Options!$B$10),75%,100%)-IF(C959=DATE(2026,11,29),26+IF(Options!$B$8="是",23,0),0)-IF(C959=DATE(2026,11,30),26,0)-IF(C959=DATE(2026,12,1),64,0)-IF(C959=DATE(2026,11,28),38,0)-IF(C959=DATE(2026,12,2),26,0)))</f>
        <v/>
      </c>
      <c r="I959" s="13">
        <f>IF(AND(C959&gt;=DATE(2026,11,29),C959&lt;=DATE(2026,12,1)),B959*60,0)</f>
        <v/>
      </c>
      <c r="J959" s="13">
        <f>IF(A959="",0,B959*(IF(C959=DATE(2026,11,28),38,0)+IF(C959=DATE(2026,12,1),38,0)+IF(C959=DATE(2026,12,2),26,0)))</f>
        <v/>
      </c>
      <c r="K959" s="13">
        <f>IF(C959=Options!$B$9,B959*12,0)</f>
        <v/>
      </c>
      <c r="L959" s="13">
        <f>IF(C959=Options!$B$9,B959*Options!$Z$6,0)</f>
        <v/>
      </c>
      <c r="M959" s="13" t="n">
        <v>0</v>
      </c>
      <c r="N959" s="13">
        <f>SUM(E959:M959)</f>
        <v/>
      </c>
    </row>
    <row r="960">
      <c r="A960" s="5">
        <f>IF(AND(C960&gt;=Options!$B$9,C960&lt;=Options!$B$10),"Denver","")</f>
        <v/>
      </c>
      <c r="B960" s="5">
        <f>IF(A960="","",18)</f>
        <v/>
      </c>
      <c r="C960" s="17" t="n">
        <v>46521</v>
      </c>
      <c r="D960" s="5">
        <f>IF(A960="","",IF(C960=DATE(2026,11,29),"培训；注册午餐；早餐参数",IF(C960=DATE(2026,11,30),"培训；注册午餐",IF(C960=DATE(2026,12,1),"培训；注册午餐；机构晚餐",IF(C960=Options!$B$9,"抵达；"&amp;IF(C960=DATE(2026,11,28),"机构晚餐","无统一供餐"),IF(C960=Options!$B$10,"返程；"&amp;IF(C960=DATE(2026,12,2),"机构午餐","无统一供餐"),"差旅状态；无统一日程"))))))</f>
        <v/>
      </c>
      <c r="E960" s="13">
        <f>IF(C960=Options!$B$9,Options!$C$16,0)</f>
        <v/>
      </c>
      <c r="F960" s="13">
        <f>IF(AND(A960&lt;&gt;"",C960&lt;Options!$B$10),B960*Options!$X$6,0)</f>
        <v/>
      </c>
      <c r="G960" s="13">
        <f>F960*12%</f>
        <v/>
      </c>
      <c r="H960" s="13">
        <f>IF(A960="",0,B960*(92*IF(OR(C960=Options!$B$9,C960=Options!$B$10),75%,100%)-IF(C960=DATE(2026,11,29),26+IF(Options!$B$8="是",23,0),0)-IF(C960=DATE(2026,11,30),26,0)-IF(C960=DATE(2026,12,1),64,0)-IF(C960=DATE(2026,11,28),38,0)-IF(C960=DATE(2026,12,2),26,0)))</f>
        <v/>
      </c>
      <c r="I960" s="13">
        <f>IF(AND(C960&gt;=DATE(2026,11,29),C960&lt;=DATE(2026,12,1)),B960*60,0)</f>
        <v/>
      </c>
      <c r="J960" s="13">
        <f>IF(A960="",0,B960*(IF(C960=DATE(2026,11,28),38,0)+IF(C960=DATE(2026,12,1),38,0)+IF(C960=DATE(2026,12,2),26,0)))</f>
        <v/>
      </c>
      <c r="K960" s="13">
        <f>IF(C960=Options!$B$9,B960*12,0)</f>
        <v/>
      </c>
      <c r="L960" s="13">
        <f>IF(C960=Options!$B$9,B960*Options!$Z$6,0)</f>
        <v/>
      </c>
      <c r="M960" s="13" t="n">
        <v>0</v>
      </c>
      <c r="N960" s="13">
        <f>SUM(E960:M960)</f>
        <v/>
      </c>
    </row>
    <row r="961">
      <c r="A961" s="5">
        <f>IF(AND(C961&gt;=Options!$B$9,C961&lt;=Options!$B$10),"Denver","")</f>
        <v/>
      </c>
      <c r="B961" s="5">
        <f>IF(A961="","",18)</f>
        <v/>
      </c>
      <c r="C961" s="17" t="n">
        <v>46522</v>
      </c>
      <c r="D961" s="5">
        <f>IF(A961="","",IF(C961=DATE(2026,11,29),"培训；注册午餐；早餐参数",IF(C961=DATE(2026,11,30),"培训；注册午餐",IF(C961=DATE(2026,12,1),"培训；注册午餐；机构晚餐",IF(C961=Options!$B$9,"抵达；"&amp;IF(C961=DATE(2026,11,28),"机构晚餐","无统一供餐"),IF(C961=Options!$B$10,"返程；"&amp;IF(C961=DATE(2026,12,2),"机构午餐","无统一供餐"),"差旅状态；无统一日程"))))))</f>
        <v/>
      </c>
      <c r="E961" s="13">
        <f>IF(C961=Options!$B$9,Options!$C$16,0)</f>
        <v/>
      </c>
      <c r="F961" s="13">
        <f>IF(AND(A961&lt;&gt;"",C961&lt;Options!$B$10),B961*Options!$X$6,0)</f>
        <v/>
      </c>
      <c r="G961" s="13">
        <f>F961*12%</f>
        <v/>
      </c>
      <c r="H961" s="13">
        <f>IF(A961="",0,B961*(92*IF(OR(C961=Options!$B$9,C961=Options!$B$10),75%,100%)-IF(C961=DATE(2026,11,29),26+IF(Options!$B$8="是",23,0),0)-IF(C961=DATE(2026,11,30),26,0)-IF(C961=DATE(2026,12,1),64,0)-IF(C961=DATE(2026,11,28),38,0)-IF(C961=DATE(2026,12,2),26,0)))</f>
        <v/>
      </c>
      <c r="I961" s="13">
        <f>IF(AND(C961&gt;=DATE(2026,11,29),C961&lt;=DATE(2026,12,1)),B961*60,0)</f>
        <v/>
      </c>
      <c r="J961" s="13">
        <f>IF(A961="",0,B961*(IF(C961=DATE(2026,11,28),38,0)+IF(C961=DATE(2026,12,1),38,0)+IF(C961=DATE(2026,12,2),26,0)))</f>
        <v/>
      </c>
      <c r="K961" s="13">
        <f>IF(C961=Options!$B$9,B961*12,0)</f>
        <v/>
      </c>
      <c r="L961" s="13">
        <f>IF(C961=Options!$B$9,B961*Options!$Z$6,0)</f>
        <v/>
      </c>
      <c r="M961" s="13" t="n">
        <v>0</v>
      </c>
      <c r="N961" s="13">
        <f>SUM(E961:M961)</f>
        <v/>
      </c>
    </row>
    <row r="962">
      <c r="A962" s="5">
        <f>IF(AND(C962&gt;=Options!$B$9,C962&lt;=Options!$B$10),"Denver","")</f>
        <v/>
      </c>
      <c r="B962" s="5">
        <f>IF(A962="","",18)</f>
        <v/>
      </c>
      <c r="C962" s="17" t="n">
        <v>46523</v>
      </c>
      <c r="D962" s="5">
        <f>IF(A962="","",IF(C962=DATE(2026,11,29),"培训；注册午餐；早餐参数",IF(C962=DATE(2026,11,30),"培训；注册午餐",IF(C962=DATE(2026,12,1),"培训；注册午餐；机构晚餐",IF(C962=Options!$B$9,"抵达；"&amp;IF(C962=DATE(2026,11,28),"机构晚餐","无统一供餐"),IF(C962=Options!$B$10,"返程；"&amp;IF(C962=DATE(2026,12,2),"机构午餐","无统一供餐"),"差旅状态；无统一日程"))))))</f>
        <v/>
      </c>
      <c r="E962" s="13">
        <f>IF(C962=Options!$B$9,Options!$C$16,0)</f>
        <v/>
      </c>
      <c r="F962" s="13">
        <f>IF(AND(A962&lt;&gt;"",C962&lt;Options!$B$10),B962*Options!$X$6,0)</f>
        <v/>
      </c>
      <c r="G962" s="13">
        <f>F962*12%</f>
        <v/>
      </c>
      <c r="H962" s="13">
        <f>IF(A962="",0,B962*(92*IF(OR(C962=Options!$B$9,C962=Options!$B$10),75%,100%)-IF(C962=DATE(2026,11,29),26+IF(Options!$B$8="是",23,0),0)-IF(C962=DATE(2026,11,30),26,0)-IF(C962=DATE(2026,12,1),64,0)-IF(C962=DATE(2026,11,28),38,0)-IF(C962=DATE(2026,12,2),26,0)))</f>
        <v/>
      </c>
      <c r="I962" s="13">
        <f>IF(AND(C962&gt;=DATE(2026,11,29),C962&lt;=DATE(2026,12,1)),B962*60,0)</f>
        <v/>
      </c>
      <c r="J962" s="13">
        <f>IF(A962="",0,B962*(IF(C962=DATE(2026,11,28),38,0)+IF(C962=DATE(2026,12,1),38,0)+IF(C962=DATE(2026,12,2),26,0)))</f>
        <v/>
      </c>
      <c r="K962" s="13">
        <f>IF(C962=Options!$B$9,B962*12,0)</f>
        <v/>
      </c>
      <c r="L962" s="13">
        <f>IF(C962=Options!$B$9,B962*Options!$Z$6,0)</f>
        <v/>
      </c>
      <c r="M962" s="13" t="n">
        <v>0</v>
      </c>
      <c r="N962" s="13">
        <f>SUM(E962:M962)</f>
        <v/>
      </c>
    </row>
    <row r="963">
      <c r="A963" s="5">
        <f>IF(AND(C963&gt;=Options!$B$9,C963&lt;=Options!$B$10),"Denver","")</f>
        <v/>
      </c>
      <c r="B963" s="5">
        <f>IF(A963="","",18)</f>
        <v/>
      </c>
      <c r="C963" s="17" t="n">
        <v>46524</v>
      </c>
      <c r="D963" s="5">
        <f>IF(A963="","",IF(C963=DATE(2026,11,29),"培训；注册午餐；早餐参数",IF(C963=DATE(2026,11,30),"培训；注册午餐",IF(C963=DATE(2026,12,1),"培训；注册午餐；机构晚餐",IF(C963=Options!$B$9,"抵达；"&amp;IF(C963=DATE(2026,11,28),"机构晚餐","无统一供餐"),IF(C963=Options!$B$10,"返程；"&amp;IF(C963=DATE(2026,12,2),"机构午餐","无统一供餐"),"差旅状态；无统一日程"))))))</f>
        <v/>
      </c>
      <c r="E963" s="13">
        <f>IF(C963=Options!$B$9,Options!$C$16,0)</f>
        <v/>
      </c>
      <c r="F963" s="13">
        <f>IF(AND(A963&lt;&gt;"",C963&lt;Options!$B$10),B963*Options!$X$6,0)</f>
        <v/>
      </c>
      <c r="G963" s="13">
        <f>F963*12%</f>
        <v/>
      </c>
      <c r="H963" s="13">
        <f>IF(A963="",0,B963*(92*IF(OR(C963=Options!$B$9,C963=Options!$B$10),75%,100%)-IF(C963=DATE(2026,11,29),26+IF(Options!$B$8="是",23,0),0)-IF(C963=DATE(2026,11,30),26,0)-IF(C963=DATE(2026,12,1),64,0)-IF(C963=DATE(2026,11,28),38,0)-IF(C963=DATE(2026,12,2),26,0)))</f>
        <v/>
      </c>
      <c r="I963" s="13">
        <f>IF(AND(C963&gt;=DATE(2026,11,29),C963&lt;=DATE(2026,12,1)),B963*60,0)</f>
        <v/>
      </c>
      <c r="J963" s="13">
        <f>IF(A963="",0,B963*(IF(C963=DATE(2026,11,28),38,0)+IF(C963=DATE(2026,12,1),38,0)+IF(C963=DATE(2026,12,2),26,0)))</f>
        <v/>
      </c>
      <c r="K963" s="13">
        <f>IF(C963=Options!$B$9,B963*12,0)</f>
        <v/>
      </c>
      <c r="L963" s="13">
        <f>IF(C963=Options!$B$9,B963*Options!$Z$6,0)</f>
        <v/>
      </c>
      <c r="M963" s="13" t="n">
        <v>0</v>
      </c>
      <c r="N963" s="13">
        <f>SUM(E963:M963)</f>
        <v/>
      </c>
    </row>
    <row r="964">
      <c r="A964" s="5">
        <f>IF(AND(C964&gt;=Options!$B$9,C964&lt;=Options!$B$10),"Denver","")</f>
        <v/>
      </c>
      <c r="B964" s="5">
        <f>IF(A964="","",18)</f>
        <v/>
      </c>
      <c r="C964" s="17" t="n">
        <v>46525</v>
      </c>
      <c r="D964" s="5">
        <f>IF(A964="","",IF(C964=DATE(2026,11,29),"培训；注册午餐；早餐参数",IF(C964=DATE(2026,11,30),"培训；注册午餐",IF(C964=DATE(2026,12,1),"培训；注册午餐；机构晚餐",IF(C964=Options!$B$9,"抵达；"&amp;IF(C964=DATE(2026,11,28),"机构晚餐","无统一供餐"),IF(C964=Options!$B$10,"返程；"&amp;IF(C964=DATE(2026,12,2),"机构午餐","无统一供餐"),"差旅状态；无统一日程"))))))</f>
        <v/>
      </c>
      <c r="E964" s="13">
        <f>IF(C964=Options!$B$9,Options!$C$16,0)</f>
        <v/>
      </c>
      <c r="F964" s="13">
        <f>IF(AND(A964&lt;&gt;"",C964&lt;Options!$B$10),B964*Options!$X$6,0)</f>
        <v/>
      </c>
      <c r="G964" s="13">
        <f>F964*12%</f>
        <v/>
      </c>
      <c r="H964" s="13">
        <f>IF(A964="",0,B964*(92*IF(OR(C964=Options!$B$9,C964=Options!$B$10),75%,100%)-IF(C964=DATE(2026,11,29),26+IF(Options!$B$8="是",23,0),0)-IF(C964=DATE(2026,11,30),26,0)-IF(C964=DATE(2026,12,1),64,0)-IF(C964=DATE(2026,11,28),38,0)-IF(C964=DATE(2026,12,2),26,0)))</f>
        <v/>
      </c>
      <c r="I964" s="13">
        <f>IF(AND(C964&gt;=DATE(2026,11,29),C964&lt;=DATE(2026,12,1)),B964*60,0)</f>
        <v/>
      </c>
      <c r="J964" s="13">
        <f>IF(A964="",0,B964*(IF(C964=DATE(2026,11,28),38,0)+IF(C964=DATE(2026,12,1),38,0)+IF(C964=DATE(2026,12,2),26,0)))</f>
        <v/>
      </c>
      <c r="K964" s="13">
        <f>IF(C964=Options!$B$9,B964*12,0)</f>
        <v/>
      </c>
      <c r="L964" s="13">
        <f>IF(C964=Options!$B$9,B964*Options!$Z$6,0)</f>
        <v/>
      </c>
      <c r="M964" s="13" t="n">
        <v>0</v>
      </c>
      <c r="N964" s="13">
        <f>SUM(E964:M964)</f>
        <v/>
      </c>
    </row>
    <row r="965">
      <c r="A965" s="5">
        <f>IF(AND(C965&gt;=Options!$B$9,C965&lt;=Options!$B$10),"Denver","")</f>
        <v/>
      </c>
      <c r="B965" s="5">
        <f>IF(A965="","",18)</f>
        <v/>
      </c>
      <c r="C965" s="17" t="n">
        <v>46526</v>
      </c>
      <c r="D965" s="5">
        <f>IF(A965="","",IF(C965=DATE(2026,11,29),"培训；注册午餐；早餐参数",IF(C965=DATE(2026,11,30),"培训；注册午餐",IF(C965=DATE(2026,12,1),"培训；注册午餐；机构晚餐",IF(C965=Options!$B$9,"抵达；"&amp;IF(C965=DATE(2026,11,28),"机构晚餐","无统一供餐"),IF(C965=Options!$B$10,"返程；"&amp;IF(C965=DATE(2026,12,2),"机构午餐","无统一供餐"),"差旅状态；无统一日程"))))))</f>
        <v/>
      </c>
      <c r="E965" s="13">
        <f>IF(C965=Options!$B$9,Options!$C$16,0)</f>
        <v/>
      </c>
      <c r="F965" s="13">
        <f>IF(AND(A965&lt;&gt;"",C965&lt;Options!$B$10),B965*Options!$X$6,0)</f>
        <v/>
      </c>
      <c r="G965" s="13">
        <f>F965*12%</f>
        <v/>
      </c>
      <c r="H965" s="13">
        <f>IF(A965="",0,B965*(92*IF(OR(C965=Options!$B$9,C965=Options!$B$10),75%,100%)-IF(C965=DATE(2026,11,29),26+IF(Options!$B$8="是",23,0),0)-IF(C965=DATE(2026,11,30),26,0)-IF(C965=DATE(2026,12,1),64,0)-IF(C965=DATE(2026,11,28),38,0)-IF(C965=DATE(2026,12,2),26,0)))</f>
        <v/>
      </c>
      <c r="I965" s="13">
        <f>IF(AND(C965&gt;=DATE(2026,11,29),C965&lt;=DATE(2026,12,1)),B965*60,0)</f>
        <v/>
      </c>
      <c r="J965" s="13">
        <f>IF(A965="",0,B965*(IF(C965=DATE(2026,11,28),38,0)+IF(C965=DATE(2026,12,1),38,0)+IF(C965=DATE(2026,12,2),26,0)))</f>
        <v/>
      </c>
      <c r="K965" s="13">
        <f>IF(C965=Options!$B$9,B965*12,0)</f>
        <v/>
      </c>
      <c r="L965" s="13">
        <f>IF(C965=Options!$B$9,B965*Options!$Z$6,0)</f>
        <v/>
      </c>
      <c r="M965" s="13" t="n">
        <v>0</v>
      </c>
      <c r="N965" s="13">
        <f>SUM(E965:M965)</f>
        <v/>
      </c>
    </row>
    <row r="966">
      <c r="A966" s="5">
        <f>IF(AND(C966&gt;=Options!$B$9,C966&lt;=Options!$B$10),"Denver","")</f>
        <v/>
      </c>
      <c r="B966" s="5">
        <f>IF(A966="","",18)</f>
        <v/>
      </c>
      <c r="C966" s="17" t="n">
        <v>46527</v>
      </c>
      <c r="D966" s="5">
        <f>IF(A966="","",IF(C966=DATE(2026,11,29),"培训；注册午餐；早餐参数",IF(C966=DATE(2026,11,30),"培训；注册午餐",IF(C966=DATE(2026,12,1),"培训；注册午餐；机构晚餐",IF(C966=Options!$B$9,"抵达；"&amp;IF(C966=DATE(2026,11,28),"机构晚餐","无统一供餐"),IF(C966=Options!$B$10,"返程；"&amp;IF(C966=DATE(2026,12,2),"机构午餐","无统一供餐"),"差旅状态；无统一日程"))))))</f>
        <v/>
      </c>
      <c r="E966" s="13">
        <f>IF(C966=Options!$B$9,Options!$C$16,0)</f>
        <v/>
      </c>
      <c r="F966" s="13">
        <f>IF(AND(A966&lt;&gt;"",C966&lt;Options!$B$10),B966*Options!$X$6,0)</f>
        <v/>
      </c>
      <c r="G966" s="13">
        <f>F966*12%</f>
        <v/>
      </c>
      <c r="H966" s="13">
        <f>IF(A966="",0,B966*(92*IF(OR(C966=Options!$B$9,C966=Options!$B$10),75%,100%)-IF(C966=DATE(2026,11,29),26+IF(Options!$B$8="是",23,0),0)-IF(C966=DATE(2026,11,30),26,0)-IF(C966=DATE(2026,12,1),64,0)-IF(C966=DATE(2026,11,28),38,0)-IF(C966=DATE(2026,12,2),26,0)))</f>
        <v/>
      </c>
      <c r="I966" s="13">
        <f>IF(AND(C966&gt;=DATE(2026,11,29),C966&lt;=DATE(2026,12,1)),B966*60,0)</f>
        <v/>
      </c>
      <c r="J966" s="13">
        <f>IF(A966="",0,B966*(IF(C966=DATE(2026,11,28),38,0)+IF(C966=DATE(2026,12,1),38,0)+IF(C966=DATE(2026,12,2),26,0)))</f>
        <v/>
      </c>
      <c r="K966" s="13">
        <f>IF(C966=Options!$B$9,B966*12,0)</f>
        <v/>
      </c>
      <c r="L966" s="13">
        <f>IF(C966=Options!$B$9,B966*Options!$Z$6,0)</f>
        <v/>
      </c>
      <c r="M966" s="13" t="n">
        <v>0</v>
      </c>
      <c r="N966" s="13">
        <f>SUM(E966:M966)</f>
        <v/>
      </c>
    </row>
    <row r="967">
      <c r="A967" s="5">
        <f>IF(AND(C967&gt;=Options!$B$9,C967&lt;=Options!$B$10),"Denver","")</f>
        <v/>
      </c>
      <c r="B967" s="5">
        <f>IF(A967="","",18)</f>
        <v/>
      </c>
      <c r="C967" s="17" t="n">
        <v>46528</v>
      </c>
      <c r="D967" s="5">
        <f>IF(A967="","",IF(C967=DATE(2026,11,29),"培训；注册午餐；早餐参数",IF(C967=DATE(2026,11,30),"培训；注册午餐",IF(C967=DATE(2026,12,1),"培训；注册午餐；机构晚餐",IF(C967=Options!$B$9,"抵达；"&amp;IF(C967=DATE(2026,11,28),"机构晚餐","无统一供餐"),IF(C967=Options!$B$10,"返程；"&amp;IF(C967=DATE(2026,12,2),"机构午餐","无统一供餐"),"差旅状态；无统一日程"))))))</f>
        <v/>
      </c>
      <c r="E967" s="13">
        <f>IF(C967=Options!$B$9,Options!$C$16,0)</f>
        <v/>
      </c>
      <c r="F967" s="13">
        <f>IF(AND(A967&lt;&gt;"",C967&lt;Options!$B$10),B967*Options!$X$6,0)</f>
        <v/>
      </c>
      <c r="G967" s="13">
        <f>F967*12%</f>
        <v/>
      </c>
      <c r="H967" s="13">
        <f>IF(A967="",0,B967*(92*IF(OR(C967=Options!$B$9,C967=Options!$B$10),75%,100%)-IF(C967=DATE(2026,11,29),26+IF(Options!$B$8="是",23,0),0)-IF(C967=DATE(2026,11,30),26,0)-IF(C967=DATE(2026,12,1),64,0)-IF(C967=DATE(2026,11,28),38,0)-IF(C967=DATE(2026,12,2),26,0)))</f>
        <v/>
      </c>
      <c r="I967" s="13">
        <f>IF(AND(C967&gt;=DATE(2026,11,29),C967&lt;=DATE(2026,12,1)),B967*60,0)</f>
        <v/>
      </c>
      <c r="J967" s="13">
        <f>IF(A967="",0,B967*(IF(C967=DATE(2026,11,28),38,0)+IF(C967=DATE(2026,12,1),38,0)+IF(C967=DATE(2026,12,2),26,0)))</f>
        <v/>
      </c>
      <c r="K967" s="13">
        <f>IF(C967=Options!$B$9,B967*12,0)</f>
        <v/>
      </c>
      <c r="L967" s="13">
        <f>IF(C967=Options!$B$9,B967*Options!$Z$6,0)</f>
        <v/>
      </c>
      <c r="M967" s="13" t="n">
        <v>0</v>
      </c>
      <c r="N967" s="13">
        <f>SUM(E967:M967)</f>
        <v/>
      </c>
    </row>
    <row r="968">
      <c r="A968" s="5">
        <f>IF(AND(C968&gt;=Options!$B$9,C968&lt;=Options!$B$10),"Denver","")</f>
        <v/>
      </c>
      <c r="B968" s="5">
        <f>IF(A968="","",18)</f>
        <v/>
      </c>
      <c r="C968" s="17" t="n">
        <v>46529</v>
      </c>
      <c r="D968" s="5">
        <f>IF(A968="","",IF(C968=DATE(2026,11,29),"培训；注册午餐；早餐参数",IF(C968=DATE(2026,11,30),"培训；注册午餐",IF(C968=DATE(2026,12,1),"培训；注册午餐；机构晚餐",IF(C968=Options!$B$9,"抵达；"&amp;IF(C968=DATE(2026,11,28),"机构晚餐","无统一供餐"),IF(C968=Options!$B$10,"返程；"&amp;IF(C968=DATE(2026,12,2),"机构午餐","无统一供餐"),"差旅状态；无统一日程"))))))</f>
        <v/>
      </c>
      <c r="E968" s="13">
        <f>IF(C968=Options!$B$9,Options!$C$16,0)</f>
        <v/>
      </c>
      <c r="F968" s="13">
        <f>IF(AND(A968&lt;&gt;"",C968&lt;Options!$B$10),B968*Options!$X$6,0)</f>
        <v/>
      </c>
      <c r="G968" s="13">
        <f>F968*12%</f>
        <v/>
      </c>
      <c r="H968" s="13">
        <f>IF(A968="",0,B968*(92*IF(OR(C968=Options!$B$9,C968=Options!$B$10),75%,100%)-IF(C968=DATE(2026,11,29),26+IF(Options!$B$8="是",23,0),0)-IF(C968=DATE(2026,11,30),26,0)-IF(C968=DATE(2026,12,1),64,0)-IF(C968=DATE(2026,11,28),38,0)-IF(C968=DATE(2026,12,2),26,0)))</f>
        <v/>
      </c>
      <c r="I968" s="13">
        <f>IF(AND(C968&gt;=DATE(2026,11,29),C968&lt;=DATE(2026,12,1)),B968*60,0)</f>
        <v/>
      </c>
      <c r="J968" s="13">
        <f>IF(A968="",0,B968*(IF(C968=DATE(2026,11,28),38,0)+IF(C968=DATE(2026,12,1),38,0)+IF(C968=DATE(2026,12,2),26,0)))</f>
        <v/>
      </c>
      <c r="K968" s="13">
        <f>IF(C968=Options!$B$9,B968*12,0)</f>
        <v/>
      </c>
      <c r="L968" s="13">
        <f>IF(C968=Options!$B$9,B968*Options!$Z$6,0)</f>
        <v/>
      </c>
      <c r="M968" s="13" t="n">
        <v>0</v>
      </c>
      <c r="N968" s="13">
        <f>SUM(E968:M968)</f>
        <v/>
      </c>
    </row>
    <row r="969">
      <c r="A969" s="5">
        <f>IF(AND(C969&gt;=Options!$B$9,C969&lt;=Options!$B$10),"Denver","")</f>
        <v/>
      </c>
      <c r="B969" s="5">
        <f>IF(A969="","",18)</f>
        <v/>
      </c>
      <c r="C969" s="17" t="n">
        <v>46530</v>
      </c>
      <c r="D969" s="5">
        <f>IF(A969="","",IF(C969=DATE(2026,11,29),"培训；注册午餐；早餐参数",IF(C969=DATE(2026,11,30),"培训；注册午餐",IF(C969=DATE(2026,12,1),"培训；注册午餐；机构晚餐",IF(C969=Options!$B$9,"抵达；"&amp;IF(C969=DATE(2026,11,28),"机构晚餐","无统一供餐"),IF(C969=Options!$B$10,"返程；"&amp;IF(C969=DATE(2026,12,2),"机构午餐","无统一供餐"),"差旅状态；无统一日程"))))))</f>
        <v/>
      </c>
      <c r="E969" s="13">
        <f>IF(C969=Options!$B$9,Options!$C$16,0)</f>
        <v/>
      </c>
      <c r="F969" s="13">
        <f>IF(AND(A969&lt;&gt;"",C969&lt;Options!$B$10),B969*Options!$X$6,0)</f>
        <v/>
      </c>
      <c r="G969" s="13">
        <f>F969*12%</f>
        <v/>
      </c>
      <c r="H969" s="13">
        <f>IF(A969="",0,B969*(92*IF(OR(C969=Options!$B$9,C969=Options!$B$10),75%,100%)-IF(C969=DATE(2026,11,29),26+IF(Options!$B$8="是",23,0),0)-IF(C969=DATE(2026,11,30),26,0)-IF(C969=DATE(2026,12,1),64,0)-IF(C969=DATE(2026,11,28),38,0)-IF(C969=DATE(2026,12,2),26,0)))</f>
        <v/>
      </c>
      <c r="I969" s="13">
        <f>IF(AND(C969&gt;=DATE(2026,11,29),C969&lt;=DATE(2026,12,1)),B969*60,0)</f>
        <v/>
      </c>
      <c r="J969" s="13">
        <f>IF(A969="",0,B969*(IF(C969=DATE(2026,11,28),38,0)+IF(C969=DATE(2026,12,1),38,0)+IF(C969=DATE(2026,12,2),26,0)))</f>
        <v/>
      </c>
      <c r="K969" s="13">
        <f>IF(C969=Options!$B$9,B969*12,0)</f>
        <v/>
      </c>
      <c r="L969" s="13">
        <f>IF(C969=Options!$B$9,B969*Options!$Z$6,0)</f>
        <v/>
      </c>
      <c r="M969" s="13" t="n">
        <v>0</v>
      </c>
      <c r="N969" s="13">
        <f>SUM(E969:M969)</f>
        <v/>
      </c>
    </row>
    <row r="970">
      <c r="A970" s="5">
        <f>IF(AND(C970&gt;=Options!$B$9,C970&lt;=Options!$B$10),"Denver","")</f>
        <v/>
      </c>
      <c r="B970" s="5">
        <f>IF(A970="","",18)</f>
        <v/>
      </c>
      <c r="C970" s="17" t="n">
        <v>46531</v>
      </c>
      <c r="D970" s="5">
        <f>IF(A970="","",IF(C970=DATE(2026,11,29),"培训；注册午餐；早餐参数",IF(C970=DATE(2026,11,30),"培训；注册午餐",IF(C970=DATE(2026,12,1),"培训；注册午餐；机构晚餐",IF(C970=Options!$B$9,"抵达；"&amp;IF(C970=DATE(2026,11,28),"机构晚餐","无统一供餐"),IF(C970=Options!$B$10,"返程；"&amp;IF(C970=DATE(2026,12,2),"机构午餐","无统一供餐"),"差旅状态；无统一日程"))))))</f>
        <v/>
      </c>
      <c r="E970" s="13">
        <f>IF(C970=Options!$B$9,Options!$C$16,0)</f>
        <v/>
      </c>
      <c r="F970" s="13">
        <f>IF(AND(A970&lt;&gt;"",C970&lt;Options!$B$10),B970*Options!$X$6,0)</f>
        <v/>
      </c>
      <c r="G970" s="13">
        <f>F970*12%</f>
        <v/>
      </c>
      <c r="H970" s="13">
        <f>IF(A970="",0,B970*(92*IF(OR(C970=Options!$B$9,C970=Options!$B$10),75%,100%)-IF(C970=DATE(2026,11,29),26+IF(Options!$B$8="是",23,0),0)-IF(C970=DATE(2026,11,30),26,0)-IF(C970=DATE(2026,12,1),64,0)-IF(C970=DATE(2026,11,28),38,0)-IF(C970=DATE(2026,12,2),26,0)))</f>
        <v/>
      </c>
      <c r="I970" s="13">
        <f>IF(AND(C970&gt;=DATE(2026,11,29),C970&lt;=DATE(2026,12,1)),B970*60,0)</f>
        <v/>
      </c>
      <c r="J970" s="13">
        <f>IF(A970="",0,B970*(IF(C970=DATE(2026,11,28),38,0)+IF(C970=DATE(2026,12,1),38,0)+IF(C970=DATE(2026,12,2),26,0)))</f>
        <v/>
      </c>
      <c r="K970" s="13">
        <f>IF(C970=Options!$B$9,B970*12,0)</f>
        <v/>
      </c>
      <c r="L970" s="13">
        <f>IF(C970=Options!$B$9,B970*Options!$Z$6,0)</f>
        <v/>
      </c>
      <c r="M970" s="13" t="n">
        <v>0</v>
      </c>
      <c r="N970" s="13">
        <f>SUM(E970:M970)</f>
        <v/>
      </c>
    </row>
    <row r="971">
      <c r="A971" s="5">
        <f>IF(AND(C971&gt;=Options!$B$9,C971&lt;=Options!$B$10),"Denver","")</f>
        <v/>
      </c>
      <c r="B971" s="5">
        <f>IF(A971="","",18)</f>
        <v/>
      </c>
      <c r="C971" s="17" t="n">
        <v>46532</v>
      </c>
      <c r="D971" s="5">
        <f>IF(A971="","",IF(C971=DATE(2026,11,29),"培训；注册午餐；早餐参数",IF(C971=DATE(2026,11,30),"培训；注册午餐",IF(C971=DATE(2026,12,1),"培训；注册午餐；机构晚餐",IF(C971=Options!$B$9,"抵达；"&amp;IF(C971=DATE(2026,11,28),"机构晚餐","无统一供餐"),IF(C971=Options!$B$10,"返程；"&amp;IF(C971=DATE(2026,12,2),"机构午餐","无统一供餐"),"差旅状态；无统一日程"))))))</f>
        <v/>
      </c>
      <c r="E971" s="13">
        <f>IF(C971=Options!$B$9,Options!$C$16,0)</f>
        <v/>
      </c>
      <c r="F971" s="13">
        <f>IF(AND(A971&lt;&gt;"",C971&lt;Options!$B$10),B971*Options!$X$6,0)</f>
        <v/>
      </c>
      <c r="G971" s="13">
        <f>F971*12%</f>
        <v/>
      </c>
      <c r="H971" s="13">
        <f>IF(A971="",0,B971*(92*IF(OR(C971=Options!$B$9,C971=Options!$B$10),75%,100%)-IF(C971=DATE(2026,11,29),26+IF(Options!$B$8="是",23,0),0)-IF(C971=DATE(2026,11,30),26,0)-IF(C971=DATE(2026,12,1),64,0)-IF(C971=DATE(2026,11,28),38,0)-IF(C971=DATE(2026,12,2),26,0)))</f>
        <v/>
      </c>
      <c r="I971" s="13">
        <f>IF(AND(C971&gt;=DATE(2026,11,29),C971&lt;=DATE(2026,12,1)),B971*60,0)</f>
        <v/>
      </c>
      <c r="J971" s="13">
        <f>IF(A971="",0,B971*(IF(C971=DATE(2026,11,28),38,0)+IF(C971=DATE(2026,12,1),38,0)+IF(C971=DATE(2026,12,2),26,0)))</f>
        <v/>
      </c>
      <c r="K971" s="13">
        <f>IF(C971=Options!$B$9,B971*12,0)</f>
        <v/>
      </c>
      <c r="L971" s="13">
        <f>IF(C971=Options!$B$9,B971*Options!$Z$6,0)</f>
        <v/>
      </c>
      <c r="M971" s="13" t="n">
        <v>0</v>
      </c>
      <c r="N971" s="13">
        <f>SUM(E971:M971)</f>
        <v/>
      </c>
    </row>
    <row r="972">
      <c r="A972" s="5">
        <f>IF(AND(C972&gt;=Options!$B$9,C972&lt;=Options!$B$10),"Denver","")</f>
        <v/>
      </c>
      <c r="B972" s="5">
        <f>IF(A972="","",18)</f>
        <v/>
      </c>
      <c r="C972" s="17" t="n">
        <v>46533</v>
      </c>
      <c r="D972" s="5">
        <f>IF(A972="","",IF(C972=DATE(2026,11,29),"培训；注册午餐；早餐参数",IF(C972=DATE(2026,11,30),"培训；注册午餐",IF(C972=DATE(2026,12,1),"培训；注册午餐；机构晚餐",IF(C972=Options!$B$9,"抵达；"&amp;IF(C972=DATE(2026,11,28),"机构晚餐","无统一供餐"),IF(C972=Options!$B$10,"返程；"&amp;IF(C972=DATE(2026,12,2),"机构午餐","无统一供餐"),"差旅状态；无统一日程"))))))</f>
        <v/>
      </c>
      <c r="E972" s="13">
        <f>IF(C972=Options!$B$9,Options!$C$16,0)</f>
        <v/>
      </c>
      <c r="F972" s="13">
        <f>IF(AND(A972&lt;&gt;"",C972&lt;Options!$B$10),B972*Options!$X$6,0)</f>
        <v/>
      </c>
      <c r="G972" s="13">
        <f>F972*12%</f>
        <v/>
      </c>
      <c r="H972" s="13">
        <f>IF(A972="",0,B972*(92*IF(OR(C972=Options!$B$9,C972=Options!$B$10),75%,100%)-IF(C972=DATE(2026,11,29),26+IF(Options!$B$8="是",23,0),0)-IF(C972=DATE(2026,11,30),26,0)-IF(C972=DATE(2026,12,1),64,0)-IF(C972=DATE(2026,11,28),38,0)-IF(C972=DATE(2026,12,2),26,0)))</f>
        <v/>
      </c>
      <c r="I972" s="13">
        <f>IF(AND(C972&gt;=DATE(2026,11,29),C972&lt;=DATE(2026,12,1)),B972*60,0)</f>
        <v/>
      </c>
      <c r="J972" s="13">
        <f>IF(A972="",0,B972*(IF(C972=DATE(2026,11,28),38,0)+IF(C972=DATE(2026,12,1),38,0)+IF(C972=DATE(2026,12,2),26,0)))</f>
        <v/>
      </c>
      <c r="K972" s="13">
        <f>IF(C972=Options!$B$9,B972*12,0)</f>
        <v/>
      </c>
      <c r="L972" s="13">
        <f>IF(C972=Options!$B$9,B972*Options!$Z$6,0)</f>
        <v/>
      </c>
      <c r="M972" s="13" t="n">
        <v>0</v>
      </c>
      <c r="N972" s="13">
        <f>SUM(E972:M972)</f>
        <v/>
      </c>
    </row>
    <row r="973">
      <c r="A973" s="5">
        <f>IF(AND(C973&gt;=Options!$B$9,C973&lt;=Options!$B$10),"Denver","")</f>
        <v/>
      </c>
      <c r="B973" s="5">
        <f>IF(A973="","",18)</f>
        <v/>
      </c>
      <c r="C973" s="17" t="n">
        <v>46534</v>
      </c>
      <c r="D973" s="5">
        <f>IF(A973="","",IF(C973=DATE(2026,11,29),"培训；注册午餐；早餐参数",IF(C973=DATE(2026,11,30),"培训；注册午餐",IF(C973=DATE(2026,12,1),"培训；注册午餐；机构晚餐",IF(C973=Options!$B$9,"抵达；"&amp;IF(C973=DATE(2026,11,28),"机构晚餐","无统一供餐"),IF(C973=Options!$B$10,"返程；"&amp;IF(C973=DATE(2026,12,2),"机构午餐","无统一供餐"),"差旅状态；无统一日程"))))))</f>
        <v/>
      </c>
      <c r="E973" s="13">
        <f>IF(C973=Options!$B$9,Options!$C$16,0)</f>
        <v/>
      </c>
      <c r="F973" s="13">
        <f>IF(AND(A973&lt;&gt;"",C973&lt;Options!$B$10),B973*Options!$X$6,0)</f>
        <v/>
      </c>
      <c r="G973" s="13">
        <f>F973*12%</f>
        <v/>
      </c>
      <c r="H973" s="13">
        <f>IF(A973="",0,B973*(92*IF(OR(C973=Options!$B$9,C973=Options!$B$10),75%,100%)-IF(C973=DATE(2026,11,29),26+IF(Options!$B$8="是",23,0),0)-IF(C973=DATE(2026,11,30),26,0)-IF(C973=DATE(2026,12,1),64,0)-IF(C973=DATE(2026,11,28),38,0)-IF(C973=DATE(2026,12,2),26,0)))</f>
        <v/>
      </c>
      <c r="I973" s="13">
        <f>IF(AND(C973&gt;=DATE(2026,11,29),C973&lt;=DATE(2026,12,1)),B973*60,0)</f>
        <v/>
      </c>
      <c r="J973" s="13">
        <f>IF(A973="",0,B973*(IF(C973=DATE(2026,11,28),38,0)+IF(C973=DATE(2026,12,1),38,0)+IF(C973=DATE(2026,12,2),26,0)))</f>
        <v/>
      </c>
      <c r="K973" s="13">
        <f>IF(C973=Options!$B$9,B973*12,0)</f>
        <v/>
      </c>
      <c r="L973" s="13">
        <f>IF(C973=Options!$B$9,B973*Options!$Z$6,0)</f>
        <v/>
      </c>
      <c r="M973" s="13" t="n">
        <v>0</v>
      </c>
      <c r="N973" s="13">
        <f>SUM(E973:M973)</f>
        <v/>
      </c>
    </row>
    <row r="974">
      <c r="A974" s="5">
        <f>IF(AND(C974&gt;=Options!$B$9,C974&lt;=Options!$B$10),"Denver","")</f>
        <v/>
      </c>
      <c r="B974" s="5">
        <f>IF(A974="","",18)</f>
        <v/>
      </c>
      <c r="C974" s="17" t="n">
        <v>46535</v>
      </c>
      <c r="D974" s="5">
        <f>IF(A974="","",IF(C974=DATE(2026,11,29),"培训；注册午餐；早餐参数",IF(C974=DATE(2026,11,30),"培训；注册午餐",IF(C974=DATE(2026,12,1),"培训；注册午餐；机构晚餐",IF(C974=Options!$B$9,"抵达；"&amp;IF(C974=DATE(2026,11,28),"机构晚餐","无统一供餐"),IF(C974=Options!$B$10,"返程；"&amp;IF(C974=DATE(2026,12,2),"机构午餐","无统一供餐"),"差旅状态；无统一日程"))))))</f>
        <v/>
      </c>
      <c r="E974" s="13">
        <f>IF(C974=Options!$B$9,Options!$C$16,0)</f>
        <v/>
      </c>
      <c r="F974" s="13">
        <f>IF(AND(A974&lt;&gt;"",C974&lt;Options!$B$10),B974*Options!$X$6,0)</f>
        <v/>
      </c>
      <c r="G974" s="13">
        <f>F974*12%</f>
        <v/>
      </c>
      <c r="H974" s="13">
        <f>IF(A974="",0,B974*(92*IF(OR(C974=Options!$B$9,C974=Options!$B$10),75%,100%)-IF(C974=DATE(2026,11,29),26+IF(Options!$B$8="是",23,0),0)-IF(C974=DATE(2026,11,30),26,0)-IF(C974=DATE(2026,12,1),64,0)-IF(C974=DATE(2026,11,28),38,0)-IF(C974=DATE(2026,12,2),26,0)))</f>
        <v/>
      </c>
      <c r="I974" s="13">
        <f>IF(AND(C974&gt;=DATE(2026,11,29),C974&lt;=DATE(2026,12,1)),B974*60,0)</f>
        <v/>
      </c>
      <c r="J974" s="13">
        <f>IF(A974="",0,B974*(IF(C974=DATE(2026,11,28),38,0)+IF(C974=DATE(2026,12,1),38,0)+IF(C974=DATE(2026,12,2),26,0)))</f>
        <v/>
      </c>
      <c r="K974" s="13">
        <f>IF(C974=Options!$B$9,B974*12,0)</f>
        <v/>
      </c>
      <c r="L974" s="13">
        <f>IF(C974=Options!$B$9,B974*Options!$Z$6,0)</f>
        <v/>
      </c>
      <c r="M974" s="13" t="n">
        <v>0</v>
      </c>
      <c r="N974" s="13">
        <f>SUM(E974:M974)</f>
        <v/>
      </c>
    </row>
    <row r="975">
      <c r="A975" s="5">
        <f>IF(AND(C975&gt;=Options!$B$9,C975&lt;=Options!$B$10),"Denver","")</f>
        <v/>
      </c>
      <c r="B975" s="5">
        <f>IF(A975="","",18)</f>
        <v/>
      </c>
      <c r="C975" s="17" t="n">
        <v>46536</v>
      </c>
      <c r="D975" s="5">
        <f>IF(A975="","",IF(C975=DATE(2026,11,29),"培训；注册午餐；早餐参数",IF(C975=DATE(2026,11,30),"培训；注册午餐",IF(C975=DATE(2026,12,1),"培训；注册午餐；机构晚餐",IF(C975=Options!$B$9,"抵达；"&amp;IF(C975=DATE(2026,11,28),"机构晚餐","无统一供餐"),IF(C975=Options!$B$10,"返程；"&amp;IF(C975=DATE(2026,12,2),"机构午餐","无统一供餐"),"差旅状态；无统一日程"))))))</f>
        <v/>
      </c>
      <c r="E975" s="13">
        <f>IF(C975=Options!$B$9,Options!$C$16,0)</f>
        <v/>
      </c>
      <c r="F975" s="13">
        <f>IF(AND(A975&lt;&gt;"",C975&lt;Options!$B$10),B975*Options!$X$6,0)</f>
        <v/>
      </c>
      <c r="G975" s="13">
        <f>F975*12%</f>
        <v/>
      </c>
      <c r="H975" s="13">
        <f>IF(A975="",0,B975*(92*IF(OR(C975=Options!$B$9,C975=Options!$B$10),75%,100%)-IF(C975=DATE(2026,11,29),26+IF(Options!$B$8="是",23,0),0)-IF(C975=DATE(2026,11,30),26,0)-IF(C975=DATE(2026,12,1),64,0)-IF(C975=DATE(2026,11,28),38,0)-IF(C975=DATE(2026,12,2),26,0)))</f>
        <v/>
      </c>
      <c r="I975" s="13">
        <f>IF(AND(C975&gt;=DATE(2026,11,29),C975&lt;=DATE(2026,12,1)),B975*60,0)</f>
        <v/>
      </c>
      <c r="J975" s="13">
        <f>IF(A975="",0,B975*(IF(C975=DATE(2026,11,28),38,0)+IF(C975=DATE(2026,12,1),38,0)+IF(C975=DATE(2026,12,2),26,0)))</f>
        <v/>
      </c>
      <c r="K975" s="13">
        <f>IF(C975=Options!$B$9,B975*12,0)</f>
        <v/>
      </c>
      <c r="L975" s="13">
        <f>IF(C975=Options!$B$9,B975*Options!$Z$6,0)</f>
        <v/>
      </c>
      <c r="M975" s="13" t="n">
        <v>0</v>
      </c>
      <c r="N975" s="13">
        <f>SUM(E975:M975)</f>
        <v/>
      </c>
    </row>
    <row r="976">
      <c r="A976" s="5">
        <f>IF(AND(C976&gt;=Options!$B$9,C976&lt;=Options!$B$10),"Denver","")</f>
        <v/>
      </c>
      <c r="B976" s="5">
        <f>IF(A976="","",18)</f>
        <v/>
      </c>
      <c r="C976" s="17" t="n">
        <v>46537</v>
      </c>
      <c r="D976" s="5">
        <f>IF(A976="","",IF(C976=DATE(2026,11,29),"培训；注册午餐；早餐参数",IF(C976=DATE(2026,11,30),"培训；注册午餐",IF(C976=DATE(2026,12,1),"培训；注册午餐；机构晚餐",IF(C976=Options!$B$9,"抵达；"&amp;IF(C976=DATE(2026,11,28),"机构晚餐","无统一供餐"),IF(C976=Options!$B$10,"返程；"&amp;IF(C976=DATE(2026,12,2),"机构午餐","无统一供餐"),"差旅状态；无统一日程"))))))</f>
        <v/>
      </c>
      <c r="E976" s="13">
        <f>IF(C976=Options!$B$9,Options!$C$16,0)</f>
        <v/>
      </c>
      <c r="F976" s="13">
        <f>IF(AND(A976&lt;&gt;"",C976&lt;Options!$B$10),B976*Options!$X$6,0)</f>
        <v/>
      </c>
      <c r="G976" s="13">
        <f>F976*12%</f>
        <v/>
      </c>
      <c r="H976" s="13">
        <f>IF(A976="",0,B976*(92*IF(OR(C976=Options!$B$9,C976=Options!$B$10),75%,100%)-IF(C976=DATE(2026,11,29),26+IF(Options!$B$8="是",23,0),0)-IF(C976=DATE(2026,11,30),26,0)-IF(C976=DATE(2026,12,1),64,0)-IF(C976=DATE(2026,11,28),38,0)-IF(C976=DATE(2026,12,2),26,0)))</f>
        <v/>
      </c>
      <c r="I976" s="13">
        <f>IF(AND(C976&gt;=DATE(2026,11,29),C976&lt;=DATE(2026,12,1)),B976*60,0)</f>
        <v/>
      </c>
      <c r="J976" s="13">
        <f>IF(A976="",0,B976*(IF(C976=DATE(2026,11,28),38,0)+IF(C976=DATE(2026,12,1),38,0)+IF(C976=DATE(2026,12,2),26,0)))</f>
        <v/>
      </c>
      <c r="K976" s="13">
        <f>IF(C976=Options!$B$9,B976*12,0)</f>
        <v/>
      </c>
      <c r="L976" s="13">
        <f>IF(C976=Options!$B$9,B976*Options!$Z$6,0)</f>
        <v/>
      </c>
      <c r="M976" s="13" t="n">
        <v>0</v>
      </c>
      <c r="N976" s="13">
        <f>SUM(E976:M976)</f>
        <v/>
      </c>
    </row>
    <row r="977">
      <c r="A977" s="5">
        <f>IF(AND(C977&gt;=Options!$B$9,C977&lt;=Options!$B$10),"Denver","")</f>
        <v/>
      </c>
      <c r="B977" s="5">
        <f>IF(A977="","",18)</f>
        <v/>
      </c>
      <c r="C977" s="17" t="n">
        <v>46538</v>
      </c>
      <c r="D977" s="5">
        <f>IF(A977="","",IF(C977=DATE(2026,11,29),"培训；注册午餐；早餐参数",IF(C977=DATE(2026,11,30),"培训；注册午餐",IF(C977=DATE(2026,12,1),"培训；注册午餐；机构晚餐",IF(C977=Options!$B$9,"抵达；"&amp;IF(C977=DATE(2026,11,28),"机构晚餐","无统一供餐"),IF(C977=Options!$B$10,"返程；"&amp;IF(C977=DATE(2026,12,2),"机构午餐","无统一供餐"),"差旅状态；无统一日程"))))))</f>
        <v/>
      </c>
      <c r="E977" s="13">
        <f>IF(C977=Options!$B$9,Options!$C$16,0)</f>
        <v/>
      </c>
      <c r="F977" s="13">
        <f>IF(AND(A977&lt;&gt;"",C977&lt;Options!$B$10),B977*Options!$X$6,0)</f>
        <v/>
      </c>
      <c r="G977" s="13">
        <f>F977*12%</f>
        <v/>
      </c>
      <c r="H977" s="13">
        <f>IF(A977="",0,B977*(92*IF(OR(C977=Options!$B$9,C977=Options!$B$10),75%,100%)-IF(C977=DATE(2026,11,29),26+IF(Options!$B$8="是",23,0),0)-IF(C977=DATE(2026,11,30),26,0)-IF(C977=DATE(2026,12,1),64,0)-IF(C977=DATE(2026,11,28),38,0)-IF(C977=DATE(2026,12,2),26,0)))</f>
        <v/>
      </c>
      <c r="I977" s="13">
        <f>IF(AND(C977&gt;=DATE(2026,11,29),C977&lt;=DATE(2026,12,1)),B977*60,0)</f>
        <v/>
      </c>
      <c r="J977" s="13">
        <f>IF(A977="",0,B977*(IF(C977=DATE(2026,11,28),38,0)+IF(C977=DATE(2026,12,1),38,0)+IF(C977=DATE(2026,12,2),26,0)))</f>
        <v/>
      </c>
      <c r="K977" s="13">
        <f>IF(C977=Options!$B$9,B977*12,0)</f>
        <v/>
      </c>
      <c r="L977" s="13">
        <f>IF(C977=Options!$B$9,B977*Options!$Z$6,0)</f>
        <v/>
      </c>
      <c r="M977" s="13" t="n">
        <v>0</v>
      </c>
      <c r="N977" s="13">
        <f>SUM(E977:M977)</f>
        <v/>
      </c>
    </row>
    <row r="978">
      <c r="A978" s="5">
        <f>IF(AND(C978&gt;=Options!$B$9,C978&lt;=Options!$B$10),"Denver","")</f>
        <v/>
      </c>
      <c r="B978" s="5">
        <f>IF(A978="","",18)</f>
        <v/>
      </c>
      <c r="C978" s="17" t="n">
        <v>46539</v>
      </c>
      <c r="D978" s="5">
        <f>IF(A978="","",IF(C978=DATE(2026,11,29),"培训；注册午餐；早餐参数",IF(C978=DATE(2026,11,30),"培训；注册午餐",IF(C978=DATE(2026,12,1),"培训；注册午餐；机构晚餐",IF(C978=Options!$B$9,"抵达；"&amp;IF(C978=DATE(2026,11,28),"机构晚餐","无统一供餐"),IF(C978=Options!$B$10,"返程；"&amp;IF(C978=DATE(2026,12,2),"机构午餐","无统一供餐"),"差旅状态；无统一日程"))))))</f>
        <v/>
      </c>
      <c r="E978" s="13">
        <f>IF(C978=Options!$B$9,Options!$C$16,0)</f>
        <v/>
      </c>
      <c r="F978" s="13">
        <f>IF(AND(A978&lt;&gt;"",C978&lt;Options!$B$10),B978*Options!$X$6,0)</f>
        <v/>
      </c>
      <c r="G978" s="13">
        <f>F978*12%</f>
        <v/>
      </c>
      <c r="H978" s="13">
        <f>IF(A978="",0,B978*(92*IF(OR(C978=Options!$B$9,C978=Options!$B$10),75%,100%)-IF(C978=DATE(2026,11,29),26+IF(Options!$B$8="是",23,0),0)-IF(C978=DATE(2026,11,30),26,0)-IF(C978=DATE(2026,12,1),64,0)-IF(C978=DATE(2026,11,28),38,0)-IF(C978=DATE(2026,12,2),26,0)))</f>
        <v/>
      </c>
      <c r="I978" s="13">
        <f>IF(AND(C978&gt;=DATE(2026,11,29),C978&lt;=DATE(2026,12,1)),B978*60,0)</f>
        <v/>
      </c>
      <c r="J978" s="13">
        <f>IF(A978="",0,B978*(IF(C978=DATE(2026,11,28),38,0)+IF(C978=DATE(2026,12,1),38,0)+IF(C978=DATE(2026,12,2),26,0)))</f>
        <v/>
      </c>
      <c r="K978" s="13">
        <f>IF(C978=Options!$B$9,B978*12,0)</f>
        <v/>
      </c>
      <c r="L978" s="13">
        <f>IF(C978=Options!$B$9,B978*Options!$Z$6,0)</f>
        <v/>
      </c>
      <c r="M978" s="13" t="n">
        <v>0</v>
      </c>
      <c r="N978" s="13">
        <f>SUM(E978:M978)</f>
        <v/>
      </c>
    </row>
    <row r="979">
      <c r="A979" s="5">
        <f>IF(AND(C979&gt;=Options!$B$9,C979&lt;=Options!$B$10),"Denver","")</f>
        <v/>
      </c>
      <c r="B979" s="5">
        <f>IF(A979="","",18)</f>
        <v/>
      </c>
      <c r="C979" s="17" t="n">
        <v>46540</v>
      </c>
      <c r="D979" s="5">
        <f>IF(A979="","",IF(C979=DATE(2026,11,29),"培训；注册午餐；早餐参数",IF(C979=DATE(2026,11,30),"培训；注册午餐",IF(C979=DATE(2026,12,1),"培训；注册午餐；机构晚餐",IF(C979=Options!$B$9,"抵达；"&amp;IF(C979=DATE(2026,11,28),"机构晚餐","无统一供餐"),IF(C979=Options!$B$10,"返程；"&amp;IF(C979=DATE(2026,12,2),"机构午餐","无统一供餐"),"差旅状态；无统一日程"))))))</f>
        <v/>
      </c>
      <c r="E979" s="13">
        <f>IF(C979=Options!$B$9,Options!$C$16,0)</f>
        <v/>
      </c>
      <c r="F979" s="13">
        <f>IF(AND(A979&lt;&gt;"",C979&lt;Options!$B$10),B979*Options!$X$6,0)</f>
        <v/>
      </c>
      <c r="G979" s="13">
        <f>F979*12%</f>
        <v/>
      </c>
      <c r="H979" s="13">
        <f>IF(A979="",0,B979*(92*IF(OR(C979=Options!$B$9,C979=Options!$B$10),75%,100%)-IF(C979=DATE(2026,11,29),26+IF(Options!$B$8="是",23,0),0)-IF(C979=DATE(2026,11,30),26,0)-IF(C979=DATE(2026,12,1),64,0)-IF(C979=DATE(2026,11,28),38,0)-IF(C979=DATE(2026,12,2),26,0)))</f>
        <v/>
      </c>
      <c r="I979" s="13">
        <f>IF(AND(C979&gt;=DATE(2026,11,29),C979&lt;=DATE(2026,12,1)),B979*60,0)</f>
        <v/>
      </c>
      <c r="J979" s="13">
        <f>IF(A979="",0,B979*(IF(C979=DATE(2026,11,28),38,0)+IF(C979=DATE(2026,12,1),38,0)+IF(C979=DATE(2026,12,2),26,0)))</f>
        <v/>
      </c>
      <c r="K979" s="13">
        <f>IF(C979=Options!$B$9,B979*12,0)</f>
        <v/>
      </c>
      <c r="L979" s="13">
        <f>IF(C979=Options!$B$9,B979*Options!$Z$6,0)</f>
        <v/>
      </c>
      <c r="M979" s="13" t="n">
        <v>0</v>
      </c>
      <c r="N979" s="13">
        <f>SUM(E979:M979)</f>
        <v/>
      </c>
    </row>
    <row r="980">
      <c r="A980" s="5">
        <f>IF(AND(C980&gt;=Options!$B$9,C980&lt;=Options!$B$10),"Denver","")</f>
        <v/>
      </c>
      <c r="B980" s="5">
        <f>IF(A980="","",18)</f>
        <v/>
      </c>
      <c r="C980" s="17" t="n">
        <v>46541</v>
      </c>
      <c r="D980" s="5">
        <f>IF(A980="","",IF(C980=DATE(2026,11,29),"培训；注册午餐；早餐参数",IF(C980=DATE(2026,11,30),"培训；注册午餐",IF(C980=DATE(2026,12,1),"培训；注册午餐；机构晚餐",IF(C980=Options!$B$9,"抵达；"&amp;IF(C980=DATE(2026,11,28),"机构晚餐","无统一供餐"),IF(C980=Options!$B$10,"返程；"&amp;IF(C980=DATE(2026,12,2),"机构午餐","无统一供餐"),"差旅状态；无统一日程"))))))</f>
        <v/>
      </c>
      <c r="E980" s="13">
        <f>IF(C980=Options!$B$9,Options!$C$16,0)</f>
        <v/>
      </c>
      <c r="F980" s="13">
        <f>IF(AND(A980&lt;&gt;"",C980&lt;Options!$B$10),B980*Options!$X$6,0)</f>
        <v/>
      </c>
      <c r="G980" s="13">
        <f>F980*12%</f>
        <v/>
      </c>
      <c r="H980" s="13">
        <f>IF(A980="",0,B980*(92*IF(OR(C980=Options!$B$9,C980=Options!$B$10),75%,100%)-IF(C980=DATE(2026,11,29),26+IF(Options!$B$8="是",23,0),0)-IF(C980=DATE(2026,11,30),26,0)-IF(C980=DATE(2026,12,1),64,0)-IF(C980=DATE(2026,11,28),38,0)-IF(C980=DATE(2026,12,2),26,0)))</f>
        <v/>
      </c>
      <c r="I980" s="13">
        <f>IF(AND(C980&gt;=DATE(2026,11,29),C980&lt;=DATE(2026,12,1)),B980*60,0)</f>
        <v/>
      </c>
      <c r="J980" s="13">
        <f>IF(A980="",0,B980*(IF(C980=DATE(2026,11,28),38,0)+IF(C980=DATE(2026,12,1),38,0)+IF(C980=DATE(2026,12,2),26,0)))</f>
        <v/>
      </c>
      <c r="K980" s="13">
        <f>IF(C980=Options!$B$9,B980*12,0)</f>
        <v/>
      </c>
      <c r="L980" s="13">
        <f>IF(C980=Options!$B$9,B980*Options!$Z$6,0)</f>
        <v/>
      </c>
      <c r="M980" s="13" t="n">
        <v>0</v>
      </c>
      <c r="N980" s="13">
        <f>SUM(E980:M980)</f>
        <v/>
      </c>
    </row>
    <row r="981">
      <c r="A981" s="5">
        <f>IF(AND(C981&gt;=Options!$B$9,C981&lt;=Options!$B$10),"Denver","")</f>
        <v/>
      </c>
      <c r="B981" s="5">
        <f>IF(A981="","",18)</f>
        <v/>
      </c>
      <c r="C981" s="17" t="n">
        <v>46542</v>
      </c>
      <c r="D981" s="5">
        <f>IF(A981="","",IF(C981=DATE(2026,11,29),"培训；注册午餐；早餐参数",IF(C981=DATE(2026,11,30),"培训；注册午餐",IF(C981=DATE(2026,12,1),"培训；注册午餐；机构晚餐",IF(C981=Options!$B$9,"抵达；"&amp;IF(C981=DATE(2026,11,28),"机构晚餐","无统一供餐"),IF(C981=Options!$B$10,"返程；"&amp;IF(C981=DATE(2026,12,2),"机构午餐","无统一供餐"),"差旅状态；无统一日程"))))))</f>
        <v/>
      </c>
      <c r="E981" s="13">
        <f>IF(C981=Options!$B$9,Options!$C$16,0)</f>
        <v/>
      </c>
      <c r="F981" s="13">
        <f>IF(AND(A981&lt;&gt;"",C981&lt;Options!$B$10),B981*Options!$X$6,0)</f>
        <v/>
      </c>
      <c r="G981" s="13">
        <f>F981*12%</f>
        <v/>
      </c>
      <c r="H981" s="13">
        <f>IF(A981="",0,B981*(92*IF(OR(C981=Options!$B$9,C981=Options!$B$10),75%,100%)-IF(C981=DATE(2026,11,29),26+IF(Options!$B$8="是",23,0),0)-IF(C981=DATE(2026,11,30),26,0)-IF(C981=DATE(2026,12,1),64,0)-IF(C981=DATE(2026,11,28),38,0)-IF(C981=DATE(2026,12,2),26,0)))</f>
        <v/>
      </c>
      <c r="I981" s="13">
        <f>IF(AND(C981&gt;=DATE(2026,11,29),C981&lt;=DATE(2026,12,1)),B981*60,0)</f>
        <v/>
      </c>
      <c r="J981" s="13">
        <f>IF(A981="",0,B981*(IF(C981=DATE(2026,11,28),38,0)+IF(C981=DATE(2026,12,1),38,0)+IF(C981=DATE(2026,12,2),26,0)))</f>
        <v/>
      </c>
      <c r="K981" s="13">
        <f>IF(C981=Options!$B$9,B981*12,0)</f>
        <v/>
      </c>
      <c r="L981" s="13">
        <f>IF(C981=Options!$B$9,B981*Options!$Z$6,0)</f>
        <v/>
      </c>
      <c r="M981" s="13" t="n">
        <v>0</v>
      </c>
      <c r="N981" s="13">
        <f>SUM(E981:M981)</f>
        <v/>
      </c>
    </row>
    <row r="982">
      <c r="A982" s="5">
        <f>IF(AND(C982&gt;=Options!$B$9,C982&lt;=Options!$B$10),"Denver","")</f>
        <v/>
      </c>
      <c r="B982" s="5">
        <f>IF(A982="","",18)</f>
        <v/>
      </c>
      <c r="C982" s="17" t="n">
        <v>46543</v>
      </c>
      <c r="D982" s="5">
        <f>IF(A982="","",IF(C982=DATE(2026,11,29),"培训；注册午餐；早餐参数",IF(C982=DATE(2026,11,30),"培训；注册午餐",IF(C982=DATE(2026,12,1),"培训；注册午餐；机构晚餐",IF(C982=Options!$B$9,"抵达；"&amp;IF(C982=DATE(2026,11,28),"机构晚餐","无统一供餐"),IF(C982=Options!$B$10,"返程；"&amp;IF(C982=DATE(2026,12,2),"机构午餐","无统一供餐"),"差旅状态；无统一日程"))))))</f>
        <v/>
      </c>
      <c r="E982" s="13">
        <f>IF(C982=Options!$B$9,Options!$C$16,0)</f>
        <v/>
      </c>
      <c r="F982" s="13">
        <f>IF(AND(A982&lt;&gt;"",C982&lt;Options!$B$10),B982*Options!$X$6,0)</f>
        <v/>
      </c>
      <c r="G982" s="13">
        <f>F982*12%</f>
        <v/>
      </c>
      <c r="H982" s="13">
        <f>IF(A982="",0,B982*(92*IF(OR(C982=Options!$B$9,C982=Options!$B$10),75%,100%)-IF(C982=DATE(2026,11,29),26+IF(Options!$B$8="是",23,0),0)-IF(C982=DATE(2026,11,30),26,0)-IF(C982=DATE(2026,12,1),64,0)-IF(C982=DATE(2026,11,28),38,0)-IF(C982=DATE(2026,12,2),26,0)))</f>
        <v/>
      </c>
      <c r="I982" s="13">
        <f>IF(AND(C982&gt;=DATE(2026,11,29),C982&lt;=DATE(2026,12,1)),B982*60,0)</f>
        <v/>
      </c>
      <c r="J982" s="13">
        <f>IF(A982="",0,B982*(IF(C982=DATE(2026,11,28),38,0)+IF(C982=DATE(2026,12,1),38,0)+IF(C982=DATE(2026,12,2),26,0)))</f>
        <v/>
      </c>
      <c r="K982" s="13">
        <f>IF(C982=Options!$B$9,B982*12,0)</f>
        <v/>
      </c>
      <c r="L982" s="13">
        <f>IF(C982=Options!$B$9,B982*Options!$Z$6,0)</f>
        <v/>
      </c>
      <c r="M982" s="13" t="n">
        <v>0</v>
      </c>
      <c r="N982" s="13">
        <f>SUM(E982:M982)</f>
        <v/>
      </c>
    </row>
    <row r="983">
      <c r="A983" s="5">
        <f>IF(AND(C983&gt;=Options!$B$9,C983&lt;=Options!$B$10),"Denver","")</f>
        <v/>
      </c>
      <c r="B983" s="5">
        <f>IF(A983="","",18)</f>
        <v/>
      </c>
      <c r="C983" s="17" t="n">
        <v>46544</v>
      </c>
      <c r="D983" s="5">
        <f>IF(A983="","",IF(C983=DATE(2026,11,29),"培训；注册午餐；早餐参数",IF(C983=DATE(2026,11,30),"培训；注册午餐",IF(C983=DATE(2026,12,1),"培训；注册午餐；机构晚餐",IF(C983=Options!$B$9,"抵达；"&amp;IF(C983=DATE(2026,11,28),"机构晚餐","无统一供餐"),IF(C983=Options!$B$10,"返程；"&amp;IF(C983=DATE(2026,12,2),"机构午餐","无统一供餐"),"差旅状态；无统一日程"))))))</f>
        <v/>
      </c>
      <c r="E983" s="13">
        <f>IF(C983=Options!$B$9,Options!$C$16,0)</f>
        <v/>
      </c>
      <c r="F983" s="13">
        <f>IF(AND(A983&lt;&gt;"",C983&lt;Options!$B$10),B983*Options!$X$6,0)</f>
        <v/>
      </c>
      <c r="G983" s="13">
        <f>F983*12%</f>
        <v/>
      </c>
      <c r="H983" s="13">
        <f>IF(A983="",0,B983*(92*IF(OR(C983=Options!$B$9,C983=Options!$B$10),75%,100%)-IF(C983=DATE(2026,11,29),26+IF(Options!$B$8="是",23,0),0)-IF(C983=DATE(2026,11,30),26,0)-IF(C983=DATE(2026,12,1),64,0)-IF(C983=DATE(2026,11,28),38,0)-IF(C983=DATE(2026,12,2),26,0)))</f>
        <v/>
      </c>
      <c r="I983" s="13">
        <f>IF(AND(C983&gt;=DATE(2026,11,29),C983&lt;=DATE(2026,12,1)),B983*60,0)</f>
        <v/>
      </c>
      <c r="J983" s="13">
        <f>IF(A983="",0,B983*(IF(C983=DATE(2026,11,28),38,0)+IF(C983=DATE(2026,12,1),38,0)+IF(C983=DATE(2026,12,2),26,0)))</f>
        <v/>
      </c>
      <c r="K983" s="13">
        <f>IF(C983=Options!$B$9,B983*12,0)</f>
        <v/>
      </c>
      <c r="L983" s="13">
        <f>IF(C983=Options!$B$9,B983*Options!$Z$6,0)</f>
        <v/>
      </c>
      <c r="M983" s="13" t="n">
        <v>0</v>
      </c>
      <c r="N983" s="13">
        <f>SUM(E983:M983)</f>
        <v/>
      </c>
    </row>
    <row r="984">
      <c r="A984" s="5">
        <f>IF(AND(C984&gt;=Options!$B$9,C984&lt;=Options!$B$10),"Denver","")</f>
        <v/>
      </c>
      <c r="B984" s="5">
        <f>IF(A984="","",18)</f>
        <v/>
      </c>
      <c r="C984" s="17" t="n">
        <v>46545</v>
      </c>
      <c r="D984" s="5">
        <f>IF(A984="","",IF(C984=DATE(2026,11,29),"培训；注册午餐；早餐参数",IF(C984=DATE(2026,11,30),"培训；注册午餐",IF(C984=DATE(2026,12,1),"培训；注册午餐；机构晚餐",IF(C984=Options!$B$9,"抵达；"&amp;IF(C984=DATE(2026,11,28),"机构晚餐","无统一供餐"),IF(C984=Options!$B$10,"返程；"&amp;IF(C984=DATE(2026,12,2),"机构午餐","无统一供餐"),"差旅状态；无统一日程"))))))</f>
        <v/>
      </c>
      <c r="E984" s="13">
        <f>IF(C984=Options!$B$9,Options!$C$16,0)</f>
        <v/>
      </c>
      <c r="F984" s="13">
        <f>IF(AND(A984&lt;&gt;"",C984&lt;Options!$B$10),B984*Options!$X$6,0)</f>
        <v/>
      </c>
      <c r="G984" s="13">
        <f>F984*12%</f>
        <v/>
      </c>
      <c r="H984" s="13">
        <f>IF(A984="",0,B984*(92*IF(OR(C984=Options!$B$9,C984=Options!$B$10),75%,100%)-IF(C984=DATE(2026,11,29),26+IF(Options!$B$8="是",23,0),0)-IF(C984=DATE(2026,11,30),26,0)-IF(C984=DATE(2026,12,1),64,0)-IF(C984=DATE(2026,11,28),38,0)-IF(C984=DATE(2026,12,2),26,0)))</f>
        <v/>
      </c>
      <c r="I984" s="13">
        <f>IF(AND(C984&gt;=DATE(2026,11,29),C984&lt;=DATE(2026,12,1)),B984*60,0)</f>
        <v/>
      </c>
      <c r="J984" s="13">
        <f>IF(A984="",0,B984*(IF(C984=DATE(2026,11,28),38,0)+IF(C984=DATE(2026,12,1),38,0)+IF(C984=DATE(2026,12,2),26,0)))</f>
        <v/>
      </c>
      <c r="K984" s="13">
        <f>IF(C984=Options!$B$9,B984*12,0)</f>
        <v/>
      </c>
      <c r="L984" s="13">
        <f>IF(C984=Options!$B$9,B984*Options!$Z$6,0)</f>
        <v/>
      </c>
      <c r="M984" s="13" t="n">
        <v>0</v>
      </c>
      <c r="N984" s="13">
        <f>SUM(E984:M984)</f>
        <v/>
      </c>
    </row>
    <row r="985">
      <c r="A985" s="5">
        <f>IF(AND(C985&gt;=Options!$B$9,C985&lt;=Options!$B$10),"Denver","")</f>
        <v/>
      </c>
      <c r="B985" s="5">
        <f>IF(A985="","",18)</f>
        <v/>
      </c>
      <c r="C985" s="17" t="n">
        <v>46546</v>
      </c>
      <c r="D985" s="5">
        <f>IF(A985="","",IF(C985=DATE(2026,11,29),"培训；注册午餐；早餐参数",IF(C985=DATE(2026,11,30),"培训；注册午餐",IF(C985=DATE(2026,12,1),"培训；注册午餐；机构晚餐",IF(C985=Options!$B$9,"抵达；"&amp;IF(C985=DATE(2026,11,28),"机构晚餐","无统一供餐"),IF(C985=Options!$B$10,"返程；"&amp;IF(C985=DATE(2026,12,2),"机构午餐","无统一供餐"),"差旅状态；无统一日程"))))))</f>
        <v/>
      </c>
      <c r="E985" s="13">
        <f>IF(C985=Options!$B$9,Options!$C$16,0)</f>
        <v/>
      </c>
      <c r="F985" s="13">
        <f>IF(AND(A985&lt;&gt;"",C985&lt;Options!$B$10),B985*Options!$X$6,0)</f>
        <v/>
      </c>
      <c r="G985" s="13">
        <f>F985*12%</f>
        <v/>
      </c>
      <c r="H985" s="13">
        <f>IF(A985="",0,B985*(92*IF(OR(C985=Options!$B$9,C985=Options!$B$10),75%,100%)-IF(C985=DATE(2026,11,29),26+IF(Options!$B$8="是",23,0),0)-IF(C985=DATE(2026,11,30),26,0)-IF(C985=DATE(2026,12,1),64,0)-IF(C985=DATE(2026,11,28),38,0)-IF(C985=DATE(2026,12,2),26,0)))</f>
        <v/>
      </c>
      <c r="I985" s="13">
        <f>IF(AND(C985&gt;=DATE(2026,11,29),C985&lt;=DATE(2026,12,1)),B985*60,0)</f>
        <v/>
      </c>
      <c r="J985" s="13">
        <f>IF(A985="",0,B985*(IF(C985=DATE(2026,11,28),38,0)+IF(C985=DATE(2026,12,1),38,0)+IF(C985=DATE(2026,12,2),26,0)))</f>
        <v/>
      </c>
      <c r="K985" s="13">
        <f>IF(C985=Options!$B$9,B985*12,0)</f>
        <v/>
      </c>
      <c r="L985" s="13">
        <f>IF(C985=Options!$B$9,B985*Options!$Z$6,0)</f>
        <v/>
      </c>
      <c r="M985" s="13" t="n">
        <v>0</v>
      </c>
      <c r="N985" s="13">
        <f>SUM(E985:M985)</f>
        <v/>
      </c>
    </row>
    <row r="986">
      <c r="A986" s="5">
        <f>IF(AND(C986&gt;=Options!$B$9,C986&lt;=Options!$B$10),"Denver","")</f>
        <v/>
      </c>
      <c r="B986" s="5">
        <f>IF(A986="","",18)</f>
        <v/>
      </c>
      <c r="C986" s="17" t="n">
        <v>46547</v>
      </c>
      <c r="D986" s="5">
        <f>IF(A986="","",IF(C986=DATE(2026,11,29),"培训；注册午餐；早餐参数",IF(C986=DATE(2026,11,30),"培训；注册午餐",IF(C986=DATE(2026,12,1),"培训；注册午餐；机构晚餐",IF(C986=Options!$B$9,"抵达；"&amp;IF(C986=DATE(2026,11,28),"机构晚餐","无统一供餐"),IF(C986=Options!$B$10,"返程；"&amp;IF(C986=DATE(2026,12,2),"机构午餐","无统一供餐"),"差旅状态；无统一日程"))))))</f>
        <v/>
      </c>
      <c r="E986" s="13">
        <f>IF(C986=Options!$B$9,Options!$C$16,0)</f>
        <v/>
      </c>
      <c r="F986" s="13">
        <f>IF(AND(A986&lt;&gt;"",C986&lt;Options!$B$10),B986*Options!$X$6,0)</f>
        <v/>
      </c>
      <c r="G986" s="13">
        <f>F986*12%</f>
        <v/>
      </c>
      <c r="H986" s="13">
        <f>IF(A986="",0,B986*(92*IF(OR(C986=Options!$B$9,C986=Options!$B$10),75%,100%)-IF(C986=DATE(2026,11,29),26+IF(Options!$B$8="是",23,0),0)-IF(C986=DATE(2026,11,30),26,0)-IF(C986=DATE(2026,12,1),64,0)-IF(C986=DATE(2026,11,28),38,0)-IF(C986=DATE(2026,12,2),26,0)))</f>
        <v/>
      </c>
      <c r="I986" s="13">
        <f>IF(AND(C986&gt;=DATE(2026,11,29),C986&lt;=DATE(2026,12,1)),B986*60,0)</f>
        <v/>
      </c>
      <c r="J986" s="13">
        <f>IF(A986="",0,B986*(IF(C986=DATE(2026,11,28),38,0)+IF(C986=DATE(2026,12,1),38,0)+IF(C986=DATE(2026,12,2),26,0)))</f>
        <v/>
      </c>
      <c r="K986" s="13">
        <f>IF(C986=Options!$B$9,B986*12,0)</f>
        <v/>
      </c>
      <c r="L986" s="13">
        <f>IF(C986=Options!$B$9,B986*Options!$Z$6,0)</f>
        <v/>
      </c>
      <c r="M986" s="13" t="n">
        <v>0</v>
      </c>
      <c r="N986" s="13">
        <f>SUM(E986:M986)</f>
        <v/>
      </c>
    </row>
    <row r="987">
      <c r="A987" s="5">
        <f>IF(AND(C987&gt;=Options!$B$9,C987&lt;=Options!$B$10),"Denver","")</f>
        <v/>
      </c>
      <c r="B987" s="5">
        <f>IF(A987="","",18)</f>
        <v/>
      </c>
      <c r="C987" s="17" t="n">
        <v>46548</v>
      </c>
      <c r="D987" s="5">
        <f>IF(A987="","",IF(C987=DATE(2026,11,29),"培训；注册午餐；早餐参数",IF(C987=DATE(2026,11,30),"培训；注册午餐",IF(C987=DATE(2026,12,1),"培训；注册午餐；机构晚餐",IF(C987=Options!$B$9,"抵达；"&amp;IF(C987=DATE(2026,11,28),"机构晚餐","无统一供餐"),IF(C987=Options!$B$10,"返程；"&amp;IF(C987=DATE(2026,12,2),"机构午餐","无统一供餐"),"差旅状态；无统一日程"))))))</f>
        <v/>
      </c>
      <c r="E987" s="13">
        <f>IF(C987=Options!$B$9,Options!$C$16,0)</f>
        <v/>
      </c>
      <c r="F987" s="13">
        <f>IF(AND(A987&lt;&gt;"",C987&lt;Options!$B$10),B987*Options!$X$6,0)</f>
        <v/>
      </c>
      <c r="G987" s="13">
        <f>F987*12%</f>
        <v/>
      </c>
      <c r="H987" s="13">
        <f>IF(A987="",0,B987*(92*IF(OR(C987=Options!$B$9,C987=Options!$B$10),75%,100%)-IF(C987=DATE(2026,11,29),26+IF(Options!$B$8="是",23,0),0)-IF(C987=DATE(2026,11,30),26,0)-IF(C987=DATE(2026,12,1),64,0)-IF(C987=DATE(2026,11,28),38,0)-IF(C987=DATE(2026,12,2),26,0)))</f>
        <v/>
      </c>
      <c r="I987" s="13">
        <f>IF(AND(C987&gt;=DATE(2026,11,29),C987&lt;=DATE(2026,12,1)),B987*60,0)</f>
        <v/>
      </c>
      <c r="J987" s="13">
        <f>IF(A987="",0,B987*(IF(C987=DATE(2026,11,28),38,0)+IF(C987=DATE(2026,12,1),38,0)+IF(C987=DATE(2026,12,2),26,0)))</f>
        <v/>
      </c>
      <c r="K987" s="13">
        <f>IF(C987=Options!$B$9,B987*12,0)</f>
        <v/>
      </c>
      <c r="L987" s="13">
        <f>IF(C987=Options!$B$9,B987*Options!$Z$6,0)</f>
        <v/>
      </c>
      <c r="M987" s="13" t="n">
        <v>0</v>
      </c>
      <c r="N987" s="13">
        <f>SUM(E987:M987)</f>
        <v/>
      </c>
    </row>
    <row r="988">
      <c r="A988" s="5">
        <f>IF(AND(C988&gt;=Options!$B$9,C988&lt;=Options!$B$10),"Denver","")</f>
        <v/>
      </c>
      <c r="B988" s="5">
        <f>IF(A988="","",18)</f>
        <v/>
      </c>
      <c r="C988" s="17" t="n">
        <v>46549</v>
      </c>
      <c r="D988" s="5">
        <f>IF(A988="","",IF(C988=DATE(2026,11,29),"培训；注册午餐；早餐参数",IF(C988=DATE(2026,11,30),"培训；注册午餐",IF(C988=DATE(2026,12,1),"培训；注册午餐；机构晚餐",IF(C988=Options!$B$9,"抵达；"&amp;IF(C988=DATE(2026,11,28),"机构晚餐","无统一供餐"),IF(C988=Options!$B$10,"返程；"&amp;IF(C988=DATE(2026,12,2),"机构午餐","无统一供餐"),"差旅状态；无统一日程"))))))</f>
        <v/>
      </c>
      <c r="E988" s="13">
        <f>IF(C988=Options!$B$9,Options!$C$16,0)</f>
        <v/>
      </c>
      <c r="F988" s="13">
        <f>IF(AND(A988&lt;&gt;"",C988&lt;Options!$B$10),B988*Options!$X$6,0)</f>
        <v/>
      </c>
      <c r="G988" s="13">
        <f>F988*12%</f>
        <v/>
      </c>
      <c r="H988" s="13">
        <f>IF(A988="",0,B988*(92*IF(OR(C988=Options!$B$9,C988=Options!$B$10),75%,100%)-IF(C988=DATE(2026,11,29),26+IF(Options!$B$8="是",23,0),0)-IF(C988=DATE(2026,11,30),26,0)-IF(C988=DATE(2026,12,1),64,0)-IF(C988=DATE(2026,11,28),38,0)-IF(C988=DATE(2026,12,2),26,0)))</f>
        <v/>
      </c>
      <c r="I988" s="13">
        <f>IF(AND(C988&gt;=DATE(2026,11,29),C988&lt;=DATE(2026,12,1)),B988*60,0)</f>
        <v/>
      </c>
      <c r="J988" s="13">
        <f>IF(A988="",0,B988*(IF(C988=DATE(2026,11,28),38,0)+IF(C988=DATE(2026,12,1),38,0)+IF(C988=DATE(2026,12,2),26,0)))</f>
        <v/>
      </c>
      <c r="K988" s="13">
        <f>IF(C988=Options!$B$9,B988*12,0)</f>
        <v/>
      </c>
      <c r="L988" s="13">
        <f>IF(C988=Options!$B$9,B988*Options!$Z$6,0)</f>
        <v/>
      </c>
      <c r="M988" s="13" t="n">
        <v>0</v>
      </c>
      <c r="N988" s="13">
        <f>SUM(E988:M988)</f>
        <v/>
      </c>
    </row>
    <row r="989">
      <c r="A989" s="5">
        <f>IF(AND(C989&gt;=Options!$B$9,C989&lt;=Options!$B$10),"Denver","")</f>
        <v/>
      </c>
      <c r="B989" s="5">
        <f>IF(A989="","",18)</f>
        <v/>
      </c>
      <c r="C989" s="17" t="n">
        <v>46550</v>
      </c>
      <c r="D989" s="5">
        <f>IF(A989="","",IF(C989=DATE(2026,11,29),"培训；注册午餐；早餐参数",IF(C989=DATE(2026,11,30),"培训；注册午餐",IF(C989=DATE(2026,12,1),"培训；注册午餐；机构晚餐",IF(C989=Options!$B$9,"抵达；"&amp;IF(C989=DATE(2026,11,28),"机构晚餐","无统一供餐"),IF(C989=Options!$B$10,"返程；"&amp;IF(C989=DATE(2026,12,2),"机构午餐","无统一供餐"),"差旅状态；无统一日程"))))))</f>
        <v/>
      </c>
      <c r="E989" s="13">
        <f>IF(C989=Options!$B$9,Options!$C$16,0)</f>
        <v/>
      </c>
      <c r="F989" s="13">
        <f>IF(AND(A989&lt;&gt;"",C989&lt;Options!$B$10),B989*Options!$X$6,0)</f>
        <v/>
      </c>
      <c r="G989" s="13">
        <f>F989*12%</f>
        <v/>
      </c>
      <c r="H989" s="13">
        <f>IF(A989="",0,B989*(92*IF(OR(C989=Options!$B$9,C989=Options!$B$10),75%,100%)-IF(C989=DATE(2026,11,29),26+IF(Options!$B$8="是",23,0),0)-IF(C989=DATE(2026,11,30),26,0)-IF(C989=DATE(2026,12,1),64,0)-IF(C989=DATE(2026,11,28),38,0)-IF(C989=DATE(2026,12,2),26,0)))</f>
        <v/>
      </c>
      <c r="I989" s="13">
        <f>IF(AND(C989&gt;=DATE(2026,11,29),C989&lt;=DATE(2026,12,1)),B989*60,0)</f>
        <v/>
      </c>
      <c r="J989" s="13">
        <f>IF(A989="",0,B989*(IF(C989=DATE(2026,11,28),38,0)+IF(C989=DATE(2026,12,1),38,0)+IF(C989=DATE(2026,12,2),26,0)))</f>
        <v/>
      </c>
      <c r="K989" s="13">
        <f>IF(C989=Options!$B$9,B989*12,0)</f>
        <v/>
      </c>
      <c r="L989" s="13">
        <f>IF(C989=Options!$B$9,B989*Options!$Z$6,0)</f>
        <v/>
      </c>
      <c r="M989" s="13" t="n">
        <v>0</v>
      </c>
      <c r="N989" s="13">
        <f>SUM(E989:M989)</f>
        <v/>
      </c>
    </row>
    <row r="990">
      <c r="A990" s="5">
        <f>IF(AND(C990&gt;=Options!$B$9,C990&lt;=Options!$B$10),"Denver","")</f>
        <v/>
      </c>
      <c r="B990" s="5">
        <f>IF(A990="","",18)</f>
        <v/>
      </c>
      <c r="C990" s="17" t="n">
        <v>46551</v>
      </c>
      <c r="D990" s="5">
        <f>IF(A990="","",IF(C990=DATE(2026,11,29),"培训；注册午餐；早餐参数",IF(C990=DATE(2026,11,30),"培训；注册午餐",IF(C990=DATE(2026,12,1),"培训；注册午餐；机构晚餐",IF(C990=Options!$B$9,"抵达；"&amp;IF(C990=DATE(2026,11,28),"机构晚餐","无统一供餐"),IF(C990=Options!$B$10,"返程；"&amp;IF(C990=DATE(2026,12,2),"机构午餐","无统一供餐"),"差旅状态；无统一日程"))))))</f>
        <v/>
      </c>
      <c r="E990" s="13">
        <f>IF(C990=Options!$B$9,Options!$C$16,0)</f>
        <v/>
      </c>
      <c r="F990" s="13">
        <f>IF(AND(A990&lt;&gt;"",C990&lt;Options!$B$10),B990*Options!$X$6,0)</f>
        <v/>
      </c>
      <c r="G990" s="13">
        <f>F990*12%</f>
        <v/>
      </c>
      <c r="H990" s="13">
        <f>IF(A990="",0,B990*(92*IF(OR(C990=Options!$B$9,C990=Options!$B$10),75%,100%)-IF(C990=DATE(2026,11,29),26+IF(Options!$B$8="是",23,0),0)-IF(C990=DATE(2026,11,30),26,0)-IF(C990=DATE(2026,12,1),64,0)-IF(C990=DATE(2026,11,28),38,0)-IF(C990=DATE(2026,12,2),26,0)))</f>
        <v/>
      </c>
      <c r="I990" s="13">
        <f>IF(AND(C990&gt;=DATE(2026,11,29),C990&lt;=DATE(2026,12,1)),B990*60,0)</f>
        <v/>
      </c>
      <c r="J990" s="13">
        <f>IF(A990="",0,B990*(IF(C990=DATE(2026,11,28),38,0)+IF(C990=DATE(2026,12,1),38,0)+IF(C990=DATE(2026,12,2),26,0)))</f>
        <v/>
      </c>
      <c r="K990" s="13">
        <f>IF(C990=Options!$B$9,B990*12,0)</f>
        <v/>
      </c>
      <c r="L990" s="13">
        <f>IF(C990=Options!$B$9,B990*Options!$Z$6,0)</f>
        <v/>
      </c>
      <c r="M990" s="13" t="n">
        <v>0</v>
      </c>
      <c r="N990" s="13">
        <f>SUM(E990:M990)</f>
        <v/>
      </c>
    </row>
    <row r="991">
      <c r="A991" s="5">
        <f>IF(AND(C991&gt;=Options!$B$9,C991&lt;=Options!$B$10),"Denver","")</f>
        <v/>
      </c>
      <c r="B991" s="5">
        <f>IF(A991="","",18)</f>
        <v/>
      </c>
      <c r="C991" s="17" t="n">
        <v>46552</v>
      </c>
      <c r="D991" s="5">
        <f>IF(A991="","",IF(C991=DATE(2026,11,29),"培训；注册午餐；早餐参数",IF(C991=DATE(2026,11,30),"培训；注册午餐",IF(C991=DATE(2026,12,1),"培训；注册午餐；机构晚餐",IF(C991=Options!$B$9,"抵达；"&amp;IF(C991=DATE(2026,11,28),"机构晚餐","无统一供餐"),IF(C991=Options!$B$10,"返程；"&amp;IF(C991=DATE(2026,12,2),"机构午餐","无统一供餐"),"差旅状态；无统一日程"))))))</f>
        <v/>
      </c>
      <c r="E991" s="13">
        <f>IF(C991=Options!$B$9,Options!$C$16,0)</f>
        <v/>
      </c>
      <c r="F991" s="13">
        <f>IF(AND(A991&lt;&gt;"",C991&lt;Options!$B$10),B991*Options!$X$6,0)</f>
        <v/>
      </c>
      <c r="G991" s="13">
        <f>F991*12%</f>
        <v/>
      </c>
      <c r="H991" s="13">
        <f>IF(A991="",0,B991*(92*IF(OR(C991=Options!$B$9,C991=Options!$B$10),75%,100%)-IF(C991=DATE(2026,11,29),26+IF(Options!$B$8="是",23,0),0)-IF(C991=DATE(2026,11,30),26,0)-IF(C991=DATE(2026,12,1),64,0)-IF(C991=DATE(2026,11,28),38,0)-IF(C991=DATE(2026,12,2),26,0)))</f>
        <v/>
      </c>
      <c r="I991" s="13">
        <f>IF(AND(C991&gt;=DATE(2026,11,29),C991&lt;=DATE(2026,12,1)),B991*60,0)</f>
        <v/>
      </c>
      <c r="J991" s="13">
        <f>IF(A991="",0,B991*(IF(C991=DATE(2026,11,28),38,0)+IF(C991=DATE(2026,12,1),38,0)+IF(C991=DATE(2026,12,2),26,0)))</f>
        <v/>
      </c>
      <c r="K991" s="13">
        <f>IF(C991=Options!$B$9,B991*12,0)</f>
        <v/>
      </c>
      <c r="L991" s="13">
        <f>IF(C991=Options!$B$9,B991*Options!$Z$6,0)</f>
        <v/>
      </c>
      <c r="M991" s="13" t="n">
        <v>0</v>
      </c>
      <c r="N991" s="13">
        <f>SUM(E991:M991)</f>
        <v/>
      </c>
    </row>
    <row r="992">
      <c r="A992" s="5">
        <f>IF(AND(C992&gt;=Options!$B$9,C992&lt;=Options!$B$10),"Denver","")</f>
        <v/>
      </c>
      <c r="B992" s="5">
        <f>IF(A992="","",18)</f>
        <v/>
      </c>
      <c r="C992" s="17" t="n">
        <v>46553</v>
      </c>
      <c r="D992" s="5">
        <f>IF(A992="","",IF(C992=DATE(2026,11,29),"培训；注册午餐；早餐参数",IF(C992=DATE(2026,11,30),"培训；注册午餐",IF(C992=DATE(2026,12,1),"培训；注册午餐；机构晚餐",IF(C992=Options!$B$9,"抵达；"&amp;IF(C992=DATE(2026,11,28),"机构晚餐","无统一供餐"),IF(C992=Options!$B$10,"返程；"&amp;IF(C992=DATE(2026,12,2),"机构午餐","无统一供餐"),"差旅状态；无统一日程"))))))</f>
        <v/>
      </c>
      <c r="E992" s="13">
        <f>IF(C992=Options!$B$9,Options!$C$16,0)</f>
        <v/>
      </c>
      <c r="F992" s="13">
        <f>IF(AND(A992&lt;&gt;"",C992&lt;Options!$B$10),B992*Options!$X$6,0)</f>
        <v/>
      </c>
      <c r="G992" s="13">
        <f>F992*12%</f>
        <v/>
      </c>
      <c r="H992" s="13">
        <f>IF(A992="",0,B992*(92*IF(OR(C992=Options!$B$9,C992=Options!$B$10),75%,100%)-IF(C992=DATE(2026,11,29),26+IF(Options!$B$8="是",23,0),0)-IF(C992=DATE(2026,11,30),26,0)-IF(C992=DATE(2026,12,1),64,0)-IF(C992=DATE(2026,11,28),38,0)-IF(C992=DATE(2026,12,2),26,0)))</f>
        <v/>
      </c>
      <c r="I992" s="13">
        <f>IF(AND(C992&gt;=DATE(2026,11,29),C992&lt;=DATE(2026,12,1)),B992*60,0)</f>
        <v/>
      </c>
      <c r="J992" s="13">
        <f>IF(A992="",0,B992*(IF(C992=DATE(2026,11,28),38,0)+IF(C992=DATE(2026,12,1),38,0)+IF(C992=DATE(2026,12,2),26,0)))</f>
        <v/>
      </c>
      <c r="K992" s="13">
        <f>IF(C992=Options!$B$9,B992*12,0)</f>
        <v/>
      </c>
      <c r="L992" s="13">
        <f>IF(C992=Options!$B$9,B992*Options!$Z$6,0)</f>
        <v/>
      </c>
      <c r="M992" s="13" t="n">
        <v>0</v>
      </c>
      <c r="N992" s="13">
        <f>SUM(E992:M992)</f>
        <v/>
      </c>
    </row>
    <row r="993">
      <c r="A993" s="5">
        <f>IF(AND(C993&gt;=Options!$B$9,C993&lt;=Options!$B$10),"Denver","")</f>
        <v/>
      </c>
      <c r="B993" s="5">
        <f>IF(A993="","",18)</f>
        <v/>
      </c>
      <c r="C993" s="17" t="n">
        <v>46554</v>
      </c>
      <c r="D993" s="5">
        <f>IF(A993="","",IF(C993=DATE(2026,11,29),"培训；注册午餐；早餐参数",IF(C993=DATE(2026,11,30),"培训；注册午餐",IF(C993=DATE(2026,12,1),"培训；注册午餐；机构晚餐",IF(C993=Options!$B$9,"抵达；"&amp;IF(C993=DATE(2026,11,28),"机构晚餐","无统一供餐"),IF(C993=Options!$B$10,"返程；"&amp;IF(C993=DATE(2026,12,2),"机构午餐","无统一供餐"),"差旅状态；无统一日程"))))))</f>
        <v/>
      </c>
      <c r="E993" s="13">
        <f>IF(C993=Options!$B$9,Options!$C$16,0)</f>
        <v/>
      </c>
      <c r="F993" s="13">
        <f>IF(AND(A993&lt;&gt;"",C993&lt;Options!$B$10),B993*Options!$X$6,0)</f>
        <v/>
      </c>
      <c r="G993" s="13">
        <f>F993*12%</f>
        <v/>
      </c>
      <c r="H993" s="13">
        <f>IF(A993="",0,B993*(92*IF(OR(C993=Options!$B$9,C993=Options!$B$10),75%,100%)-IF(C993=DATE(2026,11,29),26+IF(Options!$B$8="是",23,0),0)-IF(C993=DATE(2026,11,30),26,0)-IF(C993=DATE(2026,12,1),64,0)-IF(C993=DATE(2026,11,28),38,0)-IF(C993=DATE(2026,12,2),26,0)))</f>
        <v/>
      </c>
      <c r="I993" s="13">
        <f>IF(AND(C993&gt;=DATE(2026,11,29),C993&lt;=DATE(2026,12,1)),B993*60,0)</f>
        <v/>
      </c>
      <c r="J993" s="13">
        <f>IF(A993="",0,B993*(IF(C993=DATE(2026,11,28),38,0)+IF(C993=DATE(2026,12,1),38,0)+IF(C993=DATE(2026,12,2),26,0)))</f>
        <v/>
      </c>
      <c r="K993" s="13">
        <f>IF(C993=Options!$B$9,B993*12,0)</f>
        <v/>
      </c>
      <c r="L993" s="13">
        <f>IF(C993=Options!$B$9,B993*Options!$Z$6,0)</f>
        <v/>
      </c>
      <c r="M993" s="13" t="n">
        <v>0</v>
      </c>
      <c r="N993" s="13">
        <f>SUM(E993:M993)</f>
        <v/>
      </c>
    </row>
    <row r="994">
      <c r="A994" s="5">
        <f>IF(AND(C994&gt;=Options!$B$9,C994&lt;=Options!$B$10),"Denver","")</f>
        <v/>
      </c>
      <c r="B994" s="5">
        <f>IF(A994="","",18)</f>
        <v/>
      </c>
      <c r="C994" s="17" t="n">
        <v>46555</v>
      </c>
      <c r="D994" s="5">
        <f>IF(A994="","",IF(C994=DATE(2026,11,29),"培训；注册午餐；早餐参数",IF(C994=DATE(2026,11,30),"培训；注册午餐",IF(C994=DATE(2026,12,1),"培训；注册午餐；机构晚餐",IF(C994=Options!$B$9,"抵达；"&amp;IF(C994=DATE(2026,11,28),"机构晚餐","无统一供餐"),IF(C994=Options!$B$10,"返程；"&amp;IF(C994=DATE(2026,12,2),"机构午餐","无统一供餐"),"差旅状态；无统一日程"))))))</f>
        <v/>
      </c>
      <c r="E994" s="13">
        <f>IF(C994=Options!$B$9,Options!$C$16,0)</f>
        <v/>
      </c>
      <c r="F994" s="13">
        <f>IF(AND(A994&lt;&gt;"",C994&lt;Options!$B$10),B994*Options!$X$6,0)</f>
        <v/>
      </c>
      <c r="G994" s="13">
        <f>F994*12%</f>
        <v/>
      </c>
      <c r="H994" s="13">
        <f>IF(A994="",0,B994*(92*IF(OR(C994=Options!$B$9,C994=Options!$B$10),75%,100%)-IF(C994=DATE(2026,11,29),26+IF(Options!$B$8="是",23,0),0)-IF(C994=DATE(2026,11,30),26,0)-IF(C994=DATE(2026,12,1),64,0)-IF(C994=DATE(2026,11,28),38,0)-IF(C994=DATE(2026,12,2),26,0)))</f>
        <v/>
      </c>
      <c r="I994" s="13">
        <f>IF(AND(C994&gt;=DATE(2026,11,29),C994&lt;=DATE(2026,12,1)),B994*60,0)</f>
        <v/>
      </c>
      <c r="J994" s="13">
        <f>IF(A994="",0,B994*(IF(C994=DATE(2026,11,28),38,0)+IF(C994=DATE(2026,12,1),38,0)+IF(C994=DATE(2026,12,2),26,0)))</f>
        <v/>
      </c>
      <c r="K994" s="13">
        <f>IF(C994=Options!$B$9,B994*12,0)</f>
        <v/>
      </c>
      <c r="L994" s="13">
        <f>IF(C994=Options!$B$9,B994*Options!$Z$6,0)</f>
        <v/>
      </c>
      <c r="M994" s="13" t="n">
        <v>0</v>
      </c>
      <c r="N994" s="13">
        <f>SUM(E994:M994)</f>
        <v/>
      </c>
    </row>
    <row r="995">
      <c r="A995" s="5">
        <f>IF(AND(C995&gt;=Options!$B$9,C995&lt;=Options!$B$10),"Denver","")</f>
        <v/>
      </c>
      <c r="B995" s="5">
        <f>IF(A995="","",18)</f>
        <v/>
      </c>
      <c r="C995" s="17" t="n">
        <v>46556</v>
      </c>
      <c r="D995" s="5">
        <f>IF(A995="","",IF(C995=DATE(2026,11,29),"培训；注册午餐；早餐参数",IF(C995=DATE(2026,11,30),"培训；注册午餐",IF(C995=DATE(2026,12,1),"培训；注册午餐；机构晚餐",IF(C995=Options!$B$9,"抵达；"&amp;IF(C995=DATE(2026,11,28),"机构晚餐","无统一供餐"),IF(C995=Options!$B$10,"返程；"&amp;IF(C995=DATE(2026,12,2),"机构午餐","无统一供餐"),"差旅状态；无统一日程"))))))</f>
        <v/>
      </c>
      <c r="E995" s="13">
        <f>IF(C995=Options!$B$9,Options!$C$16,0)</f>
        <v/>
      </c>
      <c r="F995" s="13">
        <f>IF(AND(A995&lt;&gt;"",C995&lt;Options!$B$10),B995*Options!$X$6,0)</f>
        <v/>
      </c>
      <c r="G995" s="13">
        <f>F995*12%</f>
        <v/>
      </c>
      <c r="H995" s="13">
        <f>IF(A995="",0,B995*(92*IF(OR(C995=Options!$B$9,C995=Options!$B$10),75%,100%)-IF(C995=DATE(2026,11,29),26+IF(Options!$B$8="是",23,0),0)-IF(C995=DATE(2026,11,30),26,0)-IF(C995=DATE(2026,12,1),64,0)-IF(C995=DATE(2026,11,28),38,0)-IF(C995=DATE(2026,12,2),26,0)))</f>
        <v/>
      </c>
      <c r="I995" s="13">
        <f>IF(AND(C995&gt;=DATE(2026,11,29),C995&lt;=DATE(2026,12,1)),B995*60,0)</f>
        <v/>
      </c>
      <c r="J995" s="13">
        <f>IF(A995="",0,B995*(IF(C995=DATE(2026,11,28),38,0)+IF(C995=DATE(2026,12,1),38,0)+IF(C995=DATE(2026,12,2),26,0)))</f>
        <v/>
      </c>
      <c r="K995" s="13">
        <f>IF(C995=Options!$B$9,B995*12,0)</f>
        <v/>
      </c>
      <c r="L995" s="13">
        <f>IF(C995=Options!$B$9,B995*Options!$Z$6,0)</f>
        <v/>
      </c>
      <c r="M995" s="13" t="n">
        <v>0</v>
      </c>
      <c r="N995" s="13">
        <f>SUM(E995:M995)</f>
        <v/>
      </c>
    </row>
    <row r="996">
      <c r="A996" s="5">
        <f>IF(AND(C996&gt;=Options!$B$9,C996&lt;=Options!$B$10),"Denver","")</f>
        <v/>
      </c>
      <c r="B996" s="5">
        <f>IF(A996="","",18)</f>
        <v/>
      </c>
      <c r="C996" s="17" t="n">
        <v>46557</v>
      </c>
      <c r="D996" s="5">
        <f>IF(A996="","",IF(C996=DATE(2026,11,29),"培训；注册午餐；早餐参数",IF(C996=DATE(2026,11,30),"培训；注册午餐",IF(C996=DATE(2026,12,1),"培训；注册午餐；机构晚餐",IF(C996=Options!$B$9,"抵达；"&amp;IF(C996=DATE(2026,11,28),"机构晚餐","无统一供餐"),IF(C996=Options!$B$10,"返程；"&amp;IF(C996=DATE(2026,12,2),"机构午餐","无统一供餐"),"差旅状态；无统一日程"))))))</f>
        <v/>
      </c>
      <c r="E996" s="13">
        <f>IF(C996=Options!$B$9,Options!$C$16,0)</f>
        <v/>
      </c>
      <c r="F996" s="13">
        <f>IF(AND(A996&lt;&gt;"",C996&lt;Options!$B$10),B996*Options!$X$6,0)</f>
        <v/>
      </c>
      <c r="G996" s="13">
        <f>F996*12%</f>
        <v/>
      </c>
      <c r="H996" s="13">
        <f>IF(A996="",0,B996*(92*IF(OR(C996=Options!$B$9,C996=Options!$B$10),75%,100%)-IF(C996=DATE(2026,11,29),26+IF(Options!$B$8="是",23,0),0)-IF(C996=DATE(2026,11,30),26,0)-IF(C996=DATE(2026,12,1),64,0)-IF(C996=DATE(2026,11,28),38,0)-IF(C996=DATE(2026,12,2),26,0)))</f>
        <v/>
      </c>
      <c r="I996" s="13">
        <f>IF(AND(C996&gt;=DATE(2026,11,29),C996&lt;=DATE(2026,12,1)),B996*60,0)</f>
        <v/>
      </c>
      <c r="J996" s="13">
        <f>IF(A996="",0,B996*(IF(C996=DATE(2026,11,28),38,0)+IF(C996=DATE(2026,12,1),38,0)+IF(C996=DATE(2026,12,2),26,0)))</f>
        <v/>
      </c>
      <c r="K996" s="13">
        <f>IF(C996=Options!$B$9,B996*12,0)</f>
        <v/>
      </c>
      <c r="L996" s="13">
        <f>IF(C996=Options!$B$9,B996*Options!$Z$6,0)</f>
        <v/>
      </c>
      <c r="M996" s="13" t="n">
        <v>0</v>
      </c>
      <c r="N996" s="13">
        <f>SUM(E996:M996)</f>
        <v/>
      </c>
    </row>
    <row r="997">
      <c r="A997" s="5">
        <f>IF(AND(C997&gt;=Options!$B$9,C997&lt;=Options!$B$10),"Denver","")</f>
        <v/>
      </c>
      <c r="B997" s="5">
        <f>IF(A997="","",18)</f>
        <v/>
      </c>
      <c r="C997" s="17" t="n">
        <v>46558</v>
      </c>
      <c r="D997" s="5">
        <f>IF(A997="","",IF(C997=DATE(2026,11,29),"培训；注册午餐；早餐参数",IF(C997=DATE(2026,11,30),"培训；注册午餐",IF(C997=DATE(2026,12,1),"培训；注册午餐；机构晚餐",IF(C997=Options!$B$9,"抵达；"&amp;IF(C997=DATE(2026,11,28),"机构晚餐","无统一供餐"),IF(C997=Options!$B$10,"返程；"&amp;IF(C997=DATE(2026,12,2),"机构午餐","无统一供餐"),"差旅状态；无统一日程"))))))</f>
        <v/>
      </c>
      <c r="E997" s="13">
        <f>IF(C997=Options!$B$9,Options!$C$16,0)</f>
        <v/>
      </c>
      <c r="F997" s="13">
        <f>IF(AND(A997&lt;&gt;"",C997&lt;Options!$B$10),B997*Options!$X$6,0)</f>
        <v/>
      </c>
      <c r="G997" s="13">
        <f>F997*12%</f>
        <v/>
      </c>
      <c r="H997" s="13">
        <f>IF(A997="",0,B997*(92*IF(OR(C997=Options!$B$9,C997=Options!$B$10),75%,100%)-IF(C997=DATE(2026,11,29),26+IF(Options!$B$8="是",23,0),0)-IF(C997=DATE(2026,11,30),26,0)-IF(C997=DATE(2026,12,1),64,0)-IF(C997=DATE(2026,11,28),38,0)-IF(C997=DATE(2026,12,2),26,0)))</f>
        <v/>
      </c>
      <c r="I997" s="13">
        <f>IF(AND(C997&gt;=DATE(2026,11,29),C997&lt;=DATE(2026,12,1)),B997*60,0)</f>
        <v/>
      </c>
      <c r="J997" s="13">
        <f>IF(A997="",0,B997*(IF(C997=DATE(2026,11,28),38,0)+IF(C997=DATE(2026,12,1),38,0)+IF(C997=DATE(2026,12,2),26,0)))</f>
        <v/>
      </c>
      <c r="K997" s="13">
        <f>IF(C997=Options!$B$9,B997*12,0)</f>
        <v/>
      </c>
      <c r="L997" s="13">
        <f>IF(C997=Options!$B$9,B997*Options!$Z$6,0)</f>
        <v/>
      </c>
      <c r="M997" s="13" t="n">
        <v>0</v>
      </c>
      <c r="N997" s="13">
        <f>SUM(E997:M997)</f>
        <v/>
      </c>
    </row>
    <row r="998">
      <c r="A998" s="5">
        <f>IF(AND(C998&gt;=Options!$B$9,C998&lt;=Options!$B$10),"Denver","")</f>
        <v/>
      </c>
      <c r="B998" s="5">
        <f>IF(A998="","",18)</f>
        <v/>
      </c>
      <c r="C998" s="17" t="n">
        <v>46559</v>
      </c>
      <c r="D998" s="5">
        <f>IF(A998="","",IF(C998=DATE(2026,11,29),"培训；注册午餐；早餐参数",IF(C998=DATE(2026,11,30),"培训；注册午餐",IF(C998=DATE(2026,12,1),"培训；注册午餐；机构晚餐",IF(C998=Options!$B$9,"抵达；"&amp;IF(C998=DATE(2026,11,28),"机构晚餐","无统一供餐"),IF(C998=Options!$B$10,"返程；"&amp;IF(C998=DATE(2026,12,2),"机构午餐","无统一供餐"),"差旅状态；无统一日程"))))))</f>
        <v/>
      </c>
      <c r="E998" s="13">
        <f>IF(C998=Options!$B$9,Options!$C$16,0)</f>
        <v/>
      </c>
      <c r="F998" s="13">
        <f>IF(AND(A998&lt;&gt;"",C998&lt;Options!$B$10),B998*Options!$X$6,0)</f>
        <v/>
      </c>
      <c r="G998" s="13">
        <f>F998*12%</f>
        <v/>
      </c>
      <c r="H998" s="13">
        <f>IF(A998="",0,B998*(92*IF(OR(C998=Options!$B$9,C998=Options!$B$10),75%,100%)-IF(C998=DATE(2026,11,29),26+IF(Options!$B$8="是",23,0),0)-IF(C998=DATE(2026,11,30),26,0)-IF(C998=DATE(2026,12,1),64,0)-IF(C998=DATE(2026,11,28),38,0)-IF(C998=DATE(2026,12,2),26,0)))</f>
        <v/>
      </c>
      <c r="I998" s="13">
        <f>IF(AND(C998&gt;=DATE(2026,11,29),C998&lt;=DATE(2026,12,1)),B998*60,0)</f>
        <v/>
      </c>
      <c r="J998" s="13">
        <f>IF(A998="",0,B998*(IF(C998=DATE(2026,11,28),38,0)+IF(C998=DATE(2026,12,1),38,0)+IF(C998=DATE(2026,12,2),26,0)))</f>
        <v/>
      </c>
      <c r="K998" s="13">
        <f>IF(C998=Options!$B$9,B998*12,0)</f>
        <v/>
      </c>
      <c r="L998" s="13">
        <f>IF(C998=Options!$B$9,B998*Options!$Z$6,0)</f>
        <v/>
      </c>
      <c r="M998" s="13" t="n">
        <v>0</v>
      </c>
      <c r="N998" s="13">
        <f>SUM(E998:M998)</f>
        <v/>
      </c>
    </row>
    <row r="999">
      <c r="A999" s="5">
        <f>IF(AND(C999&gt;=Options!$B$9,C999&lt;=Options!$B$10),"Denver","")</f>
        <v/>
      </c>
      <c r="B999" s="5">
        <f>IF(A999="","",18)</f>
        <v/>
      </c>
      <c r="C999" s="17" t="n">
        <v>46560</v>
      </c>
      <c r="D999" s="5">
        <f>IF(A999="","",IF(C999=DATE(2026,11,29),"培训；注册午餐；早餐参数",IF(C999=DATE(2026,11,30),"培训；注册午餐",IF(C999=DATE(2026,12,1),"培训；注册午餐；机构晚餐",IF(C999=Options!$B$9,"抵达；"&amp;IF(C999=DATE(2026,11,28),"机构晚餐","无统一供餐"),IF(C999=Options!$B$10,"返程；"&amp;IF(C999=DATE(2026,12,2),"机构午餐","无统一供餐"),"差旅状态；无统一日程"))))))</f>
        <v/>
      </c>
      <c r="E999" s="13">
        <f>IF(C999=Options!$B$9,Options!$C$16,0)</f>
        <v/>
      </c>
      <c r="F999" s="13">
        <f>IF(AND(A999&lt;&gt;"",C999&lt;Options!$B$10),B999*Options!$X$6,0)</f>
        <v/>
      </c>
      <c r="G999" s="13">
        <f>F999*12%</f>
        <v/>
      </c>
      <c r="H999" s="13">
        <f>IF(A999="",0,B999*(92*IF(OR(C999=Options!$B$9,C999=Options!$B$10),75%,100%)-IF(C999=DATE(2026,11,29),26+IF(Options!$B$8="是",23,0),0)-IF(C999=DATE(2026,11,30),26,0)-IF(C999=DATE(2026,12,1),64,0)-IF(C999=DATE(2026,11,28),38,0)-IF(C999=DATE(2026,12,2),26,0)))</f>
        <v/>
      </c>
      <c r="I999" s="13">
        <f>IF(AND(C999&gt;=DATE(2026,11,29),C999&lt;=DATE(2026,12,1)),B999*60,0)</f>
        <v/>
      </c>
      <c r="J999" s="13">
        <f>IF(A999="",0,B999*(IF(C999=DATE(2026,11,28),38,0)+IF(C999=DATE(2026,12,1),38,0)+IF(C999=DATE(2026,12,2),26,0)))</f>
        <v/>
      </c>
      <c r="K999" s="13">
        <f>IF(C999=Options!$B$9,B999*12,0)</f>
        <v/>
      </c>
      <c r="L999" s="13">
        <f>IF(C999=Options!$B$9,B999*Options!$Z$6,0)</f>
        <v/>
      </c>
      <c r="M999" s="13" t="n">
        <v>0</v>
      </c>
      <c r="N999" s="13">
        <f>SUM(E999:M999)</f>
        <v/>
      </c>
    </row>
    <row r="1000">
      <c r="A1000" s="5">
        <f>IF(AND(C1000&gt;=Options!$B$9,C1000&lt;=Options!$B$10),"Denver","")</f>
        <v/>
      </c>
      <c r="B1000" s="5">
        <f>IF(A1000="","",18)</f>
        <v/>
      </c>
      <c r="C1000" s="17" t="n">
        <v>46561</v>
      </c>
      <c r="D1000" s="5">
        <f>IF(A1000="","",IF(C1000=DATE(2026,11,29),"培训；注册午餐；早餐参数",IF(C1000=DATE(2026,11,30),"培训；注册午餐",IF(C1000=DATE(2026,12,1),"培训；注册午餐；机构晚餐",IF(C1000=Options!$B$9,"抵达；"&amp;IF(C1000=DATE(2026,11,28),"机构晚餐","无统一供餐"),IF(C1000=Options!$B$10,"返程；"&amp;IF(C1000=DATE(2026,12,2),"机构午餐","无统一供餐"),"差旅状态；无统一日程"))))))</f>
        <v/>
      </c>
      <c r="E1000" s="13">
        <f>IF(C1000=Options!$B$9,Options!$C$16,0)</f>
        <v/>
      </c>
      <c r="F1000" s="13">
        <f>IF(AND(A1000&lt;&gt;"",C1000&lt;Options!$B$10),B1000*Options!$X$6,0)</f>
        <v/>
      </c>
      <c r="G1000" s="13">
        <f>F1000*12%</f>
        <v/>
      </c>
      <c r="H1000" s="13">
        <f>IF(A1000="",0,B1000*(92*IF(OR(C1000=Options!$B$9,C1000=Options!$B$10),75%,100%)-IF(C1000=DATE(2026,11,29),26+IF(Options!$B$8="是",23,0),0)-IF(C1000=DATE(2026,11,30),26,0)-IF(C1000=DATE(2026,12,1),64,0)-IF(C1000=DATE(2026,11,28),38,0)-IF(C1000=DATE(2026,12,2),26,0)))</f>
        <v/>
      </c>
      <c r="I1000" s="13">
        <f>IF(AND(C1000&gt;=DATE(2026,11,29),C1000&lt;=DATE(2026,12,1)),B1000*60,0)</f>
        <v/>
      </c>
      <c r="J1000" s="13">
        <f>IF(A1000="",0,B1000*(IF(C1000=DATE(2026,11,28),38,0)+IF(C1000=DATE(2026,12,1),38,0)+IF(C1000=DATE(2026,12,2),26,0)))</f>
        <v/>
      </c>
      <c r="K1000" s="13">
        <f>IF(C1000=Options!$B$9,B1000*12,0)</f>
        <v/>
      </c>
      <c r="L1000" s="13">
        <f>IF(C1000=Options!$B$9,B1000*Options!$Z$6,0)</f>
        <v/>
      </c>
      <c r="M1000" s="13" t="n">
        <v>0</v>
      </c>
      <c r="N1000" s="13">
        <f>SUM(E1000:M1000)</f>
        <v/>
      </c>
    </row>
    <row r="1001">
      <c r="A1001" s="5">
        <f>IF(AND(C1001&gt;=Options!$B$9,C1001&lt;=Options!$B$10),"Denver","")</f>
        <v/>
      </c>
      <c r="B1001" s="5">
        <f>IF(A1001="","",18)</f>
        <v/>
      </c>
      <c r="C1001" s="17" t="n">
        <v>46562</v>
      </c>
      <c r="D1001" s="5">
        <f>IF(A1001="","",IF(C1001=DATE(2026,11,29),"培训；注册午餐；早餐参数",IF(C1001=DATE(2026,11,30),"培训；注册午餐",IF(C1001=DATE(2026,12,1),"培训；注册午餐；机构晚餐",IF(C1001=Options!$B$9,"抵达；"&amp;IF(C1001=DATE(2026,11,28),"机构晚餐","无统一供餐"),IF(C1001=Options!$B$10,"返程；"&amp;IF(C1001=DATE(2026,12,2),"机构午餐","无统一供餐"),"差旅状态；无统一日程"))))))</f>
        <v/>
      </c>
      <c r="E1001" s="13">
        <f>IF(C1001=Options!$B$9,Options!$C$16,0)</f>
        <v/>
      </c>
      <c r="F1001" s="13">
        <f>IF(AND(A1001&lt;&gt;"",C1001&lt;Options!$B$10),B1001*Options!$X$6,0)</f>
        <v/>
      </c>
      <c r="G1001" s="13">
        <f>F1001*12%</f>
        <v/>
      </c>
      <c r="H1001" s="13">
        <f>IF(A1001="",0,B1001*(92*IF(OR(C1001=Options!$B$9,C1001=Options!$B$10),75%,100%)-IF(C1001=DATE(2026,11,29),26+IF(Options!$B$8="是",23,0),0)-IF(C1001=DATE(2026,11,30),26,0)-IF(C1001=DATE(2026,12,1),64,0)-IF(C1001=DATE(2026,11,28),38,0)-IF(C1001=DATE(2026,12,2),26,0)))</f>
        <v/>
      </c>
      <c r="I1001" s="13">
        <f>IF(AND(C1001&gt;=DATE(2026,11,29),C1001&lt;=DATE(2026,12,1)),B1001*60,0)</f>
        <v/>
      </c>
      <c r="J1001" s="13">
        <f>IF(A1001="",0,B1001*(IF(C1001=DATE(2026,11,28),38,0)+IF(C1001=DATE(2026,12,1),38,0)+IF(C1001=DATE(2026,12,2),26,0)))</f>
        <v/>
      </c>
      <c r="K1001" s="13">
        <f>IF(C1001=Options!$B$9,B1001*12,0)</f>
        <v/>
      </c>
      <c r="L1001" s="13">
        <f>IF(C1001=Options!$B$9,B1001*Options!$Z$6,0)</f>
        <v/>
      </c>
      <c r="M1001" s="13" t="n">
        <v>0</v>
      </c>
      <c r="N1001" s="13">
        <f>SUM(E1001:M1001)</f>
        <v/>
      </c>
    </row>
    <row r="1002">
      <c r="A1002" s="5">
        <f>IF(AND(C1002&gt;=Options!$B$9,C1002&lt;=Options!$B$10),"Denver","")</f>
        <v/>
      </c>
      <c r="B1002" s="5">
        <f>IF(A1002="","",18)</f>
        <v/>
      </c>
      <c r="C1002" s="17" t="n">
        <v>46563</v>
      </c>
      <c r="D1002" s="5">
        <f>IF(A1002="","",IF(C1002=DATE(2026,11,29),"培训；注册午餐；早餐参数",IF(C1002=DATE(2026,11,30),"培训；注册午餐",IF(C1002=DATE(2026,12,1),"培训；注册午餐；机构晚餐",IF(C1002=Options!$B$9,"抵达；"&amp;IF(C1002=DATE(2026,11,28),"机构晚餐","无统一供餐"),IF(C1002=Options!$B$10,"返程；"&amp;IF(C1002=DATE(2026,12,2),"机构午餐","无统一供餐"),"差旅状态；无统一日程"))))))</f>
        <v/>
      </c>
      <c r="E1002" s="13">
        <f>IF(C1002=Options!$B$9,Options!$C$16,0)</f>
        <v/>
      </c>
      <c r="F1002" s="13">
        <f>IF(AND(A1002&lt;&gt;"",C1002&lt;Options!$B$10),B1002*Options!$X$6,0)</f>
        <v/>
      </c>
      <c r="G1002" s="13">
        <f>F1002*12%</f>
        <v/>
      </c>
      <c r="H1002" s="13">
        <f>IF(A1002="",0,B1002*(92*IF(OR(C1002=Options!$B$9,C1002=Options!$B$10),75%,100%)-IF(C1002=DATE(2026,11,29),26+IF(Options!$B$8="是",23,0),0)-IF(C1002=DATE(2026,11,30),26,0)-IF(C1002=DATE(2026,12,1),64,0)-IF(C1002=DATE(2026,11,28),38,0)-IF(C1002=DATE(2026,12,2),26,0)))</f>
        <v/>
      </c>
      <c r="I1002" s="13">
        <f>IF(AND(C1002&gt;=DATE(2026,11,29),C1002&lt;=DATE(2026,12,1)),B1002*60,0)</f>
        <v/>
      </c>
      <c r="J1002" s="13">
        <f>IF(A1002="",0,B1002*(IF(C1002=DATE(2026,11,28),38,0)+IF(C1002=DATE(2026,12,1),38,0)+IF(C1002=DATE(2026,12,2),26,0)))</f>
        <v/>
      </c>
      <c r="K1002" s="13">
        <f>IF(C1002=Options!$B$9,B1002*12,0)</f>
        <v/>
      </c>
      <c r="L1002" s="13">
        <f>IF(C1002=Options!$B$9,B1002*Options!$Z$6,0)</f>
        <v/>
      </c>
      <c r="M1002" s="13" t="n">
        <v>0</v>
      </c>
      <c r="N1002" s="13">
        <f>SUM(E1002:M1002)</f>
        <v/>
      </c>
    </row>
    <row r="1003">
      <c r="A1003" s="5">
        <f>IF(AND(C1003&gt;=Options!$B$9,C1003&lt;=Options!$B$10),"Denver","")</f>
        <v/>
      </c>
      <c r="B1003" s="5">
        <f>IF(A1003="","",18)</f>
        <v/>
      </c>
      <c r="C1003" s="17" t="n">
        <v>46564</v>
      </c>
      <c r="D1003" s="5">
        <f>IF(A1003="","",IF(C1003=DATE(2026,11,29),"培训；注册午餐；早餐参数",IF(C1003=DATE(2026,11,30),"培训；注册午餐",IF(C1003=DATE(2026,12,1),"培训；注册午餐；机构晚餐",IF(C1003=Options!$B$9,"抵达；"&amp;IF(C1003=DATE(2026,11,28),"机构晚餐","无统一供餐"),IF(C1003=Options!$B$10,"返程；"&amp;IF(C1003=DATE(2026,12,2),"机构午餐","无统一供餐"),"差旅状态；无统一日程"))))))</f>
        <v/>
      </c>
      <c r="E1003" s="13">
        <f>IF(C1003=Options!$B$9,Options!$C$16,0)</f>
        <v/>
      </c>
      <c r="F1003" s="13">
        <f>IF(AND(A1003&lt;&gt;"",C1003&lt;Options!$B$10),B1003*Options!$X$6,0)</f>
        <v/>
      </c>
      <c r="G1003" s="13">
        <f>F1003*12%</f>
        <v/>
      </c>
      <c r="H1003" s="13">
        <f>IF(A1003="",0,B1003*(92*IF(OR(C1003=Options!$B$9,C1003=Options!$B$10),75%,100%)-IF(C1003=DATE(2026,11,29),26+IF(Options!$B$8="是",23,0),0)-IF(C1003=DATE(2026,11,30),26,0)-IF(C1003=DATE(2026,12,1),64,0)-IF(C1003=DATE(2026,11,28),38,0)-IF(C1003=DATE(2026,12,2),26,0)))</f>
        <v/>
      </c>
      <c r="I1003" s="13">
        <f>IF(AND(C1003&gt;=DATE(2026,11,29),C1003&lt;=DATE(2026,12,1)),B1003*60,0)</f>
        <v/>
      </c>
      <c r="J1003" s="13">
        <f>IF(A1003="",0,B1003*(IF(C1003=DATE(2026,11,28),38,0)+IF(C1003=DATE(2026,12,1),38,0)+IF(C1003=DATE(2026,12,2),26,0)))</f>
        <v/>
      </c>
      <c r="K1003" s="13">
        <f>IF(C1003=Options!$B$9,B1003*12,0)</f>
        <v/>
      </c>
      <c r="L1003" s="13">
        <f>IF(C1003=Options!$B$9,B1003*Options!$Z$6,0)</f>
        <v/>
      </c>
      <c r="M1003" s="13" t="n">
        <v>0</v>
      </c>
      <c r="N1003" s="13">
        <f>SUM(E1003:M1003)</f>
        <v/>
      </c>
    </row>
    <row r="1004">
      <c r="A1004" s="5">
        <f>IF(AND(C1004&gt;=Options!$B$9,C1004&lt;=Options!$B$10),"Denver","")</f>
        <v/>
      </c>
      <c r="B1004" s="5">
        <f>IF(A1004="","",18)</f>
        <v/>
      </c>
      <c r="C1004" s="17" t="n">
        <v>46565</v>
      </c>
      <c r="D1004" s="5">
        <f>IF(A1004="","",IF(C1004=DATE(2026,11,29),"培训；注册午餐；早餐参数",IF(C1004=DATE(2026,11,30),"培训；注册午餐",IF(C1004=DATE(2026,12,1),"培训；注册午餐；机构晚餐",IF(C1004=Options!$B$9,"抵达；"&amp;IF(C1004=DATE(2026,11,28),"机构晚餐","无统一供餐"),IF(C1004=Options!$B$10,"返程；"&amp;IF(C1004=DATE(2026,12,2),"机构午餐","无统一供餐"),"差旅状态；无统一日程"))))))</f>
        <v/>
      </c>
      <c r="E1004" s="13">
        <f>IF(C1004=Options!$B$9,Options!$C$16,0)</f>
        <v/>
      </c>
      <c r="F1004" s="13">
        <f>IF(AND(A1004&lt;&gt;"",C1004&lt;Options!$B$10),B1004*Options!$X$6,0)</f>
        <v/>
      </c>
      <c r="G1004" s="13">
        <f>F1004*12%</f>
        <v/>
      </c>
      <c r="H1004" s="13">
        <f>IF(A1004="",0,B1004*(92*IF(OR(C1004=Options!$B$9,C1004=Options!$B$10),75%,100%)-IF(C1004=DATE(2026,11,29),26+IF(Options!$B$8="是",23,0),0)-IF(C1004=DATE(2026,11,30),26,0)-IF(C1004=DATE(2026,12,1),64,0)-IF(C1004=DATE(2026,11,28),38,0)-IF(C1004=DATE(2026,12,2),26,0)))</f>
        <v/>
      </c>
      <c r="I1004" s="13">
        <f>IF(AND(C1004&gt;=DATE(2026,11,29),C1004&lt;=DATE(2026,12,1)),B1004*60,0)</f>
        <v/>
      </c>
      <c r="J1004" s="13">
        <f>IF(A1004="",0,B1004*(IF(C1004=DATE(2026,11,28),38,0)+IF(C1004=DATE(2026,12,1),38,0)+IF(C1004=DATE(2026,12,2),26,0)))</f>
        <v/>
      </c>
      <c r="K1004" s="13">
        <f>IF(C1004=Options!$B$9,B1004*12,0)</f>
        <v/>
      </c>
      <c r="L1004" s="13">
        <f>IF(C1004=Options!$B$9,B1004*Options!$Z$6,0)</f>
        <v/>
      </c>
      <c r="M1004" s="13" t="n">
        <v>0</v>
      </c>
      <c r="N1004" s="13">
        <f>SUM(E1004:M1004)</f>
        <v/>
      </c>
    </row>
    <row r="1005">
      <c r="A1005" s="5">
        <f>IF(AND(C1005&gt;=Options!$B$9,C1005&lt;=Options!$B$10),"Denver","")</f>
        <v/>
      </c>
      <c r="B1005" s="5">
        <f>IF(A1005="","",18)</f>
        <v/>
      </c>
      <c r="C1005" s="17" t="n">
        <v>46566</v>
      </c>
      <c r="D1005" s="5">
        <f>IF(A1005="","",IF(C1005=DATE(2026,11,29),"培训；注册午餐；早餐参数",IF(C1005=DATE(2026,11,30),"培训；注册午餐",IF(C1005=DATE(2026,12,1),"培训；注册午餐；机构晚餐",IF(C1005=Options!$B$9,"抵达；"&amp;IF(C1005=DATE(2026,11,28),"机构晚餐","无统一供餐"),IF(C1005=Options!$B$10,"返程；"&amp;IF(C1005=DATE(2026,12,2),"机构午餐","无统一供餐"),"差旅状态；无统一日程"))))))</f>
        <v/>
      </c>
      <c r="E1005" s="13">
        <f>IF(C1005=Options!$B$9,Options!$C$16,0)</f>
        <v/>
      </c>
      <c r="F1005" s="13">
        <f>IF(AND(A1005&lt;&gt;"",C1005&lt;Options!$B$10),B1005*Options!$X$6,0)</f>
        <v/>
      </c>
      <c r="G1005" s="13">
        <f>F1005*12%</f>
        <v/>
      </c>
      <c r="H1005" s="13">
        <f>IF(A1005="",0,B1005*(92*IF(OR(C1005=Options!$B$9,C1005=Options!$B$10),75%,100%)-IF(C1005=DATE(2026,11,29),26+IF(Options!$B$8="是",23,0),0)-IF(C1005=DATE(2026,11,30),26,0)-IF(C1005=DATE(2026,12,1),64,0)-IF(C1005=DATE(2026,11,28),38,0)-IF(C1005=DATE(2026,12,2),26,0)))</f>
        <v/>
      </c>
      <c r="I1005" s="13">
        <f>IF(AND(C1005&gt;=DATE(2026,11,29),C1005&lt;=DATE(2026,12,1)),B1005*60,0)</f>
        <v/>
      </c>
      <c r="J1005" s="13">
        <f>IF(A1005="",0,B1005*(IF(C1005=DATE(2026,11,28),38,0)+IF(C1005=DATE(2026,12,1),38,0)+IF(C1005=DATE(2026,12,2),26,0)))</f>
        <v/>
      </c>
      <c r="K1005" s="13">
        <f>IF(C1005=Options!$B$9,B1005*12,0)</f>
        <v/>
      </c>
      <c r="L1005" s="13">
        <f>IF(C1005=Options!$B$9,B1005*Options!$Z$6,0)</f>
        <v/>
      </c>
      <c r="M1005" s="13" t="n">
        <v>0</v>
      </c>
      <c r="N1005" s="13">
        <f>SUM(E1005:M1005)</f>
        <v/>
      </c>
    </row>
    <row r="1006">
      <c r="A1006" s="5">
        <f>IF(AND(C1006&gt;=Options!$B$9,C1006&lt;=Options!$B$10),"Denver","")</f>
        <v/>
      </c>
      <c r="B1006" s="5">
        <f>IF(A1006="","",18)</f>
        <v/>
      </c>
      <c r="C1006" s="17" t="n">
        <v>46567</v>
      </c>
      <c r="D1006" s="5">
        <f>IF(A1006="","",IF(C1006=DATE(2026,11,29),"培训；注册午餐；早餐参数",IF(C1006=DATE(2026,11,30),"培训；注册午餐",IF(C1006=DATE(2026,12,1),"培训；注册午餐；机构晚餐",IF(C1006=Options!$B$9,"抵达；"&amp;IF(C1006=DATE(2026,11,28),"机构晚餐","无统一供餐"),IF(C1006=Options!$B$10,"返程；"&amp;IF(C1006=DATE(2026,12,2),"机构午餐","无统一供餐"),"差旅状态；无统一日程"))))))</f>
        <v/>
      </c>
      <c r="E1006" s="13">
        <f>IF(C1006=Options!$B$9,Options!$C$16,0)</f>
        <v/>
      </c>
      <c r="F1006" s="13">
        <f>IF(AND(A1006&lt;&gt;"",C1006&lt;Options!$B$10),B1006*Options!$X$6,0)</f>
        <v/>
      </c>
      <c r="G1006" s="13">
        <f>F1006*12%</f>
        <v/>
      </c>
      <c r="H1006" s="13">
        <f>IF(A1006="",0,B1006*(92*IF(OR(C1006=Options!$B$9,C1006=Options!$B$10),75%,100%)-IF(C1006=DATE(2026,11,29),26+IF(Options!$B$8="是",23,0),0)-IF(C1006=DATE(2026,11,30),26,0)-IF(C1006=DATE(2026,12,1),64,0)-IF(C1006=DATE(2026,11,28),38,0)-IF(C1006=DATE(2026,12,2),26,0)))</f>
        <v/>
      </c>
      <c r="I1006" s="13">
        <f>IF(AND(C1006&gt;=DATE(2026,11,29),C1006&lt;=DATE(2026,12,1)),B1006*60,0)</f>
        <v/>
      </c>
      <c r="J1006" s="13">
        <f>IF(A1006="",0,B1006*(IF(C1006=DATE(2026,11,28),38,0)+IF(C1006=DATE(2026,12,1),38,0)+IF(C1006=DATE(2026,12,2),26,0)))</f>
        <v/>
      </c>
      <c r="K1006" s="13">
        <f>IF(C1006=Options!$B$9,B1006*12,0)</f>
        <v/>
      </c>
      <c r="L1006" s="13">
        <f>IF(C1006=Options!$B$9,B1006*Options!$Z$6,0)</f>
        <v/>
      </c>
      <c r="M1006" s="13" t="n">
        <v>0</v>
      </c>
      <c r="N1006" s="13">
        <f>SUM(E1006:M1006)</f>
        <v/>
      </c>
    </row>
    <row r="1007">
      <c r="A1007" s="5">
        <f>IF(AND(C1007&gt;=Options!$B$9,C1007&lt;=Options!$B$10),"Denver","")</f>
        <v/>
      </c>
      <c r="B1007" s="5">
        <f>IF(A1007="","",18)</f>
        <v/>
      </c>
      <c r="C1007" s="17" t="n">
        <v>46568</v>
      </c>
      <c r="D1007" s="5">
        <f>IF(A1007="","",IF(C1007=DATE(2026,11,29),"培训；注册午餐；早餐参数",IF(C1007=DATE(2026,11,30),"培训；注册午餐",IF(C1007=DATE(2026,12,1),"培训；注册午餐；机构晚餐",IF(C1007=Options!$B$9,"抵达；"&amp;IF(C1007=DATE(2026,11,28),"机构晚餐","无统一供餐"),IF(C1007=Options!$B$10,"返程；"&amp;IF(C1007=DATE(2026,12,2),"机构午餐","无统一供餐"),"差旅状态；无统一日程"))))))</f>
        <v/>
      </c>
      <c r="E1007" s="13">
        <f>IF(C1007=Options!$B$9,Options!$C$16,0)</f>
        <v/>
      </c>
      <c r="F1007" s="13">
        <f>IF(AND(A1007&lt;&gt;"",C1007&lt;Options!$B$10),B1007*Options!$X$6,0)</f>
        <v/>
      </c>
      <c r="G1007" s="13">
        <f>F1007*12%</f>
        <v/>
      </c>
      <c r="H1007" s="13">
        <f>IF(A1007="",0,B1007*(92*IF(OR(C1007=Options!$B$9,C1007=Options!$B$10),75%,100%)-IF(C1007=DATE(2026,11,29),26+IF(Options!$B$8="是",23,0),0)-IF(C1007=DATE(2026,11,30),26,0)-IF(C1007=DATE(2026,12,1),64,0)-IF(C1007=DATE(2026,11,28),38,0)-IF(C1007=DATE(2026,12,2),26,0)))</f>
        <v/>
      </c>
      <c r="I1007" s="13">
        <f>IF(AND(C1007&gt;=DATE(2026,11,29),C1007&lt;=DATE(2026,12,1)),B1007*60,0)</f>
        <v/>
      </c>
      <c r="J1007" s="13">
        <f>IF(A1007="",0,B1007*(IF(C1007=DATE(2026,11,28),38,0)+IF(C1007=DATE(2026,12,1),38,0)+IF(C1007=DATE(2026,12,2),26,0)))</f>
        <v/>
      </c>
      <c r="K1007" s="13">
        <f>IF(C1007=Options!$B$9,B1007*12,0)</f>
        <v/>
      </c>
      <c r="L1007" s="13">
        <f>IF(C1007=Options!$B$9,B1007*Options!$Z$6,0)</f>
        <v/>
      </c>
      <c r="M1007" s="13" t="n">
        <v>0</v>
      </c>
      <c r="N1007" s="13">
        <f>SUM(E1007:M1007)</f>
        <v/>
      </c>
    </row>
    <row r="1008">
      <c r="A1008" s="5">
        <f>IF(AND(C1008&gt;=Options!$B$9,C1008&lt;=Options!$B$10),"Denver","")</f>
        <v/>
      </c>
      <c r="B1008" s="5">
        <f>IF(A1008="","",18)</f>
        <v/>
      </c>
      <c r="C1008" s="17" t="n">
        <v>46569</v>
      </c>
      <c r="D1008" s="5">
        <f>IF(A1008="","",IF(C1008=DATE(2026,11,29),"培训；注册午餐；早餐参数",IF(C1008=DATE(2026,11,30),"培训；注册午餐",IF(C1008=DATE(2026,12,1),"培训；注册午餐；机构晚餐",IF(C1008=Options!$B$9,"抵达；"&amp;IF(C1008=DATE(2026,11,28),"机构晚餐","无统一供餐"),IF(C1008=Options!$B$10,"返程；"&amp;IF(C1008=DATE(2026,12,2),"机构午餐","无统一供餐"),"差旅状态；无统一日程"))))))</f>
        <v/>
      </c>
      <c r="E1008" s="13">
        <f>IF(C1008=Options!$B$9,Options!$C$16,0)</f>
        <v/>
      </c>
      <c r="F1008" s="13">
        <f>IF(AND(A1008&lt;&gt;"",C1008&lt;Options!$B$10),B1008*Options!$X$6,0)</f>
        <v/>
      </c>
      <c r="G1008" s="13">
        <f>F1008*12%</f>
        <v/>
      </c>
      <c r="H1008" s="13">
        <f>IF(A1008="",0,B1008*(92*IF(OR(C1008=Options!$B$9,C1008=Options!$B$10),75%,100%)-IF(C1008=DATE(2026,11,29),26+IF(Options!$B$8="是",23,0),0)-IF(C1008=DATE(2026,11,30),26,0)-IF(C1008=DATE(2026,12,1),64,0)-IF(C1008=DATE(2026,11,28),38,0)-IF(C1008=DATE(2026,12,2),26,0)))</f>
        <v/>
      </c>
      <c r="I1008" s="13">
        <f>IF(AND(C1008&gt;=DATE(2026,11,29),C1008&lt;=DATE(2026,12,1)),B1008*60,0)</f>
        <v/>
      </c>
      <c r="J1008" s="13">
        <f>IF(A1008="",0,B1008*(IF(C1008=DATE(2026,11,28),38,0)+IF(C1008=DATE(2026,12,1),38,0)+IF(C1008=DATE(2026,12,2),26,0)))</f>
        <v/>
      </c>
      <c r="K1008" s="13">
        <f>IF(C1008=Options!$B$9,B1008*12,0)</f>
        <v/>
      </c>
      <c r="L1008" s="13">
        <f>IF(C1008=Options!$B$9,B1008*Options!$Z$6,0)</f>
        <v/>
      </c>
      <c r="M1008" s="13" t="n">
        <v>0</v>
      </c>
      <c r="N1008" s="13">
        <f>SUM(E1008:M1008)</f>
        <v/>
      </c>
    </row>
    <row r="1009">
      <c r="A1009" s="5">
        <f>IF(AND(C1009&gt;=Options!$B$9,C1009&lt;=Options!$B$10),"Denver","")</f>
        <v/>
      </c>
      <c r="B1009" s="5">
        <f>IF(A1009="","",18)</f>
        <v/>
      </c>
      <c r="C1009" s="17" t="n">
        <v>46570</v>
      </c>
      <c r="D1009" s="5">
        <f>IF(A1009="","",IF(C1009=DATE(2026,11,29),"培训；注册午餐；早餐参数",IF(C1009=DATE(2026,11,30),"培训；注册午餐",IF(C1009=DATE(2026,12,1),"培训；注册午餐；机构晚餐",IF(C1009=Options!$B$9,"抵达；"&amp;IF(C1009=DATE(2026,11,28),"机构晚餐","无统一供餐"),IF(C1009=Options!$B$10,"返程；"&amp;IF(C1009=DATE(2026,12,2),"机构午餐","无统一供餐"),"差旅状态；无统一日程"))))))</f>
        <v/>
      </c>
      <c r="E1009" s="13">
        <f>IF(C1009=Options!$B$9,Options!$C$16,0)</f>
        <v/>
      </c>
      <c r="F1009" s="13">
        <f>IF(AND(A1009&lt;&gt;"",C1009&lt;Options!$B$10),B1009*Options!$X$6,0)</f>
        <v/>
      </c>
      <c r="G1009" s="13">
        <f>F1009*12%</f>
        <v/>
      </c>
      <c r="H1009" s="13">
        <f>IF(A1009="",0,B1009*(92*IF(OR(C1009=Options!$B$9,C1009=Options!$B$10),75%,100%)-IF(C1009=DATE(2026,11,29),26+IF(Options!$B$8="是",23,0),0)-IF(C1009=DATE(2026,11,30),26,0)-IF(C1009=DATE(2026,12,1),64,0)-IF(C1009=DATE(2026,11,28),38,0)-IF(C1009=DATE(2026,12,2),26,0)))</f>
        <v/>
      </c>
      <c r="I1009" s="13">
        <f>IF(AND(C1009&gt;=DATE(2026,11,29),C1009&lt;=DATE(2026,12,1)),B1009*60,0)</f>
        <v/>
      </c>
      <c r="J1009" s="13">
        <f>IF(A1009="",0,B1009*(IF(C1009=DATE(2026,11,28),38,0)+IF(C1009=DATE(2026,12,1),38,0)+IF(C1009=DATE(2026,12,2),26,0)))</f>
        <v/>
      </c>
      <c r="K1009" s="13">
        <f>IF(C1009=Options!$B$9,B1009*12,0)</f>
        <v/>
      </c>
      <c r="L1009" s="13">
        <f>IF(C1009=Options!$B$9,B1009*Options!$Z$6,0)</f>
        <v/>
      </c>
      <c r="M1009" s="13" t="n">
        <v>0</v>
      </c>
      <c r="N1009" s="13">
        <f>SUM(E1009:M1009)</f>
        <v/>
      </c>
    </row>
    <row r="1010">
      <c r="A1010" s="5">
        <f>IF(AND(C1010&gt;=Options!$B$9,C1010&lt;=Options!$B$10),"Denver","")</f>
        <v/>
      </c>
      <c r="B1010" s="5">
        <f>IF(A1010="","",18)</f>
        <v/>
      </c>
      <c r="C1010" s="17" t="n">
        <v>46571</v>
      </c>
      <c r="D1010" s="5">
        <f>IF(A1010="","",IF(C1010=DATE(2026,11,29),"培训；注册午餐；早餐参数",IF(C1010=DATE(2026,11,30),"培训；注册午餐",IF(C1010=DATE(2026,12,1),"培训；注册午餐；机构晚餐",IF(C1010=Options!$B$9,"抵达；"&amp;IF(C1010=DATE(2026,11,28),"机构晚餐","无统一供餐"),IF(C1010=Options!$B$10,"返程；"&amp;IF(C1010=DATE(2026,12,2),"机构午餐","无统一供餐"),"差旅状态；无统一日程"))))))</f>
        <v/>
      </c>
      <c r="E1010" s="13">
        <f>IF(C1010=Options!$B$9,Options!$C$16,0)</f>
        <v/>
      </c>
      <c r="F1010" s="13">
        <f>IF(AND(A1010&lt;&gt;"",C1010&lt;Options!$B$10),B1010*Options!$X$6,0)</f>
        <v/>
      </c>
      <c r="G1010" s="13">
        <f>F1010*12%</f>
        <v/>
      </c>
      <c r="H1010" s="13">
        <f>IF(A1010="",0,B1010*(92*IF(OR(C1010=Options!$B$9,C1010=Options!$B$10),75%,100%)-IF(C1010=DATE(2026,11,29),26+IF(Options!$B$8="是",23,0),0)-IF(C1010=DATE(2026,11,30),26,0)-IF(C1010=DATE(2026,12,1),64,0)-IF(C1010=DATE(2026,11,28),38,0)-IF(C1010=DATE(2026,12,2),26,0)))</f>
        <v/>
      </c>
      <c r="I1010" s="13">
        <f>IF(AND(C1010&gt;=DATE(2026,11,29),C1010&lt;=DATE(2026,12,1)),B1010*60,0)</f>
        <v/>
      </c>
      <c r="J1010" s="13">
        <f>IF(A1010="",0,B1010*(IF(C1010=DATE(2026,11,28),38,0)+IF(C1010=DATE(2026,12,1),38,0)+IF(C1010=DATE(2026,12,2),26,0)))</f>
        <v/>
      </c>
      <c r="K1010" s="13">
        <f>IF(C1010=Options!$B$9,B1010*12,0)</f>
        <v/>
      </c>
      <c r="L1010" s="13">
        <f>IF(C1010=Options!$B$9,B1010*Options!$Z$6,0)</f>
        <v/>
      </c>
      <c r="M1010" s="13" t="n">
        <v>0</v>
      </c>
      <c r="N1010" s="13">
        <f>SUM(E1010:M1010)</f>
        <v/>
      </c>
    </row>
    <row r="1011">
      <c r="A1011" s="5">
        <f>IF(AND(C1011&gt;=Options!$B$9,C1011&lt;=Options!$B$10),"Denver","")</f>
        <v/>
      </c>
      <c r="B1011" s="5">
        <f>IF(A1011="","",18)</f>
        <v/>
      </c>
      <c r="C1011" s="17" t="n">
        <v>46572</v>
      </c>
      <c r="D1011" s="5">
        <f>IF(A1011="","",IF(C1011=DATE(2026,11,29),"培训；注册午餐；早餐参数",IF(C1011=DATE(2026,11,30),"培训；注册午餐",IF(C1011=DATE(2026,12,1),"培训；注册午餐；机构晚餐",IF(C1011=Options!$B$9,"抵达；"&amp;IF(C1011=DATE(2026,11,28),"机构晚餐","无统一供餐"),IF(C1011=Options!$B$10,"返程；"&amp;IF(C1011=DATE(2026,12,2),"机构午餐","无统一供餐"),"差旅状态；无统一日程"))))))</f>
        <v/>
      </c>
      <c r="E1011" s="13">
        <f>IF(C1011=Options!$B$9,Options!$C$16,0)</f>
        <v/>
      </c>
      <c r="F1011" s="13">
        <f>IF(AND(A1011&lt;&gt;"",C1011&lt;Options!$B$10),B1011*Options!$X$6,0)</f>
        <v/>
      </c>
      <c r="G1011" s="13">
        <f>F1011*12%</f>
        <v/>
      </c>
      <c r="H1011" s="13">
        <f>IF(A1011="",0,B1011*(92*IF(OR(C1011=Options!$B$9,C1011=Options!$B$10),75%,100%)-IF(C1011=DATE(2026,11,29),26+IF(Options!$B$8="是",23,0),0)-IF(C1011=DATE(2026,11,30),26,0)-IF(C1011=DATE(2026,12,1),64,0)-IF(C1011=DATE(2026,11,28),38,0)-IF(C1011=DATE(2026,12,2),26,0)))</f>
        <v/>
      </c>
      <c r="I1011" s="13">
        <f>IF(AND(C1011&gt;=DATE(2026,11,29),C1011&lt;=DATE(2026,12,1)),B1011*60,0)</f>
        <v/>
      </c>
      <c r="J1011" s="13">
        <f>IF(A1011="",0,B1011*(IF(C1011=DATE(2026,11,28),38,0)+IF(C1011=DATE(2026,12,1),38,0)+IF(C1011=DATE(2026,12,2),26,0)))</f>
        <v/>
      </c>
      <c r="K1011" s="13">
        <f>IF(C1011=Options!$B$9,B1011*12,0)</f>
        <v/>
      </c>
      <c r="L1011" s="13">
        <f>IF(C1011=Options!$B$9,B1011*Options!$Z$6,0)</f>
        <v/>
      </c>
      <c r="M1011" s="13" t="n">
        <v>0</v>
      </c>
      <c r="N1011" s="13">
        <f>SUM(E1011:M1011)</f>
        <v/>
      </c>
    </row>
    <row r="1012">
      <c r="A1012" s="5">
        <f>IF(AND(C1012&gt;=Options!$B$9,C1012&lt;=Options!$B$10),"Denver","")</f>
        <v/>
      </c>
      <c r="B1012" s="5">
        <f>IF(A1012="","",18)</f>
        <v/>
      </c>
      <c r="C1012" s="17" t="n">
        <v>46573</v>
      </c>
      <c r="D1012" s="5">
        <f>IF(A1012="","",IF(C1012=DATE(2026,11,29),"培训；注册午餐；早餐参数",IF(C1012=DATE(2026,11,30),"培训；注册午餐",IF(C1012=DATE(2026,12,1),"培训；注册午餐；机构晚餐",IF(C1012=Options!$B$9,"抵达；"&amp;IF(C1012=DATE(2026,11,28),"机构晚餐","无统一供餐"),IF(C1012=Options!$B$10,"返程；"&amp;IF(C1012=DATE(2026,12,2),"机构午餐","无统一供餐"),"差旅状态；无统一日程"))))))</f>
        <v/>
      </c>
      <c r="E1012" s="13">
        <f>IF(C1012=Options!$B$9,Options!$C$16,0)</f>
        <v/>
      </c>
      <c r="F1012" s="13">
        <f>IF(AND(A1012&lt;&gt;"",C1012&lt;Options!$B$10),B1012*Options!$X$6,0)</f>
        <v/>
      </c>
      <c r="G1012" s="13">
        <f>F1012*12%</f>
        <v/>
      </c>
      <c r="H1012" s="13">
        <f>IF(A1012="",0,B1012*(92*IF(OR(C1012=Options!$B$9,C1012=Options!$B$10),75%,100%)-IF(C1012=DATE(2026,11,29),26+IF(Options!$B$8="是",23,0),0)-IF(C1012=DATE(2026,11,30),26,0)-IF(C1012=DATE(2026,12,1),64,0)-IF(C1012=DATE(2026,11,28),38,0)-IF(C1012=DATE(2026,12,2),26,0)))</f>
        <v/>
      </c>
      <c r="I1012" s="13">
        <f>IF(AND(C1012&gt;=DATE(2026,11,29),C1012&lt;=DATE(2026,12,1)),B1012*60,0)</f>
        <v/>
      </c>
      <c r="J1012" s="13">
        <f>IF(A1012="",0,B1012*(IF(C1012=DATE(2026,11,28),38,0)+IF(C1012=DATE(2026,12,1),38,0)+IF(C1012=DATE(2026,12,2),26,0)))</f>
        <v/>
      </c>
      <c r="K1012" s="13">
        <f>IF(C1012=Options!$B$9,B1012*12,0)</f>
        <v/>
      </c>
      <c r="L1012" s="13">
        <f>IF(C1012=Options!$B$9,B1012*Options!$Z$6,0)</f>
        <v/>
      </c>
      <c r="M1012" s="13" t="n">
        <v>0</v>
      </c>
      <c r="N1012" s="13">
        <f>SUM(E1012:M1012)</f>
        <v/>
      </c>
    </row>
    <row r="1013">
      <c r="A1013" s="5">
        <f>IF(AND(C1013&gt;=Options!$B$9,C1013&lt;=Options!$B$10),"Denver","")</f>
        <v/>
      </c>
      <c r="B1013" s="5">
        <f>IF(A1013="","",18)</f>
        <v/>
      </c>
      <c r="C1013" s="17" t="n">
        <v>46574</v>
      </c>
      <c r="D1013" s="5">
        <f>IF(A1013="","",IF(C1013=DATE(2026,11,29),"培训；注册午餐；早餐参数",IF(C1013=DATE(2026,11,30),"培训；注册午餐",IF(C1013=DATE(2026,12,1),"培训；注册午餐；机构晚餐",IF(C1013=Options!$B$9,"抵达；"&amp;IF(C1013=DATE(2026,11,28),"机构晚餐","无统一供餐"),IF(C1013=Options!$B$10,"返程；"&amp;IF(C1013=DATE(2026,12,2),"机构午餐","无统一供餐"),"差旅状态；无统一日程"))))))</f>
        <v/>
      </c>
      <c r="E1013" s="13">
        <f>IF(C1013=Options!$B$9,Options!$C$16,0)</f>
        <v/>
      </c>
      <c r="F1013" s="13">
        <f>IF(AND(A1013&lt;&gt;"",C1013&lt;Options!$B$10),B1013*Options!$X$6,0)</f>
        <v/>
      </c>
      <c r="G1013" s="13">
        <f>F1013*12%</f>
        <v/>
      </c>
      <c r="H1013" s="13">
        <f>IF(A1013="",0,B1013*(92*IF(OR(C1013=Options!$B$9,C1013=Options!$B$10),75%,100%)-IF(C1013=DATE(2026,11,29),26+IF(Options!$B$8="是",23,0),0)-IF(C1013=DATE(2026,11,30),26,0)-IF(C1013=DATE(2026,12,1),64,0)-IF(C1013=DATE(2026,11,28),38,0)-IF(C1013=DATE(2026,12,2),26,0)))</f>
        <v/>
      </c>
      <c r="I1013" s="13">
        <f>IF(AND(C1013&gt;=DATE(2026,11,29),C1013&lt;=DATE(2026,12,1)),B1013*60,0)</f>
        <v/>
      </c>
      <c r="J1013" s="13">
        <f>IF(A1013="",0,B1013*(IF(C1013=DATE(2026,11,28),38,0)+IF(C1013=DATE(2026,12,1),38,0)+IF(C1013=DATE(2026,12,2),26,0)))</f>
        <v/>
      </c>
      <c r="K1013" s="13">
        <f>IF(C1013=Options!$B$9,B1013*12,0)</f>
        <v/>
      </c>
      <c r="L1013" s="13">
        <f>IF(C1013=Options!$B$9,B1013*Options!$Z$6,0)</f>
        <v/>
      </c>
      <c r="M1013" s="13" t="n">
        <v>0</v>
      </c>
      <c r="N1013" s="13">
        <f>SUM(E1013:M1013)</f>
        <v/>
      </c>
    </row>
    <row r="1014">
      <c r="A1014" s="5">
        <f>IF(AND(C1014&gt;=Options!$B$9,C1014&lt;=Options!$B$10),"Denver","")</f>
        <v/>
      </c>
      <c r="B1014" s="5">
        <f>IF(A1014="","",18)</f>
        <v/>
      </c>
      <c r="C1014" s="17" t="n">
        <v>46575</v>
      </c>
      <c r="D1014" s="5">
        <f>IF(A1014="","",IF(C1014=DATE(2026,11,29),"培训；注册午餐；早餐参数",IF(C1014=DATE(2026,11,30),"培训；注册午餐",IF(C1014=DATE(2026,12,1),"培训；注册午餐；机构晚餐",IF(C1014=Options!$B$9,"抵达；"&amp;IF(C1014=DATE(2026,11,28),"机构晚餐","无统一供餐"),IF(C1014=Options!$B$10,"返程；"&amp;IF(C1014=DATE(2026,12,2),"机构午餐","无统一供餐"),"差旅状态；无统一日程"))))))</f>
        <v/>
      </c>
      <c r="E1014" s="13">
        <f>IF(C1014=Options!$B$9,Options!$C$16,0)</f>
        <v/>
      </c>
      <c r="F1014" s="13">
        <f>IF(AND(A1014&lt;&gt;"",C1014&lt;Options!$B$10),B1014*Options!$X$6,0)</f>
        <v/>
      </c>
      <c r="G1014" s="13">
        <f>F1014*12%</f>
        <v/>
      </c>
      <c r="H1014" s="13">
        <f>IF(A1014="",0,B1014*(92*IF(OR(C1014=Options!$B$9,C1014=Options!$B$10),75%,100%)-IF(C1014=DATE(2026,11,29),26+IF(Options!$B$8="是",23,0),0)-IF(C1014=DATE(2026,11,30),26,0)-IF(C1014=DATE(2026,12,1),64,0)-IF(C1014=DATE(2026,11,28),38,0)-IF(C1014=DATE(2026,12,2),26,0)))</f>
        <v/>
      </c>
      <c r="I1014" s="13">
        <f>IF(AND(C1014&gt;=DATE(2026,11,29),C1014&lt;=DATE(2026,12,1)),B1014*60,0)</f>
        <v/>
      </c>
      <c r="J1014" s="13">
        <f>IF(A1014="",0,B1014*(IF(C1014=DATE(2026,11,28),38,0)+IF(C1014=DATE(2026,12,1),38,0)+IF(C1014=DATE(2026,12,2),26,0)))</f>
        <v/>
      </c>
      <c r="K1014" s="13">
        <f>IF(C1014=Options!$B$9,B1014*12,0)</f>
        <v/>
      </c>
      <c r="L1014" s="13">
        <f>IF(C1014=Options!$B$9,B1014*Options!$Z$6,0)</f>
        <v/>
      </c>
      <c r="M1014" s="13" t="n">
        <v>0</v>
      </c>
      <c r="N1014" s="13">
        <f>SUM(E1014:M1014)</f>
        <v/>
      </c>
    </row>
    <row r="1015">
      <c r="A1015" s="5">
        <f>IF(AND(C1015&gt;=Options!$B$9,C1015&lt;=Options!$B$10),"Denver","")</f>
        <v/>
      </c>
      <c r="B1015" s="5">
        <f>IF(A1015="","",18)</f>
        <v/>
      </c>
      <c r="C1015" s="17" t="n">
        <v>46576</v>
      </c>
      <c r="D1015" s="5">
        <f>IF(A1015="","",IF(C1015=DATE(2026,11,29),"培训；注册午餐；早餐参数",IF(C1015=DATE(2026,11,30),"培训；注册午餐",IF(C1015=DATE(2026,12,1),"培训；注册午餐；机构晚餐",IF(C1015=Options!$B$9,"抵达；"&amp;IF(C1015=DATE(2026,11,28),"机构晚餐","无统一供餐"),IF(C1015=Options!$B$10,"返程；"&amp;IF(C1015=DATE(2026,12,2),"机构午餐","无统一供餐"),"差旅状态；无统一日程"))))))</f>
        <v/>
      </c>
      <c r="E1015" s="13">
        <f>IF(C1015=Options!$B$9,Options!$C$16,0)</f>
        <v/>
      </c>
      <c r="F1015" s="13">
        <f>IF(AND(A1015&lt;&gt;"",C1015&lt;Options!$B$10),B1015*Options!$X$6,0)</f>
        <v/>
      </c>
      <c r="G1015" s="13">
        <f>F1015*12%</f>
        <v/>
      </c>
      <c r="H1015" s="13">
        <f>IF(A1015="",0,B1015*(92*IF(OR(C1015=Options!$B$9,C1015=Options!$B$10),75%,100%)-IF(C1015=DATE(2026,11,29),26+IF(Options!$B$8="是",23,0),0)-IF(C1015=DATE(2026,11,30),26,0)-IF(C1015=DATE(2026,12,1),64,0)-IF(C1015=DATE(2026,11,28),38,0)-IF(C1015=DATE(2026,12,2),26,0)))</f>
        <v/>
      </c>
      <c r="I1015" s="13">
        <f>IF(AND(C1015&gt;=DATE(2026,11,29),C1015&lt;=DATE(2026,12,1)),B1015*60,0)</f>
        <v/>
      </c>
      <c r="J1015" s="13">
        <f>IF(A1015="",0,B1015*(IF(C1015=DATE(2026,11,28),38,0)+IF(C1015=DATE(2026,12,1),38,0)+IF(C1015=DATE(2026,12,2),26,0)))</f>
        <v/>
      </c>
      <c r="K1015" s="13">
        <f>IF(C1015=Options!$B$9,B1015*12,0)</f>
        <v/>
      </c>
      <c r="L1015" s="13">
        <f>IF(C1015=Options!$B$9,B1015*Options!$Z$6,0)</f>
        <v/>
      </c>
      <c r="M1015" s="13" t="n">
        <v>0</v>
      </c>
      <c r="N1015" s="13">
        <f>SUM(E1015:M1015)</f>
        <v/>
      </c>
    </row>
    <row r="1016">
      <c r="A1016" s="5">
        <f>IF(AND(C1016&gt;=Options!$B$9,C1016&lt;=Options!$B$10),"Denver","")</f>
        <v/>
      </c>
      <c r="B1016" s="5">
        <f>IF(A1016="","",18)</f>
        <v/>
      </c>
      <c r="C1016" s="17" t="n">
        <v>46577</v>
      </c>
      <c r="D1016" s="5">
        <f>IF(A1016="","",IF(C1016=DATE(2026,11,29),"培训；注册午餐；早餐参数",IF(C1016=DATE(2026,11,30),"培训；注册午餐",IF(C1016=DATE(2026,12,1),"培训；注册午餐；机构晚餐",IF(C1016=Options!$B$9,"抵达；"&amp;IF(C1016=DATE(2026,11,28),"机构晚餐","无统一供餐"),IF(C1016=Options!$B$10,"返程；"&amp;IF(C1016=DATE(2026,12,2),"机构午餐","无统一供餐"),"差旅状态；无统一日程"))))))</f>
        <v/>
      </c>
      <c r="E1016" s="13">
        <f>IF(C1016=Options!$B$9,Options!$C$16,0)</f>
        <v/>
      </c>
      <c r="F1016" s="13">
        <f>IF(AND(A1016&lt;&gt;"",C1016&lt;Options!$B$10),B1016*Options!$X$6,0)</f>
        <v/>
      </c>
      <c r="G1016" s="13">
        <f>F1016*12%</f>
        <v/>
      </c>
      <c r="H1016" s="13">
        <f>IF(A1016="",0,B1016*(92*IF(OR(C1016=Options!$B$9,C1016=Options!$B$10),75%,100%)-IF(C1016=DATE(2026,11,29),26+IF(Options!$B$8="是",23,0),0)-IF(C1016=DATE(2026,11,30),26,0)-IF(C1016=DATE(2026,12,1),64,0)-IF(C1016=DATE(2026,11,28),38,0)-IF(C1016=DATE(2026,12,2),26,0)))</f>
        <v/>
      </c>
      <c r="I1016" s="13">
        <f>IF(AND(C1016&gt;=DATE(2026,11,29),C1016&lt;=DATE(2026,12,1)),B1016*60,0)</f>
        <v/>
      </c>
      <c r="J1016" s="13">
        <f>IF(A1016="",0,B1016*(IF(C1016=DATE(2026,11,28),38,0)+IF(C1016=DATE(2026,12,1),38,0)+IF(C1016=DATE(2026,12,2),26,0)))</f>
        <v/>
      </c>
      <c r="K1016" s="13">
        <f>IF(C1016=Options!$B$9,B1016*12,0)</f>
        <v/>
      </c>
      <c r="L1016" s="13">
        <f>IF(C1016=Options!$B$9,B1016*Options!$Z$6,0)</f>
        <v/>
      </c>
      <c r="M1016" s="13" t="n">
        <v>0</v>
      </c>
      <c r="N1016" s="13">
        <f>SUM(E1016:M1016)</f>
        <v/>
      </c>
    </row>
    <row r="1017">
      <c r="A1017" s="5">
        <f>IF(AND(C1017&gt;=Options!$B$9,C1017&lt;=Options!$B$10),"Denver","")</f>
        <v/>
      </c>
      <c r="B1017" s="5">
        <f>IF(A1017="","",18)</f>
        <v/>
      </c>
      <c r="C1017" s="17" t="n">
        <v>46578</v>
      </c>
      <c r="D1017" s="5">
        <f>IF(A1017="","",IF(C1017=DATE(2026,11,29),"培训；注册午餐；早餐参数",IF(C1017=DATE(2026,11,30),"培训；注册午餐",IF(C1017=DATE(2026,12,1),"培训；注册午餐；机构晚餐",IF(C1017=Options!$B$9,"抵达；"&amp;IF(C1017=DATE(2026,11,28),"机构晚餐","无统一供餐"),IF(C1017=Options!$B$10,"返程；"&amp;IF(C1017=DATE(2026,12,2),"机构午餐","无统一供餐"),"差旅状态；无统一日程"))))))</f>
        <v/>
      </c>
      <c r="E1017" s="13">
        <f>IF(C1017=Options!$B$9,Options!$C$16,0)</f>
        <v/>
      </c>
      <c r="F1017" s="13">
        <f>IF(AND(A1017&lt;&gt;"",C1017&lt;Options!$B$10),B1017*Options!$X$6,0)</f>
        <v/>
      </c>
      <c r="G1017" s="13">
        <f>F1017*12%</f>
        <v/>
      </c>
      <c r="H1017" s="13">
        <f>IF(A1017="",0,B1017*(92*IF(OR(C1017=Options!$B$9,C1017=Options!$B$10),75%,100%)-IF(C1017=DATE(2026,11,29),26+IF(Options!$B$8="是",23,0),0)-IF(C1017=DATE(2026,11,30),26,0)-IF(C1017=DATE(2026,12,1),64,0)-IF(C1017=DATE(2026,11,28),38,0)-IF(C1017=DATE(2026,12,2),26,0)))</f>
        <v/>
      </c>
      <c r="I1017" s="13">
        <f>IF(AND(C1017&gt;=DATE(2026,11,29),C1017&lt;=DATE(2026,12,1)),B1017*60,0)</f>
        <v/>
      </c>
      <c r="J1017" s="13">
        <f>IF(A1017="",0,B1017*(IF(C1017=DATE(2026,11,28),38,0)+IF(C1017=DATE(2026,12,1),38,0)+IF(C1017=DATE(2026,12,2),26,0)))</f>
        <v/>
      </c>
      <c r="K1017" s="13">
        <f>IF(C1017=Options!$B$9,B1017*12,0)</f>
        <v/>
      </c>
      <c r="L1017" s="13">
        <f>IF(C1017=Options!$B$9,B1017*Options!$Z$6,0)</f>
        <v/>
      </c>
      <c r="M1017" s="13" t="n">
        <v>0</v>
      </c>
      <c r="N1017" s="13">
        <f>SUM(E1017:M1017)</f>
        <v/>
      </c>
    </row>
    <row r="1018">
      <c r="A1018" s="5">
        <f>IF(AND(C1018&gt;=Options!$B$9,C1018&lt;=Options!$B$10),"Denver","")</f>
        <v/>
      </c>
      <c r="B1018" s="5">
        <f>IF(A1018="","",18)</f>
        <v/>
      </c>
      <c r="C1018" s="17" t="n">
        <v>46579</v>
      </c>
      <c r="D1018" s="5">
        <f>IF(A1018="","",IF(C1018=DATE(2026,11,29),"培训；注册午餐；早餐参数",IF(C1018=DATE(2026,11,30),"培训；注册午餐",IF(C1018=DATE(2026,12,1),"培训；注册午餐；机构晚餐",IF(C1018=Options!$B$9,"抵达；"&amp;IF(C1018=DATE(2026,11,28),"机构晚餐","无统一供餐"),IF(C1018=Options!$B$10,"返程；"&amp;IF(C1018=DATE(2026,12,2),"机构午餐","无统一供餐"),"差旅状态；无统一日程"))))))</f>
        <v/>
      </c>
      <c r="E1018" s="13">
        <f>IF(C1018=Options!$B$9,Options!$C$16,0)</f>
        <v/>
      </c>
      <c r="F1018" s="13">
        <f>IF(AND(A1018&lt;&gt;"",C1018&lt;Options!$B$10),B1018*Options!$X$6,0)</f>
        <v/>
      </c>
      <c r="G1018" s="13">
        <f>F1018*12%</f>
        <v/>
      </c>
      <c r="H1018" s="13">
        <f>IF(A1018="",0,B1018*(92*IF(OR(C1018=Options!$B$9,C1018=Options!$B$10),75%,100%)-IF(C1018=DATE(2026,11,29),26+IF(Options!$B$8="是",23,0),0)-IF(C1018=DATE(2026,11,30),26,0)-IF(C1018=DATE(2026,12,1),64,0)-IF(C1018=DATE(2026,11,28),38,0)-IF(C1018=DATE(2026,12,2),26,0)))</f>
        <v/>
      </c>
      <c r="I1018" s="13">
        <f>IF(AND(C1018&gt;=DATE(2026,11,29),C1018&lt;=DATE(2026,12,1)),B1018*60,0)</f>
        <v/>
      </c>
      <c r="J1018" s="13">
        <f>IF(A1018="",0,B1018*(IF(C1018=DATE(2026,11,28),38,0)+IF(C1018=DATE(2026,12,1),38,0)+IF(C1018=DATE(2026,12,2),26,0)))</f>
        <v/>
      </c>
      <c r="K1018" s="13">
        <f>IF(C1018=Options!$B$9,B1018*12,0)</f>
        <v/>
      </c>
      <c r="L1018" s="13">
        <f>IF(C1018=Options!$B$9,B1018*Options!$Z$6,0)</f>
        <v/>
      </c>
      <c r="M1018" s="13" t="n">
        <v>0</v>
      </c>
      <c r="N1018" s="13">
        <f>SUM(E1018:M1018)</f>
        <v/>
      </c>
    </row>
    <row r="1019">
      <c r="A1019" s="5">
        <f>IF(AND(C1019&gt;=Options!$B$9,C1019&lt;=Options!$B$10),"Denver","")</f>
        <v/>
      </c>
      <c r="B1019" s="5">
        <f>IF(A1019="","",18)</f>
        <v/>
      </c>
      <c r="C1019" s="17" t="n">
        <v>46580</v>
      </c>
      <c r="D1019" s="5">
        <f>IF(A1019="","",IF(C1019=DATE(2026,11,29),"培训；注册午餐；早餐参数",IF(C1019=DATE(2026,11,30),"培训；注册午餐",IF(C1019=DATE(2026,12,1),"培训；注册午餐；机构晚餐",IF(C1019=Options!$B$9,"抵达；"&amp;IF(C1019=DATE(2026,11,28),"机构晚餐","无统一供餐"),IF(C1019=Options!$B$10,"返程；"&amp;IF(C1019=DATE(2026,12,2),"机构午餐","无统一供餐"),"差旅状态；无统一日程"))))))</f>
        <v/>
      </c>
      <c r="E1019" s="13">
        <f>IF(C1019=Options!$B$9,Options!$C$16,0)</f>
        <v/>
      </c>
      <c r="F1019" s="13">
        <f>IF(AND(A1019&lt;&gt;"",C1019&lt;Options!$B$10),B1019*Options!$X$6,0)</f>
        <v/>
      </c>
      <c r="G1019" s="13">
        <f>F1019*12%</f>
        <v/>
      </c>
      <c r="H1019" s="13">
        <f>IF(A1019="",0,B1019*(92*IF(OR(C1019=Options!$B$9,C1019=Options!$B$10),75%,100%)-IF(C1019=DATE(2026,11,29),26+IF(Options!$B$8="是",23,0),0)-IF(C1019=DATE(2026,11,30),26,0)-IF(C1019=DATE(2026,12,1),64,0)-IF(C1019=DATE(2026,11,28),38,0)-IF(C1019=DATE(2026,12,2),26,0)))</f>
        <v/>
      </c>
      <c r="I1019" s="13">
        <f>IF(AND(C1019&gt;=DATE(2026,11,29),C1019&lt;=DATE(2026,12,1)),B1019*60,0)</f>
        <v/>
      </c>
      <c r="J1019" s="13">
        <f>IF(A1019="",0,B1019*(IF(C1019=DATE(2026,11,28),38,0)+IF(C1019=DATE(2026,12,1),38,0)+IF(C1019=DATE(2026,12,2),26,0)))</f>
        <v/>
      </c>
      <c r="K1019" s="13">
        <f>IF(C1019=Options!$B$9,B1019*12,0)</f>
        <v/>
      </c>
      <c r="L1019" s="13">
        <f>IF(C1019=Options!$B$9,B1019*Options!$Z$6,0)</f>
        <v/>
      </c>
      <c r="M1019" s="13" t="n">
        <v>0</v>
      </c>
      <c r="N1019" s="13">
        <f>SUM(E1019:M1019)</f>
        <v/>
      </c>
    </row>
    <row r="1020">
      <c r="A1020" s="5">
        <f>IF(AND(C1020&gt;=Options!$B$9,C1020&lt;=Options!$B$10),"Denver","")</f>
        <v/>
      </c>
      <c r="B1020" s="5">
        <f>IF(A1020="","",18)</f>
        <v/>
      </c>
      <c r="C1020" s="17" t="n">
        <v>46581</v>
      </c>
      <c r="D1020" s="5">
        <f>IF(A1020="","",IF(C1020=DATE(2026,11,29),"培训；注册午餐；早餐参数",IF(C1020=DATE(2026,11,30),"培训；注册午餐",IF(C1020=DATE(2026,12,1),"培训；注册午餐；机构晚餐",IF(C1020=Options!$B$9,"抵达；"&amp;IF(C1020=DATE(2026,11,28),"机构晚餐","无统一供餐"),IF(C1020=Options!$B$10,"返程；"&amp;IF(C1020=DATE(2026,12,2),"机构午餐","无统一供餐"),"差旅状态；无统一日程"))))))</f>
        <v/>
      </c>
      <c r="E1020" s="13">
        <f>IF(C1020=Options!$B$9,Options!$C$16,0)</f>
        <v/>
      </c>
      <c r="F1020" s="13">
        <f>IF(AND(A1020&lt;&gt;"",C1020&lt;Options!$B$10),B1020*Options!$X$6,0)</f>
        <v/>
      </c>
      <c r="G1020" s="13">
        <f>F1020*12%</f>
        <v/>
      </c>
      <c r="H1020" s="13">
        <f>IF(A1020="",0,B1020*(92*IF(OR(C1020=Options!$B$9,C1020=Options!$B$10),75%,100%)-IF(C1020=DATE(2026,11,29),26+IF(Options!$B$8="是",23,0),0)-IF(C1020=DATE(2026,11,30),26,0)-IF(C1020=DATE(2026,12,1),64,0)-IF(C1020=DATE(2026,11,28),38,0)-IF(C1020=DATE(2026,12,2),26,0)))</f>
        <v/>
      </c>
      <c r="I1020" s="13">
        <f>IF(AND(C1020&gt;=DATE(2026,11,29),C1020&lt;=DATE(2026,12,1)),B1020*60,0)</f>
        <v/>
      </c>
      <c r="J1020" s="13">
        <f>IF(A1020="",0,B1020*(IF(C1020=DATE(2026,11,28),38,0)+IF(C1020=DATE(2026,12,1),38,0)+IF(C1020=DATE(2026,12,2),26,0)))</f>
        <v/>
      </c>
      <c r="K1020" s="13">
        <f>IF(C1020=Options!$B$9,B1020*12,0)</f>
        <v/>
      </c>
      <c r="L1020" s="13">
        <f>IF(C1020=Options!$B$9,B1020*Options!$Z$6,0)</f>
        <v/>
      </c>
      <c r="M1020" s="13" t="n">
        <v>0</v>
      </c>
      <c r="N1020" s="13">
        <f>SUM(E1020:M1020)</f>
        <v/>
      </c>
    </row>
    <row r="1021">
      <c r="A1021" s="5">
        <f>IF(AND(C1021&gt;=Options!$B$9,C1021&lt;=Options!$B$10),"Denver","")</f>
        <v/>
      </c>
      <c r="B1021" s="5">
        <f>IF(A1021="","",18)</f>
        <v/>
      </c>
      <c r="C1021" s="17" t="n">
        <v>46582</v>
      </c>
      <c r="D1021" s="5">
        <f>IF(A1021="","",IF(C1021=DATE(2026,11,29),"培训；注册午餐；早餐参数",IF(C1021=DATE(2026,11,30),"培训；注册午餐",IF(C1021=DATE(2026,12,1),"培训；注册午餐；机构晚餐",IF(C1021=Options!$B$9,"抵达；"&amp;IF(C1021=DATE(2026,11,28),"机构晚餐","无统一供餐"),IF(C1021=Options!$B$10,"返程；"&amp;IF(C1021=DATE(2026,12,2),"机构午餐","无统一供餐"),"差旅状态；无统一日程"))))))</f>
        <v/>
      </c>
      <c r="E1021" s="13">
        <f>IF(C1021=Options!$B$9,Options!$C$16,0)</f>
        <v/>
      </c>
      <c r="F1021" s="13">
        <f>IF(AND(A1021&lt;&gt;"",C1021&lt;Options!$B$10),B1021*Options!$X$6,0)</f>
        <v/>
      </c>
      <c r="G1021" s="13">
        <f>F1021*12%</f>
        <v/>
      </c>
      <c r="H1021" s="13">
        <f>IF(A1021="",0,B1021*(92*IF(OR(C1021=Options!$B$9,C1021=Options!$B$10),75%,100%)-IF(C1021=DATE(2026,11,29),26+IF(Options!$B$8="是",23,0),0)-IF(C1021=DATE(2026,11,30),26,0)-IF(C1021=DATE(2026,12,1),64,0)-IF(C1021=DATE(2026,11,28),38,0)-IF(C1021=DATE(2026,12,2),26,0)))</f>
        <v/>
      </c>
      <c r="I1021" s="13">
        <f>IF(AND(C1021&gt;=DATE(2026,11,29),C1021&lt;=DATE(2026,12,1)),B1021*60,0)</f>
        <v/>
      </c>
      <c r="J1021" s="13">
        <f>IF(A1021="",0,B1021*(IF(C1021=DATE(2026,11,28),38,0)+IF(C1021=DATE(2026,12,1),38,0)+IF(C1021=DATE(2026,12,2),26,0)))</f>
        <v/>
      </c>
      <c r="K1021" s="13">
        <f>IF(C1021=Options!$B$9,B1021*12,0)</f>
        <v/>
      </c>
      <c r="L1021" s="13">
        <f>IF(C1021=Options!$B$9,B1021*Options!$Z$6,0)</f>
        <v/>
      </c>
      <c r="M1021" s="13" t="n">
        <v>0</v>
      </c>
      <c r="N1021" s="13">
        <f>SUM(E1021:M1021)</f>
        <v/>
      </c>
    </row>
    <row r="1022">
      <c r="A1022" s="5">
        <f>IF(AND(C1022&gt;=Options!$B$9,C1022&lt;=Options!$B$10),"Denver","")</f>
        <v/>
      </c>
      <c r="B1022" s="5">
        <f>IF(A1022="","",18)</f>
        <v/>
      </c>
      <c r="C1022" s="17" t="n">
        <v>46583</v>
      </c>
      <c r="D1022" s="5">
        <f>IF(A1022="","",IF(C1022=DATE(2026,11,29),"培训；注册午餐；早餐参数",IF(C1022=DATE(2026,11,30),"培训；注册午餐",IF(C1022=DATE(2026,12,1),"培训；注册午餐；机构晚餐",IF(C1022=Options!$B$9,"抵达；"&amp;IF(C1022=DATE(2026,11,28),"机构晚餐","无统一供餐"),IF(C1022=Options!$B$10,"返程；"&amp;IF(C1022=DATE(2026,12,2),"机构午餐","无统一供餐"),"差旅状态；无统一日程"))))))</f>
        <v/>
      </c>
      <c r="E1022" s="13">
        <f>IF(C1022=Options!$B$9,Options!$C$16,0)</f>
        <v/>
      </c>
      <c r="F1022" s="13">
        <f>IF(AND(A1022&lt;&gt;"",C1022&lt;Options!$B$10),B1022*Options!$X$6,0)</f>
        <v/>
      </c>
      <c r="G1022" s="13">
        <f>F1022*12%</f>
        <v/>
      </c>
      <c r="H1022" s="13">
        <f>IF(A1022="",0,B1022*(92*IF(OR(C1022=Options!$B$9,C1022=Options!$B$10),75%,100%)-IF(C1022=DATE(2026,11,29),26+IF(Options!$B$8="是",23,0),0)-IF(C1022=DATE(2026,11,30),26,0)-IF(C1022=DATE(2026,12,1),64,0)-IF(C1022=DATE(2026,11,28),38,0)-IF(C1022=DATE(2026,12,2),26,0)))</f>
        <v/>
      </c>
      <c r="I1022" s="13">
        <f>IF(AND(C1022&gt;=DATE(2026,11,29),C1022&lt;=DATE(2026,12,1)),B1022*60,0)</f>
        <v/>
      </c>
      <c r="J1022" s="13">
        <f>IF(A1022="",0,B1022*(IF(C1022=DATE(2026,11,28),38,0)+IF(C1022=DATE(2026,12,1),38,0)+IF(C1022=DATE(2026,12,2),26,0)))</f>
        <v/>
      </c>
      <c r="K1022" s="13">
        <f>IF(C1022=Options!$B$9,B1022*12,0)</f>
        <v/>
      </c>
      <c r="L1022" s="13">
        <f>IF(C1022=Options!$B$9,B1022*Options!$Z$6,0)</f>
        <v/>
      </c>
      <c r="M1022" s="13" t="n">
        <v>0</v>
      </c>
      <c r="N1022" s="13">
        <f>SUM(E1022:M1022)</f>
        <v/>
      </c>
    </row>
    <row r="1023">
      <c r="A1023" s="5">
        <f>IF(AND(C1023&gt;=Options!$B$9,C1023&lt;=Options!$B$10),"Denver","")</f>
        <v/>
      </c>
      <c r="B1023" s="5">
        <f>IF(A1023="","",18)</f>
        <v/>
      </c>
      <c r="C1023" s="17" t="n">
        <v>46584</v>
      </c>
      <c r="D1023" s="5">
        <f>IF(A1023="","",IF(C1023=DATE(2026,11,29),"培训；注册午餐；早餐参数",IF(C1023=DATE(2026,11,30),"培训；注册午餐",IF(C1023=DATE(2026,12,1),"培训；注册午餐；机构晚餐",IF(C1023=Options!$B$9,"抵达；"&amp;IF(C1023=DATE(2026,11,28),"机构晚餐","无统一供餐"),IF(C1023=Options!$B$10,"返程；"&amp;IF(C1023=DATE(2026,12,2),"机构午餐","无统一供餐"),"差旅状态；无统一日程"))))))</f>
        <v/>
      </c>
      <c r="E1023" s="13">
        <f>IF(C1023=Options!$B$9,Options!$C$16,0)</f>
        <v/>
      </c>
      <c r="F1023" s="13">
        <f>IF(AND(A1023&lt;&gt;"",C1023&lt;Options!$B$10),B1023*Options!$X$6,0)</f>
        <v/>
      </c>
      <c r="G1023" s="13">
        <f>F1023*12%</f>
        <v/>
      </c>
      <c r="H1023" s="13">
        <f>IF(A1023="",0,B1023*(92*IF(OR(C1023=Options!$B$9,C1023=Options!$B$10),75%,100%)-IF(C1023=DATE(2026,11,29),26+IF(Options!$B$8="是",23,0),0)-IF(C1023=DATE(2026,11,30),26,0)-IF(C1023=DATE(2026,12,1),64,0)-IF(C1023=DATE(2026,11,28),38,0)-IF(C1023=DATE(2026,12,2),26,0)))</f>
        <v/>
      </c>
      <c r="I1023" s="13">
        <f>IF(AND(C1023&gt;=DATE(2026,11,29),C1023&lt;=DATE(2026,12,1)),B1023*60,0)</f>
        <v/>
      </c>
      <c r="J1023" s="13">
        <f>IF(A1023="",0,B1023*(IF(C1023=DATE(2026,11,28),38,0)+IF(C1023=DATE(2026,12,1),38,0)+IF(C1023=DATE(2026,12,2),26,0)))</f>
        <v/>
      </c>
      <c r="K1023" s="13">
        <f>IF(C1023=Options!$B$9,B1023*12,0)</f>
        <v/>
      </c>
      <c r="L1023" s="13">
        <f>IF(C1023=Options!$B$9,B1023*Options!$Z$6,0)</f>
        <v/>
      </c>
      <c r="M1023" s="13" t="n">
        <v>0</v>
      </c>
      <c r="N1023" s="13">
        <f>SUM(E1023:M1023)</f>
        <v/>
      </c>
    </row>
    <row r="1024">
      <c r="A1024" s="5">
        <f>IF(AND(C1024&gt;=Options!$B$9,C1024&lt;=Options!$B$10),"Denver","")</f>
        <v/>
      </c>
      <c r="B1024" s="5">
        <f>IF(A1024="","",18)</f>
        <v/>
      </c>
      <c r="C1024" s="17" t="n">
        <v>46585</v>
      </c>
      <c r="D1024" s="5">
        <f>IF(A1024="","",IF(C1024=DATE(2026,11,29),"培训；注册午餐；早餐参数",IF(C1024=DATE(2026,11,30),"培训；注册午餐",IF(C1024=DATE(2026,12,1),"培训；注册午餐；机构晚餐",IF(C1024=Options!$B$9,"抵达；"&amp;IF(C1024=DATE(2026,11,28),"机构晚餐","无统一供餐"),IF(C1024=Options!$B$10,"返程；"&amp;IF(C1024=DATE(2026,12,2),"机构午餐","无统一供餐"),"差旅状态；无统一日程"))))))</f>
        <v/>
      </c>
      <c r="E1024" s="13">
        <f>IF(C1024=Options!$B$9,Options!$C$16,0)</f>
        <v/>
      </c>
      <c r="F1024" s="13">
        <f>IF(AND(A1024&lt;&gt;"",C1024&lt;Options!$B$10),B1024*Options!$X$6,0)</f>
        <v/>
      </c>
      <c r="G1024" s="13">
        <f>F1024*12%</f>
        <v/>
      </c>
      <c r="H1024" s="13">
        <f>IF(A1024="",0,B1024*(92*IF(OR(C1024=Options!$B$9,C1024=Options!$B$10),75%,100%)-IF(C1024=DATE(2026,11,29),26+IF(Options!$B$8="是",23,0),0)-IF(C1024=DATE(2026,11,30),26,0)-IF(C1024=DATE(2026,12,1),64,0)-IF(C1024=DATE(2026,11,28),38,0)-IF(C1024=DATE(2026,12,2),26,0)))</f>
        <v/>
      </c>
      <c r="I1024" s="13">
        <f>IF(AND(C1024&gt;=DATE(2026,11,29),C1024&lt;=DATE(2026,12,1)),B1024*60,0)</f>
        <v/>
      </c>
      <c r="J1024" s="13">
        <f>IF(A1024="",0,B1024*(IF(C1024=DATE(2026,11,28),38,0)+IF(C1024=DATE(2026,12,1),38,0)+IF(C1024=DATE(2026,12,2),26,0)))</f>
        <v/>
      </c>
      <c r="K1024" s="13">
        <f>IF(C1024=Options!$B$9,B1024*12,0)</f>
        <v/>
      </c>
      <c r="L1024" s="13">
        <f>IF(C1024=Options!$B$9,B1024*Options!$Z$6,0)</f>
        <v/>
      </c>
      <c r="M1024" s="13" t="n">
        <v>0</v>
      </c>
      <c r="N1024" s="13">
        <f>SUM(E1024:M1024)</f>
        <v/>
      </c>
    </row>
    <row r="1025">
      <c r="A1025" s="5">
        <f>IF(AND(C1025&gt;=Options!$B$9,C1025&lt;=Options!$B$10),"Denver","")</f>
        <v/>
      </c>
      <c r="B1025" s="5">
        <f>IF(A1025="","",18)</f>
        <v/>
      </c>
      <c r="C1025" s="17" t="n">
        <v>46586</v>
      </c>
      <c r="D1025" s="5">
        <f>IF(A1025="","",IF(C1025=DATE(2026,11,29),"培训；注册午餐；早餐参数",IF(C1025=DATE(2026,11,30),"培训；注册午餐",IF(C1025=DATE(2026,12,1),"培训；注册午餐；机构晚餐",IF(C1025=Options!$B$9,"抵达；"&amp;IF(C1025=DATE(2026,11,28),"机构晚餐","无统一供餐"),IF(C1025=Options!$B$10,"返程；"&amp;IF(C1025=DATE(2026,12,2),"机构午餐","无统一供餐"),"差旅状态；无统一日程"))))))</f>
        <v/>
      </c>
      <c r="E1025" s="13">
        <f>IF(C1025=Options!$B$9,Options!$C$16,0)</f>
        <v/>
      </c>
      <c r="F1025" s="13">
        <f>IF(AND(A1025&lt;&gt;"",C1025&lt;Options!$B$10),B1025*Options!$X$6,0)</f>
        <v/>
      </c>
      <c r="G1025" s="13">
        <f>F1025*12%</f>
        <v/>
      </c>
      <c r="H1025" s="13">
        <f>IF(A1025="",0,B1025*(92*IF(OR(C1025=Options!$B$9,C1025=Options!$B$10),75%,100%)-IF(C1025=DATE(2026,11,29),26+IF(Options!$B$8="是",23,0),0)-IF(C1025=DATE(2026,11,30),26,0)-IF(C1025=DATE(2026,12,1),64,0)-IF(C1025=DATE(2026,11,28),38,0)-IF(C1025=DATE(2026,12,2),26,0)))</f>
        <v/>
      </c>
      <c r="I1025" s="13">
        <f>IF(AND(C1025&gt;=DATE(2026,11,29),C1025&lt;=DATE(2026,12,1)),B1025*60,0)</f>
        <v/>
      </c>
      <c r="J1025" s="13">
        <f>IF(A1025="",0,B1025*(IF(C1025=DATE(2026,11,28),38,0)+IF(C1025=DATE(2026,12,1),38,0)+IF(C1025=DATE(2026,12,2),26,0)))</f>
        <v/>
      </c>
      <c r="K1025" s="13">
        <f>IF(C1025=Options!$B$9,B1025*12,0)</f>
        <v/>
      </c>
      <c r="L1025" s="13">
        <f>IF(C1025=Options!$B$9,B1025*Options!$Z$6,0)</f>
        <v/>
      </c>
      <c r="M1025" s="13" t="n">
        <v>0</v>
      </c>
      <c r="N1025" s="13">
        <f>SUM(E1025:M1025)</f>
        <v/>
      </c>
    </row>
    <row r="1026">
      <c r="A1026" s="5">
        <f>IF(AND(C1026&gt;=Options!$B$9,C1026&lt;=Options!$B$10),"Denver","")</f>
        <v/>
      </c>
      <c r="B1026" s="5">
        <f>IF(A1026="","",18)</f>
        <v/>
      </c>
      <c r="C1026" s="17" t="n">
        <v>46587</v>
      </c>
      <c r="D1026" s="5">
        <f>IF(A1026="","",IF(C1026=DATE(2026,11,29),"培训；注册午餐；早餐参数",IF(C1026=DATE(2026,11,30),"培训；注册午餐",IF(C1026=DATE(2026,12,1),"培训；注册午餐；机构晚餐",IF(C1026=Options!$B$9,"抵达；"&amp;IF(C1026=DATE(2026,11,28),"机构晚餐","无统一供餐"),IF(C1026=Options!$B$10,"返程；"&amp;IF(C1026=DATE(2026,12,2),"机构午餐","无统一供餐"),"差旅状态；无统一日程"))))))</f>
        <v/>
      </c>
      <c r="E1026" s="13">
        <f>IF(C1026=Options!$B$9,Options!$C$16,0)</f>
        <v/>
      </c>
      <c r="F1026" s="13">
        <f>IF(AND(A1026&lt;&gt;"",C1026&lt;Options!$B$10),B1026*Options!$X$6,0)</f>
        <v/>
      </c>
      <c r="G1026" s="13">
        <f>F1026*12%</f>
        <v/>
      </c>
      <c r="H1026" s="13">
        <f>IF(A1026="",0,B1026*(92*IF(OR(C1026=Options!$B$9,C1026=Options!$B$10),75%,100%)-IF(C1026=DATE(2026,11,29),26+IF(Options!$B$8="是",23,0),0)-IF(C1026=DATE(2026,11,30),26,0)-IF(C1026=DATE(2026,12,1),64,0)-IF(C1026=DATE(2026,11,28),38,0)-IF(C1026=DATE(2026,12,2),26,0)))</f>
        <v/>
      </c>
      <c r="I1026" s="13">
        <f>IF(AND(C1026&gt;=DATE(2026,11,29),C1026&lt;=DATE(2026,12,1)),B1026*60,0)</f>
        <v/>
      </c>
      <c r="J1026" s="13">
        <f>IF(A1026="",0,B1026*(IF(C1026=DATE(2026,11,28),38,0)+IF(C1026=DATE(2026,12,1),38,0)+IF(C1026=DATE(2026,12,2),26,0)))</f>
        <v/>
      </c>
      <c r="K1026" s="13">
        <f>IF(C1026=Options!$B$9,B1026*12,0)</f>
        <v/>
      </c>
      <c r="L1026" s="13">
        <f>IF(C1026=Options!$B$9,B1026*Options!$Z$6,0)</f>
        <v/>
      </c>
      <c r="M1026" s="13" t="n">
        <v>0</v>
      </c>
      <c r="N1026" s="13">
        <f>SUM(E1026:M1026)</f>
        <v/>
      </c>
    </row>
    <row r="1027">
      <c r="A1027" s="5">
        <f>IF(AND(C1027&gt;=Options!$B$9,C1027&lt;=Options!$B$10),"Denver","")</f>
        <v/>
      </c>
      <c r="B1027" s="5">
        <f>IF(A1027="","",18)</f>
        <v/>
      </c>
      <c r="C1027" s="17" t="n">
        <v>46588</v>
      </c>
      <c r="D1027" s="5">
        <f>IF(A1027="","",IF(C1027=DATE(2026,11,29),"培训；注册午餐；早餐参数",IF(C1027=DATE(2026,11,30),"培训；注册午餐",IF(C1027=DATE(2026,12,1),"培训；注册午餐；机构晚餐",IF(C1027=Options!$B$9,"抵达；"&amp;IF(C1027=DATE(2026,11,28),"机构晚餐","无统一供餐"),IF(C1027=Options!$B$10,"返程；"&amp;IF(C1027=DATE(2026,12,2),"机构午餐","无统一供餐"),"差旅状态；无统一日程"))))))</f>
        <v/>
      </c>
      <c r="E1027" s="13">
        <f>IF(C1027=Options!$B$9,Options!$C$16,0)</f>
        <v/>
      </c>
      <c r="F1027" s="13">
        <f>IF(AND(A1027&lt;&gt;"",C1027&lt;Options!$B$10),B1027*Options!$X$6,0)</f>
        <v/>
      </c>
      <c r="G1027" s="13">
        <f>F1027*12%</f>
        <v/>
      </c>
      <c r="H1027" s="13">
        <f>IF(A1027="",0,B1027*(92*IF(OR(C1027=Options!$B$9,C1027=Options!$B$10),75%,100%)-IF(C1027=DATE(2026,11,29),26+IF(Options!$B$8="是",23,0),0)-IF(C1027=DATE(2026,11,30),26,0)-IF(C1027=DATE(2026,12,1),64,0)-IF(C1027=DATE(2026,11,28),38,0)-IF(C1027=DATE(2026,12,2),26,0)))</f>
        <v/>
      </c>
      <c r="I1027" s="13">
        <f>IF(AND(C1027&gt;=DATE(2026,11,29),C1027&lt;=DATE(2026,12,1)),B1027*60,0)</f>
        <v/>
      </c>
      <c r="J1027" s="13">
        <f>IF(A1027="",0,B1027*(IF(C1027=DATE(2026,11,28),38,0)+IF(C1027=DATE(2026,12,1),38,0)+IF(C1027=DATE(2026,12,2),26,0)))</f>
        <v/>
      </c>
      <c r="K1027" s="13">
        <f>IF(C1027=Options!$B$9,B1027*12,0)</f>
        <v/>
      </c>
      <c r="L1027" s="13">
        <f>IF(C1027=Options!$B$9,B1027*Options!$Z$6,0)</f>
        <v/>
      </c>
      <c r="M1027" s="13" t="n">
        <v>0</v>
      </c>
      <c r="N1027" s="13">
        <f>SUM(E1027:M1027)</f>
        <v/>
      </c>
    </row>
    <row r="1028">
      <c r="A1028" s="5">
        <f>IF(AND(C1028&gt;=Options!$B$9,C1028&lt;=Options!$B$10),"Denver","")</f>
        <v/>
      </c>
      <c r="B1028" s="5">
        <f>IF(A1028="","",18)</f>
        <v/>
      </c>
      <c r="C1028" s="17" t="n">
        <v>46589</v>
      </c>
      <c r="D1028" s="5">
        <f>IF(A1028="","",IF(C1028=DATE(2026,11,29),"培训；注册午餐；早餐参数",IF(C1028=DATE(2026,11,30),"培训；注册午餐",IF(C1028=DATE(2026,12,1),"培训；注册午餐；机构晚餐",IF(C1028=Options!$B$9,"抵达；"&amp;IF(C1028=DATE(2026,11,28),"机构晚餐","无统一供餐"),IF(C1028=Options!$B$10,"返程；"&amp;IF(C1028=DATE(2026,12,2),"机构午餐","无统一供餐"),"差旅状态；无统一日程"))))))</f>
        <v/>
      </c>
      <c r="E1028" s="13">
        <f>IF(C1028=Options!$B$9,Options!$C$16,0)</f>
        <v/>
      </c>
      <c r="F1028" s="13">
        <f>IF(AND(A1028&lt;&gt;"",C1028&lt;Options!$B$10),B1028*Options!$X$6,0)</f>
        <v/>
      </c>
      <c r="G1028" s="13">
        <f>F1028*12%</f>
        <v/>
      </c>
      <c r="H1028" s="13">
        <f>IF(A1028="",0,B1028*(92*IF(OR(C1028=Options!$B$9,C1028=Options!$B$10),75%,100%)-IF(C1028=DATE(2026,11,29),26+IF(Options!$B$8="是",23,0),0)-IF(C1028=DATE(2026,11,30),26,0)-IF(C1028=DATE(2026,12,1),64,0)-IF(C1028=DATE(2026,11,28),38,0)-IF(C1028=DATE(2026,12,2),26,0)))</f>
        <v/>
      </c>
      <c r="I1028" s="13">
        <f>IF(AND(C1028&gt;=DATE(2026,11,29),C1028&lt;=DATE(2026,12,1)),B1028*60,0)</f>
        <v/>
      </c>
      <c r="J1028" s="13">
        <f>IF(A1028="",0,B1028*(IF(C1028=DATE(2026,11,28),38,0)+IF(C1028=DATE(2026,12,1),38,0)+IF(C1028=DATE(2026,12,2),26,0)))</f>
        <v/>
      </c>
      <c r="K1028" s="13">
        <f>IF(C1028=Options!$B$9,B1028*12,0)</f>
        <v/>
      </c>
      <c r="L1028" s="13">
        <f>IF(C1028=Options!$B$9,B1028*Options!$Z$6,0)</f>
        <v/>
      </c>
      <c r="M1028" s="13" t="n">
        <v>0</v>
      </c>
      <c r="N1028" s="13">
        <f>SUM(E1028:M1028)</f>
        <v/>
      </c>
    </row>
    <row r="1029">
      <c r="A1029" s="5">
        <f>IF(AND(C1029&gt;=Options!$B$9,C1029&lt;=Options!$B$10),"Denver","")</f>
        <v/>
      </c>
      <c r="B1029" s="5">
        <f>IF(A1029="","",18)</f>
        <v/>
      </c>
      <c r="C1029" s="17" t="n">
        <v>46590</v>
      </c>
      <c r="D1029" s="5">
        <f>IF(A1029="","",IF(C1029=DATE(2026,11,29),"培训；注册午餐；早餐参数",IF(C1029=DATE(2026,11,30),"培训；注册午餐",IF(C1029=DATE(2026,12,1),"培训；注册午餐；机构晚餐",IF(C1029=Options!$B$9,"抵达；"&amp;IF(C1029=DATE(2026,11,28),"机构晚餐","无统一供餐"),IF(C1029=Options!$B$10,"返程；"&amp;IF(C1029=DATE(2026,12,2),"机构午餐","无统一供餐"),"差旅状态；无统一日程"))))))</f>
        <v/>
      </c>
      <c r="E1029" s="13">
        <f>IF(C1029=Options!$B$9,Options!$C$16,0)</f>
        <v/>
      </c>
      <c r="F1029" s="13">
        <f>IF(AND(A1029&lt;&gt;"",C1029&lt;Options!$B$10),B1029*Options!$X$6,0)</f>
        <v/>
      </c>
      <c r="G1029" s="13">
        <f>F1029*12%</f>
        <v/>
      </c>
      <c r="H1029" s="13">
        <f>IF(A1029="",0,B1029*(92*IF(OR(C1029=Options!$B$9,C1029=Options!$B$10),75%,100%)-IF(C1029=DATE(2026,11,29),26+IF(Options!$B$8="是",23,0),0)-IF(C1029=DATE(2026,11,30),26,0)-IF(C1029=DATE(2026,12,1),64,0)-IF(C1029=DATE(2026,11,28),38,0)-IF(C1029=DATE(2026,12,2),26,0)))</f>
        <v/>
      </c>
      <c r="I1029" s="13">
        <f>IF(AND(C1029&gt;=DATE(2026,11,29),C1029&lt;=DATE(2026,12,1)),B1029*60,0)</f>
        <v/>
      </c>
      <c r="J1029" s="13">
        <f>IF(A1029="",0,B1029*(IF(C1029=DATE(2026,11,28),38,0)+IF(C1029=DATE(2026,12,1),38,0)+IF(C1029=DATE(2026,12,2),26,0)))</f>
        <v/>
      </c>
      <c r="K1029" s="13">
        <f>IF(C1029=Options!$B$9,B1029*12,0)</f>
        <v/>
      </c>
      <c r="L1029" s="13">
        <f>IF(C1029=Options!$B$9,B1029*Options!$Z$6,0)</f>
        <v/>
      </c>
      <c r="M1029" s="13" t="n">
        <v>0</v>
      </c>
      <c r="N1029" s="13">
        <f>SUM(E1029:M1029)</f>
        <v/>
      </c>
    </row>
    <row r="1030">
      <c r="A1030" s="5">
        <f>IF(AND(C1030&gt;=Options!$B$9,C1030&lt;=Options!$B$10),"Denver","")</f>
        <v/>
      </c>
      <c r="B1030" s="5">
        <f>IF(A1030="","",18)</f>
        <v/>
      </c>
      <c r="C1030" s="17" t="n">
        <v>46591</v>
      </c>
      <c r="D1030" s="5">
        <f>IF(A1030="","",IF(C1030=DATE(2026,11,29),"培训；注册午餐；早餐参数",IF(C1030=DATE(2026,11,30),"培训；注册午餐",IF(C1030=DATE(2026,12,1),"培训；注册午餐；机构晚餐",IF(C1030=Options!$B$9,"抵达；"&amp;IF(C1030=DATE(2026,11,28),"机构晚餐","无统一供餐"),IF(C1030=Options!$B$10,"返程；"&amp;IF(C1030=DATE(2026,12,2),"机构午餐","无统一供餐"),"差旅状态；无统一日程"))))))</f>
        <v/>
      </c>
      <c r="E1030" s="13">
        <f>IF(C1030=Options!$B$9,Options!$C$16,0)</f>
        <v/>
      </c>
      <c r="F1030" s="13">
        <f>IF(AND(A1030&lt;&gt;"",C1030&lt;Options!$B$10),B1030*Options!$X$6,0)</f>
        <v/>
      </c>
      <c r="G1030" s="13">
        <f>F1030*12%</f>
        <v/>
      </c>
      <c r="H1030" s="13">
        <f>IF(A1030="",0,B1030*(92*IF(OR(C1030=Options!$B$9,C1030=Options!$B$10),75%,100%)-IF(C1030=DATE(2026,11,29),26+IF(Options!$B$8="是",23,0),0)-IF(C1030=DATE(2026,11,30),26,0)-IF(C1030=DATE(2026,12,1),64,0)-IF(C1030=DATE(2026,11,28),38,0)-IF(C1030=DATE(2026,12,2),26,0)))</f>
        <v/>
      </c>
      <c r="I1030" s="13">
        <f>IF(AND(C1030&gt;=DATE(2026,11,29),C1030&lt;=DATE(2026,12,1)),B1030*60,0)</f>
        <v/>
      </c>
      <c r="J1030" s="13">
        <f>IF(A1030="",0,B1030*(IF(C1030=DATE(2026,11,28),38,0)+IF(C1030=DATE(2026,12,1),38,0)+IF(C1030=DATE(2026,12,2),26,0)))</f>
        <v/>
      </c>
      <c r="K1030" s="13">
        <f>IF(C1030=Options!$B$9,B1030*12,0)</f>
        <v/>
      </c>
      <c r="L1030" s="13">
        <f>IF(C1030=Options!$B$9,B1030*Options!$Z$6,0)</f>
        <v/>
      </c>
      <c r="M1030" s="13" t="n">
        <v>0</v>
      </c>
      <c r="N1030" s="13">
        <f>SUM(E1030:M1030)</f>
        <v/>
      </c>
    </row>
    <row r="1031">
      <c r="A1031" s="5">
        <f>IF(AND(C1031&gt;=Options!$B$9,C1031&lt;=Options!$B$10),"Denver","")</f>
        <v/>
      </c>
      <c r="B1031" s="5">
        <f>IF(A1031="","",18)</f>
        <v/>
      </c>
      <c r="C1031" s="17" t="n">
        <v>46592</v>
      </c>
      <c r="D1031" s="5">
        <f>IF(A1031="","",IF(C1031=DATE(2026,11,29),"培训；注册午餐；早餐参数",IF(C1031=DATE(2026,11,30),"培训；注册午餐",IF(C1031=DATE(2026,12,1),"培训；注册午餐；机构晚餐",IF(C1031=Options!$B$9,"抵达；"&amp;IF(C1031=DATE(2026,11,28),"机构晚餐","无统一供餐"),IF(C1031=Options!$B$10,"返程；"&amp;IF(C1031=DATE(2026,12,2),"机构午餐","无统一供餐"),"差旅状态；无统一日程"))))))</f>
        <v/>
      </c>
      <c r="E1031" s="13">
        <f>IF(C1031=Options!$B$9,Options!$C$16,0)</f>
        <v/>
      </c>
      <c r="F1031" s="13">
        <f>IF(AND(A1031&lt;&gt;"",C1031&lt;Options!$B$10),B1031*Options!$X$6,0)</f>
        <v/>
      </c>
      <c r="G1031" s="13">
        <f>F1031*12%</f>
        <v/>
      </c>
      <c r="H1031" s="13">
        <f>IF(A1031="",0,B1031*(92*IF(OR(C1031=Options!$B$9,C1031=Options!$B$10),75%,100%)-IF(C1031=DATE(2026,11,29),26+IF(Options!$B$8="是",23,0),0)-IF(C1031=DATE(2026,11,30),26,0)-IF(C1031=DATE(2026,12,1),64,0)-IF(C1031=DATE(2026,11,28),38,0)-IF(C1031=DATE(2026,12,2),26,0)))</f>
        <v/>
      </c>
      <c r="I1031" s="13">
        <f>IF(AND(C1031&gt;=DATE(2026,11,29),C1031&lt;=DATE(2026,12,1)),B1031*60,0)</f>
        <v/>
      </c>
      <c r="J1031" s="13">
        <f>IF(A1031="",0,B1031*(IF(C1031=DATE(2026,11,28),38,0)+IF(C1031=DATE(2026,12,1),38,0)+IF(C1031=DATE(2026,12,2),26,0)))</f>
        <v/>
      </c>
      <c r="K1031" s="13">
        <f>IF(C1031=Options!$B$9,B1031*12,0)</f>
        <v/>
      </c>
      <c r="L1031" s="13">
        <f>IF(C1031=Options!$B$9,B1031*Options!$Z$6,0)</f>
        <v/>
      </c>
      <c r="M1031" s="13" t="n">
        <v>0</v>
      </c>
      <c r="N1031" s="13">
        <f>SUM(E1031:M1031)</f>
        <v/>
      </c>
    </row>
    <row r="1032">
      <c r="A1032" s="5">
        <f>IF(AND(C1032&gt;=Options!$B$9,C1032&lt;=Options!$B$10),"Denver","")</f>
        <v/>
      </c>
      <c r="B1032" s="5">
        <f>IF(A1032="","",18)</f>
        <v/>
      </c>
      <c r="C1032" s="17" t="n">
        <v>46593</v>
      </c>
      <c r="D1032" s="5">
        <f>IF(A1032="","",IF(C1032=DATE(2026,11,29),"培训；注册午餐；早餐参数",IF(C1032=DATE(2026,11,30),"培训；注册午餐",IF(C1032=DATE(2026,12,1),"培训；注册午餐；机构晚餐",IF(C1032=Options!$B$9,"抵达；"&amp;IF(C1032=DATE(2026,11,28),"机构晚餐","无统一供餐"),IF(C1032=Options!$B$10,"返程；"&amp;IF(C1032=DATE(2026,12,2),"机构午餐","无统一供餐"),"差旅状态；无统一日程"))))))</f>
        <v/>
      </c>
      <c r="E1032" s="13">
        <f>IF(C1032=Options!$B$9,Options!$C$16,0)</f>
        <v/>
      </c>
      <c r="F1032" s="13">
        <f>IF(AND(A1032&lt;&gt;"",C1032&lt;Options!$B$10),B1032*Options!$X$6,0)</f>
        <v/>
      </c>
      <c r="G1032" s="13">
        <f>F1032*12%</f>
        <v/>
      </c>
      <c r="H1032" s="13">
        <f>IF(A1032="",0,B1032*(92*IF(OR(C1032=Options!$B$9,C1032=Options!$B$10),75%,100%)-IF(C1032=DATE(2026,11,29),26+IF(Options!$B$8="是",23,0),0)-IF(C1032=DATE(2026,11,30),26,0)-IF(C1032=DATE(2026,12,1),64,0)-IF(C1032=DATE(2026,11,28),38,0)-IF(C1032=DATE(2026,12,2),26,0)))</f>
        <v/>
      </c>
      <c r="I1032" s="13">
        <f>IF(AND(C1032&gt;=DATE(2026,11,29),C1032&lt;=DATE(2026,12,1)),B1032*60,0)</f>
        <v/>
      </c>
      <c r="J1032" s="13">
        <f>IF(A1032="",0,B1032*(IF(C1032=DATE(2026,11,28),38,0)+IF(C1032=DATE(2026,12,1),38,0)+IF(C1032=DATE(2026,12,2),26,0)))</f>
        <v/>
      </c>
      <c r="K1032" s="13">
        <f>IF(C1032=Options!$B$9,B1032*12,0)</f>
        <v/>
      </c>
      <c r="L1032" s="13">
        <f>IF(C1032=Options!$B$9,B1032*Options!$Z$6,0)</f>
        <v/>
      </c>
      <c r="M1032" s="13" t="n">
        <v>0</v>
      </c>
      <c r="N1032" s="13">
        <f>SUM(E1032:M1032)</f>
        <v/>
      </c>
    </row>
    <row r="1033">
      <c r="A1033" s="5">
        <f>IF(AND(C1033&gt;=Options!$B$9,C1033&lt;=Options!$B$10),"Denver","")</f>
        <v/>
      </c>
      <c r="B1033" s="5">
        <f>IF(A1033="","",18)</f>
        <v/>
      </c>
      <c r="C1033" s="17" t="n">
        <v>46594</v>
      </c>
      <c r="D1033" s="5">
        <f>IF(A1033="","",IF(C1033=DATE(2026,11,29),"培训；注册午餐；早餐参数",IF(C1033=DATE(2026,11,30),"培训；注册午餐",IF(C1033=DATE(2026,12,1),"培训；注册午餐；机构晚餐",IF(C1033=Options!$B$9,"抵达；"&amp;IF(C1033=DATE(2026,11,28),"机构晚餐","无统一供餐"),IF(C1033=Options!$B$10,"返程；"&amp;IF(C1033=DATE(2026,12,2),"机构午餐","无统一供餐"),"差旅状态；无统一日程"))))))</f>
        <v/>
      </c>
      <c r="E1033" s="13">
        <f>IF(C1033=Options!$B$9,Options!$C$16,0)</f>
        <v/>
      </c>
      <c r="F1033" s="13">
        <f>IF(AND(A1033&lt;&gt;"",C1033&lt;Options!$B$10),B1033*Options!$X$6,0)</f>
        <v/>
      </c>
      <c r="G1033" s="13">
        <f>F1033*12%</f>
        <v/>
      </c>
      <c r="H1033" s="13">
        <f>IF(A1033="",0,B1033*(92*IF(OR(C1033=Options!$B$9,C1033=Options!$B$10),75%,100%)-IF(C1033=DATE(2026,11,29),26+IF(Options!$B$8="是",23,0),0)-IF(C1033=DATE(2026,11,30),26,0)-IF(C1033=DATE(2026,12,1),64,0)-IF(C1033=DATE(2026,11,28),38,0)-IF(C1033=DATE(2026,12,2),26,0)))</f>
        <v/>
      </c>
      <c r="I1033" s="13">
        <f>IF(AND(C1033&gt;=DATE(2026,11,29),C1033&lt;=DATE(2026,12,1)),B1033*60,0)</f>
        <v/>
      </c>
      <c r="J1033" s="13">
        <f>IF(A1033="",0,B1033*(IF(C1033=DATE(2026,11,28),38,0)+IF(C1033=DATE(2026,12,1),38,0)+IF(C1033=DATE(2026,12,2),26,0)))</f>
        <v/>
      </c>
      <c r="K1033" s="13">
        <f>IF(C1033=Options!$B$9,B1033*12,0)</f>
        <v/>
      </c>
      <c r="L1033" s="13">
        <f>IF(C1033=Options!$B$9,B1033*Options!$Z$6,0)</f>
        <v/>
      </c>
      <c r="M1033" s="13" t="n">
        <v>0</v>
      </c>
      <c r="N1033" s="13">
        <f>SUM(E1033:M1033)</f>
        <v/>
      </c>
    </row>
    <row r="1034">
      <c r="A1034" s="5">
        <f>IF(AND(C1034&gt;=Options!$B$9,C1034&lt;=Options!$B$10),"Denver","")</f>
        <v/>
      </c>
      <c r="B1034" s="5">
        <f>IF(A1034="","",18)</f>
        <v/>
      </c>
      <c r="C1034" s="17" t="n">
        <v>46595</v>
      </c>
      <c r="D1034" s="5">
        <f>IF(A1034="","",IF(C1034=DATE(2026,11,29),"培训；注册午餐；早餐参数",IF(C1034=DATE(2026,11,30),"培训；注册午餐",IF(C1034=DATE(2026,12,1),"培训；注册午餐；机构晚餐",IF(C1034=Options!$B$9,"抵达；"&amp;IF(C1034=DATE(2026,11,28),"机构晚餐","无统一供餐"),IF(C1034=Options!$B$10,"返程；"&amp;IF(C1034=DATE(2026,12,2),"机构午餐","无统一供餐"),"差旅状态；无统一日程"))))))</f>
        <v/>
      </c>
      <c r="E1034" s="13">
        <f>IF(C1034=Options!$B$9,Options!$C$16,0)</f>
        <v/>
      </c>
      <c r="F1034" s="13">
        <f>IF(AND(A1034&lt;&gt;"",C1034&lt;Options!$B$10),B1034*Options!$X$6,0)</f>
        <v/>
      </c>
      <c r="G1034" s="13">
        <f>F1034*12%</f>
        <v/>
      </c>
      <c r="H1034" s="13">
        <f>IF(A1034="",0,B1034*(92*IF(OR(C1034=Options!$B$9,C1034=Options!$B$10),75%,100%)-IF(C1034=DATE(2026,11,29),26+IF(Options!$B$8="是",23,0),0)-IF(C1034=DATE(2026,11,30),26,0)-IF(C1034=DATE(2026,12,1),64,0)-IF(C1034=DATE(2026,11,28),38,0)-IF(C1034=DATE(2026,12,2),26,0)))</f>
        <v/>
      </c>
      <c r="I1034" s="13">
        <f>IF(AND(C1034&gt;=DATE(2026,11,29),C1034&lt;=DATE(2026,12,1)),B1034*60,0)</f>
        <v/>
      </c>
      <c r="J1034" s="13">
        <f>IF(A1034="",0,B1034*(IF(C1034=DATE(2026,11,28),38,0)+IF(C1034=DATE(2026,12,1),38,0)+IF(C1034=DATE(2026,12,2),26,0)))</f>
        <v/>
      </c>
      <c r="K1034" s="13">
        <f>IF(C1034=Options!$B$9,B1034*12,0)</f>
        <v/>
      </c>
      <c r="L1034" s="13">
        <f>IF(C1034=Options!$B$9,B1034*Options!$Z$6,0)</f>
        <v/>
      </c>
      <c r="M1034" s="13" t="n">
        <v>0</v>
      </c>
      <c r="N1034" s="13">
        <f>SUM(E1034:M1034)</f>
        <v/>
      </c>
    </row>
    <row r="1035">
      <c r="A1035" s="5">
        <f>IF(AND(C1035&gt;=Options!$B$9,C1035&lt;=Options!$B$10),"Denver","")</f>
        <v/>
      </c>
      <c r="B1035" s="5">
        <f>IF(A1035="","",18)</f>
        <v/>
      </c>
      <c r="C1035" s="17" t="n">
        <v>46596</v>
      </c>
      <c r="D1035" s="5">
        <f>IF(A1035="","",IF(C1035=DATE(2026,11,29),"培训；注册午餐；早餐参数",IF(C1035=DATE(2026,11,30),"培训；注册午餐",IF(C1035=DATE(2026,12,1),"培训；注册午餐；机构晚餐",IF(C1035=Options!$B$9,"抵达；"&amp;IF(C1035=DATE(2026,11,28),"机构晚餐","无统一供餐"),IF(C1035=Options!$B$10,"返程；"&amp;IF(C1035=DATE(2026,12,2),"机构午餐","无统一供餐"),"差旅状态；无统一日程"))))))</f>
        <v/>
      </c>
      <c r="E1035" s="13">
        <f>IF(C1035=Options!$B$9,Options!$C$16,0)</f>
        <v/>
      </c>
      <c r="F1035" s="13">
        <f>IF(AND(A1035&lt;&gt;"",C1035&lt;Options!$B$10),B1035*Options!$X$6,0)</f>
        <v/>
      </c>
      <c r="G1035" s="13">
        <f>F1035*12%</f>
        <v/>
      </c>
      <c r="H1035" s="13">
        <f>IF(A1035="",0,B1035*(92*IF(OR(C1035=Options!$B$9,C1035=Options!$B$10),75%,100%)-IF(C1035=DATE(2026,11,29),26+IF(Options!$B$8="是",23,0),0)-IF(C1035=DATE(2026,11,30),26,0)-IF(C1035=DATE(2026,12,1),64,0)-IF(C1035=DATE(2026,11,28),38,0)-IF(C1035=DATE(2026,12,2),26,0)))</f>
        <v/>
      </c>
      <c r="I1035" s="13">
        <f>IF(AND(C1035&gt;=DATE(2026,11,29),C1035&lt;=DATE(2026,12,1)),B1035*60,0)</f>
        <v/>
      </c>
      <c r="J1035" s="13">
        <f>IF(A1035="",0,B1035*(IF(C1035=DATE(2026,11,28),38,0)+IF(C1035=DATE(2026,12,1),38,0)+IF(C1035=DATE(2026,12,2),26,0)))</f>
        <v/>
      </c>
      <c r="K1035" s="13">
        <f>IF(C1035=Options!$B$9,B1035*12,0)</f>
        <v/>
      </c>
      <c r="L1035" s="13">
        <f>IF(C1035=Options!$B$9,B1035*Options!$Z$6,0)</f>
        <v/>
      </c>
      <c r="M1035" s="13" t="n">
        <v>0</v>
      </c>
      <c r="N1035" s="13">
        <f>SUM(E1035:M1035)</f>
        <v/>
      </c>
    </row>
    <row r="1036">
      <c r="A1036" s="5">
        <f>IF(AND(C1036&gt;=Options!$B$9,C1036&lt;=Options!$B$10),"Denver","")</f>
        <v/>
      </c>
      <c r="B1036" s="5">
        <f>IF(A1036="","",18)</f>
        <v/>
      </c>
      <c r="C1036" s="17" t="n">
        <v>46597</v>
      </c>
      <c r="D1036" s="5">
        <f>IF(A1036="","",IF(C1036=DATE(2026,11,29),"培训；注册午餐；早餐参数",IF(C1036=DATE(2026,11,30),"培训；注册午餐",IF(C1036=DATE(2026,12,1),"培训；注册午餐；机构晚餐",IF(C1036=Options!$B$9,"抵达；"&amp;IF(C1036=DATE(2026,11,28),"机构晚餐","无统一供餐"),IF(C1036=Options!$B$10,"返程；"&amp;IF(C1036=DATE(2026,12,2),"机构午餐","无统一供餐"),"差旅状态；无统一日程"))))))</f>
        <v/>
      </c>
      <c r="E1036" s="13">
        <f>IF(C1036=Options!$B$9,Options!$C$16,0)</f>
        <v/>
      </c>
      <c r="F1036" s="13">
        <f>IF(AND(A1036&lt;&gt;"",C1036&lt;Options!$B$10),B1036*Options!$X$6,0)</f>
        <v/>
      </c>
      <c r="G1036" s="13">
        <f>F1036*12%</f>
        <v/>
      </c>
      <c r="H1036" s="13">
        <f>IF(A1036="",0,B1036*(92*IF(OR(C1036=Options!$B$9,C1036=Options!$B$10),75%,100%)-IF(C1036=DATE(2026,11,29),26+IF(Options!$B$8="是",23,0),0)-IF(C1036=DATE(2026,11,30),26,0)-IF(C1036=DATE(2026,12,1),64,0)-IF(C1036=DATE(2026,11,28),38,0)-IF(C1036=DATE(2026,12,2),26,0)))</f>
        <v/>
      </c>
      <c r="I1036" s="13">
        <f>IF(AND(C1036&gt;=DATE(2026,11,29),C1036&lt;=DATE(2026,12,1)),B1036*60,0)</f>
        <v/>
      </c>
      <c r="J1036" s="13">
        <f>IF(A1036="",0,B1036*(IF(C1036=DATE(2026,11,28),38,0)+IF(C1036=DATE(2026,12,1),38,0)+IF(C1036=DATE(2026,12,2),26,0)))</f>
        <v/>
      </c>
      <c r="K1036" s="13">
        <f>IF(C1036=Options!$B$9,B1036*12,0)</f>
        <v/>
      </c>
      <c r="L1036" s="13">
        <f>IF(C1036=Options!$B$9,B1036*Options!$Z$6,0)</f>
        <v/>
      </c>
      <c r="M1036" s="13" t="n">
        <v>0</v>
      </c>
      <c r="N1036" s="13">
        <f>SUM(E1036:M1036)</f>
        <v/>
      </c>
    </row>
    <row r="1037">
      <c r="A1037" s="5">
        <f>IF(AND(C1037&gt;=Options!$B$9,C1037&lt;=Options!$B$10),"Denver","")</f>
        <v/>
      </c>
      <c r="B1037" s="5">
        <f>IF(A1037="","",18)</f>
        <v/>
      </c>
      <c r="C1037" s="17" t="n">
        <v>46598</v>
      </c>
      <c r="D1037" s="5">
        <f>IF(A1037="","",IF(C1037=DATE(2026,11,29),"培训；注册午餐；早餐参数",IF(C1037=DATE(2026,11,30),"培训；注册午餐",IF(C1037=DATE(2026,12,1),"培训；注册午餐；机构晚餐",IF(C1037=Options!$B$9,"抵达；"&amp;IF(C1037=DATE(2026,11,28),"机构晚餐","无统一供餐"),IF(C1037=Options!$B$10,"返程；"&amp;IF(C1037=DATE(2026,12,2),"机构午餐","无统一供餐"),"差旅状态；无统一日程"))))))</f>
        <v/>
      </c>
      <c r="E1037" s="13">
        <f>IF(C1037=Options!$B$9,Options!$C$16,0)</f>
        <v/>
      </c>
      <c r="F1037" s="13">
        <f>IF(AND(A1037&lt;&gt;"",C1037&lt;Options!$B$10),B1037*Options!$X$6,0)</f>
        <v/>
      </c>
      <c r="G1037" s="13">
        <f>F1037*12%</f>
        <v/>
      </c>
      <c r="H1037" s="13">
        <f>IF(A1037="",0,B1037*(92*IF(OR(C1037=Options!$B$9,C1037=Options!$B$10),75%,100%)-IF(C1037=DATE(2026,11,29),26+IF(Options!$B$8="是",23,0),0)-IF(C1037=DATE(2026,11,30),26,0)-IF(C1037=DATE(2026,12,1),64,0)-IF(C1037=DATE(2026,11,28),38,0)-IF(C1037=DATE(2026,12,2),26,0)))</f>
        <v/>
      </c>
      <c r="I1037" s="13">
        <f>IF(AND(C1037&gt;=DATE(2026,11,29),C1037&lt;=DATE(2026,12,1)),B1037*60,0)</f>
        <v/>
      </c>
      <c r="J1037" s="13">
        <f>IF(A1037="",0,B1037*(IF(C1037=DATE(2026,11,28),38,0)+IF(C1037=DATE(2026,12,1),38,0)+IF(C1037=DATE(2026,12,2),26,0)))</f>
        <v/>
      </c>
      <c r="K1037" s="13">
        <f>IF(C1037=Options!$B$9,B1037*12,0)</f>
        <v/>
      </c>
      <c r="L1037" s="13">
        <f>IF(C1037=Options!$B$9,B1037*Options!$Z$6,0)</f>
        <v/>
      </c>
      <c r="M1037" s="13" t="n">
        <v>0</v>
      </c>
      <c r="N1037" s="13">
        <f>SUM(E1037:M1037)</f>
        <v/>
      </c>
    </row>
    <row r="1038">
      <c r="A1038" s="5">
        <f>IF(AND(C1038&gt;=Options!$B$9,C1038&lt;=Options!$B$10),"Denver","")</f>
        <v/>
      </c>
      <c r="B1038" s="5">
        <f>IF(A1038="","",18)</f>
        <v/>
      </c>
      <c r="C1038" s="17" t="n">
        <v>46599</v>
      </c>
      <c r="D1038" s="5">
        <f>IF(A1038="","",IF(C1038=DATE(2026,11,29),"培训；注册午餐；早餐参数",IF(C1038=DATE(2026,11,30),"培训；注册午餐",IF(C1038=DATE(2026,12,1),"培训；注册午餐；机构晚餐",IF(C1038=Options!$B$9,"抵达；"&amp;IF(C1038=DATE(2026,11,28),"机构晚餐","无统一供餐"),IF(C1038=Options!$B$10,"返程；"&amp;IF(C1038=DATE(2026,12,2),"机构午餐","无统一供餐"),"差旅状态；无统一日程"))))))</f>
        <v/>
      </c>
      <c r="E1038" s="13">
        <f>IF(C1038=Options!$B$9,Options!$C$16,0)</f>
        <v/>
      </c>
      <c r="F1038" s="13">
        <f>IF(AND(A1038&lt;&gt;"",C1038&lt;Options!$B$10),B1038*Options!$X$6,0)</f>
        <v/>
      </c>
      <c r="G1038" s="13">
        <f>F1038*12%</f>
        <v/>
      </c>
      <c r="H1038" s="13">
        <f>IF(A1038="",0,B1038*(92*IF(OR(C1038=Options!$B$9,C1038=Options!$B$10),75%,100%)-IF(C1038=DATE(2026,11,29),26+IF(Options!$B$8="是",23,0),0)-IF(C1038=DATE(2026,11,30),26,0)-IF(C1038=DATE(2026,12,1),64,0)-IF(C1038=DATE(2026,11,28),38,0)-IF(C1038=DATE(2026,12,2),26,0)))</f>
        <v/>
      </c>
      <c r="I1038" s="13">
        <f>IF(AND(C1038&gt;=DATE(2026,11,29),C1038&lt;=DATE(2026,12,1)),B1038*60,0)</f>
        <v/>
      </c>
      <c r="J1038" s="13">
        <f>IF(A1038="",0,B1038*(IF(C1038=DATE(2026,11,28),38,0)+IF(C1038=DATE(2026,12,1),38,0)+IF(C1038=DATE(2026,12,2),26,0)))</f>
        <v/>
      </c>
      <c r="K1038" s="13">
        <f>IF(C1038=Options!$B$9,B1038*12,0)</f>
        <v/>
      </c>
      <c r="L1038" s="13">
        <f>IF(C1038=Options!$B$9,B1038*Options!$Z$6,0)</f>
        <v/>
      </c>
      <c r="M1038" s="13" t="n">
        <v>0</v>
      </c>
      <c r="N1038" s="13">
        <f>SUM(E1038:M1038)</f>
        <v/>
      </c>
    </row>
    <row r="1039">
      <c r="A1039" s="5">
        <f>IF(AND(C1039&gt;=Options!$B$9,C1039&lt;=Options!$B$10),"Denver","")</f>
        <v/>
      </c>
      <c r="B1039" s="5">
        <f>IF(A1039="","",18)</f>
        <v/>
      </c>
      <c r="C1039" s="17" t="n">
        <v>46600</v>
      </c>
      <c r="D1039" s="5">
        <f>IF(A1039="","",IF(C1039=DATE(2026,11,29),"培训；注册午餐；早餐参数",IF(C1039=DATE(2026,11,30),"培训；注册午餐",IF(C1039=DATE(2026,12,1),"培训；注册午餐；机构晚餐",IF(C1039=Options!$B$9,"抵达；"&amp;IF(C1039=DATE(2026,11,28),"机构晚餐","无统一供餐"),IF(C1039=Options!$B$10,"返程；"&amp;IF(C1039=DATE(2026,12,2),"机构午餐","无统一供餐"),"差旅状态；无统一日程"))))))</f>
        <v/>
      </c>
      <c r="E1039" s="13">
        <f>IF(C1039=Options!$B$9,Options!$C$16,0)</f>
        <v/>
      </c>
      <c r="F1039" s="13">
        <f>IF(AND(A1039&lt;&gt;"",C1039&lt;Options!$B$10),B1039*Options!$X$6,0)</f>
        <v/>
      </c>
      <c r="G1039" s="13">
        <f>F1039*12%</f>
        <v/>
      </c>
      <c r="H1039" s="13">
        <f>IF(A1039="",0,B1039*(92*IF(OR(C1039=Options!$B$9,C1039=Options!$B$10),75%,100%)-IF(C1039=DATE(2026,11,29),26+IF(Options!$B$8="是",23,0),0)-IF(C1039=DATE(2026,11,30),26,0)-IF(C1039=DATE(2026,12,1),64,0)-IF(C1039=DATE(2026,11,28),38,0)-IF(C1039=DATE(2026,12,2),26,0)))</f>
        <v/>
      </c>
      <c r="I1039" s="13">
        <f>IF(AND(C1039&gt;=DATE(2026,11,29),C1039&lt;=DATE(2026,12,1)),B1039*60,0)</f>
        <v/>
      </c>
      <c r="J1039" s="13">
        <f>IF(A1039="",0,B1039*(IF(C1039=DATE(2026,11,28),38,0)+IF(C1039=DATE(2026,12,1),38,0)+IF(C1039=DATE(2026,12,2),26,0)))</f>
        <v/>
      </c>
      <c r="K1039" s="13">
        <f>IF(C1039=Options!$B$9,B1039*12,0)</f>
        <v/>
      </c>
      <c r="L1039" s="13">
        <f>IF(C1039=Options!$B$9,B1039*Options!$Z$6,0)</f>
        <v/>
      </c>
      <c r="M1039" s="13" t="n">
        <v>0</v>
      </c>
      <c r="N1039" s="13">
        <f>SUM(E1039:M1039)</f>
        <v/>
      </c>
    </row>
    <row r="1040">
      <c r="A1040" s="5">
        <f>IF(AND(C1040&gt;=Options!$B$9,C1040&lt;=Options!$B$10),"Denver","")</f>
        <v/>
      </c>
      <c r="B1040" s="5">
        <f>IF(A1040="","",18)</f>
        <v/>
      </c>
      <c r="C1040" s="17" t="n">
        <v>46601</v>
      </c>
      <c r="D1040" s="5">
        <f>IF(A1040="","",IF(C1040=DATE(2026,11,29),"培训；注册午餐；早餐参数",IF(C1040=DATE(2026,11,30),"培训；注册午餐",IF(C1040=DATE(2026,12,1),"培训；注册午餐；机构晚餐",IF(C1040=Options!$B$9,"抵达；"&amp;IF(C1040=DATE(2026,11,28),"机构晚餐","无统一供餐"),IF(C1040=Options!$B$10,"返程；"&amp;IF(C1040=DATE(2026,12,2),"机构午餐","无统一供餐"),"差旅状态；无统一日程"))))))</f>
        <v/>
      </c>
      <c r="E1040" s="13">
        <f>IF(C1040=Options!$B$9,Options!$C$16,0)</f>
        <v/>
      </c>
      <c r="F1040" s="13">
        <f>IF(AND(A1040&lt;&gt;"",C1040&lt;Options!$B$10),B1040*Options!$X$6,0)</f>
        <v/>
      </c>
      <c r="G1040" s="13">
        <f>F1040*12%</f>
        <v/>
      </c>
      <c r="H1040" s="13">
        <f>IF(A1040="",0,B1040*(92*IF(OR(C1040=Options!$B$9,C1040=Options!$B$10),75%,100%)-IF(C1040=DATE(2026,11,29),26+IF(Options!$B$8="是",23,0),0)-IF(C1040=DATE(2026,11,30),26,0)-IF(C1040=DATE(2026,12,1),64,0)-IF(C1040=DATE(2026,11,28),38,0)-IF(C1040=DATE(2026,12,2),26,0)))</f>
        <v/>
      </c>
      <c r="I1040" s="13">
        <f>IF(AND(C1040&gt;=DATE(2026,11,29),C1040&lt;=DATE(2026,12,1)),B1040*60,0)</f>
        <v/>
      </c>
      <c r="J1040" s="13">
        <f>IF(A1040="",0,B1040*(IF(C1040=DATE(2026,11,28),38,0)+IF(C1040=DATE(2026,12,1),38,0)+IF(C1040=DATE(2026,12,2),26,0)))</f>
        <v/>
      </c>
      <c r="K1040" s="13">
        <f>IF(C1040=Options!$B$9,B1040*12,0)</f>
        <v/>
      </c>
      <c r="L1040" s="13">
        <f>IF(C1040=Options!$B$9,B1040*Options!$Z$6,0)</f>
        <v/>
      </c>
      <c r="M1040" s="13" t="n">
        <v>0</v>
      </c>
      <c r="N1040" s="13">
        <f>SUM(E1040:M1040)</f>
        <v/>
      </c>
    </row>
    <row r="1041">
      <c r="A1041" s="5">
        <f>IF(AND(C1041&gt;=Options!$B$9,C1041&lt;=Options!$B$10),"Denver","")</f>
        <v/>
      </c>
      <c r="B1041" s="5">
        <f>IF(A1041="","",18)</f>
        <v/>
      </c>
      <c r="C1041" s="17" t="n">
        <v>46602</v>
      </c>
      <c r="D1041" s="5">
        <f>IF(A1041="","",IF(C1041=DATE(2026,11,29),"培训；注册午餐；早餐参数",IF(C1041=DATE(2026,11,30),"培训；注册午餐",IF(C1041=DATE(2026,12,1),"培训；注册午餐；机构晚餐",IF(C1041=Options!$B$9,"抵达；"&amp;IF(C1041=DATE(2026,11,28),"机构晚餐","无统一供餐"),IF(C1041=Options!$B$10,"返程；"&amp;IF(C1041=DATE(2026,12,2),"机构午餐","无统一供餐"),"差旅状态；无统一日程"))))))</f>
        <v/>
      </c>
      <c r="E1041" s="13">
        <f>IF(C1041=Options!$B$9,Options!$C$16,0)</f>
        <v/>
      </c>
      <c r="F1041" s="13">
        <f>IF(AND(A1041&lt;&gt;"",C1041&lt;Options!$B$10),B1041*Options!$X$6,0)</f>
        <v/>
      </c>
      <c r="G1041" s="13">
        <f>F1041*12%</f>
        <v/>
      </c>
      <c r="H1041" s="13">
        <f>IF(A1041="",0,B1041*(92*IF(OR(C1041=Options!$B$9,C1041=Options!$B$10),75%,100%)-IF(C1041=DATE(2026,11,29),26+IF(Options!$B$8="是",23,0),0)-IF(C1041=DATE(2026,11,30),26,0)-IF(C1041=DATE(2026,12,1),64,0)-IF(C1041=DATE(2026,11,28),38,0)-IF(C1041=DATE(2026,12,2),26,0)))</f>
        <v/>
      </c>
      <c r="I1041" s="13">
        <f>IF(AND(C1041&gt;=DATE(2026,11,29),C1041&lt;=DATE(2026,12,1)),B1041*60,0)</f>
        <v/>
      </c>
      <c r="J1041" s="13">
        <f>IF(A1041="",0,B1041*(IF(C1041=DATE(2026,11,28),38,0)+IF(C1041=DATE(2026,12,1),38,0)+IF(C1041=DATE(2026,12,2),26,0)))</f>
        <v/>
      </c>
      <c r="K1041" s="13">
        <f>IF(C1041=Options!$B$9,B1041*12,0)</f>
        <v/>
      </c>
      <c r="L1041" s="13">
        <f>IF(C1041=Options!$B$9,B1041*Options!$Z$6,0)</f>
        <v/>
      </c>
      <c r="M1041" s="13" t="n">
        <v>0</v>
      </c>
      <c r="N1041" s="13">
        <f>SUM(E1041:M1041)</f>
        <v/>
      </c>
    </row>
    <row r="1042">
      <c r="A1042" s="5">
        <f>IF(AND(C1042&gt;=Options!$B$9,C1042&lt;=Options!$B$10),"Denver","")</f>
        <v/>
      </c>
      <c r="B1042" s="5">
        <f>IF(A1042="","",18)</f>
        <v/>
      </c>
      <c r="C1042" s="17" t="n">
        <v>46603</v>
      </c>
      <c r="D1042" s="5">
        <f>IF(A1042="","",IF(C1042=DATE(2026,11,29),"培训；注册午餐；早餐参数",IF(C1042=DATE(2026,11,30),"培训；注册午餐",IF(C1042=DATE(2026,12,1),"培训；注册午餐；机构晚餐",IF(C1042=Options!$B$9,"抵达；"&amp;IF(C1042=DATE(2026,11,28),"机构晚餐","无统一供餐"),IF(C1042=Options!$B$10,"返程；"&amp;IF(C1042=DATE(2026,12,2),"机构午餐","无统一供餐"),"差旅状态；无统一日程"))))))</f>
        <v/>
      </c>
      <c r="E1042" s="13">
        <f>IF(C1042=Options!$B$9,Options!$C$16,0)</f>
        <v/>
      </c>
      <c r="F1042" s="13">
        <f>IF(AND(A1042&lt;&gt;"",C1042&lt;Options!$B$10),B1042*Options!$X$6,0)</f>
        <v/>
      </c>
      <c r="G1042" s="13">
        <f>F1042*12%</f>
        <v/>
      </c>
      <c r="H1042" s="13">
        <f>IF(A1042="",0,B1042*(92*IF(OR(C1042=Options!$B$9,C1042=Options!$B$10),75%,100%)-IF(C1042=DATE(2026,11,29),26+IF(Options!$B$8="是",23,0),0)-IF(C1042=DATE(2026,11,30),26,0)-IF(C1042=DATE(2026,12,1),64,0)-IF(C1042=DATE(2026,11,28),38,0)-IF(C1042=DATE(2026,12,2),26,0)))</f>
        <v/>
      </c>
      <c r="I1042" s="13">
        <f>IF(AND(C1042&gt;=DATE(2026,11,29),C1042&lt;=DATE(2026,12,1)),B1042*60,0)</f>
        <v/>
      </c>
      <c r="J1042" s="13">
        <f>IF(A1042="",0,B1042*(IF(C1042=DATE(2026,11,28),38,0)+IF(C1042=DATE(2026,12,1),38,0)+IF(C1042=DATE(2026,12,2),26,0)))</f>
        <v/>
      </c>
      <c r="K1042" s="13">
        <f>IF(C1042=Options!$B$9,B1042*12,0)</f>
        <v/>
      </c>
      <c r="L1042" s="13">
        <f>IF(C1042=Options!$B$9,B1042*Options!$Z$6,0)</f>
        <v/>
      </c>
      <c r="M1042" s="13" t="n">
        <v>0</v>
      </c>
      <c r="N1042" s="13">
        <f>SUM(E1042:M1042)</f>
        <v/>
      </c>
    </row>
    <row r="1043">
      <c r="A1043" s="5">
        <f>IF(AND(C1043&gt;=Options!$B$9,C1043&lt;=Options!$B$10),"Denver","")</f>
        <v/>
      </c>
      <c r="B1043" s="5">
        <f>IF(A1043="","",18)</f>
        <v/>
      </c>
      <c r="C1043" s="17" t="n">
        <v>46604</v>
      </c>
      <c r="D1043" s="5">
        <f>IF(A1043="","",IF(C1043=DATE(2026,11,29),"培训；注册午餐；早餐参数",IF(C1043=DATE(2026,11,30),"培训；注册午餐",IF(C1043=DATE(2026,12,1),"培训；注册午餐；机构晚餐",IF(C1043=Options!$B$9,"抵达；"&amp;IF(C1043=DATE(2026,11,28),"机构晚餐","无统一供餐"),IF(C1043=Options!$B$10,"返程；"&amp;IF(C1043=DATE(2026,12,2),"机构午餐","无统一供餐"),"差旅状态；无统一日程"))))))</f>
        <v/>
      </c>
      <c r="E1043" s="13">
        <f>IF(C1043=Options!$B$9,Options!$C$16,0)</f>
        <v/>
      </c>
      <c r="F1043" s="13">
        <f>IF(AND(A1043&lt;&gt;"",C1043&lt;Options!$B$10),B1043*Options!$X$6,0)</f>
        <v/>
      </c>
      <c r="G1043" s="13">
        <f>F1043*12%</f>
        <v/>
      </c>
      <c r="H1043" s="13">
        <f>IF(A1043="",0,B1043*(92*IF(OR(C1043=Options!$B$9,C1043=Options!$B$10),75%,100%)-IF(C1043=DATE(2026,11,29),26+IF(Options!$B$8="是",23,0),0)-IF(C1043=DATE(2026,11,30),26,0)-IF(C1043=DATE(2026,12,1),64,0)-IF(C1043=DATE(2026,11,28),38,0)-IF(C1043=DATE(2026,12,2),26,0)))</f>
        <v/>
      </c>
      <c r="I1043" s="13">
        <f>IF(AND(C1043&gt;=DATE(2026,11,29),C1043&lt;=DATE(2026,12,1)),B1043*60,0)</f>
        <v/>
      </c>
      <c r="J1043" s="13">
        <f>IF(A1043="",0,B1043*(IF(C1043=DATE(2026,11,28),38,0)+IF(C1043=DATE(2026,12,1),38,0)+IF(C1043=DATE(2026,12,2),26,0)))</f>
        <v/>
      </c>
      <c r="K1043" s="13">
        <f>IF(C1043=Options!$B$9,B1043*12,0)</f>
        <v/>
      </c>
      <c r="L1043" s="13">
        <f>IF(C1043=Options!$B$9,B1043*Options!$Z$6,0)</f>
        <v/>
      </c>
      <c r="M1043" s="13" t="n">
        <v>0</v>
      </c>
      <c r="N1043" s="13">
        <f>SUM(E1043:M1043)</f>
        <v/>
      </c>
    </row>
    <row r="1044">
      <c r="A1044" s="5">
        <f>IF(AND(C1044&gt;=Options!$B$9,C1044&lt;=Options!$B$10),"Denver","")</f>
        <v/>
      </c>
      <c r="B1044" s="5">
        <f>IF(A1044="","",18)</f>
        <v/>
      </c>
      <c r="C1044" s="17" t="n">
        <v>46605</v>
      </c>
      <c r="D1044" s="5">
        <f>IF(A1044="","",IF(C1044=DATE(2026,11,29),"培训；注册午餐；早餐参数",IF(C1044=DATE(2026,11,30),"培训；注册午餐",IF(C1044=DATE(2026,12,1),"培训；注册午餐；机构晚餐",IF(C1044=Options!$B$9,"抵达；"&amp;IF(C1044=DATE(2026,11,28),"机构晚餐","无统一供餐"),IF(C1044=Options!$B$10,"返程；"&amp;IF(C1044=DATE(2026,12,2),"机构午餐","无统一供餐"),"差旅状态；无统一日程"))))))</f>
        <v/>
      </c>
      <c r="E1044" s="13">
        <f>IF(C1044=Options!$B$9,Options!$C$16,0)</f>
        <v/>
      </c>
      <c r="F1044" s="13">
        <f>IF(AND(A1044&lt;&gt;"",C1044&lt;Options!$B$10),B1044*Options!$X$6,0)</f>
        <v/>
      </c>
      <c r="G1044" s="13">
        <f>F1044*12%</f>
        <v/>
      </c>
      <c r="H1044" s="13">
        <f>IF(A1044="",0,B1044*(92*IF(OR(C1044=Options!$B$9,C1044=Options!$B$10),75%,100%)-IF(C1044=DATE(2026,11,29),26+IF(Options!$B$8="是",23,0),0)-IF(C1044=DATE(2026,11,30),26,0)-IF(C1044=DATE(2026,12,1),64,0)-IF(C1044=DATE(2026,11,28),38,0)-IF(C1044=DATE(2026,12,2),26,0)))</f>
        <v/>
      </c>
      <c r="I1044" s="13">
        <f>IF(AND(C1044&gt;=DATE(2026,11,29),C1044&lt;=DATE(2026,12,1)),B1044*60,0)</f>
        <v/>
      </c>
      <c r="J1044" s="13">
        <f>IF(A1044="",0,B1044*(IF(C1044=DATE(2026,11,28),38,0)+IF(C1044=DATE(2026,12,1),38,0)+IF(C1044=DATE(2026,12,2),26,0)))</f>
        <v/>
      </c>
      <c r="K1044" s="13">
        <f>IF(C1044=Options!$B$9,B1044*12,0)</f>
        <v/>
      </c>
      <c r="L1044" s="13">
        <f>IF(C1044=Options!$B$9,B1044*Options!$Z$6,0)</f>
        <v/>
      </c>
      <c r="M1044" s="13" t="n">
        <v>0</v>
      </c>
      <c r="N1044" s="13">
        <f>SUM(E1044:M1044)</f>
        <v/>
      </c>
    </row>
    <row r="1045">
      <c r="A1045" s="5">
        <f>IF(AND(C1045&gt;=Options!$B$9,C1045&lt;=Options!$B$10),"Denver","")</f>
        <v/>
      </c>
      <c r="B1045" s="5">
        <f>IF(A1045="","",18)</f>
        <v/>
      </c>
      <c r="C1045" s="17" t="n">
        <v>46606</v>
      </c>
      <c r="D1045" s="5">
        <f>IF(A1045="","",IF(C1045=DATE(2026,11,29),"培训；注册午餐；早餐参数",IF(C1045=DATE(2026,11,30),"培训；注册午餐",IF(C1045=DATE(2026,12,1),"培训；注册午餐；机构晚餐",IF(C1045=Options!$B$9,"抵达；"&amp;IF(C1045=DATE(2026,11,28),"机构晚餐","无统一供餐"),IF(C1045=Options!$B$10,"返程；"&amp;IF(C1045=DATE(2026,12,2),"机构午餐","无统一供餐"),"差旅状态；无统一日程"))))))</f>
        <v/>
      </c>
      <c r="E1045" s="13">
        <f>IF(C1045=Options!$B$9,Options!$C$16,0)</f>
        <v/>
      </c>
      <c r="F1045" s="13">
        <f>IF(AND(A1045&lt;&gt;"",C1045&lt;Options!$B$10),B1045*Options!$X$6,0)</f>
        <v/>
      </c>
      <c r="G1045" s="13">
        <f>F1045*12%</f>
        <v/>
      </c>
      <c r="H1045" s="13">
        <f>IF(A1045="",0,B1045*(92*IF(OR(C1045=Options!$B$9,C1045=Options!$B$10),75%,100%)-IF(C1045=DATE(2026,11,29),26+IF(Options!$B$8="是",23,0),0)-IF(C1045=DATE(2026,11,30),26,0)-IF(C1045=DATE(2026,12,1),64,0)-IF(C1045=DATE(2026,11,28),38,0)-IF(C1045=DATE(2026,12,2),26,0)))</f>
        <v/>
      </c>
      <c r="I1045" s="13">
        <f>IF(AND(C1045&gt;=DATE(2026,11,29),C1045&lt;=DATE(2026,12,1)),B1045*60,0)</f>
        <v/>
      </c>
      <c r="J1045" s="13">
        <f>IF(A1045="",0,B1045*(IF(C1045=DATE(2026,11,28),38,0)+IF(C1045=DATE(2026,12,1),38,0)+IF(C1045=DATE(2026,12,2),26,0)))</f>
        <v/>
      </c>
      <c r="K1045" s="13">
        <f>IF(C1045=Options!$B$9,B1045*12,0)</f>
        <v/>
      </c>
      <c r="L1045" s="13">
        <f>IF(C1045=Options!$B$9,B1045*Options!$Z$6,0)</f>
        <v/>
      </c>
      <c r="M1045" s="13" t="n">
        <v>0</v>
      </c>
      <c r="N1045" s="13">
        <f>SUM(E1045:M1045)</f>
        <v/>
      </c>
    </row>
    <row r="1046">
      <c r="A1046" s="5">
        <f>IF(AND(C1046&gt;=Options!$B$9,C1046&lt;=Options!$B$10),"Denver","")</f>
        <v/>
      </c>
      <c r="B1046" s="5">
        <f>IF(A1046="","",18)</f>
        <v/>
      </c>
      <c r="C1046" s="17" t="n">
        <v>46607</v>
      </c>
      <c r="D1046" s="5">
        <f>IF(A1046="","",IF(C1046=DATE(2026,11,29),"培训；注册午餐；早餐参数",IF(C1046=DATE(2026,11,30),"培训；注册午餐",IF(C1046=DATE(2026,12,1),"培训；注册午餐；机构晚餐",IF(C1046=Options!$B$9,"抵达；"&amp;IF(C1046=DATE(2026,11,28),"机构晚餐","无统一供餐"),IF(C1046=Options!$B$10,"返程；"&amp;IF(C1046=DATE(2026,12,2),"机构午餐","无统一供餐"),"差旅状态；无统一日程"))))))</f>
        <v/>
      </c>
      <c r="E1046" s="13">
        <f>IF(C1046=Options!$B$9,Options!$C$16,0)</f>
        <v/>
      </c>
      <c r="F1046" s="13">
        <f>IF(AND(A1046&lt;&gt;"",C1046&lt;Options!$B$10),B1046*Options!$X$6,0)</f>
        <v/>
      </c>
      <c r="G1046" s="13">
        <f>F1046*12%</f>
        <v/>
      </c>
      <c r="H1046" s="13">
        <f>IF(A1046="",0,B1046*(92*IF(OR(C1046=Options!$B$9,C1046=Options!$B$10),75%,100%)-IF(C1046=DATE(2026,11,29),26+IF(Options!$B$8="是",23,0),0)-IF(C1046=DATE(2026,11,30),26,0)-IF(C1046=DATE(2026,12,1),64,0)-IF(C1046=DATE(2026,11,28),38,0)-IF(C1046=DATE(2026,12,2),26,0)))</f>
        <v/>
      </c>
      <c r="I1046" s="13">
        <f>IF(AND(C1046&gt;=DATE(2026,11,29),C1046&lt;=DATE(2026,12,1)),B1046*60,0)</f>
        <v/>
      </c>
      <c r="J1046" s="13">
        <f>IF(A1046="",0,B1046*(IF(C1046=DATE(2026,11,28),38,0)+IF(C1046=DATE(2026,12,1),38,0)+IF(C1046=DATE(2026,12,2),26,0)))</f>
        <v/>
      </c>
      <c r="K1046" s="13">
        <f>IF(C1046=Options!$B$9,B1046*12,0)</f>
        <v/>
      </c>
      <c r="L1046" s="13">
        <f>IF(C1046=Options!$B$9,B1046*Options!$Z$6,0)</f>
        <v/>
      </c>
      <c r="M1046" s="13" t="n">
        <v>0</v>
      </c>
      <c r="N1046" s="13">
        <f>SUM(E1046:M1046)</f>
        <v/>
      </c>
    </row>
    <row r="1047">
      <c r="A1047" s="5">
        <f>IF(AND(C1047&gt;=Options!$B$9,C1047&lt;=Options!$B$10),"Denver","")</f>
        <v/>
      </c>
      <c r="B1047" s="5">
        <f>IF(A1047="","",18)</f>
        <v/>
      </c>
      <c r="C1047" s="17" t="n">
        <v>46608</v>
      </c>
      <c r="D1047" s="5">
        <f>IF(A1047="","",IF(C1047=DATE(2026,11,29),"培训；注册午餐；早餐参数",IF(C1047=DATE(2026,11,30),"培训；注册午餐",IF(C1047=DATE(2026,12,1),"培训；注册午餐；机构晚餐",IF(C1047=Options!$B$9,"抵达；"&amp;IF(C1047=DATE(2026,11,28),"机构晚餐","无统一供餐"),IF(C1047=Options!$B$10,"返程；"&amp;IF(C1047=DATE(2026,12,2),"机构午餐","无统一供餐"),"差旅状态；无统一日程"))))))</f>
        <v/>
      </c>
      <c r="E1047" s="13">
        <f>IF(C1047=Options!$B$9,Options!$C$16,0)</f>
        <v/>
      </c>
      <c r="F1047" s="13">
        <f>IF(AND(A1047&lt;&gt;"",C1047&lt;Options!$B$10),B1047*Options!$X$6,0)</f>
        <v/>
      </c>
      <c r="G1047" s="13">
        <f>F1047*12%</f>
        <v/>
      </c>
      <c r="H1047" s="13">
        <f>IF(A1047="",0,B1047*(92*IF(OR(C1047=Options!$B$9,C1047=Options!$B$10),75%,100%)-IF(C1047=DATE(2026,11,29),26+IF(Options!$B$8="是",23,0),0)-IF(C1047=DATE(2026,11,30),26,0)-IF(C1047=DATE(2026,12,1),64,0)-IF(C1047=DATE(2026,11,28),38,0)-IF(C1047=DATE(2026,12,2),26,0)))</f>
        <v/>
      </c>
      <c r="I1047" s="13">
        <f>IF(AND(C1047&gt;=DATE(2026,11,29),C1047&lt;=DATE(2026,12,1)),B1047*60,0)</f>
        <v/>
      </c>
      <c r="J1047" s="13">
        <f>IF(A1047="",0,B1047*(IF(C1047=DATE(2026,11,28),38,0)+IF(C1047=DATE(2026,12,1),38,0)+IF(C1047=DATE(2026,12,2),26,0)))</f>
        <v/>
      </c>
      <c r="K1047" s="13">
        <f>IF(C1047=Options!$B$9,B1047*12,0)</f>
        <v/>
      </c>
      <c r="L1047" s="13">
        <f>IF(C1047=Options!$B$9,B1047*Options!$Z$6,0)</f>
        <v/>
      </c>
      <c r="M1047" s="13" t="n">
        <v>0</v>
      </c>
      <c r="N1047" s="13">
        <f>SUM(E1047:M1047)</f>
        <v/>
      </c>
    </row>
    <row r="1048">
      <c r="A1048" s="5">
        <f>IF(AND(C1048&gt;=Options!$B$9,C1048&lt;=Options!$B$10),"Denver","")</f>
        <v/>
      </c>
      <c r="B1048" s="5">
        <f>IF(A1048="","",18)</f>
        <v/>
      </c>
      <c r="C1048" s="17" t="n">
        <v>46609</v>
      </c>
      <c r="D1048" s="5">
        <f>IF(A1048="","",IF(C1048=DATE(2026,11,29),"培训；注册午餐；早餐参数",IF(C1048=DATE(2026,11,30),"培训；注册午餐",IF(C1048=DATE(2026,12,1),"培训；注册午餐；机构晚餐",IF(C1048=Options!$B$9,"抵达；"&amp;IF(C1048=DATE(2026,11,28),"机构晚餐","无统一供餐"),IF(C1048=Options!$B$10,"返程；"&amp;IF(C1048=DATE(2026,12,2),"机构午餐","无统一供餐"),"差旅状态；无统一日程"))))))</f>
        <v/>
      </c>
      <c r="E1048" s="13">
        <f>IF(C1048=Options!$B$9,Options!$C$16,0)</f>
        <v/>
      </c>
      <c r="F1048" s="13">
        <f>IF(AND(A1048&lt;&gt;"",C1048&lt;Options!$B$10),B1048*Options!$X$6,0)</f>
        <v/>
      </c>
      <c r="G1048" s="13">
        <f>F1048*12%</f>
        <v/>
      </c>
      <c r="H1048" s="13">
        <f>IF(A1048="",0,B1048*(92*IF(OR(C1048=Options!$B$9,C1048=Options!$B$10),75%,100%)-IF(C1048=DATE(2026,11,29),26+IF(Options!$B$8="是",23,0),0)-IF(C1048=DATE(2026,11,30),26,0)-IF(C1048=DATE(2026,12,1),64,0)-IF(C1048=DATE(2026,11,28),38,0)-IF(C1048=DATE(2026,12,2),26,0)))</f>
        <v/>
      </c>
      <c r="I1048" s="13">
        <f>IF(AND(C1048&gt;=DATE(2026,11,29),C1048&lt;=DATE(2026,12,1)),B1048*60,0)</f>
        <v/>
      </c>
      <c r="J1048" s="13">
        <f>IF(A1048="",0,B1048*(IF(C1048=DATE(2026,11,28),38,0)+IF(C1048=DATE(2026,12,1),38,0)+IF(C1048=DATE(2026,12,2),26,0)))</f>
        <v/>
      </c>
      <c r="K1048" s="13">
        <f>IF(C1048=Options!$B$9,B1048*12,0)</f>
        <v/>
      </c>
      <c r="L1048" s="13">
        <f>IF(C1048=Options!$B$9,B1048*Options!$Z$6,0)</f>
        <v/>
      </c>
      <c r="M1048" s="13" t="n">
        <v>0</v>
      </c>
      <c r="N1048" s="13">
        <f>SUM(E1048:M1048)</f>
        <v/>
      </c>
    </row>
    <row r="1049">
      <c r="A1049" s="5">
        <f>IF(AND(C1049&gt;=Options!$B$9,C1049&lt;=Options!$B$10),"Denver","")</f>
        <v/>
      </c>
      <c r="B1049" s="5">
        <f>IF(A1049="","",18)</f>
        <v/>
      </c>
      <c r="C1049" s="17" t="n">
        <v>46610</v>
      </c>
      <c r="D1049" s="5">
        <f>IF(A1049="","",IF(C1049=DATE(2026,11,29),"培训；注册午餐；早餐参数",IF(C1049=DATE(2026,11,30),"培训；注册午餐",IF(C1049=DATE(2026,12,1),"培训；注册午餐；机构晚餐",IF(C1049=Options!$B$9,"抵达；"&amp;IF(C1049=DATE(2026,11,28),"机构晚餐","无统一供餐"),IF(C1049=Options!$B$10,"返程；"&amp;IF(C1049=DATE(2026,12,2),"机构午餐","无统一供餐"),"差旅状态；无统一日程"))))))</f>
        <v/>
      </c>
      <c r="E1049" s="13">
        <f>IF(C1049=Options!$B$9,Options!$C$16,0)</f>
        <v/>
      </c>
      <c r="F1049" s="13">
        <f>IF(AND(A1049&lt;&gt;"",C1049&lt;Options!$B$10),B1049*Options!$X$6,0)</f>
        <v/>
      </c>
      <c r="G1049" s="13">
        <f>F1049*12%</f>
        <v/>
      </c>
      <c r="H1049" s="13">
        <f>IF(A1049="",0,B1049*(92*IF(OR(C1049=Options!$B$9,C1049=Options!$B$10),75%,100%)-IF(C1049=DATE(2026,11,29),26+IF(Options!$B$8="是",23,0),0)-IF(C1049=DATE(2026,11,30),26,0)-IF(C1049=DATE(2026,12,1),64,0)-IF(C1049=DATE(2026,11,28),38,0)-IF(C1049=DATE(2026,12,2),26,0)))</f>
        <v/>
      </c>
      <c r="I1049" s="13">
        <f>IF(AND(C1049&gt;=DATE(2026,11,29),C1049&lt;=DATE(2026,12,1)),B1049*60,0)</f>
        <v/>
      </c>
      <c r="J1049" s="13">
        <f>IF(A1049="",0,B1049*(IF(C1049=DATE(2026,11,28),38,0)+IF(C1049=DATE(2026,12,1),38,0)+IF(C1049=DATE(2026,12,2),26,0)))</f>
        <v/>
      </c>
      <c r="K1049" s="13">
        <f>IF(C1049=Options!$B$9,B1049*12,0)</f>
        <v/>
      </c>
      <c r="L1049" s="13">
        <f>IF(C1049=Options!$B$9,B1049*Options!$Z$6,0)</f>
        <v/>
      </c>
      <c r="M1049" s="13" t="n">
        <v>0</v>
      </c>
      <c r="N1049" s="13">
        <f>SUM(E1049:M1049)</f>
        <v/>
      </c>
    </row>
    <row r="1050">
      <c r="A1050" s="5">
        <f>IF(AND(C1050&gt;=Options!$B$9,C1050&lt;=Options!$B$10),"Denver","")</f>
        <v/>
      </c>
      <c r="B1050" s="5">
        <f>IF(A1050="","",18)</f>
        <v/>
      </c>
      <c r="C1050" s="17" t="n">
        <v>46611</v>
      </c>
      <c r="D1050" s="5">
        <f>IF(A1050="","",IF(C1050=DATE(2026,11,29),"培训；注册午餐；早餐参数",IF(C1050=DATE(2026,11,30),"培训；注册午餐",IF(C1050=DATE(2026,12,1),"培训；注册午餐；机构晚餐",IF(C1050=Options!$B$9,"抵达；"&amp;IF(C1050=DATE(2026,11,28),"机构晚餐","无统一供餐"),IF(C1050=Options!$B$10,"返程；"&amp;IF(C1050=DATE(2026,12,2),"机构午餐","无统一供餐"),"差旅状态；无统一日程"))))))</f>
        <v/>
      </c>
      <c r="E1050" s="13">
        <f>IF(C1050=Options!$B$9,Options!$C$16,0)</f>
        <v/>
      </c>
      <c r="F1050" s="13">
        <f>IF(AND(A1050&lt;&gt;"",C1050&lt;Options!$B$10),B1050*Options!$X$6,0)</f>
        <v/>
      </c>
      <c r="G1050" s="13">
        <f>F1050*12%</f>
        <v/>
      </c>
      <c r="H1050" s="13">
        <f>IF(A1050="",0,B1050*(92*IF(OR(C1050=Options!$B$9,C1050=Options!$B$10),75%,100%)-IF(C1050=DATE(2026,11,29),26+IF(Options!$B$8="是",23,0),0)-IF(C1050=DATE(2026,11,30),26,0)-IF(C1050=DATE(2026,12,1),64,0)-IF(C1050=DATE(2026,11,28),38,0)-IF(C1050=DATE(2026,12,2),26,0)))</f>
        <v/>
      </c>
      <c r="I1050" s="13">
        <f>IF(AND(C1050&gt;=DATE(2026,11,29),C1050&lt;=DATE(2026,12,1)),B1050*60,0)</f>
        <v/>
      </c>
      <c r="J1050" s="13">
        <f>IF(A1050="",0,B1050*(IF(C1050=DATE(2026,11,28),38,0)+IF(C1050=DATE(2026,12,1),38,0)+IF(C1050=DATE(2026,12,2),26,0)))</f>
        <v/>
      </c>
      <c r="K1050" s="13">
        <f>IF(C1050=Options!$B$9,B1050*12,0)</f>
        <v/>
      </c>
      <c r="L1050" s="13">
        <f>IF(C1050=Options!$B$9,B1050*Options!$Z$6,0)</f>
        <v/>
      </c>
      <c r="M1050" s="13" t="n">
        <v>0</v>
      </c>
      <c r="N1050" s="13">
        <f>SUM(E1050:M1050)</f>
        <v/>
      </c>
    </row>
    <row r="1051">
      <c r="A1051" s="5">
        <f>IF(AND(C1051&gt;=Options!$B$9,C1051&lt;=Options!$B$10),"Denver","")</f>
        <v/>
      </c>
      <c r="B1051" s="5">
        <f>IF(A1051="","",18)</f>
        <v/>
      </c>
      <c r="C1051" s="17" t="n">
        <v>46612</v>
      </c>
      <c r="D1051" s="5">
        <f>IF(A1051="","",IF(C1051=DATE(2026,11,29),"培训；注册午餐；早餐参数",IF(C1051=DATE(2026,11,30),"培训；注册午餐",IF(C1051=DATE(2026,12,1),"培训；注册午餐；机构晚餐",IF(C1051=Options!$B$9,"抵达；"&amp;IF(C1051=DATE(2026,11,28),"机构晚餐","无统一供餐"),IF(C1051=Options!$B$10,"返程；"&amp;IF(C1051=DATE(2026,12,2),"机构午餐","无统一供餐"),"差旅状态；无统一日程"))))))</f>
        <v/>
      </c>
      <c r="E1051" s="13">
        <f>IF(C1051=Options!$B$9,Options!$C$16,0)</f>
        <v/>
      </c>
      <c r="F1051" s="13">
        <f>IF(AND(A1051&lt;&gt;"",C1051&lt;Options!$B$10),B1051*Options!$X$6,0)</f>
        <v/>
      </c>
      <c r="G1051" s="13">
        <f>F1051*12%</f>
        <v/>
      </c>
      <c r="H1051" s="13">
        <f>IF(A1051="",0,B1051*(92*IF(OR(C1051=Options!$B$9,C1051=Options!$B$10),75%,100%)-IF(C1051=DATE(2026,11,29),26+IF(Options!$B$8="是",23,0),0)-IF(C1051=DATE(2026,11,30),26,0)-IF(C1051=DATE(2026,12,1),64,0)-IF(C1051=DATE(2026,11,28),38,0)-IF(C1051=DATE(2026,12,2),26,0)))</f>
        <v/>
      </c>
      <c r="I1051" s="13">
        <f>IF(AND(C1051&gt;=DATE(2026,11,29),C1051&lt;=DATE(2026,12,1)),B1051*60,0)</f>
        <v/>
      </c>
      <c r="J1051" s="13">
        <f>IF(A1051="",0,B1051*(IF(C1051=DATE(2026,11,28),38,0)+IF(C1051=DATE(2026,12,1),38,0)+IF(C1051=DATE(2026,12,2),26,0)))</f>
        <v/>
      </c>
      <c r="K1051" s="13">
        <f>IF(C1051=Options!$B$9,B1051*12,0)</f>
        <v/>
      </c>
      <c r="L1051" s="13">
        <f>IF(C1051=Options!$B$9,B1051*Options!$Z$6,0)</f>
        <v/>
      </c>
      <c r="M1051" s="13" t="n">
        <v>0</v>
      </c>
      <c r="N1051" s="13">
        <f>SUM(E1051:M1051)</f>
        <v/>
      </c>
    </row>
    <row r="1052">
      <c r="A1052" s="5">
        <f>IF(AND(C1052&gt;=Options!$B$9,C1052&lt;=Options!$B$10),"Denver","")</f>
        <v/>
      </c>
      <c r="B1052" s="5">
        <f>IF(A1052="","",18)</f>
        <v/>
      </c>
      <c r="C1052" s="17" t="n">
        <v>46613</v>
      </c>
      <c r="D1052" s="5">
        <f>IF(A1052="","",IF(C1052=DATE(2026,11,29),"培训；注册午餐；早餐参数",IF(C1052=DATE(2026,11,30),"培训；注册午餐",IF(C1052=DATE(2026,12,1),"培训；注册午餐；机构晚餐",IF(C1052=Options!$B$9,"抵达；"&amp;IF(C1052=DATE(2026,11,28),"机构晚餐","无统一供餐"),IF(C1052=Options!$B$10,"返程；"&amp;IF(C1052=DATE(2026,12,2),"机构午餐","无统一供餐"),"差旅状态；无统一日程"))))))</f>
        <v/>
      </c>
      <c r="E1052" s="13">
        <f>IF(C1052=Options!$B$9,Options!$C$16,0)</f>
        <v/>
      </c>
      <c r="F1052" s="13">
        <f>IF(AND(A1052&lt;&gt;"",C1052&lt;Options!$B$10),B1052*Options!$X$6,0)</f>
        <v/>
      </c>
      <c r="G1052" s="13">
        <f>F1052*12%</f>
        <v/>
      </c>
      <c r="H1052" s="13">
        <f>IF(A1052="",0,B1052*(92*IF(OR(C1052=Options!$B$9,C1052=Options!$B$10),75%,100%)-IF(C1052=DATE(2026,11,29),26+IF(Options!$B$8="是",23,0),0)-IF(C1052=DATE(2026,11,30),26,0)-IF(C1052=DATE(2026,12,1),64,0)-IF(C1052=DATE(2026,11,28),38,0)-IF(C1052=DATE(2026,12,2),26,0)))</f>
        <v/>
      </c>
      <c r="I1052" s="13">
        <f>IF(AND(C1052&gt;=DATE(2026,11,29),C1052&lt;=DATE(2026,12,1)),B1052*60,0)</f>
        <v/>
      </c>
      <c r="J1052" s="13">
        <f>IF(A1052="",0,B1052*(IF(C1052=DATE(2026,11,28),38,0)+IF(C1052=DATE(2026,12,1),38,0)+IF(C1052=DATE(2026,12,2),26,0)))</f>
        <v/>
      </c>
      <c r="K1052" s="13">
        <f>IF(C1052=Options!$B$9,B1052*12,0)</f>
        <v/>
      </c>
      <c r="L1052" s="13">
        <f>IF(C1052=Options!$B$9,B1052*Options!$Z$6,0)</f>
        <v/>
      </c>
      <c r="M1052" s="13" t="n">
        <v>0</v>
      </c>
      <c r="N1052" s="13">
        <f>SUM(E1052:M1052)</f>
        <v/>
      </c>
    </row>
    <row r="1053">
      <c r="A1053" s="5">
        <f>IF(AND(C1053&gt;=Options!$B$9,C1053&lt;=Options!$B$10),"Denver","")</f>
        <v/>
      </c>
      <c r="B1053" s="5">
        <f>IF(A1053="","",18)</f>
        <v/>
      </c>
      <c r="C1053" s="17" t="n">
        <v>46614</v>
      </c>
      <c r="D1053" s="5">
        <f>IF(A1053="","",IF(C1053=DATE(2026,11,29),"培训；注册午餐；早餐参数",IF(C1053=DATE(2026,11,30),"培训；注册午餐",IF(C1053=DATE(2026,12,1),"培训；注册午餐；机构晚餐",IF(C1053=Options!$B$9,"抵达；"&amp;IF(C1053=DATE(2026,11,28),"机构晚餐","无统一供餐"),IF(C1053=Options!$B$10,"返程；"&amp;IF(C1053=DATE(2026,12,2),"机构午餐","无统一供餐"),"差旅状态；无统一日程"))))))</f>
        <v/>
      </c>
      <c r="E1053" s="13">
        <f>IF(C1053=Options!$B$9,Options!$C$16,0)</f>
        <v/>
      </c>
      <c r="F1053" s="13">
        <f>IF(AND(A1053&lt;&gt;"",C1053&lt;Options!$B$10),B1053*Options!$X$6,0)</f>
        <v/>
      </c>
      <c r="G1053" s="13">
        <f>F1053*12%</f>
        <v/>
      </c>
      <c r="H1053" s="13">
        <f>IF(A1053="",0,B1053*(92*IF(OR(C1053=Options!$B$9,C1053=Options!$B$10),75%,100%)-IF(C1053=DATE(2026,11,29),26+IF(Options!$B$8="是",23,0),0)-IF(C1053=DATE(2026,11,30),26,0)-IF(C1053=DATE(2026,12,1),64,0)-IF(C1053=DATE(2026,11,28),38,0)-IF(C1053=DATE(2026,12,2),26,0)))</f>
        <v/>
      </c>
      <c r="I1053" s="13">
        <f>IF(AND(C1053&gt;=DATE(2026,11,29),C1053&lt;=DATE(2026,12,1)),B1053*60,0)</f>
        <v/>
      </c>
      <c r="J1053" s="13">
        <f>IF(A1053="",0,B1053*(IF(C1053=DATE(2026,11,28),38,0)+IF(C1053=DATE(2026,12,1),38,0)+IF(C1053=DATE(2026,12,2),26,0)))</f>
        <v/>
      </c>
      <c r="K1053" s="13">
        <f>IF(C1053=Options!$B$9,B1053*12,0)</f>
        <v/>
      </c>
      <c r="L1053" s="13">
        <f>IF(C1053=Options!$B$9,B1053*Options!$Z$6,0)</f>
        <v/>
      </c>
      <c r="M1053" s="13" t="n">
        <v>0</v>
      </c>
      <c r="N1053" s="13">
        <f>SUM(E1053:M1053)</f>
        <v/>
      </c>
    </row>
    <row r="1054">
      <c r="A1054" s="5">
        <f>IF(AND(C1054&gt;=Options!$B$9,C1054&lt;=Options!$B$10),"Denver","")</f>
        <v/>
      </c>
      <c r="B1054" s="5">
        <f>IF(A1054="","",18)</f>
        <v/>
      </c>
      <c r="C1054" s="17" t="n">
        <v>46615</v>
      </c>
      <c r="D1054" s="5">
        <f>IF(A1054="","",IF(C1054=DATE(2026,11,29),"培训；注册午餐；早餐参数",IF(C1054=DATE(2026,11,30),"培训；注册午餐",IF(C1054=DATE(2026,12,1),"培训；注册午餐；机构晚餐",IF(C1054=Options!$B$9,"抵达；"&amp;IF(C1054=DATE(2026,11,28),"机构晚餐","无统一供餐"),IF(C1054=Options!$B$10,"返程；"&amp;IF(C1054=DATE(2026,12,2),"机构午餐","无统一供餐"),"差旅状态；无统一日程"))))))</f>
        <v/>
      </c>
      <c r="E1054" s="13">
        <f>IF(C1054=Options!$B$9,Options!$C$16,0)</f>
        <v/>
      </c>
      <c r="F1054" s="13">
        <f>IF(AND(A1054&lt;&gt;"",C1054&lt;Options!$B$10),B1054*Options!$X$6,0)</f>
        <v/>
      </c>
      <c r="G1054" s="13">
        <f>F1054*12%</f>
        <v/>
      </c>
      <c r="H1054" s="13">
        <f>IF(A1054="",0,B1054*(92*IF(OR(C1054=Options!$B$9,C1054=Options!$B$10),75%,100%)-IF(C1054=DATE(2026,11,29),26+IF(Options!$B$8="是",23,0),0)-IF(C1054=DATE(2026,11,30),26,0)-IF(C1054=DATE(2026,12,1),64,0)-IF(C1054=DATE(2026,11,28),38,0)-IF(C1054=DATE(2026,12,2),26,0)))</f>
        <v/>
      </c>
      <c r="I1054" s="13">
        <f>IF(AND(C1054&gt;=DATE(2026,11,29),C1054&lt;=DATE(2026,12,1)),B1054*60,0)</f>
        <v/>
      </c>
      <c r="J1054" s="13">
        <f>IF(A1054="",0,B1054*(IF(C1054=DATE(2026,11,28),38,0)+IF(C1054=DATE(2026,12,1),38,0)+IF(C1054=DATE(2026,12,2),26,0)))</f>
        <v/>
      </c>
      <c r="K1054" s="13">
        <f>IF(C1054=Options!$B$9,B1054*12,0)</f>
        <v/>
      </c>
      <c r="L1054" s="13">
        <f>IF(C1054=Options!$B$9,B1054*Options!$Z$6,0)</f>
        <v/>
      </c>
      <c r="M1054" s="13" t="n">
        <v>0</v>
      </c>
      <c r="N1054" s="13">
        <f>SUM(E1054:M1054)</f>
        <v/>
      </c>
    </row>
    <row r="1055">
      <c r="A1055" s="5">
        <f>IF(AND(C1055&gt;=Options!$B$9,C1055&lt;=Options!$B$10),"Denver","")</f>
        <v/>
      </c>
      <c r="B1055" s="5">
        <f>IF(A1055="","",18)</f>
        <v/>
      </c>
      <c r="C1055" s="17" t="n">
        <v>46616</v>
      </c>
      <c r="D1055" s="5">
        <f>IF(A1055="","",IF(C1055=DATE(2026,11,29),"培训；注册午餐；早餐参数",IF(C1055=DATE(2026,11,30),"培训；注册午餐",IF(C1055=DATE(2026,12,1),"培训；注册午餐；机构晚餐",IF(C1055=Options!$B$9,"抵达；"&amp;IF(C1055=DATE(2026,11,28),"机构晚餐","无统一供餐"),IF(C1055=Options!$B$10,"返程；"&amp;IF(C1055=DATE(2026,12,2),"机构午餐","无统一供餐"),"差旅状态；无统一日程"))))))</f>
        <v/>
      </c>
      <c r="E1055" s="13">
        <f>IF(C1055=Options!$B$9,Options!$C$16,0)</f>
        <v/>
      </c>
      <c r="F1055" s="13">
        <f>IF(AND(A1055&lt;&gt;"",C1055&lt;Options!$B$10),B1055*Options!$X$6,0)</f>
        <v/>
      </c>
      <c r="G1055" s="13">
        <f>F1055*12%</f>
        <v/>
      </c>
      <c r="H1055" s="13">
        <f>IF(A1055="",0,B1055*(92*IF(OR(C1055=Options!$B$9,C1055=Options!$B$10),75%,100%)-IF(C1055=DATE(2026,11,29),26+IF(Options!$B$8="是",23,0),0)-IF(C1055=DATE(2026,11,30),26,0)-IF(C1055=DATE(2026,12,1),64,0)-IF(C1055=DATE(2026,11,28),38,0)-IF(C1055=DATE(2026,12,2),26,0)))</f>
        <v/>
      </c>
      <c r="I1055" s="13">
        <f>IF(AND(C1055&gt;=DATE(2026,11,29),C1055&lt;=DATE(2026,12,1)),B1055*60,0)</f>
        <v/>
      </c>
      <c r="J1055" s="13">
        <f>IF(A1055="",0,B1055*(IF(C1055=DATE(2026,11,28),38,0)+IF(C1055=DATE(2026,12,1),38,0)+IF(C1055=DATE(2026,12,2),26,0)))</f>
        <v/>
      </c>
      <c r="K1055" s="13">
        <f>IF(C1055=Options!$B$9,B1055*12,0)</f>
        <v/>
      </c>
      <c r="L1055" s="13">
        <f>IF(C1055=Options!$B$9,B1055*Options!$Z$6,0)</f>
        <v/>
      </c>
      <c r="M1055" s="13" t="n">
        <v>0</v>
      </c>
      <c r="N1055" s="13">
        <f>SUM(E1055:M1055)</f>
        <v/>
      </c>
    </row>
    <row r="1056">
      <c r="A1056" s="5">
        <f>IF(AND(C1056&gt;=Options!$B$9,C1056&lt;=Options!$B$10),"Denver","")</f>
        <v/>
      </c>
      <c r="B1056" s="5">
        <f>IF(A1056="","",18)</f>
        <v/>
      </c>
      <c r="C1056" s="17" t="n">
        <v>46617</v>
      </c>
      <c r="D1056" s="5">
        <f>IF(A1056="","",IF(C1056=DATE(2026,11,29),"培训；注册午餐；早餐参数",IF(C1056=DATE(2026,11,30),"培训；注册午餐",IF(C1056=DATE(2026,12,1),"培训；注册午餐；机构晚餐",IF(C1056=Options!$B$9,"抵达；"&amp;IF(C1056=DATE(2026,11,28),"机构晚餐","无统一供餐"),IF(C1056=Options!$B$10,"返程；"&amp;IF(C1056=DATE(2026,12,2),"机构午餐","无统一供餐"),"差旅状态；无统一日程"))))))</f>
        <v/>
      </c>
      <c r="E1056" s="13">
        <f>IF(C1056=Options!$B$9,Options!$C$16,0)</f>
        <v/>
      </c>
      <c r="F1056" s="13">
        <f>IF(AND(A1056&lt;&gt;"",C1056&lt;Options!$B$10),B1056*Options!$X$6,0)</f>
        <v/>
      </c>
      <c r="G1056" s="13">
        <f>F1056*12%</f>
        <v/>
      </c>
      <c r="H1056" s="13">
        <f>IF(A1056="",0,B1056*(92*IF(OR(C1056=Options!$B$9,C1056=Options!$B$10),75%,100%)-IF(C1056=DATE(2026,11,29),26+IF(Options!$B$8="是",23,0),0)-IF(C1056=DATE(2026,11,30),26,0)-IF(C1056=DATE(2026,12,1),64,0)-IF(C1056=DATE(2026,11,28),38,0)-IF(C1056=DATE(2026,12,2),26,0)))</f>
        <v/>
      </c>
      <c r="I1056" s="13">
        <f>IF(AND(C1056&gt;=DATE(2026,11,29),C1056&lt;=DATE(2026,12,1)),B1056*60,0)</f>
        <v/>
      </c>
      <c r="J1056" s="13">
        <f>IF(A1056="",0,B1056*(IF(C1056=DATE(2026,11,28),38,0)+IF(C1056=DATE(2026,12,1),38,0)+IF(C1056=DATE(2026,12,2),26,0)))</f>
        <v/>
      </c>
      <c r="K1056" s="13">
        <f>IF(C1056=Options!$B$9,B1056*12,0)</f>
        <v/>
      </c>
      <c r="L1056" s="13">
        <f>IF(C1056=Options!$B$9,B1056*Options!$Z$6,0)</f>
        <v/>
      </c>
      <c r="M1056" s="13" t="n">
        <v>0</v>
      </c>
      <c r="N1056" s="13">
        <f>SUM(E1056:M1056)</f>
        <v/>
      </c>
    </row>
    <row r="1057">
      <c r="A1057" s="5">
        <f>IF(AND(C1057&gt;=Options!$B$9,C1057&lt;=Options!$B$10),"Denver","")</f>
        <v/>
      </c>
      <c r="B1057" s="5">
        <f>IF(A1057="","",18)</f>
        <v/>
      </c>
      <c r="C1057" s="17" t="n">
        <v>46618</v>
      </c>
      <c r="D1057" s="5">
        <f>IF(A1057="","",IF(C1057=DATE(2026,11,29),"培训；注册午餐；早餐参数",IF(C1057=DATE(2026,11,30),"培训；注册午餐",IF(C1057=DATE(2026,12,1),"培训；注册午餐；机构晚餐",IF(C1057=Options!$B$9,"抵达；"&amp;IF(C1057=DATE(2026,11,28),"机构晚餐","无统一供餐"),IF(C1057=Options!$B$10,"返程；"&amp;IF(C1057=DATE(2026,12,2),"机构午餐","无统一供餐"),"差旅状态；无统一日程"))))))</f>
        <v/>
      </c>
      <c r="E1057" s="13">
        <f>IF(C1057=Options!$B$9,Options!$C$16,0)</f>
        <v/>
      </c>
      <c r="F1057" s="13">
        <f>IF(AND(A1057&lt;&gt;"",C1057&lt;Options!$B$10),B1057*Options!$X$6,0)</f>
        <v/>
      </c>
      <c r="G1057" s="13">
        <f>F1057*12%</f>
        <v/>
      </c>
      <c r="H1057" s="13">
        <f>IF(A1057="",0,B1057*(92*IF(OR(C1057=Options!$B$9,C1057=Options!$B$10),75%,100%)-IF(C1057=DATE(2026,11,29),26+IF(Options!$B$8="是",23,0),0)-IF(C1057=DATE(2026,11,30),26,0)-IF(C1057=DATE(2026,12,1),64,0)-IF(C1057=DATE(2026,11,28),38,0)-IF(C1057=DATE(2026,12,2),26,0)))</f>
        <v/>
      </c>
      <c r="I1057" s="13">
        <f>IF(AND(C1057&gt;=DATE(2026,11,29),C1057&lt;=DATE(2026,12,1)),B1057*60,0)</f>
        <v/>
      </c>
      <c r="J1057" s="13">
        <f>IF(A1057="",0,B1057*(IF(C1057=DATE(2026,11,28),38,0)+IF(C1057=DATE(2026,12,1),38,0)+IF(C1057=DATE(2026,12,2),26,0)))</f>
        <v/>
      </c>
      <c r="K1057" s="13">
        <f>IF(C1057=Options!$B$9,B1057*12,0)</f>
        <v/>
      </c>
      <c r="L1057" s="13">
        <f>IF(C1057=Options!$B$9,B1057*Options!$Z$6,0)</f>
        <v/>
      </c>
      <c r="M1057" s="13" t="n">
        <v>0</v>
      </c>
      <c r="N1057" s="13">
        <f>SUM(E1057:M1057)</f>
        <v/>
      </c>
    </row>
    <row r="1058">
      <c r="A1058" s="5">
        <f>IF(AND(C1058&gt;=Options!$B$9,C1058&lt;=Options!$B$10),"Denver","")</f>
        <v/>
      </c>
      <c r="B1058" s="5">
        <f>IF(A1058="","",18)</f>
        <v/>
      </c>
      <c r="C1058" s="17" t="n">
        <v>46619</v>
      </c>
      <c r="D1058" s="5">
        <f>IF(A1058="","",IF(C1058=DATE(2026,11,29),"培训；注册午餐；早餐参数",IF(C1058=DATE(2026,11,30),"培训；注册午餐",IF(C1058=DATE(2026,12,1),"培训；注册午餐；机构晚餐",IF(C1058=Options!$B$9,"抵达；"&amp;IF(C1058=DATE(2026,11,28),"机构晚餐","无统一供餐"),IF(C1058=Options!$B$10,"返程；"&amp;IF(C1058=DATE(2026,12,2),"机构午餐","无统一供餐"),"差旅状态；无统一日程"))))))</f>
        <v/>
      </c>
      <c r="E1058" s="13">
        <f>IF(C1058=Options!$B$9,Options!$C$16,0)</f>
        <v/>
      </c>
      <c r="F1058" s="13">
        <f>IF(AND(A1058&lt;&gt;"",C1058&lt;Options!$B$10),B1058*Options!$X$6,0)</f>
        <v/>
      </c>
      <c r="G1058" s="13">
        <f>F1058*12%</f>
        <v/>
      </c>
      <c r="H1058" s="13">
        <f>IF(A1058="",0,B1058*(92*IF(OR(C1058=Options!$B$9,C1058=Options!$B$10),75%,100%)-IF(C1058=DATE(2026,11,29),26+IF(Options!$B$8="是",23,0),0)-IF(C1058=DATE(2026,11,30),26,0)-IF(C1058=DATE(2026,12,1),64,0)-IF(C1058=DATE(2026,11,28),38,0)-IF(C1058=DATE(2026,12,2),26,0)))</f>
        <v/>
      </c>
      <c r="I1058" s="13">
        <f>IF(AND(C1058&gt;=DATE(2026,11,29),C1058&lt;=DATE(2026,12,1)),B1058*60,0)</f>
        <v/>
      </c>
      <c r="J1058" s="13">
        <f>IF(A1058="",0,B1058*(IF(C1058=DATE(2026,11,28),38,0)+IF(C1058=DATE(2026,12,1),38,0)+IF(C1058=DATE(2026,12,2),26,0)))</f>
        <v/>
      </c>
      <c r="K1058" s="13">
        <f>IF(C1058=Options!$B$9,B1058*12,0)</f>
        <v/>
      </c>
      <c r="L1058" s="13">
        <f>IF(C1058=Options!$B$9,B1058*Options!$Z$6,0)</f>
        <v/>
      </c>
      <c r="M1058" s="13" t="n">
        <v>0</v>
      </c>
      <c r="N1058" s="13">
        <f>SUM(E1058:M1058)</f>
        <v/>
      </c>
    </row>
    <row r="1059">
      <c r="A1059" s="5">
        <f>IF(AND(C1059&gt;=Options!$B$9,C1059&lt;=Options!$B$10),"Denver","")</f>
        <v/>
      </c>
      <c r="B1059" s="5">
        <f>IF(A1059="","",18)</f>
        <v/>
      </c>
      <c r="C1059" s="17" t="n">
        <v>46620</v>
      </c>
      <c r="D1059" s="5">
        <f>IF(A1059="","",IF(C1059=DATE(2026,11,29),"培训；注册午餐；早餐参数",IF(C1059=DATE(2026,11,30),"培训；注册午餐",IF(C1059=DATE(2026,12,1),"培训；注册午餐；机构晚餐",IF(C1059=Options!$B$9,"抵达；"&amp;IF(C1059=DATE(2026,11,28),"机构晚餐","无统一供餐"),IF(C1059=Options!$B$10,"返程；"&amp;IF(C1059=DATE(2026,12,2),"机构午餐","无统一供餐"),"差旅状态；无统一日程"))))))</f>
        <v/>
      </c>
      <c r="E1059" s="13">
        <f>IF(C1059=Options!$B$9,Options!$C$16,0)</f>
        <v/>
      </c>
      <c r="F1059" s="13">
        <f>IF(AND(A1059&lt;&gt;"",C1059&lt;Options!$B$10),B1059*Options!$X$6,0)</f>
        <v/>
      </c>
      <c r="G1059" s="13">
        <f>F1059*12%</f>
        <v/>
      </c>
      <c r="H1059" s="13">
        <f>IF(A1059="",0,B1059*(92*IF(OR(C1059=Options!$B$9,C1059=Options!$B$10),75%,100%)-IF(C1059=DATE(2026,11,29),26+IF(Options!$B$8="是",23,0),0)-IF(C1059=DATE(2026,11,30),26,0)-IF(C1059=DATE(2026,12,1),64,0)-IF(C1059=DATE(2026,11,28),38,0)-IF(C1059=DATE(2026,12,2),26,0)))</f>
        <v/>
      </c>
      <c r="I1059" s="13">
        <f>IF(AND(C1059&gt;=DATE(2026,11,29),C1059&lt;=DATE(2026,12,1)),B1059*60,0)</f>
        <v/>
      </c>
      <c r="J1059" s="13">
        <f>IF(A1059="",0,B1059*(IF(C1059=DATE(2026,11,28),38,0)+IF(C1059=DATE(2026,12,1),38,0)+IF(C1059=DATE(2026,12,2),26,0)))</f>
        <v/>
      </c>
      <c r="K1059" s="13">
        <f>IF(C1059=Options!$B$9,B1059*12,0)</f>
        <v/>
      </c>
      <c r="L1059" s="13">
        <f>IF(C1059=Options!$B$9,B1059*Options!$Z$6,0)</f>
        <v/>
      </c>
      <c r="M1059" s="13" t="n">
        <v>0</v>
      </c>
      <c r="N1059" s="13">
        <f>SUM(E1059:M1059)</f>
        <v/>
      </c>
    </row>
    <row r="1060">
      <c r="A1060" s="5">
        <f>IF(AND(C1060&gt;=Options!$B$9,C1060&lt;=Options!$B$10),"Denver","")</f>
        <v/>
      </c>
      <c r="B1060" s="5">
        <f>IF(A1060="","",18)</f>
        <v/>
      </c>
      <c r="C1060" s="17" t="n">
        <v>46621</v>
      </c>
      <c r="D1060" s="5">
        <f>IF(A1060="","",IF(C1060=DATE(2026,11,29),"培训；注册午餐；早餐参数",IF(C1060=DATE(2026,11,30),"培训；注册午餐",IF(C1060=DATE(2026,12,1),"培训；注册午餐；机构晚餐",IF(C1060=Options!$B$9,"抵达；"&amp;IF(C1060=DATE(2026,11,28),"机构晚餐","无统一供餐"),IF(C1060=Options!$B$10,"返程；"&amp;IF(C1060=DATE(2026,12,2),"机构午餐","无统一供餐"),"差旅状态；无统一日程"))))))</f>
        <v/>
      </c>
      <c r="E1060" s="13">
        <f>IF(C1060=Options!$B$9,Options!$C$16,0)</f>
        <v/>
      </c>
      <c r="F1060" s="13">
        <f>IF(AND(A1060&lt;&gt;"",C1060&lt;Options!$B$10),B1060*Options!$X$6,0)</f>
        <v/>
      </c>
      <c r="G1060" s="13">
        <f>F1060*12%</f>
        <v/>
      </c>
      <c r="H1060" s="13">
        <f>IF(A1060="",0,B1060*(92*IF(OR(C1060=Options!$B$9,C1060=Options!$B$10),75%,100%)-IF(C1060=DATE(2026,11,29),26+IF(Options!$B$8="是",23,0),0)-IF(C1060=DATE(2026,11,30),26,0)-IF(C1060=DATE(2026,12,1),64,0)-IF(C1060=DATE(2026,11,28),38,0)-IF(C1060=DATE(2026,12,2),26,0)))</f>
        <v/>
      </c>
      <c r="I1060" s="13">
        <f>IF(AND(C1060&gt;=DATE(2026,11,29),C1060&lt;=DATE(2026,12,1)),B1060*60,0)</f>
        <v/>
      </c>
      <c r="J1060" s="13">
        <f>IF(A1060="",0,B1060*(IF(C1060=DATE(2026,11,28),38,0)+IF(C1060=DATE(2026,12,1),38,0)+IF(C1060=DATE(2026,12,2),26,0)))</f>
        <v/>
      </c>
      <c r="K1060" s="13">
        <f>IF(C1060=Options!$B$9,B1060*12,0)</f>
        <v/>
      </c>
      <c r="L1060" s="13">
        <f>IF(C1060=Options!$B$9,B1060*Options!$Z$6,0)</f>
        <v/>
      </c>
      <c r="M1060" s="13" t="n">
        <v>0</v>
      </c>
      <c r="N1060" s="13">
        <f>SUM(E1060:M1060)</f>
        <v/>
      </c>
    </row>
    <row r="1061">
      <c r="A1061" s="5">
        <f>IF(AND(C1061&gt;=Options!$B$9,C1061&lt;=Options!$B$10),"Denver","")</f>
        <v/>
      </c>
      <c r="B1061" s="5">
        <f>IF(A1061="","",18)</f>
        <v/>
      </c>
      <c r="C1061" s="17" t="n">
        <v>46622</v>
      </c>
      <c r="D1061" s="5">
        <f>IF(A1061="","",IF(C1061=DATE(2026,11,29),"培训；注册午餐；早餐参数",IF(C1061=DATE(2026,11,30),"培训；注册午餐",IF(C1061=DATE(2026,12,1),"培训；注册午餐；机构晚餐",IF(C1061=Options!$B$9,"抵达；"&amp;IF(C1061=DATE(2026,11,28),"机构晚餐","无统一供餐"),IF(C1061=Options!$B$10,"返程；"&amp;IF(C1061=DATE(2026,12,2),"机构午餐","无统一供餐"),"差旅状态；无统一日程"))))))</f>
        <v/>
      </c>
      <c r="E1061" s="13">
        <f>IF(C1061=Options!$B$9,Options!$C$16,0)</f>
        <v/>
      </c>
      <c r="F1061" s="13">
        <f>IF(AND(A1061&lt;&gt;"",C1061&lt;Options!$B$10),B1061*Options!$X$6,0)</f>
        <v/>
      </c>
      <c r="G1061" s="13">
        <f>F1061*12%</f>
        <v/>
      </c>
      <c r="H1061" s="13">
        <f>IF(A1061="",0,B1061*(92*IF(OR(C1061=Options!$B$9,C1061=Options!$B$10),75%,100%)-IF(C1061=DATE(2026,11,29),26+IF(Options!$B$8="是",23,0),0)-IF(C1061=DATE(2026,11,30),26,0)-IF(C1061=DATE(2026,12,1),64,0)-IF(C1061=DATE(2026,11,28),38,0)-IF(C1061=DATE(2026,12,2),26,0)))</f>
        <v/>
      </c>
      <c r="I1061" s="13">
        <f>IF(AND(C1061&gt;=DATE(2026,11,29),C1061&lt;=DATE(2026,12,1)),B1061*60,0)</f>
        <v/>
      </c>
      <c r="J1061" s="13">
        <f>IF(A1061="",0,B1061*(IF(C1061=DATE(2026,11,28),38,0)+IF(C1061=DATE(2026,12,1),38,0)+IF(C1061=DATE(2026,12,2),26,0)))</f>
        <v/>
      </c>
      <c r="K1061" s="13">
        <f>IF(C1061=Options!$B$9,B1061*12,0)</f>
        <v/>
      </c>
      <c r="L1061" s="13">
        <f>IF(C1061=Options!$B$9,B1061*Options!$Z$6,0)</f>
        <v/>
      </c>
      <c r="M1061" s="13" t="n">
        <v>0</v>
      </c>
      <c r="N1061" s="13">
        <f>SUM(E1061:M1061)</f>
        <v/>
      </c>
    </row>
    <row r="1062">
      <c r="A1062" s="5">
        <f>IF(AND(C1062&gt;=Options!$B$9,C1062&lt;=Options!$B$10),"Denver","")</f>
        <v/>
      </c>
      <c r="B1062" s="5">
        <f>IF(A1062="","",18)</f>
        <v/>
      </c>
      <c r="C1062" s="17" t="n">
        <v>46623</v>
      </c>
      <c r="D1062" s="5">
        <f>IF(A1062="","",IF(C1062=DATE(2026,11,29),"培训；注册午餐；早餐参数",IF(C1062=DATE(2026,11,30),"培训；注册午餐",IF(C1062=DATE(2026,12,1),"培训；注册午餐；机构晚餐",IF(C1062=Options!$B$9,"抵达；"&amp;IF(C1062=DATE(2026,11,28),"机构晚餐","无统一供餐"),IF(C1062=Options!$B$10,"返程；"&amp;IF(C1062=DATE(2026,12,2),"机构午餐","无统一供餐"),"差旅状态；无统一日程"))))))</f>
        <v/>
      </c>
      <c r="E1062" s="13">
        <f>IF(C1062=Options!$B$9,Options!$C$16,0)</f>
        <v/>
      </c>
      <c r="F1062" s="13">
        <f>IF(AND(A1062&lt;&gt;"",C1062&lt;Options!$B$10),B1062*Options!$X$6,0)</f>
        <v/>
      </c>
      <c r="G1062" s="13">
        <f>F1062*12%</f>
        <v/>
      </c>
      <c r="H1062" s="13">
        <f>IF(A1062="",0,B1062*(92*IF(OR(C1062=Options!$B$9,C1062=Options!$B$10),75%,100%)-IF(C1062=DATE(2026,11,29),26+IF(Options!$B$8="是",23,0),0)-IF(C1062=DATE(2026,11,30),26,0)-IF(C1062=DATE(2026,12,1),64,0)-IF(C1062=DATE(2026,11,28),38,0)-IF(C1062=DATE(2026,12,2),26,0)))</f>
        <v/>
      </c>
      <c r="I1062" s="13">
        <f>IF(AND(C1062&gt;=DATE(2026,11,29),C1062&lt;=DATE(2026,12,1)),B1062*60,0)</f>
        <v/>
      </c>
      <c r="J1062" s="13">
        <f>IF(A1062="",0,B1062*(IF(C1062=DATE(2026,11,28),38,0)+IF(C1062=DATE(2026,12,1),38,0)+IF(C1062=DATE(2026,12,2),26,0)))</f>
        <v/>
      </c>
      <c r="K1062" s="13">
        <f>IF(C1062=Options!$B$9,B1062*12,0)</f>
        <v/>
      </c>
      <c r="L1062" s="13">
        <f>IF(C1062=Options!$B$9,B1062*Options!$Z$6,0)</f>
        <v/>
      </c>
      <c r="M1062" s="13" t="n">
        <v>0</v>
      </c>
      <c r="N1062" s="13">
        <f>SUM(E1062:M1062)</f>
        <v/>
      </c>
    </row>
    <row r="1063">
      <c r="A1063" s="5">
        <f>IF(AND(C1063&gt;=Options!$B$9,C1063&lt;=Options!$B$10),"Denver","")</f>
        <v/>
      </c>
      <c r="B1063" s="5">
        <f>IF(A1063="","",18)</f>
        <v/>
      </c>
      <c r="C1063" s="17" t="n">
        <v>46624</v>
      </c>
      <c r="D1063" s="5">
        <f>IF(A1063="","",IF(C1063=DATE(2026,11,29),"培训；注册午餐；早餐参数",IF(C1063=DATE(2026,11,30),"培训；注册午餐",IF(C1063=DATE(2026,12,1),"培训；注册午餐；机构晚餐",IF(C1063=Options!$B$9,"抵达；"&amp;IF(C1063=DATE(2026,11,28),"机构晚餐","无统一供餐"),IF(C1063=Options!$B$10,"返程；"&amp;IF(C1063=DATE(2026,12,2),"机构午餐","无统一供餐"),"差旅状态；无统一日程"))))))</f>
        <v/>
      </c>
      <c r="E1063" s="13">
        <f>IF(C1063=Options!$B$9,Options!$C$16,0)</f>
        <v/>
      </c>
      <c r="F1063" s="13">
        <f>IF(AND(A1063&lt;&gt;"",C1063&lt;Options!$B$10),B1063*Options!$X$6,0)</f>
        <v/>
      </c>
      <c r="G1063" s="13">
        <f>F1063*12%</f>
        <v/>
      </c>
      <c r="H1063" s="13">
        <f>IF(A1063="",0,B1063*(92*IF(OR(C1063=Options!$B$9,C1063=Options!$B$10),75%,100%)-IF(C1063=DATE(2026,11,29),26+IF(Options!$B$8="是",23,0),0)-IF(C1063=DATE(2026,11,30),26,0)-IF(C1063=DATE(2026,12,1),64,0)-IF(C1063=DATE(2026,11,28),38,0)-IF(C1063=DATE(2026,12,2),26,0)))</f>
        <v/>
      </c>
      <c r="I1063" s="13">
        <f>IF(AND(C1063&gt;=DATE(2026,11,29),C1063&lt;=DATE(2026,12,1)),B1063*60,0)</f>
        <v/>
      </c>
      <c r="J1063" s="13">
        <f>IF(A1063="",0,B1063*(IF(C1063=DATE(2026,11,28),38,0)+IF(C1063=DATE(2026,12,1),38,0)+IF(C1063=DATE(2026,12,2),26,0)))</f>
        <v/>
      </c>
      <c r="K1063" s="13">
        <f>IF(C1063=Options!$B$9,B1063*12,0)</f>
        <v/>
      </c>
      <c r="L1063" s="13">
        <f>IF(C1063=Options!$B$9,B1063*Options!$Z$6,0)</f>
        <v/>
      </c>
      <c r="M1063" s="13" t="n">
        <v>0</v>
      </c>
      <c r="N1063" s="13">
        <f>SUM(E1063:M1063)</f>
        <v/>
      </c>
    </row>
    <row r="1064">
      <c r="A1064" s="5">
        <f>IF(AND(C1064&gt;=Options!$B$9,C1064&lt;=Options!$B$10),"Denver","")</f>
        <v/>
      </c>
      <c r="B1064" s="5">
        <f>IF(A1064="","",18)</f>
        <v/>
      </c>
      <c r="C1064" s="17" t="n">
        <v>46625</v>
      </c>
      <c r="D1064" s="5">
        <f>IF(A1064="","",IF(C1064=DATE(2026,11,29),"培训；注册午餐；早餐参数",IF(C1064=DATE(2026,11,30),"培训；注册午餐",IF(C1064=DATE(2026,12,1),"培训；注册午餐；机构晚餐",IF(C1064=Options!$B$9,"抵达；"&amp;IF(C1064=DATE(2026,11,28),"机构晚餐","无统一供餐"),IF(C1064=Options!$B$10,"返程；"&amp;IF(C1064=DATE(2026,12,2),"机构午餐","无统一供餐"),"差旅状态；无统一日程"))))))</f>
        <v/>
      </c>
      <c r="E1064" s="13">
        <f>IF(C1064=Options!$B$9,Options!$C$16,0)</f>
        <v/>
      </c>
      <c r="F1064" s="13">
        <f>IF(AND(A1064&lt;&gt;"",C1064&lt;Options!$B$10),B1064*Options!$X$6,0)</f>
        <v/>
      </c>
      <c r="G1064" s="13">
        <f>F1064*12%</f>
        <v/>
      </c>
      <c r="H1064" s="13">
        <f>IF(A1064="",0,B1064*(92*IF(OR(C1064=Options!$B$9,C1064=Options!$B$10),75%,100%)-IF(C1064=DATE(2026,11,29),26+IF(Options!$B$8="是",23,0),0)-IF(C1064=DATE(2026,11,30),26,0)-IF(C1064=DATE(2026,12,1),64,0)-IF(C1064=DATE(2026,11,28),38,0)-IF(C1064=DATE(2026,12,2),26,0)))</f>
        <v/>
      </c>
      <c r="I1064" s="13">
        <f>IF(AND(C1064&gt;=DATE(2026,11,29),C1064&lt;=DATE(2026,12,1)),B1064*60,0)</f>
        <v/>
      </c>
      <c r="J1064" s="13">
        <f>IF(A1064="",0,B1064*(IF(C1064=DATE(2026,11,28),38,0)+IF(C1064=DATE(2026,12,1),38,0)+IF(C1064=DATE(2026,12,2),26,0)))</f>
        <v/>
      </c>
      <c r="K1064" s="13">
        <f>IF(C1064=Options!$B$9,B1064*12,0)</f>
        <v/>
      </c>
      <c r="L1064" s="13">
        <f>IF(C1064=Options!$B$9,B1064*Options!$Z$6,0)</f>
        <v/>
      </c>
      <c r="M1064" s="13" t="n">
        <v>0</v>
      </c>
      <c r="N1064" s="13">
        <f>SUM(E1064:M1064)</f>
        <v/>
      </c>
    </row>
    <row r="1065">
      <c r="A1065" s="5">
        <f>IF(AND(C1065&gt;=Options!$B$9,C1065&lt;=Options!$B$10),"Denver","")</f>
        <v/>
      </c>
      <c r="B1065" s="5">
        <f>IF(A1065="","",18)</f>
        <v/>
      </c>
      <c r="C1065" s="17" t="n">
        <v>46626</v>
      </c>
      <c r="D1065" s="5">
        <f>IF(A1065="","",IF(C1065=DATE(2026,11,29),"培训；注册午餐；早餐参数",IF(C1065=DATE(2026,11,30),"培训；注册午餐",IF(C1065=DATE(2026,12,1),"培训；注册午餐；机构晚餐",IF(C1065=Options!$B$9,"抵达；"&amp;IF(C1065=DATE(2026,11,28),"机构晚餐","无统一供餐"),IF(C1065=Options!$B$10,"返程；"&amp;IF(C1065=DATE(2026,12,2),"机构午餐","无统一供餐"),"差旅状态；无统一日程"))))))</f>
        <v/>
      </c>
      <c r="E1065" s="13">
        <f>IF(C1065=Options!$B$9,Options!$C$16,0)</f>
        <v/>
      </c>
      <c r="F1065" s="13">
        <f>IF(AND(A1065&lt;&gt;"",C1065&lt;Options!$B$10),B1065*Options!$X$6,0)</f>
        <v/>
      </c>
      <c r="G1065" s="13">
        <f>F1065*12%</f>
        <v/>
      </c>
      <c r="H1065" s="13">
        <f>IF(A1065="",0,B1065*(92*IF(OR(C1065=Options!$B$9,C1065=Options!$B$10),75%,100%)-IF(C1065=DATE(2026,11,29),26+IF(Options!$B$8="是",23,0),0)-IF(C1065=DATE(2026,11,30),26,0)-IF(C1065=DATE(2026,12,1),64,0)-IF(C1065=DATE(2026,11,28),38,0)-IF(C1065=DATE(2026,12,2),26,0)))</f>
        <v/>
      </c>
      <c r="I1065" s="13">
        <f>IF(AND(C1065&gt;=DATE(2026,11,29),C1065&lt;=DATE(2026,12,1)),B1065*60,0)</f>
        <v/>
      </c>
      <c r="J1065" s="13">
        <f>IF(A1065="",0,B1065*(IF(C1065=DATE(2026,11,28),38,0)+IF(C1065=DATE(2026,12,1),38,0)+IF(C1065=DATE(2026,12,2),26,0)))</f>
        <v/>
      </c>
      <c r="K1065" s="13">
        <f>IF(C1065=Options!$B$9,B1065*12,0)</f>
        <v/>
      </c>
      <c r="L1065" s="13">
        <f>IF(C1065=Options!$B$9,B1065*Options!$Z$6,0)</f>
        <v/>
      </c>
      <c r="M1065" s="13" t="n">
        <v>0</v>
      </c>
      <c r="N1065" s="13">
        <f>SUM(E1065:M1065)</f>
        <v/>
      </c>
    </row>
    <row r="1066">
      <c r="A1066" s="5">
        <f>IF(AND(C1066&gt;=Options!$B$9,C1066&lt;=Options!$B$10),"Denver","")</f>
        <v/>
      </c>
      <c r="B1066" s="5">
        <f>IF(A1066="","",18)</f>
        <v/>
      </c>
      <c r="C1066" s="17" t="n">
        <v>46627</v>
      </c>
      <c r="D1066" s="5">
        <f>IF(A1066="","",IF(C1066=DATE(2026,11,29),"培训；注册午餐；早餐参数",IF(C1066=DATE(2026,11,30),"培训；注册午餐",IF(C1066=DATE(2026,12,1),"培训；注册午餐；机构晚餐",IF(C1066=Options!$B$9,"抵达；"&amp;IF(C1066=DATE(2026,11,28),"机构晚餐","无统一供餐"),IF(C1066=Options!$B$10,"返程；"&amp;IF(C1066=DATE(2026,12,2),"机构午餐","无统一供餐"),"差旅状态；无统一日程"))))))</f>
        <v/>
      </c>
      <c r="E1066" s="13">
        <f>IF(C1066=Options!$B$9,Options!$C$16,0)</f>
        <v/>
      </c>
      <c r="F1066" s="13">
        <f>IF(AND(A1066&lt;&gt;"",C1066&lt;Options!$B$10),B1066*Options!$X$6,0)</f>
        <v/>
      </c>
      <c r="G1066" s="13">
        <f>F1066*12%</f>
        <v/>
      </c>
      <c r="H1066" s="13">
        <f>IF(A1066="",0,B1066*(92*IF(OR(C1066=Options!$B$9,C1066=Options!$B$10),75%,100%)-IF(C1066=DATE(2026,11,29),26+IF(Options!$B$8="是",23,0),0)-IF(C1066=DATE(2026,11,30),26,0)-IF(C1066=DATE(2026,12,1),64,0)-IF(C1066=DATE(2026,11,28),38,0)-IF(C1066=DATE(2026,12,2),26,0)))</f>
        <v/>
      </c>
      <c r="I1066" s="13">
        <f>IF(AND(C1066&gt;=DATE(2026,11,29),C1066&lt;=DATE(2026,12,1)),B1066*60,0)</f>
        <v/>
      </c>
      <c r="J1066" s="13">
        <f>IF(A1066="",0,B1066*(IF(C1066=DATE(2026,11,28),38,0)+IF(C1066=DATE(2026,12,1),38,0)+IF(C1066=DATE(2026,12,2),26,0)))</f>
        <v/>
      </c>
      <c r="K1066" s="13">
        <f>IF(C1066=Options!$B$9,B1066*12,0)</f>
        <v/>
      </c>
      <c r="L1066" s="13">
        <f>IF(C1066=Options!$B$9,B1066*Options!$Z$6,0)</f>
        <v/>
      </c>
      <c r="M1066" s="13" t="n">
        <v>0</v>
      </c>
      <c r="N1066" s="13">
        <f>SUM(E1066:M1066)</f>
        <v/>
      </c>
    </row>
    <row r="1067">
      <c r="A1067" s="5">
        <f>IF(AND(C1067&gt;=Options!$B$9,C1067&lt;=Options!$B$10),"Denver","")</f>
        <v/>
      </c>
      <c r="B1067" s="5">
        <f>IF(A1067="","",18)</f>
        <v/>
      </c>
      <c r="C1067" s="17" t="n">
        <v>46628</v>
      </c>
      <c r="D1067" s="5">
        <f>IF(A1067="","",IF(C1067=DATE(2026,11,29),"培训；注册午餐；早餐参数",IF(C1067=DATE(2026,11,30),"培训；注册午餐",IF(C1067=DATE(2026,12,1),"培训；注册午餐；机构晚餐",IF(C1067=Options!$B$9,"抵达；"&amp;IF(C1067=DATE(2026,11,28),"机构晚餐","无统一供餐"),IF(C1067=Options!$B$10,"返程；"&amp;IF(C1067=DATE(2026,12,2),"机构午餐","无统一供餐"),"差旅状态；无统一日程"))))))</f>
        <v/>
      </c>
      <c r="E1067" s="13">
        <f>IF(C1067=Options!$B$9,Options!$C$16,0)</f>
        <v/>
      </c>
      <c r="F1067" s="13">
        <f>IF(AND(A1067&lt;&gt;"",C1067&lt;Options!$B$10),B1067*Options!$X$6,0)</f>
        <v/>
      </c>
      <c r="G1067" s="13">
        <f>F1067*12%</f>
        <v/>
      </c>
      <c r="H1067" s="13">
        <f>IF(A1067="",0,B1067*(92*IF(OR(C1067=Options!$B$9,C1067=Options!$B$10),75%,100%)-IF(C1067=DATE(2026,11,29),26+IF(Options!$B$8="是",23,0),0)-IF(C1067=DATE(2026,11,30),26,0)-IF(C1067=DATE(2026,12,1),64,0)-IF(C1067=DATE(2026,11,28),38,0)-IF(C1067=DATE(2026,12,2),26,0)))</f>
        <v/>
      </c>
      <c r="I1067" s="13">
        <f>IF(AND(C1067&gt;=DATE(2026,11,29),C1067&lt;=DATE(2026,12,1)),B1067*60,0)</f>
        <v/>
      </c>
      <c r="J1067" s="13">
        <f>IF(A1067="",0,B1067*(IF(C1067=DATE(2026,11,28),38,0)+IF(C1067=DATE(2026,12,1),38,0)+IF(C1067=DATE(2026,12,2),26,0)))</f>
        <v/>
      </c>
      <c r="K1067" s="13">
        <f>IF(C1067=Options!$B$9,B1067*12,0)</f>
        <v/>
      </c>
      <c r="L1067" s="13">
        <f>IF(C1067=Options!$B$9,B1067*Options!$Z$6,0)</f>
        <v/>
      </c>
      <c r="M1067" s="13" t="n">
        <v>0</v>
      </c>
      <c r="N1067" s="13">
        <f>SUM(E1067:M1067)</f>
        <v/>
      </c>
    </row>
    <row r="1068">
      <c r="A1068" s="5">
        <f>IF(AND(C1068&gt;=Options!$B$9,C1068&lt;=Options!$B$10),"Denver","")</f>
        <v/>
      </c>
      <c r="B1068" s="5">
        <f>IF(A1068="","",18)</f>
        <v/>
      </c>
      <c r="C1068" s="17" t="n">
        <v>46629</v>
      </c>
      <c r="D1068" s="5">
        <f>IF(A1068="","",IF(C1068=DATE(2026,11,29),"培训；注册午餐；早餐参数",IF(C1068=DATE(2026,11,30),"培训；注册午餐",IF(C1068=DATE(2026,12,1),"培训；注册午餐；机构晚餐",IF(C1068=Options!$B$9,"抵达；"&amp;IF(C1068=DATE(2026,11,28),"机构晚餐","无统一供餐"),IF(C1068=Options!$B$10,"返程；"&amp;IF(C1068=DATE(2026,12,2),"机构午餐","无统一供餐"),"差旅状态；无统一日程"))))))</f>
        <v/>
      </c>
      <c r="E1068" s="13">
        <f>IF(C1068=Options!$B$9,Options!$C$16,0)</f>
        <v/>
      </c>
      <c r="F1068" s="13">
        <f>IF(AND(A1068&lt;&gt;"",C1068&lt;Options!$B$10),B1068*Options!$X$6,0)</f>
        <v/>
      </c>
      <c r="G1068" s="13">
        <f>F1068*12%</f>
        <v/>
      </c>
      <c r="H1068" s="13">
        <f>IF(A1068="",0,B1068*(92*IF(OR(C1068=Options!$B$9,C1068=Options!$B$10),75%,100%)-IF(C1068=DATE(2026,11,29),26+IF(Options!$B$8="是",23,0),0)-IF(C1068=DATE(2026,11,30),26,0)-IF(C1068=DATE(2026,12,1),64,0)-IF(C1068=DATE(2026,11,28),38,0)-IF(C1068=DATE(2026,12,2),26,0)))</f>
        <v/>
      </c>
      <c r="I1068" s="13">
        <f>IF(AND(C1068&gt;=DATE(2026,11,29),C1068&lt;=DATE(2026,12,1)),B1068*60,0)</f>
        <v/>
      </c>
      <c r="J1068" s="13">
        <f>IF(A1068="",0,B1068*(IF(C1068=DATE(2026,11,28),38,0)+IF(C1068=DATE(2026,12,1),38,0)+IF(C1068=DATE(2026,12,2),26,0)))</f>
        <v/>
      </c>
      <c r="K1068" s="13">
        <f>IF(C1068=Options!$B$9,B1068*12,0)</f>
        <v/>
      </c>
      <c r="L1068" s="13">
        <f>IF(C1068=Options!$B$9,B1068*Options!$Z$6,0)</f>
        <v/>
      </c>
      <c r="M1068" s="13" t="n">
        <v>0</v>
      </c>
      <c r="N1068" s="13">
        <f>SUM(E1068:M1068)</f>
        <v/>
      </c>
    </row>
    <row r="1069">
      <c r="A1069" s="5">
        <f>IF(AND(C1069&gt;=Options!$B$9,C1069&lt;=Options!$B$10),"Denver","")</f>
        <v/>
      </c>
      <c r="B1069" s="5">
        <f>IF(A1069="","",18)</f>
        <v/>
      </c>
      <c r="C1069" s="17" t="n">
        <v>46630</v>
      </c>
      <c r="D1069" s="5">
        <f>IF(A1069="","",IF(C1069=DATE(2026,11,29),"培训；注册午餐；早餐参数",IF(C1069=DATE(2026,11,30),"培训；注册午餐",IF(C1069=DATE(2026,12,1),"培训；注册午餐；机构晚餐",IF(C1069=Options!$B$9,"抵达；"&amp;IF(C1069=DATE(2026,11,28),"机构晚餐","无统一供餐"),IF(C1069=Options!$B$10,"返程；"&amp;IF(C1069=DATE(2026,12,2),"机构午餐","无统一供餐"),"差旅状态；无统一日程"))))))</f>
        <v/>
      </c>
      <c r="E1069" s="13">
        <f>IF(C1069=Options!$B$9,Options!$C$16,0)</f>
        <v/>
      </c>
      <c r="F1069" s="13">
        <f>IF(AND(A1069&lt;&gt;"",C1069&lt;Options!$B$10),B1069*Options!$X$6,0)</f>
        <v/>
      </c>
      <c r="G1069" s="13">
        <f>F1069*12%</f>
        <v/>
      </c>
      <c r="H1069" s="13">
        <f>IF(A1069="",0,B1069*(92*IF(OR(C1069=Options!$B$9,C1069=Options!$B$10),75%,100%)-IF(C1069=DATE(2026,11,29),26+IF(Options!$B$8="是",23,0),0)-IF(C1069=DATE(2026,11,30),26,0)-IF(C1069=DATE(2026,12,1),64,0)-IF(C1069=DATE(2026,11,28),38,0)-IF(C1069=DATE(2026,12,2),26,0)))</f>
        <v/>
      </c>
      <c r="I1069" s="13">
        <f>IF(AND(C1069&gt;=DATE(2026,11,29),C1069&lt;=DATE(2026,12,1)),B1069*60,0)</f>
        <v/>
      </c>
      <c r="J1069" s="13">
        <f>IF(A1069="",0,B1069*(IF(C1069=DATE(2026,11,28),38,0)+IF(C1069=DATE(2026,12,1),38,0)+IF(C1069=DATE(2026,12,2),26,0)))</f>
        <v/>
      </c>
      <c r="K1069" s="13">
        <f>IF(C1069=Options!$B$9,B1069*12,0)</f>
        <v/>
      </c>
      <c r="L1069" s="13">
        <f>IF(C1069=Options!$B$9,B1069*Options!$Z$6,0)</f>
        <v/>
      </c>
      <c r="M1069" s="13" t="n">
        <v>0</v>
      </c>
      <c r="N1069" s="13">
        <f>SUM(E1069:M1069)</f>
        <v/>
      </c>
    </row>
    <row r="1070">
      <c r="A1070" s="5">
        <f>IF(AND(C1070&gt;=Options!$B$9,C1070&lt;=Options!$B$10),"Denver","")</f>
        <v/>
      </c>
      <c r="B1070" s="5">
        <f>IF(A1070="","",18)</f>
        <v/>
      </c>
      <c r="C1070" s="17" t="n">
        <v>46631</v>
      </c>
      <c r="D1070" s="5">
        <f>IF(A1070="","",IF(C1070=DATE(2026,11,29),"培训；注册午餐；早餐参数",IF(C1070=DATE(2026,11,30),"培训；注册午餐",IF(C1070=DATE(2026,12,1),"培训；注册午餐；机构晚餐",IF(C1070=Options!$B$9,"抵达；"&amp;IF(C1070=DATE(2026,11,28),"机构晚餐","无统一供餐"),IF(C1070=Options!$B$10,"返程；"&amp;IF(C1070=DATE(2026,12,2),"机构午餐","无统一供餐"),"差旅状态；无统一日程"))))))</f>
        <v/>
      </c>
      <c r="E1070" s="13">
        <f>IF(C1070=Options!$B$9,Options!$C$16,0)</f>
        <v/>
      </c>
      <c r="F1070" s="13">
        <f>IF(AND(A1070&lt;&gt;"",C1070&lt;Options!$B$10),B1070*Options!$X$6,0)</f>
        <v/>
      </c>
      <c r="G1070" s="13">
        <f>F1070*12%</f>
        <v/>
      </c>
      <c r="H1070" s="13">
        <f>IF(A1070="",0,B1070*(92*IF(OR(C1070=Options!$B$9,C1070=Options!$B$10),75%,100%)-IF(C1070=DATE(2026,11,29),26+IF(Options!$B$8="是",23,0),0)-IF(C1070=DATE(2026,11,30),26,0)-IF(C1070=DATE(2026,12,1),64,0)-IF(C1070=DATE(2026,11,28),38,0)-IF(C1070=DATE(2026,12,2),26,0)))</f>
        <v/>
      </c>
      <c r="I1070" s="13">
        <f>IF(AND(C1070&gt;=DATE(2026,11,29),C1070&lt;=DATE(2026,12,1)),B1070*60,0)</f>
        <v/>
      </c>
      <c r="J1070" s="13">
        <f>IF(A1070="",0,B1070*(IF(C1070=DATE(2026,11,28),38,0)+IF(C1070=DATE(2026,12,1),38,0)+IF(C1070=DATE(2026,12,2),26,0)))</f>
        <v/>
      </c>
      <c r="K1070" s="13">
        <f>IF(C1070=Options!$B$9,B1070*12,0)</f>
        <v/>
      </c>
      <c r="L1070" s="13">
        <f>IF(C1070=Options!$B$9,B1070*Options!$Z$6,0)</f>
        <v/>
      </c>
      <c r="M1070" s="13" t="n">
        <v>0</v>
      </c>
      <c r="N1070" s="13">
        <f>SUM(E1070:M1070)</f>
        <v/>
      </c>
    </row>
    <row r="1071">
      <c r="A1071" s="5">
        <f>IF(AND(C1071&gt;=Options!$B$9,C1071&lt;=Options!$B$10),"Denver","")</f>
        <v/>
      </c>
      <c r="B1071" s="5">
        <f>IF(A1071="","",18)</f>
        <v/>
      </c>
      <c r="C1071" s="17" t="n">
        <v>46632</v>
      </c>
      <c r="D1071" s="5">
        <f>IF(A1071="","",IF(C1071=DATE(2026,11,29),"培训；注册午餐；早餐参数",IF(C1071=DATE(2026,11,30),"培训；注册午餐",IF(C1071=DATE(2026,12,1),"培训；注册午餐；机构晚餐",IF(C1071=Options!$B$9,"抵达；"&amp;IF(C1071=DATE(2026,11,28),"机构晚餐","无统一供餐"),IF(C1071=Options!$B$10,"返程；"&amp;IF(C1071=DATE(2026,12,2),"机构午餐","无统一供餐"),"差旅状态；无统一日程"))))))</f>
        <v/>
      </c>
      <c r="E1071" s="13">
        <f>IF(C1071=Options!$B$9,Options!$C$16,0)</f>
        <v/>
      </c>
      <c r="F1071" s="13">
        <f>IF(AND(A1071&lt;&gt;"",C1071&lt;Options!$B$10),B1071*Options!$X$6,0)</f>
        <v/>
      </c>
      <c r="G1071" s="13">
        <f>F1071*12%</f>
        <v/>
      </c>
      <c r="H1071" s="13">
        <f>IF(A1071="",0,B1071*(92*IF(OR(C1071=Options!$B$9,C1071=Options!$B$10),75%,100%)-IF(C1071=DATE(2026,11,29),26+IF(Options!$B$8="是",23,0),0)-IF(C1071=DATE(2026,11,30),26,0)-IF(C1071=DATE(2026,12,1),64,0)-IF(C1071=DATE(2026,11,28),38,0)-IF(C1071=DATE(2026,12,2),26,0)))</f>
        <v/>
      </c>
      <c r="I1071" s="13">
        <f>IF(AND(C1071&gt;=DATE(2026,11,29),C1071&lt;=DATE(2026,12,1)),B1071*60,0)</f>
        <v/>
      </c>
      <c r="J1071" s="13">
        <f>IF(A1071="",0,B1071*(IF(C1071=DATE(2026,11,28),38,0)+IF(C1071=DATE(2026,12,1),38,0)+IF(C1071=DATE(2026,12,2),26,0)))</f>
        <v/>
      </c>
      <c r="K1071" s="13">
        <f>IF(C1071=Options!$B$9,B1071*12,0)</f>
        <v/>
      </c>
      <c r="L1071" s="13">
        <f>IF(C1071=Options!$B$9,B1071*Options!$Z$6,0)</f>
        <v/>
      </c>
      <c r="M1071" s="13" t="n">
        <v>0</v>
      </c>
      <c r="N1071" s="13">
        <f>SUM(E1071:M1071)</f>
        <v/>
      </c>
    </row>
    <row r="1072">
      <c r="A1072" s="5">
        <f>IF(AND(C1072&gt;=Options!$B$9,C1072&lt;=Options!$B$10),"Denver","")</f>
        <v/>
      </c>
      <c r="B1072" s="5">
        <f>IF(A1072="","",18)</f>
        <v/>
      </c>
      <c r="C1072" s="17" t="n">
        <v>46633</v>
      </c>
      <c r="D1072" s="5">
        <f>IF(A1072="","",IF(C1072=DATE(2026,11,29),"培训；注册午餐；早餐参数",IF(C1072=DATE(2026,11,30),"培训；注册午餐",IF(C1072=DATE(2026,12,1),"培训；注册午餐；机构晚餐",IF(C1072=Options!$B$9,"抵达；"&amp;IF(C1072=DATE(2026,11,28),"机构晚餐","无统一供餐"),IF(C1072=Options!$B$10,"返程；"&amp;IF(C1072=DATE(2026,12,2),"机构午餐","无统一供餐"),"差旅状态；无统一日程"))))))</f>
        <v/>
      </c>
      <c r="E1072" s="13">
        <f>IF(C1072=Options!$B$9,Options!$C$16,0)</f>
        <v/>
      </c>
      <c r="F1072" s="13">
        <f>IF(AND(A1072&lt;&gt;"",C1072&lt;Options!$B$10),B1072*Options!$X$6,0)</f>
        <v/>
      </c>
      <c r="G1072" s="13">
        <f>F1072*12%</f>
        <v/>
      </c>
      <c r="H1072" s="13">
        <f>IF(A1072="",0,B1072*(92*IF(OR(C1072=Options!$B$9,C1072=Options!$B$10),75%,100%)-IF(C1072=DATE(2026,11,29),26+IF(Options!$B$8="是",23,0),0)-IF(C1072=DATE(2026,11,30),26,0)-IF(C1072=DATE(2026,12,1),64,0)-IF(C1072=DATE(2026,11,28),38,0)-IF(C1072=DATE(2026,12,2),26,0)))</f>
        <v/>
      </c>
      <c r="I1072" s="13">
        <f>IF(AND(C1072&gt;=DATE(2026,11,29),C1072&lt;=DATE(2026,12,1)),B1072*60,0)</f>
        <v/>
      </c>
      <c r="J1072" s="13">
        <f>IF(A1072="",0,B1072*(IF(C1072=DATE(2026,11,28),38,0)+IF(C1072=DATE(2026,12,1),38,0)+IF(C1072=DATE(2026,12,2),26,0)))</f>
        <v/>
      </c>
      <c r="K1072" s="13">
        <f>IF(C1072=Options!$B$9,B1072*12,0)</f>
        <v/>
      </c>
      <c r="L1072" s="13">
        <f>IF(C1072=Options!$B$9,B1072*Options!$Z$6,0)</f>
        <v/>
      </c>
      <c r="M1072" s="13" t="n">
        <v>0</v>
      </c>
      <c r="N1072" s="13">
        <f>SUM(E1072:M1072)</f>
        <v/>
      </c>
    </row>
    <row r="1073">
      <c r="A1073" s="5">
        <f>IF(AND(C1073&gt;=Options!$B$9,C1073&lt;=Options!$B$10),"Denver","")</f>
        <v/>
      </c>
      <c r="B1073" s="5">
        <f>IF(A1073="","",18)</f>
        <v/>
      </c>
      <c r="C1073" s="17" t="n">
        <v>46634</v>
      </c>
      <c r="D1073" s="5">
        <f>IF(A1073="","",IF(C1073=DATE(2026,11,29),"培训；注册午餐；早餐参数",IF(C1073=DATE(2026,11,30),"培训；注册午餐",IF(C1073=DATE(2026,12,1),"培训；注册午餐；机构晚餐",IF(C1073=Options!$B$9,"抵达；"&amp;IF(C1073=DATE(2026,11,28),"机构晚餐","无统一供餐"),IF(C1073=Options!$B$10,"返程；"&amp;IF(C1073=DATE(2026,12,2),"机构午餐","无统一供餐"),"差旅状态；无统一日程"))))))</f>
        <v/>
      </c>
      <c r="E1073" s="13">
        <f>IF(C1073=Options!$B$9,Options!$C$16,0)</f>
        <v/>
      </c>
      <c r="F1073" s="13">
        <f>IF(AND(A1073&lt;&gt;"",C1073&lt;Options!$B$10),B1073*Options!$X$6,0)</f>
        <v/>
      </c>
      <c r="G1073" s="13">
        <f>F1073*12%</f>
        <v/>
      </c>
      <c r="H1073" s="13">
        <f>IF(A1073="",0,B1073*(92*IF(OR(C1073=Options!$B$9,C1073=Options!$B$10),75%,100%)-IF(C1073=DATE(2026,11,29),26+IF(Options!$B$8="是",23,0),0)-IF(C1073=DATE(2026,11,30),26,0)-IF(C1073=DATE(2026,12,1),64,0)-IF(C1073=DATE(2026,11,28),38,0)-IF(C1073=DATE(2026,12,2),26,0)))</f>
        <v/>
      </c>
      <c r="I1073" s="13">
        <f>IF(AND(C1073&gt;=DATE(2026,11,29),C1073&lt;=DATE(2026,12,1)),B1073*60,0)</f>
        <v/>
      </c>
      <c r="J1073" s="13">
        <f>IF(A1073="",0,B1073*(IF(C1073=DATE(2026,11,28),38,0)+IF(C1073=DATE(2026,12,1),38,0)+IF(C1073=DATE(2026,12,2),26,0)))</f>
        <v/>
      </c>
      <c r="K1073" s="13">
        <f>IF(C1073=Options!$B$9,B1073*12,0)</f>
        <v/>
      </c>
      <c r="L1073" s="13">
        <f>IF(C1073=Options!$B$9,B1073*Options!$Z$6,0)</f>
        <v/>
      </c>
      <c r="M1073" s="13" t="n">
        <v>0</v>
      </c>
      <c r="N1073" s="13">
        <f>SUM(E1073:M1073)</f>
        <v/>
      </c>
    </row>
    <row r="1074">
      <c r="A1074" s="5">
        <f>IF(AND(C1074&gt;=Options!$B$9,C1074&lt;=Options!$B$10),"Denver","")</f>
        <v/>
      </c>
      <c r="B1074" s="5">
        <f>IF(A1074="","",18)</f>
        <v/>
      </c>
      <c r="C1074" s="17" t="n">
        <v>46635</v>
      </c>
      <c r="D1074" s="5">
        <f>IF(A1074="","",IF(C1074=DATE(2026,11,29),"培训；注册午餐；早餐参数",IF(C1074=DATE(2026,11,30),"培训；注册午餐",IF(C1074=DATE(2026,12,1),"培训；注册午餐；机构晚餐",IF(C1074=Options!$B$9,"抵达；"&amp;IF(C1074=DATE(2026,11,28),"机构晚餐","无统一供餐"),IF(C1074=Options!$B$10,"返程；"&amp;IF(C1074=DATE(2026,12,2),"机构午餐","无统一供餐"),"差旅状态；无统一日程"))))))</f>
        <v/>
      </c>
      <c r="E1074" s="13">
        <f>IF(C1074=Options!$B$9,Options!$C$16,0)</f>
        <v/>
      </c>
      <c r="F1074" s="13">
        <f>IF(AND(A1074&lt;&gt;"",C1074&lt;Options!$B$10),B1074*Options!$X$6,0)</f>
        <v/>
      </c>
      <c r="G1074" s="13">
        <f>F1074*12%</f>
        <v/>
      </c>
      <c r="H1074" s="13">
        <f>IF(A1074="",0,B1074*(92*IF(OR(C1074=Options!$B$9,C1074=Options!$B$10),75%,100%)-IF(C1074=DATE(2026,11,29),26+IF(Options!$B$8="是",23,0),0)-IF(C1074=DATE(2026,11,30),26,0)-IF(C1074=DATE(2026,12,1),64,0)-IF(C1074=DATE(2026,11,28),38,0)-IF(C1074=DATE(2026,12,2),26,0)))</f>
        <v/>
      </c>
      <c r="I1074" s="13">
        <f>IF(AND(C1074&gt;=DATE(2026,11,29),C1074&lt;=DATE(2026,12,1)),B1074*60,0)</f>
        <v/>
      </c>
      <c r="J1074" s="13">
        <f>IF(A1074="",0,B1074*(IF(C1074=DATE(2026,11,28),38,0)+IF(C1074=DATE(2026,12,1),38,0)+IF(C1074=DATE(2026,12,2),26,0)))</f>
        <v/>
      </c>
      <c r="K1074" s="13">
        <f>IF(C1074=Options!$B$9,B1074*12,0)</f>
        <v/>
      </c>
      <c r="L1074" s="13">
        <f>IF(C1074=Options!$B$9,B1074*Options!$Z$6,0)</f>
        <v/>
      </c>
      <c r="M1074" s="13" t="n">
        <v>0</v>
      </c>
      <c r="N1074" s="13">
        <f>SUM(E1074:M1074)</f>
        <v/>
      </c>
    </row>
    <row r="1075">
      <c r="A1075" s="5">
        <f>IF(AND(C1075&gt;=Options!$B$9,C1075&lt;=Options!$B$10),"Denver","")</f>
        <v/>
      </c>
      <c r="B1075" s="5">
        <f>IF(A1075="","",18)</f>
        <v/>
      </c>
      <c r="C1075" s="17" t="n">
        <v>46636</v>
      </c>
      <c r="D1075" s="5">
        <f>IF(A1075="","",IF(C1075=DATE(2026,11,29),"培训；注册午餐；早餐参数",IF(C1075=DATE(2026,11,30),"培训；注册午餐",IF(C1075=DATE(2026,12,1),"培训；注册午餐；机构晚餐",IF(C1075=Options!$B$9,"抵达；"&amp;IF(C1075=DATE(2026,11,28),"机构晚餐","无统一供餐"),IF(C1075=Options!$B$10,"返程；"&amp;IF(C1075=DATE(2026,12,2),"机构午餐","无统一供餐"),"差旅状态；无统一日程"))))))</f>
        <v/>
      </c>
      <c r="E1075" s="13">
        <f>IF(C1075=Options!$B$9,Options!$C$16,0)</f>
        <v/>
      </c>
      <c r="F1075" s="13">
        <f>IF(AND(A1075&lt;&gt;"",C1075&lt;Options!$B$10),B1075*Options!$X$6,0)</f>
        <v/>
      </c>
      <c r="G1075" s="13">
        <f>F1075*12%</f>
        <v/>
      </c>
      <c r="H1075" s="13">
        <f>IF(A1075="",0,B1075*(92*IF(OR(C1075=Options!$B$9,C1075=Options!$B$10),75%,100%)-IF(C1075=DATE(2026,11,29),26+IF(Options!$B$8="是",23,0),0)-IF(C1075=DATE(2026,11,30),26,0)-IF(C1075=DATE(2026,12,1),64,0)-IF(C1075=DATE(2026,11,28),38,0)-IF(C1075=DATE(2026,12,2),26,0)))</f>
        <v/>
      </c>
      <c r="I1075" s="13">
        <f>IF(AND(C1075&gt;=DATE(2026,11,29),C1075&lt;=DATE(2026,12,1)),B1075*60,0)</f>
        <v/>
      </c>
      <c r="J1075" s="13">
        <f>IF(A1075="",0,B1075*(IF(C1075=DATE(2026,11,28),38,0)+IF(C1075=DATE(2026,12,1),38,0)+IF(C1075=DATE(2026,12,2),26,0)))</f>
        <v/>
      </c>
      <c r="K1075" s="13">
        <f>IF(C1075=Options!$B$9,B1075*12,0)</f>
        <v/>
      </c>
      <c r="L1075" s="13">
        <f>IF(C1075=Options!$B$9,B1075*Options!$Z$6,0)</f>
        <v/>
      </c>
      <c r="M1075" s="13" t="n">
        <v>0</v>
      </c>
      <c r="N1075" s="13">
        <f>SUM(E1075:M1075)</f>
        <v/>
      </c>
    </row>
    <row r="1076">
      <c r="A1076" s="5">
        <f>IF(AND(C1076&gt;=Options!$B$9,C1076&lt;=Options!$B$10),"Denver","")</f>
        <v/>
      </c>
      <c r="B1076" s="5">
        <f>IF(A1076="","",18)</f>
        <v/>
      </c>
      <c r="C1076" s="17" t="n">
        <v>46637</v>
      </c>
      <c r="D1076" s="5">
        <f>IF(A1076="","",IF(C1076=DATE(2026,11,29),"培训；注册午餐；早餐参数",IF(C1076=DATE(2026,11,30),"培训；注册午餐",IF(C1076=DATE(2026,12,1),"培训；注册午餐；机构晚餐",IF(C1076=Options!$B$9,"抵达；"&amp;IF(C1076=DATE(2026,11,28),"机构晚餐","无统一供餐"),IF(C1076=Options!$B$10,"返程；"&amp;IF(C1076=DATE(2026,12,2),"机构午餐","无统一供餐"),"差旅状态；无统一日程"))))))</f>
        <v/>
      </c>
      <c r="E1076" s="13">
        <f>IF(C1076=Options!$B$9,Options!$C$16,0)</f>
        <v/>
      </c>
      <c r="F1076" s="13">
        <f>IF(AND(A1076&lt;&gt;"",C1076&lt;Options!$B$10),B1076*Options!$X$6,0)</f>
        <v/>
      </c>
      <c r="G1076" s="13">
        <f>F1076*12%</f>
        <v/>
      </c>
      <c r="H1076" s="13">
        <f>IF(A1076="",0,B1076*(92*IF(OR(C1076=Options!$B$9,C1076=Options!$B$10),75%,100%)-IF(C1076=DATE(2026,11,29),26+IF(Options!$B$8="是",23,0),0)-IF(C1076=DATE(2026,11,30),26,0)-IF(C1076=DATE(2026,12,1),64,0)-IF(C1076=DATE(2026,11,28),38,0)-IF(C1076=DATE(2026,12,2),26,0)))</f>
        <v/>
      </c>
      <c r="I1076" s="13">
        <f>IF(AND(C1076&gt;=DATE(2026,11,29),C1076&lt;=DATE(2026,12,1)),B1076*60,0)</f>
        <v/>
      </c>
      <c r="J1076" s="13">
        <f>IF(A1076="",0,B1076*(IF(C1076=DATE(2026,11,28),38,0)+IF(C1076=DATE(2026,12,1),38,0)+IF(C1076=DATE(2026,12,2),26,0)))</f>
        <v/>
      </c>
      <c r="K1076" s="13">
        <f>IF(C1076=Options!$B$9,B1076*12,0)</f>
        <v/>
      </c>
      <c r="L1076" s="13">
        <f>IF(C1076=Options!$B$9,B1076*Options!$Z$6,0)</f>
        <v/>
      </c>
      <c r="M1076" s="13" t="n">
        <v>0</v>
      </c>
      <c r="N1076" s="13">
        <f>SUM(E1076:M1076)</f>
        <v/>
      </c>
    </row>
    <row r="1077">
      <c r="A1077" s="5">
        <f>IF(AND(C1077&gt;=Options!$B$9,C1077&lt;=Options!$B$10),"Denver","")</f>
        <v/>
      </c>
      <c r="B1077" s="5">
        <f>IF(A1077="","",18)</f>
        <v/>
      </c>
      <c r="C1077" s="17" t="n">
        <v>46638</v>
      </c>
      <c r="D1077" s="5">
        <f>IF(A1077="","",IF(C1077=DATE(2026,11,29),"培训；注册午餐；早餐参数",IF(C1077=DATE(2026,11,30),"培训；注册午餐",IF(C1077=DATE(2026,12,1),"培训；注册午餐；机构晚餐",IF(C1077=Options!$B$9,"抵达；"&amp;IF(C1077=DATE(2026,11,28),"机构晚餐","无统一供餐"),IF(C1077=Options!$B$10,"返程；"&amp;IF(C1077=DATE(2026,12,2),"机构午餐","无统一供餐"),"差旅状态；无统一日程"))))))</f>
        <v/>
      </c>
      <c r="E1077" s="13">
        <f>IF(C1077=Options!$B$9,Options!$C$16,0)</f>
        <v/>
      </c>
      <c r="F1077" s="13">
        <f>IF(AND(A1077&lt;&gt;"",C1077&lt;Options!$B$10),B1077*Options!$X$6,0)</f>
        <v/>
      </c>
      <c r="G1077" s="13">
        <f>F1077*12%</f>
        <v/>
      </c>
      <c r="H1077" s="13">
        <f>IF(A1077="",0,B1077*(92*IF(OR(C1077=Options!$B$9,C1077=Options!$B$10),75%,100%)-IF(C1077=DATE(2026,11,29),26+IF(Options!$B$8="是",23,0),0)-IF(C1077=DATE(2026,11,30),26,0)-IF(C1077=DATE(2026,12,1),64,0)-IF(C1077=DATE(2026,11,28),38,0)-IF(C1077=DATE(2026,12,2),26,0)))</f>
        <v/>
      </c>
      <c r="I1077" s="13">
        <f>IF(AND(C1077&gt;=DATE(2026,11,29),C1077&lt;=DATE(2026,12,1)),B1077*60,0)</f>
        <v/>
      </c>
      <c r="J1077" s="13">
        <f>IF(A1077="",0,B1077*(IF(C1077=DATE(2026,11,28),38,0)+IF(C1077=DATE(2026,12,1),38,0)+IF(C1077=DATE(2026,12,2),26,0)))</f>
        <v/>
      </c>
      <c r="K1077" s="13">
        <f>IF(C1077=Options!$B$9,B1077*12,0)</f>
        <v/>
      </c>
      <c r="L1077" s="13">
        <f>IF(C1077=Options!$B$9,B1077*Options!$Z$6,0)</f>
        <v/>
      </c>
      <c r="M1077" s="13" t="n">
        <v>0</v>
      </c>
      <c r="N1077" s="13">
        <f>SUM(E1077:M1077)</f>
        <v/>
      </c>
    </row>
    <row r="1078">
      <c r="A1078" s="5">
        <f>IF(AND(C1078&gt;=Options!$B$9,C1078&lt;=Options!$B$10),"Denver","")</f>
        <v/>
      </c>
      <c r="B1078" s="5">
        <f>IF(A1078="","",18)</f>
        <v/>
      </c>
      <c r="C1078" s="17" t="n">
        <v>46639</v>
      </c>
      <c r="D1078" s="5">
        <f>IF(A1078="","",IF(C1078=DATE(2026,11,29),"培训；注册午餐；早餐参数",IF(C1078=DATE(2026,11,30),"培训；注册午餐",IF(C1078=DATE(2026,12,1),"培训；注册午餐；机构晚餐",IF(C1078=Options!$B$9,"抵达；"&amp;IF(C1078=DATE(2026,11,28),"机构晚餐","无统一供餐"),IF(C1078=Options!$B$10,"返程；"&amp;IF(C1078=DATE(2026,12,2),"机构午餐","无统一供餐"),"差旅状态；无统一日程"))))))</f>
        <v/>
      </c>
      <c r="E1078" s="13">
        <f>IF(C1078=Options!$B$9,Options!$C$16,0)</f>
        <v/>
      </c>
      <c r="F1078" s="13">
        <f>IF(AND(A1078&lt;&gt;"",C1078&lt;Options!$B$10),B1078*Options!$X$6,0)</f>
        <v/>
      </c>
      <c r="G1078" s="13">
        <f>F1078*12%</f>
        <v/>
      </c>
      <c r="H1078" s="13">
        <f>IF(A1078="",0,B1078*(92*IF(OR(C1078=Options!$B$9,C1078=Options!$B$10),75%,100%)-IF(C1078=DATE(2026,11,29),26+IF(Options!$B$8="是",23,0),0)-IF(C1078=DATE(2026,11,30),26,0)-IF(C1078=DATE(2026,12,1),64,0)-IF(C1078=DATE(2026,11,28),38,0)-IF(C1078=DATE(2026,12,2),26,0)))</f>
        <v/>
      </c>
      <c r="I1078" s="13">
        <f>IF(AND(C1078&gt;=DATE(2026,11,29),C1078&lt;=DATE(2026,12,1)),B1078*60,0)</f>
        <v/>
      </c>
      <c r="J1078" s="13">
        <f>IF(A1078="",0,B1078*(IF(C1078=DATE(2026,11,28),38,0)+IF(C1078=DATE(2026,12,1),38,0)+IF(C1078=DATE(2026,12,2),26,0)))</f>
        <v/>
      </c>
      <c r="K1078" s="13">
        <f>IF(C1078=Options!$B$9,B1078*12,0)</f>
        <v/>
      </c>
      <c r="L1078" s="13">
        <f>IF(C1078=Options!$B$9,B1078*Options!$Z$6,0)</f>
        <v/>
      </c>
      <c r="M1078" s="13" t="n">
        <v>0</v>
      </c>
      <c r="N1078" s="13">
        <f>SUM(E1078:M1078)</f>
        <v/>
      </c>
    </row>
    <row r="1079">
      <c r="A1079" s="5">
        <f>IF(AND(C1079&gt;=Options!$B$9,C1079&lt;=Options!$B$10),"Denver","")</f>
        <v/>
      </c>
      <c r="B1079" s="5">
        <f>IF(A1079="","",18)</f>
        <v/>
      </c>
      <c r="C1079" s="17" t="n">
        <v>46640</v>
      </c>
      <c r="D1079" s="5">
        <f>IF(A1079="","",IF(C1079=DATE(2026,11,29),"培训；注册午餐；早餐参数",IF(C1079=DATE(2026,11,30),"培训；注册午餐",IF(C1079=DATE(2026,12,1),"培训；注册午餐；机构晚餐",IF(C1079=Options!$B$9,"抵达；"&amp;IF(C1079=DATE(2026,11,28),"机构晚餐","无统一供餐"),IF(C1079=Options!$B$10,"返程；"&amp;IF(C1079=DATE(2026,12,2),"机构午餐","无统一供餐"),"差旅状态；无统一日程"))))))</f>
        <v/>
      </c>
      <c r="E1079" s="13">
        <f>IF(C1079=Options!$B$9,Options!$C$16,0)</f>
        <v/>
      </c>
      <c r="F1079" s="13">
        <f>IF(AND(A1079&lt;&gt;"",C1079&lt;Options!$B$10),B1079*Options!$X$6,0)</f>
        <v/>
      </c>
      <c r="G1079" s="13">
        <f>F1079*12%</f>
        <v/>
      </c>
      <c r="H1079" s="13">
        <f>IF(A1079="",0,B1079*(92*IF(OR(C1079=Options!$B$9,C1079=Options!$B$10),75%,100%)-IF(C1079=DATE(2026,11,29),26+IF(Options!$B$8="是",23,0),0)-IF(C1079=DATE(2026,11,30),26,0)-IF(C1079=DATE(2026,12,1),64,0)-IF(C1079=DATE(2026,11,28),38,0)-IF(C1079=DATE(2026,12,2),26,0)))</f>
        <v/>
      </c>
      <c r="I1079" s="13">
        <f>IF(AND(C1079&gt;=DATE(2026,11,29),C1079&lt;=DATE(2026,12,1)),B1079*60,0)</f>
        <v/>
      </c>
      <c r="J1079" s="13">
        <f>IF(A1079="",0,B1079*(IF(C1079=DATE(2026,11,28),38,0)+IF(C1079=DATE(2026,12,1),38,0)+IF(C1079=DATE(2026,12,2),26,0)))</f>
        <v/>
      </c>
      <c r="K1079" s="13">
        <f>IF(C1079=Options!$B$9,B1079*12,0)</f>
        <v/>
      </c>
      <c r="L1079" s="13">
        <f>IF(C1079=Options!$B$9,B1079*Options!$Z$6,0)</f>
        <v/>
      </c>
      <c r="M1079" s="13" t="n">
        <v>0</v>
      </c>
      <c r="N1079" s="13">
        <f>SUM(E1079:M1079)</f>
        <v/>
      </c>
    </row>
    <row r="1080">
      <c r="A1080" s="5">
        <f>IF(AND(C1080&gt;=Options!$B$9,C1080&lt;=Options!$B$10),"Denver","")</f>
        <v/>
      </c>
      <c r="B1080" s="5">
        <f>IF(A1080="","",18)</f>
        <v/>
      </c>
      <c r="C1080" s="17" t="n">
        <v>46641</v>
      </c>
      <c r="D1080" s="5">
        <f>IF(A1080="","",IF(C1080=DATE(2026,11,29),"培训；注册午餐；早餐参数",IF(C1080=DATE(2026,11,30),"培训；注册午餐",IF(C1080=DATE(2026,12,1),"培训；注册午餐；机构晚餐",IF(C1080=Options!$B$9,"抵达；"&amp;IF(C1080=DATE(2026,11,28),"机构晚餐","无统一供餐"),IF(C1080=Options!$B$10,"返程；"&amp;IF(C1080=DATE(2026,12,2),"机构午餐","无统一供餐"),"差旅状态；无统一日程"))))))</f>
        <v/>
      </c>
      <c r="E1080" s="13">
        <f>IF(C1080=Options!$B$9,Options!$C$16,0)</f>
        <v/>
      </c>
      <c r="F1080" s="13">
        <f>IF(AND(A1080&lt;&gt;"",C1080&lt;Options!$B$10),B1080*Options!$X$6,0)</f>
        <v/>
      </c>
      <c r="G1080" s="13">
        <f>F1080*12%</f>
        <v/>
      </c>
      <c r="H1080" s="13">
        <f>IF(A1080="",0,B1080*(92*IF(OR(C1080=Options!$B$9,C1080=Options!$B$10),75%,100%)-IF(C1080=DATE(2026,11,29),26+IF(Options!$B$8="是",23,0),0)-IF(C1080=DATE(2026,11,30),26,0)-IF(C1080=DATE(2026,12,1),64,0)-IF(C1080=DATE(2026,11,28),38,0)-IF(C1080=DATE(2026,12,2),26,0)))</f>
        <v/>
      </c>
      <c r="I1080" s="13">
        <f>IF(AND(C1080&gt;=DATE(2026,11,29),C1080&lt;=DATE(2026,12,1)),B1080*60,0)</f>
        <v/>
      </c>
      <c r="J1080" s="13">
        <f>IF(A1080="",0,B1080*(IF(C1080=DATE(2026,11,28),38,0)+IF(C1080=DATE(2026,12,1),38,0)+IF(C1080=DATE(2026,12,2),26,0)))</f>
        <v/>
      </c>
      <c r="K1080" s="13">
        <f>IF(C1080=Options!$B$9,B1080*12,0)</f>
        <v/>
      </c>
      <c r="L1080" s="13">
        <f>IF(C1080=Options!$B$9,B1080*Options!$Z$6,0)</f>
        <v/>
      </c>
      <c r="M1080" s="13" t="n">
        <v>0</v>
      </c>
      <c r="N1080" s="13">
        <f>SUM(E1080:M1080)</f>
        <v/>
      </c>
    </row>
    <row r="1081">
      <c r="A1081" s="5">
        <f>IF(AND(C1081&gt;=Options!$B$9,C1081&lt;=Options!$B$10),"Denver","")</f>
        <v/>
      </c>
      <c r="B1081" s="5">
        <f>IF(A1081="","",18)</f>
        <v/>
      </c>
      <c r="C1081" s="17" t="n">
        <v>46642</v>
      </c>
      <c r="D1081" s="5">
        <f>IF(A1081="","",IF(C1081=DATE(2026,11,29),"培训；注册午餐；早餐参数",IF(C1081=DATE(2026,11,30),"培训；注册午餐",IF(C1081=DATE(2026,12,1),"培训；注册午餐；机构晚餐",IF(C1081=Options!$B$9,"抵达；"&amp;IF(C1081=DATE(2026,11,28),"机构晚餐","无统一供餐"),IF(C1081=Options!$B$10,"返程；"&amp;IF(C1081=DATE(2026,12,2),"机构午餐","无统一供餐"),"差旅状态；无统一日程"))))))</f>
        <v/>
      </c>
      <c r="E1081" s="13">
        <f>IF(C1081=Options!$B$9,Options!$C$16,0)</f>
        <v/>
      </c>
      <c r="F1081" s="13">
        <f>IF(AND(A1081&lt;&gt;"",C1081&lt;Options!$B$10),B1081*Options!$X$6,0)</f>
        <v/>
      </c>
      <c r="G1081" s="13">
        <f>F1081*12%</f>
        <v/>
      </c>
      <c r="H1081" s="13">
        <f>IF(A1081="",0,B1081*(92*IF(OR(C1081=Options!$B$9,C1081=Options!$B$10),75%,100%)-IF(C1081=DATE(2026,11,29),26+IF(Options!$B$8="是",23,0),0)-IF(C1081=DATE(2026,11,30),26,0)-IF(C1081=DATE(2026,12,1),64,0)-IF(C1081=DATE(2026,11,28),38,0)-IF(C1081=DATE(2026,12,2),26,0)))</f>
        <v/>
      </c>
      <c r="I1081" s="13">
        <f>IF(AND(C1081&gt;=DATE(2026,11,29),C1081&lt;=DATE(2026,12,1)),B1081*60,0)</f>
        <v/>
      </c>
      <c r="J1081" s="13">
        <f>IF(A1081="",0,B1081*(IF(C1081=DATE(2026,11,28),38,0)+IF(C1081=DATE(2026,12,1),38,0)+IF(C1081=DATE(2026,12,2),26,0)))</f>
        <v/>
      </c>
      <c r="K1081" s="13">
        <f>IF(C1081=Options!$B$9,B1081*12,0)</f>
        <v/>
      </c>
      <c r="L1081" s="13">
        <f>IF(C1081=Options!$B$9,B1081*Options!$Z$6,0)</f>
        <v/>
      </c>
      <c r="M1081" s="13" t="n">
        <v>0</v>
      </c>
      <c r="N1081" s="13">
        <f>SUM(E1081:M1081)</f>
        <v/>
      </c>
    </row>
    <row r="1082">
      <c r="A1082" s="5">
        <f>IF(AND(C1082&gt;=Options!$B$9,C1082&lt;=Options!$B$10),"Denver","")</f>
        <v/>
      </c>
      <c r="B1082" s="5">
        <f>IF(A1082="","",18)</f>
        <v/>
      </c>
      <c r="C1082" s="17" t="n">
        <v>46643</v>
      </c>
      <c r="D1082" s="5">
        <f>IF(A1082="","",IF(C1082=DATE(2026,11,29),"培训；注册午餐；早餐参数",IF(C1082=DATE(2026,11,30),"培训；注册午餐",IF(C1082=DATE(2026,12,1),"培训；注册午餐；机构晚餐",IF(C1082=Options!$B$9,"抵达；"&amp;IF(C1082=DATE(2026,11,28),"机构晚餐","无统一供餐"),IF(C1082=Options!$B$10,"返程；"&amp;IF(C1082=DATE(2026,12,2),"机构午餐","无统一供餐"),"差旅状态；无统一日程"))))))</f>
        <v/>
      </c>
      <c r="E1082" s="13">
        <f>IF(C1082=Options!$B$9,Options!$C$16,0)</f>
        <v/>
      </c>
      <c r="F1082" s="13">
        <f>IF(AND(A1082&lt;&gt;"",C1082&lt;Options!$B$10),B1082*Options!$X$6,0)</f>
        <v/>
      </c>
      <c r="G1082" s="13">
        <f>F1082*12%</f>
        <v/>
      </c>
      <c r="H1082" s="13">
        <f>IF(A1082="",0,B1082*(92*IF(OR(C1082=Options!$B$9,C1082=Options!$B$10),75%,100%)-IF(C1082=DATE(2026,11,29),26+IF(Options!$B$8="是",23,0),0)-IF(C1082=DATE(2026,11,30),26,0)-IF(C1082=DATE(2026,12,1),64,0)-IF(C1082=DATE(2026,11,28),38,0)-IF(C1082=DATE(2026,12,2),26,0)))</f>
        <v/>
      </c>
      <c r="I1082" s="13">
        <f>IF(AND(C1082&gt;=DATE(2026,11,29),C1082&lt;=DATE(2026,12,1)),B1082*60,0)</f>
        <v/>
      </c>
      <c r="J1082" s="13">
        <f>IF(A1082="",0,B1082*(IF(C1082=DATE(2026,11,28),38,0)+IF(C1082=DATE(2026,12,1),38,0)+IF(C1082=DATE(2026,12,2),26,0)))</f>
        <v/>
      </c>
      <c r="K1082" s="13">
        <f>IF(C1082=Options!$B$9,B1082*12,0)</f>
        <v/>
      </c>
      <c r="L1082" s="13">
        <f>IF(C1082=Options!$B$9,B1082*Options!$Z$6,0)</f>
        <v/>
      </c>
      <c r="M1082" s="13" t="n">
        <v>0</v>
      </c>
      <c r="N1082" s="13">
        <f>SUM(E1082:M1082)</f>
        <v/>
      </c>
    </row>
    <row r="1083">
      <c r="A1083" s="5">
        <f>IF(AND(C1083&gt;=Options!$B$9,C1083&lt;=Options!$B$10),"Denver","")</f>
        <v/>
      </c>
      <c r="B1083" s="5">
        <f>IF(A1083="","",18)</f>
        <v/>
      </c>
      <c r="C1083" s="17" t="n">
        <v>46644</v>
      </c>
      <c r="D1083" s="5">
        <f>IF(A1083="","",IF(C1083=DATE(2026,11,29),"培训；注册午餐；早餐参数",IF(C1083=DATE(2026,11,30),"培训；注册午餐",IF(C1083=DATE(2026,12,1),"培训；注册午餐；机构晚餐",IF(C1083=Options!$B$9,"抵达；"&amp;IF(C1083=DATE(2026,11,28),"机构晚餐","无统一供餐"),IF(C1083=Options!$B$10,"返程；"&amp;IF(C1083=DATE(2026,12,2),"机构午餐","无统一供餐"),"差旅状态；无统一日程"))))))</f>
        <v/>
      </c>
      <c r="E1083" s="13">
        <f>IF(C1083=Options!$B$9,Options!$C$16,0)</f>
        <v/>
      </c>
      <c r="F1083" s="13">
        <f>IF(AND(A1083&lt;&gt;"",C1083&lt;Options!$B$10),B1083*Options!$X$6,0)</f>
        <v/>
      </c>
      <c r="G1083" s="13">
        <f>F1083*12%</f>
        <v/>
      </c>
      <c r="H1083" s="13">
        <f>IF(A1083="",0,B1083*(92*IF(OR(C1083=Options!$B$9,C1083=Options!$B$10),75%,100%)-IF(C1083=DATE(2026,11,29),26+IF(Options!$B$8="是",23,0),0)-IF(C1083=DATE(2026,11,30),26,0)-IF(C1083=DATE(2026,12,1),64,0)-IF(C1083=DATE(2026,11,28),38,0)-IF(C1083=DATE(2026,12,2),26,0)))</f>
        <v/>
      </c>
      <c r="I1083" s="13">
        <f>IF(AND(C1083&gt;=DATE(2026,11,29),C1083&lt;=DATE(2026,12,1)),B1083*60,0)</f>
        <v/>
      </c>
      <c r="J1083" s="13">
        <f>IF(A1083="",0,B1083*(IF(C1083=DATE(2026,11,28),38,0)+IF(C1083=DATE(2026,12,1),38,0)+IF(C1083=DATE(2026,12,2),26,0)))</f>
        <v/>
      </c>
      <c r="K1083" s="13">
        <f>IF(C1083=Options!$B$9,B1083*12,0)</f>
        <v/>
      </c>
      <c r="L1083" s="13">
        <f>IF(C1083=Options!$B$9,B1083*Options!$Z$6,0)</f>
        <v/>
      </c>
      <c r="M1083" s="13" t="n">
        <v>0</v>
      </c>
      <c r="N1083" s="13">
        <f>SUM(E1083:M1083)</f>
        <v/>
      </c>
    </row>
    <row r="1084">
      <c r="A1084" s="5">
        <f>IF(AND(C1084&gt;=Options!$B$9,C1084&lt;=Options!$B$10),"Denver","")</f>
        <v/>
      </c>
      <c r="B1084" s="5">
        <f>IF(A1084="","",18)</f>
        <v/>
      </c>
      <c r="C1084" s="17" t="n">
        <v>46645</v>
      </c>
      <c r="D1084" s="5">
        <f>IF(A1084="","",IF(C1084=DATE(2026,11,29),"培训；注册午餐；早餐参数",IF(C1084=DATE(2026,11,30),"培训；注册午餐",IF(C1084=DATE(2026,12,1),"培训；注册午餐；机构晚餐",IF(C1084=Options!$B$9,"抵达；"&amp;IF(C1084=DATE(2026,11,28),"机构晚餐","无统一供餐"),IF(C1084=Options!$B$10,"返程；"&amp;IF(C1084=DATE(2026,12,2),"机构午餐","无统一供餐"),"差旅状态；无统一日程"))))))</f>
        <v/>
      </c>
      <c r="E1084" s="13">
        <f>IF(C1084=Options!$B$9,Options!$C$16,0)</f>
        <v/>
      </c>
      <c r="F1084" s="13">
        <f>IF(AND(A1084&lt;&gt;"",C1084&lt;Options!$B$10),B1084*Options!$X$6,0)</f>
        <v/>
      </c>
      <c r="G1084" s="13">
        <f>F1084*12%</f>
        <v/>
      </c>
      <c r="H1084" s="13">
        <f>IF(A1084="",0,B1084*(92*IF(OR(C1084=Options!$B$9,C1084=Options!$B$10),75%,100%)-IF(C1084=DATE(2026,11,29),26+IF(Options!$B$8="是",23,0),0)-IF(C1084=DATE(2026,11,30),26,0)-IF(C1084=DATE(2026,12,1),64,0)-IF(C1084=DATE(2026,11,28),38,0)-IF(C1084=DATE(2026,12,2),26,0)))</f>
        <v/>
      </c>
      <c r="I1084" s="13">
        <f>IF(AND(C1084&gt;=DATE(2026,11,29),C1084&lt;=DATE(2026,12,1)),B1084*60,0)</f>
        <v/>
      </c>
      <c r="J1084" s="13">
        <f>IF(A1084="",0,B1084*(IF(C1084=DATE(2026,11,28),38,0)+IF(C1084=DATE(2026,12,1),38,0)+IF(C1084=DATE(2026,12,2),26,0)))</f>
        <v/>
      </c>
      <c r="K1084" s="13">
        <f>IF(C1084=Options!$B$9,B1084*12,0)</f>
        <v/>
      </c>
      <c r="L1084" s="13">
        <f>IF(C1084=Options!$B$9,B1084*Options!$Z$6,0)</f>
        <v/>
      </c>
      <c r="M1084" s="13" t="n">
        <v>0</v>
      </c>
      <c r="N1084" s="13">
        <f>SUM(E1084:M1084)</f>
        <v/>
      </c>
    </row>
    <row r="1085">
      <c r="A1085" s="5">
        <f>IF(AND(C1085&gt;=Options!$B$9,C1085&lt;=Options!$B$10),"Denver","")</f>
        <v/>
      </c>
      <c r="B1085" s="5">
        <f>IF(A1085="","",18)</f>
        <v/>
      </c>
      <c r="C1085" s="17" t="n">
        <v>46646</v>
      </c>
      <c r="D1085" s="5">
        <f>IF(A1085="","",IF(C1085=DATE(2026,11,29),"培训；注册午餐；早餐参数",IF(C1085=DATE(2026,11,30),"培训；注册午餐",IF(C1085=DATE(2026,12,1),"培训；注册午餐；机构晚餐",IF(C1085=Options!$B$9,"抵达；"&amp;IF(C1085=DATE(2026,11,28),"机构晚餐","无统一供餐"),IF(C1085=Options!$B$10,"返程；"&amp;IF(C1085=DATE(2026,12,2),"机构午餐","无统一供餐"),"差旅状态；无统一日程"))))))</f>
        <v/>
      </c>
      <c r="E1085" s="13">
        <f>IF(C1085=Options!$B$9,Options!$C$16,0)</f>
        <v/>
      </c>
      <c r="F1085" s="13">
        <f>IF(AND(A1085&lt;&gt;"",C1085&lt;Options!$B$10),B1085*Options!$X$6,0)</f>
        <v/>
      </c>
      <c r="G1085" s="13">
        <f>F1085*12%</f>
        <v/>
      </c>
      <c r="H1085" s="13">
        <f>IF(A1085="",0,B1085*(92*IF(OR(C1085=Options!$B$9,C1085=Options!$B$10),75%,100%)-IF(C1085=DATE(2026,11,29),26+IF(Options!$B$8="是",23,0),0)-IF(C1085=DATE(2026,11,30),26,0)-IF(C1085=DATE(2026,12,1),64,0)-IF(C1085=DATE(2026,11,28),38,0)-IF(C1085=DATE(2026,12,2),26,0)))</f>
        <v/>
      </c>
      <c r="I1085" s="13">
        <f>IF(AND(C1085&gt;=DATE(2026,11,29),C1085&lt;=DATE(2026,12,1)),B1085*60,0)</f>
        <v/>
      </c>
      <c r="J1085" s="13">
        <f>IF(A1085="",0,B1085*(IF(C1085=DATE(2026,11,28),38,0)+IF(C1085=DATE(2026,12,1),38,0)+IF(C1085=DATE(2026,12,2),26,0)))</f>
        <v/>
      </c>
      <c r="K1085" s="13">
        <f>IF(C1085=Options!$B$9,B1085*12,0)</f>
        <v/>
      </c>
      <c r="L1085" s="13">
        <f>IF(C1085=Options!$B$9,B1085*Options!$Z$6,0)</f>
        <v/>
      </c>
      <c r="M1085" s="13" t="n">
        <v>0</v>
      </c>
      <c r="N1085" s="13">
        <f>SUM(E1085:M1085)</f>
        <v/>
      </c>
    </row>
    <row r="1086">
      <c r="A1086" s="5">
        <f>IF(AND(C1086&gt;=Options!$B$9,C1086&lt;=Options!$B$10),"Denver","")</f>
        <v/>
      </c>
      <c r="B1086" s="5">
        <f>IF(A1086="","",18)</f>
        <v/>
      </c>
      <c r="C1086" s="17" t="n">
        <v>46647</v>
      </c>
      <c r="D1086" s="5">
        <f>IF(A1086="","",IF(C1086=DATE(2026,11,29),"培训；注册午餐；早餐参数",IF(C1086=DATE(2026,11,30),"培训；注册午餐",IF(C1086=DATE(2026,12,1),"培训；注册午餐；机构晚餐",IF(C1086=Options!$B$9,"抵达；"&amp;IF(C1086=DATE(2026,11,28),"机构晚餐","无统一供餐"),IF(C1086=Options!$B$10,"返程；"&amp;IF(C1086=DATE(2026,12,2),"机构午餐","无统一供餐"),"差旅状态；无统一日程"))))))</f>
        <v/>
      </c>
      <c r="E1086" s="13">
        <f>IF(C1086=Options!$B$9,Options!$C$16,0)</f>
        <v/>
      </c>
      <c r="F1086" s="13">
        <f>IF(AND(A1086&lt;&gt;"",C1086&lt;Options!$B$10),B1086*Options!$X$6,0)</f>
        <v/>
      </c>
      <c r="G1086" s="13">
        <f>F1086*12%</f>
        <v/>
      </c>
      <c r="H1086" s="13">
        <f>IF(A1086="",0,B1086*(92*IF(OR(C1086=Options!$B$9,C1086=Options!$B$10),75%,100%)-IF(C1086=DATE(2026,11,29),26+IF(Options!$B$8="是",23,0),0)-IF(C1086=DATE(2026,11,30),26,0)-IF(C1086=DATE(2026,12,1),64,0)-IF(C1086=DATE(2026,11,28),38,0)-IF(C1086=DATE(2026,12,2),26,0)))</f>
        <v/>
      </c>
      <c r="I1086" s="13">
        <f>IF(AND(C1086&gt;=DATE(2026,11,29),C1086&lt;=DATE(2026,12,1)),B1086*60,0)</f>
        <v/>
      </c>
      <c r="J1086" s="13">
        <f>IF(A1086="",0,B1086*(IF(C1086=DATE(2026,11,28),38,0)+IF(C1086=DATE(2026,12,1),38,0)+IF(C1086=DATE(2026,12,2),26,0)))</f>
        <v/>
      </c>
      <c r="K1086" s="13">
        <f>IF(C1086=Options!$B$9,B1086*12,0)</f>
        <v/>
      </c>
      <c r="L1086" s="13">
        <f>IF(C1086=Options!$B$9,B1086*Options!$Z$6,0)</f>
        <v/>
      </c>
      <c r="M1086" s="13" t="n">
        <v>0</v>
      </c>
      <c r="N1086" s="13">
        <f>SUM(E1086:M1086)</f>
        <v/>
      </c>
    </row>
    <row r="1087">
      <c r="A1087" s="5">
        <f>IF(AND(C1087&gt;=Options!$B$9,C1087&lt;=Options!$B$10),"Denver","")</f>
        <v/>
      </c>
      <c r="B1087" s="5">
        <f>IF(A1087="","",18)</f>
        <v/>
      </c>
      <c r="C1087" s="17" t="n">
        <v>46648</v>
      </c>
      <c r="D1087" s="5">
        <f>IF(A1087="","",IF(C1087=DATE(2026,11,29),"培训；注册午餐；早餐参数",IF(C1087=DATE(2026,11,30),"培训；注册午餐",IF(C1087=DATE(2026,12,1),"培训；注册午餐；机构晚餐",IF(C1087=Options!$B$9,"抵达；"&amp;IF(C1087=DATE(2026,11,28),"机构晚餐","无统一供餐"),IF(C1087=Options!$B$10,"返程；"&amp;IF(C1087=DATE(2026,12,2),"机构午餐","无统一供餐"),"差旅状态；无统一日程"))))))</f>
        <v/>
      </c>
      <c r="E1087" s="13">
        <f>IF(C1087=Options!$B$9,Options!$C$16,0)</f>
        <v/>
      </c>
      <c r="F1087" s="13">
        <f>IF(AND(A1087&lt;&gt;"",C1087&lt;Options!$B$10),B1087*Options!$X$6,0)</f>
        <v/>
      </c>
      <c r="G1087" s="13">
        <f>F1087*12%</f>
        <v/>
      </c>
      <c r="H1087" s="13">
        <f>IF(A1087="",0,B1087*(92*IF(OR(C1087=Options!$B$9,C1087=Options!$B$10),75%,100%)-IF(C1087=DATE(2026,11,29),26+IF(Options!$B$8="是",23,0),0)-IF(C1087=DATE(2026,11,30),26,0)-IF(C1087=DATE(2026,12,1),64,0)-IF(C1087=DATE(2026,11,28),38,0)-IF(C1087=DATE(2026,12,2),26,0)))</f>
        <v/>
      </c>
      <c r="I1087" s="13">
        <f>IF(AND(C1087&gt;=DATE(2026,11,29),C1087&lt;=DATE(2026,12,1)),B1087*60,0)</f>
        <v/>
      </c>
      <c r="J1087" s="13">
        <f>IF(A1087="",0,B1087*(IF(C1087=DATE(2026,11,28),38,0)+IF(C1087=DATE(2026,12,1),38,0)+IF(C1087=DATE(2026,12,2),26,0)))</f>
        <v/>
      </c>
      <c r="K1087" s="13">
        <f>IF(C1087=Options!$B$9,B1087*12,0)</f>
        <v/>
      </c>
      <c r="L1087" s="13">
        <f>IF(C1087=Options!$B$9,B1087*Options!$Z$6,0)</f>
        <v/>
      </c>
      <c r="M1087" s="13" t="n">
        <v>0</v>
      </c>
      <c r="N1087" s="13">
        <f>SUM(E1087:M1087)</f>
        <v/>
      </c>
    </row>
    <row r="1088">
      <c r="A1088" s="5">
        <f>IF(AND(C1088&gt;=Options!$B$9,C1088&lt;=Options!$B$10),"Denver","")</f>
        <v/>
      </c>
      <c r="B1088" s="5">
        <f>IF(A1088="","",18)</f>
        <v/>
      </c>
      <c r="C1088" s="17" t="n">
        <v>46649</v>
      </c>
      <c r="D1088" s="5">
        <f>IF(A1088="","",IF(C1088=DATE(2026,11,29),"培训；注册午餐；早餐参数",IF(C1088=DATE(2026,11,30),"培训；注册午餐",IF(C1088=DATE(2026,12,1),"培训；注册午餐；机构晚餐",IF(C1088=Options!$B$9,"抵达；"&amp;IF(C1088=DATE(2026,11,28),"机构晚餐","无统一供餐"),IF(C1088=Options!$B$10,"返程；"&amp;IF(C1088=DATE(2026,12,2),"机构午餐","无统一供餐"),"差旅状态；无统一日程"))))))</f>
        <v/>
      </c>
      <c r="E1088" s="13">
        <f>IF(C1088=Options!$B$9,Options!$C$16,0)</f>
        <v/>
      </c>
      <c r="F1088" s="13">
        <f>IF(AND(A1088&lt;&gt;"",C1088&lt;Options!$B$10),B1088*Options!$X$6,0)</f>
        <v/>
      </c>
      <c r="G1088" s="13">
        <f>F1088*12%</f>
        <v/>
      </c>
      <c r="H1088" s="13">
        <f>IF(A1088="",0,B1088*(92*IF(OR(C1088=Options!$B$9,C1088=Options!$B$10),75%,100%)-IF(C1088=DATE(2026,11,29),26+IF(Options!$B$8="是",23,0),0)-IF(C1088=DATE(2026,11,30),26,0)-IF(C1088=DATE(2026,12,1),64,0)-IF(C1088=DATE(2026,11,28),38,0)-IF(C1088=DATE(2026,12,2),26,0)))</f>
        <v/>
      </c>
      <c r="I1088" s="13">
        <f>IF(AND(C1088&gt;=DATE(2026,11,29),C1088&lt;=DATE(2026,12,1)),B1088*60,0)</f>
        <v/>
      </c>
      <c r="J1088" s="13">
        <f>IF(A1088="",0,B1088*(IF(C1088=DATE(2026,11,28),38,0)+IF(C1088=DATE(2026,12,1),38,0)+IF(C1088=DATE(2026,12,2),26,0)))</f>
        <v/>
      </c>
      <c r="K1088" s="13">
        <f>IF(C1088=Options!$B$9,B1088*12,0)</f>
        <v/>
      </c>
      <c r="L1088" s="13">
        <f>IF(C1088=Options!$B$9,B1088*Options!$Z$6,0)</f>
        <v/>
      </c>
      <c r="M1088" s="13" t="n">
        <v>0</v>
      </c>
      <c r="N1088" s="13">
        <f>SUM(E1088:M1088)</f>
        <v/>
      </c>
    </row>
    <row r="1089">
      <c r="A1089" s="5">
        <f>IF(AND(C1089&gt;=Options!$B$9,C1089&lt;=Options!$B$10),"Denver","")</f>
        <v/>
      </c>
      <c r="B1089" s="5">
        <f>IF(A1089="","",18)</f>
        <v/>
      </c>
      <c r="C1089" s="17" t="n">
        <v>46650</v>
      </c>
      <c r="D1089" s="5">
        <f>IF(A1089="","",IF(C1089=DATE(2026,11,29),"培训；注册午餐；早餐参数",IF(C1089=DATE(2026,11,30),"培训；注册午餐",IF(C1089=DATE(2026,12,1),"培训；注册午餐；机构晚餐",IF(C1089=Options!$B$9,"抵达；"&amp;IF(C1089=DATE(2026,11,28),"机构晚餐","无统一供餐"),IF(C1089=Options!$B$10,"返程；"&amp;IF(C1089=DATE(2026,12,2),"机构午餐","无统一供餐"),"差旅状态；无统一日程"))))))</f>
        <v/>
      </c>
      <c r="E1089" s="13">
        <f>IF(C1089=Options!$B$9,Options!$C$16,0)</f>
        <v/>
      </c>
      <c r="F1089" s="13">
        <f>IF(AND(A1089&lt;&gt;"",C1089&lt;Options!$B$10),B1089*Options!$X$6,0)</f>
        <v/>
      </c>
      <c r="G1089" s="13">
        <f>F1089*12%</f>
        <v/>
      </c>
      <c r="H1089" s="13">
        <f>IF(A1089="",0,B1089*(92*IF(OR(C1089=Options!$B$9,C1089=Options!$B$10),75%,100%)-IF(C1089=DATE(2026,11,29),26+IF(Options!$B$8="是",23,0),0)-IF(C1089=DATE(2026,11,30),26,0)-IF(C1089=DATE(2026,12,1),64,0)-IF(C1089=DATE(2026,11,28),38,0)-IF(C1089=DATE(2026,12,2),26,0)))</f>
        <v/>
      </c>
      <c r="I1089" s="13">
        <f>IF(AND(C1089&gt;=DATE(2026,11,29),C1089&lt;=DATE(2026,12,1)),B1089*60,0)</f>
        <v/>
      </c>
      <c r="J1089" s="13">
        <f>IF(A1089="",0,B1089*(IF(C1089=DATE(2026,11,28),38,0)+IF(C1089=DATE(2026,12,1),38,0)+IF(C1089=DATE(2026,12,2),26,0)))</f>
        <v/>
      </c>
      <c r="K1089" s="13">
        <f>IF(C1089=Options!$B$9,B1089*12,0)</f>
        <v/>
      </c>
      <c r="L1089" s="13">
        <f>IF(C1089=Options!$B$9,B1089*Options!$Z$6,0)</f>
        <v/>
      </c>
      <c r="M1089" s="13" t="n">
        <v>0</v>
      </c>
      <c r="N1089" s="13">
        <f>SUM(E1089:M1089)</f>
        <v/>
      </c>
    </row>
    <row r="1090">
      <c r="A1090" s="5">
        <f>IF(AND(C1090&gt;=Options!$B$9,C1090&lt;=Options!$B$10),"Denver","")</f>
        <v/>
      </c>
      <c r="B1090" s="5">
        <f>IF(A1090="","",18)</f>
        <v/>
      </c>
      <c r="C1090" s="17" t="n">
        <v>46651</v>
      </c>
      <c r="D1090" s="5">
        <f>IF(A1090="","",IF(C1090=DATE(2026,11,29),"培训；注册午餐；早餐参数",IF(C1090=DATE(2026,11,30),"培训；注册午餐",IF(C1090=DATE(2026,12,1),"培训；注册午餐；机构晚餐",IF(C1090=Options!$B$9,"抵达；"&amp;IF(C1090=DATE(2026,11,28),"机构晚餐","无统一供餐"),IF(C1090=Options!$B$10,"返程；"&amp;IF(C1090=DATE(2026,12,2),"机构午餐","无统一供餐"),"差旅状态；无统一日程"))))))</f>
        <v/>
      </c>
      <c r="E1090" s="13">
        <f>IF(C1090=Options!$B$9,Options!$C$16,0)</f>
        <v/>
      </c>
      <c r="F1090" s="13">
        <f>IF(AND(A1090&lt;&gt;"",C1090&lt;Options!$B$10),B1090*Options!$X$6,0)</f>
        <v/>
      </c>
      <c r="G1090" s="13">
        <f>F1090*12%</f>
        <v/>
      </c>
      <c r="H1090" s="13">
        <f>IF(A1090="",0,B1090*(92*IF(OR(C1090=Options!$B$9,C1090=Options!$B$10),75%,100%)-IF(C1090=DATE(2026,11,29),26+IF(Options!$B$8="是",23,0),0)-IF(C1090=DATE(2026,11,30),26,0)-IF(C1090=DATE(2026,12,1),64,0)-IF(C1090=DATE(2026,11,28),38,0)-IF(C1090=DATE(2026,12,2),26,0)))</f>
        <v/>
      </c>
      <c r="I1090" s="13">
        <f>IF(AND(C1090&gt;=DATE(2026,11,29),C1090&lt;=DATE(2026,12,1)),B1090*60,0)</f>
        <v/>
      </c>
      <c r="J1090" s="13">
        <f>IF(A1090="",0,B1090*(IF(C1090=DATE(2026,11,28),38,0)+IF(C1090=DATE(2026,12,1),38,0)+IF(C1090=DATE(2026,12,2),26,0)))</f>
        <v/>
      </c>
      <c r="K1090" s="13">
        <f>IF(C1090=Options!$B$9,B1090*12,0)</f>
        <v/>
      </c>
      <c r="L1090" s="13">
        <f>IF(C1090=Options!$B$9,B1090*Options!$Z$6,0)</f>
        <v/>
      </c>
      <c r="M1090" s="13" t="n">
        <v>0</v>
      </c>
      <c r="N1090" s="13">
        <f>SUM(E1090:M1090)</f>
        <v/>
      </c>
    </row>
    <row r="1091">
      <c r="A1091" s="5">
        <f>IF(AND(C1091&gt;=Options!$B$9,C1091&lt;=Options!$B$10),"Denver","")</f>
        <v/>
      </c>
      <c r="B1091" s="5">
        <f>IF(A1091="","",18)</f>
        <v/>
      </c>
      <c r="C1091" s="17" t="n">
        <v>46652</v>
      </c>
      <c r="D1091" s="5">
        <f>IF(A1091="","",IF(C1091=DATE(2026,11,29),"培训；注册午餐；早餐参数",IF(C1091=DATE(2026,11,30),"培训；注册午餐",IF(C1091=DATE(2026,12,1),"培训；注册午餐；机构晚餐",IF(C1091=Options!$B$9,"抵达；"&amp;IF(C1091=DATE(2026,11,28),"机构晚餐","无统一供餐"),IF(C1091=Options!$B$10,"返程；"&amp;IF(C1091=DATE(2026,12,2),"机构午餐","无统一供餐"),"差旅状态；无统一日程"))))))</f>
        <v/>
      </c>
      <c r="E1091" s="13">
        <f>IF(C1091=Options!$B$9,Options!$C$16,0)</f>
        <v/>
      </c>
      <c r="F1091" s="13">
        <f>IF(AND(A1091&lt;&gt;"",C1091&lt;Options!$B$10),B1091*Options!$X$6,0)</f>
        <v/>
      </c>
      <c r="G1091" s="13">
        <f>F1091*12%</f>
        <v/>
      </c>
      <c r="H1091" s="13">
        <f>IF(A1091="",0,B1091*(92*IF(OR(C1091=Options!$B$9,C1091=Options!$B$10),75%,100%)-IF(C1091=DATE(2026,11,29),26+IF(Options!$B$8="是",23,0),0)-IF(C1091=DATE(2026,11,30),26,0)-IF(C1091=DATE(2026,12,1),64,0)-IF(C1091=DATE(2026,11,28),38,0)-IF(C1091=DATE(2026,12,2),26,0)))</f>
        <v/>
      </c>
      <c r="I1091" s="13">
        <f>IF(AND(C1091&gt;=DATE(2026,11,29),C1091&lt;=DATE(2026,12,1)),B1091*60,0)</f>
        <v/>
      </c>
      <c r="J1091" s="13">
        <f>IF(A1091="",0,B1091*(IF(C1091=DATE(2026,11,28),38,0)+IF(C1091=DATE(2026,12,1),38,0)+IF(C1091=DATE(2026,12,2),26,0)))</f>
        <v/>
      </c>
      <c r="K1091" s="13">
        <f>IF(C1091=Options!$B$9,B1091*12,0)</f>
        <v/>
      </c>
      <c r="L1091" s="13">
        <f>IF(C1091=Options!$B$9,B1091*Options!$Z$6,0)</f>
        <v/>
      </c>
      <c r="M1091" s="13" t="n">
        <v>0</v>
      </c>
      <c r="N1091" s="13">
        <f>SUM(E1091:M1091)</f>
        <v/>
      </c>
    </row>
    <row r="1092">
      <c r="A1092" s="5">
        <f>IF(AND(C1092&gt;=Options!$B$9,C1092&lt;=Options!$B$10),"Denver","")</f>
        <v/>
      </c>
      <c r="B1092" s="5">
        <f>IF(A1092="","",18)</f>
        <v/>
      </c>
      <c r="C1092" s="17" t="n">
        <v>46653</v>
      </c>
      <c r="D1092" s="5">
        <f>IF(A1092="","",IF(C1092=DATE(2026,11,29),"培训；注册午餐；早餐参数",IF(C1092=DATE(2026,11,30),"培训；注册午餐",IF(C1092=DATE(2026,12,1),"培训；注册午餐；机构晚餐",IF(C1092=Options!$B$9,"抵达；"&amp;IF(C1092=DATE(2026,11,28),"机构晚餐","无统一供餐"),IF(C1092=Options!$B$10,"返程；"&amp;IF(C1092=DATE(2026,12,2),"机构午餐","无统一供餐"),"差旅状态；无统一日程"))))))</f>
        <v/>
      </c>
      <c r="E1092" s="13">
        <f>IF(C1092=Options!$B$9,Options!$C$16,0)</f>
        <v/>
      </c>
      <c r="F1092" s="13">
        <f>IF(AND(A1092&lt;&gt;"",C1092&lt;Options!$B$10),B1092*Options!$X$6,0)</f>
        <v/>
      </c>
      <c r="G1092" s="13">
        <f>F1092*12%</f>
        <v/>
      </c>
      <c r="H1092" s="13">
        <f>IF(A1092="",0,B1092*(92*IF(OR(C1092=Options!$B$9,C1092=Options!$B$10),75%,100%)-IF(C1092=DATE(2026,11,29),26+IF(Options!$B$8="是",23,0),0)-IF(C1092=DATE(2026,11,30),26,0)-IF(C1092=DATE(2026,12,1),64,0)-IF(C1092=DATE(2026,11,28),38,0)-IF(C1092=DATE(2026,12,2),26,0)))</f>
        <v/>
      </c>
      <c r="I1092" s="13">
        <f>IF(AND(C1092&gt;=DATE(2026,11,29),C1092&lt;=DATE(2026,12,1)),B1092*60,0)</f>
        <v/>
      </c>
      <c r="J1092" s="13">
        <f>IF(A1092="",0,B1092*(IF(C1092=DATE(2026,11,28),38,0)+IF(C1092=DATE(2026,12,1),38,0)+IF(C1092=DATE(2026,12,2),26,0)))</f>
        <v/>
      </c>
      <c r="K1092" s="13">
        <f>IF(C1092=Options!$B$9,B1092*12,0)</f>
        <v/>
      </c>
      <c r="L1092" s="13">
        <f>IF(C1092=Options!$B$9,B1092*Options!$Z$6,0)</f>
        <v/>
      </c>
      <c r="M1092" s="13" t="n">
        <v>0</v>
      </c>
      <c r="N1092" s="13">
        <f>SUM(E1092:M1092)</f>
        <v/>
      </c>
    </row>
    <row r="1093">
      <c r="A1093" s="5">
        <f>IF(AND(C1093&gt;=Options!$B$9,C1093&lt;=Options!$B$10),"Denver","")</f>
        <v/>
      </c>
      <c r="B1093" s="5">
        <f>IF(A1093="","",18)</f>
        <v/>
      </c>
      <c r="C1093" s="17" t="n">
        <v>46654</v>
      </c>
      <c r="D1093" s="5">
        <f>IF(A1093="","",IF(C1093=DATE(2026,11,29),"培训；注册午餐；早餐参数",IF(C1093=DATE(2026,11,30),"培训；注册午餐",IF(C1093=DATE(2026,12,1),"培训；注册午餐；机构晚餐",IF(C1093=Options!$B$9,"抵达；"&amp;IF(C1093=DATE(2026,11,28),"机构晚餐","无统一供餐"),IF(C1093=Options!$B$10,"返程；"&amp;IF(C1093=DATE(2026,12,2),"机构午餐","无统一供餐"),"差旅状态；无统一日程"))))))</f>
        <v/>
      </c>
      <c r="E1093" s="13">
        <f>IF(C1093=Options!$B$9,Options!$C$16,0)</f>
        <v/>
      </c>
      <c r="F1093" s="13">
        <f>IF(AND(A1093&lt;&gt;"",C1093&lt;Options!$B$10),B1093*Options!$X$6,0)</f>
        <v/>
      </c>
      <c r="G1093" s="13">
        <f>F1093*12%</f>
        <v/>
      </c>
      <c r="H1093" s="13">
        <f>IF(A1093="",0,B1093*(92*IF(OR(C1093=Options!$B$9,C1093=Options!$B$10),75%,100%)-IF(C1093=DATE(2026,11,29),26+IF(Options!$B$8="是",23,0),0)-IF(C1093=DATE(2026,11,30),26,0)-IF(C1093=DATE(2026,12,1),64,0)-IF(C1093=DATE(2026,11,28),38,0)-IF(C1093=DATE(2026,12,2),26,0)))</f>
        <v/>
      </c>
      <c r="I1093" s="13">
        <f>IF(AND(C1093&gt;=DATE(2026,11,29),C1093&lt;=DATE(2026,12,1)),B1093*60,0)</f>
        <v/>
      </c>
      <c r="J1093" s="13">
        <f>IF(A1093="",0,B1093*(IF(C1093=DATE(2026,11,28),38,0)+IF(C1093=DATE(2026,12,1),38,0)+IF(C1093=DATE(2026,12,2),26,0)))</f>
        <v/>
      </c>
      <c r="K1093" s="13">
        <f>IF(C1093=Options!$B$9,B1093*12,0)</f>
        <v/>
      </c>
      <c r="L1093" s="13">
        <f>IF(C1093=Options!$B$9,B1093*Options!$Z$6,0)</f>
        <v/>
      </c>
      <c r="M1093" s="13" t="n">
        <v>0</v>
      </c>
      <c r="N1093" s="13">
        <f>SUM(E1093:M1093)</f>
        <v/>
      </c>
    </row>
    <row r="1094">
      <c r="A1094" s="5">
        <f>IF(AND(C1094&gt;=Options!$B$9,C1094&lt;=Options!$B$10),"Denver","")</f>
        <v/>
      </c>
      <c r="B1094" s="5">
        <f>IF(A1094="","",18)</f>
        <v/>
      </c>
      <c r="C1094" s="17" t="n">
        <v>46655</v>
      </c>
      <c r="D1094" s="5">
        <f>IF(A1094="","",IF(C1094=DATE(2026,11,29),"培训；注册午餐；早餐参数",IF(C1094=DATE(2026,11,30),"培训；注册午餐",IF(C1094=DATE(2026,12,1),"培训；注册午餐；机构晚餐",IF(C1094=Options!$B$9,"抵达；"&amp;IF(C1094=DATE(2026,11,28),"机构晚餐","无统一供餐"),IF(C1094=Options!$B$10,"返程；"&amp;IF(C1094=DATE(2026,12,2),"机构午餐","无统一供餐"),"差旅状态；无统一日程"))))))</f>
        <v/>
      </c>
      <c r="E1094" s="13">
        <f>IF(C1094=Options!$B$9,Options!$C$16,0)</f>
        <v/>
      </c>
      <c r="F1094" s="13">
        <f>IF(AND(A1094&lt;&gt;"",C1094&lt;Options!$B$10),B1094*Options!$X$6,0)</f>
        <v/>
      </c>
      <c r="G1094" s="13">
        <f>F1094*12%</f>
        <v/>
      </c>
      <c r="H1094" s="13">
        <f>IF(A1094="",0,B1094*(92*IF(OR(C1094=Options!$B$9,C1094=Options!$B$10),75%,100%)-IF(C1094=DATE(2026,11,29),26+IF(Options!$B$8="是",23,0),0)-IF(C1094=DATE(2026,11,30),26,0)-IF(C1094=DATE(2026,12,1),64,0)-IF(C1094=DATE(2026,11,28),38,0)-IF(C1094=DATE(2026,12,2),26,0)))</f>
        <v/>
      </c>
      <c r="I1094" s="13">
        <f>IF(AND(C1094&gt;=DATE(2026,11,29),C1094&lt;=DATE(2026,12,1)),B1094*60,0)</f>
        <v/>
      </c>
      <c r="J1094" s="13">
        <f>IF(A1094="",0,B1094*(IF(C1094=DATE(2026,11,28),38,0)+IF(C1094=DATE(2026,12,1),38,0)+IF(C1094=DATE(2026,12,2),26,0)))</f>
        <v/>
      </c>
      <c r="K1094" s="13">
        <f>IF(C1094=Options!$B$9,B1094*12,0)</f>
        <v/>
      </c>
      <c r="L1094" s="13">
        <f>IF(C1094=Options!$B$9,B1094*Options!$Z$6,0)</f>
        <v/>
      </c>
      <c r="M1094" s="13" t="n">
        <v>0</v>
      </c>
      <c r="N1094" s="13">
        <f>SUM(E1094:M1094)</f>
        <v/>
      </c>
    </row>
    <row r="1095">
      <c r="A1095" s="5">
        <f>IF(AND(C1095&gt;=Options!$B$9,C1095&lt;=Options!$B$10),"Denver","")</f>
        <v/>
      </c>
      <c r="B1095" s="5">
        <f>IF(A1095="","",18)</f>
        <v/>
      </c>
      <c r="C1095" s="17" t="n">
        <v>46656</v>
      </c>
      <c r="D1095" s="5">
        <f>IF(A1095="","",IF(C1095=DATE(2026,11,29),"培训；注册午餐；早餐参数",IF(C1095=DATE(2026,11,30),"培训；注册午餐",IF(C1095=DATE(2026,12,1),"培训；注册午餐；机构晚餐",IF(C1095=Options!$B$9,"抵达；"&amp;IF(C1095=DATE(2026,11,28),"机构晚餐","无统一供餐"),IF(C1095=Options!$B$10,"返程；"&amp;IF(C1095=DATE(2026,12,2),"机构午餐","无统一供餐"),"差旅状态；无统一日程"))))))</f>
        <v/>
      </c>
      <c r="E1095" s="13">
        <f>IF(C1095=Options!$B$9,Options!$C$16,0)</f>
        <v/>
      </c>
      <c r="F1095" s="13">
        <f>IF(AND(A1095&lt;&gt;"",C1095&lt;Options!$B$10),B1095*Options!$X$6,0)</f>
        <v/>
      </c>
      <c r="G1095" s="13">
        <f>F1095*12%</f>
        <v/>
      </c>
      <c r="H1095" s="13">
        <f>IF(A1095="",0,B1095*(92*IF(OR(C1095=Options!$B$9,C1095=Options!$B$10),75%,100%)-IF(C1095=DATE(2026,11,29),26+IF(Options!$B$8="是",23,0),0)-IF(C1095=DATE(2026,11,30),26,0)-IF(C1095=DATE(2026,12,1),64,0)-IF(C1095=DATE(2026,11,28),38,0)-IF(C1095=DATE(2026,12,2),26,0)))</f>
        <v/>
      </c>
      <c r="I1095" s="13">
        <f>IF(AND(C1095&gt;=DATE(2026,11,29),C1095&lt;=DATE(2026,12,1)),B1095*60,0)</f>
        <v/>
      </c>
      <c r="J1095" s="13">
        <f>IF(A1095="",0,B1095*(IF(C1095=DATE(2026,11,28),38,0)+IF(C1095=DATE(2026,12,1),38,0)+IF(C1095=DATE(2026,12,2),26,0)))</f>
        <v/>
      </c>
      <c r="K1095" s="13">
        <f>IF(C1095=Options!$B$9,B1095*12,0)</f>
        <v/>
      </c>
      <c r="L1095" s="13">
        <f>IF(C1095=Options!$B$9,B1095*Options!$Z$6,0)</f>
        <v/>
      </c>
      <c r="M1095" s="13" t="n">
        <v>0</v>
      </c>
      <c r="N1095" s="13">
        <f>SUM(E1095:M1095)</f>
        <v/>
      </c>
    </row>
    <row r="1096">
      <c r="A1096" s="5">
        <f>IF(AND(C1096&gt;=Options!$B$9,C1096&lt;=Options!$B$10),"Denver","")</f>
        <v/>
      </c>
      <c r="B1096" s="5">
        <f>IF(A1096="","",18)</f>
        <v/>
      </c>
      <c r="C1096" s="17" t="n">
        <v>46657</v>
      </c>
      <c r="D1096" s="5">
        <f>IF(A1096="","",IF(C1096=DATE(2026,11,29),"培训；注册午餐；早餐参数",IF(C1096=DATE(2026,11,30),"培训；注册午餐",IF(C1096=DATE(2026,12,1),"培训；注册午餐；机构晚餐",IF(C1096=Options!$B$9,"抵达；"&amp;IF(C1096=DATE(2026,11,28),"机构晚餐","无统一供餐"),IF(C1096=Options!$B$10,"返程；"&amp;IF(C1096=DATE(2026,12,2),"机构午餐","无统一供餐"),"差旅状态；无统一日程"))))))</f>
        <v/>
      </c>
      <c r="E1096" s="13">
        <f>IF(C1096=Options!$B$9,Options!$C$16,0)</f>
        <v/>
      </c>
      <c r="F1096" s="13">
        <f>IF(AND(A1096&lt;&gt;"",C1096&lt;Options!$B$10),B1096*Options!$X$6,0)</f>
        <v/>
      </c>
      <c r="G1096" s="13">
        <f>F1096*12%</f>
        <v/>
      </c>
      <c r="H1096" s="13">
        <f>IF(A1096="",0,B1096*(92*IF(OR(C1096=Options!$B$9,C1096=Options!$B$10),75%,100%)-IF(C1096=DATE(2026,11,29),26+IF(Options!$B$8="是",23,0),0)-IF(C1096=DATE(2026,11,30),26,0)-IF(C1096=DATE(2026,12,1),64,0)-IF(C1096=DATE(2026,11,28),38,0)-IF(C1096=DATE(2026,12,2),26,0)))</f>
        <v/>
      </c>
      <c r="I1096" s="13">
        <f>IF(AND(C1096&gt;=DATE(2026,11,29),C1096&lt;=DATE(2026,12,1)),B1096*60,0)</f>
        <v/>
      </c>
      <c r="J1096" s="13">
        <f>IF(A1096="",0,B1096*(IF(C1096=DATE(2026,11,28),38,0)+IF(C1096=DATE(2026,12,1),38,0)+IF(C1096=DATE(2026,12,2),26,0)))</f>
        <v/>
      </c>
      <c r="K1096" s="13">
        <f>IF(C1096=Options!$B$9,B1096*12,0)</f>
        <v/>
      </c>
      <c r="L1096" s="13">
        <f>IF(C1096=Options!$B$9,B1096*Options!$Z$6,0)</f>
        <v/>
      </c>
      <c r="M1096" s="13" t="n">
        <v>0</v>
      </c>
      <c r="N1096" s="13">
        <f>SUM(E1096:M1096)</f>
        <v/>
      </c>
    </row>
    <row r="1097">
      <c r="A1097" s="5">
        <f>IF(AND(C1097&gt;=Options!$B$9,C1097&lt;=Options!$B$10),"Denver","")</f>
        <v/>
      </c>
      <c r="B1097" s="5">
        <f>IF(A1097="","",18)</f>
        <v/>
      </c>
      <c r="C1097" s="17" t="n">
        <v>46658</v>
      </c>
      <c r="D1097" s="5">
        <f>IF(A1097="","",IF(C1097=DATE(2026,11,29),"培训；注册午餐；早餐参数",IF(C1097=DATE(2026,11,30),"培训；注册午餐",IF(C1097=DATE(2026,12,1),"培训；注册午餐；机构晚餐",IF(C1097=Options!$B$9,"抵达；"&amp;IF(C1097=DATE(2026,11,28),"机构晚餐","无统一供餐"),IF(C1097=Options!$B$10,"返程；"&amp;IF(C1097=DATE(2026,12,2),"机构午餐","无统一供餐"),"差旅状态；无统一日程"))))))</f>
        <v/>
      </c>
      <c r="E1097" s="13">
        <f>IF(C1097=Options!$B$9,Options!$C$16,0)</f>
        <v/>
      </c>
      <c r="F1097" s="13">
        <f>IF(AND(A1097&lt;&gt;"",C1097&lt;Options!$B$10),B1097*Options!$X$6,0)</f>
        <v/>
      </c>
      <c r="G1097" s="13">
        <f>F1097*12%</f>
        <v/>
      </c>
      <c r="H1097" s="13">
        <f>IF(A1097="",0,B1097*(92*IF(OR(C1097=Options!$B$9,C1097=Options!$B$10),75%,100%)-IF(C1097=DATE(2026,11,29),26+IF(Options!$B$8="是",23,0),0)-IF(C1097=DATE(2026,11,30),26,0)-IF(C1097=DATE(2026,12,1),64,0)-IF(C1097=DATE(2026,11,28),38,0)-IF(C1097=DATE(2026,12,2),26,0)))</f>
        <v/>
      </c>
      <c r="I1097" s="13">
        <f>IF(AND(C1097&gt;=DATE(2026,11,29),C1097&lt;=DATE(2026,12,1)),B1097*60,0)</f>
        <v/>
      </c>
      <c r="J1097" s="13">
        <f>IF(A1097="",0,B1097*(IF(C1097=DATE(2026,11,28),38,0)+IF(C1097=DATE(2026,12,1),38,0)+IF(C1097=DATE(2026,12,2),26,0)))</f>
        <v/>
      </c>
      <c r="K1097" s="13">
        <f>IF(C1097=Options!$B$9,B1097*12,0)</f>
        <v/>
      </c>
      <c r="L1097" s="13">
        <f>IF(C1097=Options!$B$9,B1097*Options!$Z$6,0)</f>
        <v/>
      </c>
      <c r="M1097" s="13" t="n">
        <v>0</v>
      </c>
      <c r="N1097" s="13">
        <f>SUM(E1097:M1097)</f>
        <v/>
      </c>
    </row>
    <row r="1098">
      <c r="A1098" s="5">
        <f>IF(AND(C1098&gt;=Options!$B$9,C1098&lt;=Options!$B$10),"Denver","")</f>
        <v/>
      </c>
      <c r="B1098" s="5">
        <f>IF(A1098="","",18)</f>
        <v/>
      </c>
      <c r="C1098" s="17" t="n">
        <v>46659</v>
      </c>
      <c r="D1098" s="5">
        <f>IF(A1098="","",IF(C1098=DATE(2026,11,29),"培训；注册午餐；早餐参数",IF(C1098=DATE(2026,11,30),"培训；注册午餐",IF(C1098=DATE(2026,12,1),"培训；注册午餐；机构晚餐",IF(C1098=Options!$B$9,"抵达；"&amp;IF(C1098=DATE(2026,11,28),"机构晚餐","无统一供餐"),IF(C1098=Options!$B$10,"返程；"&amp;IF(C1098=DATE(2026,12,2),"机构午餐","无统一供餐"),"差旅状态；无统一日程"))))))</f>
        <v/>
      </c>
      <c r="E1098" s="13">
        <f>IF(C1098=Options!$B$9,Options!$C$16,0)</f>
        <v/>
      </c>
      <c r="F1098" s="13">
        <f>IF(AND(A1098&lt;&gt;"",C1098&lt;Options!$B$10),B1098*Options!$X$6,0)</f>
        <v/>
      </c>
      <c r="G1098" s="13">
        <f>F1098*12%</f>
        <v/>
      </c>
      <c r="H1098" s="13">
        <f>IF(A1098="",0,B1098*(92*IF(OR(C1098=Options!$B$9,C1098=Options!$B$10),75%,100%)-IF(C1098=DATE(2026,11,29),26+IF(Options!$B$8="是",23,0),0)-IF(C1098=DATE(2026,11,30),26,0)-IF(C1098=DATE(2026,12,1),64,0)-IF(C1098=DATE(2026,11,28),38,0)-IF(C1098=DATE(2026,12,2),26,0)))</f>
        <v/>
      </c>
      <c r="I1098" s="13">
        <f>IF(AND(C1098&gt;=DATE(2026,11,29),C1098&lt;=DATE(2026,12,1)),B1098*60,0)</f>
        <v/>
      </c>
      <c r="J1098" s="13">
        <f>IF(A1098="",0,B1098*(IF(C1098=DATE(2026,11,28),38,0)+IF(C1098=DATE(2026,12,1),38,0)+IF(C1098=DATE(2026,12,2),26,0)))</f>
        <v/>
      </c>
      <c r="K1098" s="13">
        <f>IF(C1098=Options!$B$9,B1098*12,0)</f>
        <v/>
      </c>
      <c r="L1098" s="13">
        <f>IF(C1098=Options!$B$9,B1098*Options!$Z$6,0)</f>
        <v/>
      </c>
      <c r="M1098" s="13" t="n">
        <v>0</v>
      </c>
      <c r="N1098" s="13">
        <f>SUM(E1098:M1098)</f>
        <v/>
      </c>
    </row>
    <row r="1099">
      <c r="A1099" s="5">
        <f>IF(AND(C1099&gt;=Options!$B$9,C1099&lt;=Options!$B$10),"Denver","")</f>
        <v/>
      </c>
      <c r="B1099" s="5">
        <f>IF(A1099="","",18)</f>
        <v/>
      </c>
      <c r="C1099" s="17" t="n">
        <v>46660</v>
      </c>
      <c r="D1099" s="5">
        <f>IF(A1099="","",IF(C1099=DATE(2026,11,29),"培训；注册午餐；早餐参数",IF(C1099=DATE(2026,11,30),"培训；注册午餐",IF(C1099=DATE(2026,12,1),"培训；注册午餐；机构晚餐",IF(C1099=Options!$B$9,"抵达；"&amp;IF(C1099=DATE(2026,11,28),"机构晚餐","无统一供餐"),IF(C1099=Options!$B$10,"返程；"&amp;IF(C1099=DATE(2026,12,2),"机构午餐","无统一供餐"),"差旅状态；无统一日程"))))))</f>
        <v/>
      </c>
      <c r="E1099" s="13">
        <f>IF(C1099=Options!$B$9,Options!$C$16,0)</f>
        <v/>
      </c>
      <c r="F1099" s="13">
        <f>IF(AND(A1099&lt;&gt;"",C1099&lt;Options!$B$10),B1099*Options!$X$6,0)</f>
        <v/>
      </c>
      <c r="G1099" s="13">
        <f>F1099*12%</f>
        <v/>
      </c>
      <c r="H1099" s="13">
        <f>IF(A1099="",0,B1099*(92*IF(OR(C1099=Options!$B$9,C1099=Options!$B$10),75%,100%)-IF(C1099=DATE(2026,11,29),26+IF(Options!$B$8="是",23,0),0)-IF(C1099=DATE(2026,11,30),26,0)-IF(C1099=DATE(2026,12,1),64,0)-IF(C1099=DATE(2026,11,28),38,0)-IF(C1099=DATE(2026,12,2),26,0)))</f>
        <v/>
      </c>
      <c r="I1099" s="13">
        <f>IF(AND(C1099&gt;=DATE(2026,11,29),C1099&lt;=DATE(2026,12,1)),B1099*60,0)</f>
        <v/>
      </c>
      <c r="J1099" s="13">
        <f>IF(A1099="",0,B1099*(IF(C1099=DATE(2026,11,28),38,0)+IF(C1099=DATE(2026,12,1),38,0)+IF(C1099=DATE(2026,12,2),26,0)))</f>
        <v/>
      </c>
      <c r="K1099" s="13">
        <f>IF(C1099=Options!$B$9,B1099*12,0)</f>
        <v/>
      </c>
      <c r="L1099" s="13">
        <f>IF(C1099=Options!$B$9,B1099*Options!$Z$6,0)</f>
        <v/>
      </c>
      <c r="M1099" s="13" t="n">
        <v>0</v>
      </c>
      <c r="N1099" s="13">
        <f>SUM(E1099:M1099)</f>
        <v/>
      </c>
    </row>
    <row r="1100">
      <c r="A1100" s="5">
        <f>IF(AND(C1100&gt;=Options!$B$9,C1100&lt;=Options!$B$10),"Denver","")</f>
        <v/>
      </c>
      <c r="B1100" s="5">
        <f>IF(A1100="","",24)</f>
        <v/>
      </c>
      <c r="C1100" s="17" t="n">
        <v>46296</v>
      </c>
      <c r="D1100" s="5">
        <f>IF(A1100="","",IF(C1100=DATE(2026,11,29),"培训；注册午餐；早餐参数",IF(C1100=DATE(2026,11,30),"培训；注册午餐",IF(C1100=DATE(2026,12,1),"培训；注册午餐；机构晚餐",IF(C1100=Options!$B$9,"抵达；"&amp;IF(C1100=DATE(2026,11,28),"机构晚餐","无统一供餐"),IF(C1100=Options!$B$10,"返程；"&amp;IF(C1100=DATE(2026,12,2),"机构午餐","无统一供餐"),"差旅状态；无统一日程"))))))</f>
        <v/>
      </c>
      <c r="E1100" s="13">
        <f>IF(C1100=Options!$B$9,Options!$C$17,0)</f>
        <v/>
      </c>
      <c r="F1100" s="13">
        <f>IF(AND(A1100&lt;&gt;"",C1100&lt;Options!$B$10),B1100*Options!$X$6,0)</f>
        <v/>
      </c>
      <c r="G1100" s="13">
        <f>F1100*12%</f>
        <v/>
      </c>
      <c r="H1100" s="13">
        <f>IF(A1100="",0,B1100*(92*IF(OR(C1100=Options!$B$9,C1100=Options!$B$10),75%,100%)-IF(C1100=DATE(2026,11,29),26+IF(Options!$B$8="是",23,0),0)-IF(C1100=DATE(2026,11,30),26,0)-IF(C1100=DATE(2026,12,1),64,0)-IF(C1100=DATE(2026,11,28),38,0)-IF(C1100=DATE(2026,12,2),26,0)))</f>
        <v/>
      </c>
      <c r="I1100" s="13">
        <f>IF(AND(C1100&gt;=DATE(2026,11,29),C1100&lt;=DATE(2026,12,1)),B1100*60,0)</f>
        <v/>
      </c>
      <c r="J1100" s="13">
        <f>IF(A1100="",0,B1100*(IF(C1100=DATE(2026,11,28),38,0)+IF(C1100=DATE(2026,12,1),38,0)+IF(C1100=DATE(2026,12,2),26,0)))</f>
        <v/>
      </c>
      <c r="K1100" s="13">
        <f>IF(C1100=Options!$B$9,B1100*12,0)</f>
        <v/>
      </c>
      <c r="L1100" s="13">
        <f>IF(C1100=Options!$B$9,B1100*Options!$Z$6,0)</f>
        <v/>
      </c>
      <c r="M1100" s="13" t="n">
        <v>0</v>
      </c>
      <c r="N1100" s="13">
        <f>SUM(E1100:M1100)</f>
        <v/>
      </c>
    </row>
    <row r="1101">
      <c r="A1101" s="5">
        <f>IF(AND(C1101&gt;=Options!$B$9,C1101&lt;=Options!$B$10),"Denver","")</f>
        <v/>
      </c>
      <c r="B1101" s="5">
        <f>IF(A1101="","",24)</f>
        <v/>
      </c>
      <c r="C1101" s="17" t="n">
        <v>46297</v>
      </c>
      <c r="D1101" s="5">
        <f>IF(A1101="","",IF(C1101=DATE(2026,11,29),"培训；注册午餐；早餐参数",IF(C1101=DATE(2026,11,30),"培训；注册午餐",IF(C1101=DATE(2026,12,1),"培训；注册午餐；机构晚餐",IF(C1101=Options!$B$9,"抵达；"&amp;IF(C1101=DATE(2026,11,28),"机构晚餐","无统一供餐"),IF(C1101=Options!$B$10,"返程；"&amp;IF(C1101=DATE(2026,12,2),"机构午餐","无统一供餐"),"差旅状态；无统一日程"))))))</f>
        <v/>
      </c>
      <c r="E1101" s="13">
        <f>IF(C1101=Options!$B$9,Options!$C$17,0)</f>
        <v/>
      </c>
      <c r="F1101" s="13">
        <f>IF(AND(A1101&lt;&gt;"",C1101&lt;Options!$B$10),B1101*Options!$X$6,0)</f>
        <v/>
      </c>
      <c r="G1101" s="13">
        <f>F1101*12%</f>
        <v/>
      </c>
      <c r="H1101" s="13">
        <f>IF(A1101="",0,B1101*(92*IF(OR(C1101=Options!$B$9,C1101=Options!$B$10),75%,100%)-IF(C1101=DATE(2026,11,29),26+IF(Options!$B$8="是",23,0),0)-IF(C1101=DATE(2026,11,30),26,0)-IF(C1101=DATE(2026,12,1),64,0)-IF(C1101=DATE(2026,11,28),38,0)-IF(C1101=DATE(2026,12,2),26,0)))</f>
        <v/>
      </c>
      <c r="I1101" s="13">
        <f>IF(AND(C1101&gt;=DATE(2026,11,29),C1101&lt;=DATE(2026,12,1)),B1101*60,0)</f>
        <v/>
      </c>
      <c r="J1101" s="13">
        <f>IF(A1101="",0,B1101*(IF(C1101=DATE(2026,11,28),38,0)+IF(C1101=DATE(2026,12,1),38,0)+IF(C1101=DATE(2026,12,2),26,0)))</f>
        <v/>
      </c>
      <c r="K1101" s="13">
        <f>IF(C1101=Options!$B$9,B1101*12,0)</f>
        <v/>
      </c>
      <c r="L1101" s="13">
        <f>IF(C1101=Options!$B$9,B1101*Options!$Z$6,0)</f>
        <v/>
      </c>
      <c r="M1101" s="13" t="n">
        <v>0</v>
      </c>
      <c r="N1101" s="13">
        <f>SUM(E1101:M1101)</f>
        <v/>
      </c>
    </row>
    <row r="1102">
      <c r="A1102" s="5">
        <f>IF(AND(C1102&gt;=Options!$B$9,C1102&lt;=Options!$B$10),"Denver","")</f>
        <v/>
      </c>
      <c r="B1102" s="5">
        <f>IF(A1102="","",24)</f>
        <v/>
      </c>
      <c r="C1102" s="17" t="n">
        <v>46298</v>
      </c>
      <c r="D1102" s="5">
        <f>IF(A1102="","",IF(C1102=DATE(2026,11,29),"培训；注册午餐；早餐参数",IF(C1102=DATE(2026,11,30),"培训；注册午餐",IF(C1102=DATE(2026,12,1),"培训；注册午餐；机构晚餐",IF(C1102=Options!$B$9,"抵达；"&amp;IF(C1102=DATE(2026,11,28),"机构晚餐","无统一供餐"),IF(C1102=Options!$B$10,"返程；"&amp;IF(C1102=DATE(2026,12,2),"机构午餐","无统一供餐"),"差旅状态；无统一日程"))))))</f>
        <v/>
      </c>
      <c r="E1102" s="13">
        <f>IF(C1102=Options!$B$9,Options!$C$17,0)</f>
        <v/>
      </c>
      <c r="F1102" s="13">
        <f>IF(AND(A1102&lt;&gt;"",C1102&lt;Options!$B$10),B1102*Options!$X$6,0)</f>
        <v/>
      </c>
      <c r="G1102" s="13">
        <f>F1102*12%</f>
        <v/>
      </c>
      <c r="H1102" s="13">
        <f>IF(A1102="",0,B1102*(92*IF(OR(C1102=Options!$B$9,C1102=Options!$B$10),75%,100%)-IF(C1102=DATE(2026,11,29),26+IF(Options!$B$8="是",23,0),0)-IF(C1102=DATE(2026,11,30),26,0)-IF(C1102=DATE(2026,12,1),64,0)-IF(C1102=DATE(2026,11,28),38,0)-IF(C1102=DATE(2026,12,2),26,0)))</f>
        <v/>
      </c>
      <c r="I1102" s="13">
        <f>IF(AND(C1102&gt;=DATE(2026,11,29),C1102&lt;=DATE(2026,12,1)),B1102*60,0)</f>
        <v/>
      </c>
      <c r="J1102" s="13">
        <f>IF(A1102="",0,B1102*(IF(C1102=DATE(2026,11,28),38,0)+IF(C1102=DATE(2026,12,1),38,0)+IF(C1102=DATE(2026,12,2),26,0)))</f>
        <v/>
      </c>
      <c r="K1102" s="13">
        <f>IF(C1102=Options!$B$9,B1102*12,0)</f>
        <v/>
      </c>
      <c r="L1102" s="13">
        <f>IF(C1102=Options!$B$9,B1102*Options!$Z$6,0)</f>
        <v/>
      </c>
      <c r="M1102" s="13" t="n">
        <v>0</v>
      </c>
      <c r="N1102" s="13">
        <f>SUM(E1102:M1102)</f>
        <v/>
      </c>
    </row>
    <row r="1103">
      <c r="A1103" s="5">
        <f>IF(AND(C1103&gt;=Options!$B$9,C1103&lt;=Options!$B$10),"Denver","")</f>
        <v/>
      </c>
      <c r="B1103" s="5">
        <f>IF(A1103="","",24)</f>
        <v/>
      </c>
      <c r="C1103" s="17" t="n">
        <v>46299</v>
      </c>
      <c r="D1103" s="5">
        <f>IF(A1103="","",IF(C1103=DATE(2026,11,29),"培训；注册午餐；早餐参数",IF(C1103=DATE(2026,11,30),"培训；注册午餐",IF(C1103=DATE(2026,12,1),"培训；注册午餐；机构晚餐",IF(C1103=Options!$B$9,"抵达；"&amp;IF(C1103=DATE(2026,11,28),"机构晚餐","无统一供餐"),IF(C1103=Options!$B$10,"返程；"&amp;IF(C1103=DATE(2026,12,2),"机构午餐","无统一供餐"),"差旅状态；无统一日程"))))))</f>
        <v/>
      </c>
      <c r="E1103" s="13">
        <f>IF(C1103=Options!$B$9,Options!$C$17,0)</f>
        <v/>
      </c>
      <c r="F1103" s="13">
        <f>IF(AND(A1103&lt;&gt;"",C1103&lt;Options!$B$10),B1103*Options!$X$6,0)</f>
        <v/>
      </c>
      <c r="G1103" s="13">
        <f>F1103*12%</f>
        <v/>
      </c>
      <c r="H1103" s="13">
        <f>IF(A1103="",0,B1103*(92*IF(OR(C1103=Options!$B$9,C1103=Options!$B$10),75%,100%)-IF(C1103=DATE(2026,11,29),26+IF(Options!$B$8="是",23,0),0)-IF(C1103=DATE(2026,11,30),26,0)-IF(C1103=DATE(2026,12,1),64,0)-IF(C1103=DATE(2026,11,28),38,0)-IF(C1103=DATE(2026,12,2),26,0)))</f>
        <v/>
      </c>
      <c r="I1103" s="13">
        <f>IF(AND(C1103&gt;=DATE(2026,11,29),C1103&lt;=DATE(2026,12,1)),B1103*60,0)</f>
        <v/>
      </c>
      <c r="J1103" s="13">
        <f>IF(A1103="",0,B1103*(IF(C1103=DATE(2026,11,28),38,0)+IF(C1103=DATE(2026,12,1),38,0)+IF(C1103=DATE(2026,12,2),26,0)))</f>
        <v/>
      </c>
      <c r="K1103" s="13">
        <f>IF(C1103=Options!$B$9,B1103*12,0)</f>
        <v/>
      </c>
      <c r="L1103" s="13">
        <f>IF(C1103=Options!$B$9,B1103*Options!$Z$6,0)</f>
        <v/>
      </c>
      <c r="M1103" s="13" t="n">
        <v>0</v>
      </c>
      <c r="N1103" s="13">
        <f>SUM(E1103:M1103)</f>
        <v/>
      </c>
    </row>
    <row r="1104">
      <c r="A1104" s="5">
        <f>IF(AND(C1104&gt;=Options!$B$9,C1104&lt;=Options!$B$10),"Denver","")</f>
        <v/>
      </c>
      <c r="B1104" s="5">
        <f>IF(A1104="","",24)</f>
        <v/>
      </c>
      <c r="C1104" s="17" t="n">
        <v>46300</v>
      </c>
      <c r="D1104" s="5">
        <f>IF(A1104="","",IF(C1104=DATE(2026,11,29),"培训；注册午餐；早餐参数",IF(C1104=DATE(2026,11,30),"培训；注册午餐",IF(C1104=DATE(2026,12,1),"培训；注册午餐；机构晚餐",IF(C1104=Options!$B$9,"抵达；"&amp;IF(C1104=DATE(2026,11,28),"机构晚餐","无统一供餐"),IF(C1104=Options!$B$10,"返程；"&amp;IF(C1104=DATE(2026,12,2),"机构午餐","无统一供餐"),"差旅状态；无统一日程"))))))</f>
        <v/>
      </c>
      <c r="E1104" s="13">
        <f>IF(C1104=Options!$B$9,Options!$C$17,0)</f>
        <v/>
      </c>
      <c r="F1104" s="13">
        <f>IF(AND(A1104&lt;&gt;"",C1104&lt;Options!$B$10),B1104*Options!$X$6,0)</f>
        <v/>
      </c>
      <c r="G1104" s="13">
        <f>F1104*12%</f>
        <v/>
      </c>
      <c r="H1104" s="13">
        <f>IF(A1104="",0,B1104*(92*IF(OR(C1104=Options!$B$9,C1104=Options!$B$10),75%,100%)-IF(C1104=DATE(2026,11,29),26+IF(Options!$B$8="是",23,0),0)-IF(C1104=DATE(2026,11,30),26,0)-IF(C1104=DATE(2026,12,1),64,0)-IF(C1104=DATE(2026,11,28),38,0)-IF(C1104=DATE(2026,12,2),26,0)))</f>
        <v/>
      </c>
      <c r="I1104" s="13">
        <f>IF(AND(C1104&gt;=DATE(2026,11,29),C1104&lt;=DATE(2026,12,1)),B1104*60,0)</f>
        <v/>
      </c>
      <c r="J1104" s="13">
        <f>IF(A1104="",0,B1104*(IF(C1104=DATE(2026,11,28),38,0)+IF(C1104=DATE(2026,12,1),38,0)+IF(C1104=DATE(2026,12,2),26,0)))</f>
        <v/>
      </c>
      <c r="K1104" s="13">
        <f>IF(C1104=Options!$B$9,B1104*12,0)</f>
        <v/>
      </c>
      <c r="L1104" s="13">
        <f>IF(C1104=Options!$B$9,B1104*Options!$Z$6,0)</f>
        <v/>
      </c>
      <c r="M1104" s="13" t="n">
        <v>0</v>
      </c>
      <c r="N1104" s="13">
        <f>SUM(E1104:M1104)</f>
        <v/>
      </c>
    </row>
    <row r="1105">
      <c r="A1105" s="5">
        <f>IF(AND(C1105&gt;=Options!$B$9,C1105&lt;=Options!$B$10),"Denver","")</f>
        <v/>
      </c>
      <c r="B1105" s="5">
        <f>IF(A1105="","",24)</f>
        <v/>
      </c>
      <c r="C1105" s="17" t="n">
        <v>46301</v>
      </c>
      <c r="D1105" s="5">
        <f>IF(A1105="","",IF(C1105=DATE(2026,11,29),"培训；注册午餐；早餐参数",IF(C1105=DATE(2026,11,30),"培训；注册午餐",IF(C1105=DATE(2026,12,1),"培训；注册午餐；机构晚餐",IF(C1105=Options!$B$9,"抵达；"&amp;IF(C1105=DATE(2026,11,28),"机构晚餐","无统一供餐"),IF(C1105=Options!$B$10,"返程；"&amp;IF(C1105=DATE(2026,12,2),"机构午餐","无统一供餐"),"差旅状态；无统一日程"))))))</f>
        <v/>
      </c>
      <c r="E1105" s="13">
        <f>IF(C1105=Options!$B$9,Options!$C$17,0)</f>
        <v/>
      </c>
      <c r="F1105" s="13">
        <f>IF(AND(A1105&lt;&gt;"",C1105&lt;Options!$B$10),B1105*Options!$X$6,0)</f>
        <v/>
      </c>
      <c r="G1105" s="13">
        <f>F1105*12%</f>
        <v/>
      </c>
      <c r="H1105" s="13">
        <f>IF(A1105="",0,B1105*(92*IF(OR(C1105=Options!$B$9,C1105=Options!$B$10),75%,100%)-IF(C1105=DATE(2026,11,29),26+IF(Options!$B$8="是",23,0),0)-IF(C1105=DATE(2026,11,30),26,0)-IF(C1105=DATE(2026,12,1),64,0)-IF(C1105=DATE(2026,11,28),38,0)-IF(C1105=DATE(2026,12,2),26,0)))</f>
        <v/>
      </c>
      <c r="I1105" s="13">
        <f>IF(AND(C1105&gt;=DATE(2026,11,29),C1105&lt;=DATE(2026,12,1)),B1105*60,0)</f>
        <v/>
      </c>
      <c r="J1105" s="13">
        <f>IF(A1105="",0,B1105*(IF(C1105=DATE(2026,11,28),38,0)+IF(C1105=DATE(2026,12,1),38,0)+IF(C1105=DATE(2026,12,2),26,0)))</f>
        <v/>
      </c>
      <c r="K1105" s="13">
        <f>IF(C1105=Options!$B$9,B1105*12,0)</f>
        <v/>
      </c>
      <c r="L1105" s="13">
        <f>IF(C1105=Options!$B$9,B1105*Options!$Z$6,0)</f>
        <v/>
      </c>
      <c r="M1105" s="13" t="n">
        <v>0</v>
      </c>
      <c r="N1105" s="13">
        <f>SUM(E1105:M1105)</f>
        <v/>
      </c>
    </row>
    <row r="1106">
      <c r="A1106" s="5">
        <f>IF(AND(C1106&gt;=Options!$B$9,C1106&lt;=Options!$B$10),"Denver","")</f>
        <v/>
      </c>
      <c r="B1106" s="5">
        <f>IF(A1106="","",24)</f>
        <v/>
      </c>
      <c r="C1106" s="17" t="n">
        <v>46302</v>
      </c>
      <c r="D1106" s="5">
        <f>IF(A1106="","",IF(C1106=DATE(2026,11,29),"培训；注册午餐；早餐参数",IF(C1106=DATE(2026,11,30),"培训；注册午餐",IF(C1106=DATE(2026,12,1),"培训；注册午餐；机构晚餐",IF(C1106=Options!$B$9,"抵达；"&amp;IF(C1106=DATE(2026,11,28),"机构晚餐","无统一供餐"),IF(C1106=Options!$B$10,"返程；"&amp;IF(C1106=DATE(2026,12,2),"机构午餐","无统一供餐"),"差旅状态；无统一日程"))))))</f>
        <v/>
      </c>
      <c r="E1106" s="13">
        <f>IF(C1106=Options!$B$9,Options!$C$17,0)</f>
        <v/>
      </c>
      <c r="F1106" s="13">
        <f>IF(AND(A1106&lt;&gt;"",C1106&lt;Options!$B$10),B1106*Options!$X$6,0)</f>
        <v/>
      </c>
      <c r="G1106" s="13">
        <f>F1106*12%</f>
        <v/>
      </c>
      <c r="H1106" s="13">
        <f>IF(A1106="",0,B1106*(92*IF(OR(C1106=Options!$B$9,C1106=Options!$B$10),75%,100%)-IF(C1106=DATE(2026,11,29),26+IF(Options!$B$8="是",23,0),0)-IF(C1106=DATE(2026,11,30),26,0)-IF(C1106=DATE(2026,12,1),64,0)-IF(C1106=DATE(2026,11,28),38,0)-IF(C1106=DATE(2026,12,2),26,0)))</f>
        <v/>
      </c>
      <c r="I1106" s="13">
        <f>IF(AND(C1106&gt;=DATE(2026,11,29),C1106&lt;=DATE(2026,12,1)),B1106*60,0)</f>
        <v/>
      </c>
      <c r="J1106" s="13">
        <f>IF(A1106="",0,B1106*(IF(C1106=DATE(2026,11,28),38,0)+IF(C1106=DATE(2026,12,1),38,0)+IF(C1106=DATE(2026,12,2),26,0)))</f>
        <v/>
      </c>
      <c r="K1106" s="13">
        <f>IF(C1106=Options!$B$9,B1106*12,0)</f>
        <v/>
      </c>
      <c r="L1106" s="13">
        <f>IF(C1106=Options!$B$9,B1106*Options!$Z$6,0)</f>
        <v/>
      </c>
      <c r="M1106" s="13" t="n">
        <v>0</v>
      </c>
      <c r="N1106" s="13">
        <f>SUM(E1106:M1106)</f>
        <v/>
      </c>
    </row>
    <row r="1107">
      <c r="A1107" s="5">
        <f>IF(AND(C1107&gt;=Options!$B$9,C1107&lt;=Options!$B$10),"Denver","")</f>
        <v/>
      </c>
      <c r="B1107" s="5">
        <f>IF(A1107="","",24)</f>
        <v/>
      </c>
      <c r="C1107" s="17" t="n">
        <v>46303</v>
      </c>
      <c r="D1107" s="5">
        <f>IF(A1107="","",IF(C1107=DATE(2026,11,29),"培训；注册午餐；早餐参数",IF(C1107=DATE(2026,11,30),"培训；注册午餐",IF(C1107=DATE(2026,12,1),"培训；注册午餐；机构晚餐",IF(C1107=Options!$B$9,"抵达；"&amp;IF(C1107=DATE(2026,11,28),"机构晚餐","无统一供餐"),IF(C1107=Options!$B$10,"返程；"&amp;IF(C1107=DATE(2026,12,2),"机构午餐","无统一供餐"),"差旅状态；无统一日程"))))))</f>
        <v/>
      </c>
      <c r="E1107" s="13">
        <f>IF(C1107=Options!$B$9,Options!$C$17,0)</f>
        <v/>
      </c>
      <c r="F1107" s="13">
        <f>IF(AND(A1107&lt;&gt;"",C1107&lt;Options!$B$10),B1107*Options!$X$6,0)</f>
        <v/>
      </c>
      <c r="G1107" s="13">
        <f>F1107*12%</f>
        <v/>
      </c>
      <c r="H1107" s="13">
        <f>IF(A1107="",0,B1107*(92*IF(OR(C1107=Options!$B$9,C1107=Options!$B$10),75%,100%)-IF(C1107=DATE(2026,11,29),26+IF(Options!$B$8="是",23,0),0)-IF(C1107=DATE(2026,11,30),26,0)-IF(C1107=DATE(2026,12,1),64,0)-IF(C1107=DATE(2026,11,28),38,0)-IF(C1107=DATE(2026,12,2),26,0)))</f>
        <v/>
      </c>
      <c r="I1107" s="13">
        <f>IF(AND(C1107&gt;=DATE(2026,11,29),C1107&lt;=DATE(2026,12,1)),B1107*60,0)</f>
        <v/>
      </c>
      <c r="J1107" s="13">
        <f>IF(A1107="",0,B1107*(IF(C1107=DATE(2026,11,28),38,0)+IF(C1107=DATE(2026,12,1),38,0)+IF(C1107=DATE(2026,12,2),26,0)))</f>
        <v/>
      </c>
      <c r="K1107" s="13">
        <f>IF(C1107=Options!$B$9,B1107*12,0)</f>
        <v/>
      </c>
      <c r="L1107" s="13">
        <f>IF(C1107=Options!$B$9,B1107*Options!$Z$6,0)</f>
        <v/>
      </c>
      <c r="M1107" s="13" t="n">
        <v>0</v>
      </c>
      <c r="N1107" s="13">
        <f>SUM(E1107:M1107)</f>
        <v/>
      </c>
    </row>
    <row r="1108">
      <c r="A1108" s="5">
        <f>IF(AND(C1108&gt;=Options!$B$9,C1108&lt;=Options!$B$10),"Denver","")</f>
        <v/>
      </c>
      <c r="B1108" s="5">
        <f>IF(A1108="","",24)</f>
        <v/>
      </c>
      <c r="C1108" s="17" t="n">
        <v>46304</v>
      </c>
      <c r="D1108" s="5">
        <f>IF(A1108="","",IF(C1108=DATE(2026,11,29),"培训；注册午餐；早餐参数",IF(C1108=DATE(2026,11,30),"培训；注册午餐",IF(C1108=DATE(2026,12,1),"培训；注册午餐；机构晚餐",IF(C1108=Options!$B$9,"抵达；"&amp;IF(C1108=DATE(2026,11,28),"机构晚餐","无统一供餐"),IF(C1108=Options!$B$10,"返程；"&amp;IF(C1108=DATE(2026,12,2),"机构午餐","无统一供餐"),"差旅状态；无统一日程"))))))</f>
        <v/>
      </c>
      <c r="E1108" s="13">
        <f>IF(C1108=Options!$B$9,Options!$C$17,0)</f>
        <v/>
      </c>
      <c r="F1108" s="13">
        <f>IF(AND(A1108&lt;&gt;"",C1108&lt;Options!$B$10),B1108*Options!$X$6,0)</f>
        <v/>
      </c>
      <c r="G1108" s="13">
        <f>F1108*12%</f>
        <v/>
      </c>
      <c r="H1108" s="13">
        <f>IF(A1108="",0,B1108*(92*IF(OR(C1108=Options!$B$9,C1108=Options!$B$10),75%,100%)-IF(C1108=DATE(2026,11,29),26+IF(Options!$B$8="是",23,0),0)-IF(C1108=DATE(2026,11,30),26,0)-IF(C1108=DATE(2026,12,1),64,0)-IF(C1108=DATE(2026,11,28),38,0)-IF(C1108=DATE(2026,12,2),26,0)))</f>
        <v/>
      </c>
      <c r="I1108" s="13">
        <f>IF(AND(C1108&gt;=DATE(2026,11,29),C1108&lt;=DATE(2026,12,1)),B1108*60,0)</f>
        <v/>
      </c>
      <c r="J1108" s="13">
        <f>IF(A1108="",0,B1108*(IF(C1108=DATE(2026,11,28),38,0)+IF(C1108=DATE(2026,12,1),38,0)+IF(C1108=DATE(2026,12,2),26,0)))</f>
        <v/>
      </c>
      <c r="K1108" s="13">
        <f>IF(C1108=Options!$B$9,B1108*12,0)</f>
        <v/>
      </c>
      <c r="L1108" s="13">
        <f>IF(C1108=Options!$B$9,B1108*Options!$Z$6,0)</f>
        <v/>
      </c>
      <c r="M1108" s="13" t="n">
        <v>0</v>
      </c>
      <c r="N1108" s="13">
        <f>SUM(E1108:M1108)</f>
        <v/>
      </c>
    </row>
    <row r="1109">
      <c r="A1109" s="5">
        <f>IF(AND(C1109&gt;=Options!$B$9,C1109&lt;=Options!$B$10),"Denver","")</f>
        <v/>
      </c>
      <c r="B1109" s="5">
        <f>IF(A1109="","",24)</f>
        <v/>
      </c>
      <c r="C1109" s="17" t="n">
        <v>46305</v>
      </c>
      <c r="D1109" s="5">
        <f>IF(A1109="","",IF(C1109=DATE(2026,11,29),"培训；注册午餐；早餐参数",IF(C1109=DATE(2026,11,30),"培训；注册午餐",IF(C1109=DATE(2026,12,1),"培训；注册午餐；机构晚餐",IF(C1109=Options!$B$9,"抵达；"&amp;IF(C1109=DATE(2026,11,28),"机构晚餐","无统一供餐"),IF(C1109=Options!$B$10,"返程；"&amp;IF(C1109=DATE(2026,12,2),"机构午餐","无统一供餐"),"差旅状态；无统一日程"))))))</f>
        <v/>
      </c>
      <c r="E1109" s="13">
        <f>IF(C1109=Options!$B$9,Options!$C$17,0)</f>
        <v/>
      </c>
      <c r="F1109" s="13">
        <f>IF(AND(A1109&lt;&gt;"",C1109&lt;Options!$B$10),B1109*Options!$X$6,0)</f>
        <v/>
      </c>
      <c r="G1109" s="13">
        <f>F1109*12%</f>
        <v/>
      </c>
      <c r="H1109" s="13">
        <f>IF(A1109="",0,B1109*(92*IF(OR(C1109=Options!$B$9,C1109=Options!$B$10),75%,100%)-IF(C1109=DATE(2026,11,29),26+IF(Options!$B$8="是",23,0),0)-IF(C1109=DATE(2026,11,30),26,0)-IF(C1109=DATE(2026,12,1),64,0)-IF(C1109=DATE(2026,11,28),38,0)-IF(C1109=DATE(2026,12,2),26,0)))</f>
        <v/>
      </c>
      <c r="I1109" s="13">
        <f>IF(AND(C1109&gt;=DATE(2026,11,29),C1109&lt;=DATE(2026,12,1)),B1109*60,0)</f>
        <v/>
      </c>
      <c r="J1109" s="13">
        <f>IF(A1109="",0,B1109*(IF(C1109=DATE(2026,11,28),38,0)+IF(C1109=DATE(2026,12,1),38,0)+IF(C1109=DATE(2026,12,2),26,0)))</f>
        <v/>
      </c>
      <c r="K1109" s="13">
        <f>IF(C1109=Options!$B$9,B1109*12,0)</f>
        <v/>
      </c>
      <c r="L1109" s="13">
        <f>IF(C1109=Options!$B$9,B1109*Options!$Z$6,0)</f>
        <v/>
      </c>
      <c r="M1109" s="13" t="n">
        <v>0</v>
      </c>
      <c r="N1109" s="13">
        <f>SUM(E1109:M1109)</f>
        <v/>
      </c>
    </row>
    <row r="1110">
      <c r="A1110" s="5">
        <f>IF(AND(C1110&gt;=Options!$B$9,C1110&lt;=Options!$B$10),"Denver","")</f>
        <v/>
      </c>
      <c r="B1110" s="5">
        <f>IF(A1110="","",24)</f>
        <v/>
      </c>
      <c r="C1110" s="17" t="n">
        <v>46306</v>
      </c>
      <c r="D1110" s="5">
        <f>IF(A1110="","",IF(C1110=DATE(2026,11,29),"培训；注册午餐；早餐参数",IF(C1110=DATE(2026,11,30),"培训；注册午餐",IF(C1110=DATE(2026,12,1),"培训；注册午餐；机构晚餐",IF(C1110=Options!$B$9,"抵达；"&amp;IF(C1110=DATE(2026,11,28),"机构晚餐","无统一供餐"),IF(C1110=Options!$B$10,"返程；"&amp;IF(C1110=DATE(2026,12,2),"机构午餐","无统一供餐"),"差旅状态；无统一日程"))))))</f>
        <v/>
      </c>
      <c r="E1110" s="13">
        <f>IF(C1110=Options!$B$9,Options!$C$17,0)</f>
        <v/>
      </c>
      <c r="F1110" s="13">
        <f>IF(AND(A1110&lt;&gt;"",C1110&lt;Options!$B$10),B1110*Options!$X$6,0)</f>
        <v/>
      </c>
      <c r="G1110" s="13">
        <f>F1110*12%</f>
        <v/>
      </c>
      <c r="H1110" s="13">
        <f>IF(A1110="",0,B1110*(92*IF(OR(C1110=Options!$B$9,C1110=Options!$B$10),75%,100%)-IF(C1110=DATE(2026,11,29),26+IF(Options!$B$8="是",23,0),0)-IF(C1110=DATE(2026,11,30),26,0)-IF(C1110=DATE(2026,12,1),64,0)-IF(C1110=DATE(2026,11,28),38,0)-IF(C1110=DATE(2026,12,2),26,0)))</f>
        <v/>
      </c>
      <c r="I1110" s="13">
        <f>IF(AND(C1110&gt;=DATE(2026,11,29),C1110&lt;=DATE(2026,12,1)),B1110*60,0)</f>
        <v/>
      </c>
      <c r="J1110" s="13">
        <f>IF(A1110="",0,B1110*(IF(C1110=DATE(2026,11,28),38,0)+IF(C1110=DATE(2026,12,1),38,0)+IF(C1110=DATE(2026,12,2),26,0)))</f>
        <v/>
      </c>
      <c r="K1110" s="13">
        <f>IF(C1110=Options!$B$9,B1110*12,0)</f>
        <v/>
      </c>
      <c r="L1110" s="13">
        <f>IF(C1110=Options!$B$9,B1110*Options!$Z$6,0)</f>
        <v/>
      </c>
      <c r="M1110" s="13" t="n">
        <v>0</v>
      </c>
      <c r="N1110" s="13">
        <f>SUM(E1110:M1110)</f>
        <v/>
      </c>
    </row>
    <row r="1111">
      <c r="A1111" s="5">
        <f>IF(AND(C1111&gt;=Options!$B$9,C1111&lt;=Options!$B$10),"Denver","")</f>
        <v/>
      </c>
      <c r="B1111" s="5">
        <f>IF(A1111="","",24)</f>
        <v/>
      </c>
      <c r="C1111" s="17" t="n">
        <v>46307</v>
      </c>
      <c r="D1111" s="5">
        <f>IF(A1111="","",IF(C1111=DATE(2026,11,29),"培训；注册午餐；早餐参数",IF(C1111=DATE(2026,11,30),"培训；注册午餐",IF(C1111=DATE(2026,12,1),"培训；注册午餐；机构晚餐",IF(C1111=Options!$B$9,"抵达；"&amp;IF(C1111=DATE(2026,11,28),"机构晚餐","无统一供餐"),IF(C1111=Options!$B$10,"返程；"&amp;IF(C1111=DATE(2026,12,2),"机构午餐","无统一供餐"),"差旅状态；无统一日程"))))))</f>
        <v/>
      </c>
      <c r="E1111" s="13">
        <f>IF(C1111=Options!$B$9,Options!$C$17,0)</f>
        <v/>
      </c>
      <c r="F1111" s="13">
        <f>IF(AND(A1111&lt;&gt;"",C1111&lt;Options!$B$10),B1111*Options!$X$6,0)</f>
        <v/>
      </c>
      <c r="G1111" s="13">
        <f>F1111*12%</f>
        <v/>
      </c>
      <c r="H1111" s="13">
        <f>IF(A1111="",0,B1111*(92*IF(OR(C1111=Options!$B$9,C1111=Options!$B$10),75%,100%)-IF(C1111=DATE(2026,11,29),26+IF(Options!$B$8="是",23,0),0)-IF(C1111=DATE(2026,11,30),26,0)-IF(C1111=DATE(2026,12,1),64,0)-IF(C1111=DATE(2026,11,28),38,0)-IF(C1111=DATE(2026,12,2),26,0)))</f>
        <v/>
      </c>
      <c r="I1111" s="13">
        <f>IF(AND(C1111&gt;=DATE(2026,11,29),C1111&lt;=DATE(2026,12,1)),B1111*60,0)</f>
        <v/>
      </c>
      <c r="J1111" s="13">
        <f>IF(A1111="",0,B1111*(IF(C1111=DATE(2026,11,28),38,0)+IF(C1111=DATE(2026,12,1),38,0)+IF(C1111=DATE(2026,12,2),26,0)))</f>
        <v/>
      </c>
      <c r="K1111" s="13">
        <f>IF(C1111=Options!$B$9,B1111*12,0)</f>
        <v/>
      </c>
      <c r="L1111" s="13">
        <f>IF(C1111=Options!$B$9,B1111*Options!$Z$6,0)</f>
        <v/>
      </c>
      <c r="M1111" s="13" t="n">
        <v>0</v>
      </c>
      <c r="N1111" s="13">
        <f>SUM(E1111:M1111)</f>
        <v/>
      </c>
    </row>
    <row r="1112">
      <c r="A1112" s="5">
        <f>IF(AND(C1112&gt;=Options!$B$9,C1112&lt;=Options!$B$10),"Denver","")</f>
        <v/>
      </c>
      <c r="B1112" s="5">
        <f>IF(A1112="","",24)</f>
        <v/>
      </c>
      <c r="C1112" s="17" t="n">
        <v>46308</v>
      </c>
      <c r="D1112" s="5">
        <f>IF(A1112="","",IF(C1112=DATE(2026,11,29),"培训；注册午餐；早餐参数",IF(C1112=DATE(2026,11,30),"培训；注册午餐",IF(C1112=DATE(2026,12,1),"培训；注册午餐；机构晚餐",IF(C1112=Options!$B$9,"抵达；"&amp;IF(C1112=DATE(2026,11,28),"机构晚餐","无统一供餐"),IF(C1112=Options!$B$10,"返程；"&amp;IF(C1112=DATE(2026,12,2),"机构午餐","无统一供餐"),"差旅状态；无统一日程"))))))</f>
        <v/>
      </c>
      <c r="E1112" s="13">
        <f>IF(C1112=Options!$B$9,Options!$C$17,0)</f>
        <v/>
      </c>
      <c r="F1112" s="13">
        <f>IF(AND(A1112&lt;&gt;"",C1112&lt;Options!$B$10),B1112*Options!$X$6,0)</f>
        <v/>
      </c>
      <c r="G1112" s="13">
        <f>F1112*12%</f>
        <v/>
      </c>
      <c r="H1112" s="13">
        <f>IF(A1112="",0,B1112*(92*IF(OR(C1112=Options!$B$9,C1112=Options!$B$10),75%,100%)-IF(C1112=DATE(2026,11,29),26+IF(Options!$B$8="是",23,0),0)-IF(C1112=DATE(2026,11,30),26,0)-IF(C1112=DATE(2026,12,1),64,0)-IF(C1112=DATE(2026,11,28),38,0)-IF(C1112=DATE(2026,12,2),26,0)))</f>
        <v/>
      </c>
      <c r="I1112" s="13">
        <f>IF(AND(C1112&gt;=DATE(2026,11,29),C1112&lt;=DATE(2026,12,1)),B1112*60,0)</f>
        <v/>
      </c>
      <c r="J1112" s="13">
        <f>IF(A1112="",0,B1112*(IF(C1112=DATE(2026,11,28),38,0)+IF(C1112=DATE(2026,12,1),38,0)+IF(C1112=DATE(2026,12,2),26,0)))</f>
        <v/>
      </c>
      <c r="K1112" s="13">
        <f>IF(C1112=Options!$B$9,B1112*12,0)</f>
        <v/>
      </c>
      <c r="L1112" s="13">
        <f>IF(C1112=Options!$B$9,B1112*Options!$Z$6,0)</f>
        <v/>
      </c>
      <c r="M1112" s="13" t="n">
        <v>0</v>
      </c>
      <c r="N1112" s="13">
        <f>SUM(E1112:M1112)</f>
        <v/>
      </c>
    </row>
    <row r="1113">
      <c r="A1113" s="5">
        <f>IF(AND(C1113&gt;=Options!$B$9,C1113&lt;=Options!$B$10),"Denver","")</f>
        <v/>
      </c>
      <c r="B1113" s="5">
        <f>IF(A1113="","",24)</f>
        <v/>
      </c>
      <c r="C1113" s="17" t="n">
        <v>46309</v>
      </c>
      <c r="D1113" s="5">
        <f>IF(A1113="","",IF(C1113=DATE(2026,11,29),"培训；注册午餐；早餐参数",IF(C1113=DATE(2026,11,30),"培训；注册午餐",IF(C1113=DATE(2026,12,1),"培训；注册午餐；机构晚餐",IF(C1113=Options!$B$9,"抵达；"&amp;IF(C1113=DATE(2026,11,28),"机构晚餐","无统一供餐"),IF(C1113=Options!$B$10,"返程；"&amp;IF(C1113=DATE(2026,12,2),"机构午餐","无统一供餐"),"差旅状态；无统一日程"))))))</f>
        <v/>
      </c>
      <c r="E1113" s="13">
        <f>IF(C1113=Options!$B$9,Options!$C$17,0)</f>
        <v/>
      </c>
      <c r="F1113" s="13">
        <f>IF(AND(A1113&lt;&gt;"",C1113&lt;Options!$B$10),B1113*Options!$X$6,0)</f>
        <v/>
      </c>
      <c r="G1113" s="13">
        <f>F1113*12%</f>
        <v/>
      </c>
      <c r="H1113" s="13">
        <f>IF(A1113="",0,B1113*(92*IF(OR(C1113=Options!$B$9,C1113=Options!$B$10),75%,100%)-IF(C1113=DATE(2026,11,29),26+IF(Options!$B$8="是",23,0),0)-IF(C1113=DATE(2026,11,30),26,0)-IF(C1113=DATE(2026,12,1),64,0)-IF(C1113=DATE(2026,11,28),38,0)-IF(C1113=DATE(2026,12,2),26,0)))</f>
        <v/>
      </c>
      <c r="I1113" s="13">
        <f>IF(AND(C1113&gt;=DATE(2026,11,29),C1113&lt;=DATE(2026,12,1)),B1113*60,0)</f>
        <v/>
      </c>
      <c r="J1113" s="13">
        <f>IF(A1113="",0,B1113*(IF(C1113=DATE(2026,11,28),38,0)+IF(C1113=DATE(2026,12,1),38,0)+IF(C1113=DATE(2026,12,2),26,0)))</f>
        <v/>
      </c>
      <c r="K1113" s="13">
        <f>IF(C1113=Options!$B$9,B1113*12,0)</f>
        <v/>
      </c>
      <c r="L1113" s="13">
        <f>IF(C1113=Options!$B$9,B1113*Options!$Z$6,0)</f>
        <v/>
      </c>
      <c r="M1113" s="13" t="n">
        <v>0</v>
      </c>
      <c r="N1113" s="13">
        <f>SUM(E1113:M1113)</f>
        <v/>
      </c>
    </row>
    <row r="1114">
      <c r="A1114" s="5">
        <f>IF(AND(C1114&gt;=Options!$B$9,C1114&lt;=Options!$B$10),"Denver","")</f>
        <v/>
      </c>
      <c r="B1114" s="5">
        <f>IF(A1114="","",24)</f>
        <v/>
      </c>
      <c r="C1114" s="17" t="n">
        <v>46310</v>
      </c>
      <c r="D1114" s="5">
        <f>IF(A1114="","",IF(C1114=DATE(2026,11,29),"培训；注册午餐；早餐参数",IF(C1114=DATE(2026,11,30),"培训；注册午餐",IF(C1114=DATE(2026,12,1),"培训；注册午餐；机构晚餐",IF(C1114=Options!$B$9,"抵达；"&amp;IF(C1114=DATE(2026,11,28),"机构晚餐","无统一供餐"),IF(C1114=Options!$B$10,"返程；"&amp;IF(C1114=DATE(2026,12,2),"机构午餐","无统一供餐"),"差旅状态；无统一日程"))))))</f>
        <v/>
      </c>
      <c r="E1114" s="13">
        <f>IF(C1114=Options!$B$9,Options!$C$17,0)</f>
        <v/>
      </c>
      <c r="F1114" s="13">
        <f>IF(AND(A1114&lt;&gt;"",C1114&lt;Options!$B$10),B1114*Options!$X$6,0)</f>
        <v/>
      </c>
      <c r="G1114" s="13">
        <f>F1114*12%</f>
        <v/>
      </c>
      <c r="H1114" s="13">
        <f>IF(A1114="",0,B1114*(92*IF(OR(C1114=Options!$B$9,C1114=Options!$B$10),75%,100%)-IF(C1114=DATE(2026,11,29),26+IF(Options!$B$8="是",23,0),0)-IF(C1114=DATE(2026,11,30),26,0)-IF(C1114=DATE(2026,12,1),64,0)-IF(C1114=DATE(2026,11,28),38,0)-IF(C1114=DATE(2026,12,2),26,0)))</f>
        <v/>
      </c>
      <c r="I1114" s="13">
        <f>IF(AND(C1114&gt;=DATE(2026,11,29),C1114&lt;=DATE(2026,12,1)),B1114*60,0)</f>
        <v/>
      </c>
      <c r="J1114" s="13">
        <f>IF(A1114="",0,B1114*(IF(C1114=DATE(2026,11,28),38,0)+IF(C1114=DATE(2026,12,1),38,0)+IF(C1114=DATE(2026,12,2),26,0)))</f>
        <v/>
      </c>
      <c r="K1114" s="13">
        <f>IF(C1114=Options!$B$9,B1114*12,0)</f>
        <v/>
      </c>
      <c r="L1114" s="13">
        <f>IF(C1114=Options!$B$9,B1114*Options!$Z$6,0)</f>
        <v/>
      </c>
      <c r="M1114" s="13" t="n">
        <v>0</v>
      </c>
      <c r="N1114" s="13">
        <f>SUM(E1114:M1114)</f>
        <v/>
      </c>
    </row>
    <row r="1115">
      <c r="A1115" s="5">
        <f>IF(AND(C1115&gt;=Options!$B$9,C1115&lt;=Options!$B$10),"Denver","")</f>
        <v/>
      </c>
      <c r="B1115" s="5">
        <f>IF(A1115="","",24)</f>
        <v/>
      </c>
      <c r="C1115" s="17" t="n">
        <v>46311</v>
      </c>
      <c r="D1115" s="5">
        <f>IF(A1115="","",IF(C1115=DATE(2026,11,29),"培训；注册午餐；早餐参数",IF(C1115=DATE(2026,11,30),"培训；注册午餐",IF(C1115=DATE(2026,12,1),"培训；注册午餐；机构晚餐",IF(C1115=Options!$B$9,"抵达；"&amp;IF(C1115=DATE(2026,11,28),"机构晚餐","无统一供餐"),IF(C1115=Options!$B$10,"返程；"&amp;IF(C1115=DATE(2026,12,2),"机构午餐","无统一供餐"),"差旅状态；无统一日程"))))))</f>
        <v/>
      </c>
      <c r="E1115" s="13">
        <f>IF(C1115=Options!$B$9,Options!$C$17,0)</f>
        <v/>
      </c>
      <c r="F1115" s="13">
        <f>IF(AND(A1115&lt;&gt;"",C1115&lt;Options!$B$10),B1115*Options!$X$6,0)</f>
        <v/>
      </c>
      <c r="G1115" s="13">
        <f>F1115*12%</f>
        <v/>
      </c>
      <c r="H1115" s="13">
        <f>IF(A1115="",0,B1115*(92*IF(OR(C1115=Options!$B$9,C1115=Options!$B$10),75%,100%)-IF(C1115=DATE(2026,11,29),26+IF(Options!$B$8="是",23,0),0)-IF(C1115=DATE(2026,11,30),26,0)-IF(C1115=DATE(2026,12,1),64,0)-IF(C1115=DATE(2026,11,28),38,0)-IF(C1115=DATE(2026,12,2),26,0)))</f>
        <v/>
      </c>
      <c r="I1115" s="13">
        <f>IF(AND(C1115&gt;=DATE(2026,11,29),C1115&lt;=DATE(2026,12,1)),B1115*60,0)</f>
        <v/>
      </c>
      <c r="J1115" s="13">
        <f>IF(A1115="",0,B1115*(IF(C1115=DATE(2026,11,28),38,0)+IF(C1115=DATE(2026,12,1),38,0)+IF(C1115=DATE(2026,12,2),26,0)))</f>
        <v/>
      </c>
      <c r="K1115" s="13">
        <f>IF(C1115=Options!$B$9,B1115*12,0)</f>
        <v/>
      </c>
      <c r="L1115" s="13">
        <f>IF(C1115=Options!$B$9,B1115*Options!$Z$6,0)</f>
        <v/>
      </c>
      <c r="M1115" s="13" t="n">
        <v>0</v>
      </c>
      <c r="N1115" s="13">
        <f>SUM(E1115:M1115)</f>
        <v/>
      </c>
    </row>
    <row r="1116">
      <c r="A1116" s="5">
        <f>IF(AND(C1116&gt;=Options!$B$9,C1116&lt;=Options!$B$10),"Denver","")</f>
        <v/>
      </c>
      <c r="B1116" s="5">
        <f>IF(A1116="","",24)</f>
        <v/>
      </c>
      <c r="C1116" s="17" t="n">
        <v>46312</v>
      </c>
      <c r="D1116" s="5">
        <f>IF(A1116="","",IF(C1116=DATE(2026,11,29),"培训；注册午餐；早餐参数",IF(C1116=DATE(2026,11,30),"培训；注册午餐",IF(C1116=DATE(2026,12,1),"培训；注册午餐；机构晚餐",IF(C1116=Options!$B$9,"抵达；"&amp;IF(C1116=DATE(2026,11,28),"机构晚餐","无统一供餐"),IF(C1116=Options!$B$10,"返程；"&amp;IF(C1116=DATE(2026,12,2),"机构午餐","无统一供餐"),"差旅状态；无统一日程"))))))</f>
        <v/>
      </c>
      <c r="E1116" s="13">
        <f>IF(C1116=Options!$B$9,Options!$C$17,0)</f>
        <v/>
      </c>
      <c r="F1116" s="13">
        <f>IF(AND(A1116&lt;&gt;"",C1116&lt;Options!$B$10),B1116*Options!$X$6,0)</f>
        <v/>
      </c>
      <c r="G1116" s="13">
        <f>F1116*12%</f>
        <v/>
      </c>
      <c r="H1116" s="13">
        <f>IF(A1116="",0,B1116*(92*IF(OR(C1116=Options!$B$9,C1116=Options!$B$10),75%,100%)-IF(C1116=DATE(2026,11,29),26+IF(Options!$B$8="是",23,0),0)-IF(C1116=DATE(2026,11,30),26,0)-IF(C1116=DATE(2026,12,1),64,0)-IF(C1116=DATE(2026,11,28),38,0)-IF(C1116=DATE(2026,12,2),26,0)))</f>
        <v/>
      </c>
      <c r="I1116" s="13">
        <f>IF(AND(C1116&gt;=DATE(2026,11,29),C1116&lt;=DATE(2026,12,1)),B1116*60,0)</f>
        <v/>
      </c>
      <c r="J1116" s="13">
        <f>IF(A1116="",0,B1116*(IF(C1116=DATE(2026,11,28),38,0)+IF(C1116=DATE(2026,12,1),38,0)+IF(C1116=DATE(2026,12,2),26,0)))</f>
        <v/>
      </c>
      <c r="K1116" s="13">
        <f>IF(C1116=Options!$B$9,B1116*12,0)</f>
        <v/>
      </c>
      <c r="L1116" s="13">
        <f>IF(C1116=Options!$B$9,B1116*Options!$Z$6,0)</f>
        <v/>
      </c>
      <c r="M1116" s="13" t="n">
        <v>0</v>
      </c>
      <c r="N1116" s="13">
        <f>SUM(E1116:M1116)</f>
        <v/>
      </c>
    </row>
    <row r="1117">
      <c r="A1117" s="5">
        <f>IF(AND(C1117&gt;=Options!$B$9,C1117&lt;=Options!$B$10),"Denver","")</f>
        <v/>
      </c>
      <c r="B1117" s="5">
        <f>IF(A1117="","",24)</f>
        <v/>
      </c>
      <c r="C1117" s="17" t="n">
        <v>46313</v>
      </c>
      <c r="D1117" s="5">
        <f>IF(A1117="","",IF(C1117=DATE(2026,11,29),"培训；注册午餐；早餐参数",IF(C1117=DATE(2026,11,30),"培训；注册午餐",IF(C1117=DATE(2026,12,1),"培训；注册午餐；机构晚餐",IF(C1117=Options!$B$9,"抵达；"&amp;IF(C1117=DATE(2026,11,28),"机构晚餐","无统一供餐"),IF(C1117=Options!$B$10,"返程；"&amp;IF(C1117=DATE(2026,12,2),"机构午餐","无统一供餐"),"差旅状态；无统一日程"))))))</f>
        <v/>
      </c>
      <c r="E1117" s="13">
        <f>IF(C1117=Options!$B$9,Options!$C$17,0)</f>
        <v/>
      </c>
      <c r="F1117" s="13">
        <f>IF(AND(A1117&lt;&gt;"",C1117&lt;Options!$B$10),B1117*Options!$X$6,0)</f>
        <v/>
      </c>
      <c r="G1117" s="13">
        <f>F1117*12%</f>
        <v/>
      </c>
      <c r="H1117" s="13">
        <f>IF(A1117="",0,B1117*(92*IF(OR(C1117=Options!$B$9,C1117=Options!$B$10),75%,100%)-IF(C1117=DATE(2026,11,29),26+IF(Options!$B$8="是",23,0),0)-IF(C1117=DATE(2026,11,30),26,0)-IF(C1117=DATE(2026,12,1),64,0)-IF(C1117=DATE(2026,11,28),38,0)-IF(C1117=DATE(2026,12,2),26,0)))</f>
        <v/>
      </c>
      <c r="I1117" s="13">
        <f>IF(AND(C1117&gt;=DATE(2026,11,29),C1117&lt;=DATE(2026,12,1)),B1117*60,0)</f>
        <v/>
      </c>
      <c r="J1117" s="13">
        <f>IF(A1117="",0,B1117*(IF(C1117=DATE(2026,11,28),38,0)+IF(C1117=DATE(2026,12,1),38,0)+IF(C1117=DATE(2026,12,2),26,0)))</f>
        <v/>
      </c>
      <c r="K1117" s="13">
        <f>IF(C1117=Options!$B$9,B1117*12,0)</f>
        <v/>
      </c>
      <c r="L1117" s="13">
        <f>IF(C1117=Options!$B$9,B1117*Options!$Z$6,0)</f>
        <v/>
      </c>
      <c r="M1117" s="13" t="n">
        <v>0</v>
      </c>
      <c r="N1117" s="13">
        <f>SUM(E1117:M1117)</f>
        <v/>
      </c>
    </row>
    <row r="1118">
      <c r="A1118" s="5">
        <f>IF(AND(C1118&gt;=Options!$B$9,C1118&lt;=Options!$B$10),"Denver","")</f>
        <v/>
      </c>
      <c r="B1118" s="5">
        <f>IF(A1118="","",24)</f>
        <v/>
      </c>
      <c r="C1118" s="17" t="n">
        <v>46314</v>
      </c>
      <c r="D1118" s="5">
        <f>IF(A1118="","",IF(C1118=DATE(2026,11,29),"培训；注册午餐；早餐参数",IF(C1118=DATE(2026,11,30),"培训；注册午餐",IF(C1118=DATE(2026,12,1),"培训；注册午餐；机构晚餐",IF(C1118=Options!$B$9,"抵达；"&amp;IF(C1118=DATE(2026,11,28),"机构晚餐","无统一供餐"),IF(C1118=Options!$B$10,"返程；"&amp;IF(C1118=DATE(2026,12,2),"机构午餐","无统一供餐"),"差旅状态；无统一日程"))))))</f>
        <v/>
      </c>
      <c r="E1118" s="13">
        <f>IF(C1118=Options!$B$9,Options!$C$17,0)</f>
        <v/>
      </c>
      <c r="F1118" s="13">
        <f>IF(AND(A1118&lt;&gt;"",C1118&lt;Options!$B$10),B1118*Options!$X$6,0)</f>
        <v/>
      </c>
      <c r="G1118" s="13">
        <f>F1118*12%</f>
        <v/>
      </c>
      <c r="H1118" s="13">
        <f>IF(A1118="",0,B1118*(92*IF(OR(C1118=Options!$B$9,C1118=Options!$B$10),75%,100%)-IF(C1118=DATE(2026,11,29),26+IF(Options!$B$8="是",23,0),0)-IF(C1118=DATE(2026,11,30),26,0)-IF(C1118=DATE(2026,12,1),64,0)-IF(C1118=DATE(2026,11,28),38,0)-IF(C1118=DATE(2026,12,2),26,0)))</f>
        <v/>
      </c>
      <c r="I1118" s="13">
        <f>IF(AND(C1118&gt;=DATE(2026,11,29),C1118&lt;=DATE(2026,12,1)),B1118*60,0)</f>
        <v/>
      </c>
      <c r="J1118" s="13">
        <f>IF(A1118="",0,B1118*(IF(C1118=DATE(2026,11,28),38,0)+IF(C1118=DATE(2026,12,1),38,0)+IF(C1118=DATE(2026,12,2),26,0)))</f>
        <v/>
      </c>
      <c r="K1118" s="13">
        <f>IF(C1118=Options!$B$9,B1118*12,0)</f>
        <v/>
      </c>
      <c r="L1118" s="13">
        <f>IF(C1118=Options!$B$9,B1118*Options!$Z$6,0)</f>
        <v/>
      </c>
      <c r="M1118" s="13" t="n">
        <v>0</v>
      </c>
      <c r="N1118" s="13">
        <f>SUM(E1118:M1118)</f>
        <v/>
      </c>
    </row>
    <row r="1119">
      <c r="A1119" s="5">
        <f>IF(AND(C1119&gt;=Options!$B$9,C1119&lt;=Options!$B$10),"Denver","")</f>
        <v/>
      </c>
      <c r="B1119" s="5">
        <f>IF(A1119="","",24)</f>
        <v/>
      </c>
      <c r="C1119" s="17" t="n">
        <v>46315</v>
      </c>
      <c r="D1119" s="5">
        <f>IF(A1119="","",IF(C1119=DATE(2026,11,29),"培训；注册午餐；早餐参数",IF(C1119=DATE(2026,11,30),"培训；注册午餐",IF(C1119=DATE(2026,12,1),"培训；注册午餐；机构晚餐",IF(C1119=Options!$B$9,"抵达；"&amp;IF(C1119=DATE(2026,11,28),"机构晚餐","无统一供餐"),IF(C1119=Options!$B$10,"返程；"&amp;IF(C1119=DATE(2026,12,2),"机构午餐","无统一供餐"),"差旅状态；无统一日程"))))))</f>
        <v/>
      </c>
      <c r="E1119" s="13">
        <f>IF(C1119=Options!$B$9,Options!$C$17,0)</f>
        <v/>
      </c>
      <c r="F1119" s="13">
        <f>IF(AND(A1119&lt;&gt;"",C1119&lt;Options!$B$10),B1119*Options!$X$6,0)</f>
        <v/>
      </c>
      <c r="G1119" s="13">
        <f>F1119*12%</f>
        <v/>
      </c>
      <c r="H1119" s="13">
        <f>IF(A1119="",0,B1119*(92*IF(OR(C1119=Options!$B$9,C1119=Options!$B$10),75%,100%)-IF(C1119=DATE(2026,11,29),26+IF(Options!$B$8="是",23,0),0)-IF(C1119=DATE(2026,11,30),26,0)-IF(C1119=DATE(2026,12,1),64,0)-IF(C1119=DATE(2026,11,28),38,0)-IF(C1119=DATE(2026,12,2),26,0)))</f>
        <v/>
      </c>
      <c r="I1119" s="13">
        <f>IF(AND(C1119&gt;=DATE(2026,11,29),C1119&lt;=DATE(2026,12,1)),B1119*60,0)</f>
        <v/>
      </c>
      <c r="J1119" s="13">
        <f>IF(A1119="",0,B1119*(IF(C1119=DATE(2026,11,28),38,0)+IF(C1119=DATE(2026,12,1),38,0)+IF(C1119=DATE(2026,12,2),26,0)))</f>
        <v/>
      </c>
      <c r="K1119" s="13">
        <f>IF(C1119=Options!$B$9,B1119*12,0)</f>
        <v/>
      </c>
      <c r="L1119" s="13">
        <f>IF(C1119=Options!$B$9,B1119*Options!$Z$6,0)</f>
        <v/>
      </c>
      <c r="M1119" s="13" t="n">
        <v>0</v>
      </c>
      <c r="N1119" s="13">
        <f>SUM(E1119:M1119)</f>
        <v/>
      </c>
    </row>
    <row r="1120">
      <c r="A1120" s="5">
        <f>IF(AND(C1120&gt;=Options!$B$9,C1120&lt;=Options!$B$10),"Denver","")</f>
        <v/>
      </c>
      <c r="B1120" s="5">
        <f>IF(A1120="","",24)</f>
        <v/>
      </c>
      <c r="C1120" s="17" t="n">
        <v>46316</v>
      </c>
      <c r="D1120" s="5">
        <f>IF(A1120="","",IF(C1120=DATE(2026,11,29),"培训；注册午餐；早餐参数",IF(C1120=DATE(2026,11,30),"培训；注册午餐",IF(C1120=DATE(2026,12,1),"培训；注册午餐；机构晚餐",IF(C1120=Options!$B$9,"抵达；"&amp;IF(C1120=DATE(2026,11,28),"机构晚餐","无统一供餐"),IF(C1120=Options!$B$10,"返程；"&amp;IF(C1120=DATE(2026,12,2),"机构午餐","无统一供餐"),"差旅状态；无统一日程"))))))</f>
        <v/>
      </c>
      <c r="E1120" s="13">
        <f>IF(C1120=Options!$B$9,Options!$C$17,0)</f>
        <v/>
      </c>
      <c r="F1120" s="13">
        <f>IF(AND(A1120&lt;&gt;"",C1120&lt;Options!$B$10),B1120*Options!$X$6,0)</f>
        <v/>
      </c>
      <c r="G1120" s="13">
        <f>F1120*12%</f>
        <v/>
      </c>
      <c r="H1120" s="13">
        <f>IF(A1120="",0,B1120*(92*IF(OR(C1120=Options!$B$9,C1120=Options!$B$10),75%,100%)-IF(C1120=DATE(2026,11,29),26+IF(Options!$B$8="是",23,0),0)-IF(C1120=DATE(2026,11,30),26,0)-IF(C1120=DATE(2026,12,1),64,0)-IF(C1120=DATE(2026,11,28),38,0)-IF(C1120=DATE(2026,12,2),26,0)))</f>
        <v/>
      </c>
      <c r="I1120" s="13">
        <f>IF(AND(C1120&gt;=DATE(2026,11,29),C1120&lt;=DATE(2026,12,1)),B1120*60,0)</f>
        <v/>
      </c>
      <c r="J1120" s="13">
        <f>IF(A1120="",0,B1120*(IF(C1120=DATE(2026,11,28),38,0)+IF(C1120=DATE(2026,12,1),38,0)+IF(C1120=DATE(2026,12,2),26,0)))</f>
        <v/>
      </c>
      <c r="K1120" s="13">
        <f>IF(C1120=Options!$B$9,B1120*12,0)</f>
        <v/>
      </c>
      <c r="L1120" s="13">
        <f>IF(C1120=Options!$B$9,B1120*Options!$Z$6,0)</f>
        <v/>
      </c>
      <c r="M1120" s="13" t="n">
        <v>0</v>
      </c>
      <c r="N1120" s="13">
        <f>SUM(E1120:M1120)</f>
        <v/>
      </c>
    </row>
    <row r="1121">
      <c r="A1121" s="5">
        <f>IF(AND(C1121&gt;=Options!$B$9,C1121&lt;=Options!$B$10),"Denver","")</f>
        <v/>
      </c>
      <c r="B1121" s="5">
        <f>IF(A1121="","",24)</f>
        <v/>
      </c>
      <c r="C1121" s="17" t="n">
        <v>46317</v>
      </c>
      <c r="D1121" s="5">
        <f>IF(A1121="","",IF(C1121=DATE(2026,11,29),"培训；注册午餐；早餐参数",IF(C1121=DATE(2026,11,30),"培训；注册午餐",IF(C1121=DATE(2026,12,1),"培训；注册午餐；机构晚餐",IF(C1121=Options!$B$9,"抵达；"&amp;IF(C1121=DATE(2026,11,28),"机构晚餐","无统一供餐"),IF(C1121=Options!$B$10,"返程；"&amp;IF(C1121=DATE(2026,12,2),"机构午餐","无统一供餐"),"差旅状态；无统一日程"))))))</f>
        <v/>
      </c>
      <c r="E1121" s="13">
        <f>IF(C1121=Options!$B$9,Options!$C$17,0)</f>
        <v/>
      </c>
      <c r="F1121" s="13">
        <f>IF(AND(A1121&lt;&gt;"",C1121&lt;Options!$B$10),B1121*Options!$X$6,0)</f>
        <v/>
      </c>
      <c r="G1121" s="13">
        <f>F1121*12%</f>
        <v/>
      </c>
      <c r="H1121" s="13">
        <f>IF(A1121="",0,B1121*(92*IF(OR(C1121=Options!$B$9,C1121=Options!$B$10),75%,100%)-IF(C1121=DATE(2026,11,29),26+IF(Options!$B$8="是",23,0),0)-IF(C1121=DATE(2026,11,30),26,0)-IF(C1121=DATE(2026,12,1),64,0)-IF(C1121=DATE(2026,11,28),38,0)-IF(C1121=DATE(2026,12,2),26,0)))</f>
        <v/>
      </c>
      <c r="I1121" s="13">
        <f>IF(AND(C1121&gt;=DATE(2026,11,29),C1121&lt;=DATE(2026,12,1)),B1121*60,0)</f>
        <v/>
      </c>
      <c r="J1121" s="13">
        <f>IF(A1121="",0,B1121*(IF(C1121=DATE(2026,11,28),38,0)+IF(C1121=DATE(2026,12,1),38,0)+IF(C1121=DATE(2026,12,2),26,0)))</f>
        <v/>
      </c>
      <c r="K1121" s="13">
        <f>IF(C1121=Options!$B$9,B1121*12,0)</f>
        <v/>
      </c>
      <c r="L1121" s="13">
        <f>IF(C1121=Options!$B$9,B1121*Options!$Z$6,0)</f>
        <v/>
      </c>
      <c r="M1121" s="13" t="n">
        <v>0</v>
      </c>
      <c r="N1121" s="13">
        <f>SUM(E1121:M1121)</f>
        <v/>
      </c>
    </row>
    <row r="1122">
      <c r="A1122" s="5">
        <f>IF(AND(C1122&gt;=Options!$B$9,C1122&lt;=Options!$B$10),"Denver","")</f>
        <v/>
      </c>
      <c r="B1122" s="5">
        <f>IF(A1122="","",24)</f>
        <v/>
      </c>
      <c r="C1122" s="17" t="n">
        <v>46318</v>
      </c>
      <c r="D1122" s="5">
        <f>IF(A1122="","",IF(C1122=DATE(2026,11,29),"培训；注册午餐；早餐参数",IF(C1122=DATE(2026,11,30),"培训；注册午餐",IF(C1122=DATE(2026,12,1),"培训；注册午餐；机构晚餐",IF(C1122=Options!$B$9,"抵达；"&amp;IF(C1122=DATE(2026,11,28),"机构晚餐","无统一供餐"),IF(C1122=Options!$B$10,"返程；"&amp;IF(C1122=DATE(2026,12,2),"机构午餐","无统一供餐"),"差旅状态；无统一日程"))))))</f>
        <v/>
      </c>
      <c r="E1122" s="13">
        <f>IF(C1122=Options!$B$9,Options!$C$17,0)</f>
        <v/>
      </c>
      <c r="F1122" s="13">
        <f>IF(AND(A1122&lt;&gt;"",C1122&lt;Options!$B$10),B1122*Options!$X$6,0)</f>
        <v/>
      </c>
      <c r="G1122" s="13">
        <f>F1122*12%</f>
        <v/>
      </c>
      <c r="H1122" s="13">
        <f>IF(A1122="",0,B1122*(92*IF(OR(C1122=Options!$B$9,C1122=Options!$B$10),75%,100%)-IF(C1122=DATE(2026,11,29),26+IF(Options!$B$8="是",23,0),0)-IF(C1122=DATE(2026,11,30),26,0)-IF(C1122=DATE(2026,12,1),64,0)-IF(C1122=DATE(2026,11,28),38,0)-IF(C1122=DATE(2026,12,2),26,0)))</f>
        <v/>
      </c>
      <c r="I1122" s="13">
        <f>IF(AND(C1122&gt;=DATE(2026,11,29),C1122&lt;=DATE(2026,12,1)),B1122*60,0)</f>
        <v/>
      </c>
      <c r="J1122" s="13">
        <f>IF(A1122="",0,B1122*(IF(C1122=DATE(2026,11,28),38,0)+IF(C1122=DATE(2026,12,1),38,0)+IF(C1122=DATE(2026,12,2),26,0)))</f>
        <v/>
      </c>
      <c r="K1122" s="13">
        <f>IF(C1122=Options!$B$9,B1122*12,0)</f>
        <v/>
      </c>
      <c r="L1122" s="13">
        <f>IF(C1122=Options!$B$9,B1122*Options!$Z$6,0)</f>
        <v/>
      </c>
      <c r="M1122" s="13" t="n">
        <v>0</v>
      </c>
      <c r="N1122" s="13">
        <f>SUM(E1122:M1122)</f>
        <v/>
      </c>
    </row>
    <row r="1123">
      <c r="A1123" s="5">
        <f>IF(AND(C1123&gt;=Options!$B$9,C1123&lt;=Options!$B$10),"Denver","")</f>
        <v/>
      </c>
      <c r="B1123" s="5">
        <f>IF(A1123="","",24)</f>
        <v/>
      </c>
      <c r="C1123" s="17" t="n">
        <v>46319</v>
      </c>
      <c r="D1123" s="5">
        <f>IF(A1123="","",IF(C1123=DATE(2026,11,29),"培训；注册午餐；早餐参数",IF(C1123=DATE(2026,11,30),"培训；注册午餐",IF(C1123=DATE(2026,12,1),"培训；注册午餐；机构晚餐",IF(C1123=Options!$B$9,"抵达；"&amp;IF(C1123=DATE(2026,11,28),"机构晚餐","无统一供餐"),IF(C1123=Options!$B$10,"返程；"&amp;IF(C1123=DATE(2026,12,2),"机构午餐","无统一供餐"),"差旅状态；无统一日程"))))))</f>
        <v/>
      </c>
      <c r="E1123" s="13">
        <f>IF(C1123=Options!$B$9,Options!$C$17,0)</f>
        <v/>
      </c>
      <c r="F1123" s="13">
        <f>IF(AND(A1123&lt;&gt;"",C1123&lt;Options!$B$10),B1123*Options!$X$6,0)</f>
        <v/>
      </c>
      <c r="G1123" s="13">
        <f>F1123*12%</f>
        <v/>
      </c>
      <c r="H1123" s="13">
        <f>IF(A1123="",0,B1123*(92*IF(OR(C1123=Options!$B$9,C1123=Options!$B$10),75%,100%)-IF(C1123=DATE(2026,11,29),26+IF(Options!$B$8="是",23,0),0)-IF(C1123=DATE(2026,11,30),26,0)-IF(C1123=DATE(2026,12,1),64,0)-IF(C1123=DATE(2026,11,28),38,0)-IF(C1123=DATE(2026,12,2),26,0)))</f>
        <v/>
      </c>
      <c r="I1123" s="13">
        <f>IF(AND(C1123&gt;=DATE(2026,11,29),C1123&lt;=DATE(2026,12,1)),B1123*60,0)</f>
        <v/>
      </c>
      <c r="J1123" s="13">
        <f>IF(A1123="",0,B1123*(IF(C1123=DATE(2026,11,28),38,0)+IF(C1123=DATE(2026,12,1),38,0)+IF(C1123=DATE(2026,12,2),26,0)))</f>
        <v/>
      </c>
      <c r="K1123" s="13">
        <f>IF(C1123=Options!$B$9,B1123*12,0)</f>
        <v/>
      </c>
      <c r="L1123" s="13">
        <f>IF(C1123=Options!$B$9,B1123*Options!$Z$6,0)</f>
        <v/>
      </c>
      <c r="M1123" s="13" t="n">
        <v>0</v>
      </c>
      <c r="N1123" s="13">
        <f>SUM(E1123:M1123)</f>
        <v/>
      </c>
    </row>
    <row r="1124">
      <c r="A1124" s="5">
        <f>IF(AND(C1124&gt;=Options!$B$9,C1124&lt;=Options!$B$10),"Denver","")</f>
        <v/>
      </c>
      <c r="B1124" s="5">
        <f>IF(A1124="","",24)</f>
        <v/>
      </c>
      <c r="C1124" s="17" t="n">
        <v>46320</v>
      </c>
      <c r="D1124" s="5">
        <f>IF(A1124="","",IF(C1124=DATE(2026,11,29),"培训；注册午餐；早餐参数",IF(C1124=DATE(2026,11,30),"培训；注册午餐",IF(C1124=DATE(2026,12,1),"培训；注册午餐；机构晚餐",IF(C1124=Options!$B$9,"抵达；"&amp;IF(C1124=DATE(2026,11,28),"机构晚餐","无统一供餐"),IF(C1124=Options!$B$10,"返程；"&amp;IF(C1124=DATE(2026,12,2),"机构午餐","无统一供餐"),"差旅状态；无统一日程"))))))</f>
        <v/>
      </c>
      <c r="E1124" s="13">
        <f>IF(C1124=Options!$B$9,Options!$C$17,0)</f>
        <v/>
      </c>
      <c r="F1124" s="13">
        <f>IF(AND(A1124&lt;&gt;"",C1124&lt;Options!$B$10),B1124*Options!$X$6,0)</f>
        <v/>
      </c>
      <c r="G1124" s="13">
        <f>F1124*12%</f>
        <v/>
      </c>
      <c r="H1124" s="13">
        <f>IF(A1124="",0,B1124*(92*IF(OR(C1124=Options!$B$9,C1124=Options!$B$10),75%,100%)-IF(C1124=DATE(2026,11,29),26+IF(Options!$B$8="是",23,0),0)-IF(C1124=DATE(2026,11,30),26,0)-IF(C1124=DATE(2026,12,1),64,0)-IF(C1124=DATE(2026,11,28),38,0)-IF(C1124=DATE(2026,12,2),26,0)))</f>
        <v/>
      </c>
      <c r="I1124" s="13">
        <f>IF(AND(C1124&gt;=DATE(2026,11,29),C1124&lt;=DATE(2026,12,1)),B1124*60,0)</f>
        <v/>
      </c>
      <c r="J1124" s="13">
        <f>IF(A1124="",0,B1124*(IF(C1124=DATE(2026,11,28),38,0)+IF(C1124=DATE(2026,12,1),38,0)+IF(C1124=DATE(2026,12,2),26,0)))</f>
        <v/>
      </c>
      <c r="K1124" s="13">
        <f>IF(C1124=Options!$B$9,B1124*12,0)</f>
        <v/>
      </c>
      <c r="L1124" s="13">
        <f>IF(C1124=Options!$B$9,B1124*Options!$Z$6,0)</f>
        <v/>
      </c>
      <c r="M1124" s="13" t="n">
        <v>0</v>
      </c>
      <c r="N1124" s="13">
        <f>SUM(E1124:M1124)</f>
        <v/>
      </c>
    </row>
    <row r="1125">
      <c r="A1125" s="5">
        <f>IF(AND(C1125&gt;=Options!$B$9,C1125&lt;=Options!$B$10),"Denver","")</f>
        <v/>
      </c>
      <c r="B1125" s="5">
        <f>IF(A1125="","",24)</f>
        <v/>
      </c>
      <c r="C1125" s="17" t="n">
        <v>46321</v>
      </c>
      <c r="D1125" s="5">
        <f>IF(A1125="","",IF(C1125=DATE(2026,11,29),"培训；注册午餐；早餐参数",IF(C1125=DATE(2026,11,30),"培训；注册午餐",IF(C1125=DATE(2026,12,1),"培训；注册午餐；机构晚餐",IF(C1125=Options!$B$9,"抵达；"&amp;IF(C1125=DATE(2026,11,28),"机构晚餐","无统一供餐"),IF(C1125=Options!$B$10,"返程；"&amp;IF(C1125=DATE(2026,12,2),"机构午餐","无统一供餐"),"差旅状态；无统一日程"))))))</f>
        <v/>
      </c>
      <c r="E1125" s="13">
        <f>IF(C1125=Options!$B$9,Options!$C$17,0)</f>
        <v/>
      </c>
      <c r="F1125" s="13">
        <f>IF(AND(A1125&lt;&gt;"",C1125&lt;Options!$B$10),B1125*Options!$X$6,0)</f>
        <v/>
      </c>
      <c r="G1125" s="13">
        <f>F1125*12%</f>
        <v/>
      </c>
      <c r="H1125" s="13">
        <f>IF(A1125="",0,B1125*(92*IF(OR(C1125=Options!$B$9,C1125=Options!$B$10),75%,100%)-IF(C1125=DATE(2026,11,29),26+IF(Options!$B$8="是",23,0),0)-IF(C1125=DATE(2026,11,30),26,0)-IF(C1125=DATE(2026,12,1),64,0)-IF(C1125=DATE(2026,11,28),38,0)-IF(C1125=DATE(2026,12,2),26,0)))</f>
        <v/>
      </c>
      <c r="I1125" s="13">
        <f>IF(AND(C1125&gt;=DATE(2026,11,29),C1125&lt;=DATE(2026,12,1)),B1125*60,0)</f>
        <v/>
      </c>
      <c r="J1125" s="13">
        <f>IF(A1125="",0,B1125*(IF(C1125=DATE(2026,11,28),38,0)+IF(C1125=DATE(2026,12,1),38,0)+IF(C1125=DATE(2026,12,2),26,0)))</f>
        <v/>
      </c>
      <c r="K1125" s="13">
        <f>IF(C1125=Options!$B$9,B1125*12,0)</f>
        <v/>
      </c>
      <c r="L1125" s="13">
        <f>IF(C1125=Options!$B$9,B1125*Options!$Z$6,0)</f>
        <v/>
      </c>
      <c r="M1125" s="13" t="n">
        <v>0</v>
      </c>
      <c r="N1125" s="13">
        <f>SUM(E1125:M1125)</f>
        <v/>
      </c>
    </row>
    <row r="1126">
      <c r="A1126" s="5">
        <f>IF(AND(C1126&gt;=Options!$B$9,C1126&lt;=Options!$B$10),"Denver","")</f>
        <v/>
      </c>
      <c r="B1126" s="5">
        <f>IF(A1126="","",24)</f>
        <v/>
      </c>
      <c r="C1126" s="17" t="n">
        <v>46322</v>
      </c>
      <c r="D1126" s="5">
        <f>IF(A1126="","",IF(C1126=DATE(2026,11,29),"培训；注册午餐；早餐参数",IF(C1126=DATE(2026,11,30),"培训；注册午餐",IF(C1126=DATE(2026,12,1),"培训；注册午餐；机构晚餐",IF(C1126=Options!$B$9,"抵达；"&amp;IF(C1126=DATE(2026,11,28),"机构晚餐","无统一供餐"),IF(C1126=Options!$B$10,"返程；"&amp;IF(C1126=DATE(2026,12,2),"机构午餐","无统一供餐"),"差旅状态；无统一日程"))))))</f>
        <v/>
      </c>
      <c r="E1126" s="13">
        <f>IF(C1126=Options!$B$9,Options!$C$17,0)</f>
        <v/>
      </c>
      <c r="F1126" s="13">
        <f>IF(AND(A1126&lt;&gt;"",C1126&lt;Options!$B$10),B1126*Options!$X$6,0)</f>
        <v/>
      </c>
      <c r="G1126" s="13">
        <f>F1126*12%</f>
        <v/>
      </c>
      <c r="H1126" s="13">
        <f>IF(A1126="",0,B1126*(92*IF(OR(C1126=Options!$B$9,C1126=Options!$B$10),75%,100%)-IF(C1126=DATE(2026,11,29),26+IF(Options!$B$8="是",23,0),0)-IF(C1126=DATE(2026,11,30),26,0)-IF(C1126=DATE(2026,12,1),64,0)-IF(C1126=DATE(2026,11,28),38,0)-IF(C1126=DATE(2026,12,2),26,0)))</f>
        <v/>
      </c>
      <c r="I1126" s="13">
        <f>IF(AND(C1126&gt;=DATE(2026,11,29),C1126&lt;=DATE(2026,12,1)),B1126*60,0)</f>
        <v/>
      </c>
      <c r="J1126" s="13">
        <f>IF(A1126="",0,B1126*(IF(C1126=DATE(2026,11,28),38,0)+IF(C1126=DATE(2026,12,1),38,0)+IF(C1126=DATE(2026,12,2),26,0)))</f>
        <v/>
      </c>
      <c r="K1126" s="13">
        <f>IF(C1126=Options!$B$9,B1126*12,0)</f>
        <v/>
      </c>
      <c r="L1126" s="13">
        <f>IF(C1126=Options!$B$9,B1126*Options!$Z$6,0)</f>
        <v/>
      </c>
      <c r="M1126" s="13" t="n">
        <v>0</v>
      </c>
      <c r="N1126" s="13">
        <f>SUM(E1126:M1126)</f>
        <v/>
      </c>
    </row>
    <row r="1127">
      <c r="A1127" s="5">
        <f>IF(AND(C1127&gt;=Options!$B$9,C1127&lt;=Options!$B$10),"Denver","")</f>
        <v/>
      </c>
      <c r="B1127" s="5">
        <f>IF(A1127="","",24)</f>
        <v/>
      </c>
      <c r="C1127" s="17" t="n">
        <v>46323</v>
      </c>
      <c r="D1127" s="5">
        <f>IF(A1127="","",IF(C1127=DATE(2026,11,29),"培训；注册午餐；早餐参数",IF(C1127=DATE(2026,11,30),"培训；注册午餐",IF(C1127=DATE(2026,12,1),"培训；注册午餐；机构晚餐",IF(C1127=Options!$B$9,"抵达；"&amp;IF(C1127=DATE(2026,11,28),"机构晚餐","无统一供餐"),IF(C1127=Options!$B$10,"返程；"&amp;IF(C1127=DATE(2026,12,2),"机构午餐","无统一供餐"),"差旅状态；无统一日程"))))))</f>
        <v/>
      </c>
      <c r="E1127" s="13">
        <f>IF(C1127=Options!$B$9,Options!$C$17,0)</f>
        <v/>
      </c>
      <c r="F1127" s="13">
        <f>IF(AND(A1127&lt;&gt;"",C1127&lt;Options!$B$10),B1127*Options!$X$6,0)</f>
        <v/>
      </c>
      <c r="G1127" s="13">
        <f>F1127*12%</f>
        <v/>
      </c>
      <c r="H1127" s="13">
        <f>IF(A1127="",0,B1127*(92*IF(OR(C1127=Options!$B$9,C1127=Options!$B$10),75%,100%)-IF(C1127=DATE(2026,11,29),26+IF(Options!$B$8="是",23,0),0)-IF(C1127=DATE(2026,11,30),26,0)-IF(C1127=DATE(2026,12,1),64,0)-IF(C1127=DATE(2026,11,28),38,0)-IF(C1127=DATE(2026,12,2),26,0)))</f>
        <v/>
      </c>
      <c r="I1127" s="13">
        <f>IF(AND(C1127&gt;=DATE(2026,11,29),C1127&lt;=DATE(2026,12,1)),B1127*60,0)</f>
        <v/>
      </c>
      <c r="J1127" s="13">
        <f>IF(A1127="",0,B1127*(IF(C1127=DATE(2026,11,28),38,0)+IF(C1127=DATE(2026,12,1),38,0)+IF(C1127=DATE(2026,12,2),26,0)))</f>
        <v/>
      </c>
      <c r="K1127" s="13">
        <f>IF(C1127=Options!$B$9,B1127*12,0)</f>
        <v/>
      </c>
      <c r="L1127" s="13">
        <f>IF(C1127=Options!$B$9,B1127*Options!$Z$6,0)</f>
        <v/>
      </c>
      <c r="M1127" s="13" t="n">
        <v>0</v>
      </c>
      <c r="N1127" s="13">
        <f>SUM(E1127:M1127)</f>
        <v/>
      </c>
    </row>
    <row r="1128">
      <c r="A1128" s="5">
        <f>IF(AND(C1128&gt;=Options!$B$9,C1128&lt;=Options!$B$10),"Denver","")</f>
        <v/>
      </c>
      <c r="B1128" s="5">
        <f>IF(A1128="","",24)</f>
        <v/>
      </c>
      <c r="C1128" s="17" t="n">
        <v>46324</v>
      </c>
      <c r="D1128" s="5">
        <f>IF(A1128="","",IF(C1128=DATE(2026,11,29),"培训；注册午餐；早餐参数",IF(C1128=DATE(2026,11,30),"培训；注册午餐",IF(C1128=DATE(2026,12,1),"培训；注册午餐；机构晚餐",IF(C1128=Options!$B$9,"抵达；"&amp;IF(C1128=DATE(2026,11,28),"机构晚餐","无统一供餐"),IF(C1128=Options!$B$10,"返程；"&amp;IF(C1128=DATE(2026,12,2),"机构午餐","无统一供餐"),"差旅状态；无统一日程"))))))</f>
        <v/>
      </c>
      <c r="E1128" s="13">
        <f>IF(C1128=Options!$B$9,Options!$C$17,0)</f>
        <v/>
      </c>
      <c r="F1128" s="13">
        <f>IF(AND(A1128&lt;&gt;"",C1128&lt;Options!$B$10),B1128*Options!$X$6,0)</f>
        <v/>
      </c>
      <c r="G1128" s="13">
        <f>F1128*12%</f>
        <v/>
      </c>
      <c r="H1128" s="13">
        <f>IF(A1128="",0,B1128*(92*IF(OR(C1128=Options!$B$9,C1128=Options!$B$10),75%,100%)-IF(C1128=DATE(2026,11,29),26+IF(Options!$B$8="是",23,0),0)-IF(C1128=DATE(2026,11,30),26,0)-IF(C1128=DATE(2026,12,1),64,0)-IF(C1128=DATE(2026,11,28),38,0)-IF(C1128=DATE(2026,12,2),26,0)))</f>
        <v/>
      </c>
      <c r="I1128" s="13">
        <f>IF(AND(C1128&gt;=DATE(2026,11,29),C1128&lt;=DATE(2026,12,1)),B1128*60,0)</f>
        <v/>
      </c>
      <c r="J1128" s="13">
        <f>IF(A1128="",0,B1128*(IF(C1128=DATE(2026,11,28),38,0)+IF(C1128=DATE(2026,12,1),38,0)+IF(C1128=DATE(2026,12,2),26,0)))</f>
        <v/>
      </c>
      <c r="K1128" s="13">
        <f>IF(C1128=Options!$B$9,B1128*12,0)</f>
        <v/>
      </c>
      <c r="L1128" s="13">
        <f>IF(C1128=Options!$B$9,B1128*Options!$Z$6,0)</f>
        <v/>
      </c>
      <c r="M1128" s="13" t="n">
        <v>0</v>
      </c>
      <c r="N1128" s="13">
        <f>SUM(E1128:M1128)</f>
        <v/>
      </c>
    </row>
    <row r="1129">
      <c r="A1129" s="5">
        <f>IF(AND(C1129&gt;=Options!$B$9,C1129&lt;=Options!$B$10),"Denver","")</f>
        <v/>
      </c>
      <c r="B1129" s="5">
        <f>IF(A1129="","",24)</f>
        <v/>
      </c>
      <c r="C1129" s="17" t="n">
        <v>46325</v>
      </c>
      <c r="D1129" s="5">
        <f>IF(A1129="","",IF(C1129=DATE(2026,11,29),"培训；注册午餐；早餐参数",IF(C1129=DATE(2026,11,30),"培训；注册午餐",IF(C1129=DATE(2026,12,1),"培训；注册午餐；机构晚餐",IF(C1129=Options!$B$9,"抵达；"&amp;IF(C1129=DATE(2026,11,28),"机构晚餐","无统一供餐"),IF(C1129=Options!$B$10,"返程；"&amp;IF(C1129=DATE(2026,12,2),"机构午餐","无统一供餐"),"差旅状态；无统一日程"))))))</f>
        <v/>
      </c>
      <c r="E1129" s="13">
        <f>IF(C1129=Options!$B$9,Options!$C$17,0)</f>
        <v/>
      </c>
      <c r="F1129" s="13">
        <f>IF(AND(A1129&lt;&gt;"",C1129&lt;Options!$B$10),B1129*Options!$X$6,0)</f>
        <v/>
      </c>
      <c r="G1129" s="13">
        <f>F1129*12%</f>
        <v/>
      </c>
      <c r="H1129" s="13">
        <f>IF(A1129="",0,B1129*(92*IF(OR(C1129=Options!$B$9,C1129=Options!$B$10),75%,100%)-IF(C1129=DATE(2026,11,29),26+IF(Options!$B$8="是",23,0),0)-IF(C1129=DATE(2026,11,30),26,0)-IF(C1129=DATE(2026,12,1),64,0)-IF(C1129=DATE(2026,11,28),38,0)-IF(C1129=DATE(2026,12,2),26,0)))</f>
        <v/>
      </c>
      <c r="I1129" s="13">
        <f>IF(AND(C1129&gt;=DATE(2026,11,29),C1129&lt;=DATE(2026,12,1)),B1129*60,0)</f>
        <v/>
      </c>
      <c r="J1129" s="13">
        <f>IF(A1129="",0,B1129*(IF(C1129=DATE(2026,11,28),38,0)+IF(C1129=DATE(2026,12,1),38,0)+IF(C1129=DATE(2026,12,2),26,0)))</f>
        <v/>
      </c>
      <c r="K1129" s="13">
        <f>IF(C1129=Options!$B$9,B1129*12,0)</f>
        <v/>
      </c>
      <c r="L1129" s="13">
        <f>IF(C1129=Options!$B$9,B1129*Options!$Z$6,0)</f>
        <v/>
      </c>
      <c r="M1129" s="13" t="n">
        <v>0</v>
      </c>
      <c r="N1129" s="13">
        <f>SUM(E1129:M1129)</f>
        <v/>
      </c>
    </row>
    <row r="1130">
      <c r="A1130" s="5">
        <f>IF(AND(C1130&gt;=Options!$B$9,C1130&lt;=Options!$B$10),"Denver","")</f>
        <v/>
      </c>
      <c r="B1130" s="5">
        <f>IF(A1130="","",24)</f>
        <v/>
      </c>
      <c r="C1130" s="17" t="n">
        <v>46326</v>
      </c>
      <c r="D1130" s="5">
        <f>IF(A1130="","",IF(C1130=DATE(2026,11,29),"培训；注册午餐；早餐参数",IF(C1130=DATE(2026,11,30),"培训；注册午餐",IF(C1130=DATE(2026,12,1),"培训；注册午餐；机构晚餐",IF(C1130=Options!$B$9,"抵达；"&amp;IF(C1130=DATE(2026,11,28),"机构晚餐","无统一供餐"),IF(C1130=Options!$B$10,"返程；"&amp;IF(C1130=DATE(2026,12,2),"机构午餐","无统一供餐"),"差旅状态；无统一日程"))))))</f>
        <v/>
      </c>
      <c r="E1130" s="13">
        <f>IF(C1130=Options!$B$9,Options!$C$17,0)</f>
        <v/>
      </c>
      <c r="F1130" s="13">
        <f>IF(AND(A1130&lt;&gt;"",C1130&lt;Options!$B$10),B1130*Options!$X$6,0)</f>
        <v/>
      </c>
      <c r="G1130" s="13">
        <f>F1130*12%</f>
        <v/>
      </c>
      <c r="H1130" s="13">
        <f>IF(A1130="",0,B1130*(92*IF(OR(C1130=Options!$B$9,C1130=Options!$B$10),75%,100%)-IF(C1130=DATE(2026,11,29),26+IF(Options!$B$8="是",23,0),0)-IF(C1130=DATE(2026,11,30),26,0)-IF(C1130=DATE(2026,12,1),64,0)-IF(C1130=DATE(2026,11,28),38,0)-IF(C1130=DATE(2026,12,2),26,0)))</f>
        <v/>
      </c>
      <c r="I1130" s="13">
        <f>IF(AND(C1130&gt;=DATE(2026,11,29),C1130&lt;=DATE(2026,12,1)),B1130*60,0)</f>
        <v/>
      </c>
      <c r="J1130" s="13">
        <f>IF(A1130="",0,B1130*(IF(C1130=DATE(2026,11,28),38,0)+IF(C1130=DATE(2026,12,1),38,0)+IF(C1130=DATE(2026,12,2),26,0)))</f>
        <v/>
      </c>
      <c r="K1130" s="13">
        <f>IF(C1130=Options!$B$9,B1130*12,0)</f>
        <v/>
      </c>
      <c r="L1130" s="13">
        <f>IF(C1130=Options!$B$9,B1130*Options!$Z$6,0)</f>
        <v/>
      </c>
      <c r="M1130" s="13" t="n">
        <v>0</v>
      </c>
      <c r="N1130" s="13">
        <f>SUM(E1130:M1130)</f>
        <v/>
      </c>
    </row>
    <row r="1131">
      <c r="A1131" s="5">
        <f>IF(AND(C1131&gt;=Options!$B$9,C1131&lt;=Options!$B$10),"Denver","")</f>
        <v/>
      </c>
      <c r="B1131" s="5">
        <f>IF(A1131="","",24)</f>
        <v/>
      </c>
      <c r="C1131" s="17" t="n">
        <v>46327</v>
      </c>
      <c r="D1131" s="5">
        <f>IF(A1131="","",IF(C1131=DATE(2026,11,29),"培训；注册午餐；早餐参数",IF(C1131=DATE(2026,11,30),"培训；注册午餐",IF(C1131=DATE(2026,12,1),"培训；注册午餐；机构晚餐",IF(C1131=Options!$B$9,"抵达；"&amp;IF(C1131=DATE(2026,11,28),"机构晚餐","无统一供餐"),IF(C1131=Options!$B$10,"返程；"&amp;IF(C1131=DATE(2026,12,2),"机构午餐","无统一供餐"),"差旅状态；无统一日程"))))))</f>
        <v/>
      </c>
      <c r="E1131" s="13">
        <f>IF(C1131=Options!$B$9,Options!$C$17,0)</f>
        <v/>
      </c>
      <c r="F1131" s="13">
        <f>IF(AND(A1131&lt;&gt;"",C1131&lt;Options!$B$10),B1131*Options!$X$6,0)</f>
        <v/>
      </c>
      <c r="G1131" s="13">
        <f>F1131*12%</f>
        <v/>
      </c>
      <c r="H1131" s="13">
        <f>IF(A1131="",0,B1131*(92*IF(OR(C1131=Options!$B$9,C1131=Options!$B$10),75%,100%)-IF(C1131=DATE(2026,11,29),26+IF(Options!$B$8="是",23,0),0)-IF(C1131=DATE(2026,11,30),26,0)-IF(C1131=DATE(2026,12,1),64,0)-IF(C1131=DATE(2026,11,28),38,0)-IF(C1131=DATE(2026,12,2),26,0)))</f>
        <v/>
      </c>
      <c r="I1131" s="13">
        <f>IF(AND(C1131&gt;=DATE(2026,11,29),C1131&lt;=DATE(2026,12,1)),B1131*60,0)</f>
        <v/>
      </c>
      <c r="J1131" s="13">
        <f>IF(A1131="",0,B1131*(IF(C1131=DATE(2026,11,28),38,0)+IF(C1131=DATE(2026,12,1),38,0)+IF(C1131=DATE(2026,12,2),26,0)))</f>
        <v/>
      </c>
      <c r="K1131" s="13">
        <f>IF(C1131=Options!$B$9,B1131*12,0)</f>
        <v/>
      </c>
      <c r="L1131" s="13">
        <f>IF(C1131=Options!$B$9,B1131*Options!$Z$6,0)</f>
        <v/>
      </c>
      <c r="M1131" s="13" t="n">
        <v>0</v>
      </c>
      <c r="N1131" s="13">
        <f>SUM(E1131:M1131)</f>
        <v/>
      </c>
    </row>
    <row r="1132">
      <c r="A1132" s="5">
        <f>IF(AND(C1132&gt;=Options!$B$9,C1132&lt;=Options!$B$10),"Denver","")</f>
        <v/>
      </c>
      <c r="B1132" s="5">
        <f>IF(A1132="","",24)</f>
        <v/>
      </c>
      <c r="C1132" s="17" t="n">
        <v>46328</v>
      </c>
      <c r="D1132" s="5">
        <f>IF(A1132="","",IF(C1132=DATE(2026,11,29),"培训；注册午餐；早餐参数",IF(C1132=DATE(2026,11,30),"培训；注册午餐",IF(C1132=DATE(2026,12,1),"培训；注册午餐；机构晚餐",IF(C1132=Options!$B$9,"抵达；"&amp;IF(C1132=DATE(2026,11,28),"机构晚餐","无统一供餐"),IF(C1132=Options!$B$10,"返程；"&amp;IF(C1132=DATE(2026,12,2),"机构午餐","无统一供餐"),"差旅状态；无统一日程"))))))</f>
        <v/>
      </c>
      <c r="E1132" s="13">
        <f>IF(C1132=Options!$B$9,Options!$C$17,0)</f>
        <v/>
      </c>
      <c r="F1132" s="13">
        <f>IF(AND(A1132&lt;&gt;"",C1132&lt;Options!$B$10),B1132*Options!$X$6,0)</f>
        <v/>
      </c>
      <c r="G1132" s="13">
        <f>F1132*12%</f>
        <v/>
      </c>
      <c r="H1132" s="13">
        <f>IF(A1132="",0,B1132*(92*IF(OR(C1132=Options!$B$9,C1132=Options!$B$10),75%,100%)-IF(C1132=DATE(2026,11,29),26+IF(Options!$B$8="是",23,0),0)-IF(C1132=DATE(2026,11,30),26,0)-IF(C1132=DATE(2026,12,1),64,0)-IF(C1132=DATE(2026,11,28),38,0)-IF(C1132=DATE(2026,12,2),26,0)))</f>
        <v/>
      </c>
      <c r="I1132" s="13">
        <f>IF(AND(C1132&gt;=DATE(2026,11,29),C1132&lt;=DATE(2026,12,1)),B1132*60,0)</f>
        <v/>
      </c>
      <c r="J1132" s="13">
        <f>IF(A1132="",0,B1132*(IF(C1132=DATE(2026,11,28),38,0)+IF(C1132=DATE(2026,12,1),38,0)+IF(C1132=DATE(2026,12,2),26,0)))</f>
        <v/>
      </c>
      <c r="K1132" s="13">
        <f>IF(C1132=Options!$B$9,B1132*12,0)</f>
        <v/>
      </c>
      <c r="L1132" s="13">
        <f>IF(C1132=Options!$B$9,B1132*Options!$Z$6,0)</f>
        <v/>
      </c>
      <c r="M1132" s="13" t="n">
        <v>0</v>
      </c>
      <c r="N1132" s="13">
        <f>SUM(E1132:M1132)</f>
        <v/>
      </c>
    </row>
    <row r="1133">
      <c r="A1133" s="5">
        <f>IF(AND(C1133&gt;=Options!$B$9,C1133&lt;=Options!$B$10),"Denver","")</f>
        <v/>
      </c>
      <c r="B1133" s="5">
        <f>IF(A1133="","",24)</f>
        <v/>
      </c>
      <c r="C1133" s="17" t="n">
        <v>46329</v>
      </c>
      <c r="D1133" s="5">
        <f>IF(A1133="","",IF(C1133=DATE(2026,11,29),"培训；注册午餐；早餐参数",IF(C1133=DATE(2026,11,30),"培训；注册午餐",IF(C1133=DATE(2026,12,1),"培训；注册午餐；机构晚餐",IF(C1133=Options!$B$9,"抵达；"&amp;IF(C1133=DATE(2026,11,28),"机构晚餐","无统一供餐"),IF(C1133=Options!$B$10,"返程；"&amp;IF(C1133=DATE(2026,12,2),"机构午餐","无统一供餐"),"差旅状态；无统一日程"))))))</f>
        <v/>
      </c>
      <c r="E1133" s="13">
        <f>IF(C1133=Options!$B$9,Options!$C$17,0)</f>
        <v/>
      </c>
      <c r="F1133" s="13">
        <f>IF(AND(A1133&lt;&gt;"",C1133&lt;Options!$B$10),B1133*Options!$X$6,0)</f>
        <v/>
      </c>
      <c r="G1133" s="13">
        <f>F1133*12%</f>
        <v/>
      </c>
      <c r="H1133" s="13">
        <f>IF(A1133="",0,B1133*(92*IF(OR(C1133=Options!$B$9,C1133=Options!$B$10),75%,100%)-IF(C1133=DATE(2026,11,29),26+IF(Options!$B$8="是",23,0),0)-IF(C1133=DATE(2026,11,30),26,0)-IF(C1133=DATE(2026,12,1),64,0)-IF(C1133=DATE(2026,11,28),38,0)-IF(C1133=DATE(2026,12,2),26,0)))</f>
        <v/>
      </c>
      <c r="I1133" s="13">
        <f>IF(AND(C1133&gt;=DATE(2026,11,29),C1133&lt;=DATE(2026,12,1)),B1133*60,0)</f>
        <v/>
      </c>
      <c r="J1133" s="13">
        <f>IF(A1133="",0,B1133*(IF(C1133=DATE(2026,11,28),38,0)+IF(C1133=DATE(2026,12,1),38,0)+IF(C1133=DATE(2026,12,2),26,0)))</f>
        <v/>
      </c>
      <c r="K1133" s="13">
        <f>IF(C1133=Options!$B$9,B1133*12,0)</f>
        <v/>
      </c>
      <c r="L1133" s="13">
        <f>IF(C1133=Options!$B$9,B1133*Options!$Z$6,0)</f>
        <v/>
      </c>
      <c r="M1133" s="13" t="n">
        <v>0</v>
      </c>
      <c r="N1133" s="13">
        <f>SUM(E1133:M1133)</f>
        <v/>
      </c>
    </row>
    <row r="1134">
      <c r="A1134" s="5">
        <f>IF(AND(C1134&gt;=Options!$B$9,C1134&lt;=Options!$B$10),"Denver","")</f>
        <v/>
      </c>
      <c r="B1134" s="5">
        <f>IF(A1134="","",24)</f>
        <v/>
      </c>
      <c r="C1134" s="17" t="n">
        <v>46330</v>
      </c>
      <c r="D1134" s="5">
        <f>IF(A1134="","",IF(C1134=DATE(2026,11,29),"培训；注册午餐；早餐参数",IF(C1134=DATE(2026,11,30),"培训；注册午餐",IF(C1134=DATE(2026,12,1),"培训；注册午餐；机构晚餐",IF(C1134=Options!$B$9,"抵达；"&amp;IF(C1134=DATE(2026,11,28),"机构晚餐","无统一供餐"),IF(C1134=Options!$B$10,"返程；"&amp;IF(C1134=DATE(2026,12,2),"机构午餐","无统一供餐"),"差旅状态；无统一日程"))))))</f>
        <v/>
      </c>
      <c r="E1134" s="13">
        <f>IF(C1134=Options!$B$9,Options!$C$17,0)</f>
        <v/>
      </c>
      <c r="F1134" s="13">
        <f>IF(AND(A1134&lt;&gt;"",C1134&lt;Options!$B$10),B1134*Options!$X$6,0)</f>
        <v/>
      </c>
      <c r="G1134" s="13">
        <f>F1134*12%</f>
        <v/>
      </c>
      <c r="H1134" s="13">
        <f>IF(A1134="",0,B1134*(92*IF(OR(C1134=Options!$B$9,C1134=Options!$B$10),75%,100%)-IF(C1134=DATE(2026,11,29),26+IF(Options!$B$8="是",23,0),0)-IF(C1134=DATE(2026,11,30),26,0)-IF(C1134=DATE(2026,12,1),64,0)-IF(C1134=DATE(2026,11,28),38,0)-IF(C1134=DATE(2026,12,2),26,0)))</f>
        <v/>
      </c>
      <c r="I1134" s="13">
        <f>IF(AND(C1134&gt;=DATE(2026,11,29),C1134&lt;=DATE(2026,12,1)),B1134*60,0)</f>
        <v/>
      </c>
      <c r="J1134" s="13">
        <f>IF(A1134="",0,B1134*(IF(C1134=DATE(2026,11,28),38,0)+IF(C1134=DATE(2026,12,1),38,0)+IF(C1134=DATE(2026,12,2),26,0)))</f>
        <v/>
      </c>
      <c r="K1134" s="13">
        <f>IF(C1134=Options!$B$9,B1134*12,0)</f>
        <v/>
      </c>
      <c r="L1134" s="13">
        <f>IF(C1134=Options!$B$9,B1134*Options!$Z$6,0)</f>
        <v/>
      </c>
      <c r="M1134" s="13" t="n">
        <v>0</v>
      </c>
      <c r="N1134" s="13">
        <f>SUM(E1134:M1134)</f>
        <v/>
      </c>
    </row>
    <row r="1135">
      <c r="A1135" s="5">
        <f>IF(AND(C1135&gt;=Options!$B$9,C1135&lt;=Options!$B$10),"Denver","")</f>
        <v/>
      </c>
      <c r="B1135" s="5">
        <f>IF(A1135="","",24)</f>
        <v/>
      </c>
      <c r="C1135" s="17" t="n">
        <v>46331</v>
      </c>
      <c r="D1135" s="5">
        <f>IF(A1135="","",IF(C1135=DATE(2026,11,29),"培训；注册午餐；早餐参数",IF(C1135=DATE(2026,11,30),"培训；注册午餐",IF(C1135=DATE(2026,12,1),"培训；注册午餐；机构晚餐",IF(C1135=Options!$B$9,"抵达；"&amp;IF(C1135=DATE(2026,11,28),"机构晚餐","无统一供餐"),IF(C1135=Options!$B$10,"返程；"&amp;IF(C1135=DATE(2026,12,2),"机构午餐","无统一供餐"),"差旅状态；无统一日程"))))))</f>
        <v/>
      </c>
      <c r="E1135" s="13">
        <f>IF(C1135=Options!$B$9,Options!$C$17,0)</f>
        <v/>
      </c>
      <c r="F1135" s="13">
        <f>IF(AND(A1135&lt;&gt;"",C1135&lt;Options!$B$10),B1135*Options!$X$6,0)</f>
        <v/>
      </c>
      <c r="G1135" s="13">
        <f>F1135*12%</f>
        <v/>
      </c>
      <c r="H1135" s="13">
        <f>IF(A1135="",0,B1135*(92*IF(OR(C1135=Options!$B$9,C1135=Options!$B$10),75%,100%)-IF(C1135=DATE(2026,11,29),26+IF(Options!$B$8="是",23,0),0)-IF(C1135=DATE(2026,11,30),26,0)-IF(C1135=DATE(2026,12,1),64,0)-IF(C1135=DATE(2026,11,28),38,0)-IF(C1135=DATE(2026,12,2),26,0)))</f>
        <v/>
      </c>
      <c r="I1135" s="13">
        <f>IF(AND(C1135&gt;=DATE(2026,11,29),C1135&lt;=DATE(2026,12,1)),B1135*60,0)</f>
        <v/>
      </c>
      <c r="J1135" s="13">
        <f>IF(A1135="",0,B1135*(IF(C1135=DATE(2026,11,28),38,0)+IF(C1135=DATE(2026,12,1),38,0)+IF(C1135=DATE(2026,12,2),26,0)))</f>
        <v/>
      </c>
      <c r="K1135" s="13">
        <f>IF(C1135=Options!$B$9,B1135*12,0)</f>
        <v/>
      </c>
      <c r="L1135" s="13">
        <f>IF(C1135=Options!$B$9,B1135*Options!$Z$6,0)</f>
        <v/>
      </c>
      <c r="M1135" s="13" t="n">
        <v>0</v>
      </c>
      <c r="N1135" s="13">
        <f>SUM(E1135:M1135)</f>
        <v/>
      </c>
    </row>
    <row r="1136">
      <c r="A1136" s="5">
        <f>IF(AND(C1136&gt;=Options!$B$9,C1136&lt;=Options!$B$10),"Denver","")</f>
        <v/>
      </c>
      <c r="B1136" s="5">
        <f>IF(A1136="","",24)</f>
        <v/>
      </c>
      <c r="C1136" s="17" t="n">
        <v>46332</v>
      </c>
      <c r="D1136" s="5">
        <f>IF(A1136="","",IF(C1136=DATE(2026,11,29),"培训；注册午餐；早餐参数",IF(C1136=DATE(2026,11,30),"培训；注册午餐",IF(C1136=DATE(2026,12,1),"培训；注册午餐；机构晚餐",IF(C1136=Options!$B$9,"抵达；"&amp;IF(C1136=DATE(2026,11,28),"机构晚餐","无统一供餐"),IF(C1136=Options!$B$10,"返程；"&amp;IF(C1136=DATE(2026,12,2),"机构午餐","无统一供餐"),"差旅状态；无统一日程"))))))</f>
        <v/>
      </c>
      <c r="E1136" s="13">
        <f>IF(C1136=Options!$B$9,Options!$C$17,0)</f>
        <v/>
      </c>
      <c r="F1136" s="13">
        <f>IF(AND(A1136&lt;&gt;"",C1136&lt;Options!$B$10),B1136*Options!$X$6,0)</f>
        <v/>
      </c>
      <c r="G1136" s="13">
        <f>F1136*12%</f>
        <v/>
      </c>
      <c r="H1136" s="13">
        <f>IF(A1136="",0,B1136*(92*IF(OR(C1136=Options!$B$9,C1136=Options!$B$10),75%,100%)-IF(C1136=DATE(2026,11,29),26+IF(Options!$B$8="是",23,0),0)-IF(C1136=DATE(2026,11,30),26,0)-IF(C1136=DATE(2026,12,1),64,0)-IF(C1136=DATE(2026,11,28),38,0)-IF(C1136=DATE(2026,12,2),26,0)))</f>
        <v/>
      </c>
      <c r="I1136" s="13">
        <f>IF(AND(C1136&gt;=DATE(2026,11,29),C1136&lt;=DATE(2026,12,1)),B1136*60,0)</f>
        <v/>
      </c>
      <c r="J1136" s="13">
        <f>IF(A1136="",0,B1136*(IF(C1136=DATE(2026,11,28),38,0)+IF(C1136=DATE(2026,12,1),38,0)+IF(C1136=DATE(2026,12,2),26,0)))</f>
        <v/>
      </c>
      <c r="K1136" s="13">
        <f>IF(C1136=Options!$B$9,B1136*12,0)</f>
        <v/>
      </c>
      <c r="L1136" s="13">
        <f>IF(C1136=Options!$B$9,B1136*Options!$Z$6,0)</f>
        <v/>
      </c>
      <c r="M1136" s="13" t="n">
        <v>0</v>
      </c>
      <c r="N1136" s="13">
        <f>SUM(E1136:M1136)</f>
        <v/>
      </c>
    </row>
    <row r="1137">
      <c r="A1137" s="5">
        <f>IF(AND(C1137&gt;=Options!$B$9,C1137&lt;=Options!$B$10),"Denver","")</f>
        <v/>
      </c>
      <c r="B1137" s="5">
        <f>IF(A1137="","",24)</f>
        <v/>
      </c>
      <c r="C1137" s="17" t="n">
        <v>46333</v>
      </c>
      <c r="D1137" s="5">
        <f>IF(A1137="","",IF(C1137=DATE(2026,11,29),"培训；注册午餐；早餐参数",IF(C1137=DATE(2026,11,30),"培训；注册午餐",IF(C1137=DATE(2026,12,1),"培训；注册午餐；机构晚餐",IF(C1137=Options!$B$9,"抵达；"&amp;IF(C1137=DATE(2026,11,28),"机构晚餐","无统一供餐"),IF(C1137=Options!$B$10,"返程；"&amp;IF(C1137=DATE(2026,12,2),"机构午餐","无统一供餐"),"差旅状态；无统一日程"))))))</f>
        <v/>
      </c>
      <c r="E1137" s="13">
        <f>IF(C1137=Options!$B$9,Options!$C$17,0)</f>
        <v/>
      </c>
      <c r="F1137" s="13">
        <f>IF(AND(A1137&lt;&gt;"",C1137&lt;Options!$B$10),B1137*Options!$X$6,0)</f>
        <v/>
      </c>
      <c r="G1137" s="13">
        <f>F1137*12%</f>
        <v/>
      </c>
      <c r="H1137" s="13">
        <f>IF(A1137="",0,B1137*(92*IF(OR(C1137=Options!$B$9,C1137=Options!$B$10),75%,100%)-IF(C1137=DATE(2026,11,29),26+IF(Options!$B$8="是",23,0),0)-IF(C1137=DATE(2026,11,30),26,0)-IF(C1137=DATE(2026,12,1),64,0)-IF(C1137=DATE(2026,11,28),38,0)-IF(C1137=DATE(2026,12,2),26,0)))</f>
        <v/>
      </c>
      <c r="I1137" s="13">
        <f>IF(AND(C1137&gt;=DATE(2026,11,29),C1137&lt;=DATE(2026,12,1)),B1137*60,0)</f>
        <v/>
      </c>
      <c r="J1137" s="13">
        <f>IF(A1137="",0,B1137*(IF(C1137=DATE(2026,11,28),38,0)+IF(C1137=DATE(2026,12,1),38,0)+IF(C1137=DATE(2026,12,2),26,0)))</f>
        <v/>
      </c>
      <c r="K1137" s="13">
        <f>IF(C1137=Options!$B$9,B1137*12,0)</f>
        <v/>
      </c>
      <c r="L1137" s="13">
        <f>IF(C1137=Options!$B$9,B1137*Options!$Z$6,0)</f>
        <v/>
      </c>
      <c r="M1137" s="13" t="n">
        <v>0</v>
      </c>
      <c r="N1137" s="13">
        <f>SUM(E1137:M1137)</f>
        <v/>
      </c>
    </row>
    <row r="1138">
      <c r="A1138" s="5">
        <f>IF(AND(C1138&gt;=Options!$B$9,C1138&lt;=Options!$B$10),"Denver","")</f>
        <v/>
      </c>
      <c r="B1138" s="5">
        <f>IF(A1138="","",24)</f>
        <v/>
      </c>
      <c r="C1138" s="17" t="n">
        <v>46334</v>
      </c>
      <c r="D1138" s="5">
        <f>IF(A1138="","",IF(C1138=DATE(2026,11,29),"培训；注册午餐；早餐参数",IF(C1138=DATE(2026,11,30),"培训；注册午餐",IF(C1138=DATE(2026,12,1),"培训；注册午餐；机构晚餐",IF(C1138=Options!$B$9,"抵达；"&amp;IF(C1138=DATE(2026,11,28),"机构晚餐","无统一供餐"),IF(C1138=Options!$B$10,"返程；"&amp;IF(C1138=DATE(2026,12,2),"机构午餐","无统一供餐"),"差旅状态；无统一日程"))))))</f>
        <v/>
      </c>
      <c r="E1138" s="13">
        <f>IF(C1138=Options!$B$9,Options!$C$17,0)</f>
        <v/>
      </c>
      <c r="F1138" s="13">
        <f>IF(AND(A1138&lt;&gt;"",C1138&lt;Options!$B$10),B1138*Options!$X$6,0)</f>
        <v/>
      </c>
      <c r="G1138" s="13">
        <f>F1138*12%</f>
        <v/>
      </c>
      <c r="H1138" s="13">
        <f>IF(A1138="",0,B1138*(92*IF(OR(C1138=Options!$B$9,C1138=Options!$B$10),75%,100%)-IF(C1138=DATE(2026,11,29),26+IF(Options!$B$8="是",23,0),0)-IF(C1138=DATE(2026,11,30),26,0)-IF(C1138=DATE(2026,12,1),64,0)-IF(C1138=DATE(2026,11,28),38,0)-IF(C1138=DATE(2026,12,2),26,0)))</f>
        <v/>
      </c>
      <c r="I1138" s="13">
        <f>IF(AND(C1138&gt;=DATE(2026,11,29),C1138&lt;=DATE(2026,12,1)),B1138*60,0)</f>
        <v/>
      </c>
      <c r="J1138" s="13">
        <f>IF(A1138="",0,B1138*(IF(C1138=DATE(2026,11,28),38,0)+IF(C1138=DATE(2026,12,1),38,0)+IF(C1138=DATE(2026,12,2),26,0)))</f>
        <v/>
      </c>
      <c r="K1138" s="13">
        <f>IF(C1138=Options!$B$9,B1138*12,0)</f>
        <v/>
      </c>
      <c r="L1138" s="13">
        <f>IF(C1138=Options!$B$9,B1138*Options!$Z$6,0)</f>
        <v/>
      </c>
      <c r="M1138" s="13" t="n">
        <v>0</v>
      </c>
      <c r="N1138" s="13">
        <f>SUM(E1138:M1138)</f>
        <v/>
      </c>
    </row>
    <row r="1139">
      <c r="A1139" s="5">
        <f>IF(AND(C1139&gt;=Options!$B$9,C1139&lt;=Options!$B$10),"Denver","")</f>
        <v/>
      </c>
      <c r="B1139" s="5">
        <f>IF(A1139="","",24)</f>
        <v/>
      </c>
      <c r="C1139" s="17" t="n">
        <v>46335</v>
      </c>
      <c r="D1139" s="5">
        <f>IF(A1139="","",IF(C1139=DATE(2026,11,29),"培训；注册午餐；早餐参数",IF(C1139=DATE(2026,11,30),"培训；注册午餐",IF(C1139=DATE(2026,12,1),"培训；注册午餐；机构晚餐",IF(C1139=Options!$B$9,"抵达；"&amp;IF(C1139=DATE(2026,11,28),"机构晚餐","无统一供餐"),IF(C1139=Options!$B$10,"返程；"&amp;IF(C1139=DATE(2026,12,2),"机构午餐","无统一供餐"),"差旅状态；无统一日程"))))))</f>
        <v/>
      </c>
      <c r="E1139" s="13">
        <f>IF(C1139=Options!$B$9,Options!$C$17,0)</f>
        <v/>
      </c>
      <c r="F1139" s="13">
        <f>IF(AND(A1139&lt;&gt;"",C1139&lt;Options!$B$10),B1139*Options!$X$6,0)</f>
        <v/>
      </c>
      <c r="G1139" s="13">
        <f>F1139*12%</f>
        <v/>
      </c>
      <c r="H1139" s="13">
        <f>IF(A1139="",0,B1139*(92*IF(OR(C1139=Options!$B$9,C1139=Options!$B$10),75%,100%)-IF(C1139=DATE(2026,11,29),26+IF(Options!$B$8="是",23,0),0)-IF(C1139=DATE(2026,11,30),26,0)-IF(C1139=DATE(2026,12,1),64,0)-IF(C1139=DATE(2026,11,28),38,0)-IF(C1139=DATE(2026,12,2),26,0)))</f>
        <v/>
      </c>
      <c r="I1139" s="13">
        <f>IF(AND(C1139&gt;=DATE(2026,11,29),C1139&lt;=DATE(2026,12,1)),B1139*60,0)</f>
        <v/>
      </c>
      <c r="J1139" s="13">
        <f>IF(A1139="",0,B1139*(IF(C1139=DATE(2026,11,28),38,0)+IF(C1139=DATE(2026,12,1),38,0)+IF(C1139=DATE(2026,12,2),26,0)))</f>
        <v/>
      </c>
      <c r="K1139" s="13">
        <f>IF(C1139=Options!$B$9,B1139*12,0)</f>
        <v/>
      </c>
      <c r="L1139" s="13">
        <f>IF(C1139=Options!$B$9,B1139*Options!$Z$6,0)</f>
        <v/>
      </c>
      <c r="M1139" s="13" t="n">
        <v>0</v>
      </c>
      <c r="N1139" s="13">
        <f>SUM(E1139:M1139)</f>
        <v/>
      </c>
    </row>
    <row r="1140">
      <c r="A1140" s="5">
        <f>IF(AND(C1140&gt;=Options!$B$9,C1140&lt;=Options!$B$10),"Denver","")</f>
        <v/>
      </c>
      <c r="B1140" s="5">
        <f>IF(A1140="","",24)</f>
        <v/>
      </c>
      <c r="C1140" s="17" t="n">
        <v>46336</v>
      </c>
      <c r="D1140" s="5">
        <f>IF(A1140="","",IF(C1140=DATE(2026,11,29),"培训；注册午餐；早餐参数",IF(C1140=DATE(2026,11,30),"培训；注册午餐",IF(C1140=DATE(2026,12,1),"培训；注册午餐；机构晚餐",IF(C1140=Options!$B$9,"抵达；"&amp;IF(C1140=DATE(2026,11,28),"机构晚餐","无统一供餐"),IF(C1140=Options!$B$10,"返程；"&amp;IF(C1140=DATE(2026,12,2),"机构午餐","无统一供餐"),"差旅状态；无统一日程"))))))</f>
        <v/>
      </c>
      <c r="E1140" s="13">
        <f>IF(C1140=Options!$B$9,Options!$C$17,0)</f>
        <v/>
      </c>
      <c r="F1140" s="13">
        <f>IF(AND(A1140&lt;&gt;"",C1140&lt;Options!$B$10),B1140*Options!$X$6,0)</f>
        <v/>
      </c>
      <c r="G1140" s="13">
        <f>F1140*12%</f>
        <v/>
      </c>
      <c r="H1140" s="13">
        <f>IF(A1140="",0,B1140*(92*IF(OR(C1140=Options!$B$9,C1140=Options!$B$10),75%,100%)-IF(C1140=DATE(2026,11,29),26+IF(Options!$B$8="是",23,0),0)-IF(C1140=DATE(2026,11,30),26,0)-IF(C1140=DATE(2026,12,1),64,0)-IF(C1140=DATE(2026,11,28),38,0)-IF(C1140=DATE(2026,12,2),26,0)))</f>
        <v/>
      </c>
      <c r="I1140" s="13">
        <f>IF(AND(C1140&gt;=DATE(2026,11,29),C1140&lt;=DATE(2026,12,1)),B1140*60,0)</f>
        <v/>
      </c>
      <c r="J1140" s="13">
        <f>IF(A1140="",0,B1140*(IF(C1140=DATE(2026,11,28),38,0)+IF(C1140=DATE(2026,12,1),38,0)+IF(C1140=DATE(2026,12,2),26,0)))</f>
        <v/>
      </c>
      <c r="K1140" s="13">
        <f>IF(C1140=Options!$B$9,B1140*12,0)</f>
        <v/>
      </c>
      <c r="L1140" s="13">
        <f>IF(C1140=Options!$B$9,B1140*Options!$Z$6,0)</f>
        <v/>
      </c>
      <c r="M1140" s="13" t="n">
        <v>0</v>
      </c>
      <c r="N1140" s="13">
        <f>SUM(E1140:M1140)</f>
        <v/>
      </c>
    </row>
    <row r="1141">
      <c r="A1141" s="5">
        <f>IF(AND(C1141&gt;=Options!$B$9,C1141&lt;=Options!$B$10),"Denver","")</f>
        <v/>
      </c>
      <c r="B1141" s="5">
        <f>IF(A1141="","",24)</f>
        <v/>
      </c>
      <c r="C1141" s="17" t="n">
        <v>46337</v>
      </c>
      <c r="D1141" s="5">
        <f>IF(A1141="","",IF(C1141=DATE(2026,11,29),"培训；注册午餐；早餐参数",IF(C1141=DATE(2026,11,30),"培训；注册午餐",IF(C1141=DATE(2026,12,1),"培训；注册午餐；机构晚餐",IF(C1141=Options!$B$9,"抵达；"&amp;IF(C1141=DATE(2026,11,28),"机构晚餐","无统一供餐"),IF(C1141=Options!$B$10,"返程；"&amp;IF(C1141=DATE(2026,12,2),"机构午餐","无统一供餐"),"差旅状态；无统一日程"))))))</f>
        <v/>
      </c>
      <c r="E1141" s="13">
        <f>IF(C1141=Options!$B$9,Options!$C$17,0)</f>
        <v/>
      </c>
      <c r="F1141" s="13">
        <f>IF(AND(A1141&lt;&gt;"",C1141&lt;Options!$B$10),B1141*Options!$X$6,0)</f>
        <v/>
      </c>
      <c r="G1141" s="13">
        <f>F1141*12%</f>
        <v/>
      </c>
      <c r="H1141" s="13">
        <f>IF(A1141="",0,B1141*(92*IF(OR(C1141=Options!$B$9,C1141=Options!$B$10),75%,100%)-IF(C1141=DATE(2026,11,29),26+IF(Options!$B$8="是",23,0),0)-IF(C1141=DATE(2026,11,30),26,0)-IF(C1141=DATE(2026,12,1),64,0)-IF(C1141=DATE(2026,11,28),38,0)-IF(C1141=DATE(2026,12,2),26,0)))</f>
        <v/>
      </c>
      <c r="I1141" s="13">
        <f>IF(AND(C1141&gt;=DATE(2026,11,29),C1141&lt;=DATE(2026,12,1)),B1141*60,0)</f>
        <v/>
      </c>
      <c r="J1141" s="13">
        <f>IF(A1141="",0,B1141*(IF(C1141=DATE(2026,11,28),38,0)+IF(C1141=DATE(2026,12,1),38,0)+IF(C1141=DATE(2026,12,2),26,0)))</f>
        <v/>
      </c>
      <c r="K1141" s="13">
        <f>IF(C1141=Options!$B$9,B1141*12,0)</f>
        <v/>
      </c>
      <c r="L1141" s="13">
        <f>IF(C1141=Options!$B$9,B1141*Options!$Z$6,0)</f>
        <v/>
      </c>
      <c r="M1141" s="13" t="n">
        <v>0</v>
      </c>
      <c r="N1141" s="13">
        <f>SUM(E1141:M1141)</f>
        <v/>
      </c>
    </row>
    <row r="1142">
      <c r="A1142" s="5">
        <f>IF(AND(C1142&gt;=Options!$B$9,C1142&lt;=Options!$B$10),"Denver","")</f>
        <v/>
      </c>
      <c r="B1142" s="5">
        <f>IF(A1142="","",24)</f>
        <v/>
      </c>
      <c r="C1142" s="17" t="n">
        <v>46338</v>
      </c>
      <c r="D1142" s="5">
        <f>IF(A1142="","",IF(C1142=DATE(2026,11,29),"培训；注册午餐；早餐参数",IF(C1142=DATE(2026,11,30),"培训；注册午餐",IF(C1142=DATE(2026,12,1),"培训；注册午餐；机构晚餐",IF(C1142=Options!$B$9,"抵达；"&amp;IF(C1142=DATE(2026,11,28),"机构晚餐","无统一供餐"),IF(C1142=Options!$B$10,"返程；"&amp;IF(C1142=DATE(2026,12,2),"机构午餐","无统一供餐"),"差旅状态；无统一日程"))))))</f>
        <v/>
      </c>
      <c r="E1142" s="13">
        <f>IF(C1142=Options!$B$9,Options!$C$17,0)</f>
        <v/>
      </c>
      <c r="F1142" s="13">
        <f>IF(AND(A1142&lt;&gt;"",C1142&lt;Options!$B$10),B1142*Options!$X$6,0)</f>
        <v/>
      </c>
      <c r="G1142" s="13">
        <f>F1142*12%</f>
        <v/>
      </c>
      <c r="H1142" s="13">
        <f>IF(A1142="",0,B1142*(92*IF(OR(C1142=Options!$B$9,C1142=Options!$B$10),75%,100%)-IF(C1142=DATE(2026,11,29),26+IF(Options!$B$8="是",23,0),0)-IF(C1142=DATE(2026,11,30),26,0)-IF(C1142=DATE(2026,12,1),64,0)-IF(C1142=DATE(2026,11,28),38,0)-IF(C1142=DATE(2026,12,2),26,0)))</f>
        <v/>
      </c>
      <c r="I1142" s="13">
        <f>IF(AND(C1142&gt;=DATE(2026,11,29),C1142&lt;=DATE(2026,12,1)),B1142*60,0)</f>
        <v/>
      </c>
      <c r="J1142" s="13">
        <f>IF(A1142="",0,B1142*(IF(C1142=DATE(2026,11,28),38,0)+IF(C1142=DATE(2026,12,1),38,0)+IF(C1142=DATE(2026,12,2),26,0)))</f>
        <v/>
      </c>
      <c r="K1142" s="13">
        <f>IF(C1142=Options!$B$9,B1142*12,0)</f>
        <v/>
      </c>
      <c r="L1142" s="13">
        <f>IF(C1142=Options!$B$9,B1142*Options!$Z$6,0)</f>
        <v/>
      </c>
      <c r="M1142" s="13" t="n">
        <v>0</v>
      </c>
      <c r="N1142" s="13">
        <f>SUM(E1142:M1142)</f>
        <v/>
      </c>
    </row>
    <row r="1143">
      <c r="A1143" s="5">
        <f>IF(AND(C1143&gt;=Options!$B$9,C1143&lt;=Options!$B$10),"Denver","")</f>
        <v/>
      </c>
      <c r="B1143" s="5">
        <f>IF(A1143="","",24)</f>
        <v/>
      </c>
      <c r="C1143" s="17" t="n">
        <v>46339</v>
      </c>
      <c r="D1143" s="5">
        <f>IF(A1143="","",IF(C1143=DATE(2026,11,29),"培训；注册午餐；早餐参数",IF(C1143=DATE(2026,11,30),"培训；注册午餐",IF(C1143=DATE(2026,12,1),"培训；注册午餐；机构晚餐",IF(C1143=Options!$B$9,"抵达；"&amp;IF(C1143=DATE(2026,11,28),"机构晚餐","无统一供餐"),IF(C1143=Options!$B$10,"返程；"&amp;IF(C1143=DATE(2026,12,2),"机构午餐","无统一供餐"),"差旅状态；无统一日程"))))))</f>
        <v/>
      </c>
      <c r="E1143" s="13">
        <f>IF(C1143=Options!$B$9,Options!$C$17,0)</f>
        <v/>
      </c>
      <c r="F1143" s="13">
        <f>IF(AND(A1143&lt;&gt;"",C1143&lt;Options!$B$10),B1143*Options!$X$6,0)</f>
        <v/>
      </c>
      <c r="G1143" s="13">
        <f>F1143*12%</f>
        <v/>
      </c>
      <c r="H1143" s="13">
        <f>IF(A1143="",0,B1143*(92*IF(OR(C1143=Options!$B$9,C1143=Options!$B$10),75%,100%)-IF(C1143=DATE(2026,11,29),26+IF(Options!$B$8="是",23,0),0)-IF(C1143=DATE(2026,11,30),26,0)-IF(C1143=DATE(2026,12,1),64,0)-IF(C1143=DATE(2026,11,28),38,0)-IF(C1143=DATE(2026,12,2),26,0)))</f>
        <v/>
      </c>
      <c r="I1143" s="13">
        <f>IF(AND(C1143&gt;=DATE(2026,11,29),C1143&lt;=DATE(2026,12,1)),B1143*60,0)</f>
        <v/>
      </c>
      <c r="J1143" s="13">
        <f>IF(A1143="",0,B1143*(IF(C1143=DATE(2026,11,28),38,0)+IF(C1143=DATE(2026,12,1),38,0)+IF(C1143=DATE(2026,12,2),26,0)))</f>
        <v/>
      </c>
      <c r="K1143" s="13">
        <f>IF(C1143=Options!$B$9,B1143*12,0)</f>
        <v/>
      </c>
      <c r="L1143" s="13">
        <f>IF(C1143=Options!$B$9,B1143*Options!$Z$6,0)</f>
        <v/>
      </c>
      <c r="M1143" s="13" t="n">
        <v>0</v>
      </c>
      <c r="N1143" s="13">
        <f>SUM(E1143:M1143)</f>
        <v/>
      </c>
    </row>
    <row r="1144">
      <c r="A1144" s="5">
        <f>IF(AND(C1144&gt;=Options!$B$9,C1144&lt;=Options!$B$10),"Denver","")</f>
        <v/>
      </c>
      <c r="B1144" s="5">
        <f>IF(A1144="","",24)</f>
        <v/>
      </c>
      <c r="C1144" s="17" t="n">
        <v>46340</v>
      </c>
      <c r="D1144" s="5">
        <f>IF(A1144="","",IF(C1144=DATE(2026,11,29),"培训；注册午餐；早餐参数",IF(C1144=DATE(2026,11,30),"培训；注册午餐",IF(C1144=DATE(2026,12,1),"培训；注册午餐；机构晚餐",IF(C1144=Options!$B$9,"抵达；"&amp;IF(C1144=DATE(2026,11,28),"机构晚餐","无统一供餐"),IF(C1144=Options!$B$10,"返程；"&amp;IF(C1144=DATE(2026,12,2),"机构午餐","无统一供餐"),"差旅状态；无统一日程"))))))</f>
        <v/>
      </c>
      <c r="E1144" s="13">
        <f>IF(C1144=Options!$B$9,Options!$C$17,0)</f>
        <v/>
      </c>
      <c r="F1144" s="13">
        <f>IF(AND(A1144&lt;&gt;"",C1144&lt;Options!$B$10),B1144*Options!$X$6,0)</f>
        <v/>
      </c>
      <c r="G1144" s="13">
        <f>F1144*12%</f>
        <v/>
      </c>
      <c r="H1144" s="13">
        <f>IF(A1144="",0,B1144*(92*IF(OR(C1144=Options!$B$9,C1144=Options!$B$10),75%,100%)-IF(C1144=DATE(2026,11,29),26+IF(Options!$B$8="是",23,0),0)-IF(C1144=DATE(2026,11,30),26,0)-IF(C1144=DATE(2026,12,1),64,0)-IF(C1144=DATE(2026,11,28),38,0)-IF(C1144=DATE(2026,12,2),26,0)))</f>
        <v/>
      </c>
      <c r="I1144" s="13">
        <f>IF(AND(C1144&gt;=DATE(2026,11,29),C1144&lt;=DATE(2026,12,1)),B1144*60,0)</f>
        <v/>
      </c>
      <c r="J1144" s="13">
        <f>IF(A1144="",0,B1144*(IF(C1144=DATE(2026,11,28),38,0)+IF(C1144=DATE(2026,12,1),38,0)+IF(C1144=DATE(2026,12,2),26,0)))</f>
        <v/>
      </c>
      <c r="K1144" s="13">
        <f>IF(C1144=Options!$B$9,B1144*12,0)</f>
        <v/>
      </c>
      <c r="L1144" s="13">
        <f>IF(C1144=Options!$B$9,B1144*Options!$Z$6,0)</f>
        <v/>
      </c>
      <c r="M1144" s="13" t="n">
        <v>0</v>
      </c>
      <c r="N1144" s="13">
        <f>SUM(E1144:M1144)</f>
        <v/>
      </c>
    </row>
    <row r="1145">
      <c r="A1145" s="5">
        <f>IF(AND(C1145&gt;=Options!$B$9,C1145&lt;=Options!$B$10),"Denver","")</f>
        <v/>
      </c>
      <c r="B1145" s="5">
        <f>IF(A1145="","",24)</f>
        <v/>
      </c>
      <c r="C1145" s="17" t="n">
        <v>46341</v>
      </c>
      <c r="D1145" s="5">
        <f>IF(A1145="","",IF(C1145=DATE(2026,11,29),"培训；注册午餐；早餐参数",IF(C1145=DATE(2026,11,30),"培训；注册午餐",IF(C1145=DATE(2026,12,1),"培训；注册午餐；机构晚餐",IF(C1145=Options!$B$9,"抵达；"&amp;IF(C1145=DATE(2026,11,28),"机构晚餐","无统一供餐"),IF(C1145=Options!$B$10,"返程；"&amp;IF(C1145=DATE(2026,12,2),"机构午餐","无统一供餐"),"差旅状态；无统一日程"))))))</f>
        <v/>
      </c>
      <c r="E1145" s="13">
        <f>IF(C1145=Options!$B$9,Options!$C$17,0)</f>
        <v/>
      </c>
      <c r="F1145" s="13">
        <f>IF(AND(A1145&lt;&gt;"",C1145&lt;Options!$B$10),B1145*Options!$X$6,0)</f>
        <v/>
      </c>
      <c r="G1145" s="13">
        <f>F1145*12%</f>
        <v/>
      </c>
      <c r="H1145" s="13">
        <f>IF(A1145="",0,B1145*(92*IF(OR(C1145=Options!$B$9,C1145=Options!$B$10),75%,100%)-IF(C1145=DATE(2026,11,29),26+IF(Options!$B$8="是",23,0),0)-IF(C1145=DATE(2026,11,30),26,0)-IF(C1145=DATE(2026,12,1),64,0)-IF(C1145=DATE(2026,11,28),38,0)-IF(C1145=DATE(2026,12,2),26,0)))</f>
        <v/>
      </c>
      <c r="I1145" s="13">
        <f>IF(AND(C1145&gt;=DATE(2026,11,29),C1145&lt;=DATE(2026,12,1)),B1145*60,0)</f>
        <v/>
      </c>
      <c r="J1145" s="13">
        <f>IF(A1145="",0,B1145*(IF(C1145=DATE(2026,11,28),38,0)+IF(C1145=DATE(2026,12,1),38,0)+IF(C1145=DATE(2026,12,2),26,0)))</f>
        <v/>
      </c>
      <c r="K1145" s="13">
        <f>IF(C1145=Options!$B$9,B1145*12,0)</f>
        <v/>
      </c>
      <c r="L1145" s="13">
        <f>IF(C1145=Options!$B$9,B1145*Options!$Z$6,0)</f>
        <v/>
      </c>
      <c r="M1145" s="13" t="n">
        <v>0</v>
      </c>
      <c r="N1145" s="13">
        <f>SUM(E1145:M1145)</f>
        <v/>
      </c>
    </row>
    <row r="1146">
      <c r="A1146" s="5">
        <f>IF(AND(C1146&gt;=Options!$B$9,C1146&lt;=Options!$B$10),"Denver","")</f>
        <v/>
      </c>
      <c r="B1146" s="5">
        <f>IF(A1146="","",24)</f>
        <v/>
      </c>
      <c r="C1146" s="17" t="n">
        <v>46342</v>
      </c>
      <c r="D1146" s="5">
        <f>IF(A1146="","",IF(C1146=DATE(2026,11,29),"培训；注册午餐；早餐参数",IF(C1146=DATE(2026,11,30),"培训；注册午餐",IF(C1146=DATE(2026,12,1),"培训；注册午餐；机构晚餐",IF(C1146=Options!$B$9,"抵达；"&amp;IF(C1146=DATE(2026,11,28),"机构晚餐","无统一供餐"),IF(C1146=Options!$B$10,"返程；"&amp;IF(C1146=DATE(2026,12,2),"机构午餐","无统一供餐"),"差旅状态；无统一日程"))))))</f>
        <v/>
      </c>
      <c r="E1146" s="13">
        <f>IF(C1146=Options!$B$9,Options!$C$17,0)</f>
        <v/>
      </c>
      <c r="F1146" s="13">
        <f>IF(AND(A1146&lt;&gt;"",C1146&lt;Options!$B$10),B1146*Options!$X$6,0)</f>
        <v/>
      </c>
      <c r="G1146" s="13">
        <f>F1146*12%</f>
        <v/>
      </c>
      <c r="H1146" s="13">
        <f>IF(A1146="",0,B1146*(92*IF(OR(C1146=Options!$B$9,C1146=Options!$B$10),75%,100%)-IF(C1146=DATE(2026,11,29),26+IF(Options!$B$8="是",23,0),0)-IF(C1146=DATE(2026,11,30),26,0)-IF(C1146=DATE(2026,12,1),64,0)-IF(C1146=DATE(2026,11,28),38,0)-IF(C1146=DATE(2026,12,2),26,0)))</f>
        <v/>
      </c>
      <c r="I1146" s="13">
        <f>IF(AND(C1146&gt;=DATE(2026,11,29),C1146&lt;=DATE(2026,12,1)),B1146*60,0)</f>
        <v/>
      </c>
      <c r="J1146" s="13">
        <f>IF(A1146="",0,B1146*(IF(C1146=DATE(2026,11,28),38,0)+IF(C1146=DATE(2026,12,1),38,0)+IF(C1146=DATE(2026,12,2),26,0)))</f>
        <v/>
      </c>
      <c r="K1146" s="13">
        <f>IF(C1146=Options!$B$9,B1146*12,0)</f>
        <v/>
      </c>
      <c r="L1146" s="13">
        <f>IF(C1146=Options!$B$9,B1146*Options!$Z$6,0)</f>
        <v/>
      </c>
      <c r="M1146" s="13" t="n">
        <v>0</v>
      </c>
      <c r="N1146" s="13">
        <f>SUM(E1146:M1146)</f>
        <v/>
      </c>
    </row>
    <row r="1147">
      <c r="A1147" s="5">
        <f>IF(AND(C1147&gt;=Options!$B$9,C1147&lt;=Options!$B$10),"Denver","")</f>
        <v/>
      </c>
      <c r="B1147" s="5">
        <f>IF(A1147="","",24)</f>
        <v/>
      </c>
      <c r="C1147" s="17" t="n">
        <v>46343</v>
      </c>
      <c r="D1147" s="5">
        <f>IF(A1147="","",IF(C1147=DATE(2026,11,29),"培训；注册午餐；早餐参数",IF(C1147=DATE(2026,11,30),"培训；注册午餐",IF(C1147=DATE(2026,12,1),"培训；注册午餐；机构晚餐",IF(C1147=Options!$B$9,"抵达；"&amp;IF(C1147=DATE(2026,11,28),"机构晚餐","无统一供餐"),IF(C1147=Options!$B$10,"返程；"&amp;IF(C1147=DATE(2026,12,2),"机构午餐","无统一供餐"),"差旅状态；无统一日程"))))))</f>
        <v/>
      </c>
      <c r="E1147" s="13">
        <f>IF(C1147=Options!$B$9,Options!$C$17,0)</f>
        <v/>
      </c>
      <c r="F1147" s="13">
        <f>IF(AND(A1147&lt;&gt;"",C1147&lt;Options!$B$10),B1147*Options!$X$6,0)</f>
        <v/>
      </c>
      <c r="G1147" s="13">
        <f>F1147*12%</f>
        <v/>
      </c>
      <c r="H1147" s="13">
        <f>IF(A1147="",0,B1147*(92*IF(OR(C1147=Options!$B$9,C1147=Options!$B$10),75%,100%)-IF(C1147=DATE(2026,11,29),26+IF(Options!$B$8="是",23,0),0)-IF(C1147=DATE(2026,11,30),26,0)-IF(C1147=DATE(2026,12,1),64,0)-IF(C1147=DATE(2026,11,28),38,0)-IF(C1147=DATE(2026,12,2),26,0)))</f>
        <v/>
      </c>
      <c r="I1147" s="13">
        <f>IF(AND(C1147&gt;=DATE(2026,11,29),C1147&lt;=DATE(2026,12,1)),B1147*60,0)</f>
        <v/>
      </c>
      <c r="J1147" s="13">
        <f>IF(A1147="",0,B1147*(IF(C1147=DATE(2026,11,28),38,0)+IF(C1147=DATE(2026,12,1),38,0)+IF(C1147=DATE(2026,12,2),26,0)))</f>
        <v/>
      </c>
      <c r="K1147" s="13">
        <f>IF(C1147=Options!$B$9,B1147*12,0)</f>
        <v/>
      </c>
      <c r="L1147" s="13">
        <f>IF(C1147=Options!$B$9,B1147*Options!$Z$6,0)</f>
        <v/>
      </c>
      <c r="M1147" s="13" t="n">
        <v>0</v>
      </c>
      <c r="N1147" s="13">
        <f>SUM(E1147:M1147)</f>
        <v/>
      </c>
    </row>
    <row r="1148">
      <c r="A1148" s="5">
        <f>IF(AND(C1148&gt;=Options!$B$9,C1148&lt;=Options!$B$10),"Denver","")</f>
        <v/>
      </c>
      <c r="B1148" s="5">
        <f>IF(A1148="","",24)</f>
        <v/>
      </c>
      <c r="C1148" s="17" t="n">
        <v>46344</v>
      </c>
      <c r="D1148" s="5">
        <f>IF(A1148="","",IF(C1148=DATE(2026,11,29),"培训；注册午餐；早餐参数",IF(C1148=DATE(2026,11,30),"培训；注册午餐",IF(C1148=DATE(2026,12,1),"培训；注册午餐；机构晚餐",IF(C1148=Options!$B$9,"抵达；"&amp;IF(C1148=DATE(2026,11,28),"机构晚餐","无统一供餐"),IF(C1148=Options!$B$10,"返程；"&amp;IF(C1148=DATE(2026,12,2),"机构午餐","无统一供餐"),"差旅状态；无统一日程"))))))</f>
        <v/>
      </c>
      <c r="E1148" s="13">
        <f>IF(C1148=Options!$B$9,Options!$C$17,0)</f>
        <v/>
      </c>
      <c r="F1148" s="13">
        <f>IF(AND(A1148&lt;&gt;"",C1148&lt;Options!$B$10),B1148*Options!$X$6,0)</f>
        <v/>
      </c>
      <c r="G1148" s="13">
        <f>F1148*12%</f>
        <v/>
      </c>
      <c r="H1148" s="13">
        <f>IF(A1148="",0,B1148*(92*IF(OR(C1148=Options!$B$9,C1148=Options!$B$10),75%,100%)-IF(C1148=DATE(2026,11,29),26+IF(Options!$B$8="是",23,0),0)-IF(C1148=DATE(2026,11,30),26,0)-IF(C1148=DATE(2026,12,1),64,0)-IF(C1148=DATE(2026,11,28),38,0)-IF(C1148=DATE(2026,12,2),26,0)))</f>
        <v/>
      </c>
      <c r="I1148" s="13">
        <f>IF(AND(C1148&gt;=DATE(2026,11,29),C1148&lt;=DATE(2026,12,1)),B1148*60,0)</f>
        <v/>
      </c>
      <c r="J1148" s="13">
        <f>IF(A1148="",0,B1148*(IF(C1148=DATE(2026,11,28),38,0)+IF(C1148=DATE(2026,12,1),38,0)+IF(C1148=DATE(2026,12,2),26,0)))</f>
        <v/>
      </c>
      <c r="K1148" s="13">
        <f>IF(C1148=Options!$B$9,B1148*12,0)</f>
        <v/>
      </c>
      <c r="L1148" s="13">
        <f>IF(C1148=Options!$B$9,B1148*Options!$Z$6,0)</f>
        <v/>
      </c>
      <c r="M1148" s="13" t="n">
        <v>0</v>
      </c>
      <c r="N1148" s="13">
        <f>SUM(E1148:M1148)</f>
        <v/>
      </c>
    </row>
    <row r="1149">
      <c r="A1149" s="5">
        <f>IF(AND(C1149&gt;=Options!$B$9,C1149&lt;=Options!$B$10),"Denver","")</f>
        <v/>
      </c>
      <c r="B1149" s="5">
        <f>IF(A1149="","",24)</f>
        <v/>
      </c>
      <c r="C1149" s="17" t="n">
        <v>46345</v>
      </c>
      <c r="D1149" s="5">
        <f>IF(A1149="","",IF(C1149=DATE(2026,11,29),"培训；注册午餐；早餐参数",IF(C1149=DATE(2026,11,30),"培训；注册午餐",IF(C1149=DATE(2026,12,1),"培训；注册午餐；机构晚餐",IF(C1149=Options!$B$9,"抵达；"&amp;IF(C1149=DATE(2026,11,28),"机构晚餐","无统一供餐"),IF(C1149=Options!$B$10,"返程；"&amp;IF(C1149=DATE(2026,12,2),"机构午餐","无统一供餐"),"差旅状态；无统一日程"))))))</f>
        <v/>
      </c>
      <c r="E1149" s="13">
        <f>IF(C1149=Options!$B$9,Options!$C$17,0)</f>
        <v/>
      </c>
      <c r="F1149" s="13">
        <f>IF(AND(A1149&lt;&gt;"",C1149&lt;Options!$B$10),B1149*Options!$X$6,0)</f>
        <v/>
      </c>
      <c r="G1149" s="13">
        <f>F1149*12%</f>
        <v/>
      </c>
      <c r="H1149" s="13">
        <f>IF(A1149="",0,B1149*(92*IF(OR(C1149=Options!$B$9,C1149=Options!$B$10),75%,100%)-IF(C1149=DATE(2026,11,29),26+IF(Options!$B$8="是",23,0),0)-IF(C1149=DATE(2026,11,30),26,0)-IF(C1149=DATE(2026,12,1),64,0)-IF(C1149=DATE(2026,11,28),38,0)-IF(C1149=DATE(2026,12,2),26,0)))</f>
        <v/>
      </c>
      <c r="I1149" s="13">
        <f>IF(AND(C1149&gt;=DATE(2026,11,29),C1149&lt;=DATE(2026,12,1)),B1149*60,0)</f>
        <v/>
      </c>
      <c r="J1149" s="13">
        <f>IF(A1149="",0,B1149*(IF(C1149=DATE(2026,11,28),38,0)+IF(C1149=DATE(2026,12,1),38,0)+IF(C1149=DATE(2026,12,2),26,0)))</f>
        <v/>
      </c>
      <c r="K1149" s="13">
        <f>IF(C1149=Options!$B$9,B1149*12,0)</f>
        <v/>
      </c>
      <c r="L1149" s="13">
        <f>IF(C1149=Options!$B$9,B1149*Options!$Z$6,0)</f>
        <v/>
      </c>
      <c r="M1149" s="13" t="n">
        <v>0</v>
      </c>
      <c r="N1149" s="13">
        <f>SUM(E1149:M1149)</f>
        <v/>
      </c>
    </row>
    <row r="1150">
      <c r="A1150" s="5">
        <f>IF(AND(C1150&gt;=Options!$B$9,C1150&lt;=Options!$B$10),"Denver","")</f>
        <v/>
      </c>
      <c r="B1150" s="5">
        <f>IF(A1150="","",24)</f>
        <v/>
      </c>
      <c r="C1150" s="17" t="n">
        <v>46346</v>
      </c>
      <c r="D1150" s="5">
        <f>IF(A1150="","",IF(C1150=DATE(2026,11,29),"培训；注册午餐；早餐参数",IF(C1150=DATE(2026,11,30),"培训；注册午餐",IF(C1150=DATE(2026,12,1),"培训；注册午餐；机构晚餐",IF(C1150=Options!$B$9,"抵达；"&amp;IF(C1150=DATE(2026,11,28),"机构晚餐","无统一供餐"),IF(C1150=Options!$B$10,"返程；"&amp;IF(C1150=DATE(2026,12,2),"机构午餐","无统一供餐"),"差旅状态；无统一日程"))))))</f>
        <v/>
      </c>
      <c r="E1150" s="13">
        <f>IF(C1150=Options!$B$9,Options!$C$17,0)</f>
        <v/>
      </c>
      <c r="F1150" s="13">
        <f>IF(AND(A1150&lt;&gt;"",C1150&lt;Options!$B$10),B1150*Options!$X$6,0)</f>
        <v/>
      </c>
      <c r="G1150" s="13">
        <f>F1150*12%</f>
        <v/>
      </c>
      <c r="H1150" s="13">
        <f>IF(A1150="",0,B1150*(92*IF(OR(C1150=Options!$B$9,C1150=Options!$B$10),75%,100%)-IF(C1150=DATE(2026,11,29),26+IF(Options!$B$8="是",23,0),0)-IF(C1150=DATE(2026,11,30),26,0)-IF(C1150=DATE(2026,12,1),64,0)-IF(C1150=DATE(2026,11,28),38,0)-IF(C1150=DATE(2026,12,2),26,0)))</f>
        <v/>
      </c>
      <c r="I1150" s="13">
        <f>IF(AND(C1150&gt;=DATE(2026,11,29),C1150&lt;=DATE(2026,12,1)),B1150*60,0)</f>
        <v/>
      </c>
      <c r="J1150" s="13">
        <f>IF(A1150="",0,B1150*(IF(C1150=DATE(2026,11,28),38,0)+IF(C1150=DATE(2026,12,1),38,0)+IF(C1150=DATE(2026,12,2),26,0)))</f>
        <v/>
      </c>
      <c r="K1150" s="13">
        <f>IF(C1150=Options!$B$9,B1150*12,0)</f>
        <v/>
      </c>
      <c r="L1150" s="13">
        <f>IF(C1150=Options!$B$9,B1150*Options!$Z$6,0)</f>
        <v/>
      </c>
      <c r="M1150" s="13" t="n">
        <v>0</v>
      </c>
      <c r="N1150" s="13">
        <f>SUM(E1150:M1150)</f>
        <v/>
      </c>
    </row>
    <row r="1151">
      <c r="A1151" s="5">
        <f>IF(AND(C1151&gt;=Options!$B$9,C1151&lt;=Options!$B$10),"Denver","")</f>
        <v/>
      </c>
      <c r="B1151" s="5">
        <f>IF(A1151="","",24)</f>
        <v/>
      </c>
      <c r="C1151" s="17" t="n">
        <v>46347</v>
      </c>
      <c r="D1151" s="5">
        <f>IF(A1151="","",IF(C1151=DATE(2026,11,29),"培训；注册午餐；早餐参数",IF(C1151=DATE(2026,11,30),"培训；注册午餐",IF(C1151=DATE(2026,12,1),"培训；注册午餐；机构晚餐",IF(C1151=Options!$B$9,"抵达；"&amp;IF(C1151=DATE(2026,11,28),"机构晚餐","无统一供餐"),IF(C1151=Options!$B$10,"返程；"&amp;IF(C1151=DATE(2026,12,2),"机构午餐","无统一供餐"),"差旅状态；无统一日程"))))))</f>
        <v/>
      </c>
      <c r="E1151" s="13">
        <f>IF(C1151=Options!$B$9,Options!$C$17,0)</f>
        <v/>
      </c>
      <c r="F1151" s="13">
        <f>IF(AND(A1151&lt;&gt;"",C1151&lt;Options!$B$10),B1151*Options!$X$6,0)</f>
        <v/>
      </c>
      <c r="G1151" s="13">
        <f>F1151*12%</f>
        <v/>
      </c>
      <c r="H1151" s="13">
        <f>IF(A1151="",0,B1151*(92*IF(OR(C1151=Options!$B$9,C1151=Options!$B$10),75%,100%)-IF(C1151=DATE(2026,11,29),26+IF(Options!$B$8="是",23,0),0)-IF(C1151=DATE(2026,11,30),26,0)-IF(C1151=DATE(2026,12,1),64,0)-IF(C1151=DATE(2026,11,28),38,0)-IF(C1151=DATE(2026,12,2),26,0)))</f>
        <v/>
      </c>
      <c r="I1151" s="13">
        <f>IF(AND(C1151&gt;=DATE(2026,11,29),C1151&lt;=DATE(2026,12,1)),B1151*60,0)</f>
        <v/>
      </c>
      <c r="J1151" s="13">
        <f>IF(A1151="",0,B1151*(IF(C1151=DATE(2026,11,28),38,0)+IF(C1151=DATE(2026,12,1),38,0)+IF(C1151=DATE(2026,12,2),26,0)))</f>
        <v/>
      </c>
      <c r="K1151" s="13">
        <f>IF(C1151=Options!$B$9,B1151*12,0)</f>
        <v/>
      </c>
      <c r="L1151" s="13">
        <f>IF(C1151=Options!$B$9,B1151*Options!$Z$6,0)</f>
        <v/>
      </c>
      <c r="M1151" s="13" t="n">
        <v>0</v>
      </c>
      <c r="N1151" s="13">
        <f>SUM(E1151:M1151)</f>
        <v/>
      </c>
    </row>
    <row r="1152">
      <c r="A1152" s="5">
        <f>IF(AND(C1152&gt;=Options!$B$9,C1152&lt;=Options!$B$10),"Denver","")</f>
        <v/>
      </c>
      <c r="B1152" s="5">
        <f>IF(A1152="","",24)</f>
        <v/>
      </c>
      <c r="C1152" s="17" t="n">
        <v>46348</v>
      </c>
      <c r="D1152" s="5">
        <f>IF(A1152="","",IF(C1152=DATE(2026,11,29),"培训；注册午餐；早餐参数",IF(C1152=DATE(2026,11,30),"培训；注册午餐",IF(C1152=DATE(2026,12,1),"培训；注册午餐；机构晚餐",IF(C1152=Options!$B$9,"抵达；"&amp;IF(C1152=DATE(2026,11,28),"机构晚餐","无统一供餐"),IF(C1152=Options!$B$10,"返程；"&amp;IF(C1152=DATE(2026,12,2),"机构午餐","无统一供餐"),"差旅状态；无统一日程"))))))</f>
        <v/>
      </c>
      <c r="E1152" s="13">
        <f>IF(C1152=Options!$B$9,Options!$C$17,0)</f>
        <v/>
      </c>
      <c r="F1152" s="13">
        <f>IF(AND(A1152&lt;&gt;"",C1152&lt;Options!$B$10),B1152*Options!$X$6,0)</f>
        <v/>
      </c>
      <c r="G1152" s="13">
        <f>F1152*12%</f>
        <v/>
      </c>
      <c r="H1152" s="13">
        <f>IF(A1152="",0,B1152*(92*IF(OR(C1152=Options!$B$9,C1152=Options!$B$10),75%,100%)-IF(C1152=DATE(2026,11,29),26+IF(Options!$B$8="是",23,0),0)-IF(C1152=DATE(2026,11,30),26,0)-IF(C1152=DATE(2026,12,1),64,0)-IF(C1152=DATE(2026,11,28),38,0)-IF(C1152=DATE(2026,12,2),26,0)))</f>
        <v/>
      </c>
      <c r="I1152" s="13">
        <f>IF(AND(C1152&gt;=DATE(2026,11,29),C1152&lt;=DATE(2026,12,1)),B1152*60,0)</f>
        <v/>
      </c>
      <c r="J1152" s="13">
        <f>IF(A1152="",0,B1152*(IF(C1152=DATE(2026,11,28),38,0)+IF(C1152=DATE(2026,12,1),38,0)+IF(C1152=DATE(2026,12,2),26,0)))</f>
        <v/>
      </c>
      <c r="K1152" s="13">
        <f>IF(C1152=Options!$B$9,B1152*12,0)</f>
        <v/>
      </c>
      <c r="L1152" s="13">
        <f>IF(C1152=Options!$B$9,B1152*Options!$Z$6,0)</f>
        <v/>
      </c>
      <c r="M1152" s="13" t="n">
        <v>0</v>
      </c>
      <c r="N1152" s="13">
        <f>SUM(E1152:M1152)</f>
        <v/>
      </c>
    </row>
    <row r="1153">
      <c r="A1153" s="5">
        <f>IF(AND(C1153&gt;=Options!$B$9,C1153&lt;=Options!$B$10),"Denver","")</f>
        <v/>
      </c>
      <c r="B1153" s="5">
        <f>IF(A1153="","",24)</f>
        <v/>
      </c>
      <c r="C1153" s="17" t="n">
        <v>46349</v>
      </c>
      <c r="D1153" s="5">
        <f>IF(A1153="","",IF(C1153=DATE(2026,11,29),"培训；注册午餐；早餐参数",IF(C1153=DATE(2026,11,30),"培训；注册午餐",IF(C1153=DATE(2026,12,1),"培训；注册午餐；机构晚餐",IF(C1153=Options!$B$9,"抵达；"&amp;IF(C1153=DATE(2026,11,28),"机构晚餐","无统一供餐"),IF(C1153=Options!$B$10,"返程；"&amp;IF(C1153=DATE(2026,12,2),"机构午餐","无统一供餐"),"差旅状态；无统一日程"))))))</f>
        <v/>
      </c>
      <c r="E1153" s="13">
        <f>IF(C1153=Options!$B$9,Options!$C$17,0)</f>
        <v/>
      </c>
      <c r="F1153" s="13">
        <f>IF(AND(A1153&lt;&gt;"",C1153&lt;Options!$B$10),B1153*Options!$X$6,0)</f>
        <v/>
      </c>
      <c r="G1153" s="13">
        <f>F1153*12%</f>
        <v/>
      </c>
      <c r="H1153" s="13">
        <f>IF(A1153="",0,B1153*(92*IF(OR(C1153=Options!$B$9,C1153=Options!$B$10),75%,100%)-IF(C1153=DATE(2026,11,29),26+IF(Options!$B$8="是",23,0),0)-IF(C1153=DATE(2026,11,30),26,0)-IF(C1153=DATE(2026,12,1),64,0)-IF(C1153=DATE(2026,11,28),38,0)-IF(C1153=DATE(2026,12,2),26,0)))</f>
        <v/>
      </c>
      <c r="I1153" s="13">
        <f>IF(AND(C1153&gt;=DATE(2026,11,29),C1153&lt;=DATE(2026,12,1)),B1153*60,0)</f>
        <v/>
      </c>
      <c r="J1153" s="13">
        <f>IF(A1153="",0,B1153*(IF(C1153=DATE(2026,11,28),38,0)+IF(C1153=DATE(2026,12,1),38,0)+IF(C1153=DATE(2026,12,2),26,0)))</f>
        <v/>
      </c>
      <c r="K1153" s="13">
        <f>IF(C1153=Options!$B$9,B1153*12,0)</f>
        <v/>
      </c>
      <c r="L1153" s="13">
        <f>IF(C1153=Options!$B$9,B1153*Options!$Z$6,0)</f>
        <v/>
      </c>
      <c r="M1153" s="13" t="n">
        <v>0</v>
      </c>
      <c r="N1153" s="13">
        <f>SUM(E1153:M1153)</f>
        <v/>
      </c>
    </row>
    <row r="1154">
      <c r="A1154" s="5">
        <f>IF(AND(C1154&gt;=Options!$B$9,C1154&lt;=Options!$B$10),"Denver","")</f>
        <v/>
      </c>
      <c r="B1154" s="5">
        <f>IF(A1154="","",24)</f>
        <v/>
      </c>
      <c r="C1154" s="17" t="n">
        <v>46350</v>
      </c>
      <c r="D1154" s="5">
        <f>IF(A1154="","",IF(C1154=DATE(2026,11,29),"培训；注册午餐；早餐参数",IF(C1154=DATE(2026,11,30),"培训；注册午餐",IF(C1154=DATE(2026,12,1),"培训；注册午餐；机构晚餐",IF(C1154=Options!$B$9,"抵达；"&amp;IF(C1154=DATE(2026,11,28),"机构晚餐","无统一供餐"),IF(C1154=Options!$B$10,"返程；"&amp;IF(C1154=DATE(2026,12,2),"机构午餐","无统一供餐"),"差旅状态；无统一日程"))))))</f>
        <v/>
      </c>
      <c r="E1154" s="13">
        <f>IF(C1154=Options!$B$9,Options!$C$17,0)</f>
        <v/>
      </c>
      <c r="F1154" s="13">
        <f>IF(AND(A1154&lt;&gt;"",C1154&lt;Options!$B$10),B1154*Options!$X$6,0)</f>
        <v/>
      </c>
      <c r="G1154" s="13">
        <f>F1154*12%</f>
        <v/>
      </c>
      <c r="H1154" s="13">
        <f>IF(A1154="",0,B1154*(92*IF(OR(C1154=Options!$B$9,C1154=Options!$B$10),75%,100%)-IF(C1154=DATE(2026,11,29),26+IF(Options!$B$8="是",23,0),0)-IF(C1154=DATE(2026,11,30),26,0)-IF(C1154=DATE(2026,12,1),64,0)-IF(C1154=DATE(2026,11,28),38,0)-IF(C1154=DATE(2026,12,2),26,0)))</f>
        <v/>
      </c>
      <c r="I1154" s="13">
        <f>IF(AND(C1154&gt;=DATE(2026,11,29),C1154&lt;=DATE(2026,12,1)),B1154*60,0)</f>
        <v/>
      </c>
      <c r="J1154" s="13">
        <f>IF(A1154="",0,B1154*(IF(C1154=DATE(2026,11,28),38,0)+IF(C1154=DATE(2026,12,1),38,0)+IF(C1154=DATE(2026,12,2),26,0)))</f>
        <v/>
      </c>
      <c r="K1154" s="13">
        <f>IF(C1154=Options!$B$9,B1154*12,0)</f>
        <v/>
      </c>
      <c r="L1154" s="13">
        <f>IF(C1154=Options!$B$9,B1154*Options!$Z$6,0)</f>
        <v/>
      </c>
      <c r="M1154" s="13" t="n">
        <v>0</v>
      </c>
      <c r="N1154" s="13">
        <f>SUM(E1154:M1154)</f>
        <v/>
      </c>
    </row>
    <row r="1155">
      <c r="A1155" s="5">
        <f>IF(AND(C1155&gt;=Options!$B$9,C1155&lt;=Options!$B$10),"Denver","")</f>
        <v/>
      </c>
      <c r="B1155" s="5">
        <f>IF(A1155="","",24)</f>
        <v/>
      </c>
      <c r="C1155" s="17" t="n">
        <v>46351</v>
      </c>
      <c r="D1155" s="5">
        <f>IF(A1155="","",IF(C1155=DATE(2026,11,29),"培训；注册午餐；早餐参数",IF(C1155=DATE(2026,11,30),"培训；注册午餐",IF(C1155=DATE(2026,12,1),"培训；注册午餐；机构晚餐",IF(C1155=Options!$B$9,"抵达；"&amp;IF(C1155=DATE(2026,11,28),"机构晚餐","无统一供餐"),IF(C1155=Options!$B$10,"返程；"&amp;IF(C1155=DATE(2026,12,2),"机构午餐","无统一供餐"),"差旅状态；无统一日程"))))))</f>
        <v/>
      </c>
      <c r="E1155" s="13">
        <f>IF(C1155=Options!$B$9,Options!$C$17,0)</f>
        <v/>
      </c>
      <c r="F1155" s="13">
        <f>IF(AND(A1155&lt;&gt;"",C1155&lt;Options!$B$10),B1155*Options!$X$6,0)</f>
        <v/>
      </c>
      <c r="G1155" s="13">
        <f>F1155*12%</f>
        <v/>
      </c>
      <c r="H1155" s="13">
        <f>IF(A1155="",0,B1155*(92*IF(OR(C1155=Options!$B$9,C1155=Options!$B$10),75%,100%)-IF(C1155=DATE(2026,11,29),26+IF(Options!$B$8="是",23,0),0)-IF(C1155=DATE(2026,11,30),26,0)-IF(C1155=DATE(2026,12,1),64,0)-IF(C1155=DATE(2026,11,28),38,0)-IF(C1155=DATE(2026,12,2),26,0)))</f>
        <v/>
      </c>
      <c r="I1155" s="13">
        <f>IF(AND(C1155&gt;=DATE(2026,11,29),C1155&lt;=DATE(2026,12,1)),B1155*60,0)</f>
        <v/>
      </c>
      <c r="J1155" s="13">
        <f>IF(A1155="",0,B1155*(IF(C1155=DATE(2026,11,28),38,0)+IF(C1155=DATE(2026,12,1),38,0)+IF(C1155=DATE(2026,12,2),26,0)))</f>
        <v/>
      </c>
      <c r="K1155" s="13">
        <f>IF(C1155=Options!$B$9,B1155*12,0)</f>
        <v/>
      </c>
      <c r="L1155" s="13">
        <f>IF(C1155=Options!$B$9,B1155*Options!$Z$6,0)</f>
        <v/>
      </c>
      <c r="M1155" s="13" t="n">
        <v>0</v>
      </c>
      <c r="N1155" s="13">
        <f>SUM(E1155:M1155)</f>
        <v/>
      </c>
    </row>
    <row r="1156">
      <c r="A1156" s="5">
        <f>IF(AND(C1156&gt;=Options!$B$9,C1156&lt;=Options!$B$10),"Denver","")</f>
        <v/>
      </c>
      <c r="B1156" s="5">
        <f>IF(A1156="","",24)</f>
        <v/>
      </c>
      <c r="C1156" s="17" t="n">
        <v>46352</v>
      </c>
      <c r="D1156" s="5">
        <f>IF(A1156="","",IF(C1156=DATE(2026,11,29),"培训；注册午餐；早餐参数",IF(C1156=DATE(2026,11,30),"培训；注册午餐",IF(C1156=DATE(2026,12,1),"培训；注册午餐；机构晚餐",IF(C1156=Options!$B$9,"抵达；"&amp;IF(C1156=DATE(2026,11,28),"机构晚餐","无统一供餐"),IF(C1156=Options!$B$10,"返程；"&amp;IF(C1156=DATE(2026,12,2),"机构午餐","无统一供餐"),"差旅状态；无统一日程"))))))</f>
        <v/>
      </c>
      <c r="E1156" s="13">
        <f>IF(C1156=Options!$B$9,Options!$C$17,0)</f>
        <v/>
      </c>
      <c r="F1156" s="13">
        <f>IF(AND(A1156&lt;&gt;"",C1156&lt;Options!$B$10),B1156*Options!$X$6,0)</f>
        <v/>
      </c>
      <c r="G1156" s="13">
        <f>F1156*12%</f>
        <v/>
      </c>
      <c r="H1156" s="13">
        <f>IF(A1156="",0,B1156*(92*IF(OR(C1156=Options!$B$9,C1156=Options!$B$10),75%,100%)-IF(C1156=DATE(2026,11,29),26+IF(Options!$B$8="是",23,0),0)-IF(C1156=DATE(2026,11,30),26,0)-IF(C1156=DATE(2026,12,1),64,0)-IF(C1156=DATE(2026,11,28),38,0)-IF(C1156=DATE(2026,12,2),26,0)))</f>
        <v/>
      </c>
      <c r="I1156" s="13">
        <f>IF(AND(C1156&gt;=DATE(2026,11,29),C1156&lt;=DATE(2026,12,1)),B1156*60,0)</f>
        <v/>
      </c>
      <c r="J1156" s="13">
        <f>IF(A1156="",0,B1156*(IF(C1156=DATE(2026,11,28),38,0)+IF(C1156=DATE(2026,12,1),38,0)+IF(C1156=DATE(2026,12,2),26,0)))</f>
        <v/>
      </c>
      <c r="K1156" s="13">
        <f>IF(C1156=Options!$B$9,B1156*12,0)</f>
        <v/>
      </c>
      <c r="L1156" s="13">
        <f>IF(C1156=Options!$B$9,B1156*Options!$Z$6,0)</f>
        <v/>
      </c>
      <c r="M1156" s="13" t="n">
        <v>0</v>
      </c>
      <c r="N1156" s="13">
        <f>SUM(E1156:M1156)</f>
        <v/>
      </c>
    </row>
    <row r="1157">
      <c r="A1157" s="5">
        <f>IF(AND(C1157&gt;=Options!$B$9,C1157&lt;=Options!$B$10),"Denver","")</f>
        <v/>
      </c>
      <c r="B1157" s="5">
        <f>IF(A1157="","",24)</f>
        <v/>
      </c>
      <c r="C1157" s="17" t="n">
        <v>46353</v>
      </c>
      <c r="D1157" s="5">
        <f>IF(A1157="","",IF(C1157=DATE(2026,11,29),"培训；注册午餐；早餐参数",IF(C1157=DATE(2026,11,30),"培训；注册午餐",IF(C1157=DATE(2026,12,1),"培训；注册午餐；机构晚餐",IF(C1157=Options!$B$9,"抵达；"&amp;IF(C1157=DATE(2026,11,28),"机构晚餐","无统一供餐"),IF(C1157=Options!$B$10,"返程；"&amp;IF(C1157=DATE(2026,12,2),"机构午餐","无统一供餐"),"差旅状态；无统一日程"))))))</f>
        <v/>
      </c>
      <c r="E1157" s="13">
        <f>IF(C1157=Options!$B$9,Options!$C$17,0)</f>
        <v/>
      </c>
      <c r="F1157" s="13">
        <f>IF(AND(A1157&lt;&gt;"",C1157&lt;Options!$B$10),B1157*Options!$X$6,0)</f>
        <v/>
      </c>
      <c r="G1157" s="13">
        <f>F1157*12%</f>
        <v/>
      </c>
      <c r="H1157" s="13">
        <f>IF(A1157="",0,B1157*(92*IF(OR(C1157=Options!$B$9,C1157=Options!$B$10),75%,100%)-IF(C1157=DATE(2026,11,29),26+IF(Options!$B$8="是",23,0),0)-IF(C1157=DATE(2026,11,30),26,0)-IF(C1157=DATE(2026,12,1),64,0)-IF(C1157=DATE(2026,11,28),38,0)-IF(C1157=DATE(2026,12,2),26,0)))</f>
        <v/>
      </c>
      <c r="I1157" s="13">
        <f>IF(AND(C1157&gt;=DATE(2026,11,29),C1157&lt;=DATE(2026,12,1)),B1157*60,0)</f>
        <v/>
      </c>
      <c r="J1157" s="13">
        <f>IF(A1157="",0,B1157*(IF(C1157=DATE(2026,11,28),38,0)+IF(C1157=DATE(2026,12,1),38,0)+IF(C1157=DATE(2026,12,2),26,0)))</f>
        <v/>
      </c>
      <c r="K1157" s="13">
        <f>IF(C1157=Options!$B$9,B1157*12,0)</f>
        <v/>
      </c>
      <c r="L1157" s="13">
        <f>IF(C1157=Options!$B$9,B1157*Options!$Z$6,0)</f>
        <v/>
      </c>
      <c r="M1157" s="13" t="n">
        <v>0</v>
      </c>
      <c r="N1157" s="13">
        <f>SUM(E1157:M1157)</f>
        <v/>
      </c>
    </row>
    <row r="1158">
      <c r="A1158" s="5">
        <f>IF(AND(C1158&gt;=Options!$B$9,C1158&lt;=Options!$B$10),"Denver","")</f>
        <v/>
      </c>
      <c r="B1158" s="5">
        <f>IF(A1158="","",24)</f>
        <v/>
      </c>
      <c r="C1158" s="17" t="n">
        <v>46354</v>
      </c>
      <c r="D1158" s="5">
        <f>IF(A1158="","",IF(C1158=DATE(2026,11,29),"培训；注册午餐；早餐参数",IF(C1158=DATE(2026,11,30),"培训；注册午餐",IF(C1158=DATE(2026,12,1),"培训；注册午餐；机构晚餐",IF(C1158=Options!$B$9,"抵达；"&amp;IF(C1158=DATE(2026,11,28),"机构晚餐","无统一供餐"),IF(C1158=Options!$B$10,"返程；"&amp;IF(C1158=DATE(2026,12,2),"机构午餐","无统一供餐"),"差旅状态；无统一日程"))))))</f>
        <v/>
      </c>
      <c r="E1158" s="13">
        <f>IF(C1158=Options!$B$9,Options!$C$17,0)</f>
        <v/>
      </c>
      <c r="F1158" s="13">
        <f>IF(AND(A1158&lt;&gt;"",C1158&lt;Options!$B$10),B1158*Options!$X$6,0)</f>
        <v/>
      </c>
      <c r="G1158" s="13">
        <f>F1158*12%</f>
        <v/>
      </c>
      <c r="H1158" s="13">
        <f>IF(A1158="",0,B1158*(92*IF(OR(C1158=Options!$B$9,C1158=Options!$B$10),75%,100%)-IF(C1158=DATE(2026,11,29),26+IF(Options!$B$8="是",23,0),0)-IF(C1158=DATE(2026,11,30),26,0)-IF(C1158=DATE(2026,12,1),64,0)-IF(C1158=DATE(2026,11,28),38,0)-IF(C1158=DATE(2026,12,2),26,0)))</f>
        <v/>
      </c>
      <c r="I1158" s="13">
        <f>IF(AND(C1158&gt;=DATE(2026,11,29),C1158&lt;=DATE(2026,12,1)),B1158*60,0)</f>
        <v/>
      </c>
      <c r="J1158" s="13">
        <f>IF(A1158="",0,B1158*(IF(C1158=DATE(2026,11,28),38,0)+IF(C1158=DATE(2026,12,1),38,0)+IF(C1158=DATE(2026,12,2),26,0)))</f>
        <v/>
      </c>
      <c r="K1158" s="13">
        <f>IF(C1158=Options!$B$9,B1158*12,0)</f>
        <v/>
      </c>
      <c r="L1158" s="13">
        <f>IF(C1158=Options!$B$9,B1158*Options!$Z$6,0)</f>
        <v/>
      </c>
      <c r="M1158" s="13" t="n">
        <v>0</v>
      </c>
      <c r="N1158" s="13">
        <f>SUM(E1158:M1158)</f>
        <v/>
      </c>
    </row>
    <row r="1159">
      <c r="A1159" s="5">
        <f>IF(AND(C1159&gt;=Options!$B$9,C1159&lt;=Options!$B$10),"Denver","")</f>
        <v/>
      </c>
      <c r="B1159" s="5">
        <f>IF(A1159="","",24)</f>
        <v/>
      </c>
      <c r="C1159" s="17" t="n">
        <v>46355</v>
      </c>
      <c r="D1159" s="5">
        <f>IF(A1159="","",IF(C1159=DATE(2026,11,29),"培训；注册午餐；早餐参数",IF(C1159=DATE(2026,11,30),"培训；注册午餐",IF(C1159=DATE(2026,12,1),"培训；注册午餐；机构晚餐",IF(C1159=Options!$B$9,"抵达；"&amp;IF(C1159=DATE(2026,11,28),"机构晚餐","无统一供餐"),IF(C1159=Options!$B$10,"返程；"&amp;IF(C1159=DATE(2026,12,2),"机构午餐","无统一供餐"),"差旅状态；无统一日程"))))))</f>
        <v/>
      </c>
      <c r="E1159" s="13">
        <f>IF(C1159=Options!$B$9,Options!$C$17,0)</f>
        <v/>
      </c>
      <c r="F1159" s="13">
        <f>IF(AND(A1159&lt;&gt;"",C1159&lt;Options!$B$10),B1159*Options!$X$6,0)</f>
        <v/>
      </c>
      <c r="G1159" s="13">
        <f>F1159*12%</f>
        <v/>
      </c>
      <c r="H1159" s="13">
        <f>IF(A1159="",0,B1159*(92*IF(OR(C1159=Options!$B$9,C1159=Options!$B$10),75%,100%)-IF(C1159=DATE(2026,11,29),26+IF(Options!$B$8="是",23,0),0)-IF(C1159=DATE(2026,11,30),26,0)-IF(C1159=DATE(2026,12,1),64,0)-IF(C1159=DATE(2026,11,28),38,0)-IF(C1159=DATE(2026,12,2),26,0)))</f>
        <v/>
      </c>
      <c r="I1159" s="13">
        <f>IF(AND(C1159&gt;=DATE(2026,11,29),C1159&lt;=DATE(2026,12,1)),B1159*60,0)</f>
        <v/>
      </c>
      <c r="J1159" s="13">
        <f>IF(A1159="",0,B1159*(IF(C1159=DATE(2026,11,28),38,0)+IF(C1159=DATE(2026,12,1),38,0)+IF(C1159=DATE(2026,12,2),26,0)))</f>
        <v/>
      </c>
      <c r="K1159" s="13">
        <f>IF(C1159=Options!$B$9,B1159*12,0)</f>
        <v/>
      </c>
      <c r="L1159" s="13">
        <f>IF(C1159=Options!$B$9,B1159*Options!$Z$6,0)</f>
        <v/>
      </c>
      <c r="M1159" s="13" t="n">
        <v>0</v>
      </c>
      <c r="N1159" s="13">
        <f>SUM(E1159:M1159)</f>
        <v/>
      </c>
    </row>
    <row r="1160">
      <c r="A1160" s="5">
        <f>IF(AND(C1160&gt;=Options!$B$9,C1160&lt;=Options!$B$10),"Denver","")</f>
        <v/>
      </c>
      <c r="B1160" s="5">
        <f>IF(A1160="","",24)</f>
        <v/>
      </c>
      <c r="C1160" s="17" t="n">
        <v>46356</v>
      </c>
      <c r="D1160" s="5">
        <f>IF(A1160="","",IF(C1160=DATE(2026,11,29),"培训；注册午餐；早餐参数",IF(C1160=DATE(2026,11,30),"培训；注册午餐",IF(C1160=DATE(2026,12,1),"培训；注册午餐；机构晚餐",IF(C1160=Options!$B$9,"抵达；"&amp;IF(C1160=DATE(2026,11,28),"机构晚餐","无统一供餐"),IF(C1160=Options!$B$10,"返程；"&amp;IF(C1160=DATE(2026,12,2),"机构午餐","无统一供餐"),"差旅状态；无统一日程"))))))</f>
        <v/>
      </c>
      <c r="E1160" s="13">
        <f>IF(C1160=Options!$B$9,Options!$C$17,0)</f>
        <v/>
      </c>
      <c r="F1160" s="13">
        <f>IF(AND(A1160&lt;&gt;"",C1160&lt;Options!$B$10),B1160*Options!$X$6,0)</f>
        <v/>
      </c>
      <c r="G1160" s="13">
        <f>F1160*12%</f>
        <v/>
      </c>
      <c r="H1160" s="13">
        <f>IF(A1160="",0,B1160*(92*IF(OR(C1160=Options!$B$9,C1160=Options!$B$10),75%,100%)-IF(C1160=DATE(2026,11,29),26+IF(Options!$B$8="是",23,0),0)-IF(C1160=DATE(2026,11,30),26,0)-IF(C1160=DATE(2026,12,1),64,0)-IF(C1160=DATE(2026,11,28),38,0)-IF(C1160=DATE(2026,12,2),26,0)))</f>
        <v/>
      </c>
      <c r="I1160" s="13">
        <f>IF(AND(C1160&gt;=DATE(2026,11,29),C1160&lt;=DATE(2026,12,1)),B1160*60,0)</f>
        <v/>
      </c>
      <c r="J1160" s="13">
        <f>IF(A1160="",0,B1160*(IF(C1160=DATE(2026,11,28),38,0)+IF(C1160=DATE(2026,12,1),38,0)+IF(C1160=DATE(2026,12,2),26,0)))</f>
        <v/>
      </c>
      <c r="K1160" s="13">
        <f>IF(C1160=Options!$B$9,B1160*12,0)</f>
        <v/>
      </c>
      <c r="L1160" s="13">
        <f>IF(C1160=Options!$B$9,B1160*Options!$Z$6,0)</f>
        <v/>
      </c>
      <c r="M1160" s="13" t="n">
        <v>0</v>
      </c>
      <c r="N1160" s="13">
        <f>SUM(E1160:M1160)</f>
        <v/>
      </c>
    </row>
    <row r="1161">
      <c r="A1161" s="5">
        <f>IF(AND(C1161&gt;=Options!$B$9,C1161&lt;=Options!$B$10),"Denver","")</f>
        <v/>
      </c>
      <c r="B1161" s="5">
        <f>IF(A1161="","",24)</f>
        <v/>
      </c>
      <c r="C1161" s="17" t="n">
        <v>46357</v>
      </c>
      <c r="D1161" s="5">
        <f>IF(A1161="","",IF(C1161=DATE(2026,11,29),"培训；注册午餐；早餐参数",IF(C1161=DATE(2026,11,30),"培训；注册午餐",IF(C1161=DATE(2026,12,1),"培训；注册午餐；机构晚餐",IF(C1161=Options!$B$9,"抵达；"&amp;IF(C1161=DATE(2026,11,28),"机构晚餐","无统一供餐"),IF(C1161=Options!$B$10,"返程；"&amp;IF(C1161=DATE(2026,12,2),"机构午餐","无统一供餐"),"差旅状态；无统一日程"))))))</f>
        <v/>
      </c>
      <c r="E1161" s="13">
        <f>IF(C1161=Options!$B$9,Options!$C$17,0)</f>
        <v/>
      </c>
      <c r="F1161" s="13">
        <f>IF(AND(A1161&lt;&gt;"",C1161&lt;Options!$B$10),B1161*Options!$X$6,0)</f>
        <v/>
      </c>
      <c r="G1161" s="13">
        <f>F1161*12%</f>
        <v/>
      </c>
      <c r="H1161" s="13">
        <f>IF(A1161="",0,B1161*(92*IF(OR(C1161=Options!$B$9,C1161=Options!$B$10),75%,100%)-IF(C1161=DATE(2026,11,29),26+IF(Options!$B$8="是",23,0),0)-IF(C1161=DATE(2026,11,30),26,0)-IF(C1161=DATE(2026,12,1),64,0)-IF(C1161=DATE(2026,11,28),38,0)-IF(C1161=DATE(2026,12,2),26,0)))</f>
        <v/>
      </c>
      <c r="I1161" s="13">
        <f>IF(AND(C1161&gt;=DATE(2026,11,29),C1161&lt;=DATE(2026,12,1)),B1161*60,0)</f>
        <v/>
      </c>
      <c r="J1161" s="13">
        <f>IF(A1161="",0,B1161*(IF(C1161=DATE(2026,11,28),38,0)+IF(C1161=DATE(2026,12,1),38,0)+IF(C1161=DATE(2026,12,2),26,0)))</f>
        <v/>
      </c>
      <c r="K1161" s="13">
        <f>IF(C1161=Options!$B$9,B1161*12,0)</f>
        <v/>
      </c>
      <c r="L1161" s="13">
        <f>IF(C1161=Options!$B$9,B1161*Options!$Z$6,0)</f>
        <v/>
      </c>
      <c r="M1161" s="13" t="n">
        <v>0</v>
      </c>
      <c r="N1161" s="13">
        <f>SUM(E1161:M1161)</f>
        <v/>
      </c>
    </row>
    <row r="1162">
      <c r="A1162" s="5">
        <f>IF(AND(C1162&gt;=Options!$B$9,C1162&lt;=Options!$B$10),"Denver","")</f>
        <v/>
      </c>
      <c r="B1162" s="5">
        <f>IF(A1162="","",24)</f>
        <v/>
      </c>
      <c r="C1162" s="17" t="n">
        <v>46358</v>
      </c>
      <c r="D1162" s="5">
        <f>IF(A1162="","",IF(C1162=DATE(2026,11,29),"培训；注册午餐；早餐参数",IF(C1162=DATE(2026,11,30),"培训；注册午餐",IF(C1162=DATE(2026,12,1),"培训；注册午餐；机构晚餐",IF(C1162=Options!$B$9,"抵达；"&amp;IF(C1162=DATE(2026,11,28),"机构晚餐","无统一供餐"),IF(C1162=Options!$B$10,"返程；"&amp;IF(C1162=DATE(2026,12,2),"机构午餐","无统一供餐"),"差旅状态；无统一日程"))))))</f>
        <v/>
      </c>
      <c r="E1162" s="13">
        <f>IF(C1162=Options!$B$9,Options!$C$17,0)</f>
        <v/>
      </c>
      <c r="F1162" s="13">
        <f>IF(AND(A1162&lt;&gt;"",C1162&lt;Options!$B$10),B1162*Options!$X$6,0)</f>
        <v/>
      </c>
      <c r="G1162" s="13">
        <f>F1162*12%</f>
        <v/>
      </c>
      <c r="H1162" s="13">
        <f>IF(A1162="",0,B1162*(92*IF(OR(C1162=Options!$B$9,C1162=Options!$B$10),75%,100%)-IF(C1162=DATE(2026,11,29),26+IF(Options!$B$8="是",23,0),0)-IF(C1162=DATE(2026,11,30),26,0)-IF(C1162=DATE(2026,12,1),64,0)-IF(C1162=DATE(2026,11,28),38,0)-IF(C1162=DATE(2026,12,2),26,0)))</f>
        <v/>
      </c>
      <c r="I1162" s="13">
        <f>IF(AND(C1162&gt;=DATE(2026,11,29),C1162&lt;=DATE(2026,12,1)),B1162*60,0)</f>
        <v/>
      </c>
      <c r="J1162" s="13">
        <f>IF(A1162="",0,B1162*(IF(C1162=DATE(2026,11,28),38,0)+IF(C1162=DATE(2026,12,1),38,0)+IF(C1162=DATE(2026,12,2),26,0)))</f>
        <v/>
      </c>
      <c r="K1162" s="13">
        <f>IF(C1162=Options!$B$9,B1162*12,0)</f>
        <v/>
      </c>
      <c r="L1162" s="13">
        <f>IF(C1162=Options!$B$9,B1162*Options!$Z$6,0)</f>
        <v/>
      </c>
      <c r="M1162" s="13" t="n">
        <v>0</v>
      </c>
      <c r="N1162" s="13">
        <f>SUM(E1162:M1162)</f>
        <v/>
      </c>
    </row>
    <row r="1163">
      <c r="A1163" s="5">
        <f>IF(AND(C1163&gt;=Options!$B$9,C1163&lt;=Options!$B$10),"Denver","")</f>
        <v/>
      </c>
      <c r="B1163" s="5">
        <f>IF(A1163="","",24)</f>
        <v/>
      </c>
      <c r="C1163" s="17" t="n">
        <v>46359</v>
      </c>
      <c r="D1163" s="5">
        <f>IF(A1163="","",IF(C1163=DATE(2026,11,29),"培训；注册午餐；早餐参数",IF(C1163=DATE(2026,11,30),"培训；注册午餐",IF(C1163=DATE(2026,12,1),"培训；注册午餐；机构晚餐",IF(C1163=Options!$B$9,"抵达；"&amp;IF(C1163=DATE(2026,11,28),"机构晚餐","无统一供餐"),IF(C1163=Options!$B$10,"返程；"&amp;IF(C1163=DATE(2026,12,2),"机构午餐","无统一供餐"),"差旅状态；无统一日程"))))))</f>
        <v/>
      </c>
      <c r="E1163" s="13">
        <f>IF(C1163=Options!$B$9,Options!$C$17,0)</f>
        <v/>
      </c>
      <c r="F1163" s="13">
        <f>IF(AND(A1163&lt;&gt;"",C1163&lt;Options!$B$10),B1163*Options!$X$6,0)</f>
        <v/>
      </c>
      <c r="G1163" s="13">
        <f>F1163*12%</f>
        <v/>
      </c>
      <c r="H1163" s="13">
        <f>IF(A1163="",0,B1163*(92*IF(OR(C1163=Options!$B$9,C1163=Options!$B$10),75%,100%)-IF(C1163=DATE(2026,11,29),26+IF(Options!$B$8="是",23,0),0)-IF(C1163=DATE(2026,11,30),26,0)-IF(C1163=DATE(2026,12,1),64,0)-IF(C1163=DATE(2026,11,28),38,0)-IF(C1163=DATE(2026,12,2),26,0)))</f>
        <v/>
      </c>
      <c r="I1163" s="13">
        <f>IF(AND(C1163&gt;=DATE(2026,11,29),C1163&lt;=DATE(2026,12,1)),B1163*60,0)</f>
        <v/>
      </c>
      <c r="J1163" s="13">
        <f>IF(A1163="",0,B1163*(IF(C1163=DATE(2026,11,28),38,0)+IF(C1163=DATE(2026,12,1),38,0)+IF(C1163=DATE(2026,12,2),26,0)))</f>
        <v/>
      </c>
      <c r="K1163" s="13">
        <f>IF(C1163=Options!$B$9,B1163*12,0)</f>
        <v/>
      </c>
      <c r="L1163" s="13">
        <f>IF(C1163=Options!$B$9,B1163*Options!$Z$6,0)</f>
        <v/>
      </c>
      <c r="M1163" s="13" t="n">
        <v>0</v>
      </c>
      <c r="N1163" s="13">
        <f>SUM(E1163:M1163)</f>
        <v/>
      </c>
    </row>
    <row r="1164">
      <c r="A1164" s="5">
        <f>IF(AND(C1164&gt;=Options!$B$9,C1164&lt;=Options!$B$10),"Denver","")</f>
        <v/>
      </c>
      <c r="B1164" s="5">
        <f>IF(A1164="","",24)</f>
        <v/>
      </c>
      <c r="C1164" s="17" t="n">
        <v>46360</v>
      </c>
      <c r="D1164" s="5">
        <f>IF(A1164="","",IF(C1164=DATE(2026,11,29),"培训；注册午餐；早餐参数",IF(C1164=DATE(2026,11,30),"培训；注册午餐",IF(C1164=DATE(2026,12,1),"培训；注册午餐；机构晚餐",IF(C1164=Options!$B$9,"抵达；"&amp;IF(C1164=DATE(2026,11,28),"机构晚餐","无统一供餐"),IF(C1164=Options!$B$10,"返程；"&amp;IF(C1164=DATE(2026,12,2),"机构午餐","无统一供餐"),"差旅状态；无统一日程"))))))</f>
        <v/>
      </c>
      <c r="E1164" s="13">
        <f>IF(C1164=Options!$B$9,Options!$C$17,0)</f>
        <v/>
      </c>
      <c r="F1164" s="13">
        <f>IF(AND(A1164&lt;&gt;"",C1164&lt;Options!$B$10),B1164*Options!$X$6,0)</f>
        <v/>
      </c>
      <c r="G1164" s="13">
        <f>F1164*12%</f>
        <v/>
      </c>
      <c r="H1164" s="13">
        <f>IF(A1164="",0,B1164*(92*IF(OR(C1164=Options!$B$9,C1164=Options!$B$10),75%,100%)-IF(C1164=DATE(2026,11,29),26+IF(Options!$B$8="是",23,0),0)-IF(C1164=DATE(2026,11,30),26,0)-IF(C1164=DATE(2026,12,1),64,0)-IF(C1164=DATE(2026,11,28),38,0)-IF(C1164=DATE(2026,12,2),26,0)))</f>
        <v/>
      </c>
      <c r="I1164" s="13">
        <f>IF(AND(C1164&gt;=DATE(2026,11,29),C1164&lt;=DATE(2026,12,1)),B1164*60,0)</f>
        <v/>
      </c>
      <c r="J1164" s="13">
        <f>IF(A1164="",0,B1164*(IF(C1164=DATE(2026,11,28),38,0)+IF(C1164=DATE(2026,12,1),38,0)+IF(C1164=DATE(2026,12,2),26,0)))</f>
        <v/>
      </c>
      <c r="K1164" s="13">
        <f>IF(C1164=Options!$B$9,B1164*12,0)</f>
        <v/>
      </c>
      <c r="L1164" s="13">
        <f>IF(C1164=Options!$B$9,B1164*Options!$Z$6,0)</f>
        <v/>
      </c>
      <c r="M1164" s="13" t="n">
        <v>0</v>
      </c>
      <c r="N1164" s="13">
        <f>SUM(E1164:M1164)</f>
        <v/>
      </c>
    </row>
    <row r="1165">
      <c r="A1165" s="5">
        <f>IF(AND(C1165&gt;=Options!$B$9,C1165&lt;=Options!$B$10),"Denver","")</f>
        <v/>
      </c>
      <c r="B1165" s="5">
        <f>IF(A1165="","",24)</f>
        <v/>
      </c>
      <c r="C1165" s="17" t="n">
        <v>46361</v>
      </c>
      <c r="D1165" s="5">
        <f>IF(A1165="","",IF(C1165=DATE(2026,11,29),"培训；注册午餐；早餐参数",IF(C1165=DATE(2026,11,30),"培训；注册午餐",IF(C1165=DATE(2026,12,1),"培训；注册午餐；机构晚餐",IF(C1165=Options!$B$9,"抵达；"&amp;IF(C1165=DATE(2026,11,28),"机构晚餐","无统一供餐"),IF(C1165=Options!$B$10,"返程；"&amp;IF(C1165=DATE(2026,12,2),"机构午餐","无统一供餐"),"差旅状态；无统一日程"))))))</f>
        <v/>
      </c>
      <c r="E1165" s="13">
        <f>IF(C1165=Options!$B$9,Options!$C$17,0)</f>
        <v/>
      </c>
      <c r="F1165" s="13">
        <f>IF(AND(A1165&lt;&gt;"",C1165&lt;Options!$B$10),B1165*Options!$X$6,0)</f>
        <v/>
      </c>
      <c r="G1165" s="13">
        <f>F1165*12%</f>
        <v/>
      </c>
      <c r="H1165" s="13">
        <f>IF(A1165="",0,B1165*(92*IF(OR(C1165=Options!$B$9,C1165=Options!$B$10),75%,100%)-IF(C1165=DATE(2026,11,29),26+IF(Options!$B$8="是",23,0),0)-IF(C1165=DATE(2026,11,30),26,0)-IF(C1165=DATE(2026,12,1),64,0)-IF(C1165=DATE(2026,11,28),38,0)-IF(C1165=DATE(2026,12,2),26,0)))</f>
        <v/>
      </c>
      <c r="I1165" s="13">
        <f>IF(AND(C1165&gt;=DATE(2026,11,29),C1165&lt;=DATE(2026,12,1)),B1165*60,0)</f>
        <v/>
      </c>
      <c r="J1165" s="13">
        <f>IF(A1165="",0,B1165*(IF(C1165=DATE(2026,11,28),38,0)+IF(C1165=DATE(2026,12,1),38,0)+IF(C1165=DATE(2026,12,2),26,0)))</f>
        <v/>
      </c>
      <c r="K1165" s="13">
        <f>IF(C1165=Options!$B$9,B1165*12,0)</f>
        <v/>
      </c>
      <c r="L1165" s="13">
        <f>IF(C1165=Options!$B$9,B1165*Options!$Z$6,0)</f>
        <v/>
      </c>
      <c r="M1165" s="13" t="n">
        <v>0</v>
      </c>
      <c r="N1165" s="13">
        <f>SUM(E1165:M1165)</f>
        <v/>
      </c>
    </row>
    <row r="1166">
      <c r="A1166" s="5">
        <f>IF(AND(C1166&gt;=Options!$B$9,C1166&lt;=Options!$B$10),"Denver","")</f>
        <v/>
      </c>
      <c r="B1166" s="5">
        <f>IF(A1166="","",24)</f>
        <v/>
      </c>
      <c r="C1166" s="17" t="n">
        <v>46362</v>
      </c>
      <c r="D1166" s="5">
        <f>IF(A1166="","",IF(C1166=DATE(2026,11,29),"培训；注册午餐；早餐参数",IF(C1166=DATE(2026,11,30),"培训；注册午餐",IF(C1166=DATE(2026,12,1),"培训；注册午餐；机构晚餐",IF(C1166=Options!$B$9,"抵达；"&amp;IF(C1166=DATE(2026,11,28),"机构晚餐","无统一供餐"),IF(C1166=Options!$B$10,"返程；"&amp;IF(C1166=DATE(2026,12,2),"机构午餐","无统一供餐"),"差旅状态；无统一日程"))))))</f>
        <v/>
      </c>
      <c r="E1166" s="13">
        <f>IF(C1166=Options!$B$9,Options!$C$17,0)</f>
        <v/>
      </c>
      <c r="F1166" s="13">
        <f>IF(AND(A1166&lt;&gt;"",C1166&lt;Options!$B$10),B1166*Options!$X$6,0)</f>
        <v/>
      </c>
      <c r="G1166" s="13">
        <f>F1166*12%</f>
        <v/>
      </c>
      <c r="H1166" s="13">
        <f>IF(A1166="",0,B1166*(92*IF(OR(C1166=Options!$B$9,C1166=Options!$B$10),75%,100%)-IF(C1166=DATE(2026,11,29),26+IF(Options!$B$8="是",23,0),0)-IF(C1166=DATE(2026,11,30),26,0)-IF(C1166=DATE(2026,12,1),64,0)-IF(C1166=DATE(2026,11,28),38,0)-IF(C1166=DATE(2026,12,2),26,0)))</f>
        <v/>
      </c>
      <c r="I1166" s="13">
        <f>IF(AND(C1166&gt;=DATE(2026,11,29),C1166&lt;=DATE(2026,12,1)),B1166*60,0)</f>
        <v/>
      </c>
      <c r="J1166" s="13">
        <f>IF(A1166="",0,B1166*(IF(C1166=DATE(2026,11,28),38,0)+IF(C1166=DATE(2026,12,1),38,0)+IF(C1166=DATE(2026,12,2),26,0)))</f>
        <v/>
      </c>
      <c r="K1166" s="13">
        <f>IF(C1166=Options!$B$9,B1166*12,0)</f>
        <v/>
      </c>
      <c r="L1166" s="13">
        <f>IF(C1166=Options!$B$9,B1166*Options!$Z$6,0)</f>
        <v/>
      </c>
      <c r="M1166" s="13" t="n">
        <v>0</v>
      </c>
      <c r="N1166" s="13">
        <f>SUM(E1166:M1166)</f>
        <v/>
      </c>
    </row>
    <row r="1167">
      <c r="A1167" s="5">
        <f>IF(AND(C1167&gt;=Options!$B$9,C1167&lt;=Options!$B$10),"Denver","")</f>
        <v/>
      </c>
      <c r="B1167" s="5">
        <f>IF(A1167="","",24)</f>
        <v/>
      </c>
      <c r="C1167" s="17" t="n">
        <v>46363</v>
      </c>
      <c r="D1167" s="5">
        <f>IF(A1167="","",IF(C1167=DATE(2026,11,29),"培训；注册午餐；早餐参数",IF(C1167=DATE(2026,11,30),"培训；注册午餐",IF(C1167=DATE(2026,12,1),"培训；注册午餐；机构晚餐",IF(C1167=Options!$B$9,"抵达；"&amp;IF(C1167=DATE(2026,11,28),"机构晚餐","无统一供餐"),IF(C1167=Options!$B$10,"返程；"&amp;IF(C1167=DATE(2026,12,2),"机构午餐","无统一供餐"),"差旅状态；无统一日程"))))))</f>
        <v/>
      </c>
      <c r="E1167" s="13">
        <f>IF(C1167=Options!$B$9,Options!$C$17,0)</f>
        <v/>
      </c>
      <c r="F1167" s="13">
        <f>IF(AND(A1167&lt;&gt;"",C1167&lt;Options!$B$10),B1167*Options!$X$6,0)</f>
        <v/>
      </c>
      <c r="G1167" s="13">
        <f>F1167*12%</f>
        <v/>
      </c>
      <c r="H1167" s="13">
        <f>IF(A1167="",0,B1167*(92*IF(OR(C1167=Options!$B$9,C1167=Options!$B$10),75%,100%)-IF(C1167=DATE(2026,11,29),26+IF(Options!$B$8="是",23,0),0)-IF(C1167=DATE(2026,11,30),26,0)-IF(C1167=DATE(2026,12,1),64,0)-IF(C1167=DATE(2026,11,28),38,0)-IF(C1167=DATE(2026,12,2),26,0)))</f>
        <v/>
      </c>
      <c r="I1167" s="13">
        <f>IF(AND(C1167&gt;=DATE(2026,11,29),C1167&lt;=DATE(2026,12,1)),B1167*60,0)</f>
        <v/>
      </c>
      <c r="J1167" s="13">
        <f>IF(A1167="",0,B1167*(IF(C1167=DATE(2026,11,28),38,0)+IF(C1167=DATE(2026,12,1),38,0)+IF(C1167=DATE(2026,12,2),26,0)))</f>
        <v/>
      </c>
      <c r="K1167" s="13">
        <f>IF(C1167=Options!$B$9,B1167*12,0)</f>
        <v/>
      </c>
      <c r="L1167" s="13">
        <f>IF(C1167=Options!$B$9,B1167*Options!$Z$6,0)</f>
        <v/>
      </c>
      <c r="M1167" s="13" t="n">
        <v>0</v>
      </c>
      <c r="N1167" s="13">
        <f>SUM(E1167:M1167)</f>
        <v/>
      </c>
    </row>
    <row r="1168">
      <c r="A1168" s="5">
        <f>IF(AND(C1168&gt;=Options!$B$9,C1168&lt;=Options!$B$10),"Denver","")</f>
        <v/>
      </c>
      <c r="B1168" s="5">
        <f>IF(A1168="","",24)</f>
        <v/>
      </c>
      <c r="C1168" s="17" t="n">
        <v>46364</v>
      </c>
      <c r="D1168" s="5">
        <f>IF(A1168="","",IF(C1168=DATE(2026,11,29),"培训；注册午餐；早餐参数",IF(C1168=DATE(2026,11,30),"培训；注册午餐",IF(C1168=DATE(2026,12,1),"培训；注册午餐；机构晚餐",IF(C1168=Options!$B$9,"抵达；"&amp;IF(C1168=DATE(2026,11,28),"机构晚餐","无统一供餐"),IF(C1168=Options!$B$10,"返程；"&amp;IF(C1168=DATE(2026,12,2),"机构午餐","无统一供餐"),"差旅状态；无统一日程"))))))</f>
        <v/>
      </c>
      <c r="E1168" s="13">
        <f>IF(C1168=Options!$B$9,Options!$C$17,0)</f>
        <v/>
      </c>
      <c r="F1168" s="13">
        <f>IF(AND(A1168&lt;&gt;"",C1168&lt;Options!$B$10),B1168*Options!$X$6,0)</f>
        <v/>
      </c>
      <c r="G1168" s="13">
        <f>F1168*12%</f>
        <v/>
      </c>
      <c r="H1168" s="13">
        <f>IF(A1168="",0,B1168*(92*IF(OR(C1168=Options!$B$9,C1168=Options!$B$10),75%,100%)-IF(C1168=DATE(2026,11,29),26+IF(Options!$B$8="是",23,0),0)-IF(C1168=DATE(2026,11,30),26,0)-IF(C1168=DATE(2026,12,1),64,0)-IF(C1168=DATE(2026,11,28),38,0)-IF(C1168=DATE(2026,12,2),26,0)))</f>
        <v/>
      </c>
      <c r="I1168" s="13">
        <f>IF(AND(C1168&gt;=DATE(2026,11,29),C1168&lt;=DATE(2026,12,1)),B1168*60,0)</f>
        <v/>
      </c>
      <c r="J1168" s="13">
        <f>IF(A1168="",0,B1168*(IF(C1168=DATE(2026,11,28),38,0)+IF(C1168=DATE(2026,12,1),38,0)+IF(C1168=DATE(2026,12,2),26,0)))</f>
        <v/>
      </c>
      <c r="K1168" s="13">
        <f>IF(C1168=Options!$B$9,B1168*12,0)</f>
        <v/>
      </c>
      <c r="L1168" s="13">
        <f>IF(C1168=Options!$B$9,B1168*Options!$Z$6,0)</f>
        <v/>
      </c>
      <c r="M1168" s="13" t="n">
        <v>0</v>
      </c>
      <c r="N1168" s="13">
        <f>SUM(E1168:M1168)</f>
        <v/>
      </c>
    </row>
    <row r="1169">
      <c r="A1169" s="5">
        <f>IF(AND(C1169&gt;=Options!$B$9,C1169&lt;=Options!$B$10),"Denver","")</f>
        <v/>
      </c>
      <c r="B1169" s="5">
        <f>IF(A1169="","",24)</f>
        <v/>
      </c>
      <c r="C1169" s="17" t="n">
        <v>46365</v>
      </c>
      <c r="D1169" s="5">
        <f>IF(A1169="","",IF(C1169=DATE(2026,11,29),"培训；注册午餐；早餐参数",IF(C1169=DATE(2026,11,30),"培训；注册午餐",IF(C1169=DATE(2026,12,1),"培训；注册午餐；机构晚餐",IF(C1169=Options!$B$9,"抵达；"&amp;IF(C1169=DATE(2026,11,28),"机构晚餐","无统一供餐"),IF(C1169=Options!$B$10,"返程；"&amp;IF(C1169=DATE(2026,12,2),"机构午餐","无统一供餐"),"差旅状态；无统一日程"))))))</f>
        <v/>
      </c>
      <c r="E1169" s="13">
        <f>IF(C1169=Options!$B$9,Options!$C$17,0)</f>
        <v/>
      </c>
      <c r="F1169" s="13">
        <f>IF(AND(A1169&lt;&gt;"",C1169&lt;Options!$B$10),B1169*Options!$X$6,0)</f>
        <v/>
      </c>
      <c r="G1169" s="13">
        <f>F1169*12%</f>
        <v/>
      </c>
      <c r="H1169" s="13">
        <f>IF(A1169="",0,B1169*(92*IF(OR(C1169=Options!$B$9,C1169=Options!$B$10),75%,100%)-IF(C1169=DATE(2026,11,29),26+IF(Options!$B$8="是",23,0),0)-IF(C1169=DATE(2026,11,30),26,0)-IF(C1169=DATE(2026,12,1),64,0)-IF(C1169=DATE(2026,11,28),38,0)-IF(C1169=DATE(2026,12,2),26,0)))</f>
        <v/>
      </c>
      <c r="I1169" s="13">
        <f>IF(AND(C1169&gt;=DATE(2026,11,29),C1169&lt;=DATE(2026,12,1)),B1169*60,0)</f>
        <v/>
      </c>
      <c r="J1169" s="13">
        <f>IF(A1169="",0,B1169*(IF(C1169=DATE(2026,11,28),38,0)+IF(C1169=DATE(2026,12,1),38,0)+IF(C1169=DATE(2026,12,2),26,0)))</f>
        <v/>
      </c>
      <c r="K1169" s="13">
        <f>IF(C1169=Options!$B$9,B1169*12,0)</f>
        <v/>
      </c>
      <c r="L1169" s="13">
        <f>IF(C1169=Options!$B$9,B1169*Options!$Z$6,0)</f>
        <v/>
      </c>
      <c r="M1169" s="13" t="n">
        <v>0</v>
      </c>
      <c r="N1169" s="13">
        <f>SUM(E1169:M1169)</f>
        <v/>
      </c>
    </row>
    <row r="1170">
      <c r="A1170" s="5">
        <f>IF(AND(C1170&gt;=Options!$B$9,C1170&lt;=Options!$B$10),"Denver","")</f>
        <v/>
      </c>
      <c r="B1170" s="5">
        <f>IF(A1170="","",24)</f>
        <v/>
      </c>
      <c r="C1170" s="17" t="n">
        <v>46366</v>
      </c>
      <c r="D1170" s="5">
        <f>IF(A1170="","",IF(C1170=DATE(2026,11,29),"培训；注册午餐；早餐参数",IF(C1170=DATE(2026,11,30),"培训；注册午餐",IF(C1170=DATE(2026,12,1),"培训；注册午餐；机构晚餐",IF(C1170=Options!$B$9,"抵达；"&amp;IF(C1170=DATE(2026,11,28),"机构晚餐","无统一供餐"),IF(C1170=Options!$B$10,"返程；"&amp;IF(C1170=DATE(2026,12,2),"机构午餐","无统一供餐"),"差旅状态；无统一日程"))))))</f>
        <v/>
      </c>
      <c r="E1170" s="13">
        <f>IF(C1170=Options!$B$9,Options!$C$17,0)</f>
        <v/>
      </c>
      <c r="F1170" s="13">
        <f>IF(AND(A1170&lt;&gt;"",C1170&lt;Options!$B$10),B1170*Options!$X$6,0)</f>
        <v/>
      </c>
      <c r="G1170" s="13">
        <f>F1170*12%</f>
        <v/>
      </c>
      <c r="H1170" s="13">
        <f>IF(A1170="",0,B1170*(92*IF(OR(C1170=Options!$B$9,C1170=Options!$B$10),75%,100%)-IF(C1170=DATE(2026,11,29),26+IF(Options!$B$8="是",23,0),0)-IF(C1170=DATE(2026,11,30),26,0)-IF(C1170=DATE(2026,12,1),64,0)-IF(C1170=DATE(2026,11,28),38,0)-IF(C1170=DATE(2026,12,2),26,0)))</f>
        <v/>
      </c>
      <c r="I1170" s="13">
        <f>IF(AND(C1170&gt;=DATE(2026,11,29),C1170&lt;=DATE(2026,12,1)),B1170*60,0)</f>
        <v/>
      </c>
      <c r="J1170" s="13">
        <f>IF(A1170="",0,B1170*(IF(C1170=DATE(2026,11,28),38,0)+IF(C1170=DATE(2026,12,1),38,0)+IF(C1170=DATE(2026,12,2),26,0)))</f>
        <v/>
      </c>
      <c r="K1170" s="13">
        <f>IF(C1170=Options!$B$9,B1170*12,0)</f>
        <v/>
      </c>
      <c r="L1170" s="13">
        <f>IF(C1170=Options!$B$9,B1170*Options!$Z$6,0)</f>
        <v/>
      </c>
      <c r="M1170" s="13" t="n">
        <v>0</v>
      </c>
      <c r="N1170" s="13">
        <f>SUM(E1170:M1170)</f>
        <v/>
      </c>
    </row>
    <row r="1171">
      <c r="A1171" s="5">
        <f>IF(AND(C1171&gt;=Options!$B$9,C1171&lt;=Options!$B$10),"Denver","")</f>
        <v/>
      </c>
      <c r="B1171" s="5">
        <f>IF(A1171="","",24)</f>
        <v/>
      </c>
      <c r="C1171" s="17" t="n">
        <v>46367</v>
      </c>
      <c r="D1171" s="5">
        <f>IF(A1171="","",IF(C1171=DATE(2026,11,29),"培训；注册午餐；早餐参数",IF(C1171=DATE(2026,11,30),"培训；注册午餐",IF(C1171=DATE(2026,12,1),"培训；注册午餐；机构晚餐",IF(C1171=Options!$B$9,"抵达；"&amp;IF(C1171=DATE(2026,11,28),"机构晚餐","无统一供餐"),IF(C1171=Options!$B$10,"返程；"&amp;IF(C1171=DATE(2026,12,2),"机构午餐","无统一供餐"),"差旅状态；无统一日程"))))))</f>
        <v/>
      </c>
      <c r="E1171" s="13">
        <f>IF(C1171=Options!$B$9,Options!$C$17,0)</f>
        <v/>
      </c>
      <c r="F1171" s="13">
        <f>IF(AND(A1171&lt;&gt;"",C1171&lt;Options!$B$10),B1171*Options!$X$6,0)</f>
        <v/>
      </c>
      <c r="G1171" s="13">
        <f>F1171*12%</f>
        <v/>
      </c>
      <c r="H1171" s="13">
        <f>IF(A1171="",0,B1171*(92*IF(OR(C1171=Options!$B$9,C1171=Options!$B$10),75%,100%)-IF(C1171=DATE(2026,11,29),26+IF(Options!$B$8="是",23,0),0)-IF(C1171=DATE(2026,11,30),26,0)-IF(C1171=DATE(2026,12,1),64,0)-IF(C1171=DATE(2026,11,28),38,0)-IF(C1171=DATE(2026,12,2),26,0)))</f>
        <v/>
      </c>
      <c r="I1171" s="13">
        <f>IF(AND(C1171&gt;=DATE(2026,11,29),C1171&lt;=DATE(2026,12,1)),B1171*60,0)</f>
        <v/>
      </c>
      <c r="J1171" s="13">
        <f>IF(A1171="",0,B1171*(IF(C1171=DATE(2026,11,28),38,0)+IF(C1171=DATE(2026,12,1),38,0)+IF(C1171=DATE(2026,12,2),26,0)))</f>
        <v/>
      </c>
      <c r="K1171" s="13">
        <f>IF(C1171=Options!$B$9,B1171*12,0)</f>
        <v/>
      </c>
      <c r="L1171" s="13">
        <f>IF(C1171=Options!$B$9,B1171*Options!$Z$6,0)</f>
        <v/>
      </c>
      <c r="M1171" s="13" t="n">
        <v>0</v>
      </c>
      <c r="N1171" s="13">
        <f>SUM(E1171:M1171)</f>
        <v/>
      </c>
    </row>
    <row r="1172">
      <c r="A1172" s="5">
        <f>IF(AND(C1172&gt;=Options!$B$9,C1172&lt;=Options!$B$10),"Denver","")</f>
        <v/>
      </c>
      <c r="B1172" s="5">
        <f>IF(A1172="","",24)</f>
        <v/>
      </c>
      <c r="C1172" s="17" t="n">
        <v>46368</v>
      </c>
      <c r="D1172" s="5">
        <f>IF(A1172="","",IF(C1172=DATE(2026,11,29),"培训；注册午餐；早餐参数",IF(C1172=DATE(2026,11,30),"培训；注册午餐",IF(C1172=DATE(2026,12,1),"培训；注册午餐；机构晚餐",IF(C1172=Options!$B$9,"抵达；"&amp;IF(C1172=DATE(2026,11,28),"机构晚餐","无统一供餐"),IF(C1172=Options!$B$10,"返程；"&amp;IF(C1172=DATE(2026,12,2),"机构午餐","无统一供餐"),"差旅状态；无统一日程"))))))</f>
        <v/>
      </c>
      <c r="E1172" s="13">
        <f>IF(C1172=Options!$B$9,Options!$C$17,0)</f>
        <v/>
      </c>
      <c r="F1172" s="13">
        <f>IF(AND(A1172&lt;&gt;"",C1172&lt;Options!$B$10),B1172*Options!$X$6,0)</f>
        <v/>
      </c>
      <c r="G1172" s="13">
        <f>F1172*12%</f>
        <v/>
      </c>
      <c r="H1172" s="13">
        <f>IF(A1172="",0,B1172*(92*IF(OR(C1172=Options!$B$9,C1172=Options!$B$10),75%,100%)-IF(C1172=DATE(2026,11,29),26+IF(Options!$B$8="是",23,0),0)-IF(C1172=DATE(2026,11,30),26,0)-IF(C1172=DATE(2026,12,1),64,0)-IF(C1172=DATE(2026,11,28),38,0)-IF(C1172=DATE(2026,12,2),26,0)))</f>
        <v/>
      </c>
      <c r="I1172" s="13">
        <f>IF(AND(C1172&gt;=DATE(2026,11,29),C1172&lt;=DATE(2026,12,1)),B1172*60,0)</f>
        <v/>
      </c>
      <c r="J1172" s="13">
        <f>IF(A1172="",0,B1172*(IF(C1172=DATE(2026,11,28),38,0)+IF(C1172=DATE(2026,12,1),38,0)+IF(C1172=DATE(2026,12,2),26,0)))</f>
        <v/>
      </c>
      <c r="K1172" s="13">
        <f>IF(C1172=Options!$B$9,B1172*12,0)</f>
        <v/>
      </c>
      <c r="L1172" s="13">
        <f>IF(C1172=Options!$B$9,B1172*Options!$Z$6,0)</f>
        <v/>
      </c>
      <c r="M1172" s="13" t="n">
        <v>0</v>
      </c>
      <c r="N1172" s="13">
        <f>SUM(E1172:M1172)</f>
        <v/>
      </c>
    </row>
    <row r="1173">
      <c r="A1173" s="5">
        <f>IF(AND(C1173&gt;=Options!$B$9,C1173&lt;=Options!$B$10),"Denver","")</f>
        <v/>
      </c>
      <c r="B1173" s="5">
        <f>IF(A1173="","",24)</f>
        <v/>
      </c>
      <c r="C1173" s="17" t="n">
        <v>46369</v>
      </c>
      <c r="D1173" s="5">
        <f>IF(A1173="","",IF(C1173=DATE(2026,11,29),"培训；注册午餐；早餐参数",IF(C1173=DATE(2026,11,30),"培训；注册午餐",IF(C1173=DATE(2026,12,1),"培训；注册午餐；机构晚餐",IF(C1173=Options!$B$9,"抵达；"&amp;IF(C1173=DATE(2026,11,28),"机构晚餐","无统一供餐"),IF(C1173=Options!$B$10,"返程；"&amp;IF(C1173=DATE(2026,12,2),"机构午餐","无统一供餐"),"差旅状态；无统一日程"))))))</f>
        <v/>
      </c>
      <c r="E1173" s="13">
        <f>IF(C1173=Options!$B$9,Options!$C$17,0)</f>
        <v/>
      </c>
      <c r="F1173" s="13">
        <f>IF(AND(A1173&lt;&gt;"",C1173&lt;Options!$B$10),B1173*Options!$X$6,0)</f>
        <v/>
      </c>
      <c r="G1173" s="13">
        <f>F1173*12%</f>
        <v/>
      </c>
      <c r="H1173" s="13">
        <f>IF(A1173="",0,B1173*(92*IF(OR(C1173=Options!$B$9,C1173=Options!$B$10),75%,100%)-IF(C1173=DATE(2026,11,29),26+IF(Options!$B$8="是",23,0),0)-IF(C1173=DATE(2026,11,30),26,0)-IF(C1173=DATE(2026,12,1),64,0)-IF(C1173=DATE(2026,11,28),38,0)-IF(C1173=DATE(2026,12,2),26,0)))</f>
        <v/>
      </c>
      <c r="I1173" s="13">
        <f>IF(AND(C1173&gt;=DATE(2026,11,29),C1173&lt;=DATE(2026,12,1)),B1173*60,0)</f>
        <v/>
      </c>
      <c r="J1173" s="13">
        <f>IF(A1173="",0,B1173*(IF(C1173=DATE(2026,11,28),38,0)+IF(C1173=DATE(2026,12,1),38,0)+IF(C1173=DATE(2026,12,2),26,0)))</f>
        <v/>
      </c>
      <c r="K1173" s="13">
        <f>IF(C1173=Options!$B$9,B1173*12,0)</f>
        <v/>
      </c>
      <c r="L1173" s="13">
        <f>IF(C1173=Options!$B$9,B1173*Options!$Z$6,0)</f>
        <v/>
      </c>
      <c r="M1173" s="13" t="n">
        <v>0</v>
      </c>
      <c r="N1173" s="13">
        <f>SUM(E1173:M1173)</f>
        <v/>
      </c>
    </row>
    <row r="1174">
      <c r="A1174" s="5">
        <f>IF(AND(C1174&gt;=Options!$B$9,C1174&lt;=Options!$B$10),"Denver","")</f>
        <v/>
      </c>
      <c r="B1174" s="5">
        <f>IF(A1174="","",24)</f>
        <v/>
      </c>
      <c r="C1174" s="17" t="n">
        <v>46370</v>
      </c>
      <c r="D1174" s="5">
        <f>IF(A1174="","",IF(C1174=DATE(2026,11,29),"培训；注册午餐；早餐参数",IF(C1174=DATE(2026,11,30),"培训；注册午餐",IF(C1174=DATE(2026,12,1),"培训；注册午餐；机构晚餐",IF(C1174=Options!$B$9,"抵达；"&amp;IF(C1174=DATE(2026,11,28),"机构晚餐","无统一供餐"),IF(C1174=Options!$B$10,"返程；"&amp;IF(C1174=DATE(2026,12,2),"机构午餐","无统一供餐"),"差旅状态；无统一日程"))))))</f>
        <v/>
      </c>
      <c r="E1174" s="13">
        <f>IF(C1174=Options!$B$9,Options!$C$17,0)</f>
        <v/>
      </c>
      <c r="F1174" s="13">
        <f>IF(AND(A1174&lt;&gt;"",C1174&lt;Options!$B$10),B1174*Options!$X$6,0)</f>
        <v/>
      </c>
      <c r="G1174" s="13">
        <f>F1174*12%</f>
        <v/>
      </c>
      <c r="H1174" s="13">
        <f>IF(A1174="",0,B1174*(92*IF(OR(C1174=Options!$B$9,C1174=Options!$B$10),75%,100%)-IF(C1174=DATE(2026,11,29),26+IF(Options!$B$8="是",23,0),0)-IF(C1174=DATE(2026,11,30),26,0)-IF(C1174=DATE(2026,12,1),64,0)-IF(C1174=DATE(2026,11,28),38,0)-IF(C1174=DATE(2026,12,2),26,0)))</f>
        <v/>
      </c>
      <c r="I1174" s="13">
        <f>IF(AND(C1174&gt;=DATE(2026,11,29),C1174&lt;=DATE(2026,12,1)),B1174*60,0)</f>
        <v/>
      </c>
      <c r="J1174" s="13">
        <f>IF(A1174="",0,B1174*(IF(C1174=DATE(2026,11,28),38,0)+IF(C1174=DATE(2026,12,1),38,0)+IF(C1174=DATE(2026,12,2),26,0)))</f>
        <v/>
      </c>
      <c r="K1174" s="13">
        <f>IF(C1174=Options!$B$9,B1174*12,0)</f>
        <v/>
      </c>
      <c r="L1174" s="13">
        <f>IF(C1174=Options!$B$9,B1174*Options!$Z$6,0)</f>
        <v/>
      </c>
      <c r="M1174" s="13" t="n">
        <v>0</v>
      </c>
      <c r="N1174" s="13">
        <f>SUM(E1174:M1174)</f>
        <v/>
      </c>
    </row>
    <row r="1175">
      <c r="A1175" s="5">
        <f>IF(AND(C1175&gt;=Options!$B$9,C1175&lt;=Options!$B$10),"Denver","")</f>
        <v/>
      </c>
      <c r="B1175" s="5">
        <f>IF(A1175="","",24)</f>
        <v/>
      </c>
      <c r="C1175" s="17" t="n">
        <v>46371</v>
      </c>
      <c r="D1175" s="5">
        <f>IF(A1175="","",IF(C1175=DATE(2026,11,29),"培训；注册午餐；早餐参数",IF(C1175=DATE(2026,11,30),"培训；注册午餐",IF(C1175=DATE(2026,12,1),"培训；注册午餐；机构晚餐",IF(C1175=Options!$B$9,"抵达；"&amp;IF(C1175=DATE(2026,11,28),"机构晚餐","无统一供餐"),IF(C1175=Options!$B$10,"返程；"&amp;IF(C1175=DATE(2026,12,2),"机构午餐","无统一供餐"),"差旅状态；无统一日程"))))))</f>
        <v/>
      </c>
      <c r="E1175" s="13">
        <f>IF(C1175=Options!$B$9,Options!$C$17,0)</f>
        <v/>
      </c>
      <c r="F1175" s="13">
        <f>IF(AND(A1175&lt;&gt;"",C1175&lt;Options!$B$10),B1175*Options!$X$6,0)</f>
        <v/>
      </c>
      <c r="G1175" s="13">
        <f>F1175*12%</f>
        <v/>
      </c>
      <c r="H1175" s="13">
        <f>IF(A1175="",0,B1175*(92*IF(OR(C1175=Options!$B$9,C1175=Options!$B$10),75%,100%)-IF(C1175=DATE(2026,11,29),26+IF(Options!$B$8="是",23,0),0)-IF(C1175=DATE(2026,11,30),26,0)-IF(C1175=DATE(2026,12,1),64,0)-IF(C1175=DATE(2026,11,28),38,0)-IF(C1175=DATE(2026,12,2),26,0)))</f>
        <v/>
      </c>
      <c r="I1175" s="13">
        <f>IF(AND(C1175&gt;=DATE(2026,11,29),C1175&lt;=DATE(2026,12,1)),B1175*60,0)</f>
        <v/>
      </c>
      <c r="J1175" s="13">
        <f>IF(A1175="",0,B1175*(IF(C1175=DATE(2026,11,28),38,0)+IF(C1175=DATE(2026,12,1),38,0)+IF(C1175=DATE(2026,12,2),26,0)))</f>
        <v/>
      </c>
      <c r="K1175" s="13">
        <f>IF(C1175=Options!$B$9,B1175*12,0)</f>
        <v/>
      </c>
      <c r="L1175" s="13">
        <f>IF(C1175=Options!$B$9,B1175*Options!$Z$6,0)</f>
        <v/>
      </c>
      <c r="M1175" s="13" t="n">
        <v>0</v>
      </c>
      <c r="N1175" s="13">
        <f>SUM(E1175:M1175)</f>
        <v/>
      </c>
    </row>
    <row r="1176">
      <c r="A1176" s="5">
        <f>IF(AND(C1176&gt;=Options!$B$9,C1176&lt;=Options!$B$10),"Denver","")</f>
        <v/>
      </c>
      <c r="B1176" s="5">
        <f>IF(A1176="","",24)</f>
        <v/>
      </c>
      <c r="C1176" s="17" t="n">
        <v>46372</v>
      </c>
      <c r="D1176" s="5">
        <f>IF(A1176="","",IF(C1176=DATE(2026,11,29),"培训；注册午餐；早餐参数",IF(C1176=DATE(2026,11,30),"培训；注册午餐",IF(C1176=DATE(2026,12,1),"培训；注册午餐；机构晚餐",IF(C1176=Options!$B$9,"抵达；"&amp;IF(C1176=DATE(2026,11,28),"机构晚餐","无统一供餐"),IF(C1176=Options!$B$10,"返程；"&amp;IF(C1176=DATE(2026,12,2),"机构午餐","无统一供餐"),"差旅状态；无统一日程"))))))</f>
        <v/>
      </c>
      <c r="E1176" s="13">
        <f>IF(C1176=Options!$B$9,Options!$C$17,0)</f>
        <v/>
      </c>
      <c r="F1176" s="13">
        <f>IF(AND(A1176&lt;&gt;"",C1176&lt;Options!$B$10),B1176*Options!$X$6,0)</f>
        <v/>
      </c>
      <c r="G1176" s="13">
        <f>F1176*12%</f>
        <v/>
      </c>
      <c r="H1176" s="13">
        <f>IF(A1176="",0,B1176*(92*IF(OR(C1176=Options!$B$9,C1176=Options!$B$10),75%,100%)-IF(C1176=DATE(2026,11,29),26+IF(Options!$B$8="是",23,0),0)-IF(C1176=DATE(2026,11,30),26,0)-IF(C1176=DATE(2026,12,1),64,0)-IF(C1176=DATE(2026,11,28),38,0)-IF(C1176=DATE(2026,12,2),26,0)))</f>
        <v/>
      </c>
      <c r="I1176" s="13">
        <f>IF(AND(C1176&gt;=DATE(2026,11,29),C1176&lt;=DATE(2026,12,1)),B1176*60,0)</f>
        <v/>
      </c>
      <c r="J1176" s="13">
        <f>IF(A1176="",0,B1176*(IF(C1176=DATE(2026,11,28),38,0)+IF(C1176=DATE(2026,12,1),38,0)+IF(C1176=DATE(2026,12,2),26,0)))</f>
        <v/>
      </c>
      <c r="K1176" s="13">
        <f>IF(C1176=Options!$B$9,B1176*12,0)</f>
        <v/>
      </c>
      <c r="L1176" s="13">
        <f>IF(C1176=Options!$B$9,B1176*Options!$Z$6,0)</f>
        <v/>
      </c>
      <c r="M1176" s="13" t="n">
        <v>0</v>
      </c>
      <c r="N1176" s="13">
        <f>SUM(E1176:M1176)</f>
        <v/>
      </c>
    </row>
    <row r="1177">
      <c r="A1177" s="5">
        <f>IF(AND(C1177&gt;=Options!$B$9,C1177&lt;=Options!$B$10),"Denver","")</f>
        <v/>
      </c>
      <c r="B1177" s="5">
        <f>IF(A1177="","",24)</f>
        <v/>
      </c>
      <c r="C1177" s="17" t="n">
        <v>46373</v>
      </c>
      <c r="D1177" s="5">
        <f>IF(A1177="","",IF(C1177=DATE(2026,11,29),"培训；注册午餐；早餐参数",IF(C1177=DATE(2026,11,30),"培训；注册午餐",IF(C1177=DATE(2026,12,1),"培训；注册午餐；机构晚餐",IF(C1177=Options!$B$9,"抵达；"&amp;IF(C1177=DATE(2026,11,28),"机构晚餐","无统一供餐"),IF(C1177=Options!$B$10,"返程；"&amp;IF(C1177=DATE(2026,12,2),"机构午餐","无统一供餐"),"差旅状态；无统一日程"))))))</f>
        <v/>
      </c>
      <c r="E1177" s="13">
        <f>IF(C1177=Options!$B$9,Options!$C$17,0)</f>
        <v/>
      </c>
      <c r="F1177" s="13">
        <f>IF(AND(A1177&lt;&gt;"",C1177&lt;Options!$B$10),B1177*Options!$X$6,0)</f>
        <v/>
      </c>
      <c r="G1177" s="13">
        <f>F1177*12%</f>
        <v/>
      </c>
      <c r="H1177" s="13">
        <f>IF(A1177="",0,B1177*(92*IF(OR(C1177=Options!$B$9,C1177=Options!$B$10),75%,100%)-IF(C1177=DATE(2026,11,29),26+IF(Options!$B$8="是",23,0),0)-IF(C1177=DATE(2026,11,30),26,0)-IF(C1177=DATE(2026,12,1),64,0)-IF(C1177=DATE(2026,11,28),38,0)-IF(C1177=DATE(2026,12,2),26,0)))</f>
        <v/>
      </c>
      <c r="I1177" s="13">
        <f>IF(AND(C1177&gt;=DATE(2026,11,29),C1177&lt;=DATE(2026,12,1)),B1177*60,0)</f>
        <v/>
      </c>
      <c r="J1177" s="13">
        <f>IF(A1177="",0,B1177*(IF(C1177=DATE(2026,11,28),38,0)+IF(C1177=DATE(2026,12,1),38,0)+IF(C1177=DATE(2026,12,2),26,0)))</f>
        <v/>
      </c>
      <c r="K1177" s="13">
        <f>IF(C1177=Options!$B$9,B1177*12,0)</f>
        <v/>
      </c>
      <c r="L1177" s="13">
        <f>IF(C1177=Options!$B$9,B1177*Options!$Z$6,0)</f>
        <v/>
      </c>
      <c r="M1177" s="13" t="n">
        <v>0</v>
      </c>
      <c r="N1177" s="13">
        <f>SUM(E1177:M1177)</f>
        <v/>
      </c>
    </row>
    <row r="1178">
      <c r="A1178" s="5">
        <f>IF(AND(C1178&gt;=Options!$B$9,C1178&lt;=Options!$B$10),"Denver","")</f>
        <v/>
      </c>
      <c r="B1178" s="5">
        <f>IF(A1178="","",24)</f>
        <v/>
      </c>
      <c r="C1178" s="17" t="n">
        <v>46374</v>
      </c>
      <c r="D1178" s="5">
        <f>IF(A1178="","",IF(C1178=DATE(2026,11,29),"培训；注册午餐；早餐参数",IF(C1178=DATE(2026,11,30),"培训；注册午餐",IF(C1178=DATE(2026,12,1),"培训；注册午餐；机构晚餐",IF(C1178=Options!$B$9,"抵达；"&amp;IF(C1178=DATE(2026,11,28),"机构晚餐","无统一供餐"),IF(C1178=Options!$B$10,"返程；"&amp;IF(C1178=DATE(2026,12,2),"机构午餐","无统一供餐"),"差旅状态；无统一日程"))))))</f>
        <v/>
      </c>
      <c r="E1178" s="13">
        <f>IF(C1178=Options!$B$9,Options!$C$17,0)</f>
        <v/>
      </c>
      <c r="F1178" s="13">
        <f>IF(AND(A1178&lt;&gt;"",C1178&lt;Options!$B$10),B1178*Options!$X$6,0)</f>
        <v/>
      </c>
      <c r="G1178" s="13">
        <f>F1178*12%</f>
        <v/>
      </c>
      <c r="H1178" s="13">
        <f>IF(A1178="",0,B1178*(92*IF(OR(C1178=Options!$B$9,C1178=Options!$B$10),75%,100%)-IF(C1178=DATE(2026,11,29),26+IF(Options!$B$8="是",23,0),0)-IF(C1178=DATE(2026,11,30),26,0)-IF(C1178=DATE(2026,12,1),64,0)-IF(C1178=DATE(2026,11,28),38,0)-IF(C1178=DATE(2026,12,2),26,0)))</f>
        <v/>
      </c>
      <c r="I1178" s="13">
        <f>IF(AND(C1178&gt;=DATE(2026,11,29),C1178&lt;=DATE(2026,12,1)),B1178*60,0)</f>
        <v/>
      </c>
      <c r="J1178" s="13">
        <f>IF(A1178="",0,B1178*(IF(C1178=DATE(2026,11,28),38,0)+IF(C1178=DATE(2026,12,1),38,0)+IF(C1178=DATE(2026,12,2),26,0)))</f>
        <v/>
      </c>
      <c r="K1178" s="13">
        <f>IF(C1178=Options!$B$9,B1178*12,0)</f>
        <v/>
      </c>
      <c r="L1178" s="13">
        <f>IF(C1178=Options!$B$9,B1178*Options!$Z$6,0)</f>
        <v/>
      </c>
      <c r="M1178" s="13" t="n">
        <v>0</v>
      </c>
      <c r="N1178" s="13">
        <f>SUM(E1178:M1178)</f>
        <v/>
      </c>
    </row>
    <row r="1179">
      <c r="A1179" s="5">
        <f>IF(AND(C1179&gt;=Options!$B$9,C1179&lt;=Options!$B$10),"Denver","")</f>
        <v/>
      </c>
      <c r="B1179" s="5">
        <f>IF(A1179="","",24)</f>
        <v/>
      </c>
      <c r="C1179" s="17" t="n">
        <v>46375</v>
      </c>
      <c r="D1179" s="5">
        <f>IF(A1179="","",IF(C1179=DATE(2026,11,29),"培训；注册午餐；早餐参数",IF(C1179=DATE(2026,11,30),"培训；注册午餐",IF(C1179=DATE(2026,12,1),"培训；注册午餐；机构晚餐",IF(C1179=Options!$B$9,"抵达；"&amp;IF(C1179=DATE(2026,11,28),"机构晚餐","无统一供餐"),IF(C1179=Options!$B$10,"返程；"&amp;IF(C1179=DATE(2026,12,2),"机构午餐","无统一供餐"),"差旅状态；无统一日程"))))))</f>
        <v/>
      </c>
      <c r="E1179" s="13">
        <f>IF(C1179=Options!$B$9,Options!$C$17,0)</f>
        <v/>
      </c>
      <c r="F1179" s="13">
        <f>IF(AND(A1179&lt;&gt;"",C1179&lt;Options!$B$10),B1179*Options!$X$6,0)</f>
        <v/>
      </c>
      <c r="G1179" s="13">
        <f>F1179*12%</f>
        <v/>
      </c>
      <c r="H1179" s="13">
        <f>IF(A1179="",0,B1179*(92*IF(OR(C1179=Options!$B$9,C1179=Options!$B$10),75%,100%)-IF(C1179=DATE(2026,11,29),26+IF(Options!$B$8="是",23,0),0)-IF(C1179=DATE(2026,11,30),26,0)-IF(C1179=DATE(2026,12,1),64,0)-IF(C1179=DATE(2026,11,28),38,0)-IF(C1179=DATE(2026,12,2),26,0)))</f>
        <v/>
      </c>
      <c r="I1179" s="13">
        <f>IF(AND(C1179&gt;=DATE(2026,11,29),C1179&lt;=DATE(2026,12,1)),B1179*60,0)</f>
        <v/>
      </c>
      <c r="J1179" s="13">
        <f>IF(A1179="",0,B1179*(IF(C1179=DATE(2026,11,28),38,0)+IF(C1179=DATE(2026,12,1),38,0)+IF(C1179=DATE(2026,12,2),26,0)))</f>
        <v/>
      </c>
      <c r="K1179" s="13">
        <f>IF(C1179=Options!$B$9,B1179*12,0)</f>
        <v/>
      </c>
      <c r="L1179" s="13">
        <f>IF(C1179=Options!$B$9,B1179*Options!$Z$6,0)</f>
        <v/>
      </c>
      <c r="M1179" s="13" t="n">
        <v>0</v>
      </c>
      <c r="N1179" s="13">
        <f>SUM(E1179:M1179)</f>
        <v/>
      </c>
    </row>
    <row r="1180">
      <c r="A1180" s="5">
        <f>IF(AND(C1180&gt;=Options!$B$9,C1180&lt;=Options!$B$10),"Denver","")</f>
        <v/>
      </c>
      <c r="B1180" s="5">
        <f>IF(A1180="","",24)</f>
        <v/>
      </c>
      <c r="C1180" s="17" t="n">
        <v>46376</v>
      </c>
      <c r="D1180" s="5">
        <f>IF(A1180="","",IF(C1180=DATE(2026,11,29),"培训；注册午餐；早餐参数",IF(C1180=DATE(2026,11,30),"培训；注册午餐",IF(C1180=DATE(2026,12,1),"培训；注册午餐；机构晚餐",IF(C1180=Options!$B$9,"抵达；"&amp;IF(C1180=DATE(2026,11,28),"机构晚餐","无统一供餐"),IF(C1180=Options!$B$10,"返程；"&amp;IF(C1180=DATE(2026,12,2),"机构午餐","无统一供餐"),"差旅状态；无统一日程"))))))</f>
        <v/>
      </c>
      <c r="E1180" s="13">
        <f>IF(C1180=Options!$B$9,Options!$C$17,0)</f>
        <v/>
      </c>
      <c r="F1180" s="13">
        <f>IF(AND(A1180&lt;&gt;"",C1180&lt;Options!$B$10),B1180*Options!$X$6,0)</f>
        <v/>
      </c>
      <c r="G1180" s="13">
        <f>F1180*12%</f>
        <v/>
      </c>
      <c r="H1180" s="13">
        <f>IF(A1180="",0,B1180*(92*IF(OR(C1180=Options!$B$9,C1180=Options!$B$10),75%,100%)-IF(C1180=DATE(2026,11,29),26+IF(Options!$B$8="是",23,0),0)-IF(C1180=DATE(2026,11,30),26,0)-IF(C1180=DATE(2026,12,1),64,0)-IF(C1180=DATE(2026,11,28),38,0)-IF(C1180=DATE(2026,12,2),26,0)))</f>
        <v/>
      </c>
      <c r="I1180" s="13">
        <f>IF(AND(C1180&gt;=DATE(2026,11,29),C1180&lt;=DATE(2026,12,1)),B1180*60,0)</f>
        <v/>
      </c>
      <c r="J1180" s="13">
        <f>IF(A1180="",0,B1180*(IF(C1180=DATE(2026,11,28),38,0)+IF(C1180=DATE(2026,12,1),38,0)+IF(C1180=DATE(2026,12,2),26,0)))</f>
        <v/>
      </c>
      <c r="K1180" s="13">
        <f>IF(C1180=Options!$B$9,B1180*12,0)</f>
        <v/>
      </c>
      <c r="L1180" s="13">
        <f>IF(C1180=Options!$B$9,B1180*Options!$Z$6,0)</f>
        <v/>
      </c>
      <c r="M1180" s="13" t="n">
        <v>0</v>
      </c>
      <c r="N1180" s="13">
        <f>SUM(E1180:M1180)</f>
        <v/>
      </c>
    </row>
    <row r="1181">
      <c r="A1181" s="5">
        <f>IF(AND(C1181&gt;=Options!$B$9,C1181&lt;=Options!$B$10),"Denver","")</f>
        <v/>
      </c>
      <c r="B1181" s="5">
        <f>IF(A1181="","",24)</f>
        <v/>
      </c>
      <c r="C1181" s="17" t="n">
        <v>46377</v>
      </c>
      <c r="D1181" s="5">
        <f>IF(A1181="","",IF(C1181=DATE(2026,11,29),"培训；注册午餐；早餐参数",IF(C1181=DATE(2026,11,30),"培训；注册午餐",IF(C1181=DATE(2026,12,1),"培训；注册午餐；机构晚餐",IF(C1181=Options!$B$9,"抵达；"&amp;IF(C1181=DATE(2026,11,28),"机构晚餐","无统一供餐"),IF(C1181=Options!$B$10,"返程；"&amp;IF(C1181=DATE(2026,12,2),"机构午餐","无统一供餐"),"差旅状态；无统一日程"))))))</f>
        <v/>
      </c>
      <c r="E1181" s="13">
        <f>IF(C1181=Options!$B$9,Options!$C$17,0)</f>
        <v/>
      </c>
      <c r="F1181" s="13">
        <f>IF(AND(A1181&lt;&gt;"",C1181&lt;Options!$B$10),B1181*Options!$X$6,0)</f>
        <v/>
      </c>
      <c r="G1181" s="13">
        <f>F1181*12%</f>
        <v/>
      </c>
      <c r="H1181" s="13">
        <f>IF(A1181="",0,B1181*(92*IF(OR(C1181=Options!$B$9,C1181=Options!$B$10),75%,100%)-IF(C1181=DATE(2026,11,29),26+IF(Options!$B$8="是",23,0),0)-IF(C1181=DATE(2026,11,30),26,0)-IF(C1181=DATE(2026,12,1),64,0)-IF(C1181=DATE(2026,11,28),38,0)-IF(C1181=DATE(2026,12,2),26,0)))</f>
        <v/>
      </c>
      <c r="I1181" s="13">
        <f>IF(AND(C1181&gt;=DATE(2026,11,29),C1181&lt;=DATE(2026,12,1)),B1181*60,0)</f>
        <v/>
      </c>
      <c r="J1181" s="13">
        <f>IF(A1181="",0,B1181*(IF(C1181=DATE(2026,11,28),38,0)+IF(C1181=DATE(2026,12,1),38,0)+IF(C1181=DATE(2026,12,2),26,0)))</f>
        <v/>
      </c>
      <c r="K1181" s="13">
        <f>IF(C1181=Options!$B$9,B1181*12,0)</f>
        <v/>
      </c>
      <c r="L1181" s="13">
        <f>IF(C1181=Options!$B$9,B1181*Options!$Z$6,0)</f>
        <v/>
      </c>
      <c r="M1181" s="13" t="n">
        <v>0</v>
      </c>
      <c r="N1181" s="13">
        <f>SUM(E1181:M1181)</f>
        <v/>
      </c>
    </row>
    <row r="1182">
      <c r="A1182" s="5">
        <f>IF(AND(C1182&gt;=Options!$B$9,C1182&lt;=Options!$B$10),"Denver","")</f>
        <v/>
      </c>
      <c r="B1182" s="5">
        <f>IF(A1182="","",24)</f>
        <v/>
      </c>
      <c r="C1182" s="17" t="n">
        <v>46378</v>
      </c>
      <c r="D1182" s="5">
        <f>IF(A1182="","",IF(C1182=DATE(2026,11,29),"培训；注册午餐；早餐参数",IF(C1182=DATE(2026,11,30),"培训；注册午餐",IF(C1182=DATE(2026,12,1),"培训；注册午餐；机构晚餐",IF(C1182=Options!$B$9,"抵达；"&amp;IF(C1182=DATE(2026,11,28),"机构晚餐","无统一供餐"),IF(C1182=Options!$B$10,"返程；"&amp;IF(C1182=DATE(2026,12,2),"机构午餐","无统一供餐"),"差旅状态；无统一日程"))))))</f>
        <v/>
      </c>
      <c r="E1182" s="13">
        <f>IF(C1182=Options!$B$9,Options!$C$17,0)</f>
        <v/>
      </c>
      <c r="F1182" s="13">
        <f>IF(AND(A1182&lt;&gt;"",C1182&lt;Options!$B$10),B1182*Options!$X$6,0)</f>
        <v/>
      </c>
      <c r="G1182" s="13">
        <f>F1182*12%</f>
        <v/>
      </c>
      <c r="H1182" s="13">
        <f>IF(A1182="",0,B1182*(92*IF(OR(C1182=Options!$B$9,C1182=Options!$B$10),75%,100%)-IF(C1182=DATE(2026,11,29),26+IF(Options!$B$8="是",23,0),0)-IF(C1182=DATE(2026,11,30),26,0)-IF(C1182=DATE(2026,12,1),64,0)-IF(C1182=DATE(2026,11,28),38,0)-IF(C1182=DATE(2026,12,2),26,0)))</f>
        <v/>
      </c>
      <c r="I1182" s="13">
        <f>IF(AND(C1182&gt;=DATE(2026,11,29),C1182&lt;=DATE(2026,12,1)),B1182*60,0)</f>
        <v/>
      </c>
      <c r="J1182" s="13">
        <f>IF(A1182="",0,B1182*(IF(C1182=DATE(2026,11,28),38,0)+IF(C1182=DATE(2026,12,1),38,0)+IF(C1182=DATE(2026,12,2),26,0)))</f>
        <v/>
      </c>
      <c r="K1182" s="13">
        <f>IF(C1182=Options!$B$9,B1182*12,0)</f>
        <v/>
      </c>
      <c r="L1182" s="13">
        <f>IF(C1182=Options!$B$9,B1182*Options!$Z$6,0)</f>
        <v/>
      </c>
      <c r="M1182" s="13" t="n">
        <v>0</v>
      </c>
      <c r="N1182" s="13">
        <f>SUM(E1182:M1182)</f>
        <v/>
      </c>
    </row>
    <row r="1183">
      <c r="A1183" s="5">
        <f>IF(AND(C1183&gt;=Options!$B$9,C1183&lt;=Options!$B$10),"Denver","")</f>
        <v/>
      </c>
      <c r="B1183" s="5">
        <f>IF(A1183="","",24)</f>
        <v/>
      </c>
      <c r="C1183" s="17" t="n">
        <v>46379</v>
      </c>
      <c r="D1183" s="5">
        <f>IF(A1183="","",IF(C1183=DATE(2026,11,29),"培训；注册午餐；早餐参数",IF(C1183=DATE(2026,11,30),"培训；注册午餐",IF(C1183=DATE(2026,12,1),"培训；注册午餐；机构晚餐",IF(C1183=Options!$B$9,"抵达；"&amp;IF(C1183=DATE(2026,11,28),"机构晚餐","无统一供餐"),IF(C1183=Options!$B$10,"返程；"&amp;IF(C1183=DATE(2026,12,2),"机构午餐","无统一供餐"),"差旅状态；无统一日程"))))))</f>
        <v/>
      </c>
      <c r="E1183" s="13">
        <f>IF(C1183=Options!$B$9,Options!$C$17,0)</f>
        <v/>
      </c>
      <c r="F1183" s="13">
        <f>IF(AND(A1183&lt;&gt;"",C1183&lt;Options!$B$10),B1183*Options!$X$6,0)</f>
        <v/>
      </c>
      <c r="G1183" s="13">
        <f>F1183*12%</f>
        <v/>
      </c>
      <c r="H1183" s="13">
        <f>IF(A1183="",0,B1183*(92*IF(OR(C1183=Options!$B$9,C1183=Options!$B$10),75%,100%)-IF(C1183=DATE(2026,11,29),26+IF(Options!$B$8="是",23,0),0)-IF(C1183=DATE(2026,11,30),26,0)-IF(C1183=DATE(2026,12,1),64,0)-IF(C1183=DATE(2026,11,28),38,0)-IF(C1183=DATE(2026,12,2),26,0)))</f>
        <v/>
      </c>
      <c r="I1183" s="13">
        <f>IF(AND(C1183&gt;=DATE(2026,11,29),C1183&lt;=DATE(2026,12,1)),B1183*60,0)</f>
        <v/>
      </c>
      <c r="J1183" s="13">
        <f>IF(A1183="",0,B1183*(IF(C1183=DATE(2026,11,28),38,0)+IF(C1183=DATE(2026,12,1),38,0)+IF(C1183=DATE(2026,12,2),26,0)))</f>
        <v/>
      </c>
      <c r="K1183" s="13">
        <f>IF(C1183=Options!$B$9,B1183*12,0)</f>
        <v/>
      </c>
      <c r="L1183" s="13">
        <f>IF(C1183=Options!$B$9,B1183*Options!$Z$6,0)</f>
        <v/>
      </c>
      <c r="M1183" s="13" t="n">
        <v>0</v>
      </c>
      <c r="N1183" s="13">
        <f>SUM(E1183:M1183)</f>
        <v/>
      </c>
    </row>
    <row r="1184">
      <c r="A1184" s="5">
        <f>IF(AND(C1184&gt;=Options!$B$9,C1184&lt;=Options!$B$10),"Denver","")</f>
        <v/>
      </c>
      <c r="B1184" s="5">
        <f>IF(A1184="","",24)</f>
        <v/>
      </c>
      <c r="C1184" s="17" t="n">
        <v>46380</v>
      </c>
      <c r="D1184" s="5">
        <f>IF(A1184="","",IF(C1184=DATE(2026,11,29),"培训；注册午餐；早餐参数",IF(C1184=DATE(2026,11,30),"培训；注册午餐",IF(C1184=DATE(2026,12,1),"培训；注册午餐；机构晚餐",IF(C1184=Options!$B$9,"抵达；"&amp;IF(C1184=DATE(2026,11,28),"机构晚餐","无统一供餐"),IF(C1184=Options!$B$10,"返程；"&amp;IF(C1184=DATE(2026,12,2),"机构午餐","无统一供餐"),"差旅状态；无统一日程"))))))</f>
        <v/>
      </c>
      <c r="E1184" s="13">
        <f>IF(C1184=Options!$B$9,Options!$C$17,0)</f>
        <v/>
      </c>
      <c r="F1184" s="13">
        <f>IF(AND(A1184&lt;&gt;"",C1184&lt;Options!$B$10),B1184*Options!$X$6,0)</f>
        <v/>
      </c>
      <c r="G1184" s="13">
        <f>F1184*12%</f>
        <v/>
      </c>
      <c r="H1184" s="13">
        <f>IF(A1184="",0,B1184*(92*IF(OR(C1184=Options!$B$9,C1184=Options!$B$10),75%,100%)-IF(C1184=DATE(2026,11,29),26+IF(Options!$B$8="是",23,0),0)-IF(C1184=DATE(2026,11,30),26,0)-IF(C1184=DATE(2026,12,1),64,0)-IF(C1184=DATE(2026,11,28),38,0)-IF(C1184=DATE(2026,12,2),26,0)))</f>
        <v/>
      </c>
      <c r="I1184" s="13">
        <f>IF(AND(C1184&gt;=DATE(2026,11,29),C1184&lt;=DATE(2026,12,1)),B1184*60,0)</f>
        <v/>
      </c>
      <c r="J1184" s="13">
        <f>IF(A1184="",0,B1184*(IF(C1184=DATE(2026,11,28),38,0)+IF(C1184=DATE(2026,12,1),38,0)+IF(C1184=DATE(2026,12,2),26,0)))</f>
        <v/>
      </c>
      <c r="K1184" s="13">
        <f>IF(C1184=Options!$B$9,B1184*12,0)</f>
        <v/>
      </c>
      <c r="L1184" s="13">
        <f>IF(C1184=Options!$B$9,B1184*Options!$Z$6,0)</f>
        <v/>
      </c>
      <c r="M1184" s="13" t="n">
        <v>0</v>
      </c>
      <c r="N1184" s="13">
        <f>SUM(E1184:M1184)</f>
        <v/>
      </c>
    </row>
    <row r="1185">
      <c r="A1185" s="5">
        <f>IF(AND(C1185&gt;=Options!$B$9,C1185&lt;=Options!$B$10),"Denver","")</f>
        <v/>
      </c>
      <c r="B1185" s="5">
        <f>IF(A1185="","",24)</f>
        <v/>
      </c>
      <c r="C1185" s="17" t="n">
        <v>46381</v>
      </c>
      <c r="D1185" s="5">
        <f>IF(A1185="","",IF(C1185=DATE(2026,11,29),"培训；注册午餐；早餐参数",IF(C1185=DATE(2026,11,30),"培训；注册午餐",IF(C1185=DATE(2026,12,1),"培训；注册午餐；机构晚餐",IF(C1185=Options!$B$9,"抵达；"&amp;IF(C1185=DATE(2026,11,28),"机构晚餐","无统一供餐"),IF(C1185=Options!$B$10,"返程；"&amp;IF(C1185=DATE(2026,12,2),"机构午餐","无统一供餐"),"差旅状态；无统一日程"))))))</f>
        <v/>
      </c>
      <c r="E1185" s="13">
        <f>IF(C1185=Options!$B$9,Options!$C$17,0)</f>
        <v/>
      </c>
      <c r="F1185" s="13">
        <f>IF(AND(A1185&lt;&gt;"",C1185&lt;Options!$B$10),B1185*Options!$X$6,0)</f>
        <v/>
      </c>
      <c r="G1185" s="13">
        <f>F1185*12%</f>
        <v/>
      </c>
      <c r="H1185" s="13">
        <f>IF(A1185="",0,B1185*(92*IF(OR(C1185=Options!$B$9,C1185=Options!$B$10),75%,100%)-IF(C1185=DATE(2026,11,29),26+IF(Options!$B$8="是",23,0),0)-IF(C1185=DATE(2026,11,30),26,0)-IF(C1185=DATE(2026,12,1),64,0)-IF(C1185=DATE(2026,11,28),38,0)-IF(C1185=DATE(2026,12,2),26,0)))</f>
        <v/>
      </c>
      <c r="I1185" s="13">
        <f>IF(AND(C1185&gt;=DATE(2026,11,29),C1185&lt;=DATE(2026,12,1)),B1185*60,0)</f>
        <v/>
      </c>
      <c r="J1185" s="13">
        <f>IF(A1185="",0,B1185*(IF(C1185=DATE(2026,11,28),38,0)+IF(C1185=DATE(2026,12,1),38,0)+IF(C1185=DATE(2026,12,2),26,0)))</f>
        <v/>
      </c>
      <c r="K1185" s="13">
        <f>IF(C1185=Options!$B$9,B1185*12,0)</f>
        <v/>
      </c>
      <c r="L1185" s="13">
        <f>IF(C1185=Options!$B$9,B1185*Options!$Z$6,0)</f>
        <v/>
      </c>
      <c r="M1185" s="13" t="n">
        <v>0</v>
      </c>
      <c r="N1185" s="13">
        <f>SUM(E1185:M1185)</f>
        <v/>
      </c>
    </row>
    <row r="1186">
      <c r="A1186" s="5">
        <f>IF(AND(C1186&gt;=Options!$B$9,C1186&lt;=Options!$B$10),"Denver","")</f>
        <v/>
      </c>
      <c r="B1186" s="5">
        <f>IF(A1186="","",24)</f>
        <v/>
      </c>
      <c r="C1186" s="17" t="n">
        <v>46382</v>
      </c>
      <c r="D1186" s="5">
        <f>IF(A1186="","",IF(C1186=DATE(2026,11,29),"培训；注册午餐；早餐参数",IF(C1186=DATE(2026,11,30),"培训；注册午餐",IF(C1186=DATE(2026,12,1),"培训；注册午餐；机构晚餐",IF(C1186=Options!$B$9,"抵达；"&amp;IF(C1186=DATE(2026,11,28),"机构晚餐","无统一供餐"),IF(C1186=Options!$B$10,"返程；"&amp;IF(C1186=DATE(2026,12,2),"机构午餐","无统一供餐"),"差旅状态；无统一日程"))))))</f>
        <v/>
      </c>
      <c r="E1186" s="13">
        <f>IF(C1186=Options!$B$9,Options!$C$17,0)</f>
        <v/>
      </c>
      <c r="F1186" s="13">
        <f>IF(AND(A1186&lt;&gt;"",C1186&lt;Options!$B$10),B1186*Options!$X$6,0)</f>
        <v/>
      </c>
      <c r="G1186" s="13">
        <f>F1186*12%</f>
        <v/>
      </c>
      <c r="H1186" s="13">
        <f>IF(A1186="",0,B1186*(92*IF(OR(C1186=Options!$B$9,C1186=Options!$B$10),75%,100%)-IF(C1186=DATE(2026,11,29),26+IF(Options!$B$8="是",23,0),0)-IF(C1186=DATE(2026,11,30),26,0)-IF(C1186=DATE(2026,12,1),64,0)-IF(C1186=DATE(2026,11,28),38,0)-IF(C1186=DATE(2026,12,2),26,0)))</f>
        <v/>
      </c>
      <c r="I1186" s="13">
        <f>IF(AND(C1186&gt;=DATE(2026,11,29),C1186&lt;=DATE(2026,12,1)),B1186*60,0)</f>
        <v/>
      </c>
      <c r="J1186" s="13">
        <f>IF(A1186="",0,B1186*(IF(C1186=DATE(2026,11,28),38,0)+IF(C1186=DATE(2026,12,1),38,0)+IF(C1186=DATE(2026,12,2),26,0)))</f>
        <v/>
      </c>
      <c r="K1186" s="13">
        <f>IF(C1186=Options!$B$9,B1186*12,0)</f>
        <v/>
      </c>
      <c r="L1186" s="13">
        <f>IF(C1186=Options!$B$9,B1186*Options!$Z$6,0)</f>
        <v/>
      </c>
      <c r="M1186" s="13" t="n">
        <v>0</v>
      </c>
      <c r="N1186" s="13">
        <f>SUM(E1186:M1186)</f>
        <v/>
      </c>
    </row>
    <row r="1187">
      <c r="A1187" s="5">
        <f>IF(AND(C1187&gt;=Options!$B$9,C1187&lt;=Options!$B$10),"Denver","")</f>
        <v/>
      </c>
      <c r="B1187" s="5">
        <f>IF(A1187="","",24)</f>
        <v/>
      </c>
      <c r="C1187" s="17" t="n">
        <v>46383</v>
      </c>
      <c r="D1187" s="5">
        <f>IF(A1187="","",IF(C1187=DATE(2026,11,29),"培训；注册午餐；早餐参数",IF(C1187=DATE(2026,11,30),"培训；注册午餐",IF(C1187=DATE(2026,12,1),"培训；注册午餐；机构晚餐",IF(C1187=Options!$B$9,"抵达；"&amp;IF(C1187=DATE(2026,11,28),"机构晚餐","无统一供餐"),IF(C1187=Options!$B$10,"返程；"&amp;IF(C1187=DATE(2026,12,2),"机构午餐","无统一供餐"),"差旅状态；无统一日程"))))))</f>
        <v/>
      </c>
      <c r="E1187" s="13">
        <f>IF(C1187=Options!$B$9,Options!$C$17,0)</f>
        <v/>
      </c>
      <c r="F1187" s="13">
        <f>IF(AND(A1187&lt;&gt;"",C1187&lt;Options!$B$10),B1187*Options!$X$6,0)</f>
        <v/>
      </c>
      <c r="G1187" s="13">
        <f>F1187*12%</f>
        <v/>
      </c>
      <c r="H1187" s="13">
        <f>IF(A1187="",0,B1187*(92*IF(OR(C1187=Options!$B$9,C1187=Options!$B$10),75%,100%)-IF(C1187=DATE(2026,11,29),26+IF(Options!$B$8="是",23,0),0)-IF(C1187=DATE(2026,11,30),26,0)-IF(C1187=DATE(2026,12,1),64,0)-IF(C1187=DATE(2026,11,28),38,0)-IF(C1187=DATE(2026,12,2),26,0)))</f>
        <v/>
      </c>
      <c r="I1187" s="13">
        <f>IF(AND(C1187&gt;=DATE(2026,11,29),C1187&lt;=DATE(2026,12,1)),B1187*60,0)</f>
        <v/>
      </c>
      <c r="J1187" s="13">
        <f>IF(A1187="",0,B1187*(IF(C1187=DATE(2026,11,28),38,0)+IF(C1187=DATE(2026,12,1),38,0)+IF(C1187=DATE(2026,12,2),26,0)))</f>
        <v/>
      </c>
      <c r="K1187" s="13">
        <f>IF(C1187=Options!$B$9,B1187*12,0)</f>
        <v/>
      </c>
      <c r="L1187" s="13">
        <f>IF(C1187=Options!$B$9,B1187*Options!$Z$6,0)</f>
        <v/>
      </c>
      <c r="M1187" s="13" t="n">
        <v>0</v>
      </c>
      <c r="N1187" s="13">
        <f>SUM(E1187:M1187)</f>
        <v/>
      </c>
    </row>
    <row r="1188">
      <c r="A1188" s="5">
        <f>IF(AND(C1188&gt;=Options!$B$9,C1188&lt;=Options!$B$10),"Denver","")</f>
        <v/>
      </c>
      <c r="B1188" s="5">
        <f>IF(A1188="","",24)</f>
        <v/>
      </c>
      <c r="C1188" s="17" t="n">
        <v>46384</v>
      </c>
      <c r="D1188" s="5">
        <f>IF(A1188="","",IF(C1188=DATE(2026,11,29),"培训；注册午餐；早餐参数",IF(C1188=DATE(2026,11,30),"培训；注册午餐",IF(C1188=DATE(2026,12,1),"培训；注册午餐；机构晚餐",IF(C1188=Options!$B$9,"抵达；"&amp;IF(C1188=DATE(2026,11,28),"机构晚餐","无统一供餐"),IF(C1188=Options!$B$10,"返程；"&amp;IF(C1188=DATE(2026,12,2),"机构午餐","无统一供餐"),"差旅状态；无统一日程"))))))</f>
        <v/>
      </c>
      <c r="E1188" s="13">
        <f>IF(C1188=Options!$B$9,Options!$C$17,0)</f>
        <v/>
      </c>
      <c r="F1188" s="13">
        <f>IF(AND(A1188&lt;&gt;"",C1188&lt;Options!$B$10),B1188*Options!$X$6,0)</f>
        <v/>
      </c>
      <c r="G1188" s="13">
        <f>F1188*12%</f>
        <v/>
      </c>
      <c r="H1188" s="13">
        <f>IF(A1188="",0,B1188*(92*IF(OR(C1188=Options!$B$9,C1188=Options!$B$10),75%,100%)-IF(C1188=DATE(2026,11,29),26+IF(Options!$B$8="是",23,0),0)-IF(C1188=DATE(2026,11,30),26,0)-IF(C1188=DATE(2026,12,1),64,0)-IF(C1188=DATE(2026,11,28),38,0)-IF(C1188=DATE(2026,12,2),26,0)))</f>
        <v/>
      </c>
      <c r="I1188" s="13">
        <f>IF(AND(C1188&gt;=DATE(2026,11,29),C1188&lt;=DATE(2026,12,1)),B1188*60,0)</f>
        <v/>
      </c>
      <c r="J1188" s="13">
        <f>IF(A1188="",0,B1188*(IF(C1188=DATE(2026,11,28),38,0)+IF(C1188=DATE(2026,12,1),38,0)+IF(C1188=DATE(2026,12,2),26,0)))</f>
        <v/>
      </c>
      <c r="K1188" s="13">
        <f>IF(C1188=Options!$B$9,B1188*12,0)</f>
        <v/>
      </c>
      <c r="L1188" s="13">
        <f>IF(C1188=Options!$B$9,B1188*Options!$Z$6,0)</f>
        <v/>
      </c>
      <c r="M1188" s="13" t="n">
        <v>0</v>
      </c>
      <c r="N1188" s="13">
        <f>SUM(E1188:M1188)</f>
        <v/>
      </c>
    </row>
    <row r="1189">
      <c r="A1189" s="5">
        <f>IF(AND(C1189&gt;=Options!$B$9,C1189&lt;=Options!$B$10),"Denver","")</f>
        <v/>
      </c>
      <c r="B1189" s="5">
        <f>IF(A1189="","",24)</f>
        <v/>
      </c>
      <c r="C1189" s="17" t="n">
        <v>46385</v>
      </c>
      <c r="D1189" s="5">
        <f>IF(A1189="","",IF(C1189=DATE(2026,11,29),"培训；注册午餐；早餐参数",IF(C1189=DATE(2026,11,30),"培训；注册午餐",IF(C1189=DATE(2026,12,1),"培训；注册午餐；机构晚餐",IF(C1189=Options!$B$9,"抵达；"&amp;IF(C1189=DATE(2026,11,28),"机构晚餐","无统一供餐"),IF(C1189=Options!$B$10,"返程；"&amp;IF(C1189=DATE(2026,12,2),"机构午餐","无统一供餐"),"差旅状态；无统一日程"))))))</f>
        <v/>
      </c>
      <c r="E1189" s="13">
        <f>IF(C1189=Options!$B$9,Options!$C$17,0)</f>
        <v/>
      </c>
      <c r="F1189" s="13">
        <f>IF(AND(A1189&lt;&gt;"",C1189&lt;Options!$B$10),B1189*Options!$X$6,0)</f>
        <v/>
      </c>
      <c r="G1189" s="13">
        <f>F1189*12%</f>
        <v/>
      </c>
      <c r="H1189" s="13">
        <f>IF(A1189="",0,B1189*(92*IF(OR(C1189=Options!$B$9,C1189=Options!$B$10),75%,100%)-IF(C1189=DATE(2026,11,29),26+IF(Options!$B$8="是",23,0),0)-IF(C1189=DATE(2026,11,30),26,0)-IF(C1189=DATE(2026,12,1),64,0)-IF(C1189=DATE(2026,11,28),38,0)-IF(C1189=DATE(2026,12,2),26,0)))</f>
        <v/>
      </c>
      <c r="I1189" s="13">
        <f>IF(AND(C1189&gt;=DATE(2026,11,29),C1189&lt;=DATE(2026,12,1)),B1189*60,0)</f>
        <v/>
      </c>
      <c r="J1189" s="13">
        <f>IF(A1189="",0,B1189*(IF(C1189=DATE(2026,11,28),38,0)+IF(C1189=DATE(2026,12,1),38,0)+IF(C1189=DATE(2026,12,2),26,0)))</f>
        <v/>
      </c>
      <c r="K1189" s="13">
        <f>IF(C1189=Options!$B$9,B1189*12,0)</f>
        <v/>
      </c>
      <c r="L1189" s="13">
        <f>IF(C1189=Options!$B$9,B1189*Options!$Z$6,0)</f>
        <v/>
      </c>
      <c r="M1189" s="13" t="n">
        <v>0</v>
      </c>
      <c r="N1189" s="13">
        <f>SUM(E1189:M1189)</f>
        <v/>
      </c>
    </row>
    <row r="1190">
      <c r="A1190" s="5">
        <f>IF(AND(C1190&gt;=Options!$B$9,C1190&lt;=Options!$B$10),"Denver","")</f>
        <v/>
      </c>
      <c r="B1190" s="5">
        <f>IF(A1190="","",24)</f>
        <v/>
      </c>
      <c r="C1190" s="17" t="n">
        <v>46386</v>
      </c>
      <c r="D1190" s="5">
        <f>IF(A1190="","",IF(C1190=DATE(2026,11,29),"培训；注册午餐；早餐参数",IF(C1190=DATE(2026,11,30),"培训；注册午餐",IF(C1190=DATE(2026,12,1),"培训；注册午餐；机构晚餐",IF(C1190=Options!$B$9,"抵达；"&amp;IF(C1190=DATE(2026,11,28),"机构晚餐","无统一供餐"),IF(C1190=Options!$B$10,"返程；"&amp;IF(C1190=DATE(2026,12,2),"机构午餐","无统一供餐"),"差旅状态；无统一日程"))))))</f>
        <v/>
      </c>
      <c r="E1190" s="13">
        <f>IF(C1190=Options!$B$9,Options!$C$17,0)</f>
        <v/>
      </c>
      <c r="F1190" s="13">
        <f>IF(AND(A1190&lt;&gt;"",C1190&lt;Options!$B$10),B1190*Options!$X$6,0)</f>
        <v/>
      </c>
      <c r="G1190" s="13">
        <f>F1190*12%</f>
        <v/>
      </c>
      <c r="H1190" s="13">
        <f>IF(A1190="",0,B1190*(92*IF(OR(C1190=Options!$B$9,C1190=Options!$B$10),75%,100%)-IF(C1190=DATE(2026,11,29),26+IF(Options!$B$8="是",23,0),0)-IF(C1190=DATE(2026,11,30),26,0)-IF(C1190=DATE(2026,12,1),64,0)-IF(C1190=DATE(2026,11,28),38,0)-IF(C1190=DATE(2026,12,2),26,0)))</f>
        <v/>
      </c>
      <c r="I1190" s="13">
        <f>IF(AND(C1190&gt;=DATE(2026,11,29),C1190&lt;=DATE(2026,12,1)),B1190*60,0)</f>
        <v/>
      </c>
      <c r="J1190" s="13">
        <f>IF(A1190="",0,B1190*(IF(C1190=DATE(2026,11,28),38,0)+IF(C1190=DATE(2026,12,1),38,0)+IF(C1190=DATE(2026,12,2),26,0)))</f>
        <v/>
      </c>
      <c r="K1190" s="13">
        <f>IF(C1190=Options!$B$9,B1190*12,0)</f>
        <v/>
      </c>
      <c r="L1190" s="13">
        <f>IF(C1190=Options!$B$9,B1190*Options!$Z$6,0)</f>
        <v/>
      </c>
      <c r="M1190" s="13" t="n">
        <v>0</v>
      </c>
      <c r="N1190" s="13">
        <f>SUM(E1190:M1190)</f>
        <v/>
      </c>
    </row>
    <row r="1191">
      <c r="A1191" s="5">
        <f>IF(AND(C1191&gt;=Options!$B$9,C1191&lt;=Options!$B$10),"Denver","")</f>
        <v/>
      </c>
      <c r="B1191" s="5">
        <f>IF(A1191="","",24)</f>
        <v/>
      </c>
      <c r="C1191" s="17" t="n">
        <v>46387</v>
      </c>
      <c r="D1191" s="5">
        <f>IF(A1191="","",IF(C1191=DATE(2026,11,29),"培训；注册午餐；早餐参数",IF(C1191=DATE(2026,11,30),"培训；注册午餐",IF(C1191=DATE(2026,12,1),"培训；注册午餐；机构晚餐",IF(C1191=Options!$B$9,"抵达；"&amp;IF(C1191=DATE(2026,11,28),"机构晚餐","无统一供餐"),IF(C1191=Options!$B$10,"返程；"&amp;IF(C1191=DATE(2026,12,2),"机构午餐","无统一供餐"),"差旅状态；无统一日程"))))))</f>
        <v/>
      </c>
      <c r="E1191" s="13">
        <f>IF(C1191=Options!$B$9,Options!$C$17,0)</f>
        <v/>
      </c>
      <c r="F1191" s="13">
        <f>IF(AND(A1191&lt;&gt;"",C1191&lt;Options!$B$10),B1191*Options!$X$6,0)</f>
        <v/>
      </c>
      <c r="G1191" s="13">
        <f>F1191*12%</f>
        <v/>
      </c>
      <c r="H1191" s="13">
        <f>IF(A1191="",0,B1191*(92*IF(OR(C1191=Options!$B$9,C1191=Options!$B$10),75%,100%)-IF(C1191=DATE(2026,11,29),26+IF(Options!$B$8="是",23,0),0)-IF(C1191=DATE(2026,11,30),26,0)-IF(C1191=DATE(2026,12,1),64,0)-IF(C1191=DATE(2026,11,28),38,0)-IF(C1191=DATE(2026,12,2),26,0)))</f>
        <v/>
      </c>
      <c r="I1191" s="13">
        <f>IF(AND(C1191&gt;=DATE(2026,11,29),C1191&lt;=DATE(2026,12,1)),B1191*60,0)</f>
        <v/>
      </c>
      <c r="J1191" s="13">
        <f>IF(A1191="",0,B1191*(IF(C1191=DATE(2026,11,28),38,0)+IF(C1191=DATE(2026,12,1),38,0)+IF(C1191=DATE(2026,12,2),26,0)))</f>
        <v/>
      </c>
      <c r="K1191" s="13">
        <f>IF(C1191=Options!$B$9,B1191*12,0)</f>
        <v/>
      </c>
      <c r="L1191" s="13">
        <f>IF(C1191=Options!$B$9,B1191*Options!$Z$6,0)</f>
        <v/>
      </c>
      <c r="M1191" s="13" t="n">
        <v>0</v>
      </c>
      <c r="N1191" s="13">
        <f>SUM(E1191:M1191)</f>
        <v/>
      </c>
    </row>
    <row r="1192">
      <c r="A1192" s="5">
        <f>IF(AND(C1192&gt;=Options!$B$9,C1192&lt;=Options!$B$10),"Denver","")</f>
        <v/>
      </c>
      <c r="B1192" s="5">
        <f>IF(A1192="","",24)</f>
        <v/>
      </c>
      <c r="C1192" s="17" t="n">
        <v>46388</v>
      </c>
      <c r="D1192" s="5">
        <f>IF(A1192="","",IF(C1192=DATE(2026,11,29),"培训；注册午餐；早餐参数",IF(C1192=DATE(2026,11,30),"培训；注册午餐",IF(C1192=DATE(2026,12,1),"培训；注册午餐；机构晚餐",IF(C1192=Options!$B$9,"抵达；"&amp;IF(C1192=DATE(2026,11,28),"机构晚餐","无统一供餐"),IF(C1192=Options!$B$10,"返程；"&amp;IF(C1192=DATE(2026,12,2),"机构午餐","无统一供餐"),"差旅状态；无统一日程"))))))</f>
        <v/>
      </c>
      <c r="E1192" s="13">
        <f>IF(C1192=Options!$B$9,Options!$C$17,0)</f>
        <v/>
      </c>
      <c r="F1192" s="13">
        <f>IF(AND(A1192&lt;&gt;"",C1192&lt;Options!$B$10),B1192*Options!$X$6,0)</f>
        <v/>
      </c>
      <c r="G1192" s="13">
        <f>F1192*12%</f>
        <v/>
      </c>
      <c r="H1192" s="13">
        <f>IF(A1192="",0,B1192*(92*IF(OR(C1192=Options!$B$9,C1192=Options!$B$10),75%,100%)-IF(C1192=DATE(2026,11,29),26+IF(Options!$B$8="是",23,0),0)-IF(C1192=DATE(2026,11,30),26,0)-IF(C1192=DATE(2026,12,1),64,0)-IF(C1192=DATE(2026,11,28),38,0)-IF(C1192=DATE(2026,12,2),26,0)))</f>
        <v/>
      </c>
      <c r="I1192" s="13">
        <f>IF(AND(C1192&gt;=DATE(2026,11,29),C1192&lt;=DATE(2026,12,1)),B1192*60,0)</f>
        <v/>
      </c>
      <c r="J1192" s="13">
        <f>IF(A1192="",0,B1192*(IF(C1192=DATE(2026,11,28),38,0)+IF(C1192=DATE(2026,12,1),38,0)+IF(C1192=DATE(2026,12,2),26,0)))</f>
        <v/>
      </c>
      <c r="K1192" s="13">
        <f>IF(C1192=Options!$B$9,B1192*12,0)</f>
        <v/>
      </c>
      <c r="L1192" s="13">
        <f>IF(C1192=Options!$B$9,B1192*Options!$Z$6,0)</f>
        <v/>
      </c>
      <c r="M1192" s="13" t="n">
        <v>0</v>
      </c>
      <c r="N1192" s="13">
        <f>SUM(E1192:M1192)</f>
        <v/>
      </c>
    </row>
    <row r="1193">
      <c r="A1193" s="5">
        <f>IF(AND(C1193&gt;=Options!$B$9,C1193&lt;=Options!$B$10),"Denver","")</f>
        <v/>
      </c>
      <c r="B1193" s="5">
        <f>IF(A1193="","",24)</f>
        <v/>
      </c>
      <c r="C1193" s="17" t="n">
        <v>46389</v>
      </c>
      <c r="D1193" s="5">
        <f>IF(A1193="","",IF(C1193=DATE(2026,11,29),"培训；注册午餐；早餐参数",IF(C1193=DATE(2026,11,30),"培训；注册午餐",IF(C1193=DATE(2026,12,1),"培训；注册午餐；机构晚餐",IF(C1193=Options!$B$9,"抵达；"&amp;IF(C1193=DATE(2026,11,28),"机构晚餐","无统一供餐"),IF(C1193=Options!$B$10,"返程；"&amp;IF(C1193=DATE(2026,12,2),"机构午餐","无统一供餐"),"差旅状态；无统一日程"))))))</f>
        <v/>
      </c>
      <c r="E1193" s="13">
        <f>IF(C1193=Options!$B$9,Options!$C$17,0)</f>
        <v/>
      </c>
      <c r="F1193" s="13">
        <f>IF(AND(A1193&lt;&gt;"",C1193&lt;Options!$B$10),B1193*Options!$X$6,0)</f>
        <v/>
      </c>
      <c r="G1193" s="13">
        <f>F1193*12%</f>
        <v/>
      </c>
      <c r="H1193" s="13">
        <f>IF(A1193="",0,B1193*(92*IF(OR(C1193=Options!$B$9,C1193=Options!$B$10),75%,100%)-IF(C1193=DATE(2026,11,29),26+IF(Options!$B$8="是",23,0),0)-IF(C1193=DATE(2026,11,30),26,0)-IF(C1193=DATE(2026,12,1),64,0)-IF(C1193=DATE(2026,11,28),38,0)-IF(C1193=DATE(2026,12,2),26,0)))</f>
        <v/>
      </c>
      <c r="I1193" s="13">
        <f>IF(AND(C1193&gt;=DATE(2026,11,29),C1193&lt;=DATE(2026,12,1)),B1193*60,0)</f>
        <v/>
      </c>
      <c r="J1193" s="13">
        <f>IF(A1193="",0,B1193*(IF(C1193=DATE(2026,11,28),38,0)+IF(C1193=DATE(2026,12,1),38,0)+IF(C1193=DATE(2026,12,2),26,0)))</f>
        <v/>
      </c>
      <c r="K1193" s="13">
        <f>IF(C1193=Options!$B$9,B1193*12,0)</f>
        <v/>
      </c>
      <c r="L1193" s="13">
        <f>IF(C1193=Options!$B$9,B1193*Options!$Z$6,0)</f>
        <v/>
      </c>
      <c r="M1193" s="13" t="n">
        <v>0</v>
      </c>
      <c r="N1193" s="13">
        <f>SUM(E1193:M1193)</f>
        <v/>
      </c>
    </row>
    <row r="1194">
      <c r="A1194" s="5">
        <f>IF(AND(C1194&gt;=Options!$B$9,C1194&lt;=Options!$B$10),"Denver","")</f>
        <v/>
      </c>
      <c r="B1194" s="5">
        <f>IF(A1194="","",24)</f>
        <v/>
      </c>
      <c r="C1194" s="17" t="n">
        <v>46390</v>
      </c>
      <c r="D1194" s="5">
        <f>IF(A1194="","",IF(C1194=DATE(2026,11,29),"培训；注册午餐；早餐参数",IF(C1194=DATE(2026,11,30),"培训；注册午餐",IF(C1194=DATE(2026,12,1),"培训；注册午餐；机构晚餐",IF(C1194=Options!$B$9,"抵达；"&amp;IF(C1194=DATE(2026,11,28),"机构晚餐","无统一供餐"),IF(C1194=Options!$B$10,"返程；"&amp;IF(C1194=DATE(2026,12,2),"机构午餐","无统一供餐"),"差旅状态；无统一日程"))))))</f>
        <v/>
      </c>
      <c r="E1194" s="13">
        <f>IF(C1194=Options!$B$9,Options!$C$17,0)</f>
        <v/>
      </c>
      <c r="F1194" s="13">
        <f>IF(AND(A1194&lt;&gt;"",C1194&lt;Options!$B$10),B1194*Options!$X$6,0)</f>
        <v/>
      </c>
      <c r="G1194" s="13">
        <f>F1194*12%</f>
        <v/>
      </c>
      <c r="H1194" s="13">
        <f>IF(A1194="",0,B1194*(92*IF(OR(C1194=Options!$B$9,C1194=Options!$B$10),75%,100%)-IF(C1194=DATE(2026,11,29),26+IF(Options!$B$8="是",23,0),0)-IF(C1194=DATE(2026,11,30),26,0)-IF(C1194=DATE(2026,12,1),64,0)-IF(C1194=DATE(2026,11,28),38,0)-IF(C1194=DATE(2026,12,2),26,0)))</f>
        <v/>
      </c>
      <c r="I1194" s="13">
        <f>IF(AND(C1194&gt;=DATE(2026,11,29),C1194&lt;=DATE(2026,12,1)),B1194*60,0)</f>
        <v/>
      </c>
      <c r="J1194" s="13">
        <f>IF(A1194="",0,B1194*(IF(C1194=DATE(2026,11,28),38,0)+IF(C1194=DATE(2026,12,1),38,0)+IF(C1194=DATE(2026,12,2),26,0)))</f>
        <v/>
      </c>
      <c r="K1194" s="13">
        <f>IF(C1194=Options!$B$9,B1194*12,0)</f>
        <v/>
      </c>
      <c r="L1194" s="13">
        <f>IF(C1194=Options!$B$9,B1194*Options!$Z$6,0)</f>
        <v/>
      </c>
      <c r="M1194" s="13" t="n">
        <v>0</v>
      </c>
      <c r="N1194" s="13">
        <f>SUM(E1194:M1194)</f>
        <v/>
      </c>
    </row>
    <row r="1195">
      <c r="A1195" s="5">
        <f>IF(AND(C1195&gt;=Options!$B$9,C1195&lt;=Options!$B$10),"Denver","")</f>
        <v/>
      </c>
      <c r="B1195" s="5">
        <f>IF(A1195="","",24)</f>
        <v/>
      </c>
      <c r="C1195" s="17" t="n">
        <v>46391</v>
      </c>
      <c r="D1195" s="5">
        <f>IF(A1195="","",IF(C1195=DATE(2026,11,29),"培训；注册午餐；早餐参数",IF(C1195=DATE(2026,11,30),"培训；注册午餐",IF(C1195=DATE(2026,12,1),"培训；注册午餐；机构晚餐",IF(C1195=Options!$B$9,"抵达；"&amp;IF(C1195=DATE(2026,11,28),"机构晚餐","无统一供餐"),IF(C1195=Options!$B$10,"返程；"&amp;IF(C1195=DATE(2026,12,2),"机构午餐","无统一供餐"),"差旅状态；无统一日程"))))))</f>
        <v/>
      </c>
      <c r="E1195" s="13">
        <f>IF(C1195=Options!$B$9,Options!$C$17,0)</f>
        <v/>
      </c>
      <c r="F1195" s="13">
        <f>IF(AND(A1195&lt;&gt;"",C1195&lt;Options!$B$10),B1195*Options!$X$6,0)</f>
        <v/>
      </c>
      <c r="G1195" s="13">
        <f>F1195*12%</f>
        <v/>
      </c>
      <c r="H1195" s="13">
        <f>IF(A1195="",0,B1195*(92*IF(OR(C1195=Options!$B$9,C1195=Options!$B$10),75%,100%)-IF(C1195=DATE(2026,11,29),26+IF(Options!$B$8="是",23,0),0)-IF(C1195=DATE(2026,11,30),26,0)-IF(C1195=DATE(2026,12,1),64,0)-IF(C1195=DATE(2026,11,28),38,0)-IF(C1195=DATE(2026,12,2),26,0)))</f>
        <v/>
      </c>
      <c r="I1195" s="13">
        <f>IF(AND(C1195&gt;=DATE(2026,11,29),C1195&lt;=DATE(2026,12,1)),B1195*60,0)</f>
        <v/>
      </c>
      <c r="J1195" s="13">
        <f>IF(A1195="",0,B1195*(IF(C1195=DATE(2026,11,28),38,0)+IF(C1195=DATE(2026,12,1),38,0)+IF(C1195=DATE(2026,12,2),26,0)))</f>
        <v/>
      </c>
      <c r="K1195" s="13">
        <f>IF(C1195=Options!$B$9,B1195*12,0)</f>
        <v/>
      </c>
      <c r="L1195" s="13">
        <f>IF(C1195=Options!$B$9,B1195*Options!$Z$6,0)</f>
        <v/>
      </c>
      <c r="M1195" s="13" t="n">
        <v>0</v>
      </c>
      <c r="N1195" s="13">
        <f>SUM(E1195:M1195)</f>
        <v/>
      </c>
    </row>
    <row r="1196">
      <c r="A1196" s="5">
        <f>IF(AND(C1196&gt;=Options!$B$9,C1196&lt;=Options!$B$10),"Denver","")</f>
        <v/>
      </c>
      <c r="B1196" s="5">
        <f>IF(A1196="","",24)</f>
        <v/>
      </c>
      <c r="C1196" s="17" t="n">
        <v>46392</v>
      </c>
      <c r="D1196" s="5">
        <f>IF(A1196="","",IF(C1196=DATE(2026,11,29),"培训；注册午餐；早餐参数",IF(C1196=DATE(2026,11,30),"培训；注册午餐",IF(C1196=DATE(2026,12,1),"培训；注册午餐；机构晚餐",IF(C1196=Options!$B$9,"抵达；"&amp;IF(C1196=DATE(2026,11,28),"机构晚餐","无统一供餐"),IF(C1196=Options!$B$10,"返程；"&amp;IF(C1196=DATE(2026,12,2),"机构午餐","无统一供餐"),"差旅状态；无统一日程"))))))</f>
        <v/>
      </c>
      <c r="E1196" s="13">
        <f>IF(C1196=Options!$B$9,Options!$C$17,0)</f>
        <v/>
      </c>
      <c r="F1196" s="13">
        <f>IF(AND(A1196&lt;&gt;"",C1196&lt;Options!$B$10),B1196*Options!$X$6,0)</f>
        <v/>
      </c>
      <c r="G1196" s="13">
        <f>F1196*12%</f>
        <v/>
      </c>
      <c r="H1196" s="13">
        <f>IF(A1196="",0,B1196*(92*IF(OR(C1196=Options!$B$9,C1196=Options!$B$10),75%,100%)-IF(C1196=DATE(2026,11,29),26+IF(Options!$B$8="是",23,0),0)-IF(C1196=DATE(2026,11,30),26,0)-IF(C1196=DATE(2026,12,1),64,0)-IF(C1196=DATE(2026,11,28),38,0)-IF(C1196=DATE(2026,12,2),26,0)))</f>
        <v/>
      </c>
      <c r="I1196" s="13">
        <f>IF(AND(C1196&gt;=DATE(2026,11,29),C1196&lt;=DATE(2026,12,1)),B1196*60,0)</f>
        <v/>
      </c>
      <c r="J1196" s="13">
        <f>IF(A1196="",0,B1196*(IF(C1196=DATE(2026,11,28),38,0)+IF(C1196=DATE(2026,12,1),38,0)+IF(C1196=DATE(2026,12,2),26,0)))</f>
        <v/>
      </c>
      <c r="K1196" s="13">
        <f>IF(C1196=Options!$B$9,B1196*12,0)</f>
        <v/>
      </c>
      <c r="L1196" s="13">
        <f>IF(C1196=Options!$B$9,B1196*Options!$Z$6,0)</f>
        <v/>
      </c>
      <c r="M1196" s="13" t="n">
        <v>0</v>
      </c>
      <c r="N1196" s="13">
        <f>SUM(E1196:M1196)</f>
        <v/>
      </c>
    </row>
    <row r="1197">
      <c r="A1197" s="5">
        <f>IF(AND(C1197&gt;=Options!$B$9,C1197&lt;=Options!$B$10),"Denver","")</f>
        <v/>
      </c>
      <c r="B1197" s="5">
        <f>IF(A1197="","",24)</f>
        <v/>
      </c>
      <c r="C1197" s="17" t="n">
        <v>46393</v>
      </c>
      <c r="D1197" s="5">
        <f>IF(A1197="","",IF(C1197=DATE(2026,11,29),"培训；注册午餐；早餐参数",IF(C1197=DATE(2026,11,30),"培训；注册午餐",IF(C1197=DATE(2026,12,1),"培训；注册午餐；机构晚餐",IF(C1197=Options!$B$9,"抵达；"&amp;IF(C1197=DATE(2026,11,28),"机构晚餐","无统一供餐"),IF(C1197=Options!$B$10,"返程；"&amp;IF(C1197=DATE(2026,12,2),"机构午餐","无统一供餐"),"差旅状态；无统一日程"))))))</f>
        <v/>
      </c>
      <c r="E1197" s="13">
        <f>IF(C1197=Options!$B$9,Options!$C$17,0)</f>
        <v/>
      </c>
      <c r="F1197" s="13">
        <f>IF(AND(A1197&lt;&gt;"",C1197&lt;Options!$B$10),B1197*Options!$X$6,0)</f>
        <v/>
      </c>
      <c r="G1197" s="13">
        <f>F1197*12%</f>
        <v/>
      </c>
      <c r="H1197" s="13">
        <f>IF(A1197="",0,B1197*(92*IF(OR(C1197=Options!$B$9,C1197=Options!$B$10),75%,100%)-IF(C1197=DATE(2026,11,29),26+IF(Options!$B$8="是",23,0),0)-IF(C1197=DATE(2026,11,30),26,0)-IF(C1197=DATE(2026,12,1),64,0)-IF(C1197=DATE(2026,11,28),38,0)-IF(C1197=DATE(2026,12,2),26,0)))</f>
        <v/>
      </c>
      <c r="I1197" s="13">
        <f>IF(AND(C1197&gt;=DATE(2026,11,29),C1197&lt;=DATE(2026,12,1)),B1197*60,0)</f>
        <v/>
      </c>
      <c r="J1197" s="13">
        <f>IF(A1197="",0,B1197*(IF(C1197=DATE(2026,11,28),38,0)+IF(C1197=DATE(2026,12,1),38,0)+IF(C1197=DATE(2026,12,2),26,0)))</f>
        <v/>
      </c>
      <c r="K1197" s="13">
        <f>IF(C1197=Options!$B$9,B1197*12,0)</f>
        <v/>
      </c>
      <c r="L1197" s="13">
        <f>IF(C1197=Options!$B$9,B1197*Options!$Z$6,0)</f>
        <v/>
      </c>
      <c r="M1197" s="13" t="n">
        <v>0</v>
      </c>
      <c r="N1197" s="13">
        <f>SUM(E1197:M1197)</f>
        <v/>
      </c>
    </row>
    <row r="1198">
      <c r="A1198" s="5">
        <f>IF(AND(C1198&gt;=Options!$B$9,C1198&lt;=Options!$B$10),"Denver","")</f>
        <v/>
      </c>
      <c r="B1198" s="5">
        <f>IF(A1198="","",24)</f>
        <v/>
      </c>
      <c r="C1198" s="17" t="n">
        <v>46394</v>
      </c>
      <c r="D1198" s="5">
        <f>IF(A1198="","",IF(C1198=DATE(2026,11,29),"培训；注册午餐；早餐参数",IF(C1198=DATE(2026,11,30),"培训；注册午餐",IF(C1198=DATE(2026,12,1),"培训；注册午餐；机构晚餐",IF(C1198=Options!$B$9,"抵达；"&amp;IF(C1198=DATE(2026,11,28),"机构晚餐","无统一供餐"),IF(C1198=Options!$B$10,"返程；"&amp;IF(C1198=DATE(2026,12,2),"机构午餐","无统一供餐"),"差旅状态；无统一日程"))))))</f>
        <v/>
      </c>
      <c r="E1198" s="13">
        <f>IF(C1198=Options!$B$9,Options!$C$17,0)</f>
        <v/>
      </c>
      <c r="F1198" s="13">
        <f>IF(AND(A1198&lt;&gt;"",C1198&lt;Options!$B$10),B1198*Options!$X$6,0)</f>
        <v/>
      </c>
      <c r="G1198" s="13">
        <f>F1198*12%</f>
        <v/>
      </c>
      <c r="H1198" s="13">
        <f>IF(A1198="",0,B1198*(92*IF(OR(C1198=Options!$B$9,C1198=Options!$B$10),75%,100%)-IF(C1198=DATE(2026,11,29),26+IF(Options!$B$8="是",23,0),0)-IF(C1198=DATE(2026,11,30),26,0)-IF(C1198=DATE(2026,12,1),64,0)-IF(C1198=DATE(2026,11,28),38,0)-IF(C1198=DATE(2026,12,2),26,0)))</f>
        <v/>
      </c>
      <c r="I1198" s="13">
        <f>IF(AND(C1198&gt;=DATE(2026,11,29),C1198&lt;=DATE(2026,12,1)),B1198*60,0)</f>
        <v/>
      </c>
      <c r="J1198" s="13">
        <f>IF(A1198="",0,B1198*(IF(C1198=DATE(2026,11,28),38,0)+IF(C1198=DATE(2026,12,1),38,0)+IF(C1198=DATE(2026,12,2),26,0)))</f>
        <v/>
      </c>
      <c r="K1198" s="13">
        <f>IF(C1198=Options!$B$9,B1198*12,0)</f>
        <v/>
      </c>
      <c r="L1198" s="13">
        <f>IF(C1198=Options!$B$9,B1198*Options!$Z$6,0)</f>
        <v/>
      </c>
      <c r="M1198" s="13" t="n">
        <v>0</v>
      </c>
      <c r="N1198" s="13">
        <f>SUM(E1198:M1198)</f>
        <v/>
      </c>
    </row>
    <row r="1199">
      <c r="A1199" s="5">
        <f>IF(AND(C1199&gt;=Options!$B$9,C1199&lt;=Options!$B$10),"Denver","")</f>
        <v/>
      </c>
      <c r="B1199" s="5">
        <f>IF(A1199="","",24)</f>
        <v/>
      </c>
      <c r="C1199" s="17" t="n">
        <v>46395</v>
      </c>
      <c r="D1199" s="5">
        <f>IF(A1199="","",IF(C1199=DATE(2026,11,29),"培训；注册午餐；早餐参数",IF(C1199=DATE(2026,11,30),"培训；注册午餐",IF(C1199=DATE(2026,12,1),"培训；注册午餐；机构晚餐",IF(C1199=Options!$B$9,"抵达；"&amp;IF(C1199=DATE(2026,11,28),"机构晚餐","无统一供餐"),IF(C1199=Options!$B$10,"返程；"&amp;IF(C1199=DATE(2026,12,2),"机构午餐","无统一供餐"),"差旅状态；无统一日程"))))))</f>
        <v/>
      </c>
      <c r="E1199" s="13">
        <f>IF(C1199=Options!$B$9,Options!$C$17,0)</f>
        <v/>
      </c>
      <c r="F1199" s="13">
        <f>IF(AND(A1199&lt;&gt;"",C1199&lt;Options!$B$10),B1199*Options!$X$6,0)</f>
        <v/>
      </c>
      <c r="G1199" s="13">
        <f>F1199*12%</f>
        <v/>
      </c>
      <c r="H1199" s="13">
        <f>IF(A1199="",0,B1199*(92*IF(OR(C1199=Options!$B$9,C1199=Options!$B$10),75%,100%)-IF(C1199=DATE(2026,11,29),26+IF(Options!$B$8="是",23,0),0)-IF(C1199=DATE(2026,11,30),26,0)-IF(C1199=DATE(2026,12,1),64,0)-IF(C1199=DATE(2026,11,28),38,0)-IF(C1199=DATE(2026,12,2),26,0)))</f>
        <v/>
      </c>
      <c r="I1199" s="13">
        <f>IF(AND(C1199&gt;=DATE(2026,11,29),C1199&lt;=DATE(2026,12,1)),B1199*60,0)</f>
        <v/>
      </c>
      <c r="J1199" s="13">
        <f>IF(A1199="",0,B1199*(IF(C1199=DATE(2026,11,28),38,0)+IF(C1199=DATE(2026,12,1),38,0)+IF(C1199=DATE(2026,12,2),26,0)))</f>
        <v/>
      </c>
      <c r="K1199" s="13">
        <f>IF(C1199=Options!$B$9,B1199*12,0)</f>
        <v/>
      </c>
      <c r="L1199" s="13">
        <f>IF(C1199=Options!$B$9,B1199*Options!$Z$6,0)</f>
        <v/>
      </c>
      <c r="M1199" s="13" t="n">
        <v>0</v>
      </c>
      <c r="N1199" s="13">
        <f>SUM(E1199:M1199)</f>
        <v/>
      </c>
    </row>
    <row r="1200">
      <c r="A1200" s="5">
        <f>IF(AND(C1200&gt;=Options!$B$9,C1200&lt;=Options!$B$10),"Denver","")</f>
        <v/>
      </c>
      <c r="B1200" s="5">
        <f>IF(A1200="","",24)</f>
        <v/>
      </c>
      <c r="C1200" s="17" t="n">
        <v>46396</v>
      </c>
      <c r="D1200" s="5">
        <f>IF(A1200="","",IF(C1200=DATE(2026,11,29),"培训；注册午餐；早餐参数",IF(C1200=DATE(2026,11,30),"培训；注册午餐",IF(C1200=DATE(2026,12,1),"培训；注册午餐；机构晚餐",IF(C1200=Options!$B$9,"抵达；"&amp;IF(C1200=DATE(2026,11,28),"机构晚餐","无统一供餐"),IF(C1200=Options!$B$10,"返程；"&amp;IF(C1200=DATE(2026,12,2),"机构午餐","无统一供餐"),"差旅状态；无统一日程"))))))</f>
        <v/>
      </c>
      <c r="E1200" s="13">
        <f>IF(C1200=Options!$B$9,Options!$C$17,0)</f>
        <v/>
      </c>
      <c r="F1200" s="13">
        <f>IF(AND(A1200&lt;&gt;"",C1200&lt;Options!$B$10),B1200*Options!$X$6,0)</f>
        <v/>
      </c>
      <c r="G1200" s="13">
        <f>F1200*12%</f>
        <v/>
      </c>
      <c r="H1200" s="13">
        <f>IF(A1200="",0,B1200*(92*IF(OR(C1200=Options!$B$9,C1200=Options!$B$10),75%,100%)-IF(C1200=DATE(2026,11,29),26+IF(Options!$B$8="是",23,0),0)-IF(C1200=DATE(2026,11,30),26,0)-IF(C1200=DATE(2026,12,1),64,0)-IF(C1200=DATE(2026,11,28),38,0)-IF(C1200=DATE(2026,12,2),26,0)))</f>
        <v/>
      </c>
      <c r="I1200" s="13">
        <f>IF(AND(C1200&gt;=DATE(2026,11,29),C1200&lt;=DATE(2026,12,1)),B1200*60,0)</f>
        <v/>
      </c>
      <c r="J1200" s="13">
        <f>IF(A1200="",0,B1200*(IF(C1200=DATE(2026,11,28),38,0)+IF(C1200=DATE(2026,12,1),38,0)+IF(C1200=DATE(2026,12,2),26,0)))</f>
        <v/>
      </c>
      <c r="K1200" s="13">
        <f>IF(C1200=Options!$B$9,B1200*12,0)</f>
        <v/>
      </c>
      <c r="L1200" s="13">
        <f>IF(C1200=Options!$B$9,B1200*Options!$Z$6,0)</f>
        <v/>
      </c>
      <c r="M1200" s="13" t="n">
        <v>0</v>
      </c>
      <c r="N1200" s="13">
        <f>SUM(E1200:M1200)</f>
        <v/>
      </c>
    </row>
    <row r="1201">
      <c r="A1201" s="5">
        <f>IF(AND(C1201&gt;=Options!$B$9,C1201&lt;=Options!$B$10),"Denver","")</f>
        <v/>
      </c>
      <c r="B1201" s="5">
        <f>IF(A1201="","",24)</f>
        <v/>
      </c>
      <c r="C1201" s="17" t="n">
        <v>46397</v>
      </c>
      <c r="D1201" s="5">
        <f>IF(A1201="","",IF(C1201=DATE(2026,11,29),"培训；注册午餐；早餐参数",IF(C1201=DATE(2026,11,30),"培训；注册午餐",IF(C1201=DATE(2026,12,1),"培训；注册午餐；机构晚餐",IF(C1201=Options!$B$9,"抵达；"&amp;IF(C1201=DATE(2026,11,28),"机构晚餐","无统一供餐"),IF(C1201=Options!$B$10,"返程；"&amp;IF(C1201=DATE(2026,12,2),"机构午餐","无统一供餐"),"差旅状态；无统一日程"))))))</f>
        <v/>
      </c>
      <c r="E1201" s="13">
        <f>IF(C1201=Options!$B$9,Options!$C$17,0)</f>
        <v/>
      </c>
      <c r="F1201" s="13">
        <f>IF(AND(A1201&lt;&gt;"",C1201&lt;Options!$B$10),B1201*Options!$X$6,0)</f>
        <v/>
      </c>
      <c r="G1201" s="13">
        <f>F1201*12%</f>
        <v/>
      </c>
      <c r="H1201" s="13">
        <f>IF(A1201="",0,B1201*(92*IF(OR(C1201=Options!$B$9,C1201=Options!$B$10),75%,100%)-IF(C1201=DATE(2026,11,29),26+IF(Options!$B$8="是",23,0),0)-IF(C1201=DATE(2026,11,30),26,0)-IF(C1201=DATE(2026,12,1),64,0)-IF(C1201=DATE(2026,11,28),38,0)-IF(C1201=DATE(2026,12,2),26,0)))</f>
        <v/>
      </c>
      <c r="I1201" s="13">
        <f>IF(AND(C1201&gt;=DATE(2026,11,29),C1201&lt;=DATE(2026,12,1)),B1201*60,0)</f>
        <v/>
      </c>
      <c r="J1201" s="13">
        <f>IF(A1201="",0,B1201*(IF(C1201=DATE(2026,11,28),38,0)+IF(C1201=DATE(2026,12,1),38,0)+IF(C1201=DATE(2026,12,2),26,0)))</f>
        <v/>
      </c>
      <c r="K1201" s="13">
        <f>IF(C1201=Options!$B$9,B1201*12,0)</f>
        <v/>
      </c>
      <c r="L1201" s="13">
        <f>IF(C1201=Options!$B$9,B1201*Options!$Z$6,0)</f>
        <v/>
      </c>
      <c r="M1201" s="13" t="n">
        <v>0</v>
      </c>
      <c r="N1201" s="13">
        <f>SUM(E1201:M1201)</f>
        <v/>
      </c>
    </row>
    <row r="1202">
      <c r="A1202" s="5">
        <f>IF(AND(C1202&gt;=Options!$B$9,C1202&lt;=Options!$B$10),"Denver","")</f>
        <v/>
      </c>
      <c r="B1202" s="5">
        <f>IF(A1202="","",24)</f>
        <v/>
      </c>
      <c r="C1202" s="17" t="n">
        <v>46398</v>
      </c>
      <c r="D1202" s="5">
        <f>IF(A1202="","",IF(C1202=DATE(2026,11,29),"培训；注册午餐；早餐参数",IF(C1202=DATE(2026,11,30),"培训；注册午餐",IF(C1202=DATE(2026,12,1),"培训；注册午餐；机构晚餐",IF(C1202=Options!$B$9,"抵达；"&amp;IF(C1202=DATE(2026,11,28),"机构晚餐","无统一供餐"),IF(C1202=Options!$B$10,"返程；"&amp;IF(C1202=DATE(2026,12,2),"机构午餐","无统一供餐"),"差旅状态；无统一日程"))))))</f>
        <v/>
      </c>
      <c r="E1202" s="13">
        <f>IF(C1202=Options!$B$9,Options!$C$17,0)</f>
        <v/>
      </c>
      <c r="F1202" s="13">
        <f>IF(AND(A1202&lt;&gt;"",C1202&lt;Options!$B$10),B1202*Options!$X$6,0)</f>
        <v/>
      </c>
      <c r="G1202" s="13">
        <f>F1202*12%</f>
        <v/>
      </c>
      <c r="H1202" s="13">
        <f>IF(A1202="",0,B1202*(92*IF(OR(C1202=Options!$B$9,C1202=Options!$B$10),75%,100%)-IF(C1202=DATE(2026,11,29),26+IF(Options!$B$8="是",23,0),0)-IF(C1202=DATE(2026,11,30),26,0)-IF(C1202=DATE(2026,12,1),64,0)-IF(C1202=DATE(2026,11,28),38,0)-IF(C1202=DATE(2026,12,2),26,0)))</f>
        <v/>
      </c>
      <c r="I1202" s="13">
        <f>IF(AND(C1202&gt;=DATE(2026,11,29),C1202&lt;=DATE(2026,12,1)),B1202*60,0)</f>
        <v/>
      </c>
      <c r="J1202" s="13">
        <f>IF(A1202="",0,B1202*(IF(C1202=DATE(2026,11,28),38,0)+IF(C1202=DATE(2026,12,1),38,0)+IF(C1202=DATE(2026,12,2),26,0)))</f>
        <v/>
      </c>
      <c r="K1202" s="13">
        <f>IF(C1202=Options!$B$9,B1202*12,0)</f>
        <v/>
      </c>
      <c r="L1202" s="13">
        <f>IF(C1202=Options!$B$9,B1202*Options!$Z$6,0)</f>
        <v/>
      </c>
      <c r="M1202" s="13" t="n">
        <v>0</v>
      </c>
      <c r="N1202" s="13">
        <f>SUM(E1202:M1202)</f>
        <v/>
      </c>
    </row>
    <row r="1203">
      <c r="A1203" s="5">
        <f>IF(AND(C1203&gt;=Options!$B$9,C1203&lt;=Options!$B$10),"Denver","")</f>
        <v/>
      </c>
      <c r="B1203" s="5">
        <f>IF(A1203="","",24)</f>
        <v/>
      </c>
      <c r="C1203" s="17" t="n">
        <v>46399</v>
      </c>
      <c r="D1203" s="5">
        <f>IF(A1203="","",IF(C1203=DATE(2026,11,29),"培训；注册午餐；早餐参数",IF(C1203=DATE(2026,11,30),"培训；注册午餐",IF(C1203=DATE(2026,12,1),"培训；注册午餐；机构晚餐",IF(C1203=Options!$B$9,"抵达；"&amp;IF(C1203=DATE(2026,11,28),"机构晚餐","无统一供餐"),IF(C1203=Options!$B$10,"返程；"&amp;IF(C1203=DATE(2026,12,2),"机构午餐","无统一供餐"),"差旅状态；无统一日程"))))))</f>
        <v/>
      </c>
      <c r="E1203" s="13">
        <f>IF(C1203=Options!$B$9,Options!$C$17,0)</f>
        <v/>
      </c>
      <c r="F1203" s="13">
        <f>IF(AND(A1203&lt;&gt;"",C1203&lt;Options!$B$10),B1203*Options!$X$6,0)</f>
        <v/>
      </c>
      <c r="G1203" s="13">
        <f>F1203*12%</f>
        <v/>
      </c>
      <c r="H1203" s="13">
        <f>IF(A1203="",0,B1203*(92*IF(OR(C1203=Options!$B$9,C1203=Options!$B$10),75%,100%)-IF(C1203=DATE(2026,11,29),26+IF(Options!$B$8="是",23,0),0)-IF(C1203=DATE(2026,11,30),26,0)-IF(C1203=DATE(2026,12,1),64,0)-IF(C1203=DATE(2026,11,28),38,0)-IF(C1203=DATE(2026,12,2),26,0)))</f>
        <v/>
      </c>
      <c r="I1203" s="13">
        <f>IF(AND(C1203&gt;=DATE(2026,11,29),C1203&lt;=DATE(2026,12,1)),B1203*60,0)</f>
        <v/>
      </c>
      <c r="J1203" s="13">
        <f>IF(A1203="",0,B1203*(IF(C1203=DATE(2026,11,28),38,0)+IF(C1203=DATE(2026,12,1),38,0)+IF(C1203=DATE(2026,12,2),26,0)))</f>
        <v/>
      </c>
      <c r="K1203" s="13">
        <f>IF(C1203=Options!$B$9,B1203*12,0)</f>
        <v/>
      </c>
      <c r="L1203" s="13">
        <f>IF(C1203=Options!$B$9,B1203*Options!$Z$6,0)</f>
        <v/>
      </c>
      <c r="M1203" s="13" t="n">
        <v>0</v>
      </c>
      <c r="N1203" s="13">
        <f>SUM(E1203:M1203)</f>
        <v/>
      </c>
    </row>
    <row r="1204">
      <c r="A1204" s="5">
        <f>IF(AND(C1204&gt;=Options!$B$9,C1204&lt;=Options!$B$10),"Denver","")</f>
        <v/>
      </c>
      <c r="B1204" s="5">
        <f>IF(A1204="","",24)</f>
        <v/>
      </c>
      <c r="C1204" s="17" t="n">
        <v>46400</v>
      </c>
      <c r="D1204" s="5">
        <f>IF(A1204="","",IF(C1204=DATE(2026,11,29),"培训；注册午餐；早餐参数",IF(C1204=DATE(2026,11,30),"培训；注册午餐",IF(C1204=DATE(2026,12,1),"培训；注册午餐；机构晚餐",IF(C1204=Options!$B$9,"抵达；"&amp;IF(C1204=DATE(2026,11,28),"机构晚餐","无统一供餐"),IF(C1204=Options!$B$10,"返程；"&amp;IF(C1204=DATE(2026,12,2),"机构午餐","无统一供餐"),"差旅状态；无统一日程"))))))</f>
        <v/>
      </c>
      <c r="E1204" s="13">
        <f>IF(C1204=Options!$B$9,Options!$C$17,0)</f>
        <v/>
      </c>
      <c r="F1204" s="13">
        <f>IF(AND(A1204&lt;&gt;"",C1204&lt;Options!$B$10),B1204*Options!$X$6,0)</f>
        <v/>
      </c>
      <c r="G1204" s="13">
        <f>F1204*12%</f>
        <v/>
      </c>
      <c r="H1204" s="13">
        <f>IF(A1204="",0,B1204*(92*IF(OR(C1204=Options!$B$9,C1204=Options!$B$10),75%,100%)-IF(C1204=DATE(2026,11,29),26+IF(Options!$B$8="是",23,0),0)-IF(C1204=DATE(2026,11,30),26,0)-IF(C1204=DATE(2026,12,1),64,0)-IF(C1204=DATE(2026,11,28),38,0)-IF(C1204=DATE(2026,12,2),26,0)))</f>
        <v/>
      </c>
      <c r="I1204" s="13">
        <f>IF(AND(C1204&gt;=DATE(2026,11,29),C1204&lt;=DATE(2026,12,1)),B1204*60,0)</f>
        <v/>
      </c>
      <c r="J1204" s="13">
        <f>IF(A1204="",0,B1204*(IF(C1204=DATE(2026,11,28),38,0)+IF(C1204=DATE(2026,12,1),38,0)+IF(C1204=DATE(2026,12,2),26,0)))</f>
        <v/>
      </c>
      <c r="K1204" s="13">
        <f>IF(C1204=Options!$B$9,B1204*12,0)</f>
        <v/>
      </c>
      <c r="L1204" s="13">
        <f>IF(C1204=Options!$B$9,B1204*Options!$Z$6,0)</f>
        <v/>
      </c>
      <c r="M1204" s="13" t="n">
        <v>0</v>
      </c>
      <c r="N1204" s="13">
        <f>SUM(E1204:M1204)</f>
        <v/>
      </c>
    </row>
    <row r="1205">
      <c r="A1205" s="5">
        <f>IF(AND(C1205&gt;=Options!$B$9,C1205&lt;=Options!$B$10),"Denver","")</f>
        <v/>
      </c>
      <c r="B1205" s="5">
        <f>IF(A1205="","",24)</f>
        <v/>
      </c>
      <c r="C1205" s="17" t="n">
        <v>46401</v>
      </c>
      <c r="D1205" s="5">
        <f>IF(A1205="","",IF(C1205=DATE(2026,11,29),"培训；注册午餐；早餐参数",IF(C1205=DATE(2026,11,30),"培训；注册午餐",IF(C1205=DATE(2026,12,1),"培训；注册午餐；机构晚餐",IF(C1205=Options!$B$9,"抵达；"&amp;IF(C1205=DATE(2026,11,28),"机构晚餐","无统一供餐"),IF(C1205=Options!$B$10,"返程；"&amp;IF(C1205=DATE(2026,12,2),"机构午餐","无统一供餐"),"差旅状态；无统一日程"))))))</f>
        <v/>
      </c>
      <c r="E1205" s="13">
        <f>IF(C1205=Options!$B$9,Options!$C$17,0)</f>
        <v/>
      </c>
      <c r="F1205" s="13">
        <f>IF(AND(A1205&lt;&gt;"",C1205&lt;Options!$B$10),B1205*Options!$X$6,0)</f>
        <v/>
      </c>
      <c r="G1205" s="13">
        <f>F1205*12%</f>
        <v/>
      </c>
      <c r="H1205" s="13">
        <f>IF(A1205="",0,B1205*(92*IF(OR(C1205=Options!$B$9,C1205=Options!$B$10),75%,100%)-IF(C1205=DATE(2026,11,29),26+IF(Options!$B$8="是",23,0),0)-IF(C1205=DATE(2026,11,30),26,0)-IF(C1205=DATE(2026,12,1),64,0)-IF(C1205=DATE(2026,11,28),38,0)-IF(C1205=DATE(2026,12,2),26,0)))</f>
        <v/>
      </c>
      <c r="I1205" s="13">
        <f>IF(AND(C1205&gt;=DATE(2026,11,29),C1205&lt;=DATE(2026,12,1)),B1205*60,0)</f>
        <v/>
      </c>
      <c r="J1205" s="13">
        <f>IF(A1205="",0,B1205*(IF(C1205=DATE(2026,11,28),38,0)+IF(C1205=DATE(2026,12,1),38,0)+IF(C1205=DATE(2026,12,2),26,0)))</f>
        <v/>
      </c>
      <c r="K1205" s="13">
        <f>IF(C1205=Options!$B$9,B1205*12,0)</f>
        <v/>
      </c>
      <c r="L1205" s="13">
        <f>IF(C1205=Options!$B$9,B1205*Options!$Z$6,0)</f>
        <v/>
      </c>
      <c r="M1205" s="13" t="n">
        <v>0</v>
      </c>
      <c r="N1205" s="13">
        <f>SUM(E1205:M1205)</f>
        <v/>
      </c>
    </row>
    <row r="1206">
      <c r="A1206" s="5">
        <f>IF(AND(C1206&gt;=Options!$B$9,C1206&lt;=Options!$B$10),"Denver","")</f>
        <v/>
      </c>
      <c r="B1206" s="5">
        <f>IF(A1206="","",24)</f>
        <v/>
      </c>
      <c r="C1206" s="17" t="n">
        <v>46402</v>
      </c>
      <c r="D1206" s="5">
        <f>IF(A1206="","",IF(C1206=DATE(2026,11,29),"培训；注册午餐；早餐参数",IF(C1206=DATE(2026,11,30),"培训；注册午餐",IF(C1206=DATE(2026,12,1),"培训；注册午餐；机构晚餐",IF(C1206=Options!$B$9,"抵达；"&amp;IF(C1206=DATE(2026,11,28),"机构晚餐","无统一供餐"),IF(C1206=Options!$B$10,"返程；"&amp;IF(C1206=DATE(2026,12,2),"机构午餐","无统一供餐"),"差旅状态；无统一日程"))))))</f>
        <v/>
      </c>
      <c r="E1206" s="13">
        <f>IF(C1206=Options!$B$9,Options!$C$17,0)</f>
        <v/>
      </c>
      <c r="F1206" s="13">
        <f>IF(AND(A1206&lt;&gt;"",C1206&lt;Options!$B$10),B1206*Options!$X$6,0)</f>
        <v/>
      </c>
      <c r="G1206" s="13">
        <f>F1206*12%</f>
        <v/>
      </c>
      <c r="H1206" s="13">
        <f>IF(A1206="",0,B1206*(92*IF(OR(C1206=Options!$B$9,C1206=Options!$B$10),75%,100%)-IF(C1206=DATE(2026,11,29),26+IF(Options!$B$8="是",23,0),0)-IF(C1206=DATE(2026,11,30),26,0)-IF(C1206=DATE(2026,12,1),64,0)-IF(C1206=DATE(2026,11,28),38,0)-IF(C1206=DATE(2026,12,2),26,0)))</f>
        <v/>
      </c>
      <c r="I1206" s="13">
        <f>IF(AND(C1206&gt;=DATE(2026,11,29),C1206&lt;=DATE(2026,12,1)),B1206*60,0)</f>
        <v/>
      </c>
      <c r="J1206" s="13">
        <f>IF(A1206="",0,B1206*(IF(C1206=DATE(2026,11,28),38,0)+IF(C1206=DATE(2026,12,1),38,0)+IF(C1206=DATE(2026,12,2),26,0)))</f>
        <v/>
      </c>
      <c r="K1206" s="13">
        <f>IF(C1206=Options!$B$9,B1206*12,0)</f>
        <v/>
      </c>
      <c r="L1206" s="13">
        <f>IF(C1206=Options!$B$9,B1206*Options!$Z$6,0)</f>
        <v/>
      </c>
      <c r="M1206" s="13" t="n">
        <v>0</v>
      </c>
      <c r="N1206" s="13">
        <f>SUM(E1206:M1206)</f>
        <v/>
      </c>
    </row>
    <row r="1207">
      <c r="A1207" s="5">
        <f>IF(AND(C1207&gt;=Options!$B$9,C1207&lt;=Options!$B$10),"Denver","")</f>
        <v/>
      </c>
      <c r="B1207" s="5">
        <f>IF(A1207="","",24)</f>
        <v/>
      </c>
      <c r="C1207" s="17" t="n">
        <v>46403</v>
      </c>
      <c r="D1207" s="5">
        <f>IF(A1207="","",IF(C1207=DATE(2026,11,29),"培训；注册午餐；早餐参数",IF(C1207=DATE(2026,11,30),"培训；注册午餐",IF(C1207=DATE(2026,12,1),"培训；注册午餐；机构晚餐",IF(C1207=Options!$B$9,"抵达；"&amp;IF(C1207=DATE(2026,11,28),"机构晚餐","无统一供餐"),IF(C1207=Options!$B$10,"返程；"&amp;IF(C1207=DATE(2026,12,2),"机构午餐","无统一供餐"),"差旅状态；无统一日程"))))))</f>
        <v/>
      </c>
      <c r="E1207" s="13">
        <f>IF(C1207=Options!$B$9,Options!$C$17,0)</f>
        <v/>
      </c>
      <c r="F1207" s="13">
        <f>IF(AND(A1207&lt;&gt;"",C1207&lt;Options!$B$10),B1207*Options!$X$6,0)</f>
        <v/>
      </c>
      <c r="G1207" s="13">
        <f>F1207*12%</f>
        <v/>
      </c>
      <c r="H1207" s="13">
        <f>IF(A1207="",0,B1207*(92*IF(OR(C1207=Options!$B$9,C1207=Options!$B$10),75%,100%)-IF(C1207=DATE(2026,11,29),26+IF(Options!$B$8="是",23,0),0)-IF(C1207=DATE(2026,11,30),26,0)-IF(C1207=DATE(2026,12,1),64,0)-IF(C1207=DATE(2026,11,28),38,0)-IF(C1207=DATE(2026,12,2),26,0)))</f>
        <v/>
      </c>
      <c r="I1207" s="13">
        <f>IF(AND(C1207&gt;=DATE(2026,11,29),C1207&lt;=DATE(2026,12,1)),B1207*60,0)</f>
        <v/>
      </c>
      <c r="J1207" s="13">
        <f>IF(A1207="",0,B1207*(IF(C1207=DATE(2026,11,28),38,0)+IF(C1207=DATE(2026,12,1),38,0)+IF(C1207=DATE(2026,12,2),26,0)))</f>
        <v/>
      </c>
      <c r="K1207" s="13">
        <f>IF(C1207=Options!$B$9,B1207*12,0)</f>
        <v/>
      </c>
      <c r="L1207" s="13">
        <f>IF(C1207=Options!$B$9,B1207*Options!$Z$6,0)</f>
        <v/>
      </c>
      <c r="M1207" s="13" t="n">
        <v>0</v>
      </c>
      <c r="N1207" s="13">
        <f>SUM(E1207:M1207)</f>
        <v/>
      </c>
    </row>
    <row r="1208">
      <c r="A1208" s="5">
        <f>IF(AND(C1208&gt;=Options!$B$9,C1208&lt;=Options!$B$10),"Denver","")</f>
        <v/>
      </c>
      <c r="B1208" s="5">
        <f>IF(A1208="","",24)</f>
        <v/>
      </c>
      <c r="C1208" s="17" t="n">
        <v>46404</v>
      </c>
      <c r="D1208" s="5">
        <f>IF(A1208="","",IF(C1208=DATE(2026,11,29),"培训；注册午餐；早餐参数",IF(C1208=DATE(2026,11,30),"培训；注册午餐",IF(C1208=DATE(2026,12,1),"培训；注册午餐；机构晚餐",IF(C1208=Options!$B$9,"抵达；"&amp;IF(C1208=DATE(2026,11,28),"机构晚餐","无统一供餐"),IF(C1208=Options!$B$10,"返程；"&amp;IF(C1208=DATE(2026,12,2),"机构午餐","无统一供餐"),"差旅状态；无统一日程"))))))</f>
        <v/>
      </c>
      <c r="E1208" s="13">
        <f>IF(C1208=Options!$B$9,Options!$C$17,0)</f>
        <v/>
      </c>
      <c r="F1208" s="13">
        <f>IF(AND(A1208&lt;&gt;"",C1208&lt;Options!$B$10),B1208*Options!$X$6,0)</f>
        <v/>
      </c>
      <c r="G1208" s="13">
        <f>F1208*12%</f>
        <v/>
      </c>
      <c r="H1208" s="13">
        <f>IF(A1208="",0,B1208*(92*IF(OR(C1208=Options!$B$9,C1208=Options!$B$10),75%,100%)-IF(C1208=DATE(2026,11,29),26+IF(Options!$B$8="是",23,0),0)-IF(C1208=DATE(2026,11,30),26,0)-IF(C1208=DATE(2026,12,1),64,0)-IF(C1208=DATE(2026,11,28),38,0)-IF(C1208=DATE(2026,12,2),26,0)))</f>
        <v/>
      </c>
      <c r="I1208" s="13">
        <f>IF(AND(C1208&gt;=DATE(2026,11,29),C1208&lt;=DATE(2026,12,1)),B1208*60,0)</f>
        <v/>
      </c>
      <c r="J1208" s="13">
        <f>IF(A1208="",0,B1208*(IF(C1208=DATE(2026,11,28),38,0)+IF(C1208=DATE(2026,12,1),38,0)+IF(C1208=DATE(2026,12,2),26,0)))</f>
        <v/>
      </c>
      <c r="K1208" s="13">
        <f>IF(C1208=Options!$B$9,B1208*12,0)</f>
        <v/>
      </c>
      <c r="L1208" s="13">
        <f>IF(C1208=Options!$B$9,B1208*Options!$Z$6,0)</f>
        <v/>
      </c>
      <c r="M1208" s="13" t="n">
        <v>0</v>
      </c>
      <c r="N1208" s="13">
        <f>SUM(E1208:M1208)</f>
        <v/>
      </c>
    </row>
    <row r="1209">
      <c r="A1209" s="5">
        <f>IF(AND(C1209&gt;=Options!$B$9,C1209&lt;=Options!$B$10),"Denver","")</f>
        <v/>
      </c>
      <c r="B1209" s="5">
        <f>IF(A1209="","",24)</f>
        <v/>
      </c>
      <c r="C1209" s="17" t="n">
        <v>46405</v>
      </c>
      <c r="D1209" s="5">
        <f>IF(A1209="","",IF(C1209=DATE(2026,11,29),"培训；注册午餐；早餐参数",IF(C1209=DATE(2026,11,30),"培训；注册午餐",IF(C1209=DATE(2026,12,1),"培训；注册午餐；机构晚餐",IF(C1209=Options!$B$9,"抵达；"&amp;IF(C1209=DATE(2026,11,28),"机构晚餐","无统一供餐"),IF(C1209=Options!$B$10,"返程；"&amp;IF(C1209=DATE(2026,12,2),"机构午餐","无统一供餐"),"差旅状态；无统一日程"))))))</f>
        <v/>
      </c>
      <c r="E1209" s="13">
        <f>IF(C1209=Options!$B$9,Options!$C$17,0)</f>
        <v/>
      </c>
      <c r="F1209" s="13">
        <f>IF(AND(A1209&lt;&gt;"",C1209&lt;Options!$B$10),B1209*Options!$X$6,0)</f>
        <v/>
      </c>
      <c r="G1209" s="13">
        <f>F1209*12%</f>
        <v/>
      </c>
      <c r="H1209" s="13">
        <f>IF(A1209="",0,B1209*(92*IF(OR(C1209=Options!$B$9,C1209=Options!$B$10),75%,100%)-IF(C1209=DATE(2026,11,29),26+IF(Options!$B$8="是",23,0),0)-IF(C1209=DATE(2026,11,30),26,0)-IF(C1209=DATE(2026,12,1),64,0)-IF(C1209=DATE(2026,11,28),38,0)-IF(C1209=DATE(2026,12,2),26,0)))</f>
        <v/>
      </c>
      <c r="I1209" s="13">
        <f>IF(AND(C1209&gt;=DATE(2026,11,29),C1209&lt;=DATE(2026,12,1)),B1209*60,0)</f>
        <v/>
      </c>
      <c r="J1209" s="13">
        <f>IF(A1209="",0,B1209*(IF(C1209=DATE(2026,11,28),38,0)+IF(C1209=DATE(2026,12,1),38,0)+IF(C1209=DATE(2026,12,2),26,0)))</f>
        <v/>
      </c>
      <c r="K1209" s="13">
        <f>IF(C1209=Options!$B$9,B1209*12,0)</f>
        <v/>
      </c>
      <c r="L1209" s="13">
        <f>IF(C1209=Options!$B$9,B1209*Options!$Z$6,0)</f>
        <v/>
      </c>
      <c r="M1209" s="13" t="n">
        <v>0</v>
      </c>
      <c r="N1209" s="13">
        <f>SUM(E1209:M1209)</f>
        <v/>
      </c>
    </row>
    <row r="1210">
      <c r="A1210" s="5">
        <f>IF(AND(C1210&gt;=Options!$B$9,C1210&lt;=Options!$B$10),"Denver","")</f>
        <v/>
      </c>
      <c r="B1210" s="5">
        <f>IF(A1210="","",24)</f>
        <v/>
      </c>
      <c r="C1210" s="17" t="n">
        <v>46406</v>
      </c>
      <c r="D1210" s="5">
        <f>IF(A1210="","",IF(C1210=DATE(2026,11,29),"培训；注册午餐；早餐参数",IF(C1210=DATE(2026,11,30),"培训；注册午餐",IF(C1210=DATE(2026,12,1),"培训；注册午餐；机构晚餐",IF(C1210=Options!$B$9,"抵达；"&amp;IF(C1210=DATE(2026,11,28),"机构晚餐","无统一供餐"),IF(C1210=Options!$B$10,"返程；"&amp;IF(C1210=DATE(2026,12,2),"机构午餐","无统一供餐"),"差旅状态；无统一日程"))))))</f>
        <v/>
      </c>
      <c r="E1210" s="13">
        <f>IF(C1210=Options!$B$9,Options!$C$17,0)</f>
        <v/>
      </c>
      <c r="F1210" s="13">
        <f>IF(AND(A1210&lt;&gt;"",C1210&lt;Options!$B$10),B1210*Options!$X$6,0)</f>
        <v/>
      </c>
      <c r="G1210" s="13">
        <f>F1210*12%</f>
        <v/>
      </c>
      <c r="H1210" s="13">
        <f>IF(A1210="",0,B1210*(92*IF(OR(C1210=Options!$B$9,C1210=Options!$B$10),75%,100%)-IF(C1210=DATE(2026,11,29),26+IF(Options!$B$8="是",23,0),0)-IF(C1210=DATE(2026,11,30),26,0)-IF(C1210=DATE(2026,12,1),64,0)-IF(C1210=DATE(2026,11,28),38,0)-IF(C1210=DATE(2026,12,2),26,0)))</f>
        <v/>
      </c>
      <c r="I1210" s="13">
        <f>IF(AND(C1210&gt;=DATE(2026,11,29),C1210&lt;=DATE(2026,12,1)),B1210*60,0)</f>
        <v/>
      </c>
      <c r="J1210" s="13">
        <f>IF(A1210="",0,B1210*(IF(C1210=DATE(2026,11,28),38,0)+IF(C1210=DATE(2026,12,1),38,0)+IF(C1210=DATE(2026,12,2),26,0)))</f>
        <v/>
      </c>
      <c r="K1210" s="13">
        <f>IF(C1210=Options!$B$9,B1210*12,0)</f>
        <v/>
      </c>
      <c r="L1210" s="13">
        <f>IF(C1210=Options!$B$9,B1210*Options!$Z$6,0)</f>
        <v/>
      </c>
      <c r="M1210" s="13" t="n">
        <v>0</v>
      </c>
      <c r="N1210" s="13">
        <f>SUM(E1210:M1210)</f>
        <v/>
      </c>
    </row>
    <row r="1211">
      <c r="A1211" s="5">
        <f>IF(AND(C1211&gt;=Options!$B$9,C1211&lt;=Options!$B$10),"Denver","")</f>
        <v/>
      </c>
      <c r="B1211" s="5">
        <f>IF(A1211="","",24)</f>
        <v/>
      </c>
      <c r="C1211" s="17" t="n">
        <v>46407</v>
      </c>
      <c r="D1211" s="5">
        <f>IF(A1211="","",IF(C1211=DATE(2026,11,29),"培训；注册午餐；早餐参数",IF(C1211=DATE(2026,11,30),"培训；注册午餐",IF(C1211=DATE(2026,12,1),"培训；注册午餐；机构晚餐",IF(C1211=Options!$B$9,"抵达；"&amp;IF(C1211=DATE(2026,11,28),"机构晚餐","无统一供餐"),IF(C1211=Options!$B$10,"返程；"&amp;IF(C1211=DATE(2026,12,2),"机构午餐","无统一供餐"),"差旅状态；无统一日程"))))))</f>
        <v/>
      </c>
      <c r="E1211" s="13">
        <f>IF(C1211=Options!$B$9,Options!$C$17,0)</f>
        <v/>
      </c>
      <c r="F1211" s="13">
        <f>IF(AND(A1211&lt;&gt;"",C1211&lt;Options!$B$10),B1211*Options!$X$6,0)</f>
        <v/>
      </c>
      <c r="G1211" s="13">
        <f>F1211*12%</f>
        <v/>
      </c>
      <c r="H1211" s="13">
        <f>IF(A1211="",0,B1211*(92*IF(OR(C1211=Options!$B$9,C1211=Options!$B$10),75%,100%)-IF(C1211=DATE(2026,11,29),26+IF(Options!$B$8="是",23,0),0)-IF(C1211=DATE(2026,11,30),26,0)-IF(C1211=DATE(2026,12,1),64,0)-IF(C1211=DATE(2026,11,28),38,0)-IF(C1211=DATE(2026,12,2),26,0)))</f>
        <v/>
      </c>
      <c r="I1211" s="13">
        <f>IF(AND(C1211&gt;=DATE(2026,11,29),C1211&lt;=DATE(2026,12,1)),B1211*60,0)</f>
        <v/>
      </c>
      <c r="J1211" s="13">
        <f>IF(A1211="",0,B1211*(IF(C1211=DATE(2026,11,28),38,0)+IF(C1211=DATE(2026,12,1),38,0)+IF(C1211=DATE(2026,12,2),26,0)))</f>
        <v/>
      </c>
      <c r="K1211" s="13">
        <f>IF(C1211=Options!$B$9,B1211*12,0)</f>
        <v/>
      </c>
      <c r="L1211" s="13">
        <f>IF(C1211=Options!$B$9,B1211*Options!$Z$6,0)</f>
        <v/>
      </c>
      <c r="M1211" s="13" t="n">
        <v>0</v>
      </c>
      <c r="N1211" s="13">
        <f>SUM(E1211:M1211)</f>
        <v/>
      </c>
    </row>
    <row r="1212">
      <c r="A1212" s="5">
        <f>IF(AND(C1212&gt;=Options!$B$9,C1212&lt;=Options!$B$10),"Denver","")</f>
        <v/>
      </c>
      <c r="B1212" s="5">
        <f>IF(A1212="","",24)</f>
        <v/>
      </c>
      <c r="C1212" s="17" t="n">
        <v>46408</v>
      </c>
      <c r="D1212" s="5">
        <f>IF(A1212="","",IF(C1212=DATE(2026,11,29),"培训；注册午餐；早餐参数",IF(C1212=DATE(2026,11,30),"培训；注册午餐",IF(C1212=DATE(2026,12,1),"培训；注册午餐；机构晚餐",IF(C1212=Options!$B$9,"抵达；"&amp;IF(C1212=DATE(2026,11,28),"机构晚餐","无统一供餐"),IF(C1212=Options!$B$10,"返程；"&amp;IF(C1212=DATE(2026,12,2),"机构午餐","无统一供餐"),"差旅状态；无统一日程"))))))</f>
        <v/>
      </c>
      <c r="E1212" s="13">
        <f>IF(C1212=Options!$B$9,Options!$C$17,0)</f>
        <v/>
      </c>
      <c r="F1212" s="13">
        <f>IF(AND(A1212&lt;&gt;"",C1212&lt;Options!$B$10),B1212*Options!$X$6,0)</f>
        <v/>
      </c>
      <c r="G1212" s="13">
        <f>F1212*12%</f>
        <v/>
      </c>
      <c r="H1212" s="13">
        <f>IF(A1212="",0,B1212*(92*IF(OR(C1212=Options!$B$9,C1212=Options!$B$10),75%,100%)-IF(C1212=DATE(2026,11,29),26+IF(Options!$B$8="是",23,0),0)-IF(C1212=DATE(2026,11,30),26,0)-IF(C1212=DATE(2026,12,1),64,0)-IF(C1212=DATE(2026,11,28),38,0)-IF(C1212=DATE(2026,12,2),26,0)))</f>
        <v/>
      </c>
      <c r="I1212" s="13">
        <f>IF(AND(C1212&gt;=DATE(2026,11,29),C1212&lt;=DATE(2026,12,1)),B1212*60,0)</f>
        <v/>
      </c>
      <c r="J1212" s="13">
        <f>IF(A1212="",0,B1212*(IF(C1212=DATE(2026,11,28),38,0)+IF(C1212=DATE(2026,12,1),38,0)+IF(C1212=DATE(2026,12,2),26,0)))</f>
        <v/>
      </c>
      <c r="K1212" s="13">
        <f>IF(C1212=Options!$B$9,B1212*12,0)</f>
        <v/>
      </c>
      <c r="L1212" s="13">
        <f>IF(C1212=Options!$B$9,B1212*Options!$Z$6,0)</f>
        <v/>
      </c>
      <c r="M1212" s="13" t="n">
        <v>0</v>
      </c>
      <c r="N1212" s="13">
        <f>SUM(E1212:M1212)</f>
        <v/>
      </c>
    </row>
    <row r="1213">
      <c r="A1213" s="5">
        <f>IF(AND(C1213&gt;=Options!$B$9,C1213&lt;=Options!$B$10),"Denver","")</f>
        <v/>
      </c>
      <c r="B1213" s="5">
        <f>IF(A1213="","",24)</f>
        <v/>
      </c>
      <c r="C1213" s="17" t="n">
        <v>46409</v>
      </c>
      <c r="D1213" s="5">
        <f>IF(A1213="","",IF(C1213=DATE(2026,11,29),"培训；注册午餐；早餐参数",IF(C1213=DATE(2026,11,30),"培训；注册午餐",IF(C1213=DATE(2026,12,1),"培训；注册午餐；机构晚餐",IF(C1213=Options!$B$9,"抵达；"&amp;IF(C1213=DATE(2026,11,28),"机构晚餐","无统一供餐"),IF(C1213=Options!$B$10,"返程；"&amp;IF(C1213=DATE(2026,12,2),"机构午餐","无统一供餐"),"差旅状态；无统一日程"))))))</f>
        <v/>
      </c>
      <c r="E1213" s="13">
        <f>IF(C1213=Options!$B$9,Options!$C$17,0)</f>
        <v/>
      </c>
      <c r="F1213" s="13">
        <f>IF(AND(A1213&lt;&gt;"",C1213&lt;Options!$B$10),B1213*Options!$X$6,0)</f>
        <v/>
      </c>
      <c r="G1213" s="13">
        <f>F1213*12%</f>
        <v/>
      </c>
      <c r="H1213" s="13">
        <f>IF(A1213="",0,B1213*(92*IF(OR(C1213=Options!$B$9,C1213=Options!$B$10),75%,100%)-IF(C1213=DATE(2026,11,29),26+IF(Options!$B$8="是",23,0),0)-IF(C1213=DATE(2026,11,30),26,0)-IF(C1213=DATE(2026,12,1),64,0)-IF(C1213=DATE(2026,11,28),38,0)-IF(C1213=DATE(2026,12,2),26,0)))</f>
        <v/>
      </c>
      <c r="I1213" s="13">
        <f>IF(AND(C1213&gt;=DATE(2026,11,29),C1213&lt;=DATE(2026,12,1)),B1213*60,0)</f>
        <v/>
      </c>
      <c r="J1213" s="13">
        <f>IF(A1213="",0,B1213*(IF(C1213=DATE(2026,11,28),38,0)+IF(C1213=DATE(2026,12,1),38,0)+IF(C1213=DATE(2026,12,2),26,0)))</f>
        <v/>
      </c>
      <c r="K1213" s="13">
        <f>IF(C1213=Options!$B$9,B1213*12,0)</f>
        <v/>
      </c>
      <c r="L1213" s="13">
        <f>IF(C1213=Options!$B$9,B1213*Options!$Z$6,0)</f>
        <v/>
      </c>
      <c r="M1213" s="13" t="n">
        <v>0</v>
      </c>
      <c r="N1213" s="13">
        <f>SUM(E1213:M1213)</f>
        <v/>
      </c>
    </row>
    <row r="1214">
      <c r="A1214" s="5">
        <f>IF(AND(C1214&gt;=Options!$B$9,C1214&lt;=Options!$B$10),"Denver","")</f>
        <v/>
      </c>
      <c r="B1214" s="5">
        <f>IF(A1214="","",24)</f>
        <v/>
      </c>
      <c r="C1214" s="17" t="n">
        <v>46410</v>
      </c>
      <c r="D1214" s="5">
        <f>IF(A1214="","",IF(C1214=DATE(2026,11,29),"培训；注册午餐；早餐参数",IF(C1214=DATE(2026,11,30),"培训；注册午餐",IF(C1214=DATE(2026,12,1),"培训；注册午餐；机构晚餐",IF(C1214=Options!$B$9,"抵达；"&amp;IF(C1214=DATE(2026,11,28),"机构晚餐","无统一供餐"),IF(C1214=Options!$B$10,"返程；"&amp;IF(C1214=DATE(2026,12,2),"机构午餐","无统一供餐"),"差旅状态；无统一日程"))))))</f>
        <v/>
      </c>
      <c r="E1214" s="13">
        <f>IF(C1214=Options!$B$9,Options!$C$17,0)</f>
        <v/>
      </c>
      <c r="F1214" s="13">
        <f>IF(AND(A1214&lt;&gt;"",C1214&lt;Options!$B$10),B1214*Options!$X$6,0)</f>
        <v/>
      </c>
      <c r="G1214" s="13">
        <f>F1214*12%</f>
        <v/>
      </c>
      <c r="H1214" s="13">
        <f>IF(A1214="",0,B1214*(92*IF(OR(C1214=Options!$B$9,C1214=Options!$B$10),75%,100%)-IF(C1214=DATE(2026,11,29),26+IF(Options!$B$8="是",23,0),0)-IF(C1214=DATE(2026,11,30),26,0)-IF(C1214=DATE(2026,12,1),64,0)-IF(C1214=DATE(2026,11,28),38,0)-IF(C1214=DATE(2026,12,2),26,0)))</f>
        <v/>
      </c>
      <c r="I1214" s="13">
        <f>IF(AND(C1214&gt;=DATE(2026,11,29),C1214&lt;=DATE(2026,12,1)),B1214*60,0)</f>
        <v/>
      </c>
      <c r="J1214" s="13">
        <f>IF(A1214="",0,B1214*(IF(C1214=DATE(2026,11,28),38,0)+IF(C1214=DATE(2026,12,1),38,0)+IF(C1214=DATE(2026,12,2),26,0)))</f>
        <v/>
      </c>
      <c r="K1214" s="13">
        <f>IF(C1214=Options!$B$9,B1214*12,0)</f>
        <v/>
      </c>
      <c r="L1214" s="13">
        <f>IF(C1214=Options!$B$9,B1214*Options!$Z$6,0)</f>
        <v/>
      </c>
      <c r="M1214" s="13" t="n">
        <v>0</v>
      </c>
      <c r="N1214" s="13">
        <f>SUM(E1214:M1214)</f>
        <v/>
      </c>
    </row>
    <row r="1215">
      <c r="A1215" s="5">
        <f>IF(AND(C1215&gt;=Options!$B$9,C1215&lt;=Options!$B$10),"Denver","")</f>
        <v/>
      </c>
      <c r="B1215" s="5">
        <f>IF(A1215="","",24)</f>
        <v/>
      </c>
      <c r="C1215" s="17" t="n">
        <v>46411</v>
      </c>
      <c r="D1215" s="5">
        <f>IF(A1215="","",IF(C1215=DATE(2026,11,29),"培训；注册午餐；早餐参数",IF(C1215=DATE(2026,11,30),"培训；注册午餐",IF(C1215=DATE(2026,12,1),"培训；注册午餐；机构晚餐",IF(C1215=Options!$B$9,"抵达；"&amp;IF(C1215=DATE(2026,11,28),"机构晚餐","无统一供餐"),IF(C1215=Options!$B$10,"返程；"&amp;IF(C1215=DATE(2026,12,2),"机构午餐","无统一供餐"),"差旅状态；无统一日程"))))))</f>
        <v/>
      </c>
      <c r="E1215" s="13">
        <f>IF(C1215=Options!$B$9,Options!$C$17,0)</f>
        <v/>
      </c>
      <c r="F1215" s="13">
        <f>IF(AND(A1215&lt;&gt;"",C1215&lt;Options!$B$10),B1215*Options!$X$6,0)</f>
        <v/>
      </c>
      <c r="G1215" s="13">
        <f>F1215*12%</f>
        <v/>
      </c>
      <c r="H1215" s="13">
        <f>IF(A1215="",0,B1215*(92*IF(OR(C1215=Options!$B$9,C1215=Options!$B$10),75%,100%)-IF(C1215=DATE(2026,11,29),26+IF(Options!$B$8="是",23,0),0)-IF(C1215=DATE(2026,11,30),26,0)-IF(C1215=DATE(2026,12,1),64,0)-IF(C1215=DATE(2026,11,28),38,0)-IF(C1215=DATE(2026,12,2),26,0)))</f>
        <v/>
      </c>
      <c r="I1215" s="13">
        <f>IF(AND(C1215&gt;=DATE(2026,11,29),C1215&lt;=DATE(2026,12,1)),B1215*60,0)</f>
        <v/>
      </c>
      <c r="J1215" s="13">
        <f>IF(A1215="",0,B1215*(IF(C1215=DATE(2026,11,28),38,0)+IF(C1215=DATE(2026,12,1),38,0)+IF(C1215=DATE(2026,12,2),26,0)))</f>
        <v/>
      </c>
      <c r="K1215" s="13">
        <f>IF(C1215=Options!$B$9,B1215*12,0)</f>
        <v/>
      </c>
      <c r="L1215" s="13">
        <f>IF(C1215=Options!$B$9,B1215*Options!$Z$6,0)</f>
        <v/>
      </c>
      <c r="M1215" s="13" t="n">
        <v>0</v>
      </c>
      <c r="N1215" s="13">
        <f>SUM(E1215:M1215)</f>
        <v/>
      </c>
    </row>
    <row r="1216">
      <c r="A1216" s="5">
        <f>IF(AND(C1216&gt;=Options!$B$9,C1216&lt;=Options!$B$10),"Denver","")</f>
        <v/>
      </c>
      <c r="B1216" s="5">
        <f>IF(A1216="","",24)</f>
        <v/>
      </c>
      <c r="C1216" s="17" t="n">
        <v>46412</v>
      </c>
      <c r="D1216" s="5">
        <f>IF(A1216="","",IF(C1216=DATE(2026,11,29),"培训；注册午餐；早餐参数",IF(C1216=DATE(2026,11,30),"培训；注册午餐",IF(C1216=DATE(2026,12,1),"培训；注册午餐；机构晚餐",IF(C1216=Options!$B$9,"抵达；"&amp;IF(C1216=DATE(2026,11,28),"机构晚餐","无统一供餐"),IF(C1216=Options!$B$10,"返程；"&amp;IF(C1216=DATE(2026,12,2),"机构午餐","无统一供餐"),"差旅状态；无统一日程"))))))</f>
        <v/>
      </c>
      <c r="E1216" s="13">
        <f>IF(C1216=Options!$B$9,Options!$C$17,0)</f>
        <v/>
      </c>
      <c r="F1216" s="13">
        <f>IF(AND(A1216&lt;&gt;"",C1216&lt;Options!$B$10),B1216*Options!$X$6,0)</f>
        <v/>
      </c>
      <c r="G1216" s="13">
        <f>F1216*12%</f>
        <v/>
      </c>
      <c r="H1216" s="13">
        <f>IF(A1216="",0,B1216*(92*IF(OR(C1216=Options!$B$9,C1216=Options!$B$10),75%,100%)-IF(C1216=DATE(2026,11,29),26+IF(Options!$B$8="是",23,0),0)-IF(C1216=DATE(2026,11,30),26,0)-IF(C1216=DATE(2026,12,1),64,0)-IF(C1216=DATE(2026,11,28),38,0)-IF(C1216=DATE(2026,12,2),26,0)))</f>
        <v/>
      </c>
      <c r="I1216" s="13">
        <f>IF(AND(C1216&gt;=DATE(2026,11,29),C1216&lt;=DATE(2026,12,1)),B1216*60,0)</f>
        <v/>
      </c>
      <c r="J1216" s="13">
        <f>IF(A1216="",0,B1216*(IF(C1216=DATE(2026,11,28),38,0)+IF(C1216=DATE(2026,12,1),38,0)+IF(C1216=DATE(2026,12,2),26,0)))</f>
        <v/>
      </c>
      <c r="K1216" s="13">
        <f>IF(C1216=Options!$B$9,B1216*12,0)</f>
        <v/>
      </c>
      <c r="L1216" s="13">
        <f>IF(C1216=Options!$B$9,B1216*Options!$Z$6,0)</f>
        <v/>
      </c>
      <c r="M1216" s="13" t="n">
        <v>0</v>
      </c>
      <c r="N1216" s="13">
        <f>SUM(E1216:M1216)</f>
        <v/>
      </c>
    </row>
    <row r="1217">
      <c r="A1217" s="5">
        <f>IF(AND(C1217&gt;=Options!$B$9,C1217&lt;=Options!$B$10),"Denver","")</f>
        <v/>
      </c>
      <c r="B1217" s="5">
        <f>IF(A1217="","",24)</f>
        <v/>
      </c>
      <c r="C1217" s="17" t="n">
        <v>46413</v>
      </c>
      <c r="D1217" s="5">
        <f>IF(A1217="","",IF(C1217=DATE(2026,11,29),"培训；注册午餐；早餐参数",IF(C1217=DATE(2026,11,30),"培训；注册午餐",IF(C1217=DATE(2026,12,1),"培训；注册午餐；机构晚餐",IF(C1217=Options!$B$9,"抵达；"&amp;IF(C1217=DATE(2026,11,28),"机构晚餐","无统一供餐"),IF(C1217=Options!$B$10,"返程；"&amp;IF(C1217=DATE(2026,12,2),"机构午餐","无统一供餐"),"差旅状态；无统一日程"))))))</f>
        <v/>
      </c>
      <c r="E1217" s="13">
        <f>IF(C1217=Options!$B$9,Options!$C$17,0)</f>
        <v/>
      </c>
      <c r="F1217" s="13">
        <f>IF(AND(A1217&lt;&gt;"",C1217&lt;Options!$B$10),B1217*Options!$X$6,0)</f>
        <v/>
      </c>
      <c r="G1217" s="13">
        <f>F1217*12%</f>
        <v/>
      </c>
      <c r="H1217" s="13">
        <f>IF(A1217="",0,B1217*(92*IF(OR(C1217=Options!$B$9,C1217=Options!$B$10),75%,100%)-IF(C1217=DATE(2026,11,29),26+IF(Options!$B$8="是",23,0),0)-IF(C1217=DATE(2026,11,30),26,0)-IF(C1217=DATE(2026,12,1),64,0)-IF(C1217=DATE(2026,11,28),38,0)-IF(C1217=DATE(2026,12,2),26,0)))</f>
        <v/>
      </c>
      <c r="I1217" s="13">
        <f>IF(AND(C1217&gt;=DATE(2026,11,29),C1217&lt;=DATE(2026,12,1)),B1217*60,0)</f>
        <v/>
      </c>
      <c r="J1217" s="13">
        <f>IF(A1217="",0,B1217*(IF(C1217=DATE(2026,11,28),38,0)+IF(C1217=DATE(2026,12,1),38,0)+IF(C1217=DATE(2026,12,2),26,0)))</f>
        <v/>
      </c>
      <c r="K1217" s="13">
        <f>IF(C1217=Options!$B$9,B1217*12,0)</f>
        <v/>
      </c>
      <c r="L1217" s="13">
        <f>IF(C1217=Options!$B$9,B1217*Options!$Z$6,0)</f>
        <v/>
      </c>
      <c r="M1217" s="13" t="n">
        <v>0</v>
      </c>
      <c r="N1217" s="13">
        <f>SUM(E1217:M1217)</f>
        <v/>
      </c>
    </row>
    <row r="1218">
      <c r="A1218" s="5">
        <f>IF(AND(C1218&gt;=Options!$B$9,C1218&lt;=Options!$B$10),"Denver","")</f>
        <v/>
      </c>
      <c r="B1218" s="5">
        <f>IF(A1218="","",24)</f>
        <v/>
      </c>
      <c r="C1218" s="17" t="n">
        <v>46414</v>
      </c>
      <c r="D1218" s="5">
        <f>IF(A1218="","",IF(C1218=DATE(2026,11,29),"培训；注册午餐；早餐参数",IF(C1218=DATE(2026,11,30),"培训；注册午餐",IF(C1218=DATE(2026,12,1),"培训；注册午餐；机构晚餐",IF(C1218=Options!$B$9,"抵达；"&amp;IF(C1218=DATE(2026,11,28),"机构晚餐","无统一供餐"),IF(C1218=Options!$B$10,"返程；"&amp;IF(C1218=DATE(2026,12,2),"机构午餐","无统一供餐"),"差旅状态；无统一日程"))))))</f>
        <v/>
      </c>
      <c r="E1218" s="13">
        <f>IF(C1218=Options!$B$9,Options!$C$17,0)</f>
        <v/>
      </c>
      <c r="F1218" s="13">
        <f>IF(AND(A1218&lt;&gt;"",C1218&lt;Options!$B$10),B1218*Options!$X$6,0)</f>
        <v/>
      </c>
      <c r="G1218" s="13">
        <f>F1218*12%</f>
        <v/>
      </c>
      <c r="H1218" s="13">
        <f>IF(A1218="",0,B1218*(92*IF(OR(C1218=Options!$B$9,C1218=Options!$B$10),75%,100%)-IF(C1218=DATE(2026,11,29),26+IF(Options!$B$8="是",23,0),0)-IF(C1218=DATE(2026,11,30),26,0)-IF(C1218=DATE(2026,12,1),64,0)-IF(C1218=DATE(2026,11,28),38,0)-IF(C1218=DATE(2026,12,2),26,0)))</f>
        <v/>
      </c>
      <c r="I1218" s="13">
        <f>IF(AND(C1218&gt;=DATE(2026,11,29),C1218&lt;=DATE(2026,12,1)),B1218*60,0)</f>
        <v/>
      </c>
      <c r="J1218" s="13">
        <f>IF(A1218="",0,B1218*(IF(C1218=DATE(2026,11,28),38,0)+IF(C1218=DATE(2026,12,1),38,0)+IF(C1218=DATE(2026,12,2),26,0)))</f>
        <v/>
      </c>
      <c r="K1218" s="13">
        <f>IF(C1218=Options!$B$9,B1218*12,0)</f>
        <v/>
      </c>
      <c r="L1218" s="13">
        <f>IF(C1218=Options!$B$9,B1218*Options!$Z$6,0)</f>
        <v/>
      </c>
      <c r="M1218" s="13" t="n">
        <v>0</v>
      </c>
      <c r="N1218" s="13">
        <f>SUM(E1218:M1218)</f>
        <v/>
      </c>
    </row>
    <row r="1219">
      <c r="A1219" s="5">
        <f>IF(AND(C1219&gt;=Options!$B$9,C1219&lt;=Options!$B$10),"Denver","")</f>
        <v/>
      </c>
      <c r="B1219" s="5">
        <f>IF(A1219="","",24)</f>
        <v/>
      </c>
      <c r="C1219" s="17" t="n">
        <v>46415</v>
      </c>
      <c r="D1219" s="5">
        <f>IF(A1219="","",IF(C1219=DATE(2026,11,29),"培训；注册午餐；早餐参数",IF(C1219=DATE(2026,11,30),"培训；注册午餐",IF(C1219=DATE(2026,12,1),"培训；注册午餐；机构晚餐",IF(C1219=Options!$B$9,"抵达；"&amp;IF(C1219=DATE(2026,11,28),"机构晚餐","无统一供餐"),IF(C1219=Options!$B$10,"返程；"&amp;IF(C1219=DATE(2026,12,2),"机构午餐","无统一供餐"),"差旅状态；无统一日程"))))))</f>
        <v/>
      </c>
      <c r="E1219" s="13">
        <f>IF(C1219=Options!$B$9,Options!$C$17,0)</f>
        <v/>
      </c>
      <c r="F1219" s="13">
        <f>IF(AND(A1219&lt;&gt;"",C1219&lt;Options!$B$10),B1219*Options!$X$6,0)</f>
        <v/>
      </c>
      <c r="G1219" s="13">
        <f>F1219*12%</f>
        <v/>
      </c>
      <c r="H1219" s="13">
        <f>IF(A1219="",0,B1219*(92*IF(OR(C1219=Options!$B$9,C1219=Options!$B$10),75%,100%)-IF(C1219=DATE(2026,11,29),26+IF(Options!$B$8="是",23,0),0)-IF(C1219=DATE(2026,11,30),26,0)-IF(C1219=DATE(2026,12,1),64,0)-IF(C1219=DATE(2026,11,28),38,0)-IF(C1219=DATE(2026,12,2),26,0)))</f>
        <v/>
      </c>
      <c r="I1219" s="13">
        <f>IF(AND(C1219&gt;=DATE(2026,11,29),C1219&lt;=DATE(2026,12,1)),B1219*60,0)</f>
        <v/>
      </c>
      <c r="J1219" s="13">
        <f>IF(A1219="",0,B1219*(IF(C1219=DATE(2026,11,28),38,0)+IF(C1219=DATE(2026,12,1),38,0)+IF(C1219=DATE(2026,12,2),26,0)))</f>
        <v/>
      </c>
      <c r="K1219" s="13">
        <f>IF(C1219=Options!$B$9,B1219*12,0)</f>
        <v/>
      </c>
      <c r="L1219" s="13">
        <f>IF(C1219=Options!$B$9,B1219*Options!$Z$6,0)</f>
        <v/>
      </c>
      <c r="M1219" s="13" t="n">
        <v>0</v>
      </c>
      <c r="N1219" s="13">
        <f>SUM(E1219:M1219)</f>
        <v/>
      </c>
    </row>
    <row r="1220">
      <c r="A1220" s="5">
        <f>IF(AND(C1220&gt;=Options!$B$9,C1220&lt;=Options!$B$10),"Denver","")</f>
        <v/>
      </c>
      <c r="B1220" s="5">
        <f>IF(A1220="","",24)</f>
        <v/>
      </c>
      <c r="C1220" s="17" t="n">
        <v>46416</v>
      </c>
      <c r="D1220" s="5">
        <f>IF(A1220="","",IF(C1220=DATE(2026,11,29),"培训；注册午餐；早餐参数",IF(C1220=DATE(2026,11,30),"培训；注册午餐",IF(C1220=DATE(2026,12,1),"培训；注册午餐；机构晚餐",IF(C1220=Options!$B$9,"抵达；"&amp;IF(C1220=DATE(2026,11,28),"机构晚餐","无统一供餐"),IF(C1220=Options!$B$10,"返程；"&amp;IF(C1220=DATE(2026,12,2),"机构午餐","无统一供餐"),"差旅状态；无统一日程"))))))</f>
        <v/>
      </c>
      <c r="E1220" s="13">
        <f>IF(C1220=Options!$B$9,Options!$C$17,0)</f>
        <v/>
      </c>
      <c r="F1220" s="13">
        <f>IF(AND(A1220&lt;&gt;"",C1220&lt;Options!$B$10),B1220*Options!$X$6,0)</f>
        <v/>
      </c>
      <c r="G1220" s="13">
        <f>F1220*12%</f>
        <v/>
      </c>
      <c r="H1220" s="13">
        <f>IF(A1220="",0,B1220*(92*IF(OR(C1220=Options!$B$9,C1220=Options!$B$10),75%,100%)-IF(C1220=DATE(2026,11,29),26+IF(Options!$B$8="是",23,0),0)-IF(C1220=DATE(2026,11,30),26,0)-IF(C1220=DATE(2026,12,1),64,0)-IF(C1220=DATE(2026,11,28),38,0)-IF(C1220=DATE(2026,12,2),26,0)))</f>
        <v/>
      </c>
      <c r="I1220" s="13">
        <f>IF(AND(C1220&gt;=DATE(2026,11,29),C1220&lt;=DATE(2026,12,1)),B1220*60,0)</f>
        <v/>
      </c>
      <c r="J1220" s="13">
        <f>IF(A1220="",0,B1220*(IF(C1220=DATE(2026,11,28),38,0)+IF(C1220=DATE(2026,12,1),38,0)+IF(C1220=DATE(2026,12,2),26,0)))</f>
        <v/>
      </c>
      <c r="K1220" s="13">
        <f>IF(C1220=Options!$B$9,B1220*12,0)</f>
        <v/>
      </c>
      <c r="L1220" s="13">
        <f>IF(C1220=Options!$B$9,B1220*Options!$Z$6,0)</f>
        <v/>
      </c>
      <c r="M1220" s="13" t="n">
        <v>0</v>
      </c>
      <c r="N1220" s="13">
        <f>SUM(E1220:M1220)</f>
        <v/>
      </c>
    </row>
    <row r="1221">
      <c r="A1221" s="5">
        <f>IF(AND(C1221&gt;=Options!$B$9,C1221&lt;=Options!$B$10),"Denver","")</f>
        <v/>
      </c>
      <c r="B1221" s="5">
        <f>IF(A1221="","",24)</f>
        <v/>
      </c>
      <c r="C1221" s="17" t="n">
        <v>46417</v>
      </c>
      <c r="D1221" s="5">
        <f>IF(A1221="","",IF(C1221=DATE(2026,11,29),"培训；注册午餐；早餐参数",IF(C1221=DATE(2026,11,30),"培训；注册午餐",IF(C1221=DATE(2026,12,1),"培训；注册午餐；机构晚餐",IF(C1221=Options!$B$9,"抵达；"&amp;IF(C1221=DATE(2026,11,28),"机构晚餐","无统一供餐"),IF(C1221=Options!$B$10,"返程；"&amp;IF(C1221=DATE(2026,12,2),"机构午餐","无统一供餐"),"差旅状态；无统一日程"))))))</f>
        <v/>
      </c>
      <c r="E1221" s="13">
        <f>IF(C1221=Options!$B$9,Options!$C$17,0)</f>
        <v/>
      </c>
      <c r="F1221" s="13">
        <f>IF(AND(A1221&lt;&gt;"",C1221&lt;Options!$B$10),B1221*Options!$X$6,0)</f>
        <v/>
      </c>
      <c r="G1221" s="13">
        <f>F1221*12%</f>
        <v/>
      </c>
      <c r="H1221" s="13">
        <f>IF(A1221="",0,B1221*(92*IF(OR(C1221=Options!$B$9,C1221=Options!$B$10),75%,100%)-IF(C1221=DATE(2026,11,29),26+IF(Options!$B$8="是",23,0),0)-IF(C1221=DATE(2026,11,30),26,0)-IF(C1221=DATE(2026,12,1),64,0)-IF(C1221=DATE(2026,11,28),38,0)-IF(C1221=DATE(2026,12,2),26,0)))</f>
        <v/>
      </c>
      <c r="I1221" s="13">
        <f>IF(AND(C1221&gt;=DATE(2026,11,29),C1221&lt;=DATE(2026,12,1)),B1221*60,0)</f>
        <v/>
      </c>
      <c r="J1221" s="13">
        <f>IF(A1221="",0,B1221*(IF(C1221=DATE(2026,11,28),38,0)+IF(C1221=DATE(2026,12,1),38,0)+IF(C1221=DATE(2026,12,2),26,0)))</f>
        <v/>
      </c>
      <c r="K1221" s="13">
        <f>IF(C1221=Options!$B$9,B1221*12,0)</f>
        <v/>
      </c>
      <c r="L1221" s="13">
        <f>IF(C1221=Options!$B$9,B1221*Options!$Z$6,0)</f>
        <v/>
      </c>
      <c r="M1221" s="13" t="n">
        <v>0</v>
      </c>
      <c r="N1221" s="13">
        <f>SUM(E1221:M1221)</f>
        <v/>
      </c>
    </row>
    <row r="1222">
      <c r="A1222" s="5">
        <f>IF(AND(C1222&gt;=Options!$B$9,C1222&lt;=Options!$B$10),"Denver","")</f>
        <v/>
      </c>
      <c r="B1222" s="5">
        <f>IF(A1222="","",24)</f>
        <v/>
      </c>
      <c r="C1222" s="17" t="n">
        <v>46418</v>
      </c>
      <c r="D1222" s="5">
        <f>IF(A1222="","",IF(C1222=DATE(2026,11,29),"培训；注册午餐；早餐参数",IF(C1222=DATE(2026,11,30),"培训；注册午餐",IF(C1222=DATE(2026,12,1),"培训；注册午餐；机构晚餐",IF(C1222=Options!$B$9,"抵达；"&amp;IF(C1222=DATE(2026,11,28),"机构晚餐","无统一供餐"),IF(C1222=Options!$B$10,"返程；"&amp;IF(C1222=DATE(2026,12,2),"机构午餐","无统一供餐"),"差旅状态；无统一日程"))))))</f>
        <v/>
      </c>
      <c r="E1222" s="13">
        <f>IF(C1222=Options!$B$9,Options!$C$17,0)</f>
        <v/>
      </c>
      <c r="F1222" s="13">
        <f>IF(AND(A1222&lt;&gt;"",C1222&lt;Options!$B$10),B1222*Options!$X$6,0)</f>
        <v/>
      </c>
      <c r="G1222" s="13">
        <f>F1222*12%</f>
        <v/>
      </c>
      <c r="H1222" s="13">
        <f>IF(A1222="",0,B1222*(92*IF(OR(C1222=Options!$B$9,C1222=Options!$B$10),75%,100%)-IF(C1222=DATE(2026,11,29),26+IF(Options!$B$8="是",23,0),0)-IF(C1222=DATE(2026,11,30),26,0)-IF(C1222=DATE(2026,12,1),64,0)-IF(C1222=DATE(2026,11,28),38,0)-IF(C1222=DATE(2026,12,2),26,0)))</f>
        <v/>
      </c>
      <c r="I1222" s="13">
        <f>IF(AND(C1222&gt;=DATE(2026,11,29),C1222&lt;=DATE(2026,12,1)),B1222*60,0)</f>
        <v/>
      </c>
      <c r="J1222" s="13">
        <f>IF(A1222="",0,B1222*(IF(C1222=DATE(2026,11,28),38,0)+IF(C1222=DATE(2026,12,1),38,0)+IF(C1222=DATE(2026,12,2),26,0)))</f>
        <v/>
      </c>
      <c r="K1222" s="13">
        <f>IF(C1222=Options!$B$9,B1222*12,0)</f>
        <v/>
      </c>
      <c r="L1222" s="13">
        <f>IF(C1222=Options!$B$9,B1222*Options!$Z$6,0)</f>
        <v/>
      </c>
      <c r="M1222" s="13" t="n">
        <v>0</v>
      </c>
      <c r="N1222" s="13">
        <f>SUM(E1222:M1222)</f>
        <v/>
      </c>
    </row>
    <row r="1223">
      <c r="A1223" s="5">
        <f>IF(AND(C1223&gt;=Options!$B$9,C1223&lt;=Options!$B$10),"Denver","")</f>
        <v/>
      </c>
      <c r="B1223" s="5">
        <f>IF(A1223="","",24)</f>
        <v/>
      </c>
      <c r="C1223" s="17" t="n">
        <v>46419</v>
      </c>
      <c r="D1223" s="5">
        <f>IF(A1223="","",IF(C1223=DATE(2026,11,29),"培训；注册午餐；早餐参数",IF(C1223=DATE(2026,11,30),"培训；注册午餐",IF(C1223=DATE(2026,12,1),"培训；注册午餐；机构晚餐",IF(C1223=Options!$B$9,"抵达；"&amp;IF(C1223=DATE(2026,11,28),"机构晚餐","无统一供餐"),IF(C1223=Options!$B$10,"返程；"&amp;IF(C1223=DATE(2026,12,2),"机构午餐","无统一供餐"),"差旅状态；无统一日程"))))))</f>
        <v/>
      </c>
      <c r="E1223" s="13">
        <f>IF(C1223=Options!$B$9,Options!$C$17,0)</f>
        <v/>
      </c>
      <c r="F1223" s="13">
        <f>IF(AND(A1223&lt;&gt;"",C1223&lt;Options!$B$10),B1223*Options!$X$6,0)</f>
        <v/>
      </c>
      <c r="G1223" s="13">
        <f>F1223*12%</f>
        <v/>
      </c>
      <c r="H1223" s="13">
        <f>IF(A1223="",0,B1223*(92*IF(OR(C1223=Options!$B$9,C1223=Options!$B$10),75%,100%)-IF(C1223=DATE(2026,11,29),26+IF(Options!$B$8="是",23,0),0)-IF(C1223=DATE(2026,11,30),26,0)-IF(C1223=DATE(2026,12,1),64,0)-IF(C1223=DATE(2026,11,28),38,0)-IF(C1223=DATE(2026,12,2),26,0)))</f>
        <v/>
      </c>
      <c r="I1223" s="13">
        <f>IF(AND(C1223&gt;=DATE(2026,11,29),C1223&lt;=DATE(2026,12,1)),B1223*60,0)</f>
        <v/>
      </c>
      <c r="J1223" s="13">
        <f>IF(A1223="",0,B1223*(IF(C1223=DATE(2026,11,28),38,0)+IF(C1223=DATE(2026,12,1),38,0)+IF(C1223=DATE(2026,12,2),26,0)))</f>
        <v/>
      </c>
      <c r="K1223" s="13">
        <f>IF(C1223=Options!$B$9,B1223*12,0)</f>
        <v/>
      </c>
      <c r="L1223" s="13">
        <f>IF(C1223=Options!$B$9,B1223*Options!$Z$6,0)</f>
        <v/>
      </c>
      <c r="M1223" s="13" t="n">
        <v>0</v>
      </c>
      <c r="N1223" s="13">
        <f>SUM(E1223:M1223)</f>
        <v/>
      </c>
    </row>
    <row r="1224">
      <c r="A1224" s="5">
        <f>IF(AND(C1224&gt;=Options!$B$9,C1224&lt;=Options!$B$10),"Denver","")</f>
        <v/>
      </c>
      <c r="B1224" s="5">
        <f>IF(A1224="","",24)</f>
        <v/>
      </c>
      <c r="C1224" s="17" t="n">
        <v>46420</v>
      </c>
      <c r="D1224" s="5">
        <f>IF(A1224="","",IF(C1224=DATE(2026,11,29),"培训；注册午餐；早餐参数",IF(C1224=DATE(2026,11,30),"培训；注册午餐",IF(C1224=DATE(2026,12,1),"培训；注册午餐；机构晚餐",IF(C1224=Options!$B$9,"抵达；"&amp;IF(C1224=DATE(2026,11,28),"机构晚餐","无统一供餐"),IF(C1224=Options!$B$10,"返程；"&amp;IF(C1224=DATE(2026,12,2),"机构午餐","无统一供餐"),"差旅状态；无统一日程"))))))</f>
        <v/>
      </c>
      <c r="E1224" s="13">
        <f>IF(C1224=Options!$B$9,Options!$C$17,0)</f>
        <v/>
      </c>
      <c r="F1224" s="13">
        <f>IF(AND(A1224&lt;&gt;"",C1224&lt;Options!$B$10),B1224*Options!$X$6,0)</f>
        <v/>
      </c>
      <c r="G1224" s="13">
        <f>F1224*12%</f>
        <v/>
      </c>
      <c r="H1224" s="13">
        <f>IF(A1224="",0,B1224*(92*IF(OR(C1224=Options!$B$9,C1224=Options!$B$10),75%,100%)-IF(C1224=DATE(2026,11,29),26+IF(Options!$B$8="是",23,0),0)-IF(C1224=DATE(2026,11,30),26,0)-IF(C1224=DATE(2026,12,1),64,0)-IF(C1224=DATE(2026,11,28),38,0)-IF(C1224=DATE(2026,12,2),26,0)))</f>
        <v/>
      </c>
      <c r="I1224" s="13">
        <f>IF(AND(C1224&gt;=DATE(2026,11,29),C1224&lt;=DATE(2026,12,1)),B1224*60,0)</f>
        <v/>
      </c>
      <c r="J1224" s="13">
        <f>IF(A1224="",0,B1224*(IF(C1224=DATE(2026,11,28),38,0)+IF(C1224=DATE(2026,12,1),38,0)+IF(C1224=DATE(2026,12,2),26,0)))</f>
        <v/>
      </c>
      <c r="K1224" s="13">
        <f>IF(C1224=Options!$B$9,B1224*12,0)</f>
        <v/>
      </c>
      <c r="L1224" s="13">
        <f>IF(C1224=Options!$B$9,B1224*Options!$Z$6,0)</f>
        <v/>
      </c>
      <c r="M1224" s="13" t="n">
        <v>0</v>
      </c>
      <c r="N1224" s="13">
        <f>SUM(E1224:M1224)</f>
        <v/>
      </c>
    </row>
    <row r="1225">
      <c r="A1225" s="5">
        <f>IF(AND(C1225&gt;=Options!$B$9,C1225&lt;=Options!$B$10),"Denver","")</f>
        <v/>
      </c>
      <c r="B1225" s="5">
        <f>IF(A1225="","",24)</f>
        <v/>
      </c>
      <c r="C1225" s="17" t="n">
        <v>46421</v>
      </c>
      <c r="D1225" s="5">
        <f>IF(A1225="","",IF(C1225=DATE(2026,11,29),"培训；注册午餐；早餐参数",IF(C1225=DATE(2026,11,30),"培训；注册午餐",IF(C1225=DATE(2026,12,1),"培训；注册午餐；机构晚餐",IF(C1225=Options!$B$9,"抵达；"&amp;IF(C1225=DATE(2026,11,28),"机构晚餐","无统一供餐"),IF(C1225=Options!$B$10,"返程；"&amp;IF(C1225=DATE(2026,12,2),"机构午餐","无统一供餐"),"差旅状态；无统一日程"))))))</f>
        <v/>
      </c>
      <c r="E1225" s="13">
        <f>IF(C1225=Options!$B$9,Options!$C$17,0)</f>
        <v/>
      </c>
      <c r="F1225" s="13">
        <f>IF(AND(A1225&lt;&gt;"",C1225&lt;Options!$B$10),B1225*Options!$X$6,0)</f>
        <v/>
      </c>
      <c r="G1225" s="13">
        <f>F1225*12%</f>
        <v/>
      </c>
      <c r="H1225" s="13">
        <f>IF(A1225="",0,B1225*(92*IF(OR(C1225=Options!$B$9,C1225=Options!$B$10),75%,100%)-IF(C1225=DATE(2026,11,29),26+IF(Options!$B$8="是",23,0),0)-IF(C1225=DATE(2026,11,30),26,0)-IF(C1225=DATE(2026,12,1),64,0)-IF(C1225=DATE(2026,11,28),38,0)-IF(C1225=DATE(2026,12,2),26,0)))</f>
        <v/>
      </c>
      <c r="I1225" s="13">
        <f>IF(AND(C1225&gt;=DATE(2026,11,29),C1225&lt;=DATE(2026,12,1)),B1225*60,0)</f>
        <v/>
      </c>
      <c r="J1225" s="13">
        <f>IF(A1225="",0,B1225*(IF(C1225=DATE(2026,11,28),38,0)+IF(C1225=DATE(2026,12,1),38,0)+IF(C1225=DATE(2026,12,2),26,0)))</f>
        <v/>
      </c>
      <c r="K1225" s="13">
        <f>IF(C1225=Options!$B$9,B1225*12,0)</f>
        <v/>
      </c>
      <c r="L1225" s="13">
        <f>IF(C1225=Options!$B$9,B1225*Options!$Z$6,0)</f>
        <v/>
      </c>
      <c r="M1225" s="13" t="n">
        <v>0</v>
      </c>
      <c r="N1225" s="13">
        <f>SUM(E1225:M1225)</f>
        <v/>
      </c>
    </row>
    <row r="1226">
      <c r="A1226" s="5">
        <f>IF(AND(C1226&gt;=Options!$B$9,C1226&lt;=Options!$B$10),"Denver","")</f>
        <v/>
      </c>
      <c r="B1226" s="5">
        <f>IF(A1226="","",24)</f>
        <v/>
      </c>
      <c r="C1226" s="17" t="n">
        <v>46422</v>
      </c>
      <c r="D1226" s="5">
        <f>IF(A1226="","",IF(C1226=DATE(2026,11,29),"培训；注册午餐；早餐参数",IF(C1226=DATE(2026,11,30),"培训；注册午餐",IF(C1226=DATE(2026,12,1),"培训；注册午餐；机构晚餐",IF(C1226=Options!$B$9,"抵达；"&amp;IF(C1226=DATE(2026,11,28),"机构晚餐","无统一供餐"),IF(C1226=Options!$B$10,"返程；"&amp;IF(C1226=DATE(2026,12,2),"机构午餐","无统一供餐"),"差旅状态；无统一日程"))))))</f>
        <v/>
      </c>
      <c r="E1226" s="13">
        <f>IF(C1226=Options!$B$9,Options!$C$17,0)</f>
        <v/>
      </c>
      <c r="F1226" s="13">
        <f>IF(AND(A1226&lt;&gt;"",C1226&lt;Options!$B$10),B1226*Options!$X$6,0)</f>
        <v/>
      </c>
      <c r="G1226" s="13">
        <f>F1226*12%</f>
        <v/>
      </c>
      <c r="H1226" s="13">
        <f>IF(A1226="",0,B1226*(92*IF(OR(C1226=Options!$B$9,C1226=Options!$B$10),75%,100%)-IF(C1226=DATE(2026,11,29),26+IF(Options!$B$8="是",23,0),0)-IF(C1226=DATE(2026,11,30),26,0)-IF(C1226=DATE(2026,12,1),64,0)-IF(C1226=DATE(2026,11,28),38,0)-IF(C1226=DATE(2026,12,2),26,0)))</f>
        <v/>
      </c>
      <c r="I1226" s="13">
        <f>IF(AND(C1226&gt;=DATE(2026,11,29),C1226&lt;=DATE(2026,12,1)),B1226*60,0)</f>
        <v/>
      </c>
      <c r="J1226" s="13">
        <f>IF(A1226="",0,B1226*(IF(C1226=DATE(2026,11,28),38,0)+IF(C1226=DATE(2026,12,1),38,0)+IF(C1226=DATE(2026,12,2),26,0)))</f>
        <v/>
      </c>
      <c r="K1226" s="13">
        <f>IF(C1226=Options!$B$9,B1226*12,0)</f>
        <v/>
      </c>
      <c r="L1226" s="13">
        <f>IF(C1226=Options!$B$9,B1226*Options!$Z$6,0)</f>
        <v/>
      </c>
      <c r="M1226" s="13" t="n">
        <v>0</v>
      </c>
      <c r="N1226" s="13">
        <f>SUM(E1226:M1226)</f>
        <v/>
      </c>
    </row>
    <row r="1227">
      <c r="A1227" s="5">
        <f>IF(AND(C1227&gt;=Options!$B$9,C1227&lt;=Options!$B$10),"Denver","")</f>
        <v/>
      </c>
      <c r="B1227" s="5">
        <f>IF(A1227="","",24)</f>
        <v/>
      </c>
      <c r="C1227" s="17" t="n">
        <v>46423</v>
      </c>
      <c r="D1227" s="5">
        <f>IF(A1227="","",IF(C1227=DATE(2026,11,29),"培训；注册午餐；早餐参数",IF(C1227=DATE(2026,11,30),"培训；注册午餐",IF(C1227=DATE(2026,12,1),"培训；注册午餐；机构晚餐",IF(C1227=Options!$B$9,"抵达；"&amp;IF(C1227=DATE(2026,11,28),"机构晚餐","无统一供餐"),IF(C1227=Options!$B$10,"返程；"&amp;IF(C1227=DATE(2026,12,2),"机构午餐","无统一供餐"),"差旅状态；无统一日程"))))))</f>
        <v/>
      </c>
      <c r="E1227" s="13">
        <f>IF(C1227=Options!$B$9,Options!$C$17,0)</f>
        <v/>
      </c>
      <c r="F1227" s="13">
        <f>IF(AND(A1227&lt;&gt;"",C1227&lt;Options!$B$10),B1227*Options!$X$6,0)</f>
        <v/>
      </c>
      <c r="G1227" s="13">
        <f>F1227*12%</f>
        <v/>
      </c>
      <c r="H1227" s="13">
        <f>IF(A1227="",0,B1227*(92*IF(OR(C1227=Options!$B$9,C1227=Options!$B$10),75%,100%)-IF(C1227=DATE(2026,11,29),26+IF(Options!$B$8="是",23,0),0)-IF(C1227=DATE(2026,11,30),26,0)-IF(C1227=DATE(2026,12,1),64,0)-IF(C1227=DATE(2026,11,28),38,0)-IF(C1227=DATE(2026,12,2),26,0)))</f>
        <v/>
      </c>
      <c r="I1227" s="13">
        <f>IF(AND(C1227&gt;=DATE(2026,11,29),C1227&lt;=DATE(2026,12,1)),B1227*60,0)</f>
        <v/>
      </c>
      <c r="J1227" s="13">
        <f>IF(A1227="",0,B1227*(IF(C1227=DATE(2026,11,28),38,0)+IF(C1227=DATE(2026,12,1),38,0)+IF(C1227=DATE(2026,12,2),26,0)))</f>
        <v/>
      </c>
      <c r="K1227" s="13">
        <f>IF(C1227=Options!$B$9,B1227*12,0)</f>
        <v/>
      </c>
      <c r="L1227" s="13">
        <f>IF(C1227=Options!$B$9,B1227*Options!$Z$6,0)</f>
        <v/>
      </c>
      <c r="M1227" s="13" t="n">
        <v>0</v>
      </c>
      <c r="N1227" s="13">
        <f>SUM(E1227:M1227)</f>
        <v/>
      </c>
    </row>
    <row r="1228">
      <c r="A1228" s="5">
        <f>IF(AND(C1228&gt;=Options!$B$9,C1228&lt;=Options!$B$10),"Denver","")</f>
        <v/>
      </c>
      <c r="B1228" s="5">
        <f>IF(A1228="","",24)</f>
        <v/>
      </c>
      <c r="C1228" s="17" t="n">
        <v>46424</v>
      </c>
      <c r="D1228" s="5">
        <f>IF(A1228="","",IF(C1228=DATE(2026,11,29),"培训；注册午餐；早餐参数",IF(C1228=DATE(2026,11,30),"培训；注册午餐",IF(C1228=DATE(2026,12,1),"培训；注册午餐；机构晚餐",IF(C1228=Options!$B$9,"抵达；"&amp;IF(C1228=DATE(2026,11,28),"机构晚餐","无统一供餐"),IF(C1228=Options!$B$10,"返程；"&amp;IF(C1228=DATE(2026,12,2),"机构午餐","无统一供餐"),"差旅状态；无统一日程"))))))</f>
        <v/>
      </c>
      <c r="E1228" s="13">
        <f>IF(C1228=Options!$B$9,Options!$C$17,0)</f>
        <v/>
      </c>
      <c r="F1228" s="13">
        <f>IF(AND(A1228&lt;&gt;"",C1228&lt;Options!$B$10),B1228*Options!$X$6,0)</f>
        <v/>
      </c>
      <c r="G1228" s="13">
        <f>F1228*12%</f>
        <v/>
      </c>
      <c r="H1228" s="13">
        <f>IF(A1228="",0,B1228*(92*IF(OR(C1228=Options!$B$9,C1228=Options!$B$10),75%,100%)-IF(C1228=DATE(2026,11,29),26+IF(Options!$B$8="是",23,0),0)-IF(C1228=DATE(2026,11,30),26,0)-IF(C1228=DATE(2026,12,1),64,0)-IF(C1228=DATE(2026,11,28),38,0)-IF(C1228=DATE(2026,12,2),26,0)))</f>
        <v/>
      </c>
      <c r="I1228" s="13">
        <f>IF(AND(C1228&gt;=DATE(2026,11,29),C1228&lt;=DATE(2026,12,1)),B1228*60,0)</f>
        <v/>
      </c>
      <c r="J1228" s="13">
        <f>IF(A1228="",0,B1228*(IF(C1228=DATE(2026,11,28),38,0)+IF(C1228=DATE(2026,12,1),38,0)+IF(C1228=DATE(2026,12,2),26,0)))</f>
        <v/>
      </c>
      <c r="K1228" s="13">
        <f>IF(C1228=Options!$B$9,B1228*12,0)</f>
        <v/>
      </c>
      <c r="L1228" s="13">
        <f>IF(C1228=Options!$B$9,B1228*Options!$Z$6,0)</f>
        <v/>
      </c>
      <c r="M1228" s="13" t="n">
        <v>0</v>
      </c>
      <c r="N1228" s="13">
        <f>SUM(E1228:M1228)</f>
        <v/>
      </c>
    </row>
    <row r="1229">
      <c r="A1229" s="5">
        <f>IF(AND(C1229&gt;=Options!$B$9,C1229&lt;=Options!$B$10),"Denver","")</f>
        <v/>
      </c>
      <c r="B1229" s="5">
        <f>IF(A1229="","",24)</f>
        <v/>
      </c>
      <c r="C1229" s="17" t="n">
        <v>46425</v>
      </c>
      <c r="D1229" s="5">
        <f>IF(A1229="","",IF(C1229=DATE(2026,11,29),"培训；注册午餐；早餐参数",IF(C1229=DATE(2026,11,30),"培训；注册午餐",IF(C1229=DATE(2026,12,1),"培训；注册午餐；机构晚餐",IF(C1229=Options!$B$9,"抵达；"&amp;IF(C1229=DATE(2026,11,28),"机构晚餐","无统一供餐"),IF(C1229=Options!$B$10,"返程；"&amp;IF(C1229=DATE(2026,12,2),"机构午餐","无统一供餐"),"差旅状态；无统一日程"))))))</f>
        <v/>
      </c>
      <c r="E1229" s="13">
        <f>IF(C1229=Options!$B$9,Options!$C$17,0)</f>
        <v/>
      </c>
      <c r="F1229" s="13">
        <f>IF(AND(A1229&lt;&gt;"",C1229&lt;Options!$B$10),B1229*Options!$X$6,0)</f>
        <v/>
      </c>
      <c r="G1229" s="13">
        <f>F1229*12%</f>
        <v/>
      </c>
      <c r="H1229" s="13">
        <f>IF(A1229="",0,B1229*(92*IF(OR(C1229=Options!$B$9,C1229=Options!$B$10),75%,100%)-IF(C1229=DATE(2026,11,29),26+IF(Options!$B$8="是",23,0),0)-IF(C1229=DATE(2026,11,30),26,0)-IF(C1229=DATE(2026,12,1),64,0)-IF(C1229=DATE(2026,11,28),38,0)-IF(C1229=DATE(2026,12,2),26,0)))</f>
        <v/>
      </c>
      <c r="I1229" s="13">
        <f>IF(AND(C1229&gt;=DATE(2026,11,29),C1229&lt;=DATE(2026,12,1)),B1229*60,0)</f>
        <v/>
      </c>
      <c r="J1229" s="13">
        <f>IF(A1229="",0,B1229*(IF(C1229=DATE(2026,11,28),38,0)+IF(C1229=DATE(2026,12,1),38,0)+IF(C1229=DATE(2026,12,2),26,0)))</f>
        <v/>
      </c>
      <c r="K1229" s="13">
        <f>IF(C1229=Options!$B$9,B1229*12,0)</f>
        <v/>
      </c>
      <c r="L1229" s="13">
        <f>IF(C1229=Options!$B$9,B1229*Options!$Z$6,0)</f>
        <v/>
      </c>
      <c r="M1229" s="13" t="n">
        <v>0</v>
      </c>
      <c r="N1229" s="13">
        <f>SUM(E1229:M1229)</f>
        <v/>
      </c>
    </row>
    <row r="1230">
      <c r="A1230" s="5">
        <f>IF(AND(C1230&gt;=Options!$B$9,C1230&lt;=Options!$B$10),"Denver","")</f>
        <v/>
      </c>
      <c r="B1230" s="5">
        <f>IF(A1230="","",24)</f>
        <v/>
      </c>
      <c r="C1230" s="17" t="n">
        <v>46426</v>
      </c>
      <c r="D1230" s="5">
        <f>IF(A1230="","",IF(C1230=DATE(2026,11,29),"培训；注册午餐；早餐参数",IF(C1230=DATE(2026,11,30),"培训；注册午餐",IF(C1230=DATE(2026,12,1),"培训；注册午餐；机构晚餐",IF(C1230=Options!$B$9,"抵达；"&amp;IF(C1230=DATE(2026,11,28),"机构晚餐","无统一供餐"),IF(C1230=Options!$B$10,"返程；"&amp;IF(C1230=DATE(2026,12,2),"机构午餐","无统一供餐"),"差旅状态；无统一日程"))))))</f>
        <v/>
      </c>
      <c r="E1230" s="13">
        <f>IF(C1230=Options!$B$9,Options!$C$17,0)</f>
        <v/>
      </c>
      <c r="F1230" s="13">
        <f>IF(AND(A1230&lt;&gt;"",C1230&lt;Options!$B$10),B1230*Options!$X$6,0)</f>
        <v/>
      </c>
      <c r="G1230" s="13">
        <f>F1230*12%</f>
        <v/>
      </c>
      <c r="H1230" s="13">
        <f>IF(A1230="",0,B1230*(92*IF(OR(C1230=Options!$B$9,C1230=Options!$B$10),75%,100%)-IF(C1230=DATE(2026,11,29),26+IF(Options!$B$8="是",23,0),0)-IF(C1230=DATE(2026,11,30),26,0)-IF(C1230=DATE(2026,12,1),64,0)-IF(C1230=DATE(2026,11,28),38,0)-IF(C1230=DATE(2026,12,2),26,0)))</f>
        <v/>
      </c>
      <c r="I1230" s="13">
        <f>IF(AND(C1230&gt;=DATE(2026,11,29),C1230&lt;=DATE(2026,12,1)),B1230*60,0)</f>
        <v/>
      </c>
      <c r="J1230" s="13">
        <f>IF(A1230="",0,B1230*(IF(C1230=DATE(2026,11,28),38,0)+IF(C1230=DATE(2026,12,1),38,0)+IF(C1230=DATE(2026,12,2),26,0)))</f>
        <v/>
      </c>
      <c r="K1230" s="13">
        <f>IF(C1230=Options!$B$9,B1230*12,0)</f>
        <v/>
      </c>
      <c r="L1230" s="13">
        <f>IF(C1230=Options!$B$9,B1230*Options!$Z$6,0)</f>
        <v/>
      </c>
      <c r="M1230" s="13" t="n">
        <v>0</v>
      </c>
      <c r="N1230" s="13">
        <f>SUM(E1230:M1230)</f>
        <v/>
      </c>
    </row>
    <row r="1231">
      <c r="A1231" s="5">
        <f>IF(AND(C1231&gt;=Options!$B$9,C1231&lt;=Options!$B$10),"Denver","")</f>
        <v/>
      </c>
      <c r="B1231" s="5">
        <f>IF(A1231="","",24)</f>
        <v/>
      </c>
      <c r="C1231" s="17" t="n">
        <v>46427</v>
      </c>
      <c r="D1231" s="5">
        <f>IF(A1231="","",IF(C1231=DATE(2026,11,29),"培训；注册午餐；早餐参数",IF(C1231=DATE(2026,11,30),"培训；注册午餐",IF(C1231=DATE(2026,12,1),"培训；注册午餐；机构晚餐",IF(C1231=Options!$B$9,"抵达；"&amp;IF(C1231=DATE(2026,11,28),"机构晚餐","无统一供餐"),IF(C1231=Options!$B$10,"返程；"&amp;IF(C1231=DATE(2026,12,2),"机构午餐","无统一供餐"),"差旅状态；无统一日程"))))))</f>
        <v/>
      </c>
      <c r="E1231" s="13">
        <f>IF(C1231=Options!$B$9,Options!$C$17,0)</f>
        <v/>
      </c>
      <c r="F1231" s="13">
        <f>IF(AND(A1231&lt;&gt;"",C1231&lt;Options!$B$10),B1231*Options!$X$6,0)</f>
        <v/>
      </c>
      <c r="G1231" s="13">
        <f>F1231*12%</f>
        <v/>
      </c>
      <c r="H1231" s="13">
        <f>IF(A1231="",0,B1231*(92*IF(OR(C1231=Options!$B$9,C1231=Options!$B$10),75%,100%)-IF(C1231=DATE(2026,11,29),26+IF(Options!$B$8="是",23,0),0)-IF(C1231=DATE(2026,11,30),26,0)-IF(C1231=DATE(2026,12,1),64,0)-IF(C1231=DATE(2026,11,28),38,0)-IF(C1231=DATE(2026,12,2),26,0)))</f>
        <v/>
      </c>
      <c r="I1231" s="13">
        <f>IF(AND(C1231&gt;=DATE(2026,11,29),C1231&lt;=DATE(2026,12,1)),B1231*60,0)</f>
        <v/>
      </c>
      <c r="J1231" s="13">
        <f>IF(A1231="",0,B1231*(IF(C1231=DATE(2026,11,28),38,0)+IF(C1231=DATE(2026,12,1),38,0)+IF(C1231=DATE(2026,12,2),26,0)))</f>
        <v/>
      </c>
      <c r="K1231" s="13">
        <f>IF(C1231=Options!$B$9,B1231*12,0)</f>
        <v/>
      </c>
      <c r="L1231" s="13">
        <f>IF(C1231=Options!$B$9,B1231*Options!$Z$6,0)</f>
        <v/>
      </c>
      <c r="M1231" s="13" t="n">
        <v>0</v>
      </c>
      <c r="N1231" s="13">
        <f>SUM(E1231:M1231)</f>
        <v/>
      </c>
    </row>
    <row r="1232">
      <c r="A1232" s="5">
        <f>IF(AND(C1232&gt;=Options!$B$9,C1232&lt;=Options!$B$10),"Denver","")</f>
        <v/>
      </c>
      <c r="B1232" s="5">
        <f>IF(A1232="","",24)</f>
        <v/>
      </c>
      <c r="C1232" s="17" t="n">
        <v>46428</v>
      </c>
      <c r="D1232" s="5">
        <f>IF(A1232="","",IF(C1232=DATE(2026,11,29),"培训；注册午餐；早餐参数",IF(C1232=DATE(2026,11,30),"培训；注册午餐",IF(C1232=DATE(2026,12,1),"培训；注册午餐；机构晚餐",IF(C1232=Options!$B$9,"抵达；"&amp;IF(C1232=DATE(2026,11,28),"机构晚餐","无统一供餐"),IF(C1232=Options!$B$10,"返程；"&amp;IF(C1232=DATE(2026,12,2),"机构午餐","无统一供餐"),"差旅状态；无统一日程"))))))</f>
        <v/>
      </c>
      <c r="E1232" s="13">
        <f>IF(C1232=Options!$B$9,Options!$C$17,0)</f>
        <v/>
      </c>
      <c r="F1232" s="13">
        <f>IF(AND(A1232&lt;&gt;"",C1232&lt;Options!$B$10),B1232*Options!$X$6,0)</f>
        <v/>
      </c>
      <c r="G1232" s="13">
        <f>F1232*12%</f>
        <v/>
      </c>
      <c r="H1232" s="13">
        <f>IF(A1232="",0,B1232*(92*IF(OR(C1232=Options!$B$9,C1232=Options!$B$10),75%,100%)-IF(C1232=DATE(2026,11,29),26+IF(Options!$B$8="是",23,0),0)-IF(C1232=DATE(2026,11,30),26,0)-IF(C1232=DATE(2026,12,1),64,0)-IF(C1232=DATE(2026,11,28),38,0)-IF(C1232=DATE(2026,12,2),26,0)))</f>
        <v/>
      </c>
      <c r="I1232" s="13">
        <f>IF(AND(C1232&gt;=DATE(2026,11,29),C1232&lt;=DATE(2026,12,1)),B1232*60,0)</f>
        <v/>
      </c>
      <c r="J1232" s="13">
        <f>IF(A1232="",0,B1232*(IF(C1232=DATE(2026,11,28),38,0)+IF(C1232=DATE(2026,12,1),38,0)+IF(C1232=DATE(2026,12,2),26,0)))</f>
        <v/>
      </c>
      <c r="K1232" s="13">
        <f>IF(C1232=Options!$B$9,B1232*12,0)</f>
        <v/>
      </c>
      <c r="L1232" s="13">
        <f>IF(C1232=Options!$B$9,B1232*Options!$Z$6,0)</f>
        <v/>
      </c>
      <c r="M1232" s="13" t="n">
        <v>0</v>
      </c>
      <c r="N1232" s="13">
        <f>SUM(E1232:M1232)</f>
        <v/>
      </c>
    </row>
    <row r="1233">
      <c r="A1233" s="5">
        <f>IF(AND(C1233&gt;=Options!$B$9,C1233&lt;=Options!$B$10),"Denver","")</f>
        <v/>
      </c>
      <c r="B1233" s="5">
        <f>IF(A1233="","",24)</f>
        <v/>
      </c>
      <c r="C1233" s="17" t="n">
        <v>46429</v>
      </c>
      <c r="D1233" s="5">
        <f>IF(A1233="","",IF(C1233=DATE(2026,11,29),"培训；注册午餐；早餐参数",IF(C1233=DATE(2026,11,30),"培训；注册午餐",IF(C1233=DATE(2026,12,1),"培训；注册午餐；机构晚餐",IF(C1233=Options!$B$9,"抵达；"&amp;IF(C1233=DATE(2026,11,28),"机构晚餐","无统一供餐"),IF(C1233=Options!$B$10,"返程；"&amp;IF(C1233=DATE(2026,12,2),"机构午餐","无统一供餐"),"差旅状态；无统一日程"))))))</f>
        <v/>
      </c>
      <c r="E1233" s="13">
        <f>IF(C1233=Options!$B$9,Options!$C$17,0)</f>
        <v/>
      </c>
      <c r="F1233" s="13">
        <f>IF(AND(A1233&lt;&gt;"",C1233&lt;Options!$B$10),B1233*Options!$X$6,0)</f>
        <v/>
      </c>
      <c r="G1233" s="13">
        <f>F1233*12%</f>
        <v/>
      </c>
      <c r="H1233" s="13">
        <f>IF(A1233="",0,B1233*(92*IF(OR(C1233=Options!$B$9,C1233=Options!$B$10),75%,100%)-IF(C1233=DATE(2026,11,29),26+IF(Options!$B$8="是",23,0),0)-IF(C1233=DATE(2026,11,30),26,0)-IF(C1233=DATE(2026,12,1),64,0)-IF(C1233=DATE(2026,11,28),38,0)-IF(C1233=DATE(2026,12,2),26,0)))</f>
        <v/>
      </c>
      <c r="I1233" s="13">
        <f>IF(AND(C1233&gt;=DATE(2026,11,29),C1233&lt;=DATE(2026,12,1)),B1233*60,0)</f>
        <v/>
      </c>
      <c r="J1233" s="13">
        <f>IF(A1233="",0,B1233*(IF(C1233=DATE(2026,11,28),38,0)+IF(C1233=DATE(2026,12,1),38,0)+IF(C1233=DATE(2026,12,2),26,0)))</f>
        <v/>
      </c>
      <c r="K1233" s="13">
        <f>IF(C1233=Options!$B$9,B1233*12,0)</f>
        <v/>
      </c>
      <c r="L1233" s="13">
        <f>IF(C1233=Options!$B$9,B1233*Options!$Z$6,0)</f>
        <v/>
      </c>
      <c r="M1233" s="13" t="n">
        <v>0</v>
      </c>
      <c r="N1233" s="13">
        <f>SUM(E1233:M1233)</f>
        <v/>
      </c>
    </row>
    <row r="1234">
      <c r="A1234" s="5">
        <f>IF(AND(C1234&gt;=Options!$B$9,C1234&lt;=Options!$B$10),"Denver","")</f>
        <v/>
      </c>
      <c r="B1234" s="5">
        <f>IF(A1234="","",24)</f>
        <v/>
      </c>
      <c r="C1234" s="17" t="n">
        <v>46430</v>
      </c>
      <c r="D1234" s="5">
        <f>IF(A1234="","",IF(C1234=DATE(2026,11,29),"培训；注册午餐；早餐参数",IF(C1234=DATE(2026,11,30),"培训；注册午餐",IF(C1234=DATE(2026,12,1),"培训；注册午餐；机构晚餐",IF(C1234=Options!$B$9,"抵达；"&amp;IF(C1234=DATE(2026,11,28),"机构晚餐","无统一供餐"),IF(C1234=Options!$B$10,"返程；"&amp;IF(C1234=DATE(2026,12,2),"机构午餐","无统一供餐"),"差旅状态；无统一日程"))))))</f>
        <v/>
      </c>
      <c r="E1234" s="13">
        <f>IF(C1234=Options!$B$9,Options!$C$17,0)</f>
        <v/>
      </c>
      <c r="F1234" s="13">
        <f>IF(AND(A1234&lt;&gt;"",C1234&lt;Options!$B$10),B1234*Options!$X$6,0)</f>
        <v/>
      </c>
      <c r="G1234" s="13">
        <f>F1234*12%</f>
        <v/>
      </c>
      <c r="H1234" s="13">
        <f>IF(A1234="",0,B1234*(92*IF(OR(C1234=Options!$B$9,C1234=Options!$B$10),75%,100%)-IF(C1234=DATE(2026,11,29),26+IF(Options!$B$8="是",23,0),0)-IF(C1234=DATE(2026,11,30),26,0)-IF(C1234=DATE(2026,12,1),64,0)-IF(C1234=DATE(2026,11,28),38,0)-IF(C1234=DATE(2026,12,2),26,0)))</f>
        <v/>
      </c>
      <c r="I1234" s="13">
        <f>IF(AND(C1234&gt;=DATE(2026,11,29),C1234&lt;=DATE(2026,12,1)),B1234*60,0)</f>
        <v/>
      </c>
      <c r="J1234" s="13">
        <f>IF(A1234="",0,B1234*(IF(C1234=DATE(2026,11,28),38,0)+IF(C1234=DATE(2026,12,1),38,0)+IF(C1234=DATE(2026,12,2),26,0)))</f>
        <v/>
      </c>
      <c r="K1234" s="13">
        <f>IF(C1234=Options!$B$9,B1234*12,0)</f>
        <v/>
      </c>
      <c r="L1234" s="13">
        <f>IF(C1234=Options!$B$9,B1234*Options!$Z$6,0)</f>
        <v/>
      </c>
      <c r="M1234" s="13" t="n">
        <v>0</v>
      </c>
      <c r="N1234" s="13">
        <f>SUM(E1234:M1234)</f>
        <v/>
      </c>
    </row>
    <row r="1235">
      <c r="A1235" s="5">
        <f>IF(AND(C1235&gt;=Options!$B$9,C1235&lt;=Options!$B$10),"Denver","")</f>
        <v/>
      </c>
      <c r="B1235" s="5">
        <f>IF(A1235="","",24)</f>
        <v/>
      </c>
      <c r="C1235" s="17" t="n">
        <v>46431</v>
      </c>
      <c r="D1235" s="5">
        <f>IF(A1235="","",IF(C1235=DATE(2026,11,29),"培训；注册午餐；早餐参数",IF(C1235=DATE(2026,11,30),"培训；注册午餐",IF(C1235=DATE(2026,12,1),"培训；注册午餐；机构晚餐",IF(C1235=Options!$B$9,"抵达；"&amp;IF(C1235=DATE(2026,11,28),"机构晚餐","无统一供餐"),IF(C1235=Options!$B$10,"返程；"&amp;IF(C1235=DATE(2026,12,2),"机构午餐","无统一供餐"),"差旅状态；无统一日程"))))))</f>
        <v/>
      </c>
      <c r="E1235" s="13">
        <f>IF(C1235=Options!$B$9,Options!$C$17,0)</f>
        <v/>
      </c>
      <c r="F1235" s="13">
        <f>IF(AND(A1235&lt;&gt;"",C1235&lt;Options!$B$10),B1235*Options!$X$6,0)</f>
        <v/>
      </c>
      <c r="G1235" s="13">
        <f>F1235*12%</f>
        <v/>
      </c>
      <c r="H1235" s="13">
        <f>IF(A1235="",0,B1235*(92*IF(OR(C1235=Options!$B$9,C1235=Options!$B$10),75%,100%)-IF(C1235=DATE(2026,11,29),26+IF(Options!$B$8="是",23,0),0)-IF(C1235=DATE(2026,11,30),26,0)-IF(C1235=DATE(2026,12,1),64,0)-IF(C1235=DATE(2026,11,28),38,0)-IF(C1235=DATE(2026,12,2),26,0)))</f>
        <v/>
      </c>
      <c r="I1235" s="13">
        <f>IF(AND(C1235&gt;=DATE(2026,11,29),C1235&lt;=DATE(2026,12,1)),B1235*60,0)</f>
        <v/>
      </c>
      <c r="J1235" s="13">
        <f>IF(A1235="",0,B1235*(IF(C1235=DATE(2026,11,28),38,0)+IF(C1235=DATE(2026,12,1),38,0)+IF(C1235=DATE(2026,12,2),26,0)))</f>
        <v/>
      </c>
      <c r="K1235" s="13">
        <f>IF(C1235=Options!$B$9,B1235*12,0)</f>
        <v/>
      </c>
      <c r="L1235" s="13">
        <f>IF(C1235=Options!$B$9,B1235*Options!$Z$6,0)</f>
        <v/>
      </c>
      <c r="M1235" s="13" t="n">
        <v>0</v>
      </c>
      <c r="N1235" s="13">
        <f>SUM(E1235:M1235)</f>
        <v/>
      </c>
    </row>
    <row r="1236">
      <c r="A1236" s="5">
        <f>IF(AND(C1236&gt;=Options!$B$9,C1236&lt;=Options!$B$10),"Denver","")</f>
        <v/>
      </c>
      <c r="B1236" s="5">
        <f>IF(A1236="","",24)</f>
        <v/>
      </c>
      <c r="C1236" s="17" t="n">
        <v>46432</v>
      </c>
      <c r="D1236" s="5">
        <f>IF(A1236="","",IF(C1236=DATE(2026,11,29),"培训；注册午餐；早餐参数",IF(C1236=DATE(2026,11,30),"培训；注册午餐",IF(C1236=DATE(2026,12,1),"培训；注册午餐；机构晚餐",IF(C1236=Options!$B$9,"抵达；"&amp;IF(C1236=DATE(2026,11,28),"机构晚餐","无统一供餐"),IF(C1236=Options!$B$10,"返程；"&amp;IF(C1236=DATE(2026,12,2),"机构午餐","无统一供餐"),"差旅状态；无统一日程"))))))</f>
        <v/>
      </c>
      <c r="E1236" s="13">
        <f>IF(C1236=Options!$B$9,Options!$C$17,0)</f>
        <v/>
      </c>
      <c r="F1236" s="13">
        <f>IF(AND(A1236&lt;&gt;"",C1236&lt;Options!$B$10),B1236*Options!$X$6,0)</f>
        <v/>
      </c>
      <c r="G1236" s="13">
        <f>F1236*12%</f>
        <v/>
      </c>
      <c r="H1236" s="13">
        <f>IF(A1236="",0,B1236*(92*IF(OR(C1236=Options!$B$9,C1236=Options!$B$10),75%,100%)-IF(C1236=DATE(2026,11,29),26+IF(Options!$B$8="是",23,0),0)-IF(C1236=DATE(2026,11,30),26,0)-IF(C1236=DATE(2026,12,1),64,0)-IF(C1236=DATE(2026,11,28),38,0)-IF(C1236=DATE(2026,12,2),26,0)))</f>
        <v/>
      </c>
      <c r="I1236" s="13">
        <f>IF(AND(C1236&gt;=DATE(2026,11,29),C1236&lt;=DATE(2026,12,1)),B1236*60,0)</f>
        <v/>
      </c>
      <c r="J1236" s="13">
        <f>IF(A1236="",0,B1236*(IF(C1236=DATE(2026,11,28),38,0)+IF(C1236=DATE(2026,12,1),38,0)+IF(C1236=DATE(2026,12,2),26,0)))</f>
        <v/>
      </c>
      <c r="K1236" s="13">
        <f>IF(C1236=Options!$B$9,B1236*12,0)</f>
        <v/>
      </c>
      <c r="L1236" s="13">
        <f>IF(C1236=Options!$B$9,B1236*Options!$Z$6,0)</f>
        <v/>
      </c>
      <c r="M1236" s="13" t="n">
        <v>0</v>
      </c>
      <c r="N1236" s="13">
        <f>SUM(E1236:M1236)</f>
        <v/>
      </c>
    </row>
    <row r="1237">
      <c r="A1237" s="5">
        <f>IF(AND(C1237&gt;=Options!$B$9,C1237&lt;=Options!$B$10),"Denver","")</f>
        <v/>
      </c>
      <c r="B1237" s="5">
        <f>IF(A1237="","",24)</f>
        <v/>
      </c>
      <c r="C1237" s="17" t="n">
        <v>46433</v>
      </c>
      <c r="D1237" s="5">
        <f>IF(A1237="","",IF(C1237=DATE(2026,11,29),"培训；注册午餐；早餐参数",IF(C1237=DATE(2026,11,30),"培训；注册午餐",IF(C1237=DATE(2026,12,1),"培训；注册午餐；机构晚餐",IF(C1237=Options!$B$9,"抵达；"&amp;IF(C1237=DATE(2026,11,28),"机构晚餐","无统一供餐"),IF(C1237=Options!$B$10,"返程；"&amp;IF(C1237=DATE(2026,12,2),"机构午餐","无统一供餐"),"差旅状态；无统一日程"))))))</f>
        <v/>
      </c>
      <c r="E1237" s="13">
        <f>IF(C1237=Options!$B$9,Options!$C$17,0)</f>
        <v/>
      </c>
      <c r="F1237" s="13">
        <f>IF(AND(A1237&lt;&gt;"",C1237&lt;Options!$B$10),B1237*Options!$X$6,0)</f>
        <v/>
      </c>
      <c r="G1237" s="13">
        <f>F1237*12%</f>
        <v/>
      </c>
      <c r="H1237" s="13">
        <f>IF(A1237="",0,B1237*(92*IF(OR(C1237=Options!$B$9,C1237=Options!$B$10),75%,100%)-IF(C1237=DATE(2026,11,29),26+IF(Options!$B$8="是",23,0),0)-IF(C1237=DATE(2026,11,30),26,0)-IF(C1237=DATE(2026,12,1),64,0)-IF(C1237=DATE(2026,11,28),38,0)-IF(C1237=DATE(2026,12,2),26,0)))</f>
        <v/>
      </c>
      <c r="I1237" s="13">
        <f>IF(AND(C1237&gt;=DATE(2026,11,29),C1237&lt;=DATE(2026,12,1)),B1237*60,0)</f>
        <v/>
      </c>
      <c r="J1237" s="13">
        <f>IF(A1237="",0,B1237*(IF(C1237=DATE(2026,11,28),38,0)+IF(C1237=DATE(2026,12,1),38,0)+IF(C1237=DATE(2026,12,2),26,0)))</f>
        <v/>
      </c>
      <c r="K1237" s="13">
        <f>IF(C1237=Options!$B$9,B1237*12,0)</f>
        <v/>
      </c>
      <c r="L1237" s="13">
        <f>IF(C1237=Options!$B$9,B1237*Options!$Z$6,0)</f>
        <v/>
      </c>
      <c r="M1237" s="13" t="n">
        <v>0</v>
      </c>
      <c r="N1237" s="13">
        <f>SUM(E1237:M1237)</f>
        <v/>
      </c>
    </row>
    <row r="1238">
      <c r="A1238" s="5">
        <f>IF(AND(C1238&gt;=Options!$B$9,C1238&lt;=Options!$B$10),"Denver","")</f>
        <v/>
      </c>
      <c r="B1238" s="5">
        <f>IF(A1238="","",24)</f>
        <v/>
      </c>
      <c r="C1238" s="17" t="n">
        <v>46434</v>
      </c>
      <c r="D1238" s="5">
        <f>IF(A1238="","",IF(C1238=DATE(2026,11,29),"培训；注册午餐；早餐参数",IF(C1238=DATE(2026,11,30),"培训；注册午餐",IF(C1238=DATE(2026,12,1),"培训；注册午餐；机构晚餐",IF(C1238=Options!$B$9,"抵达；"&amp;IF(C1238=DATE(2026,11,28),"机构晚餐","无统一供餐"),IF(C1238=Options!$B$10,"返程；"&amp;IF(C1238=DATE(2026,12,2),"机构午餐","无统一供餐"),"差旅状态；无统一日程"))))))</f>
        <v/>
      </c>
      <c r="E1238" s="13">
        <f>IF(C1238=Options!$B$9,Options!$C$17,0)</f>
        <v/>
      </c>
      <c r="F1238" s="13">
        <f>IF(AND(A1238&lt;&gt;"",C1238&lt;Options!$B$10),B1238*Options!$X$6,0)</f>
        <v/>
      </c>
      <c r="G1238" s="13">
        <f>F1238*12%</f>
        <v/>
      </c>
      <c r="H1238" s="13">
        <f>IF(A1238="",0,B1238*(92*IF(OR(C1238=Options!$B$9,C1238=Options!$B$10),75%,100%)-IF(C1238=DATE(2026,11,29),26+IF(Options!$B$8="是",23,0),0)-IF(C1238=DATE(2026,11,30),26,0)-IF(C1238=DATE(2026,12,1),64,0)-IF(C1238=DATE(2026,11,28),38,0)-IF(C1238=DATE(2026,12,2),26,0)))</f>
        <v/>
      </c>
      <c r="I1238" s="13">
        <f>IF(AND(C1238&gt;=DATE(2026,11,29),C1238&lt;=DATE(2026,12,1)),B1238*60,0)</f>
        <v/>
      </c>
      <c r="J1238" s="13">
        <f>IF(A1238="",0,B1238*(IF(C1238=DATE(2026,11,28),38,0)+IF(C1238=DATE(2026,12,1),38,0)+IF(C1238=DATE(2026,12,2),26,0)))</f>
        <v/>
      </c>
      <c r="K1238" s="13">
        <f>IF(C1238=Options!$B$9,B1238*12,0)</f>
        <v/>
      </c>
      <c r="L1238" s="13">
        <f>IF(C1238=Options!$B$9,B1238*Options!$Z$6,0)</f>
        <v/>
      </c>
      <c r="M1238" s="13" t="n">
        <v>0</v>
      </c>
      <c r="N1238" s="13">
        <f>SUM(E1238:M1238)</f>
        <v/>
      </c>
    </row>
    <row r="1239">
      <c r="A1239" s="5">
        <f>IF(AND(C1239&gt;=Options!$B$9,C1239&lt;=Options!$B$10),"Denver","")</f>
        <v/>
      </c>
      <c r="B1239" s="5">
        <f>IF(A1239="","",24)</f>
        <v/>
      </c>
      <c r="C1239" s="17" t="n">
        <v>46435</v>
      </c>
      <c r="D1239" s="5">
        <f>IF(A1239="","",IF(C1239=DATE(2026,11,29),"培训；注册午餐；早餐参数",IF(C1239=DATE(2026,11,30),"培训；注册午餐",IF(C1239=DATE(2026,12,1),"培训；注册午餐；机构晚餐",IF(C1239=Options!$B$9,"抵达；"&amp;IF(C1239=DATE(2026,11,28),"机构晚餐","无统一供餐"),IF(C1239=Options!$B$10,"返程；"&amp;IF(C1239=DATE(2026,12,2),"机构午餐","无统一供餐"),"差旅状态；无统一日程"))))))</f>
        <v/>
      </c>
      <c r="E1239" s="13">
        <f>IF(C1239=Options!$B$9,Options!$C$17,0)</f>
        <v/>
      </c>
      <c r="F1239" s="13">
        <f>IF(AND(A1239&lt;&gt;"",C1239&lt;Options!$B$10),B1239*Options!$X$6,0)</f>
        <v/>
      </c>
      <c r="G1239" s="13">
        <f>F1239*12%</f>
        <v/>
      </c>
      <c r="H1239" s="13">
        <f>IF(A1239="",0,B1239*(92*IF(OR(C1239=Options!$B$9,C1239=Options!$B$10),75%,100%)-IF(C1239=DATE(2026,11,29),26+IF(Options!$B$8="是",23,0),0)-IF(C1239=DATE(2026,11,30),26,0)-IF(C1239=DATE(2026,12,1),64,0)-IF(C1239=DATE(2026,11,28),38,0)-IF(C1239=DATE(2026,12,2),26,0)))</f>
        <v/>
      </c>
      <c r="I1239" s="13">
        <f>IF(AND(C1239&gt;=DATE(2026,11,29),C1239&lt;=DATE(2026,12,1)),B1239*60,0)</f>
        <v/>
      </c>
      <c r="J1239" s="13">
        <f>IF(A1239="",0,B1239*(IF(C1239=DATE(2026,11,28),38,0)+IF(C1239=DATE(2026,12,1),38,0)+IF(C1239=DATE(2026,12,2),26,0)))</f>
        <v/>
      </c>
      <c r="K1239" s="13">
        <f>IF(C1239=Options!$B$9,B1239*12,0)</f>
        <v/>
      </c>
      <c r="L1239" s="13">
        <f>IF(C1239=Options!$B$9,B1239*Options!$Z$6,0)</f>
        <v/>
      </c>
      <c r="M1239" s="13" t="n">
        <v>0</v>
      </c>
      <c r="N1239" s="13">
        <f>SUM(E1239:M1239)</f>
        <v/>
      </c>
    </row>
    <row r="1240">
      <c r="A1240" s="5">
        <f>IF(AND(C1240&gt;=Options!$B$9,C1240&lt;=Options!$B$10),"Denver","")</f>
        <v/>
      </c>
      <c r="B1240" s="5">
        <f>IF(A1240="","",24)</f>
        <v/>
      </c>
      <c r="C1240" s="17" t="n">
        <v>46436</v>
      </c>
      <c r="D1240" s="5">
        <f>IF(A1240="","",IF(C1240=DATE(2026,11,29),"培训；注册午餐；早餐参数",IF(C1240=DATE(2026,11,30),"培训；注册午餐",IF(C1240=DATE(2026,12,1),"培训；注册午餐；机构晚餐",IF(C1240=Options!$B$9,"抵达；"&amp;IF(C1240=DATE(2026,11,28),"机构晚餐","无统一供餐"),IF(C1240=Options!$B$10,"返程；"&amp;IF(C1240=DATE(2026,12,2),"机构午餐","无统一供餐"),"差旅状态；无统一日程"))))))</f>
        <v/>
      </c>
      <c r="E1240" s="13">
        <f>IF(C1240=Options!$B$9,Options!$C$17,0)</f>
        <v/>
      </c>
      <c r="F1240" s="13">
        <f>IF(AND(A1240&lt;&gt;"",C1240&lt;Options!$B$10),B1240*Options!$X$6,0)</f>
        <v/>
      </c>
      <c r="G1240" s="13">
        <f>F1240*12%</f>
        <v/>
      </c>
      <c r="H1240" s="13">
        <f>IF(A1240="",0,B1240*(92*IF(OR(C1240=Options!$B$9,C1240=Options!$B$10),75%,100%)-IF(C1240=DATE(2026,11,29),26+IF(Options!$B$8="是",23,0),0)-IF(C1240=DATE(2026,11,30),26,0)-IF(C1240=DATE(2026,12,1),64,0)-IF(C1240=DATE(2026,11,28),38,0)-IF(C1240=DATE(2026,12,2),26,0)))</f>
        <v/>
      </c>
      <c r="I1240" s="13">
        <f>IF(AND(C1240&gt;=DATE(2026,11,29),C1240&lt;=DATE(2026,12,1)),B1240*60,0)</f>
        <v/>
      </c>
      <c r="J1240" s="13">
        <f>IF(A1240="",0,B1240*(IF(C1240=DATE(2026,11,28),38,0)+IF(C1240=DATE(2026,12,1),38,0)+IF(C1240=DATE(2026,12,2),26,0)))</f>
        <v/>
      </c>
      <c r="K1240" s="13">
        <f>IF(C1240=Options!$B$9,B1240*12,0)</f>
        <v/>
      </c>
      <c r="L1240" s="13">
        <f>IF(C1240=Options!$B$9,B1240*Options!$Z$6,0)</f>
        <v/>
      </c>
      <c r="M1240" s="13" t="n">
        <v>0</v>
      </c>
      <c r="N1240" s="13">
        <f>SUM(E1240:M1240)</f>
        <v/>
      </c>
    </row>
    <row r="1241">
      <c r="A1241" s="5">
        <f>IF(AND(C1241&gt;=Options!$B$9,C1241&lt;=Options!$B$10),"Denver","")</f>
        <v/>
      </c>
      <c r="B1241" s="5">
        <f>IF(A1241="","",24)</f>
        <v/>
      </c>
      <c r="C1241" s="17" t="n">
        <v>46437</v>
      </c>
      <c r="D1241" s="5">
        <f>IF(A1241="","",IF(C1241=DATE(2026,11,29),"培训；注册午餐；早餐参数",IF(C1241=DATE(2026,11,30),"培训；注册午餐",IF(C1241=DATE(2026,12,1),"培训；注册午餐；机构晚餐",IF(C1241=Options!$B$9,"抵达；"&amp;IF(C1241=DATE(2026,11,28),"机构晚餐","无统一供餐"),IF(C1241=Options!$B$10,"返程；"&amp;IF(C1241=DATE(2026,12,2),"机构午餐","无统一供餐"),"差旅状态；无统一日程"))))))</f>
        <v/>
      </c>
      <c r="E1241" s="13">
        <f>IF(C1241=Options!$B$9,Options!$C$17,0)</f>
        <v/>
      </c>
      <c r="F1241" s="13">
        <f>IF(AND(A1241&lt;&gt;"",C1241&lt;Options!$B$10),B1241*Options!$X$6,0)</f>
        <v/>
      </c>
      <c r="G1241" s="13">
        <f>F1241*12%</f>
        <v/>
      </c>
      <c r="H1241" s="13">
        <f>IF(A1241="",0,B1241*(92*IF(OR(C1241=Options!$B$9,C1241=Options!$B$10),75%,100%)-IF(C1241=DATE(2026,11,29),26+IF(Options!$B$8="是",23,0),0)-IF(C1241=DATE(2026,11,30),26,0)-IF(C1241=DATE(2026,12,1),64,0)-IF(C1241=DATE(2026,11,28),38,0)-IF(C1241=DATE(2026,12,2),26,0)))</f>
        <v/>
      </c>
      <c r="I1241" s="13">
        <f>IF(AND(C1241&gt;=DATE(2026,11,29),C1241&lt;=DATE(2026,12,1)),B1241*60,0)</f>
        <v/>
      </c>
      <c r="J1241" s="13">
        <f>IF(A1241="",0,B1241*(IF(C1241=DATE(2026,11,28),38,0)+IF(C1241=DATE(2026,12,1),38,0)+IF(C1241=DATE(2026,12,2),26,0)))</f>
        <v/>
      </c>
      <c r="K1241" s="13">
        <f>IF(C1241=Options!$B$9,B1241*12,0)</f>
        <v/>
      </c>
      <c r="L1241" s="13">
        <f>IF(C1241=Options!$B$9,B1241*Options!$Z$6,0)</f>
        <v/>
      </c>
      <c r="M1241" s="13" t="n">
        <v>0</v>
      </c>
      <c r="N1241" s="13">
        <f>SUM(E1241:M1241)</f>
        <v/>
      </c>
    </row>
    <row r="1242">
      <c r="A1242" s="5">
        <f>IF(AND(C1242&gt;=Options!$B$9,C1242&lt;=Options!$B$10),"Denver","")</f>
        <v/>
      </c>
      <c r="B1242" s="5">
        <f>IF(A1242="","",24)</f>
        <v/>
      </c>
      <c r="C1242" s="17" t="n">
        <v>46438</v>
      </c>
      <c r="D1242" s="5">
        <f>IF(A1242="","",IF(C1242=DATE(2026,11,29),"培训；注册午餐；早餐参数",IF(C1242=DATE(2026,11,30),"培训；注册午餐",IF(C1242=DATE(2026,12,1),"培训；注册午餐；机构晚餐",IF(C1242=Options!$B$9,"抵达；"&amp;IF(C1242=DATE(2026,11,28),"机构晚餐","无统一供餐"),IF(C1242=Options!$B$10,"返程；"&amp;IF(C1242=DATE(2026,12,2),"机构午餐","无统一供餐"),"差旅状态；无统一日程"))))))</f>
        <v/>
      </c>
      <c r="E1242" s="13">
        <f>IF(C1242=Options!$B$9,Options!$C$17,0)</f>
        <v/>
      </c>
      <c r="F1242" s="13">
        <f>IF(AND(A1242&lt;&gt;"",C1242&lt;Options!$B$10),B1242*Options!$X$6,0)</f>
        <v/>
      </c>
      <c r="G1242" s="13">
        <f>F1242*12%</f>
        <v/>
      </c>
      <c r="H1242" s="13">
        <f>IF(A1242="",0,B1242*(92*IF(OR(C1242=Options!$B$9,C1242=Options!$B$10),75%,100%)-IF(C1242=DATE(2026,11,29),26+IF(Options!$B$8="是",23,0),0)-IF(C1242=DATE(2026,11,30),26,0)-IF(C1242=DATE(2026,12,1),64,0)-IF(C1242=DATE(2026,11,28),38,0)-IF(C1242=DATE(2026,12,2),26,0)))</f>
        <v/>
      </c>
      <c r="I1242" s="13">
        <f>IF(AND(C1242&gt;=DATE(2026,11,29),C1242&lt;=DATE(2026,12,1)),B1242*60,0)</f>
        <v/>
      </c>
      <c r="J1242" s="13">
        <f>IF(A1242="",0,B1242*(IF(C1242=DATE(2026,11,28),38,0)+IF(C1242=DATE(2026,12,1),38,0)+IF(C1242=DATE(2026,12,2),26,0)))</f>
        <v/>
      </c>
      <c r="K1242" s="13">
        <f>IF(C1242=Options!$B$9,B1242*12,0)</f>
        <v/>
      </c>
      <c r="L1242" s="13">
        <f>IF(C1242=Options!$B$9,B1242*Options!$Z$6,0)</f>
        <v/>
      </c>
      <c r="M1242" s="13" t="n">
        <v>0</v>
      </c>
      <c r="N1242" s="13">
        <f>SUM(E1242:M1242)</f>
        <v/>
      </c>
    </row>
    <row r="1243">
      <c r="A1243" s="5">
        <f>IF(AND(C1243&gt;=Options!$B$9,C1243&lt;=Options!$B$10),"Denver","")</f>
        <v/>
      </c>
      <c r="B1243" s="5">
        <f>IF(A1243="","",24)</f>
        <v/>
      </c>
      <c r="C1243" s="17" t="n">
        <v>46439</v>
      </c>
      <c r="D1243" s="5">
        <f>IF(A1243="","",IF(C1243=DATE(2026,11,29),"培训；注册午餐；早餐参数",IF(C1243=DATE(2026,11,30),"培训；注册午餐",IF(C1243=DATE(2026,12,1),"培训；注册午餐；机构晚餐",IF(C1243=Options!$B$9,"抵达；"&amp;IF(C1243=DATE(2026,11,28),"机构晚餐","无统一供餐"),IF(C1243=Options!$B$10,"返程；"&amp;IF(C1243=DATE(2026,12,2),"机构午餐","无统一供餐"),"差旅状态；无统一日程"))))))</f>
        <v/>
      </c>
      <c r="E1243" s="13">
        <f>IF(C1243=Options!$B$9,Options!$C$17,0)</f>
        <v/>
      </c>
      <c r="F1243" s="13">
        <f>IF(AND(A1243&lt;&gt;"",C1243&lt;Options!$B$10),B1243*Options!$X$6,0)</f>
        <v/>
      </c>
      <c r="G1243" s="13">
        <f>F1243*12%</f>
        <v/>
      </c>
      <c r="H1243" s="13">
        <f>IF(A1243="",0,B1243*(92*IF(OR(C1243=Options!$B$9,C1243=Options!$B$10),75%,100%)-IF(C1243=DATE(2026,11,29),26+IF(Options!$B$8="是",23,0),0)-IF(C1243=DATE(2026,11,30),26,0)-IF(C1243=DATE(2026,12,1),64,0)-IF(C1243=DATE(2026,11,28),38,0)-IF(C1243=DATE(2026,12,2),26,0)))</f>
        <v/>
      </c>
      <c r="I1243" s="13">
        <f>IF(AND(C1243&gt;=DATE(2026,11,29),C1243&lt;=DATE(2026,12,1)),B1243*60,0)</f>
        <v/>
      </c>
      <c r="J1243" s="13">
        <f>IF(A1243="",0,B1243*(IF(C1243=DATE(2026,11,28),38,0)+IF(C1243=DATE(2026,12,1),38,0)+IF(C1243=DATE(2026,12,2),26,0)))</f>
        <v/>
      </c>
      <c r="K1243" s="13">
        <f>IF(C1243=Options!$B$9,B1243*12,0)</f>
        <v/>
      </c>
      <c r="L1243" s="13">
        <f>IF(C1243=Options!$B$9,B1243*Options!$Z$6,0)</f>
        <v/>
      </c>
      <c r="M1243" s="13" t="n">
        <v>0</v>
      </c>
      <c r="N1243" s="13">
        <f>SUM(E1243:M1243)</f>
        <v/>
      </c>
    </row>
    <row r="1244">
      <c r="A1244" s="5">
        <f>IF(AND(C1244&gt;=Options!$B$9,C1244&lt;=Options!$B$10),"Denver","")</f>
        <v/>
      </c>
      <c r="B1244" s="5">
        <f>IF(A1244="","",24)</f>
        <v/>
      </c>
      <c r="C1244" s="17" t="n">
        <v>46440</v>
      </c>
      <c r="D1244" s="5">
        <f>IF(A1244="","",IF(C1244=DATE(2026,11,29),"培训；注册午餐；早餐参数",IF(C1244=DATE(2026,11,30),"培训；注册午餐",IF(C1244=DATE(2026,12,1),"培训；注册午餐；机构晚餐",IF(C1244=Options!$B$9,"抵达；"&amp;IF(C1244=DATE(2026,11,28),"机构晚餐","无统一供餐"),IF(C1244=Options!$B$10,"返程；"&amp;IF(C1244=DATE(2026,12,2),"机构午餐","无统一供餐"),"差旅状态；无统一日程"))))))</f>
        <v/>
      </c>
      <c r="E1244" s="13">
        <f>IF(C1244=Options!$B$9,Options!$C$17,0)</f>
        <v/>
      </c>
      <c r="F1244" s="13">
        <f>IF(AND(A1244&lt;&gt;"",C1244&lt;Options!$B$10),B1244*Options!$X$6,0)</f>
        <v/>
      </c>
      <c r="G1244" s="13">
        <f>F1244*12%</f>
        <v/>
      </c>
      <c r="H1244" s="13">
        <f>IF(A1244="",0,B1244*(92*IF(OR(C1244=Options!$B$9,C1244=Options!$B$10),75%,100%)-IF(C1244=DATE(2026,11,29),26+IF(Options!$B$8="是",23,0),0)-IF(C1244=DATE(2026,11,30),26,0)-IF(C1244=DATE(2026,12,1),64,0)-IF(C1244=DATE(2026,11,28),38,0)-IF(C1244=DATE(2026,12,2),26,0)))</f>
        <v/>
      </c>
      <c r="I1244" s="13">
        <f>IF(AND(C1244&gt;=DATE(2026,11,29),C1244&lt;=DATE(2026,12,1)),B1244*60,0)</f>
        <v/>
      </c>
      <c r="J1244" s="13">
        <f>IF(A1244="",0,B1244*(IF(C1244=DATE(2026,11,28),38,0)+IF(C1244=DATE(2026,12,1),38,0)+IF(C1244=DATE(2026,12,2),26,0)))</f>
        <v/>
      </c>
      <c r="K1244" s="13">
        <f>IF(C1244=Options!$B$9,B1244*12,0)</f>
        <v/>
      </c>
      <c r="L1244" s="13">
        <f>IF(C1244=Options!$B$9,B1244*Options!$Z$6,0)</f>
        <v/>
      </c>
      <c r="M1244" s="13" t="n">
        <v>0</v>
      </c>
      <c r="N1244" s="13">
        <f>SUM(E1244:M1244)</f>
        <v/>
      </c>
    </row>
    <row r="1245">
      <c r="A1245" s="5">
        <f>IF(AND(C1245&gt;=Options!$B$9,C1245&lt;=Options!$B$10),"Denver","")</f>
        <v/>
      </c>
      <c r="B1245" s="5">
        <f>IF(A1245="","",24)</f>
        <v/>
      </c>
      <c r="C1245" s="17" t="n">
        <v>46441</v>
      </c>
      <c r="D1245" s="5">
        <f>IF(A1245="","",IF(C1245=DATE(2026,11,29),"培训；注册午餐；早餐参数",IF(C1245=DATE(2026,11,30),"培训；注册午餐",IF(C1245=DATE(2026,12,1),"培训；注册午餐；机构晚餐",IF(C1245=Options!$B$9,"抵达；"&amp;IF(C1245=DATE(2026,11,28),"机构晚餐","无统一供餐"),IF(C1245=Options!$B$10,"返程；"&amp;IF(C1245=DATE(2026,12,2),"机构午餐","无统一供餐"),"差旅状态；无统一日程"))))))</f>
        <v/>
      </c>
      <c r="E1245" s="13">
        <f>IF(C1245=Options!$B$9,Options!$C$17,0)</f>
        <v/>
      </c>
      <c r="F1245" s="13">
        <f>IF(AND(A1245&lt;&gt;"",C1245&lt;Options!$B$10),B1245*Options!$X$6,0)</f>
        <v/>
      </c>
      <c r="G1245" s="13">
        <f>F1245*12%</f>
        <v/>
      </c>
      <c r="H1245" s="13">
        <f>IF(A1245="",0,B1245*(92*IF(OR(C1245=Options!$B$9,C1245=Options!$B$10),75%,100%)-IF(C1245=DATE(2026,11,29),26+IF(Options!$B$8="是",23,0),0)-IF(C1245=DATE(2026,11,30),26,0)-IF(C1245=DATE(2026,12,1),64,0)-IF(C1245=DATE(2026,11,28),38,0)-IF(C1245=DATE(2026,12,2),26,0)))</f>
        <v/>
      </c>
      <c r="I1245" s="13">
        <f>IF(AND(C1245&gt;=DATE(2026,11,29),C1245&lt;=DATE(2026,12,1)),B1245*60,0)</f>
        <v/>
      </c>
      <c r="J1245" s="13">
        <f>IF(A1245="",0,B1245*(IF(C1245=DATE(2026,11,28),38,0)+IF(C1245=DATE(2026,12,1),38,0)+IF(C1245=DATE(2026,12,2),26,0)))</f>
        <v/>
      </c>
      <c r="K1245" s="13">
        <f>IF(C1245=Options!$B$9,B1245*12,0)</f>
        <v/>
      </c>
      <c r="L1245" s="13">
        <f>IF(C1245=Options!$B$9,B1245*Options!$Z$6,0)</f>
        <v/>
      </c>
      <c r="M1245" s="13" t="n">
        <v>0</v>
      </c>
      <c r="N1245" s="13">
        <f>SUM(E1245:M1245)</f>
        <v/>
      </c>
    </row>
    <row r="1246">
      <c r="A1246" s="5">
        <f>IF(AND(C1246&gt;=Options!$B$9,C1246&lt;=Options!$B$10),"Denver","")</f>
        <v/>
      </c>
      <c r="B1246" s="5">
        <f>IF(A1246="","",24)</f>
        <v/>
      </c>
      <c r="C1246" s="17" t="n">
        <v>46442</v>
      </c>
      <c r="D1246" s="5">
        <f>IF(A1246="","",IF(C1246=DATE(2026,11,29),"培训；注册午餐；早餐参数",IF(C1246=DATE(2026,11,30),"培训；注册午餐",IF(C1246=DATE(2026,12,1),"培训；注册午餐；机构晚餐",IF(C1246=Options!$B$9,"抵达；"&amp;IF(C1246=DATE(2026,11,28),"机构晚餐","无统一供餐"),IF(C1246=Options!$B$10,"返程；"&amp;IF(C1246=DATE(2026,12,2),"机构午餐","无统一供餐"),"差旅状态；无统一日程"))))))</f>
        <v/>
      </c>
      <c r="E1246" s="13">
        <f>IF(C1246=Options!$B$9,Options!$C$17,0)</f>
        <v/>
      </c>
      <c r="F1246" s="13">
        <f>IF(AND(A1246&lt;&gt;"",C1246&lt;Options!$B$10),B1246*Options!$X$6,0)</f>
        <v/>
      </c>
      <c r="G1246" s="13">
        <f>F1246*12%</f>
        <v/>
      </c>
      <c r="H1246" s="13">
        <f>IF(A1246="",0,B1246*(92*IF(OR(C1246=Options!$B$9,C1246=Options!$B$10),75%,100%)-IF(C1246=DATE(2026,11,29),26+IF(Options!$B$8="是",23,0),0)-IF(C1246=DATE(2026,11,30),26,0)-IF(C1246=DATE(2026,12,1),64,0)-IF(C1246=DATE(2026,11,28),38,0)-IF(C1246=DATE(2026,12,2),26,0)))</f>
        <v/>
      </c>
      <c r="I1246" s="13">
        <f>IF(AND(C1246&gt;=DATE(2026,11,29),C1246&lt;=DATE(2026,12,1)),B1246*60,0)</f>
        <v/>
      </c>
      <c r="J1246" s="13">
        <f>IF(A1246="",0,B1246*(IF(C1246=DATE(2026,11,28),38,0)+IF(C1246=DATE(2026,12,1),38,0)+IF(C1246=DATE(2026,12,2),26,0)))</f>
        <v/>
      </c>
      <c r="K1246" s="13">
        <f>IF(C1246=Options!$B$9,B1246*12,0)</f>
        <v/>
      </c>
      <c r="L1246" s="13">
        <f>IF(C1246=Options!$B$9,B1246*Options!$Z$6,0)</f>
        <v/>
      </c>
      <c r="M1246" s="13" t="n">
        <v>0</v>
      </c>
      <c r="N1246" s="13">
        <f>SUM(E1246:M1246)</f>
        <v/>
      </c>
    </row>
    <row r="1247">
      <c r="A1247" s="5">
        <f>IF(AND(C1247&gt;=Options!$B$9,C1247&lt;=Options!$B$10),"Denver","")</f>
        <v/>
      </c>
      <c r="B1247" s="5">
        <f>IF(A1247="","",24)</f>
        <v/>
      </c>
      <c r="C1247" s="17" t="n">
        <v>46443</v>
      </c>
      <c r="D1247" s="5">
        <f>IF(A1247="","",IF(C1247=DATE(2026,11,29),"培训；注册午餐；早餐参数",IF(C1247=DATE(2026,11,30),"培训；注册午餐",IF(C1247=DATE(2026,12,1),"培训；注册午餐；机构晚餐",IF(C1247=Options!$B$9,"抵达；"&amp;IF(C1247=DATE(2026,11,28),"机构晚餐","无统一供餐"),IF(C1247=Options!$B$10,"返程；"&amp;IF(C1247=DATE(2026,12,2),"机构午餐","无统一供餐"),"差旅状态；无统一日程"))))))</f>
        <v/>
      </c>
      <c r="E1247" s="13">
        <f>IF(C1247=Options!$B$9,Options!$C$17,0)</f>
        <v/>
      </c>
      <c r="F1247" s="13">
        <f>IF(AND(A1247&lt;&gt;"",C1247&lt;Options!$B$10),B1247*Options!$X$6,0)</f>
        <v/>
      </c>
      <c r="G1247" s="13">
        <f>F1247*12%</f>
        <v/>
      </c>
      <c r="H1247" s="13">
        <f>IF(A1247="",0,B1247*(92*IF(OR(C1247=Options!$B$9,C1247=Options!$B$10),75%,100%)-IF(C1247=DATE(2026,11,29),26+IF(Options!$B$8="是",23,0),0)-IF(C1247=DATE(2026,11,30),26,0)-IF(C1247=DATE(2026,12,1),64,0)-IF(C1247=DATE(2026,11,28),38,0)-IF(C1247=DATE(2026,12,2),26,0)))</f>
        <v/>
      </c>
      <c r="I1247" s="13">
        <f>IF(AND(C1247&gt;=DATE(2026,11,29),C1247&lt;=DATE(2026,12,1)),B1247*60,0)</f>
        <v/>
      </c>
      <c r="J1247" s="13">
        <f>IF(A1247="",0,B1247*(IF(C1247=DATE(2026,11,28),38,0)+IF(C1247=DATE(2026,12,1),38,0)+IF(C1247=DATE(2026,12,2),26,0)))</f>
        <v/>
      </c>
      <c r="K1247" s="13">
        <f>IF(C1247=Options!$B$9,B1247*12,0)</f>
        <v/>
      </c>
      <c r="L1247" s="13">
        <f>IF(C1247=Options!$B$9,B1247*Options!$Z$6,0)</f>
        <v/>
      </c>
      <c r="M1247" s="13" t="n">
        <v>0</v>
      </c>
      <c r="N1247" s="13">
        <f>SUM(E1247:M1247)</f>
        <v/>
      </c>
    </row>
    <row r="1248">
      <c r="A1248" s="5">
        <f>IF(AND(C1248&gt;=Options!$B$9,C1248&lt;=Options!$B$10),"Denver","")</f>
        <v/>
      </c>
      <c r="B1248" s="5">
        <f>IF(A1248="","",24)</f>
        <v/>
      </c>
      <c r="C1248" s="17" t="n">
        <v>46444</v>
      </c>
      <c r="D1248" s="5">
        <f>IF(A1248="","",IF(C1248=DATE(2026,11,29),"培训；注册午餐；早餐参数",IF(C1248=DATE(2026,11,30),"培训；注册午餐",IF(C1248=DATE(2026,12,1),"培训；注册午餐；机构晚餐",IF(C1248=Options!$B$9,"抵达；"&amp;IF(C1248=DATE(2026,11,28),"机构晚餐","无统一供餐"),IF(C1248=Options!$B$10,"返程；"&amp;IF(C1248=DATE(2026,12,2),"机构午餐","无统一供餐"),"差旅状态；无统一日程"))))))</f>
        <v/>
      </c>
      <c r="E1248" s="13">
        <f>IF(C1248=Options!$B$9,Options!$C$17,0)</f>
        <v/>
      </c>
      <c r="F1248" s="13">
        <f>IF(AND(A1248&lt;&gt;"",C1248&lt;Options!$B$10),B1248*Options!$X$6,0)</f>
        <v/>
      </c>
      <c r="G1248" s="13">
        <f>F1248*12%</f>
        <v/>
      </c>
      <c r="H1248" s="13">
        <f>IF(A1248="",0,B1248*(92*IF(OR(C1248=Options!$B$9,C1248=Options!$B$10),75%,100%)-IF(C1248=DATE(2026,11,29),26+IF(Options!$B$8="是",23,0),0)-IF(C1248=DATE(2026,11,30),26,0)-IF(C1248=DATE(2026,12,1),64,0)-IF(C1248=DATE(2026,11,28),38,0)-IF(C1248=DATE(2026,12,2),26,0)))</f>
        <v/>
      </c>
      <c r="I1248" s="13">
        <f>IF(AND(C1248&gt;=DATE(2026,11,29),C1248&lt;=DATE(2026,12,1)),B1248*60,0)</f>
        <v/>
      </c>
      <c r="J1248" s="13">
        <f>IF(A1248="",0,B1248*(IF(C1248=DATE(2026,11,28),38,0)+IF(C1248=DATE(2026,12,1),38,0)+IF(C1248=DATE(2026,12,2),26,0)))</f>
        <v/>
      </c>
      <c r="K1248" s="13">
        <f>IF(C1248=Options!$B$9,B1248*12,0)</f>
        <v/>
      </c>
      <c r="L1248" s="13">
        <f>IF(C1248=Options!$B$9,B1248*Options!$Z$6,0)</f>
        <v/>
      </c>
      <c r="M1248" s="13" t="n">
        <v>0</v>
      </c>
      <c r="N1248" s="13">
        <f>SUM(E1248:M1248)</f>
        <v/>
      </c>
    </row>
    <row r="1249">
      <c r="A1249" s="5">
        <f>IF(AND(C1249&gt;=Options!$B$9,C1249&lt;=Options!$B$10),"Denver","")</f>
        <v/>
      </c>
      <c r="B1249" s="5">
        <f>IF(A1249="","",24)</f>
        <v/>
      </c>
      <c r="C1249" s="17" t="n">
        <v>46445</v>
      </c>
      <c r="D1249" s="5">
        <f>IF(A1249="","",IF(C1249=DATE(2026,11,29),"培训；注册午餐；早餐参数",IF(C1249=DATE(2026,11,30),"培训；注册午餐",IF(C1249=DATE(2026,12,1),"培训；注册午餐；机构晚餐",IF(C1249=Options!$B$9,"抵达；"&amp;IF(C1249=DATE(2026,11,28),"机构晚餐","无统一供餐"),IF(C1249=Options!$B$10,"返程；"&amp;IF(C1249=DATE(2026,12,2),"机构午餐","无统一供餐"),"差旅状态；无统一日程"))))))</f>
        <v/>
      </c>
      <c r="E1249" s="13">
        <f>IF(C1249=Options!$B$9,Options!$C$17,0)</f>
        <v/>
      </c>
      <c r="F1249" s="13">
        <f>IF(AND(A1249&lt;&gt;"",C1249&lt;Options!$B$10),B1249*Options!$X$6,0)</f>
        <v/>
      </c>
      <c r="G1249" s="13">
        <f>F1249*12%</f>
        <v/>
      </c>
      <c r="H1249" s="13">
        <f>IF(A1249="",0,B1249*(92*IF(OR(C1249=Options!$B$9,C1249=Options!$B$10),75%,100%)-IF(C1249=DATE(2026,11,29),26+IF(Options!$B$8="是",23,0),0)-IF(C1249=DATE(2026,11,30),26,0)-IF(C1249=DATE(2026,12,1),64,0)-IF(C1249=DATE(2026,11,28),38,0)-IF(C1249=DATE(2026,12,2),26,0)))</f>
        <v/>
      </c>
      <c r="I1249" s="13">
        <f>IF(AND(C1249&gt;=DATE(2026,11,29),C1249&lt;=DATE(2026,12,1)),B1249*60,0)</f>
        <v/>
      </c>
      <c r="J1249" s="13">
        <f>IF(A1249="",0,B1249*(IF(C1249=DATE(2026,11,28),38,0)+IF(C1249=DATE(2026,12,1),38,0)+IF(C1249=DATE(2026,12,2),26,0)))</f>
        <v/>
      </c>
      <c r="K1249" s="13">
        <f>IF(C1249=Options!$B$9,B1249*12,0)</f>
        <v/>
      </c>
      <c r="L1249" s="13">
        <f>IF(C1249=Options!$B$9,B1249*Options!$Z$6,0)</f>
        <v/>
      </c>
      <c r="M1249" s="13" t="n">
        <v>0</v>
      </c>
      <c r="N1249" s="13">
        <f>SUM(E1249:M1249)</f>
        <v/>
      </c>
    </row>
    <row r="1250">
      <c r="A1250" s="5">
        <f>IF(AND(C1250&gt;=Options!$B$9,C1250&lt;=Options!$B$10),"Denver","")</f>
        <v/>
      </c>
      <c r="B1250" s="5">
        <f>IF(A1250="","",24)</f>
        <v/>
      </c>
      <c r="C1250" s="17" t="n">
        <v>46446</v>
      </c>
      <c r="D1250" s="5">
        <f>IF(A1250="","",IF(C1250=DATE(2026,11,29),"培训；注册午餐；早餐参数",IF(C1250=DATE(2026,11,30),"培训；注册午餐",IF(C1250=DATE(2026,12,1),"培训；注册午餐；机构晚餐",IF(C1250=Options!$B$9,"抵达；"&amp;IF(C1250=DATE(2026,11,28),"机构晚餐","无统一供餐"),IF(C1250=Options!$B$10,"返程；"&amp;IF(C1250=DATE(2026,12,2),"机构午餐","无统一供餐"),"差旅状态；无统一日程"))))))</f>
        <v/>
      </c>
      <c r="E1250" s="13">
        <f>IF(C1250=Options!$B$9,Options!$C$17,0)</f>
        <v/>
      </c>
      <c r="F1250" s="13">
        <f>IF(AND(A1250&lt;&gt;"",C1250&lt;Options!$B$10),B1250*Options!$X$6,0)</f>
        <v/>
      </c>
      <c r="G1250" s="13">
        <f>F1250*12%</f>
        <v/>
      </c>
      <c r="H1250" s="13">
        <f>IF(A1250="",0,B1250*(92*IF(OR(C1250=Options!$B$9,C1250=Options!$B$10),75%,100%)-IF(C1250=DATE(2026,11,29),26+IF(Options!$B$8="是",23,0),0)-IF(C1250=DATE(2026,11,30),26,0)-IF(C1250=DATE(2026,12,1),64,0)-IF(C1250=DATE(2026,11,28),38,0)-IF(C1250=DATE(2026,12,2),26,0)))</f>
        <v/>
      </c>
      <c r="I1250" s="13">
        <f>IF(AND(C1250&gt;=DATE(2026,11,29),C1250&lt;=DATE(2026,12,1)),B1250*60,0)</f>
        <v/>
      </c>
      <c r="J1250" s="13">
        <f>IF(A1250="",0,B1250*(IF(C1250=DATE(2026,11,28),38,0)+IF(C1250=DATE(2026,12,1),38,0)+IF(C1250=DATE(2026,12,2),26,0)))</f>
        <v/>
      </c>
      <c r="K1250" s="13">
        <f>IF(C1250=Options!$B$9,B1250*12,0)</f>
        <v/>
      </c>
      <c r="L1250" s="13">
        <f>IF(C1250=Options!$B$9,B1250*Options!$Z$6,0)</f>
        <v/>
      </c>
      <c r="M1250" s="13" t="n">
        <v>0</v>
      </c>
      <c r="N1250" s="13">
        <f>SUM(E1250:M1250)</f>
        <v/>
      </c>
    </row>
    <row r="1251">
      <c r="A1251" s="5">
        <f>IF(AND(C1251&gt;=Options!$B$9,C1251&lt;=Options!$B$10),"Denver","")</f>
        <v/>
      </c>
      <c r="B1251" s="5">
        <f>IF(A1251="","",24)</f>
        <v/>
      </c>
      <c r="C1251" s="17" t="n">
        <v>46447</v>
      </c>
      <c r="D1251" s="5">
        <f>IF(A1251="","",IF(C1251=DATE(2026,11,29),"培训；注册午餐；早餐参数",IF(C1251=DATE(2026,11,30),"培训；注册午餐",IF(C1251=DATE(2026,12,1),"培训；注册午餐；机构晚餐",IF(C1251=Options!$B$9,"抵达；"&amp;IF(C1251=DATE(2026,11,28),"机构晚餐","无统一供餐"),IF(C1251=Options!$B$10,"返程；"&amp;IF(C1251=DATE(2026,12,2),"机构午餐","无统一供餐"),"差旅状态；无统一日程"))))))</f>
        <v/>
      </c>
      <c r="E1251" s="13">
        <f>IF(C1251=Options!$B$9,Options!$C$17,0)</f>
        <v/>
      </c>
      <c r="F1251" s="13">
        <f>IF(AND(A1251&lt;&gt;"",C1251&lt;Options!$B$10),B1251*Options!$X$6,0)</f>
        <v/>
      </c>
      <c r="G1251" s="13">
        <f>F1251*12%</f>
        <v/>
      </c>
      <c r="H1251" s="13">
        <f>IF(A1251="",0,B1251*(92*IF(OR(C1251=Options!$B$9,C1251=Options!$B$10),75%,100%)-IF(C1251=DATE(2026,11,29),26+IF(Options!$B$8="是",23,0),0)-IF(C1251=DATE(2026,11,30),26,0)-IF(C1251=DATE(2026,12,1),64,0)-IF(C1251=DATE(2026,11,28),38,0)-IF(C1251=DATE(2026,12,2),26,0)))</f>
        <v/>
      </c>
      <c r="I1251" s="13">
        <f>IF(AND(C1251&gt;=DATE(2026,11,29),C1251&lt;=DATE(2026,12,1)),B1251*60,0)</f>
        <v/>
      </c>
      <c r="J1251" s="13">
        <f>IF(A1251="",0,B1251*(IF(C1251=DATE(2026,11,28),38,0)+IF(C1251=DATE(2026,12,1),38,0)+IF(C1251=DATE(2026,12,2),26,0)))</f>
        <v/>
      </c>
      <c r="K1251" s="13">
        <f>IF(C1251=Options!$B$9,B1251*12,0)</f>
        <v/>
      </c>
      <c r="L1251" s="13">
        <f>IF(C1251=Options!$B$9,B1251*Options!$Z$6,0)</f>
        <v/>
      </c>
      <c r="M1251" s="13" t="n">
        <v>0</v>
      </c>
      <c r="N1251" s="13">
        <f>SUM(E1251:M1251)</f>
        <v/>
      </c>
    </row>
    <row r="1252">
      <c r="A1252" s="5">
        <f>IF(AND(C1252&gt;=Options!$B$9,C1252&lt;=Options!$B$10),"Denver","")</f>
        <v/>
      </c>
      <c r="B1252" s="5">
        <f>IF(A1252="","",24)</f>
        <v/>
      </c>
      <c r="C1252" s="17" t="n">
        <v>46448</v>
      </c>
      <c r="D1252" s="5">
        <f>IF(A1252="","",IF(C1252=DATE(2026,11,29),"培训；注册午餐；早餐参数",IF(C1252=DATE(2026,11,30),"培训；注册午餐",IF(C1252=DATE(2026,12,1),"培训；注册午餐；机构晚餐",IF(C1252=Options!$B$9,"抵达；"&amp;IF(C1252=DATE(2026,11,28),"机构晚餐","无统一供餐"),IF(C1252=Options!$B$10,"返程；"&amp;IF(C1252=DATE(2026,12,2),"机构午餐","无统一供餐"),"差旅状态；无统一日程"))))))</f>
        <v/>
      </c>
      <c r="E1252" s="13">
        <f>IF(C1252=Options!$B$9,Options!$C$17,0)</f>
        <v/>
      </c>
      <c r="F1252" s="13">
        <f>IF(AND(A1252&lt;&gt;"",C1252&lt;Options!$B$10),B1252*Options!$X$6,0)</f>
        <v/>
      </c>
      <c r="G1252" s="13">
        <f>F1252*12%</f>
        <v/>
      </c>
      <c r="H1252" s="13">
        <f>IF(A1252="",0,B1252*(92*IF(OR(C1252=Options!$B$9,C1252=Options!$B$10),75%,100%)-IF(C1252=DATE(2026,11,29),26+IF(Options!$B$8="是",23,0),0)-IF(C1252=DATE(2026,11,30),26,0)-IF(C1252=DATE(2026,12,1),64,0)-IF(C1252=DATE(2026,11,28),38,0)-IF(C1252=DATE(2026,12,2),26,0)))</f>
        <v/>
      </c>
      <c r="I1252" s="13">
        <f>IF(AND(C1252&gt;=DATE(2026,11,29),C1252&lt;=DATE(2026,12,1)),B1252*60,0)</f>
        <v/>
      </c>
      <c r="J1252" s="13">
        <f>IF(A1252="",0,B1252*(IF(C1252=DATE(2026,11,28),38,0)+IF(C1252=DATE(2026,12,1),38,0)+IF(C1252=DATE(2026,12,2),26,0)))</f>
        <v/>
      </c>
      <c r="K1252" s="13">
        <f>IF(C1252=Options!$B$9,B1252*12,0)</f>
        <v/>
      </c>
      <c r="L1252" s="13">
        <f>IF(C1252=Options!$B$9,B1252*Options!$Z$6,0)</f>
        <v/>
      </c>
      <c r="M1252" s="13" t="n">
        <v>0</v>
      </c>
      <c r="N1252" s="13">
        <f>SUM(E1252:M1252)</f>
        <v/>
      </c>
    </row>
    <row r="1253">
      <c r="A1253" s="5">
        <f>IF(AND(C1253&gt;=Options!$B$9,C1253&lt;=Options!$B$10),"Denver","")</f>
        <v/>
      </c>
      <c r="B1253" s="5">
        <f>IF(A1253="","",24)</f>
        <v/>
      </c>
      <c r="C1253" s="17" t="n">
        <v>46449</v>
      </c>
      <c r="D1253" s="5">
        <f>IF(A1253="","",IF(C1253=DATE(2026,11,29),"培训；注册午餐；早餐参数",IF(C1253=DATE(2026,11,30),"培训；注册午餐",IF(C1253=DATE(2026,12,1),"培训；注册午餐；机构晚餐",IF(C1253=Options!$B$9,"抵达；"&amp;IF(C1253=DATE(2026,11,28),"机构晚餐","无统一供餐"),IF(C1253=Options!$B$10,"返程；"&amp;IF(C1253=DATE(2026,12,2),"机构午餐","无统一供餐"),"差旅状态；无统一日程"))))))</f>
        <v/>
      </c>
      <c r="E1253" s="13">
        <f>IF(C1253=Options!$B$9,Options!$C$17,0)</f>
        <v/>
      </c>
      <c r="F1253" s="13">
        <f>IF(AND(A1253&lt;&gt;"",C1253&lt;Options!$B$10),B1253*Options!$X$6,0)</f>
        <v/>
      </c>
      <c r="G1253" s="13">
        <f>F1253*12%</f>
        <v/>
      </c>
      <c r="H1253" s="13">
        <f>IF(A1253="",0,B1253*(92*IF(OR(C1253=Options!$B$9,C1253=Options!$B$10),75%,100%)-IF(C1253=DATE(2026,11,29),26+IF(Options!$B$8="是",23,0),0)-IF(C1253=DATE(2026,11,30),26,0)-IF(C1253=DATE(2026,12,1),64,0)-IF(C1253=DATE(2026,11,28),38,0)-IF(C1253=DATE(2026,12,2),26,0)))</f>
        <v/>
      </c>
      <c r="I1253" s="13">
        <f>IF(AND(C1253&gt;=DATE(2026,11,29),C1253&lt;=DATE(2026,12,1)),B1253*60,0)</f>
        <v/>
      </c>
      <c r="J1253" s="13">
        <f>IF(A1253="",0,B1253*(IF(C1253=DATE(2026,11,28),38,0)+IF(C1253=DATE(2026,12,1),38,0)+IF(C1253=DATE(2026,12,2),26,0)))</f>
        <v/>
      </c>
      <c r="K1253" s="13">
        <f>IF(C1253=Options!$B$9,B1253*12,0)</f>
        <v/>
      </c>
      <c r="L1253" s="13">
        <f>IF(C1253=Options!$B$9,B1253*Options!$Z$6,0)</f>
        <v/>
      </c>
      <c r="M1253" s="13" t="n">
        <v>0</v>
      </c>
      <c r="N1253" s="13">
        <f>SUM(E1253:M1253)</f>
        <v/>
      </c>
    </row>
    <row r="1254">
      <c r="A1254" s="5">
        <f>IF(AND(C1254&gt;=Options!$B$9,C1254&lt;=Options!$B$10),"Denver","")</f>
        <v/>
      </c>
      <c r="B1254" s="5">
        <f>IF(A1254="","",24)</f>
        <v/>
      </c>
      <c r="C1254" s="17" t="n">
        <v>46450</v>
      </c>
      <c r="D1254" s="5">
        <f>IF(A1254="","",IF(C1254=DATE(2026,11,29),"培训；注册午餐；早餐参数",IF(C1254=DATE(2026,11,30),"培训；注册午餐",IF(C1254=DATE(2026,12,1),"培训；注册午餐；机构晚餐",IF(C1254=Options!$B$9,"抵达；"&amp;IF(C1254=DATE(2026,11,28),"机构晚餐","无统一供餐"),IF(C1254=Options!$B$10,"返程；"&amp;IF(C1254=DATE(2026,12,2),"机构午餐","无统一供餐"),"差旅状态；无统一日程"))))))</f>
        <v/>
      </c>
      <c r="E1254" s="13">
        <f>IF(C1254=Options!$B$9,Options!$C$17,0)</f>
        <v/>
      </c>
      <c r="F1254" s="13">
        <f>IF(AND(A1254&lt;&gt;"",C1254&lt;Options!$B$10),B1254*Options!$X$6,0)</f>
        <v/>
      </c>
      <c r="G1254" s="13">
        <f>F1254*12%</f>
        <v/>
      </c>
      <c r="H1254" s="13">
        <f>IF(A1254="",0,B1254*(92*IF(OR(C1254=Options!$B$9,C1254=Options!$B$10),75%,100%)-IF(C1254=DATE(2026,11,29),26+IF(Options!$B$8="是",23,0),0)-IF(C1254=DATE(2026,11,30),26,0)-IF(C1254=DATE(2026,12,1),64,0)-IF(C1254=DATE(2026,11,28),38,0)-IF(C1254=DATE(2026,12,2),26,0)))</f>
        <v/>
      </c>
      <c r="I1254" s="13">
        <f>IF(AND(C1254&gt;=DATE(2026,11,29),C1254&lt;=DATE(2026,12,1)),B1254*60,0)</f>
        <v/>
      </c>
      <c r="J1254" s="13">
        <f>IF(A1254="",0,B1254*(IF(C1254=DATE(2026,11,28),38,0)+IF(C1254=DATE(2026,12,1),38,0)+IF(C1254=DATE(2026,12,2),26,0)))</f>
        <v/>
      </c>
      <c r="K1254" s="13">
        <f>IF(C1254=Options!$B$9,B1254*12,0)</f>
        <v/>
      </c>
      <c r="L1254" s="13">
        <f>IF(C1254=Options!$B$9,B1254*Options!$Z$6,0)</f>
        <v/>
      </c>
      <c r="M1254" s="13" t="n">
        <v>0</v>
      </c>
      <c r="N1254" s="13">
        <f>SUM(E1254:M1254)</f>
        <v/>
      </c>
    </row>
    <row r="1255">
      <c r="A1255" s="5">
        <f>IF(AND(C1255&gt;=Options!$B$9,C1255&lt;=Options!$B$10),"Denver","")</f>
        <v/>
      </c>
      <c r="B1255" s="5">
        <f>IF(A1255="","",24)</f>
        <v/>
      </c>
      <c r="C1255" s="17" t="n">
        <v>46451</v>
      </c>
      <c r="D1255" s="5">
        <f>IF(A1255="","",IF(C1255=DATE(2026,11,29),"培训；注册午餐；早餐参数",IF(C1255=DATE(2026,11,30),"培训；注册午餐",IF(C1255=DATE(2026,12,1),"培训；注册午餐；机构晚餐",IF(C1255=Options!$B$9,"抵达；"&amp;IF(C1255=DATE(2026,11,28),"机构晚餐","无统一供餐"),IF(C1255=Options!$B$10,"返程；"&amp;IF(C1255=DATE(2026,12,2),"机构午餐","无统一供餐"),"差旅状态；无统一日程"))))))</f>
        <v/>
      </c>
      <c r="E1255" s="13">
        <f>IF(C1255=Options!$B$9,Options!$C$17,0)</f>
        <v/>
      </c>
      <c r="F1255" s="13">
        <f>IF(AND(A1255&lt;&gt;"",C1255&lt;Options!$B$10),B1255*Options!$X$6,0)</f>
        <v/>
      </c>
      <c r="G1255" s="13">
        <f>F1255*12%</f>
        <v/>
      </c>
      <c r="H1255" s="13">
        <f>IF(A1255="",0,B1255*(92*IF(OR(C1255=Options!$B$9,C1255=Options!$B$10),75%,100%)-IF(C1255=DATE(2026,11,29),26+IF(Options!$B$8="是",23,0),0)-IF(C1255=DATE(2026,11,30),26,0)-IF(C1255=DATE(2026,12,1),64,0)-IF(C1255=DATE(2026,11,28),38,0)-IF(C1255=DATE(2026,12,2),26,0)))</f>
        <v/>
      </c>
      <c r="I1255" s="13">
        <f>IF(AND(C1255&gt;=DATE(2026,11,29),C1255&lt;=DATE(2026,12,1)),B1255*60,0)</f>
        <v/>
      </c>
      <c r="J1255" s="13">
        <f>IF(A1255="",0,B1255*(IF(C1255=DATE(2026,11,28),38,0)+IF(C1255=DATE(2026,12,1),38,0)+IF(C1255=DATE(2026,12,2),26,0)))</f>
        <v/>
      </c>
      <c r="K1255" s="13">
        <f>IF(C1255=Options!$B$9,B1255*12,0)</f>
        <v/>
      </c>
      <c r="L1255" s="13">
        <f>IF(C1255=Options!$B$9,B1255*Options!$Z$6,0)</f>
        <v/>
      </c>
      <c r="M1255" s="13" t="n">
        <v>0</v>
      </c>
      <c r="N1255" s="13">
        <f>SUM(E1255:M1255)</f>
        <v/>
      </c>
    </row>
    <row r="1256">
      <c r="A1256" s="5">
        <f>IF(AND(C1256&gt;=Options!$B$9,C1256&lt;=Options!$B$10),"Denver","")</f>
        <v/>
      </c>
      <c r="B1256" s="5">
        <f>IF(A1256="","",24)</f>
        <v/>
      </c>
      <c r="C1256" s="17" t="n">
        <v>46452</v>
      </c>
      <c r="D1256" s="5">
        <f>IF(A1256="","",IF(C1256=DATE(2026,11,29),"培训；注册午餐；早餐参数",IF(C1256=DATE(2026,11,30),"培训；注册午餐",IF(C1256=DATE(2026,12,1),"培训；注册午餐；机构晚餐",IF(C1256=Options!$B$9,"抵达；"&amp;IF(C1256=DATE(2026,11,28),"机构晚餐","无统一供餐"),IF(C1256=Options!$B$10,"返程；"&amp;IF(C1256=DATE(2026,12,2),"机构午餐","无统一供餐"),"差旅状态；无统一日程"))))))</f>
        <v/>
      </c>
      <c r="E1256" s="13">
        <f>IF(C1256=Options!$B$9,Options!$C$17,0)</f>
        <v/>
      </c>
      <c r="F1256" s="13">
        <f>IF(AND(A1256&lt;&gt;"",C1256&lt;Options!$B$10),B1256*Options!$X$6,0)</f>
        <v/>
      </c>
      <c r="G1256" s="13">
        <f>F1256*12%</f>
        <v/>
      </c>
      <c r="H1256" s="13">
        <f>IF(A1256="",0,B1256*(92*IF(OR(C1256=Options!$B$9,C1256=Options!$B$10),75%,100%)-IF(C1256=DATE(2026,11,29),26+IF(Options!$B$8="是",23,0),0)-IF(C1256=DATE(2026,11,30),26,0)-IF(C1256=DATE(2026,12,1),64,0)-IF(C1256=DATE(2026,11,28),38,0)-IF(C1256=DATE(2026,12,2),26,0)))</f>
        <v/>
      </c>
      <c r="I1256" s="13">
        <f>IF(AND(C1256&gt;=DATE(2026,11,29),C1256&lt;=DATE(2026,12,1)),B1256*60,0)</f>
        <v/>
      </c>
      <c r="J1256" s="13">
        <f>IF(A1256="",0,B1256*(IF(C1256=DATE(2026,11,28),38,0)+IF(C1256=DATE(2026,12,1),38,0)+IF(C1256=DATE(2026,12,2),26,0)))</f>
        <v/>
      </c>
      <c r="K1256" s="13">
        <f>IF(C1256=Options!$B$9,B1256*12,0)</f>
        <v/>
      </c>
      <c r="L1256" s="13">
        <f>IF(C1256=Options!$B$9,B1256*Options!$Z$6,0)</f>
        <v/>
      </c>
      <c r="M1256" s="13" t="n">
        <v>0</v>
      </c>
      <c r="N1256" s="13">
        <f>SUM(E1256:M1256)</f>
        <v/>
      </c>
    </row>
    <row r="1257">
      <c r="A1257" s="5">
        <f>IF(AND(C1257&gt;=Options!$B$9,C1257&lt;=Options!$B$10),"Denver","")</f>
        <v/>
      </c>
      <c r="B1257" s="5">
        <f>IF(A1257="","",24)</f>
        <v/>
      </c>
      <c r="C1257" s="17" t="n">
        <v>46453</v>
      </c>
      <c r="D1257" s="5">
        <f>IF(A1257="","",IF(C1257=DATE(2026,11,29),"培训；注册午餐；早餐参数",IF(C1257=DATE(2026,11,30),"培训；注册午餐",IF(C1257=DATE(2026,12,1),"培训；注册午餐；机构晚餐",IF(C1257=Options!$B$9,"抵达；"&amp;IF(C1257=DATE(2026,11,28),"机构晚餐","无统一供餐"),IF(C1257=Options!$B$10,"返程；"&amp;IF(C1257=DATE(2026,12,2),"机构午餐","无统一供餐"),"差旅状态；无统一日程"))))))</f>
        <v/>
      </c>
      <c r="E1257" s="13">
        <f>IF(C1257=Options!$B$9,Options!$C$17,0)</f>
        <v/>
      </c>
      <c r="F1257" s="13">
        <f>IF(AND(A1257&lt;&gt;"",C1257&lt;Options!$B$10),B1257*Options!$X$6,0)</f>
        <v/>
      </c>
      <c r="G1257" s="13">
        <f>F1257*12%</f>
        <v/>
      </c>
      <c r="H1257" s="13">
        <f>IF(A1257="",0,B1257*(92*IF(OR(C1257=Options!$B$9,C1257=Options!$B$10),75%,100%)-IF(C1257=DATE(2026,11,29),26+IF(Options!$B$8="是",23,0),0)-IF(C1257=DATE(2026,11,30),26,0)-IF(C1257=DATE(2026,12,1),64,0)-IF(C1257=DATE(2026,11,28),38,0)-IF(C1257=DATE(2026,12,2),26,0)))</f>
        <v/>
      </c>
      <c r="I1257" s="13">
        <f>IF(AND(C1257&gt;=DATE(2026,11,29),C1257&lt;=DATE(2026,12,1)),B1257*60,0)</f>
        <v/>
      </c>
      <c r="J1257" s="13">
        <f>IF(A1257="",0,B1257*(IF(C1257=DATE(2026,11,28),38,0)+IF(C1257=DATE(2026,12,1),38,0)+IF(C1257=DATE(2026,12,2),26,0)))</f>
        <v/>
      </c>
      <c r="K1257" s="13">
        <f>IF(C1257=Options!$B$9,B1257*12,0)</f>
        <v/>
      </c>
      <c r="L1257" s="13">
        <f>IF(C1257=Options!$B$9,B1257*Options!$Z$6,0)</f>
        <v/>
      </c>
      <c r="M1257" s="13" t="n">
        <v>0</v>
      </c>
      <c r="N1257" s="13">
        <f>SUM(E1257:M1257)</f>
        <v/>
      </c>
    </row>
    <row r="1258">
      <c r="A1258" s="5">
        <f>IF(AND(C1258&gt;=Options!$B$9,C1258&lt;=Options!$B$10),"Denver","")</f>
        <v/>
      </c>
      <c r="B1258" s="5">
        <f>IF(A1258="","",24)</f>
        <v/>
      </c>
      <c r="C1258" s="17" t="n">
        <v>46454</v>
      </c>
      <c r="D1258" s="5">
        <f>IF(A1258="","",IF(C1258=DATE(2026,11,29),"培训；注册午餐；早餐参数",IF(C1258=DATE(2026,11,30),"培训；注册午餐",IF(C1258=DATE(2026,12,1),"培训；注册午餐；机构晚餐",IF(C1258=Options!$B$9,"抵达；"&amp;IF(C1258=DATE(2026,11,28),"机构晚餐","无统一供餐"),IF(C1258=Options!$B$10,"返程；"&amp;IF(C1258=DATE(2026,12,2),"机构午餐","无统一供餐"),"差旅状态；无统一日程"))))))</f>
        <v/>
      </c>
      <c r="E1258" s="13">
        <f>IF(C1258=Options!$B$9,Options!$C$17,0)</f>
        <v/>
      </c>
      <c r="F1258" s="13">
        <f>IF(AND(A1258&lt;&gt;"",C1258&lt;Options!$B$10),B1258*Options!$X$6,0)</f>
        <v/>
      </c>
      <c r="G1258" s="13">
        <f>F1258*12%</f>
        <v/>
      </c>
      <c r="H1258" s="13">
        <f>IF(A1258="",0,B1258*(92*IF(OR(C1258=Options!$B$9,C1258=Options!$B$10),75%,100%)-IF(C1258=DATE(2026,11,29),26+IF(Options!$B$8="是",23,0),0)-IF(C1258=DATE(2026,11,30),26,0)-IF(C1258=DATE(2026,12,1),64,0)-IF(C1258=DATE(2026,11,28),38,0)-IF(C1258=DATE(2026,12,2),26,0)))</f>
        <v/>
      </c>
      <c r="I1258" s="13">
        <f>IF(AND(C1258&gt;=DATE(2026,11,29),C1258&lt;=DATE(2026,12,1)),B1258*60,0)</f>
        <v/>
      </c>
      <c r="J1258" s="13">
        <f>IF(A1258="",0,B1258*(IF(C1258=DATE(2026,11,28),38,0)+IF(C1258=DATE(2026,12,1),38,0)+IF(C1258=DATE(2026,12,2),26,0)))</f>
        <v/>
      </c>
      <c r="K1258" s="13">
        <f>IF(C1258=Options!$B$9,B1258*12,0)</f>
        <v/>
      </c>
      <c r="L1258" s="13">
        <f>IF(C1258=Options!$B$9,B1258*Options!$Z$6,0)</f>
        <v/>
      </c>
      <c r="M1258" s="13" t="n">
        <v>0</v>
      </c>
      <c r="N1258" s="13">
        <f>SUM(E1258:M1258)</f>
        <v/>
      </c>
    </row>
    <row r="1259">
      <c r="A1259" s="5">
        <f>IF(AND(C1259&gt;=Options!$B$9,C1259&lt;=Options!$B$10),"Denver","")</f>
        <v/>
      </c>
      <c r="B1259" s="5">
        <f>IF(A1259="","",24)</f>
        <v/>
      </c>
      <c r="C1259" s="17" t="n">
        <v>46455</v>
      </c>
      <c r="D1259" s="5">
        <f>IF(A1259="","",IF(C1259=DATE(2026,11,29),"培训；注册午餐；早餐参数",IF(C1259=DATE(2026,11,30),"培训；注册午餐",IF(C1259=DATE(2026,12,1),"培训；注册午餐；机构晚餐",IF(C1259=Options!$B$9,"抵达；"&amp;IF(C1259=DATE(2026,11,28),"机构晚餐","无统一供餐"),IF(C1259=Options!$B$10,"返程；"&amp;IF(C1259=DATE(2026,12,2),"机构午餐","无统一供餐"),"差旅状态；无统一日程"))))))</f>
        <v/>
      </c>
      <c r="E1259" s="13">
        <f>IF(C1259=Options!$B$9,Options!$C$17,0)</f>
        <v/>
      </c>
      <c r="F1259" s="13">
        <f>IF(AND(A1259&lt;&gt;"",C1259&lt;Options!$B$10),B1259*Options!$X$6,0)</f>
        <v/>
      </c>
      <c r="G1259" s="13">
        <f>F1259*12%</f>
        <v/>
      </c>
      <c r="H1259" s="13">
        <f>IF(A1259="",0,B1259*(92*IF(OR(C1259=Options!$B$9,C1259=Options!$B$10),75%,100%)-IF(C1259=DATE(2026,11,29),26+IF(Options!$B$8="是",23,0),0)-IF(C1259=DATE(2026,11,30),26,0)-IF(C1259=DATE(2026,12,1),64,0)-IF(C1259=DATE(2026,11,28),38,0)-IF(C1259=DATE(2026,12,2),26,0)))</f>
        <v/>
      </c>
      <c r="I1259" s="13">
        <f>IF(AND(C1259&gt;=DATE(2026,11,29),C1259&lt;=DATE(2026,12,1)),B1259*60,0)</f>
        <v/>
      </c>
      <c r="J1259" s="13">
        <f>IF(A1259="",0,B1259*(IF(C1259=DATE(2026,11,28),38,0)+IF(C1259=DATE(2026,12,1),38,0)+IF(C1259=DATE(2026,12,2),26,0)))</f>
        <v/>
      </c>
      <c r="K1259" s="13">
        <f>IF(C1259=Options!$B$9,B1259*12,0)</f>
        <v/>
      </c>
      <c r="L1259" s="13">
        <f>IF(C1259=Options!$B$9,B1259*Options!$Z$6,0)</f>
        <v/>
      </c>
      <c r="M1259" s="13" t="n">
        <v>0</v>
      </c>
      <c r="N1259" s="13">
        <f>SUM(E1259:M1259)</f>
        <v/>
      </c>
    </row>
    <row r="1260">
      <c r="A1260" s="5">
        <f>IF(AND(C1260&gt;=Options!$B$9,C1260&lt;=Options!$B$10),"Denver","")</f>
        <v/>
      </c>
      <c r="B1260" s="5">
        <f>IF(A1260="","",24)</f>
        <v/>
      </c>
      <c r="C1260" s="17" t="n">
        <v>46456</v>
      </c>
      <c r="D1260" s="5">
        <f>IF(A1260="","",IF(C1260=DATE(2026,11,29),"培训；注册午餐；早餐参数",IF(C1260=DATE(2026,11,30),"培训；注册午餐",IF(C1260=DATE(2026,12,1),"培训；注册午餐；机构晚餐",IF(C1260=Options!$B$9,"抵达；"&amp;IF(C1260=DATE(2026,11,28),"机构晚餐","无统一供餐"),IF(C1260=Options!$B$10,"返程；"&amp;IF(C1260=DATE(2026,12,2),"机构午餐","无统一供餐"),"差旅状态；无统一日程"))))))</f>
        <v/>
      </c>
      <c r="E1260" s="13">
        <f>IF(C1260=Options!$B$9,Options!$C$17,0)</f>
        <v/>
      </c>
      <c r="F1260" s="13">
        <f>IF(AND(A1260&lt;&gt;"",C1260&lt;Options!$B$10),B1260*Options!$X$6,0)</f>
        <v/>
      </c>
      <c r="G1260" s="13">
        <f>F1260*12%</f>
        <v/>
      </c>
      <c r="H1260" s="13">
        <f>IF(A1260="",0,B1260*(92*IF(OR(C1260=Options!$B$9,C1260=Options!$B$10),75%,100%)-IF(C1260=DATE(2026,11,29),26+IF(Options!$B$8="是",23,0),0)-IF(C1260=DATE(2026,11,30),26,0)-IF(C1260=DATE(2026,12,1),64,0)-IF(C1260=DATE(2026,11,28),38,0)-IF(C1260=DATE(2026,12,2),26,0)))</f>
        <v/>
      </c>
      <c r="I1260" s="13">
        <f>IF(AND(C1260&gt;=DATE(2026,11,29),C1260&lt;=DATE(2026,12,1)),B1260*60,0)</f>
        <v/>
      </c>
      <c r="J1260" s="13">
        <f>IF(A1260="",0,B1260*(IF(C1260=DATE(2026,11,28),38,0)+IF(C1260=DATE(2026,12,1),38,0)+IF(C1260=DATE(2026,12,2),26,0)))</f>
        <v/>
      </c>
      <c r="K1260" s="13">
        <f>IF(C1260=Options!$B$9,B1260*12,0)</f>
        <v/>
      </c>
      <c r="L1260" s="13">
        <f>IF(C1260=Options!$B$9,B1260*Options!$Z$6,0)</f>
        <v/>
      </c>
      <c r="M1260" s="13" t="n">
        <v>0</v>
      </c>
      <c r="N1260" s="13">
        <f>SUM(E1260:M1260)</f>
        <v/>
      </c>
    </row>
    <row r="1261">
      <c r="A1261" s="5">
        <f>IF(AND(C1261&gt;=Options!$B$9,C1261&lt;=Options!$B$10),"Denver","")</f>
        <v/>
      </c>
      <c r="B1261" s="5">
        <f>IF(A1261="","",24)</f>
        <v/>
      </c>
      <c r="C1261" s="17" t="n">
        <v>46457</v>
      </c>
      <c r="D1261" s="5">
        <f>IF(A1261="","",IF(C1261=DATE(2026,11,29),"培训；注册午餐；早餐参数",IF(C1261=DATE(2026,11,30),"培训；注册午餐",IF(C1261=DATE(2026,12,1),"培训；注册午餐；机构晚餐",IF(C1261=Options!$B$9,"抵达；"&amp;IF(C1261=DATE(2026,11,28),"机构晚餐","无统一供餐"),IF(C1261=Options!$B$10,"返程；"&amp;IF(C1261=DATE(2026,12,2),"机构午餐","无统一供餐"),"差旅状态；无统一日程"))))))</f>
        <v/>
      </c>
      <c r="E1261" s="13">
        <f>IF(C1261=Options!$B$9,Options!$C$17,0)</f>
        <v/>
      </c>
      <c r="F1261" s="13">
        <f>IF(AND(A1261&lt;&gt;"",C1261&lt;Options!$B$10),B1261*Options!$X$6,0)</f>
        <v/>
      </c>
      <c r="G1261" s="13">
        <f>F1261*12%</f>
        <v/>
      </c>
      <c r="H1261" s="13">
        <f>IF(A1261="",0,B1261*(92*IF(OR(C1261=Options!$B$9,C1261=Options!$B$10),75%,100%)-IF(C1261=DATE(2026,11,29),26+IF(Options!$B$8="是",23,0),0)-IF(C1261=DATE(2026,11,30),26,0)-IF(C1261=DATE(2026,12,1),64,0)-IF(C1261=DATE(2026,11,28),38,0)-IF(C1261=DATE(2026,12,2),26,0)))</f>
        <v/>
      </c>
      <c r="I1261" s="13">
        <f>IF(AND(C1261&gt;=DATE(2026,11,29),C1261&lt;=DATE(2026,12,1)),B1261*60,0)</f>
        <v/>
      </c>
      <c r="J1261" s="13">
        <f>IF(A1261="",0,B1261*(IF(C1261=DATE(2026,11,28),38,0)+IF(C1261=DATE(2026,12,1),38,0)+IF(C1261=DATE(2026,12,2),26,0)))</f>
        <v/>
      </c>
      <c r="K1261" s="13">
        <f>IF(C1261=Options!$B$9,B1261*12,0)</f>
        <v/>
      </c>
      <c r="L1261" s="13">
        <f>IF(C1261=Options!$B$9,B1261*Options!$Z$6,0)</f>
        <v/>
      </c>
      <c r="M1261" s="13" t="n">
        <v>0</v>
      </c>
      <c r="N1261" s="13">
        <f>SUM(E1261:M1261)</f>
        <v/>
      </c>
    </row>
    <row r="1262">
      <c r="A1262" s="5">
        <f>IF(AND(C1262&gt;=Options!$B$9,C1262&lt;=Options!$B$10),"Denver","")</f>
        <v/>
      </c>
      <c r="B1262" s="5">
        <f>IF(A1262="","",24)</f>
        <v/>
      </c>
      <c r="C1262" s="17" t="n">
        <v>46458</v>
      </c>
      <c r="D1262" s="5">
        <f>IF(A1262="","",IF(C1262=DATE(2026,11,29),"培训；注册午餐；早餐参数",IF(C1262=DATE(2026,11,30),"培训；注册午餐",IF(C1262=DATE(2026,12,1),"培训；注册午餐；机构晚餐",IF(C1262=Options!$B$9,"抵达；"&amp;IF(C1262=DATE(2026,11,28),"机构晚餐","无统一供餐"),IF(C1262=Options!$B$10,"返程；"&amp;IF(C1262=DATE(2026,12,2),"机构午餐","无统一供餐"),"差旅状态；无统一日程"))))))</f>
        <v/>
      </c>
      <c r="E1262" s="13">
        <f>IF(C1262=Options!$B$9,Options!$C$17,0)</f>
        <v/>
      </c>
      <c r="F1262" s="13">
        <f>IF(AND(A1262&lt;&gt;"",C1262&lt;Options!$B$10),B1262*Options!$X$6,0)</f>
        <v/>
      </c>
      <c r="G1262" s="13">
        <f>F1262*12%</f>
        <v/>
      </c>
      <c r="H1262" s="13">
        <f>IF(A1262="",0,B1262*(92*IF(OR(C1262=Options!$B$9,C1262=Options!$B$10),75%,100%)-IF(C1262=DATE(2026,11,29),26+IF(Options!$B$8="是",23,0),0)-IF(C1262=DATE(2026,11,30),26,0)-IF(C1262=DATE(2026,12,1),64,0)-IF(C1262=DATE(2026,11,28),38,0)-IF(C1262=DATE(2026,12,2),26,0)))</f>
        <v/>
      </c>
      <c r="I1262" s="13">
        <f>IF(AND(C1262&gt;=DATE(2026,11,29),C1262&lt;=DATE(2026,12,1)),B1262*60,0)</f>
        <v/>
      </c>
      <c r="J1262" s="13">
        <f>IF(A1262="",0,B1262*(IF(C1262=DATE(2026,11,28),38,0)+IF(C1262=DATE(2026,12,1),38,0)+IF(C1262=DATE(2026,12,2),26,0)))</f>
        <v/>
      </c>
      <c r="K1262" s="13">
        <f>IF(C1262=Options!$B$9,B1262*12,0)</f>
        <v/>
      </c>
      <c r="L1262" s="13">
        <f>IF(C1262=Options!$B$9,B1262*Options!$Z$6,0)</f>
        <v/>
      </c>
      <c r="M1262" s="13" t="n">
        <v>0</v>
      </c>
      <c r="N1262" s="13">
        <f>SUM(E1262:M1262)</f>
        <v/>
      </c>
    </row>
    <row r="1263">
      <c r="A1263" s="5">
        <f>IF(AND(C1263&gt;=Options!$B$9,C1263&lt;=Options!$B$10),"Denver","")</f>
        <v/>
      </c>
      <c r="B1263" s="5">
        <f>IF(A1263="","",24)</f>
        <v/>
      </c>
      <c r="C1263" s="17" t="n">
        <v>46459</v>
      </c>
      <c r="D1263" s="5">
        <f>IF(A1263="","",IF(C1263=DATE(2026,11,29),"培训；注册午餐；早餐参数",IF(C1263=DATE(2026,11,30),"培训；注册午餐",IF(C1263=DATE(2026,12,1),"培训；注册午餐；机构晚餐",IF(C1263=Options!$B$9,"抵达；"&amp;IF(C1263=DATE(2026,11,28),"机构晚餐","无统一供餐"),IF(C1263=Options!$B$10,"返程；"&amp;IF(C1263=DATE(2026,12,2),"机构午餐","无统一供餐"),"差旅状态；无统一日程"))))))</f>
        <v/>
      </c>
      <c r="E1263" s="13">
        <f>IF(C1263=Options!$B$9,Options!$C$17,0)</f>
        <v/>
      </c>
      <c r="F1263" s="13">
        <f>IF(AND(A1263&lt;&gt;"",C1263&lt;Options!$B$10),B1263*Options!$X$6,0)</f>
        <v/>
      </c>
      <c r="G1263" s="13">
        <f>F1263*12%</f>
        <v/>
      </c>
      <c r="H1263" s="13">
        <f>IF(A1263="",0,B1263*(92*IF(OR(C1263=Options!$B$9,C1263=Options!$B$10),75%,100%)-IF(C1263=DATE(2026,11,29),26+IF(Options!$B$8="是",23,0),0)-IF(C1263=DATE(2026,11,30),26,0)-IF(C1263=DATE(2026,12,1),64,0)-IF(C1263=DATE(2026,11,28),38,0)-IF(C1263=DATE(2026,12,2),26,0)))</f>
        <v/>
      </c>
      <c r="I1263" s="13">
        <f>IF(AND(C1263&gt;=DATE(2026,11,29),C1263&lt;=DATE(2026,12,1)),B1263*60,0)</f>
        <v/>
      </c>
      <c r="J1263" s="13">
        <f>IF(A1263="",0,B1263*(IF(C1263=DATE(2026,11,28),38,0)+IF(C1263=DATE(2026,12,1),38,0)+IF(C1263=DATE(2026,12,2),26,0)))</f>
        <v/>
      </c>
      <c r="K1263" s="13">
        <f>IF(C1263=Options!$B$9,B1263*12,0)</f>
        <v/>
      </c>
      <c r="L1263" s="13">
        <f>IF(C1263=Options!$B$9,B1263*Options!$Z$6,0)</f>
        <v/>
      </c>
      <c r="M1263" s="13" t="n">
        <v>0</v>
      </c>
      <c r="N1263" s="13">
        <f>SUM(E1263:M1263)</f>
        <v/>
      </c>
    </row>
    <row r="1264">
      <c r="A1264" s="5">
        <f>IF(AND(C1264&gt;=Options!$B$9,C1264&lt;=Options!$B$10),"Denver","")</f>
        <v/>
      </c>
      <c r="B1264" s="5">
        <f>IF(A1264="","",24)</f>
        <v/>
      </c>
      <c r="C1264" s="17" t="n">
        <v>46460</v>
      </c>
      <c r="D1264" s="5">
        <f>IF(A1264="","",IF(C1264=DATE(2026,11,29),"培训；注册午餐；早餐参数",IF(C1264=DATE(2026,11,30),"培训；注册午餐",IF(C1264=DATE(2026,12,1),"培训；注册午餐；机构晚餐",IF(C1264=Options!$B$9,"抵达；"&amp;IF(C1264=DATE(2026,11,28),"机构晚餐","无统一供餐"),IF(C1264=Options!$B$10,"返程；"&amp;IF(C1264=DATE(2026,12,2),"机构午餐","无统一供餐"),"差旅状态；无统一日程"))))))</f>
        <v/>
      </c>
      <c r="E1264" s="13">
        <f>IF(C1264=Options!$B$9,Options!$C$17,0)</f>
        <v/>
      </c>
      <c r="F1264" s="13">
        <f>IF(AND(A1264&lt;&gt;"",C1264&lt;Options!$B$10),B1264*Options!$X$6,0)</f>
        <v/>
      </c>
      <c r="G1264" s="13">
        <f>F1264*12%</f>
        <v/>
      </c>
      <c r="H1264" s="13">
        <f>IF(A1264="",0,B1264*(92*IF(OR(C1264=Options!$B$9,C1264=Options!$B$10),75%,100%)-IF(C1264=DATE(2026,11,29),26+IF(Options!$B$8="是",23,0),0)-IF(C1264=DATE(2026,11,30),26,0)-IF(C1264=DATE(2026,12,1),64,0)-IF(C1264=DATE(2026,11,28),38,0)-IF(C1264=DATE(2026,12,2),26,0)))</f>
        <v/>
      </c>
      <c r="I1264" s="13">
        <f>IF(AND(C1264&gt;=DATE(2026,11,29),C1264&lt;=DATE(2026,12,1)),B1264*60,0)</f>
        <v/>
      </c>
      <c r="J1264" s="13">
        <f>IF(A1264="",0,B1264*(IF(C1264=DATE(2026,11,28),38,0)+IF(C1264=DATE(2026,12,1),38,0)+IF(C1264=DATE(2026,12,2),26,0)))</f>
        <v/>
      </c>
      <c r="K1264" s="13">
        <f>IF(C1264=Options!$B$9,B1264*12,0)</f>
        <v/>
      </c>
      <c r="L1264" s="13">
        <f>IF(C1264=Options!$B$9,B1264*Options!$Z$6,0)</f>
        <v/>
      </c>
      <c r="M1264" s="13" t="n">
        <v>0</v>
      </c>
      <c r="N1264" s="13">
        <f>SUM(E1264:M1264)</f>
        <v/>
      </c>
    </row>
    <row r="1265">
      <c r="A1265" s="5">
        <f>IF(AND(C1265&gt;=Options!$B$9,C1265&lt;=Options!$B$10),"Denver","")</f>
        <v/>
      </c>
      <c r="B1265" s="5">
        <f>IF(A1265="","",24)</f>
        <v/>
      </c>
      <c r="C1265" s="17" t="n">
        <v>46461</v>
      </c>
      <c r="D1265" s="5">
        <f>IF(A1265="","",IF(C1265=DATE(2026,11,29),"培训；注册午餐；早餐参数",IF(C1265=DATE(2026,11,30),"培训；注册午餐",IF(C1265=DATE(2026,12,1),"培训；注册午餐；机构晚餐",IF(C1265=Options!$B$9,"抵达；"&amp;IF(C1265=DATE(2026,11,28),"机构晚餐","无统一供餐"),IF(C1265=Options!$B$10,"返程；"&amp;IF(C1265=DATE(2026,12,2),"机构午餐","无统一供餐"),"差旅状态；无统一日程"))))))</f>
        <v/>
      </c>
      <c r="E1265" s="13">
        <f>IF(C1265=Options!$B$9,Options!$C$17,0)</f>
        <v/>
      </c>
      <c r="F1265" s="13">
        <f>IF(AND(A1265&lt;&gt;"",C1265&lt;Options!$B$10),B1265*Options!$X$6,0)</f>
        <v/>
      </c>
      <c r="G1265" s="13">
        <f>F1265*12%</f>
        <v/>
      </c>
      <c r="H1265" s="13">
        <f>IF(A1265="",0,B1265*(92*IF(OR(C1265=Options!$B$9,C1265=Options!$B$10),75%,100%)-IF(C1265=DATE(2026,11,29),26+IF(Options!$B$8="是",23,0),0)-IF(C1265=DATE(2026,11,30),26,0)-IF(C1265=DATE(2026,12,1),64,0)-IF(C1265=DATE(2026,11,28),38,0)-IF(C1265=DATE(2026,12,2),26,0)))</f>
        <v/>
      </c>
      <c r="I1265" s="13">
        <f>IF(AND(C1265&gt;=DATE(2026,11,29),C1265&lt;=DATE(2026,12,1)),B1265*60,0)</f>
        <v/>
      </c>
      <c r="J1265" s="13">
        <f>IF(A1265="",0,B1265*(IF(C1265=DATE(2026,11,28),38,0)+IF(C1265=DATE(2026,12,1),38,0)+IF(C1265=DATE(2026,12,2),26,0)))</f>
        <v/>
      </c>
      <c r="K1265" s="13">
        <f>IF(C1265=Options!$B$9,B1265*12,0)</f>
        <v/>
      </c>
      <c r="L1265" s="13">
        <f>IF(C1265=Options!$B$9,B1265*Options!$Z$6,0)</f>
        <v/>
      </c>
      <c r="M1265" s="13" t="n">
        <v>0</v>
      </c>
      <c r="N1265" s="13">
        <f>SUM(E1265:M1265)</f>
        <v/>
      </c>
    </row>
    <row r="1266">
      <c r="A1266" s="5">
        <f>IF(AND(C1266&gt;=Options!$B$9,C1266&lt;=Options!$B$10),"Denver","")</f>
        <v/>
      </c>
      <c r="B1266" s="5">
        <f>IF(A1266="","",24)</f>
        <v/>
      </c>
      <c r="C1266" s="17" t="n">
        <v>46462</v>
      </c>
      <c r="D1266" s="5">
        <f>IF(A1266="","",IF(C1266=DATE(2026,11,29),"培训；注册午餐；早餐参数",IF(C1266=DATE(2026,11,30),"培训；注册午餐",IF(C1266=DATE(2026,12,1),"培训；注册午餐；机构晚餐",IF(C1266=Options!$B$9,"抵达；"&amp;IF(C1266=DATE(2026,11,28),"机构晚餐","无统一供餐"),IF(C1266=Options!$B$10,"返程；"&amp;IF(C1266=DATE(2026,12,2),"机构午餐","无统一供餐"),"差旅状态；无统一日程"))))))</f>
        <v/>
      </c>
      <c r="E1266" s="13">
        <f>IF(C1266=Options!$B$9,Options!$C$17,0)</f>
        <v/>
      </c>
      <c r="F1266" s="13">
        <f>IF(AND(A1266&lt;&gt;"",C1266&lt;Options!$B$10),B1266*Options!$X$6,0)</f>
        <v/>
      </c>
      <c r="G1266" s="13">
        <f>F1266*12%</f>
        <v/>
      </c>
      <c r="H1266" s="13">
        <f>IF(A1266="",0,B1266*(92*IF(OR(C1266=Options!$B$9,C1266=Options!$B$10),75%,100%)-IF(C1266=DATE(2026,11,29),26+IF(Options!$B$8="是",23,0),0)-IF(C1266=DATE(2026,11,30),26,0)-IF(C1266=DATE(2026,12,1),64,0)-IF(C1266=DATE(2026,11,28),38,0)-IF(C1266=DATE(2026,12,2),26,0)))</f>
        <v/>
      </c>
      <c r="I1266" s="13">
        <f>IF(AND(C1266&gt;=DATE(2026,11,29),C1266&lt;=DATE(2026,12,1)),B1266*60,0)</f>
        <v/>
      </c>
      <c r="J1266" s="13">
        <f>IF(A1266="",0,B1266*(IF(C1266=DATE(2026,11,28),38,0)+IF(C1266=DATE(2026,12,1),38,0)+IF(C1266=DATE(2026,12,2),26,0)))</f>
        <v/>
      </c>
      <c r="K1266" s="13">
        <f>IF(C1266=Options!$B$9,B1266*12,0)</f>
        <v/>
      </c>
      <c r="L1266" s="13">
        <f>IF(C1266=Options!$B$9,B1266*Options!$Z$6,0)</f>
        <v/>
      </c>
      <c r="M1266" s="13" t="n">
        <v>0</v>
      </c>
      <c r="N1266" s="13">
        <f>SUM(E1266:M1266)</f>
        <v/>
      </c>
    </row>
    <row r="1267">
      <c r="A1267" s="5">
        <f>IF(AND(C1267&gt;=Options!$B$9,C1267&lt;=Options!$B$10),"Denver","")</f>
        <v/>
      </c>
      <c r="B1267" s="5">
        <f>IF(A1267="","",24)</f>
        <v/>
      </c>
      <c r="C1267" s="17" t="n">
        <v>46463</v>
      </c>
      <c r="D1267" s="5">
        <f>IF(A1267="","",IF(C1267=DATE(2026,11,29),"培训；注册午餐；早餐参数",IF(C1267=DATE(2026,11,30),"培训；注册午餐",IF(C1267=DATE(2026,12,1),"培训；注册午餐；机构晚餐",IF(C1267=Options!$B$9,"抵达；"&amp;IF(C1267=DATE(2026,11,28),"机构晚餐","无统一供餐"),IF(C1267=Options!$B$10,"返程；"&amp;IF(C1267=DATE(2026,12,2),"机构午餐","无统一供餐"),"差旅状态；无统一日程"))))))</f>
        <v/>
      </c>
      <c r="E1267" s="13">
        <f>IF(C1267=Options!$B$9,Options!$C$17,0)</f>
        <v/>
      </c>
      <c r="F1267" s="13">
        <f>IF(AND(A1267&lt;&gt;"",C1267&lt;Options!$B$10),B1267*Options!$X$6,0)</f>
        <v/>
      </c>
      <c r="G1267" s="13">
        <f>F1267*12%</f>
        <v/>
      </c>
      <c r="H1267" s="13">
        <f>IF(A1267="",0,B1267*(92*IF(OR(C1267=Options!$B$9,C1267=Options!$B$10),75%,100%)-IF(C1267=DATE(2026,11,29),26+IF(Options!$B$8="是",23,0),0)-IF(C1267=DATE(2026,11,30),26,0)-IF(C1267=DATE(2026,12,1),64,0)-IF(C1267=DATE(2026,11,28),38,0)-IF(C1267=DATE(2026,12,2),26,0)))</f>
        <v/>
      </c>
      <c r="I1267" s="13">
        <f>IF(AND(C1267&gt;=DATE(2026,11,29),C1267&lt;=DATE(2026,12,1)),B1267*60,0)</f>
        <v/>
      </c>
      <c r="J1267" s="13">
        <f>IF(A1267="",0,B1267*(IF(C1267=DATE(2026,11,28),38,0)+IF(C1267=DATE(2026,12,1),38,0)+IF(C1267=DATE(2026,12,2),26,0)))</f>
        <v/>
      </c>
      <c r="K1267" s="13">
        <f>IF(C1267=Options!$B$9,B1267*12,0)</f>
        <v/>
      </c>
      <c r="L1267" s="13">
        <f>IF(C1267=Options!$B$9,B1267*Options!$Z$6,0)</f>
        <v/>
      </c>
      <c r="M1267" s="13" t="n">
        <v>0</v>
      </c>
      <c r="N1267" s="13">
        <f>SUM(E1267:M1267)</f>
        <v/>
      </c>
    </row>
    <row r="1268">
      <c r="A1268" s="5">
        <f>IF(AND(C1268&gt;=Options!$B$9,C1268&lt;=Options!$B$10),"Denver","")</f>
        <v/>
      </c>
      <c r="B1268" s="5">
        <f>IF(A1268="","",24)</f>
        <v/>
      </c>
      <c r="C1268" s="17" t="n">
        <v>46464</v>
      </c>
      <c r="D1268" s="5">
        <f>IF(A1268="","",IF(C1268=DATE(2026,11,29),"培训；注册午餐；早餐参数",IF(C1268=DATE(2026,11,30),"培训；注册午餐",IF(C1268=DATE(2026,12,1),"培训；注册午餐；机构晚餐",IF(C1268=Options!$B$9,"抵达；"&amp;IF(C1268=DATE(2026,11,28),"机构晚餐","无统一供餐"),IF(C1268=Options!$B$10,"返程；"&amp;IF(C1268=DATE(2026,12,2),"机构午餐","无统一供餐"),"差旅状态；无统一日程"))))))</f>
        <v/>
      </c>
      <c r="E1268" s="13">
        <f>IF(C1268=Options!$B$9,Options!$C$17,0)</f>
        <v/>
      </c>
      <c r="F1268" s="13">
        <f>IF(AND(A1268&lt;&gt;"",C1268&lt;Options!$B$10),B1268*Options!$X$6,0)</f>
        <v/>
      </c>
      <c r="G1268" s="13">
        <f>F1268*12%</f>
        <v/>
      </c>
      <c r="H1268" s="13">
        <f>IF(A1268="",0,B1268*(92*IF(OR(C1268=Options!$B$9,C1268=Options!$B$10),75%,100%)-IF(C1268=DATE(2026,11,29),26+IF(Options!$B$8="是",23,0),0)-IF(C1268=DATE(2026,11,30),26,0)-IF(C1268=DATE(2026,12,1),64,0)-IF(C1268=DATE(2026,11,28),38,0)-IF(C1268=DATE(2026,12,2),26,0)))</f>
        <v/>
      </c>
      <c r="I1268" s="13">
        <f>IF(AND(C1268&gt;=DATE(2026,11,29),C1268&lt;=DATE(2026,12,1)),B1268*60,0)</f>
        <v/>
      </c>
      <c r="J1268" s="13">
        <f>IF(A1268="",0,B1268*(IF(C1268=DATE(2026,11,28),38,0)+IF(C1268=DATE(2026,12,1),38,0)+IF(C1268=DATE(2026,12,2),26,0)))</f>
        <v/>
      </c>
      <c r="K1268" s="13">
        <f>IF(C1268=Options!$B$9,B1268*12,0)</f>
        <v/>
      </c>
      <c r="L1268" s="13">
        <f>IF(C1268=Options!$B$9,B1268*Options!$Z$6,0)</f>
        <v/>
      </c>
      <c r="M1268" s="13" t="n">
        <v>0</v>
      </c>
      <c r="N1268" s="13">
        <f>SUM(E1268:M1268)</f>
        <v/>
      </c>
    </row>
    <row r="1269">
      <c r="A1269" s="5">
        <f>IF(AND(C1269&gt;=Options!$B$9,C1269&lt;=Options!$B$10),"Denver","")</f>
        <v/>
      </c>
      <c r="B1269" s="5">
        <f>IF(A1269="","",24)</f>
        <v/>
      </c>
      <c r="C1269" s="17" t="n">
        <v>46465</v>
      </c>
      <c r="D1269" s="5">
        <f>IF(A1269="","",IF(C1269=DATE(2026,11,29),"培训；注册午餐；早餐参数",IF(C1269=DATE(2026,11,30),"培训；注册午餐",IF(C1269=DATE(2026,12,1),"培训；注册午餐；机构晚餐",IF(C1269=Options!$B$9,"抵达；"&amp;IF(C1269=DATE(2026,11,28),"机构晚餐","无统一供餐"),IF(C1269=Options!$B$10,"返程；"&amp;IF(C1269=DATE(2026,12,2),"机构午餐","无统一供餐"),"差旅状态；无统一日程"))))))</f>
        <v/>
      </c>
      <c r="E1269" s="13">
        <f>IF(C1269=Options!$B$9,Options!$C$17,0)</f>
        <v/>
      </c>
      <c r="F1269" s="13">
        <f>IF(AND(A1269&lt;&gt;"",C1269&lt;Options!$B$10),B1269*Options!$X$6,0)</f>
        <v/>
      </c>
      <c r="G1269" s="13">
        <f>F1269*12%</f>
        <v/>
      </c>
      <c r="H1269" s="13">
        <f>IF(A1269="",0,B1269*(92*IF(OR(C1269=Options!$B$9,C1269=Options!$B$10),75%,100%)-IF(C1269=DATE(2026,11,29),26+IF(Options!$B$8="是",23,0),0)-IF(C1269=DATE(2026,11,30),26,0)-IF(C1269=DATE(2026,12,1),64,0)-IF(C1269=DATE(2026,11,28),38,0)-IF(C1269=DATE(2026,12,2),26,0)))</f>
        <v/>
      </c>
      <c r="I1269" s="13">
        <f>IF(AND(C1269&gt;=DATE(2026,11,29),C1269&lt;=DATE(2026,12,1)),B1269*60,0)</f>
        <v/>
      </c>
      <c r="J1269" s="13">
        <f>IF(A1269="",0,B1269*(IF(C1269=DATE(2026,11,28),38,0)+IF(C1269=DATE(2026,12,1),38,0)+IF(C1269=DATE(2026,12,2),26,0)))</f>
        <v/>
      </c>
      <c r="K1269" s="13">
        <f>IF(C1269=Options!$B$9,B1269*12,0)</f>
        <v/>
      </c>
      <c r="L1269" s="13">
        <f>IF(C1269=Options!$B$9,B1269*Options!$Z$6,0)</f>
        <v/>
      </c>
      <c r="M1269" s="13" t="n">
        <v>0</v>
      </c>
      <c r="N1269" s="13">
        <f>SUM(E1269:M1269)</f>
        <v/>
      </c>
    </row>
    <row r="1270">
      <c r="A1270" s="5">
        <f>IF(AND(C1270&gt;=Options!$B$9,C1270&lt;=Options!$B$10),"Denver","")</f>
        <v/>
      </c>
      <c r="B1270" s="5">
        <f>IF(A1270="","",24)</f>
        <v/>
      </c>
      <c r="C1270" s="17" t="n">
        <v>46466</v>
      </c>
      <c r="D1270" s="5">
        <f>IF(A1270="","",IF(C1270=DATE(2026,11,29),"培训；注册午餐；早餐参数",IF(C1270=DATE(2026,11,30),"培训；注册午餐",IF(C1270=DATE(2026,12,1),"培训；注册午餐；机构晚餐",IF(C1270=Options!$B$9,"抵达；"&amp;IF(C1270=DATE(2026,11,28),"机构晚餐","无统一供餐"),IF(C1270=Options!$B$10,"返程；"&amp;IF(C1270=DATE(2026,12,2),"机构午餐","无统一供餐"),"差旅状态；无统一日程"))))))</f>
        <v/>
      </c>
      <c r="E1270" s="13">
        <f>IF(C1270=Options!$B$9,Options!$C$17,0)</f>
        <v/>
      </c>
      <c r="F1270" s="13">
        <f>IF(AND(A1270&lt;&gt;"",C1270&lt;Options!$B$10),B1270*Options!$X$6,0)</f>
        <v/>
      </c>
      <c r="G1270" s="13">
        <f>F1270*12%</f>
        <v/>
      </c>
      <c r="H1270" s="13">
        <f>IF(A1270="",0,B1270*(92*IF(OR(C1270=Options!$B$9,C1270=Options!$B$10),75%,100%)-IF(C1270=DATE(2026,11,29),26+IF(Options!$B$8="是",23,0),0)-IF(C1270=DATE(2026,11,30),26,0)-IF(C1270=DATE(2026,12,1),64,0)-IF(C1270=DATE(2026,11,28),38,0)-IF(C1270=DATE(2026,12,2),26,0)))</f>
        <v/>
      </c>
      <c r="I1270" s="13">
        <f>IF(AND(C1270&gt;=DATE(2026,11,29),C1270&lt;=DATE(2026,12,1)),B1270*60,0)</f>
        <v/>
      </c>
      <c r="J1270" s="13">
        <f>IF(A1270="",0,B1270*(IF(C1270=DATE(2026,11,28),38,0)+IF(C1270=DATE(2026,12,1),38,0)+IF(C1270=DATE(2026,12,2),26,0)))</f>
        <v/>
      </c>
      <c r="K1270" s="13">
        <f>IF(C1270=Options!$B$9,B1270*12,0)</f>
        <v/>
      </c>
      <c r="L1270" s="13">
        <f>IF(C1270=Options!$B$9,B1270*Options!$Z$6,0)</f>
        <v/>
      </c>
      <c r="M1270" s="13" t="n">
        <v>0</v>
      </c>
      <c r="N1270" s="13">
        <f>SUM(E1270:M1270)</f>
        <v/>
      </c>
    </row>
    <row r="1271">
      <c r="A1271" s="5">
        <f>IF(AND(C1271&gt;=Options!$B$9,C1271&lt;=Options!$B$10),"Denver","")</f>
        <v/>
      </c>
      <c r="B1271" s="5">
        <f>IF(A1271="","",24)</f>
        <v/>
      </c>
      <c r="C1271" s="17" t="n">
        <v>46467</v>
      </c>
      <c r="D1271" s="5">
        <f>IF(A1271="","",IF(C1271=DATE(2026,11,29),"培训；注册午餐；早餐参数",IF(C1271=DATE(2026,11,30),"培训；注册午餐",IF(C1271=DATE(2026,12,1),"培训；注册午餐；机构晚餐",IF(C1271=Options!$B$9,"抵达；"&amp;IF(C1271=DATE(2026,11,28),"机构晚餐","无统一供餐"),IF(C1271=Options!$B$10,"返程；"&amp;IF(C1271=DATE(2026,12,2),"机构午餐","无统一供餐"),"差旅状态；无统一日程"))))))</f>
        <v/>
      </c>
      <c r="E1271" s="13">
        <f>IF(C1271=Options!$B$9,Options!$C$17,0)</f>
        <v/>
      </c>
      <c r="F1271" s="13">
        <f>IF(AND(A1271&lt;&gt;"",C1271&lt;Options!$B$10),B1271*Options!$X$6,0)</f>
        <v/>
      </c>
      <c r="G1271" s="13">
        <f>F1271*12%</f>
        <v/>
      </c>
      <c r="H1271" s="13">
        <f>IF(A1271="",0,B1271*(92*IF(OR(C1271=Options!$B$9,C1271=Options!$B$10),75%,100%)-IF(C1271=DATE(2026,11,29),26+IF(Options!$B$8="是",23,0),0)-IF(C1271=DATE(2026,11,30),26,0)-IF(C1271=DATE(2026,12,1),64,0)-IF(C1271=DATE(2026,11,28),38,0)-IF(C1271=DATE(2026,12,2),26,0)))</f>
        <v/>
      </c>
      <c r="I1271" s="13">
        <f>IF(AND(C1271&gt;=DATE(2026,11,29),C1271&lt;=DATE(2026,12,1)),B1271*60,0)</f>
        <v/>
      </c>
      <c r="J1271" s="13">
        <f>IF(A1271="",0,B1271*(IF(C1271=DATE(2026,11,28),38,0)+IF(C1271=DATE(2026,12,1),38,0)+IF(C1271=DATE(2026,12,2),26,0)))</f>
        <v/>
      </c>
      <c r="K1271" s="13">
        <f>IF(C1271=Options!$B$9,B1271*12,0)</f>
        <v/>
      </c>
      <c r="L1271" s="13">
        <f>IF(C1271=Options!$B$9,B1271*Options!$Z$6,0)</f>
        <v/>
      </c>
      <c r="M1271" s="13" t="n">
        <v>0</v>
      </c>
      <c r="N1271" s="13">
        <f>SUM(E1271:M1271)</f>
        <v/>
      </c>
    </row>
    <row r="1272">
      <c r="A1272" s="5">
        <f>IF(AND(C1272&gt;=Options!$B$9,C1272&lt;=Options!$B$10),"Denver","")</f>
        <v/>
      </c>
      <c r="B1272" s="5">
        <f>IF(A1272="","",24)</f>
        <v/>
      </c>
      <c r="C1272" s="17" t="n">
        <v>46468</v>
      </c>
      <c r="D1272" s="5">
        <f>IF(A1272="","",IF(C1272=DATE(2026,11,29),"培训；注册午餐；早餐参数",IF(C1272=DATE(2026,11,30),"培训；注册午餐",IF(C1272=DATE(2026,12,1),"培训；注册午餐；机构晚餐",IF(C1272=Options!$B$9,"抵达；"&amp;IF(C1272=DATE(2026,11,28),"机构晚餐","无统一供餐"),IF(C1272=Options!$B$10,"返程；"&amp;IF(C1272=DATE(2026,12,2),"机构午餐","无统一供餐"),"差旅状态；无统一日程"))))))</f>
        <v/>
      </c>
      <c r="E1272" s="13">
        <f>IF(C1272=Options!$B$9,Options!$C$17,0)</f>
        <v/>
      </c>
      <c r="F1272" s="13">
        <f>IF(AND(A1272&lt;&gt;"",C1272&lt;Options!$B$10),B1272*Options!$X$6,0)</f>
        <v/>
      </c>
      <c r="G1272" s="13">
        <f>F1272*12%</f>
        <v/>
      </c>
      <c r="H1272" s="13">
        <f>IF(A1272="",0,B1272*(92*IF(OR(C1272=Options!$B$9,C1272=Options!$B$10),75%,100%)-IF(C1272=DATE(2026,11,29),26+IF(Options!$B$8="是",23,0),0)-IF(C1272=DATE(2026,11,30),26,0)-IF(C1272=DATE(2026,12,1),64,0)-IF(C1272=DATE(2026,11,28),38,0)-IF(C1272=DATE(2026,12,2),26,0)))</f>
        <v/>
      </c>
      <c r="I1272" s="13">
        <f>IF(AND(C1272&gt;=DATE(2026,11,29),C1272&lt;=DATE(2026,12,1)),B1272*60,0)</f>
        <v/>
      </c>
      <c r="J1272" s="13">
        <f>IF(A1272="",0,B1272*(IF(C1272=DATE(2026,11,28),38,0)+IF(C1272=DATE(2026,12,1),38,0)+IF(C1272=DATE(2026,12,2),26,0)))</f>
        <v/>
      </c>
      <c r="K1272" s="13">
        <f>IF(C1272=Options!$B$9,B1272*12,0)</f>
        <v/>
      </c>
      <c r="L1272" s="13">
        <f>IF(C1272=Options!$B$9,B1272*Options!$Z$6,0)</f>
        <v/>
      </c>
      <c r="M1272" s="13" t="n">
        <v>0</v>
      </c>
      <c r="N1272" s="13">
        <f>SUM(E1272:M1272)</f>
        <v/>
      </c>
    </row>
    <row r="1273">
      <c r="A1273" s="5">
        <f>IF(AND(C1273&gt;=Options!$B$9,C1273&lt;=Options!$B$10),"Denver","")</f>
        <v/>
      </c>
      <c r="B1273" s="5">
        <f>IF(A1273="","",24)</f>
        <v/>
      </c>
      <c r="C1273" s="17" t="n">
        <v>46469</v>
      </c>
      <c r="D1273" s="5">
        <f>IF(A1273="","",IF(C1273=DATE(2026,11,29),"培训；注册午餐；早餐参数",IF(C1273=DATE(2026,11,30),"培训；注册午餐",IF(C1273=DATE(2026,12,1),"培训；注册午餐；机构晚餐",IF(C1273=Options!$B$9,"抵达；"&amp;IF(C1273=DATE(2026,11,28),"机构晚餐","无统一供餐"),IF(C1273=Options!$B$10,"返程；"&amp;IF(C1273=DATE(2026,12,2),"机构午餐","无统一供餐"),"差旅状态；无统一日程"))))))</f>
        <v/>
      </c>
      <c r="E1273" s="13">
        <f>IF(C1273=Options!$B$9,Options!$C$17,0)</f>
        <v/>
      </c>
      <c r="F1273" s="13">
        <f>IF(AND(A1273&lt;&gt;"",C1273&lt;Options!$B$10),B1273*Options!$X$6,0)</f>
        <v/>
      </c>
      <c r="G1273" s="13">
        <f>F1273*12%</f>
        <v/>
      </c>
      <c r="H1273" s="13">
        <f>IF(A1273="",0,B1273*(92*IF(OR(C1273=Options!$B$9,C1273=Options!$B$10),75%,100%)-IF(C1273=DATE(2026,11,29),26+IF(Options!$B$8="是",23,0),0)-IF(C1273=DATE(2026,11,30),26,0)-IF(C1273=DATE(2026,12,1),64,0)-IF(C1273=DATE(2026,11,28),38,0)-IF(C1273=DATE(2026,12,2),26,0)))</f>
        <v/>
      </c>
      <c r="I1273" s="13">
        <f>IF(AND(C1273&gt;=DATE(2026,11,29),C1273&lt;=DATE(2026,12,1)),B1273*60,0)</f>
        <v/>
      </c>
      <c r="J1273" s="13">
        <f>IF(A1273="",0,B1273*(IF(C1273=DATE(2026,11,28),38,0)+IF(C1273=DATE(2026,12,1),38,0)+IF(C1273=DATE(2026,12,2),26,0)))</f>
        <v/>
      </c>
      <c r="K1273" s="13">
        <f>IF(C1273=Options!$B$9,B1273*12,0)</f>
        <v/>
      </c>
      <c r="L1273" s="13">
        <f>IF(C1273=Options!$B$9,B1273*Options!$Z$6,0)</f>
        <v/>
      </c>
      <c r="M1273" s="13" t="n">
        <v>0</v>
      </c>
      <c r="N1273" s="13">
        <f>SUM(E1273:M1273)</f>
        <v/>
      </c>
    </row>
    <row r="1274">
      <c r="A1274" s="5">
        <f>IF(AND(C1274&gt;=Options!$B$9,C1274&lt;=Options!$B$10),"Denver","")</f>
        <v/>
      </c>
      <c r="B1274" s="5">
        <f>IF(A1274="","",24)</f>
        <v/>
      </c>
      <c r="C1274" s="17" t="n">
        <v>46470</v>
      </c>
      <c r="D1274" s="5">
        <f>IF(A1274="","",IF(C1274=DATE(2026,11,29),"培训；注册午餐；早餐参数",IF(C1274=DATE(2026,11,30),"培训；注册午餐",IF(C1274=DATE(2026,12,1),"培训；注册午餐；机构晚餐",IF(C1274=Options!$B$9,"抵达；"&amp;IF(C1274=DATE(2026,11,28),"机构晚餐","无统一供餐"),IF(C1274=Options!$B$10,"返程；"&amp;IF(C1274=DATE(2026,12,2),"机构午餐","无统一供餐"),"差旅状态；无统一日程"))))))</f>
        <v/>
      </c>
      <c r="E1274" s="13">
        <f>IF(C1274=Options!$B$9,Options!$C$17,0)</f>
        <v/>
      </c>
      <c r="F1274" s="13">
        <f>IF(AND(A1274&lt;&gt;"",C1274&lt;Options!$B$10),B1274*Options!$X$6,0)</f>
        <v/>
      </c>
      <c r="G1274" s="13">
        <f>F1274*12%</f>
        <v/>
      </c>
      <c r="H1274" s="13">
        <f>IF(A1274="",0,B1274*(92*IF(OR(C1274=Options!$B$9,C1274=Options!$B$10),75%,100%)-IF(C1274=DATE(2026,11,29),26+IF(Options!$B$8="是",23,0),0)-IF(C1274=DATE(2026,11,30),26,0)-IF(C1274=DATE(2026,12,1),64,0)-IF(C1274=DATE(2026,11,28),38,0)-IF(C1274=DATE(2026,12,2),26,0)))</f>
        <v/>
      </c>
      <c r="I1274" s="13">
        <f>IF(AND(C1274&gt;=DATE(2026,11,29),C1274&lt;=DATE(2026,12,1)),B1274*60,0)</f>
        <v/>
      </c>
      <c r="J1274" s="13">
        <f>IF(A1274="",0,B1274*(IF(C1274=DATE(2026,11,28),38,0)+IF(C1274=DATE(2026,12,1),38,0)+IF(C1274=DATE(2026,12,2),26,0)))</f>
        <v/>
      </c>
      <c r="K1274" s="13">
        <f>IF(C1274=Options!$B$9,B1274*12,0)</f>
        <v/>
      </c>
      <c r="L1274" s="13">
        <f>IF(C1274=Options!$B$9,B1274*Options!$Z$6,0)</f>
        <v/>
      </c>
      <c r="M1274" s="13" t="n">
        <v>0</v>
      </c>
      <c r="N1274" s="13">
        <f>SUM(E1274:M1274)</f>
        <v/>
      </c>
    </row>
    <row r="1275">
      <c r="A1275" s="5">
        <f>IF(AND(C1275&gt;=Options!$B$9,C1275&lt;=Options!$B$10),"Denver","")</f>
        <v/>
      </c>
      <c r="B1275" s="5">
        <f>IF(A1275="","",24)</f>
        <v/>
      </c>
      <c r="C1275" s="17" t="n">
        <v>46471</v>
      </c>
      <c r="D1275" s="5">
        <f>IF(A1275="","",IF(C1275=DATE(2026,11,29),"培训；注册午餐；早餐参数",IF(C1275=DATE(2026,11,30),"培训；注册午餐",IF(C1275=DATE(2026,12,1),"培训；注册午餐；机构晚餐",IF(C1275=Options!$B$9,"抵达；"&amp;IF(C1275=DATE(2026,11,28),"机构晚餐","无统一供餐"),IF(C1275=Options!$B$10,"返程；"&amp;IF(C1275=DATE(2026,12,2),"机构午餐","无统一供餐"),"差旅状态；无统一日程"))))))</f>
        <v/>
      </c>
      <c r="E1275" s="13">
        <f>IF(C1275=Options!$B$9,Options!$C$17,0)</f>
        <v/>
      </c>
      <c r="F1275" s="13">
        <f>IF(AND(A1275&lt;&gt;"",C1275&lt;Options!$B$10),B1275*Options!$X$6,0)</f>
        <v/>
      </c>
      <c r="G1275" s="13">
        <f>F1275*12%</f>
        <v/>
      </c>
      <c r="H1275" s="13">
        <f>IF(A1275="",0,B1275*(92*IF(OR(C1275=Options!$B$9,C1275=Options!$B$10),75%,100%)-IF(C1275=DATE(2026,11,29),26+IF(Options!$B$8="是",23,0),0)-IF(C1275=DATE(2026,11,30),26,0)-IF(C1275=DATE(2026,12,1),64,0)-IF(C1275=DATE(2026,11,28),38,0)-IF(C1275=DATE(2026,12,2),26,0)))</f>
        <v/>
      </c>
      <c r="I1275" s="13">
        <f>IF(AND(C1275&gt;=DATE(2026,11,29),C1275&lt;=DATE(2026,12,1)),B1275*60,0)</f>
        <v/>
      </c>
      <c r="J1275" s="13">
        <f>IF(A1275="",0,B1275*(IF(C1275=DATE(2026,11,28),38,0)+IF(C1275=DATE(2026,12,1),38,0)+IF(C1275=DATE(2026,12,2),26,0)))</f>
        <v/>
      </c>
      <c r="K1275" s="13">
        <f>IF(C1275=Options!$B$9,B1275*12,0)</f>
        <v/>
      </c>
      <c r="L1275" s="13">
        <f>IF(C1275=Options!$B$9,B1275*Options!$Z$6,0)</f>
        <v/>
      </c>
      <c r="M1275" s="13" t="n">
        <v>0</v>
      </c>
      <c r="N1275" s="13">
        <f>SUM(E1275:M1275)</f>
        <v/>
      </c>
    </row>
    <row r="1276">
      <c r="A1276" s="5">
        <f>IF(AND(C1276&gt;=Options!$B$9,C1276&lt;=Options!$B$10),"Denver","")</f>
        <v/>
      </c>
      <c r="B1276" s="5">
        <f>IF(A1276="","",24)</f>
        <v/>
      </c>
      <c r="C1276" s="17" t="n">
        <v>46472</v>
      </c>
      <c r="D1276" s="5">
        <f>IF(A1276="","",IF(C1276=DATE(2026,11,29),"培训；注册午餐；早餐参数",IF(C1276=DATE(2026,11,30),"培训；注册午餐",IF(C1276=DATE(2026,12,1),"培训；注册午餐；机构晚餐",IF(C1276=Options!$B$9,"抵达；"&amp;IF(C1276=DATE(2026,11,28),"机构晚餐","无统一供餐"),IF(C1276=Options!$B$10,"返程；"&amp;IF(C1276=DATE(2026,12,2),"机构午餐","无统一供餐"),"差旅状态；无统一日程"))))))</f>
        <v/>
      </c>
      <c r="E1276" s="13">
        <f>IF(C1276=Options!$B$9,Options!$C$17,0)</f>
        <v/>
      </c>
      <c r="F1276" s="13">
        <f>IF(AND(A1276&lt;&gt;"",C1276&lt;Options!$B$10),B1276*Options!$X$6,0)</f>
        <v/>
      </c>
      <c r="G1276" s="13">
        <f>F1276*12%</f>
        <v/>
      </c>
      <c r="H1276" s="13">
        <f>IF(A1276="",0,B1276*(92*IF(OR(C1276=Options!$B$9,C1276=Options!$B$10),75%,100%)-IF(C1276=DATE(2026,11,29),26+IF(Options!$B$8="是",23,0),0)-IF(C1276=DATE(2026,11,30),26,0)-IF(C1276=DATE(2026,12,1),64,0)-IF(C1276=DATE(2026,11,28),38,0)-IF(C1276=DATE(2026,12,2),26,0)))</f>
        <v/>
      </c>
      <c r="I1276" s="13">
        <f>IF(AND(C1276&gt;=DATE(2026,11,29),C1276&lt;=DATE(2026,12,1)),B1276*60,0)</f>
        <v/>
      </c>
      <c r="J1276" s="13">
        <f>IF(A1276="",0,B1276*(IF(C1276=DATE(2026,11,28),38,0)+IF(C1276=DATE(2026,12,1),38,0)+IF(C1276=DATE(2026,12,2),26,0)))</f>
        <v/>
      </c>
      <c r="K1276" s="13">
        <f>IF(C1276=Options!$B$9,B1276*12,0)</f>
        <v/>
      </c>
      <c r="L1276" s="13">
        <f>IF(C1276=Options!$B$9,B1276*Options!$Z$6,0)</f>
        <v/>
      </c>
      <c r="M1276" s="13" t="n">
        <v>0</v>
      </c>
      <c r="N1276" s="13">
        <f>SUM(E1276:M1276)</f>
        <v/>
      </c>
    </row>
    <row r="1277">
      <c r="A1277" s="5">
        <f>IF(AND(C1277&gt;=Options!$B$9,C1277&lt;=Options!$B$10),"Denver","")</f>
        <v/>
      </c>
      <c r="B1277" s="5">
        <f>IF(A1277="","",24)</f>
        <v/>
      </c>
      <c r="C1277" s="17" t="n">
        <v>46473</v>
      </c>
      <c r="D1277" s="5">
        <f>IF(A1277="","",IF(C1277=DATE(2026,11,29),"培训；注册午餐；早餐参数",IF(C1277=DATE(2026,11,30),"培训；注册午餐",IF(C1277=DATE(2026,12,1),"培训；注册午餐；机构晚餐",IF(C1277=Options!$B$9,"抵达；"&amp;IF(C1277=DATE(2026,11,28),"机构晚餐","无统一供餐"),IF(C1277=Options!$B$10,"返程；"&amp;IF(C1277=DATE(2026,12,2),"机构午餐","无统一供餐"),"差旅状态；无统一日程"))))))</f>
        <v/>
      </c>
      <c r="E1277" s="13">
        <f>IF(C1277=Options!$B$9,Options!$C$17,0)</f>
        <v/>
      </c>
      <c r="F1277" s="13">
        <f>IF(AND(A1277&lt;&gt;"",C1277&lt;Options!$B$10),B1277*Options!$X$6,0)</f>
        <v/>
      </c>
      <c r="G1277" s="13">
        <f>F1277*12%</f>
        <v/>
      </c>
      <c r="H1277" s="13">
        <f>IF(A1277="",0,B1277*(92*IF(OR(C1277=Options!$B$9,C1277=Options!$B$10),75%,100%)-IF(C1277=DATE(2026,11,29),26+IF(Options!$B$8="是",23,0),0)-IF(C1277=DATE(2026,11,30),26,0)-IF(C1277=DATE(2026,12,1),64,0)-IF(C1277=DATE(2026,11,28),38,0)-IF(C1277=DATE(2026,12,2),26,0)))</f>
        <v/>
      </c>
      <c r="I1277" s="13">
        <f>IF(AND(C1277&gt;=DATE(2026,11,29),C1277&lt;=DATE(2026,12,1)),B1277*60,0)</f>
        <v/>
      </c>
      <c r="J1277" s="13">
        <f>IF(A1277="",0,B1277*(IF(C1277=DATE(2026,11,28),38,0)+IF(C1277=DATE(2026,12,1),38,0)+IF(C1277=DATE(2026,12,2),26,0)))</f>
        <v/>
      </c>
      <c r="K1277" s="13">
        <f>IF(C1277=Options!$B$9,B1277*12,0)</f>
        <v/>
      </c>
      <c r="L1277" s="13">
        <f>IF(C1277=Options!$B$9,B1277*Options!$Z$6,0)</f>
        <v/>
      </c>
      <c r="M1277" s="13" t="n">
        <v>0</v>
      </c>
      <c r="N1277" s="13">
        <f>SUM(E1277:M1277)</f>
        <v/>
      </c>
    </row>
    <row r="1278">
      <c r="A1278" s="5">
        <f>IF(AND(C1278&gt;=Options!$B$9,C1278&lt;=Options!$B$10),"Denver","")</f>
        <v/>
      </c>
      <c r="B1278" s="5">
        <f>IF(A1278="","",24)</f>
        <v/>
      </c>
      <c r="C1278" s="17" t="n">
        <v>46474</v>
      </c>
      <c r="D1278" s="5">
        <f>IF(A1278="","",IF(C1278=DATE(2026,11,29),"培训；注册午餐；早餐参数",IF(C1278=DATE(2026,11,30),"培训；注册午餐",IF(C1278=DATE(2026,12,1),"培训；注册午餐；机构晚餐",IF(C1278=Options!$B$9,"抵达；"&amp;IF(C1278=DATE(2026,11,28),"机构晚餐","无统一供餐"),IF(C1278=Options!$B$10,"返程；"&amp;IF(C1278=DATE(2026,12,2),"机构午餐","无统一供餐"),"差旅状态；无统一日程"))))))</f>
        <v/>
      </c>
      <c r="E1278" s="13">
        <f>IF(C1278=Options!$B$9,Options!$C$17,0)</f>
        <v/>
      </c>
      <c r="F1278" s="13">
        <f>IF(AND(A1278&lt;&gt;"",C1278&lt;Options!$B$10),B1278*Options!$X$6,0)</f>
        <v/>
      </c>
      <c r="G1278" s="13">
        <f>F1278*12%</f>
        <v/>
      </c>
      <c r="H1278" s="13">
        <f>IF(A1278="",0,B1278*(92*IF(OR(C1278=Options!$B$9,C1278=Options!$B$10),75%,100%)-IF(C1278=DATE(2026,11,29),26+IF(Options!$B$8="是",23,0),0)-IF(C1278=DATE(2026,11,30),26,0)-IF(C1278=DATE(2026,12,1),64,0)-IF(C1278=DATE(2026,11,28),38,0)-IF(C1278=DATE(2026,12,2),26,0)))</f>
        <v/>
      </c>
      <c r="I1278" s="13">
        <f>IF(AND(C1278&gt;=DATE(2026,11,29),C1278&lt;=DATE(2026,12,1)),B1278*60,0)</f>
        <v/>
      </c>
      <c r="J1278" s="13">
        <f>IF(A1278="",0,B1278*(IF(C1278=DATE(2026,11,28),38,0)+IF(C1278=DATE(2026,12,1),38,0)+IF(C1278=DATE(2026,12,2),26,0)))</f>
        <v/>
      </c>
      <c r="K1278" s="13">
        <f>IF(C1278=Options!$B$9,B1278*12,0)</f>
        <v/>
      </c>
      <c r="L1278" s="13">
        <f>IF(C1278=Options!$B$9,B1278*Options!$Z$6,0)</f>
        <v/>
      </c>
      <c r="M1278" s="13" t="n">
        <v>0</v>
      </c>
      <c r="N1278" s="13">
        <f>SUM(E1278:M1278)</f>
        <v/>
      </c>
    </row>
    <row r="1279">
      <c r="A1279" s="5">
        <f>IF(AND(C1279&gt;=Options!$B$9,C1279&lt;=Options!$B$10),"Denver","")</f>
        <v/>
      </c>
      <c r="B1279" s="5">
        <f>IF(A1279="","",24)</f>
        <v/>
      </c>
      <c r="C1279" s="17" t="n">
        <v>46475</v>
      </c>
      <c r="D1279" s="5">
        <f>IF(A1279="","",IF(C1279=DATE(2026,11,29),"培训；注册午餐；早餐参数",IF(C1279=DATE(2026,11,30),"培训；注册午餐",IF(C1279=DATE(2026,12,1),"培训；注册午餐；机构晚餐",IF(C1279=Options!$B$9,"抵达；"&amp;IF(C1279=DATE(2026,11,28),"机构晚餐","无统一供餐"),IF(C1279=Options!$B$10,"返程；"&amp;IF(C1279=DATE(2026,12,2),"机构午餐","无统一供餐"),"差旅状态；无统一日程"))))))</f>
        <v/>
      </c>
      <c r="E1279" s="13">
        <f>IF(C1279=Options!$B$9,Options!$C$17,0)</f>
        <v/>
      </c>
      <c r="F1279" s="13">
        <f>IF(AND(A1279&lt;&gt;"",C1279&lt;Options!$B$10),B1279*Options!$X$6,0)</f>
        <v/>
      </c>
      <c r="G1279" s="13">
        <f>F1279*12%</f>
        <v/>
      </c>
      <c r="H1279" s="13">
        <f>IF(A1279="",0,B1279*(92*IF(OR(C1279=Options!$B$9,C1279=Options!$B$10),75%,100%)-IF(C1279=DATE(2026,11,29),26+IF(Options!$B$8="是",23,0),0)-IF(C1279=DATE(2026,11,30),26,0)-IF(C1279=DATE(2026,12,1),64,0)-IF(C1279=DATE(2026,11,28),38,0)-IF(C1279=DATE(2026,12,2),26,0)))</f>
        <v/>
      </c>
      <c r="I1279" s="13">
        <f>IF(AND(C1279&gt;=DATE(2026,11,29),C1279&lt;=DATE(2026,12,1)),B1279*60,0)</f>
        <v/>
      </c>
      <c r="J1279" s="13">
        <f>IF(A1279="",0,B1279*(IF(C1279=DATE(2026,11,28),38,0)+IF(C1279=DATE(2026,12,1),38,0)+IF(C1279=DATE(2026,12,2),26,0)))</f>
        <v/>
      </c>
      <c r="K1279" s="13">
        <f>IF(C1279=Options!$B$9,B1279*12,0)</f>
        <v/>
      </c>
      <c r="L1279" s="13">
        <f>IF(C1279=Options!$B$9,B1279*Options!$Z$6,0)</f>
        <v/>
      </c>
      <c r="M1279" s="13" t="n">
        <v>0</v>
      </c>
      <c r="N1279" s="13">
        <f>SUM(E1279:M1279)</f>
        <v/>
      </c>
    </row>
    <row r="1280">
      <c r="A1280" s="5">
        <f>IF(AND(C1280&gt;=Options!$B$9,C1280&lt;=Options!$B$10),"Denver","")</f>
        <v/>
      </c>
      <c r="B1280" s="5">
        <f>IF(A1280="","",24)</f>
        <v/>
      </c>
      <c r="C1280" s="17" t="n">
        <v>46476</v>
      </c>
      <c r="D1280" s="5">
        <f>IF(A1280="","",IF(C1280=DATE(2026,11,29),"培训；注册午餐；早餐参数",IF(C1280=DATE(2026,11,30),"培训；注册午餐",IF(C1280=DATE(2026,12,1),"培训；注册午餐；机构晚餐",IF(C1280=Options!$B$9,"抵达；"&amp;IF(C1280=DATE(2026,11,28),"机构晚餐","无统一供餐"),IF(C1280=Options!$B$10,"返程；"&amp;IF(C1280=DATE(2026,12,2),"机构午餐","无统一供餐"),"差旅状态；无统一日程"))))))</f>
        <v/>
      </c>
      <c r="E1280" s="13">
        <f>IF(C1280=Options!$B$9,Options!$C$17,0)</f>
        <v/>
      </c>
      <c r="F1280" s="13">
        <f>IF(AND(A1280&lt;&gt;"",C1280&lt;Options!$B$10),B1280*Options!$X$6,0)</f>
        <v/>
      </c>
      <c r="G1280" s="13">
        <f>F1280*12%</f>
        <v/>
      </c>
      <c r="H1280" s="13">
        <f>IF(A1280="",0,B1280*(92*IF(OR(C1280=Options!$B$9,C1280=Options!$B$10),75%,100%)-IF(C1280=DATE(2026,11,29),26+IF(Options!$B$8="是",23,0),0)-IF(C1280=DATE(2026,11,30),26,0)-IF(C1280=DATE(2026,12,1),64,0)-IF(C1280=DATE(2026,11,28),38,0)-IF(C1280=DATE(2026,12,2),26,0)))</f>
        <v/>
      </c>
      <c r="I1280" s="13">
        <f>IF(AND(C1280&gt;=DATE(2026,11,29),C1280&lt;=DATE(2026,12,1)),B1280*60,0)</f>
        <v/>
      </c>
      <c r="J1280" s="13">
        <f>IF(A1280="",0,B1280*(IF(C1280=DATE(2026,11,28),38,0)+IF(C1280=DATE(2026,12,1),38,0)+IF(C1280=DATE(2026,12,2),26,0)))</f>
        <v/>
      </c>
      <c r="K1280" s="13">
        <f>IF(C1280=Options!$B$9,B1280*12,0)</f>
        <v/>
      </c>
      <c r="L1280" s="13">
        <f>IF(C1280=Options!$B$9,B1280*Options!$Z$6,0)</f>
        <v/>
      </c>
      <c r="M1280" s="13" t="n">
        <v>0</v>
      </c>
      <c r="N1280" s="13">
        <f>SUM(E1280:M1280)</f>
        <v/>
      </c>
    </row>
    <row r="1281">
      <c r="A1281" s="5">
        <f>IF(AND(C1281&gt;=Options!$B$9,C1281&lt;=Options!$B$10),"Denver","")</f>
        <v/>
      </c>
      <c r="B1281" s="5">
        <f>IF(A1281="","",24)</f>
        <v/>
      </c>
      <c r="C1281" s="17" t="n">
        <v>46477</v>
      </c>
      <c r="D1281" s="5">
        <f>IF(A1281="","",IF(C1281=DATE(2026,11,29),"培训；注册午餐；早餐参数",IF(C1281=DATE(2026,11,30),"培训；注册午餐",IF(C1281=DATE(2026,12,1),"培训；注册午餐；机构晚餐",IF(C1281=Options!$B$9,"抵达；"&amp;IF(C1281=DATE(2026,11,28),"机构晚餐","无统一供餐"),IF(C1281=Options!$B$10,"返程；"&amp;IF(C1281=DATE(2026,12,2),"机构午餐","无统一供餐"),"差旅状态；无统一日程"))))))</f>
        <v/>
      </c>
      <c r="E1281" s="13">
        <f>IF(C1281=Options!$B$9,Options!$C$17,0)</f>
        <v/>
      </c>
      <c r="F1281" s="13">
        <f>IF(AND(A1281&lt;&gt;"",C1281&lt;Options!$B$10),B1281*Options!$X$6,0)</f>
        <v/>
      </c>
      <c r="G1281" s="13">
        <f>F1281*12%</f>
        <v/>
      </c>
      <c r="H1281" s="13">
        <f>IF(A1281="",0,B1281*(92*IF(OR(C1281=Options!$B$9,C1281=Options!$B$10),75%,100%)-IF(C1281=DATE(2026,11,29),26+IF(Options!$B$8="是",23,0),0)-IF(C1281=DATE(2026,11,30),26,0)-IF(C1281=DATE(2026,12,1),64,0)-IF(C1281=DATE(2026,11,28),38,0)-IF(C1281=DATE(2026,12,2),26,0)))</f>
        <v/>
      </c>
      <c r="I1281" s="13">
        <f>IF(AND(C1281&gt;=DATE(2026,11,29),C1281&lt;=DATE(2026,12,1)),B1281*60,0)</f>
        <v/>
      </c>
      <c r="J1281" s="13">
        <f>IF(A1281="",0,B1281*(IF(C1281=DATE(2026,11,28),38,0)+IF(C1281=DATE(2026,12,1),38,0)+IF(C1281=DATE(2026,12,2),26,0)))</f>
        <v/>
      </c>
      <c r="K1281" s="13">
        <f>IF(C1281=Options!$B$9,B1281*12,0)</f>
        <v/>
      </c>
      <c r="L1281" s="13">
        <f>IF(C1281=Options!$B$9,B1281*Options!$Z$6,0)</f>
        <v/>
      </c>
      <c r="M1281" s="13" t="n">
        <v>0</v>
      </c>
      <c r="N1281" s="13">
        <f>SUM(E1281:M1281)</f>
        <v/>
      </c>
    </row>
    <row r="1282">
      <c r="A1282" s="5">
        <f>IF(AND(C1282&gt;=Options!$B$9,C1282&lt;=Options!$B$10),"Denver","")</f>
        <v/>
      </c>
      <c r="B1282" s="5">
        <f>IF(A1282="","",24)</f>
        <v/>
      </c>
      <c r="C1282" s="17" t="n">
        <v>46478</v>
      </c>
      <c r="D1282" s="5">
        <f>IF(A1282="","",IF(C1282=DATE(2026,11,29),"培训；注册午餐；早餐参数",IF(C1282=DATE(2026,11,30),"培训；注册午餐",IF(C1282=DATE(2026,12,1),"培训；注册午餐；机构晚餐",IF(C1282=Options!$B$9,"抵达；"&amp;IF(C1282=DATE(2026,11,28),"机构晚餐","无统一供餐"),IF(C1282=Options!$B$10,"返程；"&amp;IF(C1282=DATE(2026,12,2),"机构午餐","无统一供餐"),"差旅状态；无统一日程"))))))</f>
        <v/>
      </c>
      <c r="E1282" s="13">
        <f>IF(C1282=Options!$B$9,Options!$C$17,0)</f>
        <v/>
      </c>
      <c r="F1282" s="13">
        <f>IF(AND(A1282&lt;&gt;"",C1282&lt;Options!$B$10),B1282*Options!$X$6,0)</f>
        <v/>
      </c>
      <c r="G1282" s="13">
        <f>F1282*12%</f>
        <v/>
      </c>
      <c r="H1282" s="13">
        <f>IF(A1282="",0,B1282*(92*IF(OR(C1282=Options!$B$9,C1282=Options!$B$10),75%,100%)-IF(C1282=DATE(2026,11,29),26+IF(Options!$B$8="是",23,0),0)-IF(C1282=DATE(2026,11,30),26,0)-IF(C1282=DATE(2026,12,1),64,0)-IF(C1282=DATE(2026,11,28),38,0)-IF(C1282=DATE(2026,12,2),26,0)))</f>
        <v/>
      </c>
      <c r="I1282" s="13">
        <f>IF(AND(C1282&gt;=DATE(2026,11,29),C1282&lt;=DATE(2026,12,1)),B1282*60,0)</f>
        <v/>
      </c>
      <c r="J1282" s="13">
        <f>IF(A1282="",0,B1282*(IF(C1282=DATE(2026,11,28),38,0)+IF(C1282=DATE(2026,12,1),38,0)+IF(C1282=DATE(2026,12,2),26,0)))</f>
        <v/>
      </c>
      <c r="K1282" s="13">
        <f>IF(C1282=Options!$B$9,B1282*12,0)</f>
        <v/>
      </c>
      <c r="L1282" s="13">
        <f>IF(C1282=Options!$B$9,B1282*Options!$Z$6,0)</f>
        <v/>
      </c>
      <c r="M1282" s="13" t="n">
        <v>0</v>
      </c>
      <c r="N1282" s="13">
        <f>SUM(E1282:M1282)</f>
        <v/>
      </c>
    </row>
    <row r="1283">
      <c r="A1283" s="5">
        <f>IF(AND(C1283&gt;=Options!$B$9,C1283&lt;=Options!$B$10),"Denver","")</f>
        <v/>
      </c>
      <c r="B1283" s="5">
        <f>IF(A1283="","",24)</f>
        <v/>
      </c>
      <c r="C1283" s="17" t="n">
        <v>46479</v>
      </c>
      <c r="D1283" s="5">
        <f>IF(A1283="","",IF(C1283=DATE(2026,11,29),"培训；注册午餐；早餐参数",IF(C1283=DATE(2026,11,30),"培训；注册午餐",IF(C1283=DATE(2026,12,1),"培训；注册午餐；机构晚餐",IF(C1283=Options!$B$9,"抵达；"&amp;IF(C1283=DATE(2026,11,28),"机构晚餐","无统一供餐"),IF(C1283=Options!$B$10,"返程；"&amp;IF(C1283=DATE(2026,12,2),"机构午餐","无统一供餐"),"差旅状态；无统一日程"))))))</f>
        <v/>
      </c>
      <c r="E1283" s="13">
        <f>IF(C1283=Options!$B$9,Options!$C$17,0)</f>
        <v/>
      </c>
      <c r="F1283" s="13">
        <f>IF(AND(A1283&lt;&gt;"",C1283&lt;Options!$B$10),B1283*Options!$X$6,0)</f>
        <v/>
      </c>
      <c r="G1283" s="13">
        <f>F1283*12%</f>
        <v/>
      </c>
      <c r="H1283" s="13">
        <f>IF(A1283="",0,B1283*(92*IF(OR(C1283=Options!$B$9,C1283=Options!$B$10),75%,100%)-IF(C1283=DATE(2026,11,29),26+IF(Options!$B$8="是",23,0),0)-IF(C1283=DATE(2026,11,30),26,0)-IF(C1283=DATE(2026,12,1),64,0)-IF(C1283=DATE(2026,11,28),38,0)-IF(C1283=DATE(2026,12,2),26,0)))</f>
        <v/>
      </c>
      <c r="I1283" s="13">
        <f>IF(AND(C1283&gt;=DATE(2026,11,29),C1283&lt;=DATE(2026,12,1)),B1283*60,0)</f>
        <v/>
      </c>
      <c r="J1283" s="13">
        <f>IF(A1283="",0,B1283*(IF(C1283=DATE(2026,11,28),38,0)+IF(C1283=DATE(2026,12,1),38,0)+IF(C1283=DATE(2026,12,2),26,0)))</f>
        <v/>
      </c>
      <c r="K1283" s="13">
        <f>IF(C1283=Options!$B$9,B1283*12,0)</f>
        <v/>
      </c>
      <c r="L1283" s="13">
        <f>IF(C1283=Options!$B$9,B1283*Options!$Z$6,0)</f>
        <v/>
      </c>
      <c r="M1283" s="13" t="n">
        <v>0</v>
      </c>
      <c r="N1283" s="13">
        <f>SUM(E1283:M1283)</f>
        <v/>
      </c>
    </row>
    <row r="1284">
      <c r="A1284" s="5">
        <f>IF(AND(C1284&gt;=Options!$B$9,C1284&lt;=Options!$B$10),"Denver","")</f>
        <v/>
      </c>
      <c r="B1284" s="5">
        <f>IF(A1284="","",24)</f>
        <v/>
      </c>
      <c r="C1284" s="17" t="n">
        <v>46480</v>
      </c>
      <c r="D1284" s="5">
        <f>IF(A1284="","",IF(C1284=DATE(2026,11,29),"培训；注册午餐；早餐参数",IF(C1284=DATE(2026,11,30),"培训；注册午餐",IF(C1284=DATE(2026,12,1),"培训；注册午餐；机构晚餐",IF(C1284=Options!$B$9,"抵达；"&amp;IF(C1284=DATE(2026,11,28),"机构晚餐","无统一供餐"),IF(C1284=Options!$B$10,"返程；"&amp;IF(C1284=DATE(2026,12,2),"机构午餐","无统一供餐"),"差旅状态；无统一日程"))))))</f>
        <v/>
      </c>
      <c r="E1284" s="13">
        <f>IF(C1284=Options!$B$9,Options!$C$17,0)</f>
        <v/>
      </c>
      <c r="F1284" s="13">
        <f>IF(AND(A1284&lt;&gt;"",C1284&lt;Options!$B$10),B1284*Options!$X$6,0)</f>
        <v/>
      </c>
      <c r="G1284" s="13">
        <f>F1284*12%</f>
        <v/>
      </c>
      <c r="H1284" s="13">
        <f>IF(A1284="",0,B1284*(92*IF(OR(C1284=Options!$B$9,C1284=Options!$B$10),75%,100%)-IF(C1284=DATE(2026,11,29),26+IF(Options!$B$8="是",23,0),0)-IF(C1284=DATE(2026,11,30),26,0)-IF(C1284=DATE(2026,12,1),64,0)-IF(C1284=DATE(2026,11,28),38,0)-IF(C1284=DATE(2026,12,2),26,0)))</f>
        <v/>
      </c>
      <c r="I1284" s="13">
        <f>IF(AND(C1284&gt;=DATE(2026,11,29),C1284&lt;=DATE(2026,12,1)),B1284*60,0)</f>
        <v/>
      </c>
      <c r="J1284" s="13">
        <f>IF(A1284="",0,B1284*(IF(C1284=DATE(2026,11,28),38,0)+IF(C1284=DATE(2026,12,1),38,0)+IF(C1284=DATE(2026,12,2),26,0)))</f>
        <v/>
      </c>
      <c r="K1284" s="13">
        <f>IF(C1284=Options!$B$9,B1284*12,0)</f>
        <v/>
      </c>
      <c r="L1284" s="13">
        <f>IF(C1284=Options!$B$9,B1284*Options!$Z$6,0)</f>
        <v/>
      </c>
      <c r="M1284" s="13" t="n">
        <v>0</v>
      </c>
      <c r="N1284" s="13">
        <f>SUM(E1284:M1284)</f>
        <v/>
      </c>
    </row>
    <row r="1285">
      <c r="A1285" s="5">
        <f>IF(AND(C1285&gt;=Options!$B$9,C1285&lt;=Options!$B$10),"Denver","")</f>
        <v/>
      </c>
      <c r="B1285" s="5">
        <f>IF(A1285="","",24)</f>
        <v/>
      </c>
      <c r="C1285" s="17" t="n">
        <v>46481</v>
      </c>
      <c r="D1285" s="5">
        <f>IF(A1285="","",IF(C1285=DATE(2026,11,29),"培训；注册午餐；早餐参数",IF(C1285=DATE(2026,11,30),"培训；注册午餐",IF(C1285=DATE(2026,12,1),"培训；注册午餐；机构晚餐",IF(C1285=Options!$B$9,"抵达；"&amp;IF(C1285=DATE(2026,11,28),"机构晚餐","无统一供餐"),IF(C1285=Options!$B$10,"返程；"&amp;IF(C1285=DATE(2026,12,2),"机构午餐","无统一供餐"),"差旅状态；无统一日程"))))))</f>
        <v/>
      </c>
      <c r="E1285" s="13">
        <f>IF(C1285=Options!$B$9,Options!$C$17,0)</f>
        <v/>
      </c>
      <c r="F1285" s="13">
        <f>IF(AND(A1285&lt;&gt;"",C1285&lt;Options!$B$10),B1285*Options!$X$6,0)</f>
        <v/>
      </c>
      <c r="G1285" s="13">
        <f>F1285*12%</f>
        <v/>
      </c>
      <c r="H1285" s="13">
        <f>IF(A1285="",0,B1285*(92*IF(OR(C1285=Options!$B$9,C1285=Options!$B$10),75%,100%)-IF(C1285=DATE(2026,11,29),26+IF(Options!$B$8="是",23,0),0)-IF(C1285=DATE(2026,11,30),26,0)-IF(C1285=DATE(2026,12,1),64,0)-IF(C1285=DATE(2026,11,28),38,0)-IF(C1285=DATE(2026,12,2),26,0)))</f>
        <v/>
      </c>
      <c r="I1285" s="13">
        <f>IF(AND(C1285&gt;=DATE(2026,11,29),C1285&lt;=DATE(2026,12,1)),B1285*60,0)</f>
        <v/>
      </c>
      <c r="J1285" s="13">
        <f>IF(A1285="",0,B1285*(IF(C1285=DATE(2026,11,28),38,0)+IF(C1285=DATE(2026,12,1),38,0)+IF(C1285=DATE(2026,12,2),26,0)))</f>
        <v/>
      </c>
      <c r="K1285" s="13">
        <f>IF(C1285=Options!$B$9,B1285*12,0)</f>
        <v/>
      </c>
      <c r="L1285" s="13">
        <f>IF(C1285=Options!$B$9,B1285*Options!$Z$6,0)</f>
        <v/>
      </c>
      <c r="M1285" s="13" t="n">
        <v>0</v>
      </c>
      <c r="N1285" s="13">
        <f>SUM(E1285:M1285)</f>
        <v/>
      </c>
    </row>
    <row r="1286">
      <c r="A1286" s="5">
        <f>IF(AND(C1286&gt;=Options!$B$9,C1286&lt;=Options!$B$10),"Denver","")</f>
        <v/>
      </c>
      <c r="B1286" s="5">
        <f>IF(A1286="","",24)</f>
        <v/>
      </c>
      <c r="C1286" s="17" t="n">
        <v>46482</v>
      </c>
      <c r="D1286" s="5">
        <f>IF(A1286="","",IF(C1286=DATE(2026,11,29),"培训；注册午餐；早餐参数",IF(C1286=DATE(2026,11,30),"培训；注册午餐",IF(C1286=DATE(2026,12,1),"培训；注册午餐；机构晚餐",IF(C1286=Options!$B$9,"抵达；"&amp;IF(C1286=DATE(2026,11,28),"机构晚餐","无统一供餐"),IF(C1286=Options!$B$10,"返程；"&amp;IF(C1286=DATE(2026,12,2),"机构午餐","无统一供餐"),"差旅状态；无统一日程"))))))</f>
        <v/>
      </c>
      <c r="E1286" s="13">
        <f>IF(C1286=Options!$B$9,Options!$C$17,0)</f>
        <v/>
      </c>
      <c r="F1286" s="13">
        <f>IF(AND(A1286&lt;&gt;"",C1286&lt;Options!$B$10),B1286*Options!$X$6,0)</f>
        <v/>
      </c>
      <c r="G1286" s="13">
        <f>F1286*12%</f>
        <v/>
      </c>
      <c r="H1286" s="13">
        <f>IF(A1286="",0,B1286*(92*IF(OR(C1286=Options!$B$9,C1286=Options!$B$10),75%,100%)-IF(C1286=DATE(2026,11,29),26+IF(Options!$B$8="是",23,0),0)-IF(C1286=DATE(2026,11,30),26,0)-IF(C1286=DATE(2026,12,1),64,0)-IF(C1286=DATE(2026,11,28),38,0)-IF(C1286=DATE(2026,12,2),26,0)))</f>
        <v/>
      </c>
      <c r="I1286" s="13">
        <f>IF(AND(C1286&gt;=DATE(2026,11,29),C1286&lt;=DATE(2026,12,1)),B1286*60,0)</f>
        <v/>
      </c>
      <c r="J1286" s="13">
        <f>IF(A1286="",0,B1286*(IF(C1286=DATE(2026,11,28),38,0)+IF(C1286=DATE(2026,12,1),38,0)+IF(C1286=DATE(2026,12,2),26,0)))</f>
        <v/>
      </c>
      <c r="K1286" s="13">
        <f>IF(C1286=Options!$B$9,B1286*12,0)</f>
        <v/>
      </c>
      <c r="L1286" s="13">
        <f>IF(C1286=Options!$B$9,B1286*Options!$Z$6,0)</f>
        <v/>
      </c>
      <c r="M1286" s="13" t="n">
        <v>0</v>
      </c>
      <c r="N1286" s="13">
        <f>SUM(E1286:M1286)</f>
        <v/>
      </c>
    </row>
    <row r="1287">
      <c r="A1287" s="5">
        <f>IF(AND(C1287&gt;=Options!$B$9,C1287&lt;=Options!$B$10),"Denver","")</f>
        <v/>
      </c>
      <c r="B1287" s="5">
        <f>IF(A1287="","",24)</f>
        <v/>
      </c>
      <c r="C1287" s="17" t="n">
        <v>46483</v>
      </c>
      <c r="D1287" s="5">
        <f>IF(A1287="","",IF(C1287=DATE(2026,11,29),"培训；注册午餐；早餐参数",IF(C1287=DATE(2026,11,30),"培训；注册午餐",IF(C1287=DATE(2026,12,1),"培训；注册午餐；机构晚餐",IF(C1287=Options!$B$9,"抵达；"&amp;IF(C1287=DATE(2026,11,28),"机构晚餐","无统一供餐"),IF(C1287=Options!$B$10,"返程；"&amp;IF(C1287=DATE(2026,12,2),"机构午餐","无统一供餐"),"差旅状态；无统一日程"))))))</f>
        <v/>
      </c>
      <c r="E1287" s="13">
        <f>IF(C1287=Options!$B$9,Options!$C$17,0)</f>
        <v/>
      </c>
      <c r="F1287" s="13">
        <f>IF(AND(A1287&lt;&gt;"",C1287&lt;Options!$B$10),B1287*Options!$X$6,0)</f>
        <v/>
      </c>
      <c r="G1287" s="13">
        <f>F1287*12%</f>
        <v/>
      </c>
      <c r="H1287" s="13">
        <f>IF(A1287="",0,B1287*(92*IF(OR(C1287=Options!$B$9,C1287=Options!$B$10),75%,100%)-IF(C1287=DATE(2026,11,29),26+IF(Options!$B$8="是",23,0),0)-IF(C1287=DATE(2026,11,30),26,0)-IF(C1287=DATE(2026,12,1),64,0)-IF(C1287=DATE(2026,11,28),38,0)-IF(C1287=DATE(2026,12,2),26,0)))</f>
        <v/>
      </c>
      <c r="I1287" s="13">
        <f>IF(AND(C1287&gt;=DATE(2026,11,29),C1287&lt;=DATE(2026,12,1)),B1287*60,0)</f>
        <v/>
      </c>
      <c r="J1287" s="13">
        <f>IF(A1287="",0,B1287*(IF(C1287=DATE(2026,11,28),38,0)+IF(C1287=DATE(2026,12,1),38,0)+IF(C1287=DATE(2026,12,2),26,0)))</f>
        <v/>
      </c>
      <c r="K1287" s="13">
        <f>IF(C1287=Options!$B$9,B1287*12,0)</f>
        <v/>
      </c>
      <c r="L1287" s="13">
        <f>IF(C1287=Options!$B$9,B1287*Options!$Z$6,0)</f>
        <v/>
      </c>
      <c r="M1287" s="13" t="n">
        <v>0</v>
      </c>
      <c r="N1287" s="13">
        <f>SUM(E1287:M1287)</f>
        <v/>
      </c>
    </row>
    <row r="1288">
      <c r="A1288" s="5">
        <f>IF(AND(C1288&gt;=Options!$B$9,C1288&lt;=Options!$B$10),"Denver","")</f>
        <v/>
      </c>
      <c r="B1288" s="5">
        <f>IF(A1288="","",24)</f>
        <v/>
      </c>
      <c r="C1288" s="17" t="n">
        <v>46484</v>
      </c>
      <c r="D1288" s="5">
        <f>IF(A1288="","",IF(C1288=DATE(2026,11,29),"培训；注册午餐；早餐参数",IF(C1288=DATE(2026,11,30),"培训；注册午餐",IF(C1288=DATE(2026,12,1),"培训；注册午餐；机构晚餐",IF(C1288=Options!$B$9,"抵达；"&amp;IF(C1288=DATE(2026,11,28),"机构晚餐","无统一供餐"),IF(C1288=Options!$B$10,"返程；"&amp;IF(C1288=DATE(2026,12,2),"机构午餐","无统一供餐"),"差旅状态；无统一日程"))))))</f>
        <v/>
      </c>
      <c r="E1288" s="13">
        <f>IF(C1288=Options!$B$9,Options!$C$17,0)</f>
        <v/>
      </c>
      <c r="F1288" s="13">
        <f>IF(AND(A1288&lt;&gt;"",C1288&lt;Options!$B$10),B1288*Options!$X$6,0)</f>
        <v/>
      </c>
      <c r="G1288" s="13">
        <f>F1288*12%</f>
        <v/>
      </c>
      <c r="H1288" s="13">
        <f>IF(A1288="",0,B1288*(92*IF(OR(C1288=Options!$B$9,C1288=Options!$B$10),75%,100%)-IF(C1288=DATE(2026,11,29),26+IF(Options!$B$8="是",23,0),0)-IF(C1288=DATE(2026,11,30),26,0)-IF(C1288=DATE(2026,12,1),64,0)-IF(C1288=DATE(2026,11,28),38,0)-IF(C1288=DATE(2026,12,2),26,0)))</f>
        <v/>
      </c>
      <c r="I1288" s="13">
        <f>IF(AND(C1288&gt;=DATE(2026,11,29),C1288&lt;=DATE(2026,12,1)),B1288*60,0)</f>
        <v/>
      </c>
      <c r="J1288" s="13">
        <f>IF(A1288="",0,B1288*(IF(C1288=DATE(2026,11,28),38,0)+IF(C1288=DATE(2026,12,1),38,0)+IF(C1288=DATE(2026,12,2),26,0)))</f>
        <v/>
      </c>
      <c r="K1288" s="13">
        <f>IF(C1288=Options!$B$9,B1288*12,0)</f>
        <v/>
      </c>
      <c r="L1288" s="13">
        <f>IF(C1288=Options!$B$9,B1288*Options!$Z$6,0)</f>
        <v/>
      </c>
      <c r="M1288" s="13" t="n">
        <v>0</v>
      </c>
      <c r="N1288" s="13">
        <f>SUM(E1288:M1288)</f>
        <v/>
      </c>
    </row>
    <row r="1289">
      <c r="A1289" s="5">
        <f>IF(AND(C1289&gt;=Options!$B$9,C1289&lt;=Options!$B$10),"Denver","")</f>
        <v/>
      </c>
      <c r="B1289" s="5">
        <f>IF(A1289="","",24)</f>
        <v/>
      </c>
      <c r="C1289" s="17" t="n">
        <v>46485</v>
      </c>
      <c r="D1289" s="5">
        <f>IF(A1289="","",IF(C1289=DATE(2026,11,29),"培训；注册午餐；早餐参数",IF(C1289=DATE(2026,11,30),"培训；注册午餐",IF(C1289=DATE(2026,12,1),"培训；注册午餐；机构晚餐",IF(C1289=Options!$B$9,"抵达；"&amp;IF(C1289=DATE(2026,11,28),"机构晚餐","无统一供餐"),IF(C1289=Options!$B$10,"返程；"&amp;IF(C1289=DATE(2026,12,2),"机构午餐","无统一供餐"),"差旅状态；无统一日程"))))))</f>
        <v/>
      </c>
      <c r="E1289" s="13">
        <f>IF(C1289=Options!$B$9,Options!$C$17,0)</f>
        <v/>
      </c>
      <c r="F1289" s="13">
        <f>IF(AND(A1289&lt;&gt;"",C1289&lt;Options!$B$10),B1289*Options!$X$6,0)</f>
        <v/>
      </c>
      <c r="G1289" s="13">
        <f>F1289*12%</f>
        <v/>
      </c>
      <c r="H1289" s="13">
        <f>IF(A1289="",0,B1289*(92*IF(OR(C1289=Options!$B$9,C1289=Options!$B$10),75%,100%)-IF(C1289=DATE(2026,11,29),26+IF(Options!$B$8="是",23,0),0)-IF(C1289=DATE(2026,11,30),26,0)-IF(C1289=DATE(2026,12,1),64,0)-IF(C1289=DATE(2026,11,28),38,0)-IF(C1289=DATE(2026,12,2),26,0)))</f>
        <v/>
      </c>
      <c r="I1289" s="13">
        <f>IF(AND(C1289&gt;=DATE(2026,11,29),C1289&lt;=DATE(2026,12,1)),B1289*60,0)</f>
        <v/>
      </c>
      <c r="J1289" s="13">
        <f>IF(A1289="",0,B1289*(IF(C1289=DATE(2026,11,28),38,0)+IF(C1289=DATE(2026,12,1),38,0)+IF(C1289=DATE(2026,12,2),26,0)))</f>
        <v/>
      </c>
      <c r="K1289" s="13">
        <f>IF(C1289=Options!$B$9,B1289*12,0)</f>
        <v/>
      </c>
      <c r="L1289" s="13">
        <f>IF(C1289=Options!$B$9,B1289*Options!$Z$6,0)</f>
        <v/>
      </c>
      <c r="M1289" s="13" t="n">
        <v>0</v>
      </c>
      <c r="N1289" s="13">
        <f>SUM(E1289:M1289)</f>
        <v/>
      </c>
    </row>
    <row r="1290">
      <c r="A1290" s="5">
        <f>IF(AND(C1290&gt;=Options!$B$9,C1290&lt;=Options!$B$10),"Denver","")</f>
        <v/>
      </c>
      <c r="B1290" s="5">
        <f>IF(A1290="","",24)</f>
        <v/>
      </c>
      <c r="C1290" s="17" t="n">
        <v>46486</v>
      </c>
      <c r="D1290" s="5">
        <f>IF(A1290="","",IF(C1290=DATE(2026,11,29),"培训；注册午餐；早餐参数",IF(C1290=DATE(2026,11,30),"培训；注册午餐",IF(C1290=DATE(2026,12,1),"培训；注册午餐；机构晚餐",IF(C1290=Options!$B$9,"抵达；"&amp;IF(C1290=DATE(2026,11,28),"机构晚餐","无统一供餐"),IF(C1290=Options!$B$10,"返程；"&amp;IF(C1290=DATE(2026,12,2),"机构午餐","无统一供餐"),"差旅状态；无统一日程"))))))</f>
        <v/>
      </c>
      <c r="E1290" s="13">
        <f>IF(C1290=Options!$B$9,Options!$C$17,0)</f>
        <v/>
      </c>
      <c r="F1290" s="13">
        <f>IF(AND(A1290&lt;&gt;"",C1290&lt;Options!$B$10),B1290*Options!$X$6,0)</f>
        <v/>
      </c>
      <c r="G1290" s="13">
        <f>F1290*12%</f>
        <v/>
      </c>
      <c r="H1290" s="13">
        <f>IF(A1290="",0,B1290*(92*IF(OR(C1290=Options!$B$9,C1290=Options!$B$10),75%,100%)-IF(C1290=DATE(2026,11,29),26+IF(Options!$B$8="是",23,0),0)-IF(C1290=DATE(2026,11,30),26,0)-IF(C1290=DATE(2026,12,1),64,0)-IF(C1290=DATE(2026,11,28),38,0)-IF(C1290=DATE(2026,12,2),26,0)))</f>
        <v/>
      </c>
      <c r="I1290" s="13">
        <f>IF(AND(C1290&gt;=DATE(2026,11,29),C1290&lt;=DATE(2026,12,1)),B1290*60,0)</f>
        <v/>
      </c>
      <c r="J1290" s="13">
        <f>IF(A1290="",0,B1290*(IF(C1290=DATE(2026,11,28),38,0)+IF(C1290=DATE(2026,12,1),38,0)+IF(C1290=DATE(2026,12,2),26,0)))</f>
        <v/>
      </c>
      <c r="K1290" s="13">
        <f>IF(C1290=Options!$B$9,B1290*12,0)</f>
        <v/>
      </c>
      <c r="L1290" s="13">
        <f>IF(C1290=Options!$B$9,B1290*Options!$Z$6,0)</f>
        <v/>
      </c>
      <c r="M1290" s="13" t="n">
        <v>0</v>
      </c>
      <c r="N1290" s="13">
        <f>SUM(E1290:M1290)</f>
        <v/>
      </c>
    </row>
    <row r="1291">
      <c r="A1291" s="5">
        <f>IF(AND(C1291&gt;=Options!$B$9,C1291&lt;=Options!$B$10),"Denver","")</f>
        <v/>
      </c>
      <c r="B1291" s="5">
        <f>IF(A1291="","",24)</f>
        <v/>
      </c>
      <c r="C1291" s="17" t="n">
        <v>46487</v>
      </c>
      <c r="D1291" s="5">
        <f>IF(A1291="","",IF(C1291=DATE(2026,11,29),"培训；注册午餐；早餐参数",IF(C1291=DATE(2026,11,30),"培训；注册午餐",IF(C1291=DATE(2026,12,1),"培训；注册午餐；机构晚餐",IF(C1291=Options!$B$9,"抵达；"&amp;IF(C1291=DATE(2026,11,28),"机构晚餐","无统一供餐"),IF(C1291=Options!$B$10,"返程；"&amp;IF(C1291=DATE(2026,12,2),"机构午餐","无统一供餐"),"差旅状态；无统一日程"))))))</f>
        <v/>
      </c>
      <c r="E1291" s="13">
        <f>IF(C1291=Options!$B$9,Options!$C$17,0)</f>
        <v/>
      </c>
      <c r="F1291" s="13">
        <f>IF(AND(A1291&lt;&gt;"",C1291&lt;Options!$B$10),B1291*Options!$X$6,0)</f>
        <v/>
      </c>
      <c r="G1291" s="13">
        <f>F1291*12%</f>
        <v/>
      </c>
      <c r="H1291" s="13">
        <f>IF(A1291="",0,B1291*(92*IF(OR(C1291=Options!$B$9,C1291=Options!$B$10),75%,100%)-IF(C1291=DATE(2026,11,29),26+IF(Options!$B$8="是",23,0),0)-IF(C1291=DATE(2026,11,30),26,0)-IF(C1291=DATE(2026,12,1),64,0)-IF(C1291=DATE(2026,11,28),38,0)-IF(C1291=DATE(2026,12,2),26,0)))</f>
        <v/>
      </c>
      <c r="I1291" s="13">
        <f>IF(AND(C1291&gt;=DATE(2026,11,29),C1291&lt;=DATE(2026,12,1)),B1291*60,0)</f>
        <v/>
      </c>
      <c r="J1291" s="13">
        <f>IF(A1291="",0,B1291*(IF(C1291=DATE(2026,11,28),38,0)+IF(C1291=DATE(2026,12,1),38,0)+IF(C1291=DATE(2026,12,2),26,0)))</f>
        <v/>
      </c>
      <c r="K1291" s="13">
        <f>IF(C1291=Options!$B$9,B1291*12,0)</f>
        <v/>
      </c>
      <c r="L1291" s="13">
        <f>IF(C1291=Options!$B$9,B1291*Options!$Z$6,0)</f>
        <v/>
      </c>
      <c r="M1291" s="13" t="n">
        <v>0</v>
      </c>
      <c r="N1291" s="13">
        <f>SUM(E1291:M1291)</f>
        <v/>
      </c>
    </row>
    <row r="1292">
      <c r="A1292" s="5">
        <f>IF(AND(C1292&gt;=Options!$B$9,C1292&lt;=Options!$B$10),"Denver","")</f>
        <v/>
      </c>
      <c r="B1292" s="5">
        <f>IF(A1292="","",24)</f>
        <v/>
      </c>
      <c r="C1292" s="17" t="n">
        <v>46488</v>
      </c>
      <c r="D1292" s="5">
        <f>IF(A1292="","",IF(C1292=DATE(2026,11,29),"培训；注册午餐；早餐参数",IF(C1292=DATE(2026,11,30),"培训；注册午餐",IF(C1292=DATE(2026,12,1),"培训；注册午餐；机构晚餐",IF(C1292=Options!$B$9,"抵达；"&amp;IF(C1292=DATE(2026,11,28),"机构晚餐","无统一供餐"),IF(C1292=Options!$B$10,"返程；"&amp;IF(C1292=DATE(2026,12,2),"机构午餐","无统一供餐"),"差旅状态；无统一日程"))))))</f>
        <v/>
      </c>
      <c r="E1292" s="13">
        <f>IF(C1292=Options!$B$9,Options!$C$17,0)</f>
        <v/>
      </c>
      <c r="F1292" s="13">
        <f>IF(AND(A1292&lt;&gt;"",C1292&lt;Options!$B$10),B1292*Options!$X$6,0)</f>
        <v/>
      </c>
      <c r="G1292" s="13">
        <f>F1292*12%</f>
        <v/>
      </c>
      <c r="H1292" s="13">
        <f>IF(A1292="",0,B1292*(92*IF(OR(C1292=Options!$B$9,C1292=Options!$B$10),75%,100%)-IF(C1292=DATE(2026,11,29),26+IF(Options!$B$8="是",23,0),0)-IF(C1292=DATE(2026,11,30),26,0)-IF(C1292=DATE(2026,12,1),64,0)-IF(C1292=DATE(2026,11,28),38,0)-IF(C1292=DATE(2026,12,2),26,0)))</f>
        <v/>
      </c>
      <c r="I1292" s="13">
        <f>IF(AND(C1292&gt;=DATE(2026,11,29),C1292&lt;=DATE(2026,12,1)),B1292*60,0)</f>
        <v/>
      </c>
      <c r="J1292" s="13">
        <f>IF(A1292="",0,B1292*(IF(C1292=DATE(2026,11,28),38,0)+IF(C1292=DATE(2026,12,1),38,0)+IF(C1292=DATE(2026,12,2),26,0)))</f>
        <v/>
      </c>
      <c r="K1292" s="13">
        <f>IF(C1292=Options!$B$9,B1292*12,0)</f>
        <v/>
      </c>
      <c r="L1292" s="13">
        <f>IF(C1292=Options!$B$9,B1292*Options!$Z$6,0)</f>
        <v/>
      </c>
      <c r="M1292" s="13" t="n">
        <v>0</v>
      </c>
      <c r="N1292" s="13">
        <f>SUM(E1292:M1292)</f>
        <v/>
      </c>
    </row>
    <row r="1293">
      <c r="A1293" s="5">
        <f>IF(AND(C1293&gt;=Options!$B$9,C1293&lt;=Options!$B$10),"Denver","")</f>
        <v/>
      </c>
      <c r="B1293" s="5">
        <f>IF(A1293="","",24)</f>
        <v/>
      </c>
      <c r="C1293" s="17" t="n">
        <v>46489</v>
      </c>
      <c r="D1293" s="5">
        <f>IF(A1293="","",IF(C1293=DATE(2026,11,29),"培训；注册午餐；早餐参数",IF(C1293=DATE(2026,11,30),"培训；注册午餐",IF(C1293=DATE(2026,12,1),"培训；注册午餐；机构晚餐",IF(C1293=Options!$B$9,"抵达；"&amp;IF(C1293=DATE(2026,11,28),"机构晚餐","无统一供餐"),IF(C1293=Options!$B$10,"返程；"&amp;IF(C1293=DATE(2026,12,2),"机构午餐","无统一供餐"),"差旅状态；无统一日程"))))))</f>
        <v/>
      </c>
      <c r="E1293" s="13">
        <f>IF(C1293=Options!$B$9,Options!$C$17,0)</f>
        <v/>
      </c>
      <c r="F1293" s="13">
        <f>IF(AND(A1293&lt;&gt;"",C1293&lt;Options!$B$10),B1293*Options!$X$6,0)</f>
        <v/>
      </c>
      <c r="G1293" s="13">
        <f>F1293*12%</f>
        <v/>
      </c>
      <c r="H1293" s="13">
        <f>IF(A1293="",0,B1293*(92*IF(OR(C1293=Options!$B$9,C1293=Options!$B$10),75%,100%)-IF(C1293=DATE(2026,11,29),26+IF(Options!$B$8="是",23,0),0)-IF(C1293=DATE(2026,11,30),26,0)-IF(C1293=DATE(2026,12,1),64,0)-IF(C1293=DATE(2026,11,28),38,0)-IF(C1293=DATE(2026,12,2),26,0)))</f>
        <v/>
      </c>
      <c r="I1293" s="13">
        <f>IF(AND(C1293&gt;=DATE(2026,11,29),C1293&lt;=DATE(2026,12,1)),B1293*60,0)</f>
        <v/>
      </c>
      <c r="J1293" s="13">
        <f>IF(A1293="",0,B1293*(IF(C1293=DATE(2026,11,28),38,0)+IF(C1293=DATE(2026,12,1),38,0)+IF(C1293=DATE(2026,12,2),26,0)))</f>
        <v/>
      </c>
      <c r="K1293" s="13">
        <f>IF(C1293=Options!$B$9,B1293*12,0)</f>
        <v/>
      </c>
      <c r="L1293" s="13">
        <f>IF(C1293=Options!$B$9,B1293*Options!$Z$6,0)</f>
        <v/>
      </c>
      <c r="M1293" s="13" t="n">
        <v>0</v>
      </c>
      <c r="N1293" s="13">
        <f>SUM(E1293:M1293)</f>
        <v/>
      </c>
    </row>
    <row r="1294">
      <c r="A1294" s="5">
        <f>IF(AND(C1294&gt;=Options!$B$9,C1294&lt;=Options!$B$10),"Denver","")</f>
        <v/>
      </c>
      <c r="B1294" s="5">
        <f>IF(A1294="","",24)</f>
        <v/>
      </c>
      <c r="C1294" s="17" t="n">
        <v>46490</v>
      </c>
      <c r="D1294" s="5">
        <f>IF(A1294="","",IF(C1294=DATE(2026,11,29),"培训；注册午餐；早餐参数",IF(C1294=DATE(2026,11,30),"培训；注册午餐",IF(C1294=DATE(2026,12,1),"培训；注册午餐；机构晚餐",IF(C1294=Options!$B$9,"抵达；"&amp;IF(C1294=DATE(2026,11,28),"机构晚餐","无统一供餐"),IF(C1294=Options!$B$10,"返程；"&amp;IF(C1294=DATE(2026,12,2),"机构午餐","无统一供餐"),"差旅状态；无统一日程"))))))</f>
        <v/>
      </c>
      <c r="E1294" s="13">
        <f>IF(C1294=Options!$B$9,Options!$C$17,0)</f>
        <v/>
      </c>
      <c r="F1294" s="13">
        <f>IF(AND(A1294&lt;&gt;"",C1294&lt;Options!$B$10),B1294*Options!$X$6,0)</f>
        <v/>
      </c>
      <c r="G1294" s="13">
        <f>F1294*12%</f>
        <v/>
      </c>
      <c r="H1294" s="13">
        <f>IF(A1294="",0,B1294*(92*IF(OR(C1294=Options!$B$9,C1294=Options!$B$10),75%,100%)-IF(C1294=DATE(2026,11,29),26+IF(Options!$B$8="是",23,0),0)-IF(C1294=DATE(2026,11,30),26,0)-IF(C1294=DATE(2026,12,1),64,0)-IF(C1294=DATE(2026,11,28),38,0)-IF(C1294=DATE(2026,12,2),26,0)))</f>
        <v/>
      </c>
      <c r="I1294" s="13">
        <f>IF(AND(C1294&gt;=DATE(2026,11,29),C1294&lt;=DATE(2026,12,1)),B1294*60,0)</f>
        <v/>
      </c>
      <c r="J1294" s="13">
        <f>IF(A1294="",0,B1294*(IF(C1294=DATE(2026,11,28),38,0)+IF(C1294=DATE(2026,12,1),38,0)+IF(C1294=DATE(2026,12,2),26,0)))</f>
        <v/>
      </c>
      <c r="K1294" s="13">
        <f>IF(C1294=Options!$B$9,B1294*12,0)</f>
        <v/>
      </c>
      <c r="L1294" s="13">
        <f>IF(C1294=Options!$B$9,B1294*Options!$Z$6,0)</f>
        <v/>
      </c>
      <c r="M1294" s="13" t="n">
        <v>0</v>
      </c>
      <c r="N1294" s="13">
        <f>SUM(E1294:M1294)</f>
        <v/>
      </c>
    </row>
    <row r="1295">
      <c r="A1295" s="5">
        <f>IF(AND(C1295&gt;=Options!$B$9,C1295&lt;=Options!$B$10),"Denver","")</f>
        <v/>
      </c>
      <c r="B1295" s="5">
        <f>IF(A1295="","",24)</f>
        <v/>
      </c>
      <c r="C1295" s="17" t="n">
        <v>46491</v>
      </c>
      <c r="D1295" s="5">
        <f>IF(A1295="","",IF(C1295=DATE(2026,11,29),"培训；注册午餐；早餐参数",IF(C1295=DATE(2026,11,30),"培训；注册午餐",IF(C1295=DATE(2026,12,1),"培训；注册午餐；机构晚餐",IF(C1295=Options!$B$9,"抵达；"&amp;IF(C1295=DATE(2026,11,28),"机构晚餐","无统一供餐"),IF(C1295=Options!$B$10,"返程；"&amp;IF(C1295=DATE(2026,12,2),"机构午餐","无统一供餐"),"差旅状态；无统一日程"))))))</f>
        <v/>
      </c>
      <c r="E1295" s="13">
        <f>IF(C1295=Options!$B$9,Options!$C$17,0)</f>
        <v/>
      </c>
      <c r="F1295" s="13">
        <f>IF(AND(A1295&lt;&gt;"",C1295&lt;Options!$B$10),B1295*Options!$X$6,0)</f>
        <v/>
      </c>
      <c r="G1295" s="13">
        <f>F1295*12%</f>
        <v/>
      </c>
      <c r="H1295" s="13">
        <f>IF(A1295="",0,B1295*(92*IF(OR(C1295=Options!$B$9,C1295=Options!$B$10),75%,100%)-IF(C1295=DATE(2026,11,29),26+IF(Options!$B$8="是",23,0),0)-IF(C1295=DATE(2026,11,30),26,0)-IF(C1295=DATE(2026,12,1),64,0)-IF(C1295=DATE(2026,11,28),38,0)-IF(C1295=DATE(2026,12,2),26,0)))</f>
        <v/>
      </c>
      <c r="I1295" s="13">
        <f>IF(AND(C1295&gt;=DATE(2026,11,29),C1295&lt;=DATE(2026,12,1)),B1295*60,0)</f>
        <v/>
      </c>
      <c r="J1295" s="13">
        <f>IF(A1295="",0,B1295*(IF(C1295=DATE(2026,11,28),38,0)+IF(C1295=DATE(2026,12,1),38,0)+IF(C1295=DATE(2026,12,2),26,0)))</f>
        <v/>
      </c>
      <c r="K1295" s="13">
        <f>IF(C1295=Options!$B$9,B1295*12,0)</f>
        <v/>
      </c>
      <c r="L1295" s="13">
        <f>IF(C1295=Options!$B$9,B1295*Options!$Z$6,0)</f>
        <v/>
      </c>
      <c r="M1295" s="13" t="n">
        <v>0</v>
      </c>
      <c r="N1295" s="13">
        <f>SUM(E1295:M1295)</f>
        <v/>
      </c>
    </row>
    <row r="1296">
      <c r="A1296" s="5">
        <f>IF(AND(C1296&gt;=Options!$B$9,C1296&lt;=Options!$B$10),"Denver","")</f>
        <v/>
      </c>
      <c r="B1296" s="5">
        <f>IF(A1296="","",24)</f>
        <v/>
      </c>
      <c r="C1296" s="17" t="n">
        <v>46492</v>
      </c>
      <c r="D1296" s="5">
        <f>IF(A1296="","",IF(C1296=DATE(2026,11,29),"培训；注册午餐；早餐参数",IF(C1296=DATE(2026,11,30),"培训；注册午餐",IF(C1296=DATE(2026,12,1),"培训；注册午餐；机构晚餐",IF(C1296=Options!$B$9,"抵达；"&amp;IF(C1296=DATE(2026,11,28),"机构晚餐","无统一供餐"),IF(C1296=Options!$B$10,"返程；"&amp;IF(C1296=DATE(2026,12,2),"机构午餐","无统一供餐"),"差旅状态；无统一日程"))))))</f>
        <v/>
      </c>
      <c r="E1296" s="13">
        <f>IF(C1296=Options!$B$9,Options!$C$17,0)</f>
        <v/>
      </c>
      <c r="F1296" s="13">
        <f>IF(AND(A1296&lt;&gt;"",C1296&lt;Options!$B$10),B1296*Options!$X$6,0)</f>
        <v/>
      </c>
      <c r="G1296" s="13">
        <f>F1296*12%</f>
        <v/>
      </c>
      <c r="H1296" s="13">
        <f>IF(A1296="",0,B1296*(92*IF(OR(C1296=Options!$B$9,C1296=Options!$B$10),75%,100%)-IF(C1296=DATE(2026,11,29),26+IF(Options!$B$8="是",23,0),0)-IF(C1296=DATE(2026,11,30),26,0)-IF(C1296=DATE(2026,12,1),64,0)-IF(C1296=DATE(2026,11,28),38,0)-IF(C1296=DATE(2026,12,2),26,0)))</f>
        <v/>
      </c>
      <c r="I1296" s="13">
        <f>IF(AND(C1296&gt;=DATE(2026,11,29),C1296&lt;=DATE(2026,12,1)),B1296*60,0)</f>
        <v/>
      </c>
      <c r="J1296" s="13">
        <f>IF(A1296="",0,B1296*(IF(C1296=DATE(2026,11,28),38,0)+IF(C1296=DATE(2026,12,1),38,0)+IF(C1296=DATE(2026,12,2),26,0)))</f>
        <v/>
      </c>
      <c r="K1296" s="13">
        <f>IF(C1296=Options!$B$9,B1296*12,0)</f>
        <v/>
      </c>
      <c r="L1296" s="13">
        <f>IF(C1296=Options!$B$9,B1296*Options!$Z$6,0)</f>
        <v/>
      </c>
      <c r="M1296" s="13" t="n">
        <v>0</v>
      </c>
      <c r="N1296" s="13">
        <f>SUM(E1296:M1296)</f>
        <v/>
      </c>
    </row>
    <row r="1297">
      <c r="A1297" s="5">
        <f>IF(AND(C1297&gt;=Options!$B$9,C1297&lt;=Options!$B$10),"Denver","")</f>
        <v/>
      </c>
      <c r="B1297" s="5">
        <f>IF(A1297="","",24)</f>
        <v/>
      </c>
      <c r="C1297" s="17" t="n">
        <v>46493</v>
      </c>
      <c r="D1297" s="5">
        <f>IF(A1297="","",IF(C1297=DATE(2026,11,29),"培训；注册午餐；早餐参数",IF(C1297=DATE(2026,11,30),"培训；注册午餐",IF(C1297=DATE(2026,12,1),"培训；注册午餐；机构晚餐",IF(C1297=Options!$B$9,"抵达；"&amp;IF(C1297=DATE(2026,11,28),"机构晚餐","无统一供餐"),IF(C1297=Options!$B$10,"返程；"&amp;IF(C1297=DATE(2026,12,2),"机构午餐","无统一供餐"),"差旅状态；无统一日程"))))))</f>
        <v/>
      </c>
      <c r="E1297" s="13">
        <f>IF(C1297=Options!$B$9,Options!$C$17,0)</f>
        <v/>
      </c>
      <c r="F1297" s="13">
        <f>IF(AND(A1297&lt;&gt;"",C1297&lt;Options!$B$10),B1297*Options!$X$6,0)</f>
        <v/>
      </c>
      <c r="G1297" s="13">
        <f>F1297*12%</f>
        <v/>
      </c>
      <c r="H1297" s="13">
        <f>IF(A1297="",0,B1297*(92*IF(OR(C1297=Options!$B$9,C1297=Options!$B$10),75%,100%)-IF(C1297=DATE(2026,11,29),26+IF(Options!$B$8="是",23,0),0)-IF(C1297=DATE(2026,11,30),26,0)-IF(C1297=DATE(2026,12,1),64,0)-IF(C1297=DATE(2026,11,28),38,0)-IF(C1297=DATE(2026,12,2),26,0)))</f>
        <v/>
      </c>
      <c r="I1297" s="13">
        <f>IF(AND(C1297&gt;=DATE(2026,11,29),C1297&lt;=DATE(2026,12,1)),B1297*60,0)</f>
        <v/>
      </c>
      <c r="J1297" s="13">
        <f>IF(A1297="",0,B1297*(IF(C1297=DATE(2026,11,28),38,0)+IF(C1297=DATE(2026,12,1),38,0)+IF(C1297=DATE(2026,12,2),26,0)))</f>
        <v/>
      </c>
      <c r="K1297" s="13">
        <f>IF(C1297=Options!$B$9,B1297*12,0)</f>
        <v/>
      </c>
      <c r="L1297" s="13">
        <f>IF(C1297=Options!$B$9,B1297*Options!$Z$6,0)</f>
        <v/>
      </c>
      <c r="M1297" s="13" t="n">
        <v>0</v>
      </c>
      <c r="N1297" s="13">
        <f>SUM(E1297:M1297)</f>
        <v/>
      </c>
    </row>
    <row r="1298">
      <c r="A1298" s="5">
        <f>IF(AND(C1298&gt;=Options!$B$9,C1298&lt;=Options!$B$10),"Denver","")</f>
        <v/>
      </c>
      <c r="B1298" s="5">
        <f>IF(A1298="","",24)</f>
        <v/>
      </c>
      <c r="C1298" s="17" t="n">
        <v>46494</v>
      </c>
      <c r="D1298" s="5">
        <f>IF(A1298="","",IF(C1298=DATE(2026,11,29),"培训；注册午餐；早餐参数",IF(C1298=DATE(2026,11,30),"培训；注册午餐",IF(C1298=DATE(2026,12,1),"培训；注册午餐；机构晚餐",IF(C1298=Options!$B$9,"抵达；"&amp;IF(C1298=DATE(2026,11,28),"机构晚餐","无统一供餐"),IF(C1298=Options!$B$10,"返程；"&amp;IF(C1298=DATE(2026,12,2),"机构午餐","无统一供餐"),"差旅状态；无统一日程"))))))</f>
        <v/>
      </c>
      <c r="E1298" s="13">
        <f>IF(C1298=Options!$B$9,Options!$C$17,0)</f>
        <v/>
      </c>
      <c r="F1298" s="13">
        <f>IF(AND(A1298&lt;&gt;"",C1298&lt;Options!$B$10),B1298*Options!$X$6,0)</f>
        <v/>
      </c>
      <c r="G1298" s="13">
        <f>F1298*12%</f>
        <v/>
      </c>
      <c r="H1298" s="13">
        <f>IF(A1298="",0,B1298*(92*IF(OR(C1298=Options!$B$9,C1298=Options!$B$10),75%,100%)-IF(C1298=DATE(2026,11,29),26+IF(Options!$B$8="是",23,0),0)-IF(C1298=DATE(2026,11,30),26,0)-IF(C1298=DATE(2026,12,1),64,0)-IF(C1298=DATE(2026,11,28),38,0)-IF(C1298=DATE(2026,12,2),26,0)))</f>
        <v/>
      </c>
      <c r="I1298" s="13">
        <f>IF(AND(C1298&gt;=DATE(2026,11,29),C1298&lt;=DATE(2026,12,1)),B1298*60,0)</f>
        <v/>
      </c>
      <c r="J1298" s="13">
        <f>IF(A1298="",0,B1298*(IF(C1298=DATE(2026,11,28),38,0)+IF(C1298=DATE(2026,12,1),38,0)+IF(C1298=DATE(2026,12,2),26,0)))</f>
        <v/>
      </c>
      <c r="K1298" s="13">
        <f>IF(C1298=Options!$B$9,B1298*12,0)</f>
        <v/>
      </c>
      <c r="L1298" s="13">
        <f>IF(C1298=Options!$B$9,B1298*Options!$Z$6,0)</f>
        <v/>
      </c>
      <c r="M1298" s="13" t="n">
        <v>0</v>
      </c>
      <c r="N1298" s="13">
        <f>SUM(E1298:M1298)</f>
        <v/>
      </c>
    </row>
    <row r="1299">
      <c r="A1299" s="5">
        <f>IF(AND(C1299&gt;=Options!$B$9,C1299&lt;=Options!$B$10),"Denver","")</f>
        <v/>
      </c>
      <c r="B1299" s="5">
        <f>IF(A1299="","",24)</f>
        <v/>
      </c>
      <c r="C1299" s="17" t="n">
        <v>46495</v>
      </c>
      <c r="D1299" s="5">
        <f>IF(A1299="","",IF(C1299=DATE(2026,11,29),"培训；注册午餐；早餐参数",IF(C1299=DATE(2026,11,30),"培训；注册午餐",IF(C1299=DATE(2026,12,1),"培训；注册午餐；机构晚餐",IF(C1299=Options!$B$9,"抵达；"&amp;IF(C1299=DATE(2026,11,28),"机构晚餐","无统一供餐"),IF(C1299=Options!$B$10,"返程；"&amp;IF(C1299=DATE(2026,12,2),"机构午餐","无统一供餐"),"差旅状态；无统一日程"))))))</f>
        <v/>
      </c>
      <c r="E1299" s="13">
        <f>IF(C1299=Options!$B$9,Options!$C$17,0)</f>
        <v/>
      </c>
      <c r="F1299" s="13">
        <f>IF(AND(A1299&lt;&gt;"",C1299&lt;Options!$B$10),B1299*Options!$X$6,0)</f>
        <v/>
      </c>
      <c r="G1299" s="13">
        <f>F1299*12%</f>
        <v/>
      </c>
      <c r="H1299" s="13">
        <f>IF(A1299="",0,B1299*(92*IF(OR(C1299=Options!$B$9,C1299=Options!$B$10),75%,100%)-IF(C1299=DATE(2026,11,29),26+IF(Options!$B$8="是",23,0),0)-IF(C1299=DATE(2026,11,30),26,0)-IF(C1299=DATE(2026,12,1),64,0)-IF(C1299=DATE(2026,11,28),38,0)-IF(C1299=DATE(2026,12,2),26,0)))</f>
        <v/>
      </c>
      <c r="I1299" s="13">
        <f>IF(AND(C1299&gt;=DATE(2026,11,29),C1299&lt;=DATE(2026,12,1)),B1299*60,0)</f>
        <v/>
      </c>
      <c r="J1299" s="13">
        <f>IF(A1299="",0,B1299*(IF(C1299=DATE(2026,11,28),38,0)+IF(C1299=DATE(2026,12,1),38,0)+IF(C1299=DATE(2026,12,2),26,0)))</f>
        <v/>
      </c>
      <c r="K1299" s="13">
        <f>IF(C1299=Options!$B$9,B1299*12,0)</f>
        <v/>
      </c>
      <c r="L1299" s="13">
        <f>IF(C1299=Options!$B$9,B1299*Options!$Z$6,0)</f>
        <v/>
      </c>
      <c r="M1299" s="13" t="n">
        <v>0</v>
      </c>
      <c r="N1299" s="13">
        <f>SUM(E1299:M1299)</f>
        <v/>
      </c>
    </row>
    <row r="1300">
      <c r="A1300" s="5">
        <f>IF(AND(C1300&gt;=Options!$B$9,C1300&lt;=Options!$B$10),"Denver","")</f>
        <v/>
      </c>
      <c r="B1300" s="5">
        <f>IF(A1300="","",24)</f>
        <v/>
      </c>
      <c r="C1300" s="17" t="n">
        <v>46496</v>
      </c>
      <c r="D1300" s="5">
        <f>IF(A1300="","",IF(C1300=DATE(2026,11,29),"培训；注册午餐；早餐参数",IF(C1300=DATE(2026,11,30),"培训；注册午餐",IF(C1300=DATE(2026,12,1),"培训；注册午餐；机构晚餐",IF(C1300=Options!$B$9,"抵达；"&amp;IF(C1300=DATE(2026,11,28),"机构晚餐","无统一供餐"),IF(C1300=Options!$B$10,"返程；"&amp;IF(C1300=DATE(2026,12,2),"机构午餐","无统一供餐"),"差旅状态；无统一日程"))))))</f>
        <v/>
      </c>
      <c r="E1300" s="13">
        <f>IF(C1300=Options!$B$9,Options!$C$17,0)</f>
        <v/>
      </c>
      <c r="F1300" s="13">
        <f>IF(AND(A1300&lt;&gt;"",C1300&lt;Options!$B$10),B1300*Options!$X$6,0)</f>
        <v/>
      </c>
      <c r="G1300" s="13">
        <f>F1300*12%</f>
        <v/>
      </c>
      <c r="H1300" s="13">
        <f>IF(A1300="",0,B1300*(92*IF(OR(C1300=Options!$B$9,C1300=Options!$B$10),75%,100%)-IF(C1300=DATE(2026,11,29),26+IF(Options!$B$8="是",23,0),0)-IF(C1300=DATE(2026,11,30),26,0)-IF(C1300=DATE(2026,12,1),64,0)-IF(C1300=DATE(2026,11,28),38,0)-IF(C1300=DATE(2026,12,2),26,0)))</f>
        <v/>
      </c>
      <c r="I1300" s="13">
        <f>IF(AND(C1300&gt;=DATE(2026,11,29),C1300&lt;=DATE(2026,12,1)),B1300*60,0)</f>
        <v/>
      </c>
      <c r="J1300" s="13">
        <f>IF(A1300="",0,B1300*(IF(C1300=DATE(2026,11,28),38,0)+IF(C1300=DATE(2026,12,1),38,0)+IF(C1300=DATE(2026,12,2),26,0)))</f>
        <v/>
      </c>
      <c r="K1300" s="13">
        <f>IF(C1300=Options!$B$9,B1300*12,0)</f>
        <v/>
      </c>
      <c r="L1300" s="13">
        <f>IF(C1300=Options!$B$9,B1300*Options!$Z$6,0)</f>
        <v/>
      </c>
      <c r="M1300" s="13" t="n">
        <v>0</v>
      </c>
      <c r="N1300" s="13">
        <f>SUM(E1300:M1300)</f>
        <v/>
      </c>
    </row>
    <row r="1301">
      <c r="A1301" s="5">
        <f>IF(AND(C1301&gt;=Options!$B$9,C1301&lt;=Options!$B$10),"Denver","")</f>
        <v/>
      </c>
      <c r="B1301" s="5">
        <f>IF(A1301="","",24)</f>
        <v/>
      </c>
      <c r="C1301" s="17" t="n">
        <v>46497</v>
      </c>
      <c r="D1301" s="5">
        <f>IF(A1301="","",IF(C1301=DATE(2026,11,29),"培训；注册午餐；早餐参数",IF(C1301=DATE(2026,11,30),"培训；注册午餐",IF(C1301=DATE(2026,12,1),"培训；注册午餐；机构晚餐",IF(C1301=Options!$B$9,"抵达；"&amp;IF(C1301=DATE(2026,11,28),"机构晚餐","无统一供餐"),IF(C1301=Options!$B$10,"返程；"&amp;IF(C1301=DATE(2026,12,2),"机构午餐","无统一供餐"),"差旅状态；无统一日程"))))))</f>
        <v/>
      </c>
      <c r="E1301" s="13">
        <f>IF(C1301=Options!$B$9,Options!$C$17,0)</f>
        <v/>
      </c>
      <c r="F1301" s="13">
        <f>IF(AND(A1301&lt;&gt;"",C1301&lt;Options!$B$10),B1301*Options!$X$6,0)</f>
        <v/>
      </c>
      <c r="G1301" s="13">
        <f>F1301*12%</f>
        <v/>
      </c>
      <c r="H1301" s="13">
        <f>IF(A1301="",0,B1301*(92*IF(OR(C1301=Options!$B$9,C1301=Options!$B$10),75%,100%)-IF(C1301=DATE(2026,11,29),26+IF(Options!$B$8="是",23,0),0)-IF(C1301=DATE(2026,11,30),26,0)-IF(C1301=DATE(2026,12,1),64,0)-IF(C1301=DATE(2026,11,28),38,0)-IF(C1301=DATE(2026,12,2),26,0)))</f>
        <v/>
      </c>
      <c r="I1301" s="13">
        <f>IF(AND(C1301&gt;=DATE(2026,11,29),C1301&lt;=DATE(2026,12,1)),B1301*60,0)</f>
        <v/>
      </c>
      <c r="J1301" s="13">
        <f>IF(A1301="",0,B1301*(IF(C1301=DATE(2026,11,28),38,0)+IF(C1301=DATE(2026,12,1),38,0)+IF(C1301=DATE(2026,12,2),26,0)))</f>
        <v/>
      </c>
      <c r="K1301" s="13">
        <f>IF(C1301=Options!$B$9,B1301*12,0)</f>
        <v/>
      </c>
      <c r="L1301" s="13">
        <f>IF(C1301=Options!$B$9,B1301*Options!$Z$6,0)</f>
        <v/>
      </c>
      <c r="M1301" s="13" t="n">
        <v>0</v>
      </c>
      <c r="N1301" s="13">
        <f>SUM(E1301:M1301)</f>
        <v/>
      </c>
    </row>
    <row r="1302">
      <c r="A1302" s="5">
        <f>IF(AND(C1302&gt;=Options!$B$9,C1302&lt;=Options!$B$10),"Denver","")</f>
        <v/>
      </c>
      <c r="B1302" s="5">
        <f>IF(A1302="","",24)</f>
        <v/>
      </c>
      <c r="C1302" s="17" t="n">
        <v>46498</v>
      </c>
      <c r="D1302" s="5">
        <f>IF(A1302="","",IF(C1302=DATE(2026,11,29),"培训；注册午餐；早餐参数",IF(C1302=DATE(2026,11,30),"培训；注册午餐",IF(C1302=DATE(2026,12,1),"培训；注册午餐；机构晚餐",IF(C1302=Options!$B$9,"抵达；"&amp;IF(C1302=DATE(2026,11,28),"机构晚餐","无统一供餐"),IF(C1302=Options!$B$10,"返程；"&amp;IF(C1302=DATE(2026,12,2),"机构午餐","无统一供餐"),"差旅状态；无统一日程"))))))</f>
        <v/>
      </c>
      <c r="E1302" s="13">
        <f>IF(C1302=Options!$B$9,Options!$C$17,0)</f>
        <v/>
      </c>
      <c r="F1302" s="13">
        <f>IF(AND(A1302&lt;&gt;"",C1302&lt;Options!$B$10),B1302*Options!$X$6,0)</f>
        <v/>
      </c>
      <c r="G1302" s="13">
        <f>F1302*12%</f>
        <v/>
      </c>
      <c r="H1302" s="13">
        <f>IF(A1302="",0,B1302*(92*IF(OR(C1302=Options!$B$9,C1302=Options!$B$10),75%,100%)-IF(C1302=DATE(2026,11,29),26+IF(Options!$B$8="是",23,0),0)-IF(C1302=DATE(2026,11,30),26,0)-IF(C1302=DATE(2026,12,1),64,0)-IF(C1302=DATE(2026,11,28),38,0)-IF(C1302=DATE(2026,12,2),26,0)))</f>
        <v/>
      </c>
      <c r="I1302" s="13">
        <f>IF(AND(C1302&gt;=DATE(2026,11,29),C1302&lt;=DATE(2026,12,1)),B1302*60,0)</f>
        <v/>
      </c>
      <c r="J1302" s="13">
        <f>IF(A1302="",0,B1302*(IF(C1302=DATE(2026,11,28),38,0)+IF(C1302=DATE(2026,12,1),38,0)+IF(C1302=DATE(2026,12,2),26,0)))</f>
        <v/>
      </c>
      <c r="K1302" s="13">
        <f>IF(C1302=Options!$B$9,B1302*12,0)</f>
        <v/>
      </c>
      <c r="L1302" s="13">
        <f>IF(C1302=Options!$B$9,B1302*Options!$Z$6,0)</f>
        <v/>
      </c>
      <c r="M1302" s="13" t="n">
        <v>0</v>
      </c>
      <c r="N1302" s="13">
        <f>SUM(E1302:M1302)</f>
        <v/>
      </c>
    </row>
    <row r="1303">
      <c r="A1303" s="5">
        <f>IF(AND(C1303&gt;=Options!$B$9,C1303&lt;=Options!$B$10),"Denver","")</f>
        <v/>
      </c>
      <c r="B1303" s="5">
        <f>IF(A1303="","",24)</f>
        <v/>
      </c>
      <c r="C1303" s="17" t="n">
        <v>46499</v>
      </c>
      <c r="D1303" s="5">
        <f>IF(A1303="","",IF(C1303=DATE(2026,11,29),"培训；注册午餐；早餐参数",IF(C1303=DATE(2026,11,30),"培训；注册午餐",IF(C1303=DATE(2026,12,1),"培训；注册午餐；机构晚餐",IF(C1303=Options!$B$9,"抵达；"&amp;IF(C1303=DATE(2026,11,28),"机构晚餐","无统一供餐"),IF(C1303=Options!$B$10,"返程；"&amp;IF(C1303=DATE(2026,12,2),"机构午餐","无统一供餐"),"差旅状态；无统一日程"))))))</f>
        <v/>
      </c>
      <c r="E1303" s="13">
        <f>IF(C1303=Options!$B$9,Options!$C$17,0)</f>
        <v/>
      </c>
      <c r="F1303" s="13">
        <f>IF(AND(A1303&lt;&gt;"",C1303&lt;Options!$B$10),B1303*Options!$X$6,0)</f>
        <v/>
      </c>
      <c r="G1303" s="13">
        <f>F1303*12%</f>
        <v/>
      </c>
      <c r="H1303" s="13">
        <f>IF(A1303="",0,B1303*(92*IF(OR(C1303=Options!$B$9,C1303=Options!$B$10),75%,100%)-IF(C1303=DATE(2026,11,29),26+IF(Options!$B$8="是",23,0),0)-IF(C1303=DATE(2026,11,30),26,0)-IF(C1303=DATE(2026,12,1),64,0)-IF(C1303=DATE(2026,11,28),38,0)-IF(C1303=DATE(2026,12,2),26,0)))</f>
        <v/>
      </c>
      <c r="I1303" s="13">
        <f>IF(AND(C1303&gt;=DATE(2026,11,29),C1303&lt;=DATE(2026,12,1)),B1303*60,0)</f>
        <v/>
      </c>
      <c r="J1303" s="13">
        <f>IF(A1303="",0,B1303*(IF(C1303=DATE(2026,11,28),38,0)+IF(C1303=DATE(2026,12,1),38,0)+IF(C1303=DATE(2026,12,2),26,0)))</f>
        <v/>
      </c>
      <c r="K1303" s="13">
        <f>IF(C1303=Options!$B$9,B1303*12,0)</f>
        <v/>
      </c>
      <c r="L1303" s="13">
        <f>IF(C1303=Options!$B$9,B1303*Options!$Z$6,0)</f>
        <v/>
      </c>
      <c r="M1303" s="13" t="n">
        <v>0</v>
      </c>
      <c r="N1303" s="13">
        <f>SUM(E1303:M1303)</f>
        <v/>
      </c>
    </row>
    <row r="1304">
      <c r="A1304" s="5">
        <f>IF(AND(C1304&gt;=Options!$B$9,C1304&lt;=Options!$B$10),"Denver","")</f>
        <v/>
      </c>
      <c r="B1304" s="5">
        <f>IF(A1304="","",24)</f>
        <v/>
      </c>
      <c r="C1304" s="17" t="n">
        <v>46500</v>
      </c>
      <c r="D1304" s="5">
        <f>IF(A1304="","",IF(C1304=DATE(2026,11,29),"培训；注册午餐；早餐参数",IF(C1304=DATE(2026,11,30),"培训；注册午餐",IF(C1304=DATE(2026,12,1),"培训；注册午餐；机构晚餐",IF(C1304=Options!$B$9,"抵达；"&amp;IF(C1304=DATE(2026,11,28),"机构晚餐","无统一供餐"),IF(C1304=Options!$B$10,"返程；"&amp;IF(C1304=DATE(2026,12,2),"机构午餐","无统一供餐"),"差旅状态；无统一日程"))))))</f>
        <v/>
      </c>
      <c r="E1304" s="13">
        <f>IF(C1304=Options!$B$9,Options!$C$17,0)</f>
        <v/>
      </c>
      <c r="F1304" s="13">
        <f>IF(AND(A1304&lt;&gt;"",C1304&lt;Options!$B$10),B1304*Options!$X$6,0)</f>
        <v/>
      </c>
      <c r="G1304" s="13">
        <f>F1304*12%</f>
        <v/>
      </c>
      <c r="H1304" s="13">
        <f>IF(A1304="",0,B1304*(92*IF(OR(C1304=Options!$B$9,C1304=Options!$B$10),75%,100%)-IF(C1304=DATE(2026,11,29),26+IF(Options!$B$8="是",23,0),0)-IF(C1304=DATE(2026,11,30),26,0)-IF(C1304=DATE(2026,12,1),64,0)-IF(C1304=DATE(2026,11,28),38,0)-IF(C1304=DATE(2026,12,2),26,0)))</f>
        <v/>
      </c>
      <c r="I1304" s="13">
        <f>IF(AND(C1304&gt;=DATE(2026,11,29),C1304&lt;=DATE(2026,12,1)),B1304*60,0)</f>
        <v/>
      </c>
      <c r="J1304" s="13">
        <f>IF(A1304="",0,B1304*(IF(C1304=DATE(2026,11,28),38,0)+IF(C1304=DATE(2026,12,1),38,0)+IF(C1304=DATE(2026,12,2),26,0)))</f>
        <v/>
      </c>
      <c r="K1304" s="13">
        <f>IF(C1304=Options!$B$9,B1304*12,0)</f>
        <v/>
      </c>
      <c r="L1304" s="13">
        <f>IF(C1304=Options!$B$9,B1304*Options!$Z$6,0)</f>
        <v/>
      </c>
      <c r="M1304" s="13" t="n">
        <v>0</v>
      </c>
      <c r="N1304" s="13">
        <f>SUM(E1304:M1304)</f>
        <v/>
      </c>
    </row>
    <row r="1305">
      <c r="A1305" s="5">
        <f>IF(AND(C1305&gt;=Options!$B$9,C1305&lt;=Options!$B$10),"Denver","")</f>
        <v/>
      </c>
      <c r="B1305" s="5">
        <f>IF(A1305="","",24)</f>
        <v/>
      </c>
      <c r="C1305" s="17" t="n">
        <v>46501</v>
      </c>
      <c r="D1305" s="5">
        <f>IF(A1305="","",IF(C1305=DATE(2026,11,29),"培训；注册午餐；早餐参数",IF(C1305=DATE(2026,11,30),"培训；注册午餐",IF(C1305=DATE(2026,12,1),"培训；注册午餐；机构晚餐",IF(C1305=Options!$B$9,"抵达；"&amp;IF(C1305=DATE(2026,11,28),"机构晚餐","无统一供餐"),IF(C1305=Options!$B$10,"返程；"&amp;IF(C1305=DATE(2026,12,2),"机构午餐","无统一供餐"),"差旅状态；无统一日程"))))))</f>
        <v/>
      </c>
      <c r="E1305" s="13">
        <f>IF(C1305=Options!$B$9,Options!$C$17,0)</f>
        <v/>
      </c>
      <c r="F1305" s="13">
        <f>IF(AND(A1305&lt;&gt;"",C1305&lt;Options!$B$10),B1305*Options!$X$6,0)</f>
        <v/>
      </c>
      <c r="G1305" s="13">
        <f>F1305*12%</f>
        <v/>
      </c>
      <c r="H1305" s="13">
        <f>IF(A1305="",0,B1305*(92*IF(OR(C1305=Options!$B$9,C1305=Options!$B$10),75%,100%)-IF(C1305=DATE(2026,11,29),26+IF(Options!$B$8="是",23,0),0)-IF(C1305=DATE(2026,11,30),26,0)-IF(C1305=DATE(2026,12,1),64,0)-IF(C1305=DATE(2026,11,28),38,0)-IF(C1305=DATE(2026,12,2),26,0)))</f>
        <v/>
      </c>
      <c r="I1305" s="13">
        <f>IF(AND(C1305&gt;=DATE(2026,11,29),C1305&lt;=DATE(2026,12,1)),B1305*60,0)</f>
        <v/>
      </c>
      <c r="J1305" s="13">
        <f>IF(A1305="",0,B1305*(IF(C1305=DATE(2026,11,28),38,0)+IF(C1305=DATE(2026,12,1),38,0)+IF(C1305=DATE(2026,12,2),26,0)))</f>
        <v/>
      </c>
      <c r="K1305" s="13">
        <f>IF(C1305=Options!$B$9,B1305*12,0)</f>
        <v/>
      </c>
      <c r="L1305" s="13">
        <f>IF(C1305=Options!$B$9,B1305*Options!$Z$6,0)</f>
        <v/>
      </c>
      <c r="M1305" s="13" t="n">
        <v>0</v>
      </c>
      <c r="N1305" s="13">
        <f>SUM(E1305:M1305)</f>
        <v/>
      </c>
    </row>
    <row r="1306">
      <c r="A1306" s="5">
        <f>IF(AND(C1306&gt;=Options!$B$9,C1306&lt;=Options!$B$10),"Denver","")</f>
        <v/>
      </c>
      <c r="B1306" s="5">
        <f>IF(A1306="","",24)</f>
        <v/>
      </c>
      <c r="C1306" s="17" t="n">
        <v>46502</v>
      </c>
      <c r="D1306" s="5">
        <f>IF(A1306="","",IF(C1306=DATE(2026,11,29),"培训；注册午餐；早餐参数",IF(C1306=DATE(2026,11,30),"培训；注册午餐",IF(C1306=DATE(2026,12,1),"培训；注册午餐；机构晚餐",IF(C1306=Options!$B$9,"抵达；"&amp;IF(C1306=DATE(2026,11,28),"机构晚餐","无统一供餐"),IF(C1306=Options!$B$10,"返程；"&amp;IF(C1306=DATE(2026,12,2),"机构午餐","无统一供餐"),"差旅状态；无统一日程"))))))</f>
        <v/>
      </c>
      <c r="E1306" s="13">
        <f>IF(C1306=Options!$B$9,Options!$C$17,0)</f>
        <v/>
      </c>
      <c r="F1306" s="13">
        <f>IF(AND(A1306&lt;&gt;"",C1306&lt;Options!$B$10),B1306*Options!$X$6,0)</f>
        <v/>
      </c>
      <c r="G1306" s="13">
        <f>F1306*12%</f>
        <v/>
      </c>
      <c r="H1306" s="13">
        <f>IF(A1306="",0,B1306*(92*IF(OR(C1306=Options!$B$9,C1306=Options!$B$10),75%,100%)-IF(C1306=DATE(2026,11,29),26+IF(Options!$B$8="是",23,0),0)-IF(C1306=DATE(2026,11,30),26,0)-IF(C1306=DATE(2026,12,1),64,0)-IF(C1306=DATE(2026,11,28),38,0)-IF(C1306=DATE(2026,12,2),26,0)))</f>
        <v/>
      </c>
      <c r="I1306" s="13">
        <f>IF(AND(C1306&gt;=DATE(2026,11,29),C1306&lt;=DATE(2026,12,1)),B1306*60,0)</f>
        <v/>
      </c>
      <c r="J1306" s="13">
        <f>IF(A1306="",0,B1306*(IF(C1306=DATE(2026,11,28),38,0)+IF(C1306=DATE(2026,12,1),38,0)+IF(C1306=DATE(2026,12,2),26,0)))</f>
        <v/>
      </c>
      <c r="K1306" s="13">
        <f>IF(C1306=Options!$B$9,B1306*12,0)</f>
        <v/>
      </c>
      <c r="L1306" s="13">
        <f>IF(C1306=Options!$B$9,B1306*Options!$Z$6,0)</f>
        <v/>
      </c>
      <c r="M1306" s="13" t="n">
        <v>0</v>
      </c>
      <c r="N1306" s="13">
        <f>SUM(E1306:M1306)</f>
        <v/>
      </c>
    </row>
    <row r="1307">
      <c r="A1307" s="5">
        <f>IF(AND(C1307&gt;=Options!$B$9,C1307&lt;=Options!$B$10),"Denver","")</f>
        <v/>
      </c>
      <c r="B1307" s="5">
        <f>IF(A1307="","",24)</f>
        <v/>
      </c>
      <c r="C1307" s="17" t="n">
        <v>46503</v>
      </c>
      <c r="D1307" s="5">
        <f>IF(A1307="","",IF(C1307=DATE(2026,11,29),"培训；注册午餐；早餐参数",IF(C1307=DATE(2026,11,30),"培训；注册午餐",IF(C1307=DATE(2026,12,1),"培训；注册午餐；机构晚餐",IF(C1307=Options!$B$9,"抵达；"&amp;IF(C1307=DATE(2026,11,28),"机构晚餐","无统一供餐"),IF(C1307=Options!$B$10,"返程；"&amp;IF(C1307=DATE(2026,12,2),"机构午餐","无统一供餐"),"差旅状态；无统一日程"))))))</f>
        <v/>
      </c>
      <c r="E1307" s="13">
        <f>IF(C1307=Options!$B$9,Options!$C$17,0)</f>
        <v/>
      </c>
      <c r="F1307" s="13">
        <f>IF(AND(A1307&lt;&gt;"",C1307&lt;Options!$B$10),B1307*Options!$X$6,0)</f>
        <v/>
      </c>
      <c r="G1307" s="13">
        <f>F1307*12%</f>
        <v/>
      </c>
      <c r="H1307" s="13">
        <f>IF(A1307="",0,B1307*(92*IF(OR(C1307=Options!$B$9,C1307=Options!$B$10),75%,100%)-IF(C1307=DATE(2026,11,29),26+IF(Options!$B$8="是",23,0),0)-IF(C1307=DATE(2026,11,30),26,0)-IF(C1307=DATE(2026,12,1),64,0)-IF(C1307=DATE(2026,11,28),38,0)-IF(C1307=DATE(2026,12,2),26,0)))</f>
        <v/>
      </c>
      <c r="I1307" s="13">
        <f>IF(AND(C1307&gt;=DATE(2026,11,29),C1307&lt;=DATE(2026,12,1)),B1307*60,0)</f>
        <v/>
      </c>
      <c r="J1307" s="13">
        <f>IF(A1307="",0,B1307*(IF(C1307=DATE(2026,11,28),38,0)+IF(C1307=DATE(2026,12,1),38,0)+IF(C1307=DATE(2026,12,2),26,0)))</f>
        <v/>
      </c>
      <c r="K1307" s="13">
        <f>IF(C1307=Options!$B$9,B1307*12,0)</f>
        <v/>
      </c>
      <c r="L1307" s="13">
        <f>IF(C1307=Options!$B$9,B1307*Options!$Z$6,0)</f>
        <v/>
      </c>
      <c r="M1307" s="13" t="n">
        <v>0</v>
      </c>
      <c r="N1307" s="13">
        <f>SUM(E1307:M1307)</f>
        <v/>
      </c>
    </row>
    <row r="1308">
      <c r="A1308" s="5">
        <f>IF(AND(C1308&gt;=Options!$B$9,C1308&lt;=Options!$B$10),"Denver","")</f>
        <v/>
      </c>
      <c r="B1308" s="5">
        <f>IF(A1308="","",24)</f>
        <v/>
      </c>
      <c r="C1308" s="17" t="n">
        <v>46504</v>
      </c>
      <c r="D1308" s="5">
        <f>IF(A1308="","",IF(C1308=DATE(2026,11,29),"培训；注册午餐；早餐参数",IF(C1308=DATE(2026,11,30),"培训；注册午餐",IF(C1308=DATE(2026,12,1),"培训；注册午餐；机构晚餐",IF(C1308=Options!$B$9,"抵达；"&amp;IF(C1308=DATE(2026,11,28),"机构晚餐","无统一供餐"),IF(C1308=Options!$B$10,"返程；"&amp;IF(C1308=DATE(2026,12,2),"机构午餐","无统一供餐"),"差旅状态；无统一日程"))))))</f>
        <v/>
      </c>
      <c r="E1308" s="13">
        <f>IF(C1308=Options!$B$9,Options!$C$17,0)</f>
        <v/>
      </c>
      <c r="F1308" s="13">
        <f>IF(AND(A1308&lt;&gt;"",C1308&lt;Options!$B$10),B1308*Options!$X$6,0)</f>
        <v/>
      </c>
      <c r="G1308" s="13">
        <f>F1308*12%</f>
        <v/>
      </c>
      <c r="H1308" s="13">
        <f>IF(A1308="",0,B1308*(92*IF(OR(C1308=Options!$B$9,C1308=Options!$B$10),75%,100%)-IF(C1308=DATE(2026,11,29),26+IF(Options!$B$8="是",23,0),0)-IF(C1308=DATE(2026,11,30),26,0)-IF(C1308=DATE(2026,12,1),64,0)-IF(C1308=DATE(2026,11,28),38,0)-IF(C1308=DATE(2026,12,2),26,0)))</f>
        <v/>
      </c>
      <c r="I1308" s="13">
        <f>IF(AND(C1308&gt;=DATE(2026,11,29),C1308&lt;=DATE(2026,12,1)),B1308*60,0)</f>
        <v/>
      </c>
      <c r="J1308" s="13">
        <f>IF(A1308="",0,B1308*(IF(C1308=DATE(2026,11,28),38,0)+IF(C1308=DATE(2026,12,1),38,0)+IF(C1308=DATE(2026,12,2),26,0)))</f>
        <v/>
      </c>
      <c r="K1308" s="13">
        <f>IF(C1308=Options!$B$9,B1308*12,0)</f>
        <v/>
      </c>
      <c r="L1308" s="13">
        <f>IF(C1308=Options!$B$9,B1308*Options!$Z$6,0)</f>
        <v/>
      </c>
      <c r="M1308" s="13" t="n">
        <v>0</v>
      </c>
      <c r="N1308" s="13">
        <f>SUM(E1308:M1308)</f>
        <v/>
      </c>
    </row>
    <row r="1309">
      <c r="A1309" s="5">
        <f>IF(AND(C1309&gt;=Options!$B$9,C1309&lt;=Options!$B$10),"Denver","")</f>
        <v/>
      </c>
      <c r="B1309" s="5">
        <f>IF(A1309="","",24)</f>
        <v/>
      </c>
      <c r="C1309" s="17" t="n">
        <v>46505</v>
      </c>
      <c r="D1309" s="5">
        <f>IF(A1309="","",IF(C1309=DATE(2026,11,29),"培训；注册午餐；早餐参数",IF(C1309=DATE(2026,11,30),"培训；注册午餐",IF(C1309=DATE(2026,12,1),"培训；注册午餐；机构晚餐",IF(C1309=Options!$B$9,"抵达；"&amp;IF(C1309=DATE(2026,11,28),"机构晚餐","无统一供餐"),IF(C1309=Options!$B$10,"返程；"&amp;IF(C1309=DATE(2026,12,2),"机构午餐","无统一供餐"),"差旅状态；无统一日程"))))))</f>
        <v/>
      </c>
      <c r="E1309" s="13">
        <f>IF(C1309=Options!$B$9,Options!$C$17,0)</f>
        <v/>
      </c>
      <c r="F1309" s="13">
        <f>IF(AND(A1309&lt;&gt;"",C1309&lt;Options!$B$10),B1309*Options!$X$6,0)</f>
        <v/>
      </c>
      <c r="G1309" s="13">
        <f>F1309*12%</f>
        <v/>
      </c>
      <c r="H1309" s="13">
        <f>IF(A1309="",0,B1309*(92*IF(OR(C1309=Options!$B$9,C1309=Options!$B$10),75%,100%)-IF(C1309=DATE(2026,11,29),26+IF(Options!$B$8="是",23,0),0)-IF(C1309=DATE(2026,11,30),26,0)-IF(C1309=DATE(2026,12,1),64,0)-IF(C1309=DATE(2026,11,28),38,0)-IF(C1309=DATE(2026,12,2),26,0)))</f>
        <v/>
      </c>
      <c r="I1309" s="13">
        <f>IF(AND(C1309&gt;=DATE(2026,11,29),C1309&lt;=DATE(2026,12,1)),B1309*60,0)</f>
        <v/>
      </c>
      <c r="J1309" s="13">
        <f>IF(A1309="",0,B1309*(IF(C1309=DATE(2026,11,28),38,0)+IF(C1309=DATE(2026,12,1),38,0)+IF(C1309=DATE(2026,12,2),26,0)))</f>
        <v/>
      </c>
      <c r="K1309" s="13">
        <f>IF(C1309=Options!$B$9,B1309*12,0)</f>
        <v/>
      </c>
      <c r="L1309" s="13">
        <f>IF(C1309=Options!$B$9,B1309*Options!$Z$6,0)</f>
        <v/>
      </c>
      <c r="M1309" s="13" t="n">
        <v>0</v>
      </c>
      <c r="N1309" s="13">
        <f>SUM(E1309:M1309)</f>
        <v/>
      </c>
    </row>
    <row r="1310">
      <c r="A1310" s="5">
        <f>IF(AND(C1310&gt;=Options!$B$9,C1310&lt;=Options!$B$10),"Denver","")</f>
        <v/>
      </c>
      <c r="B1310" s="5">
        <f>IF(A1310="","",24)</f>
        <v/>
      </c>
      <c r="C1310" s="17" t="n">
        <v>46506</v>
      </c>
      <c r="D1310" s="5">
        <f>IF(A1310="","",IF(C1310=DATE(2026,11,29),"培训；注册午餐；早餐参数",IF(C1310=DATE(2026,11,30),"培训；注册午餐",IF(C1310=DATE(2026,12,1),"培训；注册午餐；机构晚餐",IF(C1310=Options!$B$9,"抵达；"&amp;IF(C1310=DATE(2026,11,28),"机构晚餐","无统一供餐"),IF(C1310=Options!$B$10,"返程；"&amp;IF(C1310=DATE(2026,12,2),"机构午餐","无统一供餐"),"差旅状态；无统一日程"))))))</f>
        <v/>
      </c>
      <c r="E1310" s="13">
        <f>IF(C1310=Options!$B$9,Options!$C$17,0)</f>
        <v/>
      </c>
      <c r="F1310" s="13">
        <f>IF(AND(A1310&lt;&gt;"",C1310&lt;Options!$B$10),B1310*Options!$X$6,0)</f>
        <v/>
      </c>
      <c r="G1310" s="13">
        <f>F1310*12%</f>
        <v/>
      </c>
      <c r="H1310" s="13">
        <f>IF(A1310="",0,B1310*(92*IF(OR(C1310=Options!$B$9,C1310=Options!$B$10),75%,100%)-IF(C1310=DATE(2026,11,29),26+IF(Options!$B$8="是",23,0),0)-IF(C1310=DATE(2026,11,30),26,0)-IF(C1310=DATE(2026,12,1),64,0)-IF(C1310=DATE(2026,11,28),38,0)-IF(C1310=DATE(2026,12,2),26,0)))</f>
        <v/>
      </c>
      <c r="I1310" s="13">
        <f>IF(AND(C1310&gt;=DATE(2026,11,29),C1310&lt;=DATE(2026,12,1)),B1310*60,0)</f>
        <v/>
      </c>
      <c r="J1310" s="13">
        <f>IF(A1310="",0,B1310*(IF(C1310=DATE(2026,11,28),38,0)+IF(C1310=DATE(2026,12,1),38,0)+IF(C1310=DATE(2026,12,2),26,0)))</f>
        <v/>
      </c>
      <c r="K1310" s="13">
        <f>IF(C1310=Options!$B$9,B1310*12,0)</f>
        <v/>
      </c>
      <c r="L1310" s="13">
        <f>IF(C1310=Options!$B$9,B1310*Options!$Z$6,0)</f>
        <v/>
      </c>
      <c r="M1310" s="13" t="n">
        <v>0</v>
      </c>
      <c r="N1310" s="13">
        <f>SUM(E1310:M1310)</f>
        <v/>
      </c>
    </row>
    <row r="1311">
      <c r="A1311" s="5">
        <f>IF(AND(C1311&gt;=Options!$B$9,C1311&lt;=Options!$B$10),"Denver","")</f>
        <v/>
      </c>
      <c r="B1311" s="5">
        <f>IF(A1311="","",24)</f>
        <v/>
      </c>
      <c r="C1311" s="17" t="n">
        <v>46507</v>
      </c>
      <c r="D1311" s="5">
        <f>IF(A1311="","",IF(C1311=DATE(2026,11,29),"培训；注册午餐；早餐参数",IF(C1311=DATE(2026,11,30),"培训；注册午餐",IF(C1311=DATE(2026,12,1),"培训；注册午餐；机构晚餐",IF(C1311=Options!$B$9,"抵达；"&amp;IF(C1311=DATE(2026,11,28),"机构晚餐","无统一供餐"),IF(C1311=Options!$B$10,"返程；"&amp;IF(C1311=DATE(2026,12,2),"机构午餐","无统一供餐"),"差旅状态；无统一日程"))))))</f>
        <v/>
      </c>
      <c r="E1311" s="13">
        <f>IF(C1311=Options!$B$9,Options!$C$17,0)</f>
        <v/>
      </c>
      <c r="F1311" s="13">
        <f>IF(AND(A1311&lt;&gt;"",C1311&lt;Options!$B$10),B1311*Options!$X$6,0)</f>
        <v/>
      </c>
      <c r="G1311" s="13">
        <f>F1311*12%</f>
        <v/>
      </c>
      <c r="H1311" s="13">
        <f>IF(A1311="",0,B1311*(92*IF(OR(C1311=Options!$B$9,C1311=Options!$B$10),75%,100%)-IF(C1311=DATE(2026,11,29),26+IF(Options!$B$8="是",23,0),0)-IF(C1311=DATE(2026,11,30),26,0)-IF(C1311=DATE(2026,12,1),64,0)-IF(C1311=DATE(2026,11,28),38,0)-IF(C1311=DATE(2026,12,2),26,0)))</f>
        <v/>
      </c>
      <c r="I1311" s="13">
        <f>IF(AND(C1311&gt;=DATE(2026,11,29),C1311&lt;=DATE(2026,12,1)),B1311*60,0)</f>
        <v/>
      </c>
      <c r="J1311" s="13">
        <f>IF(A1311="",0,B1311*(IF(C1311=DATE(2026,11,28),38,0)+IF(C1311=DATE(2026,12,1),38,0)+IF(C1311=DATE(2026,12,2),26,0)))</f>
        <v/>
      </c>
      <c r="K1311" s="13">
        <f>IF(C1311=Options!$B$9,B1311*12,0)</f>
        <v/>
      </c>
      <c r="L1311" s="13">
        <f>IF(C1311=Options!$B$9,B1311*Options!$Z$6,0)</f>
        <v/>
      </c>
      <c r="M1311" s="13" t="n">
        <v>0</v>
      </c>
      <c r="N1311" s="13">
        <f>SUM(E1311:M1311)</f>
        <v/>
      </c>
    </row>
    <row r="1312">
      <c r="A1312" s="5">
        <f>IF(AND(C1312&gt;=Options!$B$9,C1312&lt;=Options!$B$10),"Denver","")</f>
        <v/>
      </c>
      <c r="B1312" s="5">
        <f>IF(A1312="","",24)</f>
        <v/>
      </c>
      <c r="C1312" s="17" t="n">
        <v>46508</v>
      </c>
      <c r="D1312" s="5">
        <f>IF(A1312="","",IF(C1312=DATE(2026,11,29),"培训；注册午餐；早餐参数",IF(C1312=DATE(2026,11,30),"培训；注册午餐",IF(C1312=DATE(2026,12,1),"培训；注册午餐；机构晚餐",IF(C1312=Options!$B$9,"抵达；"&amp;IF(C1312=DATE(2026,11,28),"机构晚餐","无统一供餐"),IF(C1312=Options!$B$10,"返程；"&amp;IF(C1312=DATE(2026,12,2),"机构午餐","无统一供餐"),"差旅状态；无统一日程"))))))</f>
        <v/>
      </c>
      <c r="E1312" s="13">
        <f>IF(C1312=Options!$B$9,Options!$C$17,0)</f>
        <v/>
      </c>
      <c r="F1312" s="13">
        <f>IF(AND(A1312&lt;&gt;"",C1312&lt;Options!$B$10),B1312*Options!$X$6,0)</f>
        <v/>
      </c>
      <c r="G1312" s="13">
        <f>F1312*12%</f>
        <v/>
      </c>
      <c r="H1312" s="13">
        <f>IF(A1312="",0,B1312*(92*IF(OR(C1312=Options!$B$9,C1312=Options!$B$10),75%,100%)-IF(C1312=DATE(2026,11,29),26+IF(Options!$B$8="是",23,0),0)-IF(C1312=DATE(2026,11,30),26,0)-IF(C1312=DATE(2026,12,1),64,0)-IF(C1312=DATE(2026,11,28),38,0)-IF(C1312=DATE(2026,12,2),26,0)))</f>
        <v/>
      </c>
      <c r="I1312" s="13">
        <f>IF(AND(C1312&gt;=DATE(2026,11,29),C1312&lt;=DATE(2026,12,1)),B1312*60,0)</f>
        <v/>
      </c>
      <c r="J1312" s="13">
        <f>IF(A1312="",0,B1312*(IF(C1312=DATE(2026,11,28),38,0)+IF(C1312=DATE(2026,12,1),38,0)+IF(C1312=DATE(2026,12,2),26,0)))</f>
        <v/>
      </c>
      <c r="K1312" s="13">
        <f>IF(C1312=Options!$B$9,B1312*12,0)</f>
        <v/>
      </c>
      <c r="L1312" s="13">
        <f>IF(C1312=Options!$B$9,B1312*Options!$Z$6,0)</f>
        <v/>
      </c>
      <c r="M1312" s="13" t="n">
        <v>0</v>
      </c>
      <c r="N1312" s="13">
        <f>SUM(E1312:M1312)</f>
        <v/>
      </c>
    </row>
    <row r="1313">
      <c r="A1313" s="5">
        <f>IF(AND(C1313&gt;=Options!$B$9,C1313&lt;=Options!$B$10),"Denver","")</f>
        <v/>
      </c>
      <c r="B1313" s="5">
        <f>IF(A1313="","",24)</f>
        <v/>
      </c>
      <c r="C1313" s="17" t="n">
        <v>46509</v>
      </c>
      <c r="D1313" s="5">
        <f>IF(A1313="","",IF(C1313=DATE(2026,11,29),"培训；注册午餐；早餐参数",IF(C1313=DATE(2026,11,30),"培训；注册午餐",IF(C1313=DATE(2026,12,1),"培训；注册午餐；机构晚餐",IF(C1313=Options!$B$9,"抵达；"&amp;IF(C1313=DATE(2026,11,28),"机构晚餐","无统一供餐"),IF(C1313=Options!$B$10,"返程；"&amp;IF(C1313=DATE(2026,12,2),"机构午餐","无统一供餐"),"差旅状态；无统一日程"))))))</f>
        <v/>
      </c>
      <c r="E1313" s="13">
        <f>IF(C1313=Options!$B$9,Options!$C$17,0)</f>
        <v/>
      </c>
      <c r="F1313" s="13">
        <f>IF(AND(A1313&lt;&gt;"",C1313&lt;Options!$B$10),B1313*Options!$X$6,0)</f>
        <v/>
      </c>
      <c r="G1313" s="13">
        <f>F1313*12%</f>
        <v/>
      </c>
      <c r="H1313" s="13">
        <f>IF(A1313="",0,B1313*(92*IF(OR(C1313=Options!$B$9,C1313=Options!$B$10),75%,100%)-IF(C1313=DATE(2026,11,29),26+IF(Options!$B$8="是",23,0),0)-IF(C1313=DATE(2026,11,30),26,0)-IF(C1313=DATE(2026,12,1),64,0)-IF(C1313=DATE(2026,11,28),38,0)-IF(C1313=DATE(2026,12,2),26,0)))</f>
        <v/>
      </c>
      <c r="I1313" s="13">
        <f>IF(AND(C1313&gt;=DATE(2026,11,29),C1313&lt;=DATE(2026,12,1)),B1313*60,0)</f>
        <v/>
      </c>
      <c r="J1313" s="13">
        <f>IF(A1313="",0,B1313*(IF(C1313=DATE(2026,11,28),38,0)+IF(C1313=DATE(2026,12,1),38,0)+IF(C1313=DATE(2026,12,2),26,0)))</f>
        <v/>
      </c>
      <c r="K1313" s="13">
        <f>IF(C1313=Options!$B$9,B1313*12,0)</f>
        <v/>
      </c>
      <c r="L1313" s="13">
        <f>IF(C1313=Options!$B$9,B1313*Options!$Z$6,0)</f>
        <v/>
      </c>
      <c r="M1313" s="13" t="n">
        <v>0</v>
      </c>
      <c r="N1313" s="13">
        <f>SUM(E1313:M1313)</f>
        <v/>
      </c>
    </row>
    <row r="1314">
      <c r="A1314" s="5">
        <f>IF(AND(C1314&gt;=Options!$B$9,C1314&lt;=Options!$B$10),"Denver","")</f>
        <v/>
      </c>
      <c r="B1314" s="5">
        <f>IF(A1314="","",24)</f>
        <v/>
      </c>
      <c r="C1314" s="17" t="n">
        <v>46510</v>
      </c>
      <c r="D1314" s="5">
        <f>IF(A1314="","",IF(C1314=DATE(2026,11,29),"培训；注册午餐；早餐参数",IF(C1314=DATE(2026,11,30),"培训；注册午餐",IF(C1314=DATE(2026,12,1),"培训；注册午餐；机构晚餐",IF(C1314=Options!$B$9,"抵达；"&amp;IF(C1314=DATE(2026,11,28),"机构晚餐","无统一供餐"),IF(C1314=Options!$B$10,"返程；"&amp;IF(C1314=DATE(2026,12,2),"机构午餐","无统一供餐"),"差旅状态；无统一日程"))))))</f>
        <v/>
      </c>
      <c r="E1314" s="13">
        <f>IF(C1314=Options!$B$9,Options!$C$17,0)</f>
        <v/>
      </c>
      <c r="F1314" s="13">
        <f>IF(AND(A1314&lt;&gt;"",C1314&lt;Options!$B$10),B1314*Options!$X$6,0)</f>
        <v/>
      </c>
      <c r="G1314" s="13">
        <f>F1314*12%</f>
        <v/>
      </c>
      <c r="H1314" s="13">
        <f>IF(A1314="",0,B1314*(92*IF(OR(C1314=Options!$B$9,C1314=Options!$B$10),75%,100%)-IF(C1314=DATE(2026,11,29),26+IF(Options!$B$8="是",23,0),0)-IF(C1314=DATE(2026,11,30),26,0)-IF(C1314=DATE(2026,12,1),64,0)-IF(C1314=DATE(2026,11,28),38,0)-IF(C1314=DATE(2026,12,2),26,0)))</f>
        <v/>
      </c>
      <c r="I1314" s="13">
        <f>IF(AND(C1314&gt;=DATE(2026,11,29),C1314&lt;=DATE(2026,12,1)),B1314*60,0)</f>
        <v/>
      </c>
      <c r="J1314" s="13">
        <f>IF(A1314="",0,B1314*(IF(C1314=DATE(2026,11,28),38,0)+IF(C1314=DATE(2026,12,1),38,0)+IF(C1314=DATE(2026,12,2),26,0)))</f>
        <v/>
      </c>
      <c r="K1314" s="13">
        <f>IF(C1314=Options!$B$9,B1314*12,0)</f>
        <v/>
      </c>
      <c r="L1314" s="13">
        <f>IF(C1314=Options!$B$9,B1314*Options!$Z$6,0)</f>
        <v/>
      </c>
      <c r="M1314" s="13" t="n">
        <v>0</v>
      </c>
      <c r="N1314" s="13">
        <f>SUM(E1314:M1314)</f>
        <v/>
      </c>
    </row>
    <row r="1315">
      <c r="A1315" s="5">
        <f>IF(AND(C1315&gt;=Options!$B$9,C1315&lt;=Options!$B$10),"Denver","")</f>
        <v/>
      </c>
      <c r="B1315" s="5">
        <f>IF(A1315="","",24)</f>
        <v/>
      </c>
      <c r="C1315" s="17" t="n">
        <v>46511</v>
      </c>
      <c r="D1315" s="5">
        <f>IF(A1315="","",IF(C1315=DATE(2026,11,29),"培训；注册午餐；早餐参数",IF(C1315=DATE(2026,11,30),"培训；注册午餐",IF(C1315=DATE(2026,12,1),"培训；注册午餐；机构晚餐",IF(C1315=Options!$B$9,"抵达；"&amp;IF(C1315=DATE(2026,11,28),"机构晚餐","无统一供餐"),IF(C1315=Options!$B$10,"返程；"&amp;IF(C1315=DATE(2026,12,2),"机构午餐","无统一供餐"),"差旅状态；无统一日程"))))))</f>
        <v/>
      </c>
      <c r="E1315" s="13">
        <f>IF(C1315=Options!$B$9,Options!$C$17,0)</f>
        <v/>
      </c>
      <c r="F1315" s="13">
        <f>IF(AND(A1315&lt;&gt;"",C1315&lt;Options!$B$10),B1315*Options!$X$6,0)</f>
        <v/>
      </c>
      <c r="G1315" s="13">
        <f>F1315*12%</f>
        <v/>
      </c>
      <c r="H1315" s="13">
        <f>IF(A1315="",0,B1315*(92*IF(OR(C1315=Options!$B$9,C1315=Options!$B$10),75%,100%)-IF(C1315=DATE(2026,11,29),26+IF(Options!$B$8="是",23,0),0)-IF(C1315=DATE(2026,11,30),26,0)-IF(C1315=DATE(2026,12,1),64,0)-IF(C1315=DATE(2026,11,28),38,0)-IF(C1315=DATE(2026,12,2),26,0)))</f>
        <v/>
      </c>
      <c r="I1315" s="13">
        <f>IF(AND(C1315&gt;=DATE(2026,11,29),C1315&lt;=DATE(2026,12,1)),B1315*60,0)</f>
        <v/>
      </c>
      <c r="J1315" s="13">
        <f>IF(A1315="",0,B1315*(IF(C1315=DATE(2026,11,28),38,0)+IF(C1315=DATE(2026,12,1),38,0)+IF(C1315=DATE(2026,12,2),26,0)))</f>
        <v/>
      </c>
      <c r="K1315" s="13">
        <f>IF(C1315=Options!$B$9,B1315*12,0)</f>
        <v/>
      </c>
      <c r="L1315" s="13">
        <f>IF(C1315=Options!$B$9,B1315*Options!$Z$6,0)</f>
        <v/>
      </c>
      <c r="M1315" s="13" t="n">
        <v>0</v>
      </c>
      <c r="N1315" s="13">
        <f>SUM(E1315:M1315)</f>
        <v/>
      </c>
    </row>
    <row r="1316">
      <c r="A1316" s="5">
        <f>IF(AND(C1316&gt;=Options!$B$9,C1316&lt;=Options!$B$10),"Denver","")</f>
        <v/>
      </c>
      <c r="B1316" s="5">
        <f>IF(A1316="","",24)</f>
        <v/>
      </c>
      <c r="C1316" s="17" t="n">
        <v>46512</v>
      </c>
      <c r="D1316" s="5">
        <f>IF(A1316="","",IF(C1316=DATE(2026,11,29),"培训；注册午餐；早餐参数",IF(C1316=DATE(2026,11,30),"培训；注册午餐",IF(C1316=DATE(2026,12,1),"培训；注册午餐；机构晚餐",IF(C1316=Options!$B$9,"抵达；"&amp;IF(C1316=DATE(2026,11,28),"机构晚餐","无统一供餐"),IF(C1316=Options!$B$10,"返程；"&amp;IF(C1316=DATE(2026,12,2),"机构午餐","无统一供餐"),"差旅状态；无统一日程"))))))</f>
        <v/>
      </c>
      <c r="E1316" s="13">
        <f>IF(C1316=Options!$B$9,Options!$C$17,0)</f>
        <v/>
      </c>
      <c r="F1316" s="13">
        <f>IF(AND(A1316&lt;&gt;"",C1316&lt;Options!$B$10),B1316*Options!$X$6,0)</f>
        <v/>
      </c>
      <c r="G1316" s="13">
        <f>F1316*12%</f>
        <v/>
      </c>
      <c r="H1316" s="13">
        <f>IF(A1316="",0,B1316*(92*IF(OR(C1316=Options!$B$9,C1316=Options!$B$10),75%,100%)-IF(C1316=DATE(2026,11,29),26+IF(Options!$B$8="是",23,0),0)-IF(C1316=DATE(2026,11,30),26,0)-IF(C1316=DATE(2026,12,1),64,0)-IF(C1316=DATE(2026,11,28),38,0)-IF(C1316=DATE(2026,12,2),26,0)))</f>
        <v/>
      </c>
      <c r="I1316" s="13">
        <f>IF(AND(C1316&gt;=DATE(2026,11,29),C1316&lt;=DATE(2026,12,1)),B1316*60,0)</f>
        <v/>
      </c>
      <c r="J1316" s="13">
        <f>IF(A1316="",0,B1316*(IF(C1316=DATE(2026,11,28),38,0)+IF(C1316=DATE(2026,12,1),38,0)+IF(C1316=DATE(2026,12,2),26,0)))</f>
        <v/>
      </c>
      <c r="K1316" s="13">
        <f>IF(C1316=Options!$B$9,B1316*12,0)</f>
        <v/>
      </c>
      <c r="L1316" s="13">
        <f>IF(C1316=Options!$B$9,B1316*Options!$Z$6,0)</f>
        <v/>
      </c>
      <c r="M1316" s="13" t="n">
        <v>0</v>
      </c>
      <c r="N1316" s="13">
        <f>SUM(E1316:M1316)</f>
        <v/>
      </c>
    </row>
    <row r="1317">
      <c r="A1317" s="5">
        <f>IF(AND(C1317&gt;=Options!$B$9,C1317&lt;=Options!$B$10),"Denver","")</f>
        <v/>
      </c>
      <c r="B1317" s="5">
        <f>IF(A1317="","",24)</f>
        <v/>
      </c>
      <c r="C1317" s="17" t="n">
        <v>46513</v>
      </c>
      <c r="D1317" s="5">
        <f>IF(A1317="","",IF(C1317=DATE(2026,11,29),"培训；注册午餐；早餐参数",IF(C1317=DATE(2026,11,30),"培训；注册午餐",IF(C1317=DATE(2026,12,1),"培训；注册午餐；机构晚餐",IF(C1317=Options!$B$9,"抵达；"&amp;IF(C1317=DATE(2026,11,28),"机构晚餐","无统一供餐"),IF(C1317=Options!$B$10,"返程；"&amp;IF(C1317=DATE(2026,12,2),"机构午餐","无统一供餐"),"差旅状态；无统一日程"))))))</f>
        <v/>
      </c>
      <c r="E1317" s="13">
        <f>IF(C1317=Options!$B$9,Options!$C$17,0)</f>
        <v/>
      </c>
      <c r="F1317" s="13">
        <f>IF(AND(A1317&lt;&gt;"",C1317&lt;Options!$B$10),B1317*Options!$X$6,0)</f>
        <v/>
      </c>
      <c r="G1317" s="13">
        <f>F1317*12%</f>
        <v/>
      </c>
      <c r="H1317" s="13">
        <f>IF(A1317="",0,B1317*(92*IF(OR(C1317=Options!$B$9,C1317=Options!$B$10),75%,100%)-IF(C1317=DATE(2026,11,29),26+IF(Options!$B$8="是",23,0),0)-IF(C1317=DATE(2026,11,30),26,0)-IF(C1317=DATE(2026,12,1),64,0)-IF(C1317=DATE(2026,11,28),38,0)-IF(C1317=DATE(2026,12,2),26,0)))</f>
        <v/>
      </c>
      <c r="I1317" s="13">
        <f>IF(AND(C1317&gt;=DATE(2026,11,29),C1317&lt;=DATE(2026,12,1)),B1317*60,0)</f>
        <v/>
      </c>
      <c r="J1317" s="13">
        <f>IF(A1317="",0,B1317*(IF(C1317=DATE(2026,11,28),38,0)+IF(C1317=DATE(2026,12,1),38,0)+IF(C1317=DATE(2026,12,2),26,0)))</f>
        <v/>
      </c>
      <c r="K1317" s="13">
        <f>IF(C1317=Options!$B$9,B1317*12,0)</f>
        <v/>
      </c>
      <c r="L1317" s="13">
        <f>IF(C1317=Options!$B$9,B1317*Options!$Z$6,0)</f>
        <v/>
      </c>
      <c r="M1317" s="13" t="n">
        <v>0</v>
      </c>
      <c r="N1317" s="13">
        <f>SUM(E1317:M1317)</f>
        <v/>
      </c>
    </row>
    <row r="1318">
      <c r="A1318" s="5">
        <f>IF(AND(C1318&gt;=Options!$B$9,C1318&lt;=Options!$B$10),"Denver","")</f>
        <v/>
      </c>
      <c r="B1318" s="5">
        <f>IF(A1318="","",24)</f>
        <v/>
      </c>
      <c r="C1318" s="17" t="n">
        <v>46514</v>
      </c>
      <c r="D1318" s="5">
        <f>IF(A1318="","",IF(C1318=DATE(2026,11,29),"培训；注册午餐；早餐参数",IF(C1318=DATE(2026,11,30),"培训；注册午餐",IF(C1318=DATE(2026,12,1),"培训；注册午餐；机构晚餐",IF(C1318=Options!$B$9,"抵达；"&amp;IF(C1318=DATE(2026,11,28),"机构晚餐","无统一供餐"),IF(C1318=Options!$B$10,"返程；"&amp;IF(C1318=DATE(2026,12,2),"机构午餐","无统一供餐"),"差旅状态；无统一日程"))))))</f>
        <v/>
      </c>
      <c r="E1318" s="13">
        <f>IF(C1318=Options!$B$9,Options!$C$17,0)</f>
        <v/>
      </c>
      <c r="F1318" s="13">
        <f>IF(AND(A1318&lt;&gt;"",C1318&lt;Options!$B$10),B1318*Options!$X$6,0)</f>
        <v/>
      </c>
      <c r="G1318" s="13">
        <f>F1318*12%</f>
        <v/>
      </c>
      <c r="H1318" s="13">
        <f>IF(A1318="",0,B1318*(92*IF(OR(C1318=Options!$B$9,C1318=Options!$B$10),75%,100%)-IF(C1318=DATE(2026,11,29),26+IF(Options!$B$8="是",23,0),0)-IF(C1318=DATE(2026,11,30),26,0)-IF(C1318=DATE(2026,12,1),64,0)-IF(C1318=DATE(2026,11,28),38,0)-IF(C1318=DATE(2026,12,2),26,0)))</f>
        <v/>
      </c>
      <c r="I1318" s="13">
        <f>IF(AND(C1318&gt;=DATE(2026,11,29),C1318&lt;=DATE(2026,12,1)),B1318*60,0)</f>
        <v/>
      </c>
      <c r="J1318" s="13">
        <f>IF(A1318="",0,B1318*(IF(C1318=DATE(2026,11,28),38,0)+IF(C1318=DATE(2026,12,1),38,0)+IF(C1318=DATE(2026,12,2),26,0)))</f>
        <v/>
      </c>
      <c r="K1318" s="13">
        <f>IF(C1318=Options!$B$9,B1318*12,0)</f>
        <v/>
      </c>
      <c r="L1318" s="13">
        <f>IF(C1318=Options!$B$9,B1318*Options!$Z$6,0)</f>
        <v/>
      </c>
      <c r="M1318" s="13" t="n">
        <v>0</v>
      </c>
      <c r="N1318" s="13">
        <f>SUM(E1318:M1318)</f>
        <v/>
      </c>
    </row>
    <row r="1319">
      <c r="A1319" s="5">
        <f>IF(AND(C1319&gt;=Options!$B$9,C1319&lt;=Options!$B$10),"Denver","")</f>
        <v/>
      </c>
      <c r="B1319" s="5">
        <f>IF(A1319="","",24)</f>
        <v/>
      </c>
      <c r="C1319" s="17" t="n">
        <v>46515</v>
      </c>
      <c r="D1319" s="5">
        <f>IF(A1319="","",IF(C1319=DATE(2026,11,29),"培训；注册午餐；早餐参数",IF(C1319=DATE(2026,11,30),"培训；注册午餐",IF(C1319=DATE(2026,12,1),"培训；注册午餐；机构晚餐",IF(C1319=Options!$B$9,"抵达；"&amp;IF(C1319=DATE(2026,11,28),"机构晚餐","无统一供餐"),IF(C1319=Options!$B$10,"返程；"&amp;IF(C1319=DATE(2026,12,2),"机构午餐","无统一供餐"),"差旅状态；无统一日程"))))))</f>
        <v/>
      </c>
      <c r="E1319" s="13">
        <f>IF(C1319=Options!$B$9,Options!$C$17,0)</f>
        <v/>
      </c>
      <c r="F1319" s="13">
        <f>IF(AND(A1319&lt;&gt;"",C1319&lt;Options!$B$10),B1319*Options!$X$6,0)</f>
        <v/>
      </c>
      <c r="G1319" s="13">
        <f>F1319*12%</f>
        <v/>
      </c>
      <c r="H1319" s="13">
        <f>IF(A1319="",0,B1319*(92*IF(OR(C1319=Options!$B$9,C1319=Options!$B$10),75%,100%)-IF(C1319=DATE(2026,11,29),26+IF(Options!$B$8="是",23,0),0)-IF(C1319=DATE(2026,11,30),26,0)-IF(C1319=DATE(2026,12,1),64,0)-IF(C1319=DATE(2026,11,28),38,0)-IF(C1319=DATE(2026,12,2),26,0)))</f>
        <v/>
      </c>
      <c r="I1319" s="13">
        <f>IF(AND(C1319&gt;=DATE(2026,11,29),C1319&lt;=DATE(2026,12,1)),B1319*60,0)</f>
        <v/>
      </c>
      <c r="J1319" s="13">
        <f>IF(A1319="",0,B1319*(IF(C1319=DATE(2026,11,28),38,0)+IF(C1319=DATE(2026,12,1),38,0)+IF(C1319=DATE(2026,12,2),26,0)))</f>
        <v/>
      </c>
      <c r="K1319" s="13">
        <f>IF(C1319=Options!$B$9,B1319*12,0)</f>
        <v/>
      </c>
      <c r="L1319" s="13">
        <f>IF(C1319=Options!$B$9,B1319*Options!$Z$6,0)</f>
        <v/>
      </c>
      <c r="M1319" s="13" t="n">
        <v>0</v>
      </c>
      <c r="N1319" s="13">
        <f>SUM(E1319:M1319)</f>
        <v/>
      </c>
    </row>
    <row r="1320">
      <c r="A1320" s="5">
        <f>IF(AND(C1320&gt;=Options!$B$9,C1320&lt;=Options!$B$10),"Denver","")</f>
        <v/>
      </c>
      <c r="B1320" s="5">
        <f>IF(A1320="","",24)</f>
        <v/>
      </c>
      <c r="C1320" s="17" t="n">
        <v>46516</v>
      </c>
      <c r="D1320" s="5">
        <f>IF(A1320="","",IF(C1320=DATE(2026,11,29),"培训；注册午餐；早餐参数",IF(C1320=DATE(2026,11,30),"培训；注册午餐",IF(C1320=DATE(2026,12,1),"培训；注册午餐；机构晚餐",IF(C1320=Options!$B$9,"抵达；"&amp;IF(C1320=DATE(2026,11,28),"机构晚餐","无统一供餐"),IF(C1320=Options!$B$10,"返程；"&amp;IF(C1320=DATE(2026,12,2),"机构午餐","无统一供餐"),"差旅状态；无统一日程"))))))</f>
        <v/>
      </c>
      <c r="E1320" s="13">
        <f>IF(C1320=Options!$B$9,Options!$C$17,0)</f>
        <v/>
      </c>
      <c r="F1320" s="13">
        <f>IF(AND(A1320&lt;&gt;"",C1320&lt;Options!$B$10),B1320*Options!$X$6,0)</f>
        <v/>
      </c>
      <c r="G1320" s="13">
        <f>F1320*12%</f>
        <v/>
      </c>
      <c r="H1320" s="13">
        <f>IF(A1320="",0,B1320*(92*IF(OR(C1320=Options!$B$9,C1320=Options!$B$10),75%,100%)-IF(C1320=DATE(2026,11,29),26+IF(Options!$B$8="是",23,0),0)-IF(C1320=DATE(2026,11,30),26,0)-IF(C1320=DATE(2026,12,1),64,0)-IF(C1320=DATE(2026,11,28),38,0)-IF(C1320=DATE(2026,12,2),26,0)))</f>
        <v/>
      </c>
      <c r="I1320" s="13">
        <f>IF(AND(C1320&gt;=DATE(2026,11,29),C1320&lt;=DATE(2026,12,1)),B1320*60,0)</f>
        <v/>
      </c>
      <c r="J1320" s="13">
        <f>IF(A1320="",0,B1320*(IF(C1320=DATE(2026,11,28),38,0)+IF(C1320=DATE(2026,12,1),38,0)+IF(C1320=DATE(2026,12,2),26,0)))</f>
        <v/>
      </c>
      <c r="K1320" s="13">
        <f>IF(C1320=Options!$B$9,B1320*12,0)</f>
        <v/>
      </c>
      <c r="L1320" s="13">
        <f>IF(C1320=Options!$B$9,B1320*Options!$Z$6,0)</f>
        <v/>
      </c>
      <c r="M1320" s="13" t="n">
        <v>0</v>
      </c>
      <c r="N1320" s="13">
        <f>SUM(E1320:M1320)</f>
        <v/>
      </c>
    </row>
    <row r="1321">
      <c r="A1321" s="5">
        <f>IF(AND(C1321&gt;=Options!$B$9,C1321&lt;=Options!$B$10),"Denver","")</f>
        <v/>
      </c>
      <c r="B1321" s="5">
        <f>IF(A1321="","",24)</f>
        <v/>
      </c>
      <c r="C1321" s="17" t="n">
        <v>46517</v>
      </c>
      <c r="D1321" s="5">
        <f>IF(A1321="","",IF(C1321=DATE(2026,11,29),"培训；注册午餐；早餐参数",IF(C1321=DATE(2026,11,30),"培训；注册午餐",IF(C1321=DATE(2026,12,1),"培训；注册午餐；机构晚餐",IF(C1321=Options!$B$9,"抵达；"&amp;IF(C1321=DATE(2026,11,28),"机构晚餐","无统一供餐"),IF(C1321=Options!$B$10,"返程；"&amp;IF(C1321=DATE(2026,12,2),"机构午餐","无统一供餐"),"差旅状态；无统一日程"))))))</f>
        <v/>
      </c>
      <c r="E1321" s="13">
        <f>IF(C1321=Options!$B$9,Options!$C$17,0)</f>
        <v/>
      </c>
      <c r="F1321" s="13">
        <f>IF(AND(A1321&lt;&gt;"",C1321&lt;Options!$B$10),B1321*Options!$X$6,0)</f>
        <v/>
      </c>
      <c r="G1321" s="13">
        <f>F1321*12%</f>
        <v/>
      </c>
      <c r="H1321" s="13">
        <f>IF(A1321="",0,B1321*(92*IF(OR(C1321=Options!$B$9,C1321=Options!$B$10),75%,100%)-IF(C1321=DATE(2026,11,29),26+IF(Options!$B$8="是",23,0),0)-IF(C1321=DATE(2026,11,30),26,0)-IF(C1321=DATE(2026,12,1),64,0)-IF(C1321=DATE(2026,11,28),38,0)-IF(C1321=DATE(2026,12,2),26,0)))</f>
        <v/>
      </c>
      <c r="I1321" s="13">
        <f>IF(AND(C1321&gt;=DATE(2026,11,29),C1321&lt;=DATE(2026,12,1)),B1321*60,0)</f>
        <v/>
      </c>
      <c r="J1321" s="13">
        <f>IF(A1321="",0,B1321*(IF(C1321=DATE(2026,11,28),38,0)+IF(C1321=DATE(2026,12,1),38,0)+IF(C1321=DATE(2026,12,2),26,0)))</f>
        <v/>
      </c>
      <c r="K1321" s="13">
        <f>IF(C1321=Options!$B$9,B1321*12,0)</f>
        <v/>
      </c>
      <c r="L1321" s="13">
        <f>IF(C1321=Options!$B$9,B1321*Options!$Z$6,0)</f>
        <v/>
      </c>
      <c r="M1321" s="13" t="n">
        <v>0</v>
      </c>
      <c r="N1321" s="13">
        <f>SUM(E1321:M1321)</f>
        <v/>
      </c>
    </row>
    <row r="1322">
      <c r="A1322" s="5">
        <f>IF(AND(C1322&gt;=Options!$B$9,C1322&lt;=Options!$B$10),"Denver","")</f>
        <v/>
      </c>
      <c r="B1322" s="5">
        <f>IF(A1322="","",24)</f>
        <v/>
      </c>
      <c r="C1322" s="17" t="n">
        <v>46518</v>
      </c>
      <c r="D1322" s="5">
        <f>IF(A1322="","",IF(C1322=DATE(2026,11,29),"培训；注册午餐；早餐参数",IF(C1322=DATE(2026,11,30),"培训；注册午餐",IF(C1322=DATE(2026,12,1),"培训；注册午餐；机构晚餐",IF(C1322=Options!$B$9,"抵达；"&amp;IF(C1322=DATE(2026,11,28),"机构晚餐","无统一供餐"),IF(C1322=Options!$B$10,"返程；"&amp;IF(C1322=DATE(2026,12,2),"机构午餐","无统一供餐"),"差旅状态；无统一日程"))))))</f>
        <v/>
      </c>
      <c r="E1322" s="13">
        <f>IF(C1322=Options!$B$9,Options!$C$17,0)</f>
        <v/>
      </c>
      <c r="F1322" s="13">
        <f>IF(AND(A1322&lt;&gt;"",C1322&lt;Options!$B$10),B1322*Options!$X$6,0)</f>
        <v/>
      </c>
      <c r="G1322" s="13">
        <f>F1322*12%</f>
        <v/>
      </c>
      <c r="H1322" s="13">
        <f>IF(A1322="",0,B1322*(92*IF(OR(C1322=Options!$B$9,C1322=Options!$B$10),75%,100%)-IF(C1322=DATE(2026,11,29),26+IF(Options!$B$8="是",23,0),0)-IF(C1322=DATE(2026,11,30),26,0)-IF(C1322=DATE(2026,12,1),64,0)-IF(C1322=DATE(2026,11,28),38,0)-IF(C1322=DATE(2026,12,2),26,0)))</f>
        <v/>
      </c>
      <c r="I1322" s="13">
        <f>IF(AND(C1322&gt;=DATE(2026,11,29),C1322&lt;=DATE(2026,12,1)),B1322*60,0)</f>
        <v/>
      </c>
      <c r="J1322" s="13">
        <f>IF(A1322="",0,B1322*(IF(C1322=DATE(2026,11,28),38,0)+IF(C1322=DATE(2026,12,1),38,0)+IF(C1322=DATE(2026,12,2),26,0)))</f>
        <v/>
      </c>
      <c r="K1322" s="13">
        <f>IF(C1322=Options!$B$9,B1322*12,0)</f>
        <v/>
      </c>
      <c r="L1322" s="13">
        <f>IF(C1322=Options!$B$9,B1322*Options!$Z$6,0)</f>
        <v/>
      </c>
      <c r="M1322" s="13" t="n">
        <v>0</v>
      </c>
      <c r="N1322" s="13">
        <f>SUM(E1322:M1322)</f>
        <v/>
      </c>
    </row>
    <row r="1323">
      <c r="A1323" s="5">
        <f>IF(AND(C1323&gt;=Options!$B$9,C1323&lt;=Options!$B$10),"Denver","")</f>
        <v/>
      </c>
      <c r="B1323" s="5">
        <f>IF(A1323="","",24)</f>
        <v/>
      </c>
      <c r="C1323" s="17" t="n">
        <v>46519</v>
      </c>
      <c r="D1323" s="5">
        <f>IF(A1323="","",IF(C1323=DATE(2026,11,29),"培训；注册午餐；早餐参数",IF(C1323=DATE(2026,11,30),"培训；注册午餐",IF(C1323=DATE(2026,12,1),"培训；注册午餐；机构晚餐",IF(C1323=Options!$B$9,"抵达；"&amp;IF(C1323=DATE(2026,11,28),"机构晚餐","无统一供餐"),IF(C1323=Options!$B$10,"返程；"&amp;IF(C1323=DATE(2026,12,2),"机构午餐","无统一供餐"),"差旅状态；无统一日程"))))))</f>
        <v/>
      </c>
      <c r="E1323" s="13">
        <f>IF(C1323=Options!$B$9,Options!$C$17,0)</f>
        <v/>
      </c>
      <c r="F1323" s="13">
        <f>IF(AND(A1323&lt;&gt;"",C1323&lt;Options!$B$10),B1323*Options!$X$6,0)</f>
        <v/>
      </c>
      <c r="G1323" s="13">
        <f>F1323*12%</f>
        <v/>
      </c>
      <c r="H1323" s="13">
        <f>IF(A1323="",0,B1323*(92*IF(OR(C1323=Options!$B$9,C1323=Options!$B$10),75%,100%)-IF(C1323=DATE(2026,11,29),26+IF(Options!$B$8="是",23,0),0)-IF(C1323=DATE(2026,11,30),26,0)-IF(C1323=DATE(2026,12,1),64,0)-IF(C1323=DATE(2026,11,28),38,0)-IF(C1323=DATE(2026,12,2),26,0)))</f>
        <v/>
      </c>
      <c r="I1323" s="13">
        <f>IF(AND(C1323&gt;=DATE(2026,11,29),C1323&lt;=DATE(2026,12,1)),B1323*60,0)</f>
        <v/>
      </c>
      <c r="J1323" s="13">
        <f>IF(A1323="",0,B1323*(IF(C1323=DATE(2026,11,28),38,0)+IF(C1323=DATE(2026,12,1),38,0)+IF(C1323=DATE(2026,12,2),26,0)))</f>
        <v/>
      </c>
      <c r="K1323" s="13">
        <f>IF(C1323=Options!$B$9,B1323*12,0)</f>
        <v/>
      </c>
      <c r="L1323" s="13">
        <f>IF(C1323=Options!$B$9,B1323*Options!$Z$6,0)</f>
        <v/>
      </c>
      <c r="M1323" s="13" t="n">
        <v>0</v>
      </c>
      <c r="N1323" s="13">
        <f>SUM(E1323:M1323)</f>
        <v/>
      </c>
    </row>
    <row r="1324">
      <c r="A1324" s="5">
        <f>IF(AND(C1324&gt;=Options!$B$9,C1324&lt;=Options!$B$10),"Denver","")</f>
        <v/>
      </c>
      <c r="B1324" s="5">
        <f>IF(A1324="","",24)</f>
        <v/>
      </c>
      <c r="C1324" s="17" t="n">
        <v>46520</v>
      </c>
      <c r="D1324" s="5">
        <f>IF(A1324="","",IF(C1324=DATE(2026,11,29),"培训；注册午餐；早餐参数",IF(C1324=DATE(2026,11,30),"培训；注册午餐",IF(C1324=DATE(2026,12,1),"培训；注册午餐；机构晚餐",IF(C1324=Options!$B$9,"抵达；"&amp;IF(C1324=DATE(2026,11,28),"机构晚餐","无统一供餐"),IF(C1324=Options!$B$10,"返程；"&amp;IF(C1324=DATE(2026,12,2),"机构午餐","无统一供餐"),"差旅状态；无统一日程"))))))</f>
        <v/>
      </c>
      <c r="E1324" s="13">
        <f>IF(C1324=Options!$B$9,Options!$C$17,0)</f>
        <v/>
      </c>
      <c r="F1324" s="13">
        <f>IF(AND(A1324&lt;&gt;"",C1324&lt;Options!$B$10),B1324*Options!$X$6,0)</f>
        <v/>
      </c>
      <c r="G1324" s="13">
        <f>F1324*12%</f>
        <v/>
      </c>
      <c r="H1324" s="13">
        <f>IF(A1324="",0,B1324*(92*IF(OR(C1324=Options!$B$9,C1324=Options!$B$10),75%,100%)-IF(C1324=DATE(2026,11,29),26+IF(Options!$B$8="是",23,0),0)-IF(C1324=DATE(2026,11,30),26,0)-IF(C1324=DATE(2026,12,1),64,0)-IF(C1324=DATE(2026,11,28),38,0)-IF(C1324=DATE(2026,12,2),26,0)))</f>
        <v/>
      </c>
      <c r="I1324" s="13">
        <f>IF(AND(C1324&gt;=DATE(2026,11,29),C1324&lt;=DATE(2026,12,1)),B1324*60,0)</f>
        <v/>
      </c>
      <c r="J1324" s="13">
        <f>IF(A1324="",0,B1324*(IF(C1324=DATE(2026,11,28),38,0)+IF(C1324=DATE(2026,12,1),38,0)+IF(C1324=DATE(2026,12,2),26,0)))</f>
        <v/>
      </c>
      <c r="K1324" s="13">
        <f>IF(C1324=Options!$B$9,B1324*12,0)</f>
        <v/>
      </c>
      <c r="L1324" s="13">
        <f>IF(C1324=Options!$B$9,B1324*Options!$Z$6,0)</f>
        <v/>
      </c>
      <c r="M1324" s="13" t="n">
        <v>0</v>
      </c>
      <c r="N1324" s="13">
        <f>SUM(E1324:M1324)</f>
        <v/>
      </c>
    </row>
    <row r="1325">
      <c r="A1325" s="5">
        <f>IF(AND(C1325&gt;=Options!$B$9,C1325&lt;=Options!$B$10),"Denver","")</f>
        <v/>
      </c>
      <c r="B1325" s="5">
        <f>IF(A1325="","",24)</f>
        <v/>
      </c>
      <c r="C1325" s="17" t="n">
        <v>46521</v>
      </c>
      <c r="D1325" s="5">
        <f>IF(A1325="","",IF(C1325=DATE(2026,11,29),"培训；注册午餐；早餐参数",IF(C1325=DATE(2026,11,30),"培训；注册午餐",IF(C1325=DATE(2026,12,1),"培训；注册午餐；机构晚餐",IF(C1325=Options!$B$9,"抵达；"&amp;IF(C1325=DATE(2026,11,28),"机构晚餐","无统一供餐"),IF(C1325=Options!$B$10,"返程；"&amp;IF(C1325=DATE(2026,12,2),"机构午餐","无统一供餐"),"差旅状态；无统一日程"))))))</f>
        <v/>
      </c>
      <c r="E1325" s="13">
        <f>IF(C1325=Options!$B$9,Options!$C$17,0)</f>
        <v/>
      </c>
      <c r="F1325" s="13">
        <f>IF(AND(A1325&lt;&gt;"",C1325&lt;Options!$B$10),B1325*Options!$X$6,0)</f>
        <v/>
      </c>
      <c r="G1325" s="13">
        <f>F1325*12%</f>
        <v/>
      </c>
      <c r="H1325" s="13">
        <f>IF(A1325="",0,B1325*(92*IF(OR(C1325=Options!$B$9,C1325=Options!$B$10),75%,100%)-IF(C1325=DATE(2026,11,29),26+IF(Options!$B$8="是",23,0),0)-IF(C1325=DATE(2026,11,30),26,0)-IF(C1325=DATE(2026,12,1),64,0)-IF(C1325=DATE(2026,11,28),38,0)-IF(C1325=DATE(2026,12,2),26,0)))</f>
        <v/>
      </c>
      <c r="I1325" s="13">
        <f>IF(AND(C1325&gt;=DATE(2026,11,29),C1325&lt;=DATE(2026,12,1)),B1325*60,0)</f>
        <v/>
      </c>
      <c r="J1325" s="13">
        <f>IF(A1325="",0,B1325*(IF(C1325=DATE(2026,11,28),38,0)+IF(C1325=DATE(2026,12,1),38,0)+IF(C1325=DATE(2026,12,2),26,0)))</f>
        <v/>
      </c>
      <c r="K1325" s="13">
        <f>IF(C1325=Options!$B$9,B1325*12,0)</f>
        <v/>
      </c>
      <c r="L1325" s="13">
        <f>IF(C1325=Options!$B$9,B1325*Options!$Z$6,0)</f>
        <v/>
      </c>
      <c r="M1325" s="13" t="n">
        <v>0</v>
      </c>
      <c r="N1325" s="13">
        <f>SUM(E1325:M1325)</f>
        <v/>
      </c>
    </row>
    <row r="1326">
      <c r="A1326" s="5">
        <f>IF(AND(C1326&gt;=Options!$B$9,C1326&lt;=Options!$B$10),"Denver","")</f>
        <v/>
      </c>
      <c r="B1326" s="5">
        <f>IF(A1326="","",24)</f>
        <v/>
      </c>
      <c r="C1326" s="17" t="n">
        <v>46522</v>
      </c>
      <c r="D1326" s="5">
        <f>IF(A1326="","",IF(C1326=DATE(2026,11,29),"培训；注册午餐；早餐参数",IF(C1326=DATE(2026,11,30),"培训；注册午餐",IF(C1326=DATE(2026,12,1),"培训；注册午餐；机构晚餐",IF(C1326=Options!$B$9,"抵达；"&amp;IF(C1326=DATE(2026,11,28),"机构晚餐","无统一供餐"),IF(C1326=Options!$B$10,"返程；"&amp;IF(C1326=DATE(2026,12,2),"机构午餐","无统一供餐"),"差旅状态；无统一日程"))))))</f>
        <v/>
      </c>
      <c r="E1326" s="13">
        <f>IF(C1326=Options!$B$9,Options!$C$17,0)</f>
        <v/>
      </c>
      <c r="F1326" s="13">
        <f>IF(AND(A1326&lt;&gt;"",C1326&lt;Options!$B$10),B1326*Options!$X$6,0)</f>
        <v/>
      </c>
      <c r="G1326" s="13">
        <f>F1326*12%</f>
        <v/>
      </c>
      <c r="H1326" s="13">
        <f>IF(A1326="",0,B1326*(92*IF(OR(C1326=Options!$B$9,C1326=Options!$B$10),75%,100%)-IF(C1326=DATE(2026,11,29),26+IF(Options!$B$8="是",23,0),0)-IF(C1326=DATE(2026,11,30),26,0)-IF(C1326=DATE(2026,12,1),64,0)-IF(C1326=DATE(2026,11,28),38,0)-IF(C1326=DATE(2026,12,2),26,0)))</f>
        <v/>
      </c>
      <c r="I1326" s="13">
        <f>IF(AND(C1326&gt;=DATE(2026,11,29),C1326&lt;=DATE(2026,12,1)),B1326*60,0)</f>
        <v/>
      </c>
      <c r="J1326" s="13">
        <f>IF(A1326="",0,B1326*(IF(C1326=DATE(2026,11,28),38,0)+IF(C1326=DATE(2026,12,1),38,0)+IF(C1326=DATE(2026,12,2),26,0)))</f>
        <v/>
      </c>
      <c r="K1326" s="13">
        <f>IF(C1326=Options!$B$9,B1326*12,0)</f>
        <v/>
      </c>
      <c r="L1326" s="13">
        <f>IF(C1326=Options!$B$9,B1326*Options!$Z$6,0)</f>
        <v/>
      </c>
      <c r="M1326" s="13" t="n">
        <v>0</v>
      </c>
      <c r="N1326" s="13">
        <f>SUM(E1326:M1326)</f>
        <v/>
      </c>
    </row>
    <row r="1327">
      <c r="A1327" s="5">
        <f>IF(AND(C1327&gt;=Options!$B$9,C1327&lt;=Options!$B$10),"Denver","")</f>
        <v/>
      </c>
      <c r="B1327" s="5">
        <f>IF(A1327="","",24)</f>
        <v/>
      </c>
      <c r="C1327" s="17" t="n">
        <v>46523</v>
      </c>
      <c r="D1327" s="5">
        <f>IF(A1327="","",IF(C1327=DATE(2026,11,29),"培训；注册午餐；早餐参数",IF(C1327=DATE(2026,11,30),"培训；注册午餐",IF(C1327=DATE(2026,12,1),"培训；注册午餐；机构晚餐",IF(C1327=Options!$B$9,"抵达；"&amp;IF(C1327=DATE(2026,11,28),"机构晚餐","无统一供餐"),IF(C1327=Options!$B$10,"返程；"&amp;IF(C1327=DATE(2026,12,2),"机构午餐","无统一供餐"),"差旅状态；无统一日程"))))))</f>
        <v/>
      </c>
      <c r="E1327" s="13">
        <f>IF(C1327=Options!$B$9,Options!$C$17,0)</f>
        <v/>
      </c>
      <c r="F1327" s="13">
        <f>IF(AND(A1327&lt;&gt;"",C1327&lt;Options!$B$10),B1327*Options!$X$6,0)</f>
        <v/>
      </c>
      <c r="G1327" s="13">
        <f>F1327*12%</f>
        <v/>
      </c>
      <c r="H1327" s="13">
        <f>IF(A1327="",0,B1327*(92*IF(OR(C1327=Options!$B$9,C1327=Options!$B$10),75%,100%)-IF(C1327=DATE(2026,11,29),26+IF(Options!$B$8="是",23,0),0)-IF(C1327=DATE(2026,11,30),26,0)-IF(C1327=DATE(2026,12,1),64,0)-IF(C1327=DATE(2026,11,28),38,0)-IF(C1327=DATE(2026,12,2),26,0)))</f>
        <v/>
      </c>
      <c r="I1327" s="13">
        <f>IF(AND(C1327&gt;=DATE(2026,11,29),C1327&lt;=DATE(2026,12,1)),B1327*60,0)</f>
        <v/>
      </c>
      <c r="J1327" s="13">
        <f>IF(A1327="",0,B1327*(IF(C1327=DATE(2026,11,28),38,0)+IF(C1327=DATE(2026,12,1),38,0)+IF(C1327=DATE(2026,12,2),26,0)))</f>
        <v/>
      </c>
      <c r="K1327" s="13">
        <f>IF(C1327=Options!$B$9,B1327*12,0)</f>
        <v/>
      </c>
      <c r="L1327" s="13">
        <f>IF(C1327=Options!$B$9,B1327*Options!$Z$6,0)</f>
        <v/>
      </c>
      <c r="M1327" s="13" t="n">
        <v>0</v>
      </c>
      <c r="N1327" s="13">
        <f>SUM(E1327:M1327)</f>
        <v/>
      </c>
    </row>
    <row r="1328">
      <c r="A1328" s="5">
        <f>IF(AND(C1328&gt;=Options!$B$9,C1328&lt;=Options!$B$10),"Denver","")</f>
        <v/>
      </c>
      <c r="B1328" s="5">
        <f>IF(A1328="","",24)</f>
        <v/>
      </c>
      <c r="C1328" s="17" t="n">
        <v>46524</v>
      </c>
      <c r="D1328" s="5">
        <f>IF(A1328="","",IF(C1328=DATE(2026,11,29),"培训；注册午餐；早餐参数",IF(C1328=DATE(2026,11,30),"培训；注册午餐",IF(C1328=DATE(2026,12,1),"培训；注册午餐；机构晚餐",IF(C1328=Options!$B$9,"抵达；"&amp;IF(C1328=DATE(2026,11,28),"机构晚餐","无统一供餐"),IF(C1328=Options!$B$10,"返程；"&amp;IF(C1328=DATE(2026,12,2),"机构午餐","无统一供餐"),"差旅状态；无统一日程"))))))</f>
        <v/>
      </c>
      <c r="E1328" s="13">
        <f>IF(C1328=Options!$B$9,Options!$C$17,0)</f>
        <v/>
      </c>
      <c r="F1328" s="13">
        <f>IF(AND(A1328&lt;&gt;"",C1328&lt;Options!$B$10),B1328*Options!$X$6,0)</f>
        <v/>
      </c>
      <c r="G1328" s="13">
        <f>F1328*12%</f>
        <v/>
      </c>
      <c r="H1328" s="13">
        <f>IF(A1328="",0,B1328*(92*IF(OR(C1328=Options!$B$9,C1328=Options!$B$10),75%,100%)-IF(C1328=DATE(2026,11,29),26+IF(Options!$B$8="是",23,0),0)-IF(C1328=DATE(2026,11,30),26,0)-IF(C1328=DATE(2026,12,1),64,0)-IF(C1328=DATE(2026,11,28),38,0)-IF(C1328=DATE(2026,12,2),26,0)))</f>
        <v/>
      </c>
      <c r="I1328" s="13">
        <f>IF(AND(C1328&gt;=DATE(2026,11,29),C1328&lt;=DATE(2026,12,1)),B1328*60,0)</f>
        <v/>
      </c>
      <c r="J1328" s="13">
        <f>IF(A1328="",0,B1328*(IF(C1328=DATE(2026,11,28),38,0)+IF(C1328=DATE(2026,12,1),38,0)+IF(C1328=DATE(2026,12,2),26,0)))</f>
        <v/>
      </c>
      <c r="K1328" s="13">
        <f>IF(C1328=Options!$B$9,B1328*12,0)</f>
        <v/>
      </c>
      <c r="L1328" s="13">
        <f>IF(C1328=Options!$B$9,B1328*Options!$Z$6,0)</f>
        <v/>
      </c>
      <c r="M1328" s="13" t="n">
        <v>0</v>
      </c>
      <c r="N1328" s="13">
        <f>SUM(E1328:M1328)</f>
        <v/>
      </c>
    </row>
    <row r="1329">
      <c r="A1329" s="5">
        <f>IF(AND(C1329&gt;=Options!$B$9,C1329&lt;=Options!$B$10),"Denver","")</f>
        <v/>
      </c>
      <c r="B1329" s="5">
        <f>IF(A1329="","",24)</f>
        <v/>
      </c>
      <c r="C1329" s="17" t="n">
        <v>46525</v>
      </c>
      <c r="D1329" s="5">
        <f>IF(A1329="","",IF(C1329=DATE(2026,11,29),"培训；注册午餐；早餐参数",IF(C1329=DATE(2026,11,30),"培训；注册午餐",IF(C1329=DATE(2026,12,1),"培训；注册午餐；机构晚餐",IF(C1329=Options!$B$9,"抵达；"&amp;IF(C1329=DATE(2026,11,28),"机构晚餐","无统一供餐"),IF(C1329=Options!$B$10,"返程；"&amp;IF(C1329=DATE(2026,12,2),"机构午餐","无统一供餐"),"差旅状态；无统一日程"))))))</f>
        <v/>
      </c>
      <c r="E1329" s="13">
        <f>IF(C1329=Options!$B$9,Options!$C$17,0)</f>
        <v/>
      </c>
      <c r="F1329" s="13">
        <f>IF(AND(A1329&lt;&gt;"",C1329&lt;Options!$B$10),B1329*Options!$X$6,0)</f>
        <v/>
      </c>
      <c r="G1329" s="13">
        <f>F1329*12%</f>
        <v/>
      </c>
      <c r="H1329" s="13">
        <f>IF(A1329="",0,B1329*(92*IF(OR(C1329=Options!$B$9,C1329=Options!$B$10),75%,100%)-IF(C1329=DATE(2026,11,29),26+IF(Options!$B$8="是",23,0),0)-IF(C1329=DATE(2026,11,30),26,0)-IF(C1329=DATE(2026,12,1),64,0)-IF(C1329=DATE(2026,11,28),38,0)-IF(C1329=DATE(2026,12,2),26,0)))</f>
        <v/>
      </c>
      <c r="I1329" s="13">
        <f>IF(AND(C1329&gt;=DATE(2026,11,29),C1329&lt;=DATE(2026,12,1)),B1329*60,0)</f>
        <v/>
      </c>
      <c r="J1329" s="13">
        <f>IF(A1329="",0,B1329*(IF(C1329=DATE(2026,11,28),38,0)+IF(C1329=DATE(2026,12,1),38,0)+IF(C1329=DATE(2026,12,2),26,0)))</f>
        <v/>
      </c>
      <c r="K1329" s="13">
        <f>IF(C1329=Options!$B$9,B1329*12,0)</f>
        <v/>
      </c>
      <c r="L1329" s="13">
        <f>IF(C1329=Options!$B$9,B1329*Options!$Z$6,0)</f>
        <v/>
      </c>
      <c r="M1329" s="13" t="n">
        <v>0</v>
      </c>
      <c r="N1329" s="13">
        <f>SUM(E1329:M1329)</f>
        <v/>
      </c>
    </row>
    <row r="1330">
      <c r="A1330" s="5">
        <f>IF(AND(C1330&gt;=Options!$B$9,C1330&lt;=Options!$B$10),"Denver","")</f>
        <v/>
      </c>
      <c r="B1330" s="5">
        <f>IF(A1330="","",24)</f>
        <v/>
      </c>
      <c r="C1330" s="17" t="n">
        <v>46526</v>
      </c>
      <c r="D1330" s="5">
        <f>IF(A1330="","",IF(C1330=DATE(2026,11,29),"培训；注册午餐；早餐参数",IF(C1330=DATE(2026,11,30),"培训；注册午餐",IF(C1330=DATE(2026,12,1),"培训；注册午餐；机构晚餐",IF(C1330=Options!$B$9,"抵达；"&amp;IF(C1330=DATE(2026,11,28),"机构晚餐","无统一供餐"),IF(C1330=Options!$B$10,"返程；"&amp;IF(C1330=DATE(2026,12,2),"机构午餐","无统一供餐"),"差旅状态；无统一日程"))))))</f>
        <v/>
      </c>
      <c r="E1330" s="13">
        <f>IF(C1330=Options!$B$9,Options!$C$17,0)</f>
        <v/>
      </c>
      <c r="F1330" s="13">
        <f>IF(AND(A1330&lt;&gt;"",C1330&lt;Options!$B$10),B1330*Options!$X$6,0)</f>
        <v/>
      </c>
      <c r="G1330" s="13">
        <f>F1330*12%</f>
        <v/>
      </c>
      <c r="H1330" s="13">
        <f>IF(A1330="",0,B1330*(92*IF(OR(C1330=Options!$B$9,C1330=Options!$B$10),75%,100%)-IF(C1330=DATE(2026,11,29),26+IF(Options!$B$8="是",23,0),0)-IF(C1330=DATE(2026,11,30),26,0)-IF(C1330=DATE(2026,12,1),64,0)-IF(C1330=DATE(2026,11,28),38,0)-IF(C1330=DATE(2026,12,2),26,0)))</f>
        <v/>
      </c>
      <c r="I1330" s="13">
        <f>IF(AND(C1330&gt;=DATE(2026,11,29),C1330&lt;=DATE(2026,12,1)),B1330*60,0)</f>
        <v/>
      </c>
      <c r="J1330" s="13">
        <f>IF(A1330="",0,B1330*(IF(C1330=DATE(2026,11,28),38,0)+IF(C1330=DATE(2026,12,1),38,0)+IF(C1330=DATE(2026,12,2),26,0)))</f>
        <v/>
      </c>
      <c r="K1330" s="13">
        <f>IF(C1330=Options!$B$9,B1330*12,0)</f>
        <v/>
      </c>
      <c r="L1330" s="13">
        <f>IF(C1330=Options!$B$9,B1330*Options!$Z$6,0)</f>
        <v/>
      </c>
      <c r="M1330" s="13" t="n">
        <v>0</v>
      </c>
      <c r="N1330" s="13">
        <f>SUM(E1330:M1330)</f>
        <v/>
      </c>
    </row>
    <row r="1331">
      <c r="A1331" s="5">
        <f>IF(AND(C1331&gt;=Options!$B$9,C1331&lt;=Options!$B$10),"Denver","")</f>
        <v/>
      </c>
      <c r="B1331" s="5">
        <f>IF(A1331="","",24)</f>
        <v/>
      </c>
      <c r="C1331" s="17" t="n">
        <v>46527</v>
      </c>
      <c r="D1331" s="5">
        <f>IF(A1331="","",IF(C1331=DATE(2026,11,29),"培训；注册午餐；早餐参数",IF(C1331=DATE(2026,11,30),"培训；注册午餐",IF(C1331=DATE(2026,12,1),"培训；注册午餐；机构晚餐",IF(C1331=Options!$B$9,"抵达；"&amp;IF(C1331=DATE(2026,11,28),"机构晚餐","无统一供餐"),IF(C1331=Options!$B$10,"返程；"&amp;IF(C1331=DATE(2026,12,2),"机构午餐","无统一供餐"),"差旅状态；无统一日程"))))))</f>
        <v/>
      </c>
      <c r="E1331" s="13">
        <f>IF(C1331=Options!$B$9,Options!$C$17,0)</f>
        <v/>
      </c>
      <c r="F1331" s="13">
        <f>IF(AND(A1331&lt;&gt;"",C1331&lt;Options!$B$10),B1331*Options!$X$6,0)</f>
        <v/>
      </c>
      <c r="G1331" s="13">
        <f>F1331*12%</f>
        <v/>
      </c>
      <c r="H1331" s="13">
        <f>IF(A1331="",0,B1331*(92*IF(OR(C1331=Options!$B$9,C1331=Options!$B$10),75%,100%)-IF(C1331=DATE(2026,11,29),26+IF(Options!$B$8="是",23,0),0)-IF(C1331=DATE(2026,11,30),26,0)-IF(C1331=DATE(2026,12,1),64,0)-IF(C1331=DATE(2026,11,28),38,0)-IF(C1331=DATE(2026,12,2),26,0)))</f>
        <v/>
      </c>
      <c r="I1331" s="13">
        <f>IF(AND(C1331&gt;=DATE(2026,11,29),C1331&lt;=DATE(2026,12,1)),B1331*60,0)</f>
        <v/>
      </c>
      <c r="J1331" s="13">
        <f>IF(A1331="",0,B1331*(IF(C1331=DATE(2026,11,28),38,0)+IF(C1331=DATE(2026,12,1),38,0)+IF(C1331=DATE(2026,12,2),26,0)))</f>
        <v/>
      </c>
      <c r="K1331" s="13">
        <f>IF(C1331=Options!$B$9,B1331*12,0)</f>
        <v/>
      </c>
      <c r="L1331" s="13">
        <f>IF(C1331=Options!$B$9,B1331*Options!$Z$6,0)</f>
        <v/>
      </c>
      <c r="M1331" s="13" t="n">
        <v>0</v>
      </c>
      <c r="N1331" s="13">
        <f>SUM(E1331:M1331)</f>
        <v/>
      </c>
    </row>
    <row r="1332">
      <c r="A1332" s="5">
        <f>IF(AND(C1332&gt;=Options!$B$9,C1332&lt;=Options!$B$10),"Denver","")</f>
        <v/>
      </c>
      <c r="B1332" s="5">
        <f>IF(A1332="","",24)</f>
        <v/>
      </c>
      <c r="C1332" s="17" t="n">
        <v>46528</v>
      </c>
      <c r="D1332" s="5">
        <f>IF(A1332="","",IF(C1332=DATE(2026,11,29),"培训；注册午餐；早餐参数",IF(C1332=DATE(2026,11,30),"培训；注册午餐",IF(C1332=DATE(2026,12,1),"培训；注册午餐；机构晚餐",IF(C1332=Options!$B$9,"抵达；"&amp;IF(C1332=DATE(2026,11,28),"机构晚餐","无统一供餐"),IF(C1332=Options!$B$10,"返程；"&amp;IF(C1332=DATE(2026,12,2),"机构午餐","无统一供餐"),"差旅状态；无统一日程"))))))</f>
        <v/>
      </c>
      <c r="E1332" s="13">
        <f>IF(C1332=Options!$B$9,Options!$C$17,0)</f>
        <v/>
      </c>
      <c r="F1332" s="13">
        <f>IF(AND(A1332&lt;&gt;"",C1332&lt;Options!$B$10),B1332*Options!$X$6,0)</f>
        <v/>
      </c>
      <c r="G1332" s="13">
        <f>F1332*12%</f>
        <v/>
      </c>
      <c r="H1332" s="13">
        <f>IF(A1332="",0,B1332*(92*IF(OR(C1332=Options!$B$9,C1332=Options!$B$10),75%,100%)-IF(C1332=DATE(2026,11,29),26+IF(Options!$B$8="是",23,0),0)-IF(C1332=DATE(2026,11,30),26,0)-IF(C1332=DATE(2026,12,1),64,0)-IF(C1332=DATE(2026,11,28),38,0)-IF(C1332=DATE(2026,12,2),26,0)))</f>
        <v/>
      </c>
      <c r="I1332" s="13">
        <f>IF(AND(C1332&gt;=DATE(2026,11,29),C1332&lt;=DATE(2026,12,1)),B1332*60,0)</f>
        <v/>
      </c>
      <c r="J1332" s="13">
        <f>IF(A1332="",0,B1332*(IF(C1332=DATE(2026,11,28),38,0)+IF(C1332=DATE(2026,12,1),38,0)+IF(C1332=DATE(2026,12,2),26,0)))</f>
        <v/>
      </c>
      <c r="K1332" s="13">
        <f>IF(C1332=Options!$B$9,B1332*12,0)</f>
        <v/>
      </c>
      <c r="L1332" s="13">
        <f>IF(C1332=Options!$B$9,B1332*Options!$Z$6,0)</f>
        <v/>
      </c>
      <c r="M1332" s="13" t="n">
        <v>0</v>
      </c>
      <c r="N1332" s="13">
        <f>SUM(E1332:M1332)</f>
        <v/>
      </c>
    </row>
    <row r="1333">
      <c r="A1333" s="5">
        <f>IF(AND(C1333&gt;=Options!$B$9,C1333&lt;=Options!$B$10),"Denver","")</f>
        <v/>
      </c>
      <c r="B1333" s="5">
        <f>IF(A1333="","",24)</f>
        <v/>
      </c>
      <c r="C1333" s="17" t="n">
        <v>46529</v>
      </c>
      <c r="D1333" s="5">
        <f>IF(A1333="","",IF(C1333=DATE(2026,11,29),"培训；注册午餐；早餐参数",IF(C1333=DATE(2026,11,30),"培训；注册午餐",IF(C1333=DATE(2026,12,1),"培训；注册午餐；机构晚餐",IF(C1333=Options!$B$9,"抵达；"&amp;IF(C1333=DATE(2026,11,28),"机构晚餐","无统一供餐"),IF(C1333=Options!$B$10,"返程；"&amp;IF(C1333=DATE(2026,12,2),"机构午餐","无统一供餐"),"差旅状态；无统一日程"))))))</f>
        <v/>
      </c>
      <c r="E1333" s="13">
        <f>IF(C1333=Options!$B$9,Options!$C$17,0)</f>
        <v/>
      </c>
      <c r="F1333" s="13">
        <f>IF(AND(A1333&lt;&gt;"",C1333&lt;Options!$B$10),B1333*Options!$X$6,0)</f>
        <v/>
      </c>
      <c r="G1333" s="13">
        <f>F1333*12%</f>
        <v/>
      </c>
      <c r="H1333" s="13">
        <f>IF(A1333="",0,B1333*(92*IF(OR(C1333=Options!$B$9,C1333=Options!$B$10),75%,100%)-IF(C1333=DATE(2026,11,29),26+IF(Options!$B$8="是",23,0),0)-IF(C1333=DATE(2026,11,30),26,0)-IF(C1333=DATE(2026,12,1),64,0)-IF(C1333=DATE(2026,11,28),38,0)-IF(C1333=DATE(2026,12,2),26,0)))</f>
        <v/>
      </c>
      <c r="I1333" s="13">
        <f>IF(AND(C1333&gt;=DATE(2026,11,29),C1333&lt;=DATE(2026,12,1)),B1333*60,0)</f>
        <v/>
      </c>
      <c r="J1333" s="13">
        <f>IF(A1333="",0,B1333*(IF(C1333=DATE(2026,11,28),38,0)+IF(C1333=DATE(2026,12,1),38,0)+IF(C1333=DATE(2026,12,2),26,0)))</f>
        <v/>
      </c>
      <c r="K1333" s="13">
        <f>IF(C1333=Options!$B$9,B1333*12,0)</f>
        <v/>
      </c>
      <c r="L1333" s="13">
        <f>IF(C1333=Options!$B$9,B1333*Options!$Z$6,0)</f>
        <v/>
      </c>
      <c r="M1333" s="13" t="n">
        <v>0</v>
      </c>
      <c r="N1333" s="13">
        <f>SUM(E1333:M1333)</f>
        <v/>
      </c>
    </row>
    <row r="1334">
      <c r="A1334" s="5">
        <f>IF(AND(C1334&gt;=Options!$B$9,C1334&lt;=Options!$B$10),"Denver","")</f>
        <v/>
      </c>
      <c r="B1334" s="5">
        <f>IF(A1334="","",24)</f>
        <v/>
      </c>
      <c r="C1334" s="17" t="n">
        <v>46530</v>
      </c>
      <c r="D1334" s="5">
        <f>IF(A1334="","",IF(C1334=DATE(2026,11,29),"培训；注册午餐；早餐参数",IF(C1334=DATE(2026,11,30),"培训；注册午餐",IF(C1334=DATE(2026,12,1),"培训；注册午餐；机构晚餐",IF(C1334=Options!$B$9,"抵达；"&amp;IF(C1334=DATE(2026,11,28),"机构晚餐","无统一供餐"),IF(C1334=Options!$B$10,"返程；"&amp;IF(C1334=DATE(2026,12,2),"机构午餐","无统一供餐"),"差旅状态；无统一日程"))))))</f>
        <v/>
      </c>
      <c r="E1334" s="13">
        <f>IF(C1334=Options!$B$9,Options!$C$17,0)</f>
        <v/>
      </c>
      <c r="F1334" s="13">
        <f>IF(AND(A1334&lt;&gt;"",C1334&lt;Options!$B$10),B1334*Options!$X$6,0)</f>
        <v/>
      </c>
      <c r="G1334" s="13">
        <f>F1334*12%</f>
        <v/>
      </c>
      <c r="H1334" s="13">
        <f>IF(A1334="",0,B1334*(92*IF(OR(C1334=Options!$B$9,C1334=Options!$B$10),75%,100%)-IF(C1334=DATE(2026,11,29),26+IF(Options!$B$8="是",23,0),0)-IF(C1334=DATE(2026,11,30),26,0)-IF(C1334=DATE(2026,12,1),64,0)-IF(C1334=DATE(2026,11,28),38,0)-IF(C1334=DATE(2026,12,2),26,0)))</f>
        <v/>
      </c>
      <c r="I1334" s="13">
        <f>IF(AND(C1334&gt;=DATE(2026,11,29),C1334&lt;=DATE(2026,12,1)),B1334*60,0)</f>
        <v/>
      </c>
      <c r="J1334" s="13">
        <f>IF(A1334="",0,B1334*(IF(C1334=DATE(2026,11,28),38,0)+IF(C1334=DATE(2026,12,1),38,0)+IF(C1334=DATE(2026,12,2),26,0)))</f>
        <v/>
      </c>
      <c r="K1334" s="13">
        <f>IF(C1334=Options!$B$9,B1334*12,0)</f>
        <v/>
      </c>
      <c r="L1334" s="13">
        <f>IF(C1334=Options!$B$9,B1334*Options!$Z$6,0)</f>
        <v/>
      </c>
      <c r="M1334" s="13" t="n">
        <v>0</v>
      </c>
      <c r="N1334" s="13">
        <f>SUM(E1334:M1334)</f>
        <v/>
      </c>
    </row>
    <row r="1335">
      <c r="A1335" s="5">
        <f>IF(AND(C1335&gt;=Options!$B$9,C1335&lt;=Options!$B$10),"Denver","")</f>
        <v/>
      </c>
      <c r="B1335" s="5">
        <f>IF(A1335="","",24)</f>
        <v/>
      </c>
      <c r="C1335" s="17" t="n">
        <v>46531</v>
      </c>
      <c r="D1335" s="5">
        <f>IF(A1335="","",IF(C1335=DATE(2026,11,29),"培训；注册午餐；早餐参数",IF(C1335=DATE(2026,11,30),"培训；注册午餐",IF(C1335=DATE(2026,12,1),"培训；注册午餐；机构晚餐",IF(C1335=Options!$B$9,"抵达；"&amp;IF(C1335=DATE(2026,11,28),"机构晚餐","无统一供餐"),IF(C1335=Options!$B$10,"返程；"&amp;IF(C1335=DATE(2026,12,2),"机构午餐","无统一供餐"),"差旅状态；无统一日程"))))))</f>
        <v/>
      </c>
      <c r="E1335" s="13">
        <f>IF(C1335=Options!$B$9,Options!$C$17,0)</f>
        <v/>
      </c>
      <c r="F1335" s="13">
        <f>IF(AND(A1335&lt;&gt;"",C1335&lt;Options!$B$10),B1335*Options!$X$6,0)</f>
        <v/>
      </c>
      <c r="G1335" s="13">
        <f>F1335*12%</f>
        <v/>
      </c>
      <c r="H1335" s="13">
        <f>IF(A1335="",0,B1335*(92*IF(OR(C1335=Options!$B$9,C1335=Options!$B$10),75%,100%)-IF(C1335=DATE(2026,11,29),26+IF(Options!$B$8="是",23,0),0)-IF(C1335=DATE(2026,11,30),26,0)-IF(C1335=DATE(2026,12,1),64,0)-IF(C1335=DATE(2026,11,28),38,0)-IF(C1335=DATE(2026,12,2),26,0)))</f>
        <v/>
      </c>
      <c r="I1335" s="13">
        <f>IF(AND(C1335&gt;=DATE(2026,11,29),C1335&lt;=DATE(2026,12,1)),B1335*60,0)</f>
        <v/>
      </c>
      <c r="J1335" s="13">
        <f>IF(A1335="",0,B1335*(IF(C1335=DATE(2026,11,28),38,0)+IF(C1335=DATE(2026,12,1),38,0)+IF(C1335=DATE(2026,12,2),26,0)))</f>
        <v/>
      </c>
      <c r="K1335" s="13">
        <f>IF(C1335=Options!$B$9,B1335*12,0)</f>
        <v/>
      </c>
      <c r="L1335" s="13">
        <f>IF(C1335=Options!$B$9,B1335*Options!$Z$6,0)</f>
        <v/>
      </c>
      <c r="M1335" s="13" t="n">
        <v>0</v>
      </c>
      <c r="N1335" s="13">
        <f>SUM(E1335:M1335)</f>
        <v/>
      </c>
    </row>
    <row r="1336">
      <c r="A1336" s="5">
        <f>IF(AND(C1336&gt;=Options!$B$9,C1336&lt;=Options!$B$10),"Denver","")</f>
        <v/>
      </c>
      <c r="B1336" s="5">
        <f>IF(A1336="","",24)</f>
        <v/>
      </c>
      <c r="C1336" s="17" t="n">
        <v>46532</v>
      </c>
      <c r="D1336" s="5">
        <f>IF(A1336="","",IF(C1336=DATE(2026,11,29),"培训；注册午餐；早餐参数",IF(C1336=DATE(2026,11,30),"培训；注册午餐",IF(C1336=DATE(2026,12,1),"培训；注册午餐；机构晚餐",IF(C1336=Options!$B$9,"抵达；"&amp;IF(C1336=DATE(2026,11,28),"机构晚餐","无统一供餐"),IF(C1336=Options!$B$10,"返程；"&amp;IF(C1336=DATE(2026,12,2),"机构午餐","无统一供餐"),"差旅状态；无统一日程"))))))</f>
        <v/>
      </c>
      <c r="E1336" s="13">
        <f>IF(C1336=Options!$B$9,Options!$C$17,0)</f>
        <v/>
      </c>
      <c r="F1336" s="13">
        <f>IF(AND(A1336&lt;&gt;"",C1336&lt;Options!$B$10),B1336*Options!$X$6,0)</f>
        <v/>
      </c>
      <c r="G1336" s="13">
        <f>F1336*12%</f>
        <v/>
      </c>
      <c r="H1336" s="13">
        <f>IF(A1336="",0,B1336*(92*IF(OR(C1336=Options!$B$9,C1336=Options!$B$10),75%,100%)-IF(C1336=DATE(2026,11,29),26+IF(Options!$B$8="是",23,0),0)-IF(C1336=DATE(2026,11,30),26,0)-IF(C1336=DATE(2026,12,1),64,0)-IF(C1336=DATE(2026,11,28),38,0)-IF(C1336=DATE(2026,12,2),26,0)))</f>
        <v/>
      </c>
      <c r="I1336" s="13">
        <f>IF(AND(C1336&gt;=DATE(2026,11,29),C1336&lt;=DATE(2026,12,1)),B1336*60,0)</f>
        <v/>
      </c>
      <c r="J1336" s="13">
        <f>IF(A1336="",0,B1336*(IF(C1336=DATE(2026,11,28),38,0)+IF(C1336=DATE(2026,12,1),38,0)+IF(C1336=DATE(2026,12,2),26,0)))</f>
        <v/>
      </c>
      <c r="K1336" s="13">
        <f>IF(C1336=Options!$B$9,B1336*12,0)</f>
        <v/>
      </c>
      <c r="L1336" s="13">
        <f>IF(C1336=Options!$B$9,B1336*Options!$Z$6,0)</f>
        <v/>
      </c>
      <c r="M1336" s="13" t="n">
        <v>0</v>
      </c>
      <c r="N1336" s="13">
        <f>SUM(E1336:M1336)</f>
        <v/>
      </c>
    </row>
    <row r="1337">
      <c r="A1337" s="5">
        <f>IF(AND(C1337&gt;=Options!$B$9,C1337&lt;=Options!$B$10),"Denver","")</f>
        <v/>
      </c>
      <c r="B1337" s="5">
        <f>IF(A1337="","",24)</f>
        <v/>
      </c>
      <c r="C1337" s="17" t="n">
        <v>46533</v>
      </c>
      <c r="D1337" s="5">
        <f>IF(A1337="","",IF(C1337=DATE(2026,11,29),"培训；注册午餐；早餐参数",IF(C1337=DATE(2026,11,30),"培训；注册午餐",IF(C1337=DATE(2026,12,1),"培训；注册午餐；机构晚餐",IF(C1337=Options!$B$9,"抵达；"&amp;IF(C1337=DATE(2026,11,28),"机构晚餐","无统一供餐"),IF(C1337=Options!$B$10,"返程；"&amp;IF(C1337=DATE(2026,12,2),"机构午餐","无统一供餐"),"差旅状态；无统一日程"))))))</f>
        <v/>
      </c>
      <c r="E1337" s="13">
        <f>IF(C1337=Options!$B$9,Options!$C$17,0)</f>
        <v/>
      </c>
      <c r="F1337" s="13">
        <f>IF(AND(A1337&lt;&gt;"",C1337&lt;Options!$B$10),B1337*Options!$X$6,0)</f>
        <v/>
      </c>
      <c r="G1337" s="13">
        <f>F1337*12%</f>
        <v/>
      </c>
      <c r="H1337" s="13">
        <f>IF(A1337="",0,B1337*(92*IF(OR(C1337=Options!$B$9,C1337=Options!$B$10),75%,100%)-IF(C1337=DATE(2026,11,29),26+IF(Options!$B$8="是",23,0),0)-IF(C1337=DATE(2026,11,30),26,0)-IF(C1337=DATE(2026,12,1),64,0)-IF(C1337=DATE(2026,11,28),38,0)-IF(C1337=DATE(2026,12,2),26,0)))</f>
        <v/>
      </c>
      <c r="I1337" s="13">
        <f>IF(AND(C1337&gt;=DATE(2026,11,29),C1337&lt;=DATE(2026,12,1)),B1337*60,0)</f>
        <v/>
      </c>
      <c r="J1337" s="13">
        <f>IF(A1337="",0,B1337*(IF(C1337=DATE(2026,11,28),38,0)+IF(C1337=DATE(2026,12,1),38,0)+IF(C1337=DATE(2026,12,2),26,0)))</f>
        <v/>
      </c>
      <c r="K1337" s="13">
        <f>IF(C1337=Options!$B$9,B1337*12,0)</f>
        <v/>
      </c>
      <c r="L1337" s="13">
        <f>IF(C1337=Options!$B$9,B1337*Options!$Z$6,0)</f>
        <v/>
      </c>
      <c r="M1337" s="13" t="n">
        <v>0</v>
      </c>
      <c r="N1337" s="13">
        <f>SUM(E1337:M1337)</f>
        <v/>
      </c>
    </row>
    <row r="1338">
      <c r="A1338" s="5">
        <f>IF(AND(C1338&gt;=Options!$B$9,C1338&lt;=Options!$B$10),"Denver","")</f>
        <v/>
      </c>
      <c r="B1338" s="5">
        <f>IF(A1338="","",24)</f>
        <v/>
      </c>
      <c r="C1338" s="17" t="n">
        <v>46534</v>
      </c>
      <c r="D1338" s="5">
        <f>IF(A1338="","",IF(C1338=DATE(2026,11,29),"培训；注册午餐；早餐参数",IF(C1338=DATE(2026,11,30),"培训；注册午餐",IF(C1338=DATE(2026,12,1),"培训；注册午餐；机构晚餐",IF(C1338=Options!$B$9,"抵达；"&amp;IF(C1338=DATE(2026,11,28),"机构晚餐","无统一供餐"),IF(C1338=Options!$B$10,"返程；"&amp;IF(C1338=DATE(2026,12,2),"机构午餐","无统一供餐"),"差旅状态；无统一日程"))))))</f>
        <v/>
      </c>
      <c r="E1338" s="13">
        <f>IF(C1338=Options!$B$9,Options!$C$17,0)</f>
        <v/>
      </c>
      <c r="F1338" s="13">
        <f>IF(AND(A1338&lt;&gt;"",C1338&lt;Options!$B$10),B1338*Options!$X$6,0)</f>
        <v/>
      </c>
      <c r="G1338" s="13">
        <f>F1338*12%</f>
        <v/>
      </c>
      <c r="H1338" s="13">
        <f>IF(A1338="",0,B1338*(92*IF(OR(C1338=Options!$B$9,C1338=Options!$B$10),75%,100%)-IF(C1338=DATE(2026,11,29),26+IF(Options!$B$8="是",23,0),0)-IF(C1338=DATE(2026,11,30),26,0)-IF(C1338=DATE(2026,12,1),64,0)-IF(C1338=DATE(2026,11,28),38,0)-IF(C1338=DATE(2026,12,2),26,0)))</f>
        <v/>
      </c>
      <c r="I1338" s="13">
        <f>IF(AND(C1338&gt;=DATE(2026,11,29),C1338&lt;=DATE(2026,12,1)),B1338*60,0)</f>
        <v/>
      </c>
      <c r="J1338" s="13">
        <f>IF(A1338="",0,B1338*(IF(C1338=DATE(2026,11,28),38,0)+IF(C1338=DATE(2026,12,1),38,0)+IF(C1338=DATE(2026,12,2),26,0)))</f>
        <v/>
      </c>
      <c r="K1338" s="13">
        <f>IF(C1338=Options!$B$9,B1338*12,0)</f>
        <v/>
      </c>
      <c r="L1338" s="13">
        <f>IF(C1338=Options!$B$9,B1338*Options!$Z$6,0)</f>
        <v/>
      </c>
      <c r="M1338" s="13" t="n">
        <v>0</v>
      </c>
      <c r="N1338" s="13">
        <f>SUM(E1338:M1338)</f>
        <v/>
      </c>
    </row>
    <row r="1339">
      <c r="A1339" s="5">
        <f>IF(AND(C1339&gt;=Options!$B$9,C1339&lt;=Options!$B$10),"Denver","")</f>
        <v/>
      </c>
      <c r="B1339" s="5">
        <f>IF(A1339="","",24)</f>
        <v/>
      </c>
      <c r="C1339" s="17" t="n">
        <v>46535</v>
      </c>
      <c r="D1339" s="5">
        <f>IF(A1339="","",IF(C1339=DATE(2026,11,29),"培训；注册午餐；早餐参数",IF(C1339=DATE(2026,11,30),"培训；注册午餐",IF(C1339=DATE(2026,12,1),"培训；注册午餐；机构晚餐",IF(C1339=Options!$B$9,"抵达；"&amp;IF(C1339=DATE(2026,11,28),"机构晚餐","无统一供餐"),IF(C1339=Options!$B$10,"返程；"&amp;IF(C1339=DATE(2026,12,2),"机构午餐","无统一供餐"),"差旅状态；无统一日程"))))))</f>
        <v/>
      </c>
      <c r="E1339" s="13">
        <f>IF(C1339=Options!$B$9,Options!$C$17,0)</f>
        <v/>
      </c>
      <c r="F1339" s="13">
        <f>IF(AND(A1339&lt;&gt;"",C1339&lt;Options!$B$10),B1339*Options!$X$6,0)</f>
        <v/>
      </c>
      <c r="G1339" s="13">
        <f>F1339*12%</f>
        <v/>
      </c>
      <c r="H1339" s="13">
        <f>IF(A1339="",0,B1339*(92*IF(OR(C1339=Options!$B$9,C1339=Options!$B$10),75%,100%)-IF(C1339=DATE(2026,11,29),26+IF(Options!$B$8="是",23,0),0)-IF(C1339=DATE(2026,11,30),26,0)-IF(C1339=DATE(2026,12,1),64,0)-IF(C1339=DATE(2026,11,28),38,0)-IF(C1339=DATE(2026,12,2),26,0)))</f>
        <v/>
      </c>
      <c r="I1339" s="13">
        <f>IF(AND(C1339&gt;=DATE(2026,11,29),C1339&lt;=DATE(2026,12,1)),B1339*60,0)</f>
        <v/>
      </c>
      <c r="J1339" s="13">
        <f>IF(A1339="",0,B1339*(IF(C1339=DATE(2026,11,28),38,0)+IF(C1339=DATE(2026,12,1),38,0)+IF(C1339=DATE(2026,12,2),26,0)))</f>
        <v/>
      </c>
      <c r="K1339" s="13">
        <f>IF(C1339=Options!$B$9,B1339*12,0)</f>
        <v/>
      </c>
      <c r="L1339" s="13">
        <f>IF(C1339=Options!$B$9,B1339*Options!$Z$6,0)</f>
        <v/>
      </c>
      <c r="M1339" s="13" t="n">
        <v>0</v>
      </c>
      <c r="N1339" s="13">
        <f>SUM(E1339:M1339)</f>
        <v/>
      </c>
    </row>
    <row r="1340">
      <c r="A1340" s="5">
        <f>IF(AND(C1340&gt;=Options!$B$9,C1340&lt;=Options!$B$10),"Denver","")</f>
        <v/>
      </c>
      <c r="B1340" s="5">
        <f>IF(A1340="","",24)</f>
        <v/>
      </c>
      <c r="C1340" s="17" t="n">
        <v>46536</v>
      </c>
      <c r="D1340" s="5">
        <f>IF(A1340="","",IF(C1340=DATE(2026,11,29),"培训；注册午餐；早餐参数",IF(C1340=DATE(2026,11,30),"培训；注册午餐",IF(C1340=DATE(2026,12,1),"培训；注册午餐；机构晚餐",IF(C1340=Options!$B$9,"抵达；"&amp;IF(C1340=DATE(2026,11,28),"机构晚餐","无统一供餐"),IF(C1340=Options!$B$10,"返程；"&amp;IF(C1340=DATE(2026,12,2),"机构午餐","无统一供餐"),"差旅状态；无统一日程"))))))</f>
        <v/>
      </c>
      <c r="E1340" s="13">
        <f>IF(C1340=Options!$B$9,Options!$C$17,0)</f>
        <v/>
      </c>
      <c r="F1340" s="13">
        <f>IF(AND(A1340&lt;&gt;"",C1340&lt;Options!$B$10),B1340*Options!$X$6,0)</f>
        <v/>
      </c>
      <c r="G1340" s="13">
        <f>F1340*12%</f>
        <v/>
      </c>
      <c r="H1340" s="13">
        <f>IF(A1340="",0,B1340*(92*IF(OR(C1340=Options!$B$9,C1340=Options!$B$10),75%,100%)-IF(C1340=DATE(2026,11,29),26+IF(Options!$B$8="是",23,0),0)-IF(C1340=DATE(2026,11,30),26,0)-IF(C1340=DATE(2026,12,1),64,0)-IF(C1340=DATE(2026,11,28),38,0)-IF(C1340=DATE(2026,12,2),26,0)))</f>
        <v/>
      </c>
      <c r="I1340" s="13">
        <f>IF(AND(C1340&gt;=DATE(2026,11,29),C1340&lt;=DATE(2026,12,1)),B1340*60,0)</f>
        <v/>
      </c>
      <c r="J1340" s="13">
        <f>IF(A1340="",0,B1340*(IF(C1340=DATE(2026,11,28),38,0)+IF(C1340=DATE(2026,12,1),38,0)+IF(C1340=DATE(2026,12,2),26,0)))</f>
        <v/>
      </c>
      <c r="K1340" s="13">
        <f>IF(C1340=Options!$B$9,B1340*12,0)</f>
        <v/>
      </c>
      <c r="L1340" s="13">
        <f>IF(C1340=Options!$B$9,B1340*Options!$Z$6,0)</f>
        <v/>
      </c>
      <c r="M1340" s="13" t="n">
        <v>0</v>
      </c>
      <c r="N1340" s="13">
        <f>SUM(E1340:M1340)</f>
        <v/>
      </c>
    </row>
    <row r="1341">
      <c r="A1341" s="5">
        <f>IF(AND(C1341&gt;=Options!$B$9,C1341&lt;=Options!$B$10),"Denver","")</f>
        <v/>
      </c>
      <c r="B1341" s="5">
        <f>IF(A1341="","",24)</f>
        <v/>
      </c>
      <c r="C1341" s="17" t="n">
        <v>46537</v>
      </c>
      <c r="D1341" s="5">
        <f>IF(A1341="","",IF(C1341=DATE(2026,11,29),"培训；注册午餐；早餐参数",IF(C1341=DATE(2026,11,30),"培训；注册午餐",IF(C1341=DATE(2026,12,1),"培训；注册午餐；机构晚餐",IF(C1341=Options!$B$9,"抵达；"&amp;IF(C1341=DATE(2026,11,28),"机构晚餐","无统一供餐"),IF(C1341=Options!$B$10,"返程；"&amp;IF(C1341=DATE(2026,12,2),"机构午餐","无统一供餐"),"差旅状态；无统一日程"))))))</f>
        <v/>
      </c>
      <c r="E1341" s="13">
        <f>IF(C1341=Options!$B$9,Options!$C$17,0)</f>
        <v/>
      </c>
      <c r="F1341" s="13">
        <f>IF(AND(A1341&lt;&gt;"",C1341&lt;Options!$B$10),B1341*Options!$X$6,0)</f>
        <v/>
      </c>
      <c r="G1341" s="13">
        <f>F1341*12%</f>
        <v/>
      </c>
      <c r="H1341" s="13">
        <f>IF(A1341="",0,B1341*(92*IF(OR(C1341=Options!$B$9,C1341=Options!$B$10),75%,100%)-IF(C1341=DATE(2026,11,29),26+IF(Options!$B$8="是",23,0),0)-IF(C1341=DATE(2026,11,30),26,0)-IF(C1341=DATE(2026,12,1),64,0)-IF(C1341=DATE(2026,11,28),38,0)-IF(C1341=DATE(2026,12,2),26,0)))</f>
        <v/>
      </c>
      <c r="I1341" s="13">
        <f>IF(AND(C1341&gt;=DATE(2026,11,29),C1341&lt;=DATE(2026,12,1)),B1341*60,0)</f>
        <v/>
      </c>
      <c r="J1341" s="13">
        <f>IF(A1341="",0,B1341*(IF(C1341=DATE(2026,11,28),38,0)+IF(C1341=DATE(2026,12,1),38,0)+IF(C1341=DATE(2026,12,2),26,0)))</f>
        <v/>
      </c>
      <c r="K1341" s="13">
        <f>IF(C1341=Options!$B$9,B1341*12,0)</f>
        <v/>
      </c>
      <c r="L1341" s="13">
        <f>IF(C1341=Options!$B$9,B1341*Options!$Z$6,0)</f>
        <v/>
      </c>
      <c r="M1341" s="13" t="n">
        <v>0</v>
      </c>
      <c r="N1341" s="13">
        <f>SUM(E1341:M1341)</f>
        <v/>
      </c>
    </row>
    <row r="1342">
      <c r="A1342" s="5">
        <f>IF(AND(C1342&gt;=Options!$B$9,C1342&lt;=Options!$B$10),"Denver","")</f>
        <v/>
      </c>
      <c r="B1342" s="5">
        <f>IF(A1342="","",24)</f>
        <v/>
      </c>
      <c r="C1342" s="17" t="n">
        <v>46538</v>
      </c>
      <c r="D1342" s="5">
        <f>IF(A1342="","",IF(C1342=DATE(2026,11,29),"培训；注册午餐；早餐参数",IF(C1342=DATE(2026,11,30),"培训；注册午餐",IF(C1342=DATE(2026,12,1),"培训；注册午餐；机构晚餐",IF(C1342=Options!$B$9,"抵达；"&amp;IF(C1342=DATE(2026,11,28),"机构晚餐","无统一供餐"),IF(C1342=Options!$B$10,"返程；"&amp;IF(C1342=DATE(2026,12,2),"机构午餐","无统一供餐"),"差旅状态；无统一日程"))))))</f>
        <v/>
      </c>
      <c r="E1342" s="13">
        <f>IF(C1342=Options!$B$9,Options!$C$17,0)</f>
        <v/>
      </c>
      <c r="F1342" s="13">
        <f>IF(AND(A1342&lt;&gt;"",C1342&lt;Options!$B$10),B1342*Options!$X$6,0)</f>
        <v/>
      </c>
      <c r="G1342" s="13">
        <f>F1342*12%</f>
        <v/>
      </c>
      <c r="H1342" s="13">
        <f>IF(A1342="",0,B1342*(92*IF(OR(C1342=Options!$B$9,C1342=Options!$B$10),75%,100%)-IF(C1342=DATE(2026,11,29),26+IF(Options!$B$8="是",23,0),0)-IF(C1342=DATE(2026,11,30),26,0)-IF(C1342=DATE(2026,12,1),64,0)-IF(C1342=DATE(2026,11,28),38,0)-IF(C1342=DATE(2026,12,2),26,0)))</f>
        <v/>
      </c>
      <c r="I1342" s="13">
        <f>IF(AND(C1342&gt;=DATE(2026,11,29),C1342&lt;=DATE(2026,12,1)),B1342*60,0)</f>
        <v/>
      </c>
      <c r="J1342" s="13">
        <f>IF(A1342="",0,B1342*(IF(C1342=DATE(2026,11,28),38,0)+IF(C1342=DATE(2026,12,1),38,0)+IF(C1342=DATE(2026,12,2),26,0)))</f>
        <v/>
      </c>
      <c r="K1342" s="13">
        <f>IF(C1342=Options!$B$9,B1342*12,0)</f>
        <v/>
      </c>
      <c r="L1342" s="13">
        <f>IF(C1342=Options!$B$9,B1342*Options!$Z$6,0)</f>
        <v/>
      </c>
      <c r="M1342" s="13" t="n">
        <v>0</v>
      </c>
      <c r="N1342" s="13">
        <f>SUM(E1342:M1342)</f>
        <v/>
      </c>
    </row>
    <row r="1343">
      <c r="A1343" s="5">
        <f>IF(AND(C1343&gt;=Options!$B$9,C1343&lt;=Options!$B$10),"Denver","")</f>
        <v/>
      </c>
      <c r="B1343" s="5">
        <f>IF(A1343="","",24)</f>
        <v/>
      </c>
      <c r="C1343" s="17" t="n">
        <v>46539</v>
      </c>
      <c r="D1343" s="5">
        <f>IF(A1343="","",IF(C1343=DATE(2026,11,29),"培训；注册午餐；早餐参数",IF(C1343=DATE(2026,11,30),"培训；注册午餐",IF(C1343=DATE(2026,12,1),"培训；注册午餐；机构晚餐",IF(C1343=Options!$B$9,"抵达；"&amp;IF(C1343=DATE(2026,11,28),"机构晚餐","无统一供餐"),IF(C1343=Options!$B$10,"返程；"&amp;IF(C1343=DATE(2026,12,2),"机构午餐","无统一供餐"),"差旅状态；无统一日程"))))))</f>
        <v/>
      </c>
      <c r="E1343" s="13">
        <f>IF(C1343=Options!$B$9,Options!$C$17,0)</f>
        <v/>
      </c>
      <c r="F1343" s="13">
        <f>IF(AND(A1343&lt;&gt;"",C1343&lt;Options!$B$10),B1343*Options!$X$6,0)</f>
        <v/>
      </c>
      <c r="G1343" s="13">
        <f>F1343*12%</f>
        <v/>
      </c>
      <c r="H1343" s="13">
        <f>IF(A1343="",0,B1343*(92*IF(OR(C1343=Options!$B$9,C1343=Options!$B$10),75%,100%)-IF(C1343=DATE(2026,11,29),26+IF(Options!$B$8="是",23,0),0)-IF(C1343=DATE(2026,11,30),26,0)-IF(C1343=DATE(2026,12,1),64,0)-IF(C1343=DATE(2026,11,28),38,0)-IF(C1343=DATE(2026,12,2),26,0)))</f>
        <v/>
      </c>
      <c r="I1343" s="13">
        <f>IF(AND(C1343&gt;=DATE(2026,11,29),C1343&lt;=DATE(2026,12,1)),B1343*60,0)</f>
        <v/>
      </c>
      <c r="J1343" s="13">
        <f>IF(A1343="",0,B1343*(IF(C1343=DATE(2026,11,28),38,0)+IF(C1343=DATE(2026,12,1),38,0)+IF(C1343=DATE(2026,12,2),26,0)))</f>
        <v/>
      </c>
      <c r="K1343" s="13">
        <f>IF(C1343=Options!$B$9,B1343*12,0)</f>
        <v/>
      </c>
      <c r="L1343" s="13">
        <f>IF(C1343=Options!$B$9,B1343*Options!$Z$6,0)</f>
        <v/>
      </c>
      <c r="M1343" s="13" t="n">
        <v>0</v>
      </c>
      <c r="N1343" s="13">
        <f>SUM(E1343:M1343)</f>
        <v/>
      </c>
    </row>
    <row r="1344">
      <c r="A1344" s="5">
        <f>IF(AND(C1344&gt;=Options!$B$9,C1344&lt;=Options!$B$10),"Denver","")</f>
        <v/>
      </c>
      <c r="B1344" s="5">
        <f>IF(A1344="","",24)</f>
        <v/>
      </c>
      <c r="C1344" s="17" t="n">
        <v>46540</v>
      </c>
      <c r="D1344" s="5">
        <f>IF(A1344="","",IF(C1344=DATE(2026,11,29),"培训；注册午餐；早餐参数",IF(C1344=DATE(2026,11,30),"培训；注册午餐",IF(C1344=DATE(2026,12,1),"培训；注册午餐；机构晚餐",IF(C1344=Options!$B$9,"抵达；"&amp;IF(C1344=DATE(2026,11,28),"机构晚餐","无统一供餐"),IF(C1344=Options!$B$10,"返程；"&amp;IF(C1344=DATE(2026,12,2),"机构午餐","无统一供餐"),"差旅状态；无统一日程"))))))</f>
        <v/>
      </c>
      <c r="E1344" s="13">
        <f>IF(C1344=Options!$B$9,Options!$C$17,0)</f>
        <v/>
      </c>
      <c r="F1344" s="13">
        <f>IF(AND(A1344&lt;&gt;"",C1344&lt;Options!$B$10),B1344*Options!$X$6,0)</f>
        <v/>
      </c>
      <c r="G1344" s="13">
        <f>F1344*12%</f>
        <v/>
      </c>
      <c r="H1344" s="13">
        <f>IF(A1344="",0,B1344*(92*IF(OR(C1344=Options!$B$9,C1344=Options!$B$10),75%,100%)-IF(C1344=DATE(2026,11,29),26+IF(Options!$B$8="是",23,0),0)-IF(C1344=DATE(2026,11,30),26,0)-IF(C1344=DATE(2026,12,1),64,0)-IF(C1344=DATE(2026,11,28),38,0)-IF(C1344=DATE(2026,12,2),26,0)))</f>
        <v/>
      </c>
      <c r="I1344" s="13">
        <f>IF(AND(C1344&gt;=DATE(2026,11,29),C1344&lt;=DATE(2026,12,1)),B1344*60,0)</f>
        <v/>
      </c>
      <c r="J1344" s="13">
        <f>IF(A1344="",0,B1344*(IF(C1344=DATE(2026,11,28),38,0)+IF(C1344=DATE(2026,12,1),38,0)+IF(C1344=DATE(2026,12,2),26,0)))</f>
        <v/>
      </c>
      <c r="K1344" s="13">
        <f>IF(C1344=Options!$B$9,B1344*12,0)</f>
        <v/>
      </c>
      <c r="L1344" s="13">
        <f>IF(C1344=Options!$B$9,B1344*Options!$Z$6,0)</f>
        <v/>
      </c>
      <c r="M1344" s="13" t="n">
        <v>0</v>
      </c>
      <c r="N1344" s="13">
        <f>SUM(E1344:M1344)</f>
        <v/>
      </c>
    </row>
    <row r="1345">
      <c r="A1345" s="5">
        <f>IF(AND(C1345&gt;=Options!$B$9,C1345&lt;=Options!$B$10),"Denver","")</f>
        <v/>
      </c>
      <c r="B1345" s="5">
        <f>IF(A1345="","",24)</f>
        <v/>
      </c>
      <c r="C1345" s="17" t="n">
        <v>46541</v>
      </c>
      <c r="D1345" s="5">
        <f>IF(A1345="","",IF(C1345=DATE(2026,11,29),"培训；注册午餐；早餐参数",IF(C1345=DATE(2026,11,30),"培训；注册午餐",IF(C1345=DATE(2026,12,1),"培训；注册午餐；机构晚餐",IF(C1345=Options!$B$9,"抵达；"&amp;IF(C1345=DATE(2026,11,28),"机构晚餐","无统一供餐"),IF(C1345=Options!$B$10,"返程；"&amp;IF(C1345=DATE(2026,12,2),"机构午餐","无统一供餐"),"差旅状态；无统一日程"))))))</f>
        <v/>
      </c>
      <c r="E1345" s="13">
        <f>IF(C1345=Options!$B$9,Options!$C$17,0)</f>
        <v/>
      </c>
      <c r="F1345" s="13">
        <f>IF(AND(A1345&lt;&gt;"",C1345&lt;Options!$B$10),B1345*Options!$X$6,0)</f>
        <v/>
      </c>
      <c r="G1345" s="13">
        <f>F1345*12%</f>
        <v/>
      </c>
      <c r="H1345" s="13">
        <f>IF(A1345="",0,B1345*(92*IF(OR(C1345=Options!$B$9,C1345=Options!$B$10),75%,100%)-IF(C1345=DATE(2026,11,29),26+IF(Options!$B$8="是",23,0),0)-IF(C1345=DATE(2026,11,30),26,0)-IF(C1345=DATE(2026,12,1),64,0)-IF(C1345=DATE(2026,11,28),38,0)-IF(C1345=DATE(2026,12,2),26,0)))</f>
        <v/>
      </c>
      <c r="I1345" s="13">
        <f>IF(AND(C1345&gt;=DATE(2026,11,29),C1345&lt;=DATE(2026,12,1)),B1345*60,0)</f>
        <v/>
      </c>
      <c r="J1345" s="13">
        <f>IF(A1345="",0,B1345*(IF(C1345=DATE(2026,11,28),38,0)+IF(C1345=DATE(2026,12,1),38,0)+IF(C1345=DATE(2026,12,2),26,0)))</f>
        <v/>
      </c>
      <c r="K1345" s="13">
        <f>IF(C1345=Options!$B$9,B1345*12,0)</f>
        <v/>
      </c>
      <c r="L1345" s="13">
        <f>IF(C1345=Options!$B$9,B1345*Options!$Z$6,0)</f>
        <v/>
      </c>
      <c r="M1345" s="13" t="n">
        <v>0</v>
      </c>
      <c r="N1345" s="13">
        <f>SUM(E1345:M1345)</f>
        <v/>
      </c>
    </row>
    <row r="1346">
      <c r="A1346" s="5">
        <f>IF(AND(C1346&gt;=Options!$B$9,C1346&lt;=Options!$B$10),"Denver","")</f>
        <v/>
      </c>
      <c r="B1346" s="5">
        <f>IF(A1346="","",24)</f>
        <v/>
      </c>
      <c r="C1346" s="17" t="n">
        <v>46542</v>
      </c>
      <c r="D1346" s="5">
        <f>IF(A1346="","",IF(C1346=DATE(2026,11,29),"培训；注册午餐；早餐参数",IF(C1346=DATE(2026,11,30),"培训；注册午餐",IF(C1346=DATE(2026,12,1),"培训；注册午餐；机构晚餐",IF(C1346=Options!$B$9,"抵达；"&amp;IF(C1346=DATE(2026,11,28),"机构晚餐","无统一供餐"),IF(C1346=Options!$B$10,"返程；"&amp;IF(C1346=DATE(2026,12,2),"机构午餐","无统一供餐"),"差旅状态；无统一日程"))))))</f>
        <v/>
      </c>
      <c r="E1346" s="13">
        <f>IF(C1346=Options!$B$9,Options!$C$17,0)</f>
        <v/>
      </c>
      <c r="F1346" s="13">
        <f>IF(AND(A1346&lt;&gt;"",C1346&lt;Options!$B$10),B1346*Options!$X$6,0)</f>
        <v/>
      </c>
      <c r="G1346" s="13">
        <f>F1346*12%</f>
        <v/>
      </c>
      <c r="H1346" s="13">
        <f>IF(A1346="",0,B1346*(92*IF(OR(C1346=Options!$B$9,C1346=Options!$B$10),75%,100%)-IF(C1346=DATE(2026,11,29),26+IF(Options!$B$8="是",23,0),0)-IF(C1346=DATE(2026,11,30),26,0)-IF(C1346=DATE(2026,12,1),64,0)-IF(C1346=DATE(2026,11,28),38,0)-IF(C1346=DATE(2026,12,2),26,0)))</f>
        <v/>
      </c>
      <c r="I1346" s="13">
        <f>IF(AND(C1346&gt;=DATE(2026,11,29),C1346&lt;=DATE(2026,12,1)),B1346*60,0)</f>
        <v/>
      </c>
      <c r="J1346" s="13">
        <f>IF(A1346="",0,B1346*(IF(C1346=DATE(2026,11,28),38,0)+IF(C1346=DATE(2026,12,1),38,0)+IF(C1346=DATE(2026,12,2),26,0)))</f>
        <v/>
      </c>
      <c r="K1346" s="13">
        <f>IF(C1346=Options!$B$9,B1346*12,0)</f>
        <v/>
      </c>
      <c r="L1346" s="13">
        <f>IF(C1346=Options!$B$9,B1346*Options!$Z$6,0)</f>
        <v/>
      </c>
      <c r="M1346" s="13" t="n">
        <v>0</v>
      </c>
      <c r="N1346" s="13">
        <f>SUM(E1346:M1346)</f>
        <v/>
      </c>
    </row>
    <row r="1347">
      <c r="A1347" s="5">
        <f>IF(AND(C1347&gt;=Options!$B$9,C1347&lt;=Options!$B$10),"Denver","")</f>
        <v/>
      </c>
      <c r="B1347" s="5">
        <f>IF(A1347="","",24)</f>
        <v/>
      </c>
      <c r="C1347" s="17" t="n">
        <v>46543</v>
      </c>
      <c r="D1347" s="5">
        <f>IF(A1347="","",IF(C1347=DATE(2026,11,29),"培训；注册午餐；早餐参数",IF(C1347=DATE(2026,11,30),"培训；注册午餐",IF(C1347=DATE(2026,12,1),"培训；注册午餐；机构晚餐",IF(C1347=Options!$B$9,"抵达；"&amp;IF(C1347=DATE(2026,11,28),"机构晚餐","无统一供餐"),IF(C1347=Options!$B$10,"返程；"&amp;IF(C1347=DATE(2026,12,2),"机构午餐","无统一供餐"),"差旅状态；无统一日程"))))))</f>
        <v/>
      </c>
      <c r="E1347" s="13">
        <f>IF(C1347=Options!$B$9,Options!$C$17,0)</f>
        <v/>
      </c>
      <c r="F1347" s="13">
        <f>IF(AND(A1347&lt;&gt;"",C1347&lt;Options!$B$10),B1347*Options!$X$6,0)</f>
        <v/>
      </c>
      <c r="G1347" s="13">
        <f>F1347*12%</f>
        <v/>
      </c>
      <c r="H1347" s="13">
        <f>IF(A1347="",0,B1347*(92*IF(OR(C1347=Options!$B$9,C1347=Options!$B$10),75%,100%)-IF(C1347=DATE(2026,11,29),26+IF(Options!$B$8="是",23,0),0)-IF(C1347=DATE(2026,11,30),26,0)-IF(C1347=DATE(2026,12,1),64,0)-IF(C1347=DATE(2026,11,28),38,0)-IF(C1347=DATE(2026,12,2),26,0)))</f>
        <v/>
      </c>
      <c r="I1347" s="13">
        <f>IF(AND(C1347&gt;=DATE(2026,11,29),C1347&lt;=DATE(2026,12,1)),B1347*60,0)</f>
        <v/>
      </c>
      <c r="J1347" s="13">
        <f>IF(A1347="",0,B1347*(IF(C1347=DATE(2026,11,28),38,0)+IF(C1347=DATE(2026,12,1),38,0)+IF(C1347=DATE(2026,12,2),26,0)))</f>
        <v/>
      </c>
      <c r="K1347" s="13">
        <f>IF(C1347=Options!$B$9,B1347*12,0)</f>
        <v/>
      </c>
      <c r="L1347" s="13">
        <f>IF(C1347=Options!$B$9,B1347*Options!$Z$6,0)</f>
        <v/>
      </c>
      <c r="M1347" s="13" t="n">
        <v>0</v>
      </c>
      <c r="N1347" s="13">
        <f>SUM(E1347:M1347)</f>
        <v/>
      </c>
    </row>
    <row r="1348">
      <c r="A1348" s="5">
        <f>IF(AND(C1348&gt;=Options!$B$9,C1348&lt;=Options!$B$10),"Denver","")</f>
        <v/>
      </c>
      <c r="B1348" s="5">
        <f>IF(A1348="","",24)</f>
        <v/>
      </c>
      <c r="C1348" s="17" t="n">
        <v>46544</v>
      </c>
      <c r="D1348" s="5">
        <f>IF(A1348="","",IF(C1348=DATE(2026,11,29),"培训；注册午餐；早餐参数",IF(C1348=DATE(2026,11,30),"培训；注册午餐",IF(C1348=DATE(2026,12,1),"培训；注册午餐；机构晚餐",IF(C1348=Options!$B$9,"抵达；"&amp;IF(C1348=DATE(2026,11,28),"机构晚餐","无统一供餐"),IF(C1348=Options!$B$10,"返程；"&amp;IF(C1348=DATE(2026,12,2),"机构午餐","无统一供餐"),"差旅状态；无统一日程"))))))</f>
        <v/>
      </c>
      <c r="E1348" s="13">
        <f>IF(C1348=Options!$B$9,Options!$C$17,0)</f>
        <v/>
      </c>
      <c r="F1348" s="13">
        <f>IF(AND(A1348&lt;&gt;"",C1348&lt;Options!$B$10),B1348*Options!$X$6,0)</f>
        <v/>
      </c>
      <c r="G1348" s="13">
        <f>F1348*12%</f>
        <v/>
      </c>
      <c r="H1348" s="13">
        <f>IF(A1348="",0,B1348*(92*IF(OR(C1348=Options!$B$9,C1348=Options!$B$10),75%,100%)-IF(C1348=DATE(2026,11,29),26+IF(Options!$B$8="是",23,0),0)-IF(C1348=DATE(2026,11,30),26,0)-IF(C1348=DATE(2026,12,1),64,0)-IF(C1348=DATE(2026,11,28),38,0)-IF(C1348=DATE(2026,12,2),26,0)))</f>
        <v/>
      </c>
      <c r="I1348" s="13">
        <f>IF(AND(C1348&gt;=DATE(2026,11,29),C1348&lt;=DATE(2026,12,1)),B1348*60,0)</f>
        <v/>
      </c>
      <c r="J1348" s="13">
        <f>IF(A1348="",0,B1348*(IF(C1348=DATE(2026,11,28),38,0)+IF(C1348=DATE(2026,12,1),38,0)+IF(C1348=DATE(2026,12,2),26,0)))</f>
        <v/>
      </c>
      <c r="K1348" s="13">
        <f>IF(C1348=Options!$B$9,B1348*12,0)</f>
        <v/>
      </c>
      <c r="L1348" s="13">
        <f>IF(C1348=Options!$B$9,B1348*Options!$Z$6,0)</f>
        <v/>
      </c>
      <c r="M1348" s="13" t="n">
        <v>0</v>
      </c>
      <c r="N1348" s="13">
        <f>SUM(E1348:M1348)</f>
        <v/>
      </c>
    </row>
    <row r="1349">
      <c r="A1349" s="5">
        <f>IF(AND(C1349&gt;=Options!$B$9,C1349&lt;=Options!$B$10),"Denver","")</f>
        <v/>
      </c>
      <c r="B1349" s="5">
        <f>IF(A1349="","",24)</f>
        <v/>
      </c>
      <c r="C1349" s="17" t="n">
        <v>46545</v>
      </c>
      <c r="D1349" s="5">
        <f>IF(A1349="","",IF(C1349=DATE(2026,11,29),"培训；注册午餐；早餐参数",IF(C1349=DATE(2026,11,30),"培训；注册午餐",IF(C1349=DATE(2026,12,1),"培训；注册午餐；机构晚餐",IF(C1349=Options!$B$9,"抵达；"&amp;IF(C1349=DATE(2026,11,28),"机构晚餐","无统一供餐"),IF(C1349=Options!$B$10,"返程；"&amp;IF(C1349=DATE(2026,12,2),"机构午餐","无统一供餐"),"差旅状态；无统一日程"))))))</f>
        <v/>
      </c>
      <c r="E1349" s="13">
        <f>IF(C1349=Options!$B$9,Options!$C$17,0)</f>
        <v/>
      </c>
      <c r="F1349" s="13">
        <f>IF(AND(A1349&lt;&gt;"",C1349&lt;Options!$B$10),B1349*Options!$X$6,0)</f>
        <v/>
      </c>
      <c r="G1349" s="13">
        <f>F1349*12%</f>
        <v/>
      </c>
      <c r="H1349" s="13">
        <f>IF(A1349="",0,B1349*(92*IF(OR(C1349=Options!$B$9,C1349=Options!$B$10),75%,100%)-IF(C1349=DATE(2026,11,29),26+IF(Options!$B$8="是",23,0),0)-IF(C1349=DATE(2026,11,30),26,0)-IF(C1349=DATE(2026,12,1),64,0)-IF(C1349=DATE(2026,11,28),38,0)-IF(C1349=DATE(2026,12,2),26,0)))</f>
        <v/>
      </c>
      <c r="I1349" s="13">
        <f>IF(AND(C1349&gt;=DATE(2026,11,29),C1349&lt;=DATE(2026,12,1)),B1349*60,0)</f>
        <v/>
      </c>
      <c r="J1349" s="13">
        <f>IF(A1349="",0,B1349*(IF(C1349=DATE(2026,11,28),38,0)+IF(C1349=DATE(2026,12,1),38,0)+IF(C1349=DATE(2026,12,2),26,0)))</f>
        <v/>
      </c>
      <c r="K1349" s="13">
        <f>IF(C1349=Options!$B$9,B1349*12,0)</f>
        <v/>
      </c>
      <c r="L1349" s="13">
        <f>IF(C1349=Options!$B$9,B1349*Options!$Z$6,0)</f>
        <v/>
      </c>
      <c r="M1349" s="13" t="n">
        <v>0</v>
      </c>
      <c r="N1349" s="13">
        <f>SUM(E1349:M1349)</f>
        <v/>
      </c>
    </row>
    <row r="1350">
      <c r="A1350" s="5">
        <f>IF(AND(C1350&gt;=Options!$B$9,C1350&lt;=Options!$B$10),"Denver","")</f>
        <v/>
      </c>
      <c r="B1350" s="5">
        <f>IF(A1350="","",24)</f>
        <v/>
      </c>
      <c r="C1350" s="17" t="n">
        <v>46546</v>
      </c>
      <c r="D1350" s="5">
        <f>IF(A1350="","",IF(C1350=DATE(2026,11,29),"培训；注册午餐；早餐参数",IF(C1350=DATE(2026,11,30),"培训；注册午餐",IF(C1350=DATE(2026,12,1),"培训；注册午餐；机构晚餐",IF(C1350=Options!$B$9,"抵达；"&amp;IF(C1350=DATE(2026,11,28),"机构晚餐","无统一供餐"),IF(C1350=Options!$B$10,"返程；"&amp;IF(C1350=DATE(2026,12,2),"机构午餐","无统一供餐"),"差旅状态；无统一日程"))))))</f>
        <v/>
      </c>
      <c r="E1350" s="13">
        <f>IF(C1350=Options!$B$9,Options!$C$17,0)</f>
        <v/>
      </c>
      <c r="F1350" s="13">
        <f>IF(AND(A1350&lt;&gt;"",C1350&lt;Options!$B$10),B1350*Options!$X$6,0)</f>
        <v/>
      </c>
      <c r="G1350" s="13">
        <f>F1350*12%</f>
        <v/>
      </c>
      <c r="H1350" s="13">
        <f>IF(A1350="",0,B1350*(92*IF(OR(C1350=Options!$B$9,C1350=Options!$B$10),75%,100%)-IF(C1350=DATE(2026,11,29),26+IF(Options!$B$8="是",23,0),0)-IF(C1350=DATE(2026,11,30),26,0)-IF(C1350=DATE(2026,12,1),64,0)-IF(C1350=DATE(2026,11,28),38,0)-IF(C1350=DATE(2026,12,2),26,0)))</f>
        <v/>
      </c>
      <c r="I1350" s="13">
        <f>IF(AND(C1350&gt;=DATE(2026,11,29),C1350&lt;=DATE(2026,12,1)),B1350*60,0)</f>
        <v/>
      </c>
      <c r="J1350" s="13">
        <f>IF(A1350="",0,B1350*(IF(C1350=DATE(2026,11,28),38,0)+IF(C1350=DATE(2026,12,1),38,0)+IF(C1350=DATE(2026,12,2),26,0)))</f>
        <v/>
      </c>
      <c r="K1350" s="13">
        <f>IF(C1350=Options!$B$9,B1350*12,0)</f>
        <v/>
      </c>
      <c r="L1350" s="13">
        <f>IF(C1350=Options!$B$9,B1350*Options!$Z$6,0)</f>
        <v/>
      </c>
      <c r="M1350" s="13" t="n">
        <v>0</v>
      </c>
      <c r="N1350" s="13">
        <f>SUM(E1350:M1350)</f>
        <v/>
      </c>
    </row>
    <row r="1351">
      <c r="A1351" s="5">
        <f>IF(AND(C1351&gt;=Options!$B$9,C1351&lt;=Options!$B$10),"Denver","")</f>
        <v/>
      </c>
      <c r="B1351" s="5">
        <f>IF(A1351="","",24)</f>
        <v/>
      </c>
      <c r="C1351" s="17" t="n">
        <v>46547</v>
      </c>
      <c r="D1351" s="5">
        <f>IF(A1351="","",IF(C1351=DATE(2026,11,29),"培训；注册午餐；早餐参数",IF(C1351=DATE(2026,11,30),"培训；注册午餐",IF(C1351=DATE(2026,12,1),"培训；注册午餐；机构晚餐",IF(C1351=Options!$B$9,"抵达；"&amp;IF(C1351=DATE(2026,11,28),"机构晚餐","无统一供餐"),IF(C1351=Options!$B$10,"返程；"&amp;IF(C1351=DATE(2026,12,2),"机构午餐","无统一供餐"),"差旅状态；无统一日程"))))))</f>
        <v/>
      </c>
      <c r="E1351" s="13">
        <f>IF(C1351=Options!$B$9,Options!$C$17,0)</f>
        <v/>
      </c>
      <c r="F1351" s="13">
        <f>IF(AND(A1351&lt;&gt;"",C1351&lt;Options!$B$10),B1351*Options!$X$6,0)</f>
        <v/>
      </c>
      <c r="G1351" s="13">
        <f>F1351*12%</f>
        <v/>
      </c>
      <c r="H1351" s="13">
        <f>IF(A1351="",0,B1351*(92*IF(OR(C1351=Options!$B$9,C1351=Options!$B$10),75%,100%)-IF(C1351=DATE(2026,11,29),26+IF(Options!$B$8="是",23,0),0)-IF(C1351=DATE(2026,11,30),26,0)-IF(C1351=DATE(2026,12,1),64,0)-IF(C1351=DATE(2026,11,28),38,0)-IF(C1351=DATE(2026,12,2),26,0)))</f>
        <v/>
      </c>
      <c r="I1351" s="13">
        <f>IF(AND(C1351&gt;=DATE(2026,11,29),C1351&lt;=DATE(2026,12,1)),B1351*60,0)</f>
        <v/>
      </c>
      <c r="J1351" s="13">
        <f>IF(A1351="",0,B1351*(IF(C1351=DATE(2026,11,28),38,0)+IF(C1351=DATE(2026,12,1),38,0)+IF(C1351=DATE(2026,12,2),26,0)))</f>
        <v/>
      </c>
      <c r="K1351" s="13">
        <f>IF(C1351=Options!$B$9,B1351*12,0)</f>
        <v/>
      </c>
      <c r="L1351" s="13">
        <f>IF(C1351=Options!$B$9,B1351*Options!$Z$6,0)</f>
        <v/>
      </c>
      <c r="M1351" s="13" t="n">
        <v>0</v>
      </c>
      <c r="N1351" s="13">
        <f>SUM(E1351:M1351)</f>
        <v/>
      </c>
    </row>
    <row r="1352">
      <c r="A1352" s="5">
        <f>IF(AND(C1352&gt;=Options!$B$9,C1352&lt;=Options!$B$10),"Denver","")</f>
        <v/>
      </c>
      <c r="B1352" s="5">
        <f>IF(A1352="","",24)</f>
        <v/>
      </c>
      <c r="C1352" s="17" t="n">
        <v>46548</v>
      </c>
      <c r="D1352" s="5">
        <f>IF(A1352="","",IF(C1352=DATE(2026,11,29),"培训；注册午餐；早餐参数",IF(C1352=DATE(2026,11,30),"培训；注册午餐",IF(C1352=DATE(2026,12,1),"培训；注册午餐；机构晚餐",IF(C1352=Options!$B$9,"抵达；"&amp;IF(C1352=DATE(2026,11,28),"机构晚餐","无统一供餐"),IF(C1352=Options!$B$10,"返程；"&amp;IF(C1352=DATE(2026,12,2),"机构午餐","无统一供餐"),"差旅状态；无统一日程"))))))</f>
        <v/>
      </c>
      <c r="E1352" s="13">
        <f>IF(C1352=Options!$B$9,Options!$C$17,0)</f>
        <v/>
      </c>
      <c r="F1352" s="13">
        <f>IF(AND(A1352&lt;&gt;"",C1352&lt;Options!$B$10),B1352*Options!$X$6,0)</f>
        <v/>
      </c>
      <c r="G1352" s="13">
        <f>F1352*12%</f>
        <v/>
      </c>
      <c r="H1352" s="13">
        <f>IF(A1352="",0,B1352*(92*IF(OR(C1352=Options!$B$9,C1352=Options!$B$10),75%,100%)-IF(C1352=DATE(2026,11,29),26+IF(Options!$B$8="是",23,0),0)-IF(C1352=DATE(2026,11,30),26,0)-IF(C1352=DATE(2026,12,1),64,0)-IF(C1352=DATE(2026,11,28),38,0)-IF(C1352=DATE(2026,12,2),26,0)))</f>
        <v/>
      </c>
      <c r="I1352" s="13">
        <f>IF(AND(C1352&gt;=DATE(2026,11,29),C1352&lt;=DATE(2026,12,1)),B1352*60,0)</f>
        <v/>
      </c>
      <c r="J1352" s="13">
        <f>IF(A1352="",0,B1352*(IF(C1352=DATE(2026,11,28),38,0)+IF(C1352=DATE(2026,12,1),38,0)+IF(C1352=DATE(2026,12,2),26,0)))</f>
        <v/>
      </c>
      <c r="K1352" s="13">
        <f>IF(C1352=Options!$B$9,B1352*12,0)</f>
        <v/>
      </c>
      <c r="L1352" s="13">
        <f>IF(C1352=Options!$B$9,B1352*Options!$Z$6,0)</f>
        <v/>
      </c>
      <c r="M1352" s="13" t="n">
        <v>0</v>
      </c>
      <c r="N1352" s="13">
        <f>SUM(E1352:M1352)</f>
        <v/>
      </c>
    </row>
    <row r="1353">
      <c r="A1353" s="5">
        <f>IF(AND(C1353&gt;=Options!$B$9,C1353&lt;=Options!$B$10),"Denver","")</f>
        <v/>
      </c>
      <c r="B1353" s="5">
        <f>IF(A1353="","",24)</f>
        <v/>
      </c>
      <c r="C1353" s="17" t="n">
        <v>46549</v>
      </c>
      <c r="D1353" s="5">
        <f>IF(A1353="","",IF(C1353=DATE(2026,11,29),"培训；注册午餐；早餐参数",IF(C1353=DATE(2026,11,30),"培训；注册午餐",IF(C1353=DATE(2026,12,1),"培训；注册午餐；机构晚餐",IF(C1353=Options!$B$9,"抵达；"&amp;IF(C1353=DATE(2026,11,28),"机构晚餐","无统一供餐"),IF(C1353=Options!$B$10,"返程；"&amp;IF(C1353=DATE(2026,12,2),"机构午餐","无统一供餐"),"差旅状态；无统一日程"))))))</f>
        <v/>
      </c>
      <c r="E1353" s="13">
        <f>IF(C1353=Options!$B$9,Options!$C$17,0)</f>
        <v/>
      </c>
      <c r="F1353" s="13">
        <f>IF(AND(A1353&lt;&gt;"",C1353&lt;Options!$B$10),B1353*Options!$X$6,0)</f>
        <v/>
      </c>
      <c r="G1353" s="13">
        <f>F1353*12%</f>
        <v/>
      </c>
      <c r="H1353" s="13">
        <f>IF(A1353="",0,B1353*(92*IF(OR(C1353=Options!$B$9,C1353=Options!$B$10),75%,100%)-IF(C1353=DATE(2026,11,29),26+IF(Options!$B$8="是",23,0),0)-IF(C1353=DATE(2026,11,30),26,0)-IF(C1353=DATE(2026,12,1),64,0)-IF(C1353=DATE(2026,11,28),38,0)-IF(C1353=DATE(2026,12,2),26,0)))</f>
        <v/>
      </c>
      <c r="I1353" s="13">
        <f>IF(AND(C1353&gt;=DATE(2026,11,29),C1353&lt;=DATE(2026,12,1)),B1353*60,0)</f>
        <v/>
      </c>
      <c r="J1353" s="13">
        <f>IF(A1353="",0,B1353*(IF(C1353=DATE(2026,11,28),38,0)+IF(C1353=DATE(2026,12,1),38,0)+IF(C1353=DATE(2026,12,2),26,0)))</f>
        <v/>
      </c>
      <c r="K1353" s="13">
        <f>IF(C1353=Options!$B$9,B1353*12,0)</f>
        <v/>
      </c>
      <c r="L1353" s="13">
        <f>IF(C1353=Options!$B$9,B1353*Options!$Z$6,0)</f>
        <v/>
      </c>
      <c r="M1353" s="13" t="n">
        <v>0</v>
      </c>
      <c r="N1353" s="13">
        <f>SUM(E1353:M1353)</f>
        <v/>
      </c>
    </row>
    <row r="1354">
      <c r="A1354" s="5">
        <f>IF(AND(C1354&gt;=Options!$B$9,C1354&lt;=Options!$B$10),"Denver","")</f>
        <v/>
      </c>
      <c r="B1354" s="5">
        <f>IF(A1354="","",24)</f>
        <v/>
      </c>
      <c r="C1354" s="17" t="n">
        <v>46550</v>
      </c>
      <c r="D1354" s="5">
        <f>IF(A1354="","",IF(C1354=DATE(2026,11,29),"培训；注册午餐；早餐参数",IF(C1354=DATE(2026,11,30),"培训；注册午餐",IF(C1354=DATE(2026,12,1),"培训；注册午餐；机构晚餐",IF(C1354=Options!$B$9,"抵达；"&amp;IF(C1354=DATE(2026,11,28),"机构晚餐","无统一供餐"),IF(C1354=Options!$B$10,"返程；"&amp;IF(C1354=DATE(2026,12,2),"机构午餐","无统一供餐"),"差旅状态；无统一日程"))))))</f>
        <v/>
      </c>
      <c r="E1354" s="13">
        <f>IF(C1354=Options!$B$9,Options!$C$17,0)</f>
        <v/>
      </c>
      <c r="F1354" s="13">
        <f>IF(AND(A1354&lt;&gt;"",C1354&lt;Options!$B$10),B1354*Options!$X$6,0)</f>
        <v/>
      </c>
      <c r="G1354" s="13">
        <f>F1354*12%</f>
        <v/>
      </c>
      <c r="H1354" s="13">
        <f>IF(A1354="",0,B1354*(92*IF(OR(C1354=Options!$B$9,C1354=Options!$B$10),75%,100%)-IF(C1354=DATE(2026,11,29),26+IF(Options!$B$8="是",23,0),0)-IF(C1354=DATE(2026,11,30),26,0)-IF(C1354=DATE(2026,12,1),64,0)-IF(C1354=DATE(2026,11,28),38,0)-IF(C1354=DATE(2026,12,2),26,0)))</f>
        <v/>
      </c>
      <c r="I1354" s="13">
        <f>IF(AND(C1354&gt;=DATE(2026,11,29),C1354&lt;=DATE(2026,12,1)),B1354*60,0)</f>
        <v/>
      </c>
      <c r="J1354" s="13">
        <f>IF(A1354="",0,B1354*(IF(C1354=DATE(2026,11,28),38,0)+IF(C1354=DATE(2026,12,1),38,0)+IF(C1354=DATE(2026,12,2),26,0)))</f>
        <v/>
      </c>
      <c r="K1354" s="13">
        <f>IF(C1354=Options!$B$9,B1354*12,0)</f>
        <v/>
      </c>
      <c r="L1354" s="13">
        <f>IF(C1354=Options!$B$9,B1354*Options!$Z$6,0)</f>
        <v/>
      </c>
      <c r="M1354" s="13" t="n">
        <v>0</v>
      </c>
      <c r="N1354" s="13">
        <f>SUM(E1354:M1354)</f>
        <v/>
      </c>
    </row>
    <row r="1355">
      <c r="A1355" s="5">
        <f>IF(AND(C1355&gt;=Options!$B$9,C1355&lt;=Options!$B$10),"Denver","")</f>
        <v/>
      </c>
      <c r="B1355" s="5">
        <f>IF(A1355="","",24)</f>
        <v/>
      </c>
      <c r="C1355" s="17" t="n">
        <v>46551</v>
      </c>
      <c r="D1355" s="5">
        <f>IF(A1355="","",IF(C1355=DATE(2026,11,29),"培训；注册午餐；早餐参数",IF(C1355=DATE(2026,11,30),"培训；注册午餐",IF(C1355=DATE(2026,12,1),"培训；注册午餐；机构晚餐",IF(C1355=Options!$B$9,"抵达；"&amp;IF(C1355=DATE(2026,11,28),"机构晚餐","无统一供餐"),IF(C1355=Options!$B$10,"返程；"&amp;IF(C1355=DATE(2026,12,2),"机构午餐","无统一供餐"),"差旅状态；无统一日程"))))))</f>
        <v/>
      </c>
      <c r="E1355" s="13">
        <f>IF(C1355=Options!$B$9,Options!$C$17,0)</f>
        <v/>
      </c>
      <c r="F1355" s="13">
        <f>IF(AND(A1355&lt;&gt;"",C1355&lt;Options!$B$10),B1355*Options!$X$6,0)</f>
        <v/>
      </c>
      <c r="G1355" s="13">
        <f>F1355*12%</f>
        <v/>
      </c>
      <c r="H1355" s="13">
        <f>IF(A1355="",0,B1355*(92*IF(OR(C1355=Options!$B$9,C1355=Options!$B$10),75%,100%)-IF(C1355=DATE(2026,11,29),26+IF(Options!$B$8="是",23,0),0)-IF(C1355=DATE(2026,11,30),26,0)-IF(C1355=DATE(2026,12,1),64,0)-IF(C1355=DATE(2026,11,28),38,0)-IF(C1355=DATE(2026,12,2),26,0)))</f>
        <v/>
      </c>
      <c r="I1355" s="13">
        <f>IF(AND(C1355&gt;=DATE(2026,11,29),C1355&lt;=DATE(2026,12,1)),B1355*60,0)</f>
        <v/>
      </c>
      <c r="J1355" s="13">
        <f>IF(A1355="",0,B1355*(IF(C1355=DATE(2026,11,28),38,0)+IF(C1355=DATE(2026,12,1),38,0)+IF(C1355=DATE(2026,12,2),26,0)))</f>
        <v/>
      </c>
      <c r="K1355" s="13">
        <f>IF(C1355=Options!$B$9,B1355*12,0)</f>
        <v/>
      </c>
      <c r="L1355" s="13">
        <f>IF(C1355=Options!$B$9,B1355*Options!$Z$6,0)</f>
        <v/>
      </c>
      <c r="M1355" s="13" t="n">
        <v>0</v>
      </c>
      <c r="N1355" s="13">
        <f>SUM(E1355:M1355)</f>
        <v/>
      </c>
    </row>
    <row r="1356">
      <c r="A1356" s="5">
        <f>IF(AND(C1356&gt;=Options!$B$9,C1356&lt;=Options!$B$10),"Denver","")</f>
        <v/>
      </c>
      <c r="B1356" s="5">
        <f>IF(A1356="","",24)</f>
        <v/>
      </c>
      <c r="C1356" s="17" t="n">
        <v>46552</v>
      </c>
      <c r="D1356" s="5">
        <f>IF(A1356="","",IF(C1356=DATE(2026,11,29),"培训；注册午餐；早餐参数",IF(C1356=DATE(2026,11,30),"培训；注册午餐",IF(C1356=DATE(2026,12,1),"培训；注册午餐；机构晚餐",IF(C1356=Options!$B$9,"抵达；"&amp;IF(C1356=DATE(2026,11,28),"机构晚餐","无统一供餐"),IF(C1356=Options!$B$10,"返程；"&amp;IF(C1356=DATE(2026,12,2),"机构午餐","无统一供餐"),"差旅状态；无统一日程"))))))</f>
        <v/>
      </c>
      <c r="E1356" s="13">
        <f>IF(C1356=Options!$B$9,Options!$C$17,0)</f>
        <v/>
      </c>
      <c r="F1356" s="13">
        <f>IF(AND(A1356&lt;&gt;"",C1356&lt;Options!$B$10),B1356*Options!$X$6,0)</f>
        <v/>
      </c>
      <c r="G1356" s="13">
        <f>F1356*12%</f>
        <v/>
      </c>
      <c r="H1356" s="13">
        <f>IF(A1356="",0,B1356*(92*IF(OR(C1356=Options!$B$9,C1356=Options!$B$10),75%,100%)-IF(C1356=DATE(2026,11,29),26+IF(Options!$B$8="是",23,0),0)-IF(C1356=DATE(2026,11,30),26,0)-IF(C1356=DATE(2026,12,1),64,0)-IF(C1356=DATE(2026,11,28),38,0)-IF(C1356=DATE(2026,12,2),26,0)))</f>
        <v/>
      </c>
      <c r="I1356" s="13">
        <f>IF(AND(C1356&gt;=DATE(2026,11,29),C1356&lt;=DATE(2026,12,1)),B1356*60,0)</f>
        <v/>
      </c>
      <c r="J1356" s="13">
        <f>IF(A1356="",0,B1356*(IF(C1356=DATE(2026,11,28),38,0)+IF(C1356=DATE(2026,12,1),38,0)+IF(C1356=DATE(2026,12,2),26,0)))</f>
        <v/>
      </c>
      <c r="K1356" s="13">
        <f>IF(C1356=Options!$B$9,B1356*12,0)</f>
        <v/>
      </c>
      <c r="L1356" s="13">
        <f>IF(C1356=Options!$B$9,B1356*Options!$Z$6,0)</f>
        <v/>
      </c>
      <c r="M1356" s="13" t="n">
        <v>0</v>
      </c>
      <c r="N1356" s="13">
        <f>SUM(E1356:M1356)</f>
        <v/>
      </c>
    </row>
    <row r="1357">
      <c r="A1357" s="5">
        <f>IF(AND(C1357&gt;=Options!$B$9,C1357&lt;=Options!$B$10),"Denver","")</f>
        <v/>
      </c>
      <c r="B1357" s="5">
        <f>IF(A1357="","",24)</f>
        <v/>
      </c>
      <c r="C1357" s="17" t="n">
        <v>46553</v>
      </c>
      <c r="D1357" s="5">
        <f>IF(A1357="","",IF(C1357=DATE(2026,11,29),"培训；注册午餐；早餐参数",IF(C1357=DATE(2026,11,30),"培训；注册午餐",IF(C1357=DATE(2026,12,1),"培训；注册午餐；机构晚餐",IF(C1357=Options!$B$9,"抵达；"&amp;IF(C1357=DATE(2026,11,28),"机构晚餐","无统一供餐"),IF(C1357=Options!$B$10,"返程；"&amp;IF(C1357=DATE(2026,12,2),"机构午餐","无统一供餐"),"差旅状态；无统一日程"))))))</f>
        <v/>
      </c>
      <c r="E1357" s="13">
        <f>IF(C1357=Options!$B$9,Options!$C$17,0)</f>
        <v/>
      </c>
      <c r="F1357" s="13">
        <f>IF(AND(A1357&lt;&gt;"",C1357&lt;Options!$B$10),B1357*Options!$X$6,0)</f>
        <v/>
      </c>
      <c r="G1357" s="13">
        <f>F1357*12%</f>
        <v/>
      </c>
      <c r="H1357" s="13">
        <f>IF(A1357="",0,B1357*(92*IF(OR(C1357=Options!$B$9,C1357=Options!$B$10),75%,100%)-IF(C1357=DATE(2026,11,29),26+IF(Options!$B$8="是",23,0),0)-IF(C1357=DATE(2026,11,30),26,0)-IF(C1357=DATE(2026,12,1),64,0)-IF(C1357=DATE(2026,11,28),38,0)-IF(C1357=DATE(2026,12,2),26,0)))</f>
        <v/>
      </c>
      <c r="I1357" s="13">
        <f>IF(AND(C1357&gt;=DATE(2026,11,29),C1357&lt;=DATE(2026,12,1)),B1357*60,0)</f>
        <v/>
      </c>
      <c r="J1357" s="13">
        <f>IF(A1357="",0,B1357*(IF(C1357=DATE(2026,11,28),38,0)+IF(C1357=DATE(2026,12,1),38,0)+IF(C1357=DATE(2026,12,2),26,0)))</f>
        <v/>
      </c>
      <c r="K1357" s="13">
        <f>IF(C1357=Options!$B$9,B1357*12,0)</f>
        <v/>
      </c>
      <c r="L1357" s="13">
        <f>IF(C1357=Options!$B$9,B1357*Options!$Z$6,0)</f>
        <v/>
      </c>
      <c r="M1357" s="13" t="n">
        <v>0</v>
      </c>
      <c r="N1357" s="13">
        <f>SUM(E1357:M1357)</f>
        <v/>
      </c>
    </row>
    <row r="1358">
      <c r="A1358" s="5">
        <f>IF(AND(C1358&gt;=Options!$B$9,C1358&lt;=Options!$B$10),"Denver","")</f>
        <v/>
      </c>
      <c r="B1358" s="5">
        <f>IF(A1358="","",24)</f>
        <v/>
      </c>
      <c r="C1358" s="17" t="n">
        <v>46554</v>
      </c>
      <c r="D1358" s="5">
        <f>IF(A1358="","",IF(C1358=DATE(2026,11,29),"培训；注册午餐；早餐参数",IF(C1358=DATE(2026,11,30),"培训；注册午餐",IF(C1358=DATE(2026,12,1),"培训；注册午餐；机构晚餐",IF(C1358=Options!$B$9,"抵达；"&amp;IF(C1358=DATE(2026,11,28),"机构晚餐","无统一供餐"),IF(C1358=Options!$B$10,"返程；"&amp;IF(C1358=DATE(2026,12,2),"机构午餐","无统一供餐"),"差旅状态；无统一日程"))))))</f>
        <v/>
      </c>
      <c r="E1358" s="13">
        <f>IF(C1358=Options!$B$9,Options!$C$17,0)</f>
        <v/>
      </c>
      <c r="F1358" s="13">
        <f>IF(AND(A1358&lt;&gt;"",C1358&lt;Options!$B$10),B1358*Options!$X$6,0)</f>
        <v/>
      </c>
      <c r="G1358" s="13">
        <f>F1358*12%</f>
        <v/>
      </c>
      <c r="H1358" s="13">
        <f>IF(A1358="",0,B1358*(92*IF(OR(C1358=Options!$B$9,C1358=Options!$B$10),75%,100%)-IF(C1358=DATE(2026,11,29),26+IF(Options!$B$8="是",23,0),0)-IF(C1358=DATE(2026,11,30),26,0)-IF(C1358=DATE(2026,12,1),64,0)-IF(C1358=DATE(2026,11,28),38,0)-IF(C1358=DATE(2026,12,2),26,0)))</f>
        <v/>
      </c>
      <c r="I1358" s="13">
        <f>IF(AND(C1358&gt;=DATE(2026,11,29),C1358&lt;=DATE(2026,12,1)),B1358*60,0)</f>
        <v/>
      </c>
      <c r="J1358" s="13">
        <f>IF(A1358="",0,B1358*(IF(C1358=DATE(2026,11,28),38,0)+IF(C1358=DATE(2026,12,1),38,0)+IF(C1358=DATE(2026,12,2),26,0)))</f>
        <v/>
      </c>
      <c r="K1358" s="13">
        <f>IF(C1358=Options!$B$9,B1358*12,0)</f>
        <v/>
      </c>
      <c r="L1358" s="13">
        <f>IF(C1358=Options!$B$9,B1358*Options!$Z$6,0)</f>
        <v/>
      </c>
      <c r="M1358" s="13" t="n">
        <v>0</v>
      </c>
      <c r="N1358" s="13">
        <f>SUM(E1358:M1358)</f>
        <v/>
      </c>
    </row>
    <row r="1359">
      <c r="A1359" s="5">
        <f>IF(AND(C1359&gt;=Options!$B$9,C1359&lt;=Options!$B$10),"Denver","")</f>
        <v/>
      </c>
      <c r="B1359" s="5">
        <f>IF(A1359="","",24)</f>
        <v/>
      </c>
      <c r="C1359" s="17" t="n">
        <v>46555</v>
      </c>
      <c r="D1359" s="5">
        <f>IF(A1359="","",IF(C1359=DATE(2026,11,29),"培训；注册午餐；早餐参数",IF(C1359=DATE(2026,11,30),"培训；注册午餐",IF(C1359=DATE(2026,12,1),"培训；注册午餐；机构晚餐",IF(C1359=Options!$B$9,"抵达；"&amp;IF(C1359=DATE(2026,11,28),"机构晚餐","无统一供餐"),IF(C1359=Options!$B$10,"返程；"&amp;IF(C1359=DATE(2026,12,2),"机构午餐","无统一供餐"),"差旅状态；无统一日程"))))))</f>
        <v/>
      </c>
      <c r="E1359" s="13">
        <f>IF(C1359=Options!$B$9,Options!$C$17,0)</f>
        <v/>
      </c>
      <c r="F1359" s="13">
        <f>IF(AND(A1359&lt;&gt;"",C1359&lt;Options!$B$10),B1359*Options!$X$6,0)</f>
        <v/>
      </c>
      <c r="G1359" s="13">
        <f>F1359*12%</f>
        <v/>
      </c>
      <c r="H1359" s="13">
        <f>IF(A1359="",0,B1359*(92*IF(OR(C1359=Options!$B$9,C1359=Options!$B$10),75%,100%)-IF(C1359=DATE(2026,11,29),26+IF(Options!$B$8="是",23,0),0)-IF(C1359=DATE(2026,11,30),26,0)-IF(C1359=DATE(2026,12,1),64,0)-IF(C1359=DATE(2026,11,28),38,0)-IF(C1359=DATE(2026,12,2),26,0)))</f>
        <v/>
      </c>
      <c r="I1359" s="13">
        <f>IF(AND(C1359&gt;=DATE(2026,11,29),C1359&lt;=DATE(2026,12,1)),B1359*60,0)</f>
        <v/>
      </c>
      <c r="J1359" s="13">
        <f>IF(A1359="",0,B1359*(IF(C1359=DATE(2026,11,28),38,0)+IF(C1359=DATE(2026,12,1),38,0)+IF(C1359=DATE(2026,12,2),26,0)))</f>
        <v/>
      </c>
      <c r="K1359" s="13">
        <f>IF(C1359=Options!$B$9,B1359*12,0)</f>
        <v/>
      </c>
      <c r="L1359" s="13">
        <f>IF(C1359=Options!$B$9,B1359*Options!$Z$6,0)</f>
        <v/>
      </c>
      <c r="M1359" s="13" t="n">
        <v>0</v>
      </c>
      <c r="N1359" s="13">
        <f>SUM(E1359:M1359)</f>
        <v/>
      </c>
    </row>
    <row r="1360">
      <c r="A1360" s="5">
        <f>IF(AND(C1360&gt;=Options!$B$9,C1360&lt;=Options!$B$10),"Denver","")</f>
        <v/>
      </c>
      <c r="B1360" s="5">
        <f>IF(A1360="","",24)</f>
        <v/>
      </c>
      <c r="C1360" s="17" t="n">
        <v>46556</v>
      </c>
      <c r="D1360" s="5">
        <f>IF(A1360="","",IF(C1360=DATE(2026,11,29),"培训；注册午餐；早餐参数",IF(C1360=DATE(2026,11,30),"培训；注册午餐",IF(C1360=DATE(2026,12,1),"培训；注册午餐；机构晚餐",IF(C1360=Options!$B$9,"抵达；"&amp;IF(C1360=DATE(2026,11,28),"机构晚餐","无统一供餐"),IF(C1360=Options!$B$10,"返程；"&amp;IF(C1360=DATE(2026,12,2),"机构午餐","无统一供餐"),"差旅状态；无统一日程"))))))</f>
        <v/>
      </c>
      <c r="E1360" s="13">
        <f>IF(C1360=Options!$B$9,Options!$C$17,0)</f>
        <v/>
      </c>
      <c r="F1360" s="13">
        <f>IF(AND(A1360&lt;&gt;"",C1360&lt;Options!$B$10),B1360*Options!$X$6,0)</f>
        <v/>
      </c>
      <c r="G1360" s="13">
        <f>F1360*12%</f>
        <v/>
      </c>
      <c r="H1360" s="13">
        <f>IF(A1360="",0,B1360*(92*IF(OR(C1360=Options!$B$9,C1360=Options!$B$10),75%,100%)-IF(C1360=DATE(2026,11,29),26+IF(Options!$B$8="是",23,0),0)-IF(C1360=DATE(2026,11,30),26,0)-IF(C1360=DATE(2026,12,1),64,0)-IF(C1360=DATE(2026,11,28),38,0)-IF(C1360=DATE(2026,12,2),26,0)))</f>
        <v/>
      </c>
      <c r="I1360" s="13">
        <f>IF(AND(C1360&gt;=DATE(2026,11,29),C1360&lt;=DATE(2026,12,1)),B1360*60,0)</f>
        <v/>
      </c>
      <c r="J1360" s="13">
        <f>IF(A1360="",0,B1360*(IF(C1360=DATE(2026,11,28),38,0)+IF(C1360=DATE(2026,12,1),38,0)+IF(C1360=DATE(2026,12,2),26,0)))</f>
        <v/>
      </c>
      <c r="K1360" s="13">
        <f>IF(C1360=Options!$B$9,B1360*12,0)</f>
        <v/>
      </c>
      <c r="L1360" s="13">
        <f>IF(C1360=Options!$B$9,B1360*Options!$Z$6,0)</f>
        <v/>
      </c>
      <c r="M1360" s="13" t="n">
        <v>0</v>
      </c>
      <c r="N1360" s="13">
        <f>SUM(E1360:M1360)</f>
        <v/>
      </c>
    </row>
    <row r="1361">
      <c r="A1361" s="5">
        <f>IF(AND(C1361&gt;=Options!$B$9,C1361&lt;=Options!$B$10),"Denver","")</f>
        <v/>
      </c>
      <c r="B1361" s="5">
        <f>IF(A1361="","",24)</f>
        <v/>
      </c>
      <c r="C1361" s="17" t="n">
        <v>46557</v>
      </c>
      <c r="D1361" s="5">
        <f>IF(A1361="","",IF(C1361=DATE(2026,11,29),"培训；注册午餐；早餐参数",IF(C1361=DATE(2026,11,30),"培训；注册午餐",IF(C1361=DATE(2026,12,1),"培训；注册午餐；机构晚餐",IF(C1361=Options!$B$9,"抵达；"&amp;IF(C1361=DATE(2026,11,28),"机构晚餐","无统一供餐"),IF(C1361=Options!$B$10,"返程；"&amp;IF(C1361=DATE(2026,12,2),"机构午餐","无统一供餐"),"差旅状态；无统一日程"))))))</f>
        <v/>
      </c>
      <c r="E1361" s="13">
        <f>IF(C1361=Options!$B$9,Options!$C$17,0)</f>
        <v/>
      </c>
      <c r="F1361" s="13">
        <f>IF(AND(A1361&lt;&gt;"",C1361&lt;Options!$B$10),B1361*Options!$X$6,0)</f>
        <v/>
      </c>
      <c r="G1361" s="13">
        <f>F1361*12%</f>
        <v/>
      </c>
      <c r="H1361" s="13">
        <f>IF(A1361="",0,B1361*(92*IF(OR(C1361=Options!$B$9,C1361=Options!$B$10),75%,100%)-IF(C1361=DATE(2026,11,29),26+IF(Options!$B$8="是",23,0),0)-IF(C1361=DATE(2026,11,30),26,0)-IF(C1361=DATE(2026,12,1),64,0)-IF(C1361=DATE(2026,11,28),38,0)-IF(C1361=DATE(2026,12,2),26,0)))</f>
        <v/>
      </c>
      <c r="I1361" s="13">
        <f>IF(AND(C1361&gt;=DATE(2026,11,29),C1361&lt;=DATE(2026,12,1)),B1361*60,0)</f>
        <v/>
      </c>
      <c r="J1361" s="13">
        <f>IF(A1361="",0,B1361*(IF(C1361=DATE(2026,11,28),38,0)+IF(C1361=DATE(2026,12,1),38,0)+IF(C1361=DATE(2026,12,2),26,0)))</f>
        <v/>
      </c>
      <c r="K1361" s="13">
        <f>IF(C1361=Options!$B$9,B1361*12,0)</f>
        <v/>
      </c>
      <c r="L1361" s="13">
        <f>IF(C1361=Options!$B$9,B1361*Options!$Z$6,0)</f>
        <v/>
      </c>
      <c r="M1361" s="13" t="n">
        <v>0</v>
      </c>
      <c r="N1361" s="13">
        <f>SUM(E1361:M1361)</f>
        <v/>
      </c>
    </row>
    <row r="1362">
      <c r="A1362" s="5">
        <f>IF(AND(C1362&gt;=Options!$B$9,C1362&lt;=Options!$B$10),"Denver","")</f>
        <v/>
      </c>
      <c r="B1362" s="5">
        <f>IF(A1362="","",24)</f>
        <v/>
      </c>
      <c r="C1362" s="17" t="n">
        <v>46558</v>
      </c>
      <c r="D1362" s="5">
        <f>IF(A1362="","",IF(C1362=DATE(2026,11,29),"培训；注册午餐；早餐参数",IF(C1362=DATE(2026,11,30),"培训；注册午餐",IF(C1362=DATE(2026,12,1),"培训；注册午餐；机构晚餐",IF(C1362=Options!$B$9,"抵达；"&amp;IF(C1362=DATE(2026,11,28),"机构晚餐","无统一供餐"),IF(C1362=Options!$B$10,"返程；"&amp;IF(C1362=DATE(2026,12,2),"机构午餐","无统一供餐"),"差旅状态；无统一日程"))))))</f>
        <v/>
      </c>
      <c r="E1362" s="13">
        <f>IF(C1362=Options!$B$9,Options!$C$17,0)</f>
        <v/>
      </c>
      <c r="F1362" s="13">
        <f>IF(AND(A1362&lt;&gt;"",C1362&lt;Options!$B$10),B1362*Options!$X$6,0)</f>
        <v/>
      </c>
      <c r="G1362" s="13">
        <f>F1362*12%</f>
        <v/>
      </c>
      <c r="H1362" s="13">
        <f>IF(A1362="",0,B1362*(92*IF(OR(C1362=Options!$B$9,C1362=Options!$B$10),75%,100%)-IF(C1362=DATE(2026,11,29),26+IF(Options!$B$8="是",23,0),0)-IF(C1362=DATE(2026,11,30),26,0)-IF(C1362=DATE(2026,12,1),64,0)-IF(C1362=DATE(2026,11,28),38,0)-IF(C1362=DATE(2026,12,2),26,0)))</f>
        <v/>
      </c>
      <c r="I1362" s="13">
        <f>IF(AND(C1362&gt;=DATE(2026,11,29),C1362&lt;=DATE(2026,12,1)),B1362*60,0)</f>
        <v/>
      </c>
      <c r="J1362" s="13">
        <f>IF(A1362="",0,B1362*(IF(C1362=DATE(2026,11,28),38,0)+IF(C1362=DATE(2026,12,1),38,0)+IF(C1362=DATE(2026,12,2),26,0)))</f>
        <v/>
      </c>
      <c r="K1362" s="13">
        <f>IF(C1362=Options!$B$9,B1362*12,0)</f>
        <v/>
      </c>
      <c r="L1362" s="13">
        <f>IF(C1362=Options!$B$9,B1362*Options!$Z$6,0)</f>
        <v/>
      </c>
      <c r="M1362" s="13" t="n">
        <v>0</v>
      </c>
      <c r="N1362" s="13">
        <f>SUM(E1362:M1362)</f>
        <v/>
      </c>
    </row>
    <row r="1363">
      <c r="A1363" s="5">
        <f>IF(AND(C1363&gt;=Options!$B$9,C1363&lt;=Options!$B$10),"Denver","")</f>
        <v/>
      </c>
      <c r="B1363" s="5">
        <f>IF(A1363="","",24)</f>
        <v/>
      </c>
      <c r="C1363" s="17" t="n">
        <v>46559</v>
      </c>
      <c r="D1363" s="5">
        <f>IF(A1363="","",IF(C1363=DATE(2026,11,29),"培训；注册午餐；早餐参数",IF(C1363=DATE(2026,11,30),"培训；注册午餐",IF(C1363=DATE(2026,12,1),"培训；注册午餐；机构晚餐",IF(C1363=Options!$B$9,"抵达；"&amp;IF(C1363=DATE(2026,11,28),"机构晚餐","无统一供餐"),IF(C1363=Options!$B$10,"返程；"&amp;IF(C1363=DATE(2026,12,2),"机构午餐","无统一供餐"),"差旅状态；无统一日程"))))))</f>
        <v/>
      </c>
      <c r="E1363" s="13">
        <f>IF(C1363=Options!$B$9,Options!$C$17,0)</f>
        <v/>
      </c>
      <c r="F1363" s="13">
        <f>IF(AND(A1363&lt;&gt;"",C1363&lt;Options!$B$10),B1363*Options!$X$6,0)</f>
        <v/>
      </c>
      <c r="G1363" s="13">
        <f>F1363*12%</f>
        <v/>
      </c>
      <c r="H1363" s="13">
        <f>IF(A1363="",0,B1363*(92*IF(OR(C1363=Options!$B$9,C1363=Options!$B$10),75%,100%)-IF(C1363=DATE(2026,11,29),26+IF(Options!$B$8="是",23,0),0)-IF(C1363=DATE(2026,11,30),26,0)-IF(C1363=DATE(2026,12,1),64,0)-IF(C1363=DATE(2026,11,28),38,0)-IF(C1363=DATE(2026,12,2),26,0)))</f>
        <v/>
      </c>
      <c r="I1363" s="13">
        <f>IF(AND(C1363&gt;=DATE(2026,11,29),C1363&lt;=DATE(2026,12,1)),B1363*60,0)</f>
        <v/>
      </c>
      <c r="J1363" s="13">
        <f>IF(A1363="",0,B1363*(IF(C1363=DATE(2026,11,28),38,0)+IF(C1363=DATE(2026,12,1),38,0)+IF(C1363=DATE(2026,12,2),26,0)))</f>
        <v/>
      </c>
      <c r="K1363" s="13">
        <f>IF(C1363=Options!$B$9,B1363*12,0)</f>
        <v/>
      </c>
      <c r="L1363" s="13">
        <f>IF(C1363=Options!$B$9,B1363*Options!$Z$6,0)</f>
        <v/>
      </c>
      <c r="M1363" s="13" t="n">
        <v>0</v>
      </c>
      <c r="N1363" s="13">
        <f>SUM(E1363:M1363)</f>
        <v/>
      </c>
    </row>
    <row r="1364">
      <c r="A1364" s="5">
        <f>IF(AND(C1364&gt;=Options!$B$9,C1364&lt;=Options!$B$10),"Denver","")</f>
        <v/>
      </c>
      <c r="B1364" s="5">
        <f>IF(A1364="","",24)</f>
        <v/>
      </c>
      <c r="C1364" s="17" t="n">
        <v>46560</v>
      </c>
      <c r="D1364" s="5">
        <f>IF(A1364="","",IF(C1364=DATE(2026,11,29),"培训；注册午餐；早餐参数",IF(C1364=DATE(2026,11,30),"培训；注册午餐",IF(C1364=DATE(2026,12,1),"培训；注册午餐；机构晚餐",IF(C1364=Options!$B$9,"抵达；"&amp;IF(C1364=DATE(2026,11,28),"机构晚餐","无统一供餐"),IF(C1364=Options!$B$10,"返程；"&amp;IF(C1364=DATE(2026,12,2),"机构午餐","无统一供餐"),"差旅状态；无统一日程"))))))</f>
        <v/>
      </c>
      <c r="E1364" s="13">
        <f>IF(C1364=Options!$B$9,Options!$C$17,0)</f>
        <v/>
      </c>
      <c r="F1364" s="13">
        <f>IF(AND(A1364&lt;&gt;"",C1364&lt;Options!$B$10),B1364*Options!$X$6,0)</f>
        <v/>
      </c>
      <c r="G1364" s="13">
        <f>F1364*12%</f>
        <v/>
      </c>
      <c r="H1364" s="13">
        <f>IF(A1364="",0,B1364*(92*IF(OR(C1364=Options!$B$9,C1364=Options!$B$10),75%,100%)-IF(C1364=DATE(2026,11,29),26+IF(Options!$B$8="是",23,0),0)-IF(C1364=DATE(2026,11,30),26,0)-IF(C1364=DATE(2026,12,1),64,0)-IF(C1364=DATE(2026,11,28),38,0)-IF(C1364=DATE(2026,12,2),26,0)))</f>
        <v/>
      </c>
      <c r="I1364" s="13">
        <f>IF(AND(C1364&gt;=DATE(2026,11,29),C1364&lt;=DATE(2026,12,1)),B1364*60,0)</f>
        <v/>
      </c>
      <c r="J1364" s="13">
        <f>IF(A1364="",0,B1364*(IF(C1364=DATE(2026,11,28),38,0)+IF(C1364=DATE(2026,12,1),38,0)+IF(C1364=DATE(2026,12,2),26,0)))</f>
        <v/>
      </c>
      <c r="K1364" s="13">
        <f>IF(C1364=Options!$B$9,B1364*12,0)</f>
        <v/>
      </c>
      <c r="L1364" s="13">
        <f>IF(C1364=Options!$B$9,B1364*Options!$Z$6,0)</f>
        <v/>
      </c>
      <c r="M1364" s="13" t="n">
        <v>0</v>
      </c>
      <c r="N1364" s="13">
        <f>SUM(E1364:M1364)</f>
        <v/>
      </c>
    </row>
    <row r="1365">
      <c r="A1365" s="5">
        <f>IF(AND(C1365&gt;=Options!$B$9,C1365&lt;=Options!$B$10),"Denver","")</f>
        <v/>
      </c>
      <c r="B1365" s="5">
        <f>IF(A1365="","",24)</f>
        <v/>
      </c>
      <c r="C1365" s="17" t="n">
        <v>46561</v>
      </c>
      <c r="D1365" s="5">
        <f>IF(A1365="","",IF(C1365=DATE(2026,11,29),"培训；注册午餐；早餐参数",IF(C1365=DATE(2026,11,30),"培训；注册午餐",IF(C1365=DATE(2026,12,1),"培训；注册午餐；机构晚餐",IF(C1365=Options!$B$9,"抵达；"&amp;IF(C1365=DATE(2026,11,28),"机构晚餐","无统一供餐"),IF(C1365=Options!$B$10,"返程；"&amp;IF(C1365=DATE(2026,12,2),"机构午餐","无统一供餐"),"差旅状态；无统一日程"))))))</f>
        <v/>
      </c>
      <c r="E1365" s="13">
        <f>IF(C1365=Options!$B$9,Options!$C$17,0)</f>
        <v/>
      </c>
      <c r="F1365" s="13">
        <f>IF(AND(A1365&lt;&gt;"",C1365&lt;Options!$B$10),B1365*Options!$X$6,0)</f>
        <v/>
      </c>
      <c r="G1365" s="13">
        <f>F1365*12%</f>
        <v/>
      </c>
      <c r="H1365" s="13">
        <f>IF(A1365="",0,B1365*(92*IF(OR(C1365=Options!$B$9,C1365=Options!$B$10),75%,100%)-IF(C1365=DATE(2026,11,29),26+IF(Options!$B$8="是",23,0),0)-IF(C1365=DATE(2026,11,30),26,0)-IF(C1365=DATE(2026,12,1),64,0)-IF(C1365=DATE(2026,11,28),38,0)-IF(C1365=DATE(2026,12,2),26,0)))</f>
        <v/>
      </c>
      <c r="I1365" s="13">
        <f>IF(AND(C1365&gt;=DATE(2026,11,29),C1365&lt;=DATE(2026,12,1)),B1365*60,0)</f>
        <v/>
      </c>
      <c r="J1365" s="13">
        <f>IF(A1365="",0,B1365*(IF(C1365=DATE(2026,11,28),38,0)+IF(C1365=DATE(2026,12,1),38,0)+IF(C1365=DATE(2026,12,2),26,0)))</f>
        <v/>
      </c>
      <c r="K1365" s="13">
        <f>IF(C1365=Options!$B$9,B1365*12,0)</f>
        <v/>
      </c>
      <c r="L1365" s="13">
        <f>IF(C1365=Options!$B$9,B1365*Options!$Z$6,0)</f>
        <v/>
      </c>
      <c r="M1365" s="13" t="n">
        <v>0</v>
      </c>
      <c r="N1365" s="13">
        <f>SUM(E1365:M1365)</f>
        <v/>
      </c>
    </row>
    <row r="1366">
      <c r="A1366" s="5">
        <f>IF(AND(C1366&gt;=Options!$B$9,C1366&lt;=Options!$B$10),"Denver","")</f>
        <v/>
      </c>
      <c r="B1366" s="5">
        <f>IF(A1366="","",24)</f>
        <v/>
      </c>
      <c r="C1366" s="17" t="n">
        <v>46562</v>
      </c>
      <c r="D1366" s="5">
        <f>IF(A1366="","",IF(C1366=DATE(2026,11,29),"培训；注册午餐；早餐参数",IF(C1366=DATE(2026,11,30),"培训；注册午餐",IF(C1366=DATE(2026,12,1),"培训；注册午餐；机构晚餐",IF(C1366=Options!$B$9,"抵达；"&amp;IF(C1366=DATE(2026,11,28),"机构晚餐","无统一供餐"),IF(C1366=Options!$B$10,"返程；"&amp;IF(C1366=DATE(2026,12,2),"机构午餐","无统一供餐"),"差旅状态；无统一日程"))))))</f>
        <v/>
      </c>
      <c r="E1366" s="13">
        <f>IF(C1366=Options!$B$9,Options!$C$17,0)</f>
        <v/>
      </c>
      <c r="F1366" s="13">
        <f>IF(AND(A1366&lt;&gt;"",C1366&lt;Options!$B$10),B1366*Options!$X$6,0)</f>
        <v/>
      </c>
      <c r="G1366" s="13">
        <f>F1366*12%</f>
        <v/>
      </c>
      <c r="H1366" s="13">
        <f>IF(A1366="",0,B1366*(92*IF(OR(C1366=Options!$B$9,C1366=Options!$B$10),75%,100%)-IF(C1366=DATE(2026,11,29),26+IF(Options!$B$8="是",23,0),0)-IF(C1366=DATE(2026,11,30),26,0)-IF(C1366=DATE(2026,12,1),64,0)-IF(C1366=DATE(2026,11,28),38,0)-IF(C1366=DATE(2026,12,2),26,0)))</f>
        <v/>
      </c>
      <c r="I1366" s="13">
        <f>IF(AND(C1366&gt;=DATE(2026,11,29),C1366&lt;=DATE(2026,12,1)),B1366*60,0)</f>
        <v/>
      </c>
      <c r="J1366" s="13">
        <f>IF(A1366="",0,B1366*(IF(C1366=DATE(2026,11,28),38,0)+IF(C1366=DATE(2026,12,1),38,0)+IF(C1366=DATE(2026,12,2),26,0)))</f>
        <v/>
      </c>
      <c r="K1366" s="13">
        <f>IF(C1366=Options!$B$9,B1366*12,0)</f>
        <v/>
      </c>
      <c r="L1366" s="13">
        <f>IF(C1366=Options!$B$9,B1366*Options!$Z$6,0)</f>
        <v/>
      </c>
      <c r="M1366" s="13" t="n">
        <v>0</v>
      </c>
      <c r="N1366" s="13">
        <f>SUM(E1366:M1366)</f>
        <v/>
      </c>
    </row>
    <row r="1367">
      <c r="A1367" s="5">
        <f>IF(AND(C1367&gt;=Options!$B$9,C1367&lt;=Options!$B$10),"Denver","")</f>
        <v/>
      </c>
      <c r="B1367" s="5">
        <f>IF(A1367="","",24)</f>
        <v/>
      </c>
      <c r="C1367" s="17" t="n">
        <v>46563</v>
      </c>
      <c r="D1367" s="5">
        <f>IF(A1367="","",IF(C1367=DATE(2026,11,29),"培训；注册午餐；早餐参数",IF(C1367=DATE(2026,11,30),"培训；注册午餐",IF(C1367=DATE(2026,12,1),"培训；注册午餐；机构晚餐",IF(C1367=Options!$B$9,"抵达；"&amp;IF(C1367=DATE(2026,11,28),"机构晚餐","无统一供餐"),IF(C1367=Options!$B$10,"返程；"&amp;IF(C1367=DATE(2026,12,2),"机构午餐","无统一供餐"),"差旅状态；无统一日程"))))))</f>
        <v/>
      </c>
      <c r="E1367" s="13">
        <f>IF(C1367=Options!$B$9,Options!$C$17,0)</f>
        <v/>
      </c>
      <c r="F1367" s="13">
        <f>IF(AND(A1367&lt;&gt;"",C1367&lt;Options!$B$10),B1367*Options!$X$6,0)</f>
        <v/>
      </c>
      <c r="G1367" s="13">
        <f>F1367*12%</f>
        <v/>
      </c>
      <c r="H1367" s="13">
        <f>IF(A1367="",0,B1367*(92*IF(OR(C1367=Options!$B$9,C1367=Options!$B$10),75%,100%)-IF(C1367=DATE(2026,11,29),26+IF(Options!$B$8="是",23,0),0)-IF(C1367=DATE(2026,11,30),26,0)-IF(C1367=DATE(2026,12,1),64,0)-IF(C1367=DATE(2026,11,28),38,0)-IF(C1367=DATE(2026,12,2),26,0)))</f>
        <v/>
      </c>
      <c r="I1367" s="13">
        <f>IF(AND(C1367&gt;=DATE(2026,11,29),C1367&lt;=DATE(2026,12,1)),B1367*60,0)</f>
        <v/>
      </c>
      <c r="J1367" s="13">
        <f>IF(A1367="",0,B1367*(IF(C1367=DATE(2026,11,28),38,0)+IF(C1367=DATE(2026,12,1),38,0)+IF(C1367=DATE(2026,12,2),26,0)))</f>
        <v/>
      </c>
      <c r="K1367" s="13">
        <f>IF(C1367=Options!$B$9,B1367*12,0)</f>
        <v/>
      </c>
      <c r="L1367" s="13">
        <f>IF(C1367=Options!$B$9,B1367*Options!$Z$6,0)</f>
        <v/>
      </c>
      <c r="M1367" s="13" t="n">
        <v>0</v>
      </c>
      <c r="N1367" s="13">
        <f>SUM(E1367:M1367)</f>
        <v/>
      </c>
    </row>
    <row r="1368">
      <c r="A1368" s="5">
        <f>IF(AND(C1368&gt;=Options!$B$9,C1368&lt;=Options!$B$10),"Denver","")</f>
        <v/>
      </c>
      <c r="B1368" s="5">
        <f>IF(A1368="","",24)</f>
        <v/>
      </c>
      <c r="C1368" s="17" t="n">
        <v>46564</v>
      </c>
      <c r="D1368" s="5">
        <f>IF(A1368="","",IF(C1368=DATE(2026,11,29),"培训；注册午餐；早餐参数",IF(C1368=DATE(2026,11,30),"培训；注册午餐",IF(C1368=DATE(2026,12,1),"培训；注册午餐；机构晚餐",IF(C1368=Options!$B$9,"抵达；"&amp;IF(C1368=DATE(2026,11,28),"机构晚餐","无统一供餐"),IF(C1368=Options!$B$10,"返程；"&amp;IF(C1368=DATE(2026,12,2),"机构午餐","无统一供餐"),"差旅状态；无统一日程"))))))</f>
        <v/>
      </c>
      <c r="E1368" s="13">
        <f>IF(C1368=Options!$B$9,Options!$C$17,0)</f>
        <v/>
      </c>
      <c r="F1368" s="13">
        <f>IF(AND(A1368&lt;&gt;"",C1368&lt;Options!$B$10),B1368*Options!$X$6,0)</f>
        <v/>
      </c>
      <c r="G1368" s="13">
        <f>F1368*12%</f>
        <v/>
      </c>
      <c r="H1368" s="13">
        <f>IF(A1368="",0,B1368*(92*IF(OR(C1368=Options!$B$9,C1368=Options!$B$10),75%,100%)-IF(C1368=DATE(2026,11,29),26+IF(Options!$B$8="是",23,0),0)-IF(C1368=DATE(2026,11,30),26,0)-IF(C1368=DATE(2026,12,1),64,0)-IF(C1368=DATE(2026,11,28),38,0)-IF(C1368=DATE(2026,12,2),26,0)))</f>
        <v/>
      </c>
      <c r="I1368" s="13">
        <f>IF(AND(C1368&gt;=DATE(2026,11,29),C1368&lt;=DATE(2026,12,1)),B1368*60,0)</f>
        <v/>
      </c>
      <c r="J1368" s="13">
        <f>IF(A1368="",0,B1368*(IF(C1368=DATE(2026,11,28),38,0)+IF(C1368=DATE(2026,12,1),38,0)+IF(C1368=DATE(2026,12,2),26,0)))</f>
        <v/>
      </c>
      <c r="K1368" s="13">
        <f>IF(C1368=Options!$B$9,B1368*12,0)</f>
        <v/>
      </c>
      <c r="L1368" s="13">
        <f>IF(C1368=Options!$B$9,B1368*Options!$Z$6,0)</f>
        <v/>
      </c>
      <c r="M1368" s="13" t="n">
        <v>0</v>
      </c>
      <c r="N1368" s="13">
        <f>SUM(E1368:M1368)</f>
        <v/>
      </c>
    </row>
    <row r="1369">
      <c r="A1369" s="5">
        <f>IF(AND(C1369&gt;=Options!$B$9,C1369&lt;=Options!$B$10),"Denver","")</f>
        <v/>
      </c>
      <c r="B1369" s="5">
        <f>IF(A1369="","",24)</f>
        <v/>
      </c>
      <c r="C1369" s="17" t="n">
        <v>46565</v>
      </c>
      <c r="D1369" s="5">
        <f>IF(A1369="","",IF(C1369=DATE(2026,11,29),"培训；注册午餐；早餐参数",IF(C1369=DATE(2026,11,30),"培训；注册午餐",IF(C1369=DATE(2026,12,1),"培训；注册午餐；机构晚餐",IF(C1369=Options!$B$9,"抵达；"&amp;IF(C1369=DATE(2026,11,28),"机构晚餐","无统一供餐"),IF(C1369=Options!$B$10,"返程；"&amp;IF(C1369=DATE(2026,12,2),"机构午餐","无统一供餐"),"差旅状态；无统一日程"))))))</f>
        <v/>
      </c>
      <c r="E1369" s="13">
        <f>IF(C1369=Options!$B$9,Options!$C$17,0)</f>
        <v/>
      </c>
      <c r="F1369" s="13">
        <f>IF(AND(A1369&lt;&gt;"",C1369&lt;Options!$B$10),B1369*Options!$X$6,0)</f>
        <v/>
      </c>
      <c r="G1369" s="13">
        <f>F1369*12%</f>
        <v/>
      </c>
      <c r="H1369" s="13">
        <f>IF(A1369="",0,B1369*(92*IF(OR(C1369=Options!$B$9,C1369=Options!$B$10),75%,100%)-IF(C1369=DATE(2026,11,29),26+IF(Options!$B$8="是",23,0),0)-IF(C1369=DATE(2026,11,30),26,0)-IF(C1369=DATE(2026,12,1),64,0)-IF(C1369=DATE(2026,11,28),38,0)-IF(C1369=DATE(2026,12,2),26,0)))</f>
        <v/>
      </c>
      <c r="I1369" s="13">
        <f>IF(AND(C1369&gt;=DATE(2026,11,29),C1369&lt;=DATE(2026,12,1)),B1369*60,0)</f>
        <v/>
      </c>
      <c r="J1369" s="13">
        <f>IF(A1369="",0,B1369*(IF(C1369=DATE(2026,11,28),38,0)+IF(C1369=DATE(2026,12,1),38,0)+IF(C1369=DATE(2026,12,2),26,0)))</f>
        <v/>
      </c>
      <c r="K1369" s="13">
        <f>IF(C1369=Options!$B$9,B1369*12,0)</f>
        <v/>
      </c>
      <c r="L1369" s="13">
        <f>IF(C1369=Options!$B$9,B1369*Options!$Z$6,0)</f>
        <v/>
      </c>
      <c r="M1369" s="13" t="n">
        <v>0</v>
      </c>
      <c r="N1369" s="13">
        <f>SUM(E1369:M1369)</f>
        <v/>
      </c>
    </row>
    <row r="1370">
      <c r="A1370" s="5">
        <f>IF(AND(C1370&gt;=Options!$B$9,C1370&lt;=Options!$B$10),"Denver","")</f>
        <v/>
      </c>
      <c r="B1370" s="5">
        <f>IF(A1370="","",24)</f>
        <v/>
      </c>
      <c r="C1370" s="17" t="n">
        <v>46566</v>
      </c>
      <c r="D1370" s="5">
        <f>IF(A1370="","",IF(C1370=DATE(2026,11,29),"培训；注册午餐；早餐参数",IF(C1370=DATE(2026,11,30),"培训；注册午餐",IF(C1370=DATE(2026,12,1),"培训；注册午餐；机构晚餐",IF(C1370=Options!$B$9,"抵达；"&amp;IF(C1370=DATE(2026,11,28),"机构晚餐","无统一供餐"),IF(C1370=Options!$B$10,"返程；"&amp;IF(C1370=DATE(2026,12,2),"机构午餐","无统一供餐"),"差旅状态；无统一日程"))))))</f>
        <v/>
      </c>
      <c r="E1370" s="13">
        <f>IF(C1370=Options!$B$9,Options!$C$17,0)</f>
        <v/>
      </c>
      <c r="F1370" s="13">
        <f>IF(AND(A1370&lt;&gt;"",C1370&lt;Options!$B$10),B1370*Options!$X$6,0)</f>
        <v/>
      </c>
      <c r="G1370" s="13">
        <f>F1370*12%</f>
        <v/>
      </c>
      <c r="H1370" s="13">
        <f>IF(A1370="",0,B1370*(92*IF(OR(C1370=Options!$B$9,C1370=Options!$B$10),75%,100%)-IF(C1370=DATE(2026,11,29),26+IF(Options!$B$8="是",23,0),0)-IF(C1370=DATE(2026,11,30),26,0)-IF(C1370=DATE(2026,12,1),64,0)-IF(C1370=DATE(2026,11,28),38,0)-IF(C1370=DATE(2026,12,2),26,0)))</f>
        <v/>
      </c>
      <c r="I1370" s="13">
        <f>IF(AND(C1370&gt;=DATE(2026,11,29),C1370&lt;=DATE(2026,12,1)),B1370*60,0)</f>
        <v/>
      </c>
      <c r="J1370" s="13">
        <f>IF(A1370="",0,B1370*(IF(C1370=DATE(2026,11,28),38,0)+IF(C1370=DATE(2026,12,1),38,0)+IF(C1370=DATE(2026,12,2),26,0)))</f>
        <v/>
      </c>
      <c r="K1370" s="13">
        <f>IF(C1370=Options!$B$9,B1370*12,0)</f>
        <v/>
      </c>
      <c r="L1370" s="13">
        <f>IF(C1370=Options!$B$9,B1370*Options!$Z$6,0)</f>
        <v/>
      </c>
      <c r="M1370" s="13" t="n">
        <v>0</v>
      </c>
      <c r="N1370" s="13">
        <f>SUM(E1370:M1370)</f>
        <v/>
      </c>
    </row>
    <row r="1371">
      <c r="A1371" s="5">
        <f>IF(AND(C1371&gt;=Options!$B$9,C1371&lt;=Options!$B$10),"Denver","")</f>
        <v/>
      </c>
      <c r="B1371" s="5">
        <f>IF(A1371="","",24)</f>
        <v/>
      </c>
      <c r="C1371" s="17" t="n">
        <v>46567</v>
      </c>
      <c r="D1371" s="5">
        <f>IF(A1371="","",IF(C1371=DATE(2026,11,29),"培训；注册午餐；早餐参数",IF(C1371=DATE(2026,11,30),"培训；注册午餐",IF(C1371=DATE(2026,12,1),"培训；注册午餐；机构晚餐",IF(C1371=Options!$B$9,"抵达；"&amp;IF(C1371=DATE(2026,11,28),"机构晚餐","无统一供餐"),IF(C1371=Options!$B$10,"返程；"&amp;IF(C1371=DATE(2026,12,2),"机构午餐","无统一供餐"),"差旅状态；无统一日程"))))))</f>
        <v/>
      </c>
      <c r="E1371" s="13">
        <f>IF(C1371=Options!$B$9,Options!$C$17,0)</f>
        <v/>
      </c>
      <c r="F1371" s="13">
        <f>IF(AND(A1371&lt;&gt;"",C1371&lt;Options!$B$10),B1371*Options!$X$6,0)</f>
        <v/>
      </c>
      <c r="G1371" s="13">
        <f>F1371*12%</f>
        <v/>
      </c>
      <c r="H1371" s="13">
        <f>IF(A1371="",0,B1371*(92*IF(OR(C1371=Options!$B$9,C1371=Options!$B$10),75%,100%)-IF(C1371=DATE(2026,11,29),26+IF(Options!$B$8="是",23,0),0)-IF(C1371=DATE(2026,11,30),26,0)-IF(C1371=DATE(2026,12,1),64,0)-IF(C1371=DATE(2026,11,28),38,0)-IF(C1371=DATE(2026,12,2),26,0)))</f>
        <v/>
      </c>
      <c r="I1371" s="13">
        <f>IF(AND(C1371&gt;=DATE(2026,11,29),C1371&lt;=DATE(2026,12,1)),B1371*60,0)</f>
        <v/>
      </c>
      <c r="J1371" s="13">
        <f>IF(A1371="",0,B1371*(IF(C1371=DATE(2026,11,28),38,0)+IF(C1371=DATE(2026,12,1),38,0)+IF(C1371=DATE(2026,12,2),26,0)))</f>
        <v/>
      </c>
      <c r="K1371" s="13">
        <f>IF(C1371=Options!$B$9,B1371*12,0)</f>
        <v/>
      </c>
      <c r="L1371" s="13">
        <f>IF(C1371=Options!$B$9,B1371*Options!$Z$6,0)</f>
        <v/>
      </c>
      <c r="M1371" s="13" t="n">
        <v>0</v>
      </c>
      <c r="N1371" s="13">
        <f>SUM(E1371:M1371)</f>
        <v/>
      </c>
    </row>
    <row r="1372">
      <c r="A1372" s="5">
        <f>IF(AND(C1372&gt;=Options!$B$9,C1372&lt;=Options!$B$10),"Denver","")</f>
        <v/>
      </c>
      <c r="B1372" s="5">
        <f>IF(A1372="","",24)</f>
        <v/>
      </c>
      <c r="C1372" s="17" t="n">
        <v>46568</v>
      </c>
      <c r="D1372" s="5">
        <f>IF(A1372="","",IF(C1372=DATE(2026,11,29),"培训；注册午餐；早餐参数",IF(C1372=DATE(2026,11,30),"培训；注册午餐",IF(C1372=DATE(2026,12,1),"培训；注册午餐；机构晚餐",IF(C1372=Options!$B$9,"抵达；"&amp;IF(C1372=DATE(2026,11,28),"机构晚餐","无统一供餐"),IF(C1372=Options!$B$10,"返程；"&amp;IF(C1372=DATE(2026,12,2),"机构午餐","无统一供餐"),"差旅状态；无统一日程"))))))</f>
        <v/>
      </c>
      <c r="E1372" s="13">
        <f>IF(C1372=Options!$B$9,Options!$C$17,0)</f>
        <v/>
      </c>
      <c r="F1372" s="13">
        <f>IF(AND(A1372&lt;&gt;"",C1372&lt;Options!$B$10),B1372*Options!$X$6,0)</f>
        <v/>
      </c>
      <c r="G1372" s="13">
        <f>F1372*12%</f>
        <v/>
      </c>
      <c r="H1372" s="13">
        <f>IF(A1372="",0,B1372*(92*IF(OR(C1372=Options!$B$9,C1372=Options!$B$10),75%,100%)-IF(C1372=DATE(2026,11,29),26+IF(Options!$B$8="是",23,0),0)-IF(C1372=DATE(2026,11,30),26,0)-IF(C1372=DATE(2026,12,1),64,0)-IF(C1372=DATE(2026,11,28),38,0)-IF(C1372=DATE(2026,12,2),26,0)))</f>
        <v/>
      </c>
      <c r="I1372" s="13">
        <f>IF(AND(C1372&gt;=DATE(2026,11,29),C1372&lt;=DATE(2026,12,1)),B1372*60,0)</f>
        <v/>
      </c>
      <c r="J1372" s="13">
        <f>IF(A1372="",0,B1372*(IF(C1372=DATE(2026,11,28),38,0)+IF(C1372=DATE(2026,12,1),38,0)+IF(C1372=DATE(2026,12,2),26,0)))</f>
        <v/>
      </c>
      <c r="K1372" s="13">
        <f>IF(C1372=Options!$B$9,B1372*12,0)</f>
        <v/>
      </c>
      <c r="L1372" s="13">
        <f>IF(C1372=Options!$B$9,B1372*Options!$Z$6,0)</f>
        <v/>
      </c>
      <c r="M1372" s="13" t="n">
        <v>0</v>
      </c>
      <c r="N1372" s="13">
        <f>SUM(E1372:M1372)</f>
        <v/>
      </c>
    </row>
    <row r="1373">
      <c r="A1373" s="5">
        <f>IF(AND(C1373&gt;=Options!$B$9,C1373&lt;=Options!$B$10),"Denver","")</f>
        <v/>
      </c>
      <c r="B1373" s="5">
        <f>IF(A1373="","",24)</f>
        <v/>
      </c>
      <c r="C1373" s="17" t="n">
        <v>46569</v>
      </c>
      <c r="D1373" s="5">
        <f>IF(A1373="","",IF(C1373=DATE(2026,11,29),"培训；注册午餐；早餐参数",IF(C1373=DATE(2026,11,30),"培训；注册午餐",IF(C1373=DATE(2026,12,1),"培训；注册午餐；机构晚餐",IF(C1373=Options!$B$9,"抵达；"&amp;IF(C1373=DATE(2026,11,28),"机构晚餐","无统一供餐"),IF(C1373=Options!$B$10,"返程；"&amp;IF(C1373=DATE(2026,12,2),"机构午餐","无统一供餐"),"差旅状态；无统一日程"))))))</f>
        <v/>
      </c>
      <c r="E1373" s="13">
        <f>IF(C1373=Options!$B$9,Options!$C$17,0)</f>
        <v/>
      </c>
      <c r="F1373" s="13">
        <f>IF(AND(A1373&lt;&gt;"",C1373&lt;Options!$B$10),B1373*Options!$X$6,0)</f>
        <v/>
      </c>
      <c r="G1373" s="13">
        <f>F1373*12%</f>
        <v/>
      </c>
      <c r="H1373" s="13">
        <f>IF(A1373="",0,B1373*(92*IF(OR(C1373=Options!$B$9,C1373=Options!$B$10),75%,100%)-IF(C1373=DATE(2026,11,29),26+IF(Options!$B$8="是",23,0),0)-IF(C1373=DATE(2026,11,30),26,0)-IF(C1373=DATE(2026,12,1),64,0)-IF(C1373=DATE(2026,11,28),38,0)-IF(C1373=DATE(2026,12,2),26,0)))</f>
        <v/>
      </c>
      <c r="I1373" s="13">
        <f>IF(AND(C1373&gt;=DATE(2026,11,29),C1373&lt;=DATE(2026,12,1)),B1373*60,0)</f>
        <v/>
      </c>
      <c r="J1373" s="13">
        <f>IF(A1373="",0,B1373*(IF(C1373=DATE(2026,11,28),38,0)+IF(C1373=DATE(2026,12,1),38,0)+IF(C1373=DATE(2026,12,2),26,0)))</f>
        <v/>
      </c>
      <c r="K1373" s="13">
        <f>IF(C1373=Options!$B$9,B1373*12,0)</f>
        <v/>
      </c>
      <c r="L1373" s="13">
        <f>IF(C1373=Options!$B$9,B1373*Options!$Z$6,0)</f>
        <v/>
      </c>
      <c r="M1373" s="13" t="n">
        <v>0</v>
      </c>
      <c r="N1373" s="13">
        <f>SUM(E1373:M1373)</f>
        <v/>
      </c>
    </row>
    <row r="1374">
      <c r="A1374" s="5">
        <f>IF(AND(C1374&gt;=Options!$B$9,C1374&lt;=Options!$B$10),"Denver","")</f>
        <v/>
      </c>
      <c r="B1374" s="5">
        <f>IF(A1374="","",24)</f>
        <v/>
      </c>
      <c r="C1374" s="17" t="n">
        <v>46570</v>
      </c>
      <c r="D1374" s="5">
        <f>IF(A1374="","",IF(C1374=DATE(2026,11,29),"培训；注册午餐；早餐参数",IF(C1374=DATE(2026,11,30),"培训；注册午餐",IF(C1374=DATE(2026,12,1),"培训；注册午餐；机构晚餐",IF(C1374=Options!$B$9,"抵达；"&amp;IF(C1374=DATE(2026,11,28),"机构晚餐","无统一供餐"),IF(C1374=Options!$B$10,"返程；"&amp;IF(C1374=DATE(2026,12,2),"机构午餐","无统一供餐"),"差旅状态；无统一日程"))))))</f>
        <v/>
      </c>
      <c r="E1374" s="13">
        <f>IF(C1374=Options!$B$9,Options!$C$17,0)</f>
        <v/>
      </c>
      <c r="F1374" s="13">
        <f>IF(AND(A1374&lt;&gt;"",C1374&lt;Options!$B$10),B1374*Options!$X$6,0)</f>
        <v/>
      </c>
      <c r="G1374" s="13">
        <f>F1374*12%</f>
        <v/>
      </c>
      <c r="H1374" s="13">
        <f>IF(A1374="",0,B1374*(92*IF(OR(C1374=Options!$B$9,C1374=Options!$B$10),75%,100%)-IF(C1374=DATE(2026,11,29),26+IF(Options!$B$8="是",23,0),0)-IF(C1374=DATE(2026,11,30),26,0)-IF(C1374=DATE(2026,12,1),64,0)-IF(C1374=DATE(2026,11,28),38,0)-IF(C1374=DATE(2026,12,2),26,0)))</f>
        <v/>
      </c>
      <c r="I1374" s="13">
        <f>IF(AND(C1374&gt;=DATE(2026,11,29),C1374&lt;=DATE(2026,12,1)),B1374*60,0)</f>
        <v/>
      </c>
      <c r="J1374" s="13">
        <f>IF(A1374="",0,B1374*(IF(C1374=DATE(2026,11,28),38,0)+IF(C1374=DATE(2026,12,1),38,0)+IF(C1374=DATE(2026,12,2),26,0)))</f>
        <v/>
      </c>
      <c r="K1374" s="13">
        <f>IF(C1374=Options!$B$9,B1374*12,0)</f>
        <v/>
      </c>
      <c r="L1374" s="13">
        <f>IF(C1374=Options!$B$9,B1374*Options!$Z$6,0)</f>
        <v/>
      </c>
      <c r="M1374" s="13" t="n">
        <v>0</v>
      </c>
      <c r="N1374" s="13">
        <f>SUM(E1374:M1374)</f>
        <v/>
      </c>
    </row>
    <row r="1375">
      <c r="A1375" s="5">
        <f>IF(AND(C1375&gt;=Options!$B$9,C1375&lt;=Options!$B$10),"Denver","")</f>
        <v/>
      </c>
      <c r="B1375" s="5">
        <f>IF(A1375="","",24)</f>
        <v/>
      </c>
      <c r="C1375" s="17" t="n">
        <v>46571</v>
      </c>
      <c r="D1375" s="5">
        <f>IF(A1375="","",IF(C1375=DATE(2026,11,29),"培训；注册午餐；早餐参数",IF(C1375=DATE(2026,11,30),"培训；注册午餐",IF(C1375=DATE(2026,12,1),"培训；注册午餐；机构晚餐",IF(C1375=Options!$B$9,"抵达；"&amp;IF(C1375=DATE(2026,11,28),"机构晚餐","无统一供餐"),IF(C1375=Options!$B$10,"返程；"&amp;IF(C1375=DATE(2026,12,2),"机构午餐","无统一供餐"),"差旅状态；无统一日程"))))))</f>
        <v/>
      </c>
      <c r="E1375" s="13">
        <f>IF(C1375=Options!$B$9,Options!$C$17,0)</f>
        <v/>
      </c>
      <c r="F1375" s="13">
        <f>IF(AND(A1375&lt;&gt;"",C1375&lt;Options!$B$10),B1375*Options!$X$6,0)</f>
        <v/>
      </c>
      <c r="G1375" s="13">
        <f>F1375*12%</f>
        <v/>
      </c>
      <c r="H1375" s="13">
        <f>IF(A1375="",0,B1375*(92*IF(OR(C1375=Options!$B$9,C1375=Options!$B$10),75%,100%)-IF(C1375=DATE(2026,11,29),26+IF(Options!$B$8="是",23,0),0)-IF(C1375=DATE(2026,11,30),26,0)-IF(C1375=DATE(2026,12,1),64,0)-IF(C1375=DATE(2026,11,28),38,0)-IF(C1375=DATE(2026,12,2),26,0)))</f>
        <v/>
      </c>
      <c r="I1375" s="13">
        <f>IF(AND(C1375&gt;=DATE(2026,11,29),C1375&lt;=DATE(2026,12,1)),B1375*60,0)</f>
        <v/>
      </c>
      <c r="J1375" s="13">
        <f>IF(A1375="",0,B1375*(IF(C1375=DATE(2026,11,28),38,0)+IF(C1375=DATE(2026,12,1),38,0)+IF(C1375=DATE(2026,12,2),26,0)))</f>
        <v/>
      </c>
      <c r="K1375" s="13">
        <f>IF(C1375=Options!$B$9,B1375*12,0)</f>
        <v/>
      </c>
      <c r="L1375" s="13">
        <f>IF(C1375=Options!$B$9,B1375*Options!$Z$6,0)</f>
        <v/>
      </c>
      <c r="M1375" s="13" t="n">
        <v>0</v>
      </c>
      <c r="N1375" s="13">
        <f>SUM(E1375:M1375)</f>
        <v/>
      </c>
    </row>
    <row r="1376">
      <c r="A1376" s="5">
        <f>IF(AND(C1376&gt;=Options!$B$9,C1376&lt;=Options!$B$10),"Denver","")</f>
        <v/>
      </c>
      <c r="B1376" s="5">
        <f>IF(A1376="","",24)</f>
        <v/>
      </c>
      <c r="C1376" s="17" t="n">
        <v>46572</v>
      </c>
      <c r="D1376" s="5">
        <f>IF(A1376="","",IF(C1376=DATE(2026,11,29),"培训；注册午餐；早餐参数",IF(C1376=DATE(2026,11,30),"培训；注册午餐",IF(C1376=DATE(2026,12,1),"培训；注册午餐；机构晚餐",IF(C1376=Options!$B$9,"抵达；"&amp;IF(C1376=DATE(2026,11,28),"机构晚餐","无统一供餐"),IF(C1376=Options!$B$10,"返程；"&amp;IF(C1376=DATE(2026,12,2),"机构午餐","无统一供餐"),"差旅状态；无统一日程"))))))</f>
        <v/>
      </c>
      <c r="E1376" s="13">
        <f>IF(C1376=Options!$B$9,Options!$C$17,0)</f>
        <v/>
      </c>
      <c r="F1376" s="13">
        <f>IF(AND(A1376&lt;&gt;"",C1376&lt;Options!$B$10),B1376*Options!$X$6,0)</f>
        <v/>
      </c>
      <c r="G1376" s="13">
        <f>F1376*12%</f>
        <v/>
      </c>
      <c r="H1376" s="13">
        <f>IF(A1376="",0,B1376*(92*IF(OR(C1376=Options!$B$9,C1376=Options!$B$10),75%,100%)-IF(C1376=DATE(2026,11,29),26+IF(Options!$B$8="是",23,0),0)-IF(C1376=DATE(2026,11,30),26,0)-IF(C1376=DATE(2026,12,1),64,0)-IF(C1376=DATE(2026,11,28),38,0)-IF(C1376=DATE(2026,12,2),26,0)))</f>
        <v/>
      </c>
      <c r="I1376" s="13">
        <f>IF(AND(C1376&gt;=DATE(2026,11,29),C1376&lt;=DATE(2026,12,1)),B1376*60,0)</f>
        <v/>
      </c>
      <c r="J1376" s="13">
        <f>IF(A1376="",0,B1376*(IF(C1376=DATE(2026,11,28),38,0)+IF(C1376=DATE(2026,12,1),38,0)+IF(C1376=DATE(2026,12,2),26,0)))</f>
        <v/>
      </c>
      <c r="K1376" s="13">
        <f>IF(C1376=Options!$B$9,B1376*12,0)</f>
        <v/>
      </c>
      <c r="L1376" s="13">
        <f>IF(C1376=Options!$B$9,B1376*Options!$Z$6,0)</f>
        <v/>
      </c>
      <c r="M1376" s="13" t="n">
        <v>0</v>
      </c>
      <c r="N1376" s="13">
        <f>SUM(E1376:M1376)</f>
        <v/>
      </c>
    </row>
    <row r="1377">
      <c r="A1377" s="5">
        <f>IF(AND(C1377&gt;=Options!$B$9,C1377&lt;=Options!$B$10),"Denver","")</f>
        <v/>
      </c>
      <c r="B1377" s="5">
        <f>IF(A1377="","",24)</f>
        <v/>
      </c>
      <c r="C1377" s="17" t="n">
        <v>46573</v>
      </c>
      <c r="D1377" s="5">
        <f>IF(A1377="","",IF(C1377=DATE(2026,11,29),"培训；注册午餐；早餐参数",IF(C1377=DATE(2026,11,30),"培训；注册午餐",IF(C1377=DATE(2026,12,1),"培训；注册午餐；机构晚餐",IF(C1377=Options!$B$9,"抵达；"&amp;IF(C1377=DATE(2026,11,28),"机构晚餐","无统一供餐"),IF(C1377=Options!$B$10,"返程；"&amp;IF(C1377=DATE(2026,12,2),"机构午餐","无统一供餐"),"差旅状态；无统一日程"))))))</f>
        <v/>
      </c>
      <c r="E1377" s="13">
        <f>IF(C1377=Options!$B$9,Options!$C$17,0)</f>
        <v/>
      </c>
      <c r="F1377" s="13">
        <f>IF(AND(A1377&lt;&gt;"",C1377&lt;Options!$B$10),B1377*Options!$X$6,0)</f>
        <v/>
      </c>
      <c r="G1377" s="13">
        <f>F1377*12%</f>
        <v/>
      </c>
      <c r="H1377" s="13">
        <f>IF(A1377="",0,B1377*(92*IF(OR(C1377=Options!$B$9,C1377=Options!$B$10),75%,100%)-IF(C1377=DATE(2026,11,29),26+IF(Options!$B$8="是",23,0),0)-IF(C1377=DATE(2026,11,30),26,0)-IF(C1377=DATE(2026,12,1),64,0)-IF(C1377=DATE(2026,11,28),38,0)-IF(C1377=DATE(2026,12,2),26,0)))</f>
        <v/>
      </c>
      <c r="I1377" s="13">
        <f>IF(AND(C1377&gt;=DATE(2026,11,29),C1377&lt;=DATE(2026,12,1)),B1377*60,0)</f>
        <v/>
      </c>
      <c r="J1377" s="13">
        <f>IF(A1377="",0,B1377*(IF(C1377=DATE(2026,11,28),38,0)+IF(C1377=DATE(2026,12,1),38,0)+IF(C1377=DATE(2026,12,2),26,0)))</f>
        <v/>
      </c>
      <c r="K1377" s="13">
        <f>IF(C1377=Options!$B$9,B1377*12,0)</f>
        <v/>
      </c>
      <c r="L1377" s="13">
        <f>IF(C1377=Options!$B$9,B1377*Options!$Z$6,0)</f>
        <v/>
      </c>
      <c r="M1377" s="13" t="n">
        <v>0</v>
      </c>
      <c r="N1377" s="13">
        <f>SUM(E1377:M1377)</f>
        <v/>
      </c>
    </row>
    <row r="1378">
      <c r="A1378" s="5">
        <f>IF(AND(C1378&gt;=Options!$B$9,C1378&lt;=Options!$B$10),"Denver","")</f>
        <v/>
      </c>
      <c r="B1378" s="5">
        <f>IF(A1378="","",24)</f>
        <v/>
      </c>
      <c r="C1378" s="17" t="n">
        <v>46574</v>
      </c>
      <c r="D1378" s="5">
        <f>IF(A1378="","",IF(C1378=DATE(2026,11,29),"培训；注册午餐；早餐参数",IF(C1378=DATE(2026,11,30),"培训；注册午餐",IF(C1378=DATE(2026,12,1),"培训；注册午餐；机构晚餐",IF(C1378=Options!$B$9,"抵达；"&amp;IF(C1378=DATE(2026,11,28),"机构晚餐","无统一供餐"),IF(C1378=Options!$B$10,"返程；"&amp;IF(C1378=DATE(2026,12,2),"机构午餐","无统一供餐"),"差旅状态；无统一日程"))))))</f>
        <v/>
      </c>
      <c r="E1378" s="13">
        <f>IF(C1378=Options!$B$9,Options!$C$17,0)</f>
        <v/>
      </c>
      <c r="F1378" s="13">
        <f>IF(AND(A1378&lt;&gt;"",C1378&lt;Options!$B$10),B1378*Options!$X$6,0)</f>
        <v/>
      </c>
      <c r="G1378" s="13">
        <f>F1378*12%</f>
        <v/>
      </c>
      <c r="H1378" s="13">
        <f>IF(A1378="",0,B1378*(92*IF(OR(C1378=Options!$B$9,C1378=Options!$B$10),75%,100%)-IF(C1378=DATE(2026,11,29),26+IF(Options!$B$8="是",23,0),0)-IF(C1378=DATE(2026,11,30),26,0)-IF(C1378=DATE(2026,12,1),64,0)-IF(C1378=DATE(2026,11,28),38,0)-IF(C1378=DATE(2026,12,2),26,0)))</f>
        <v/>
      </c>
      <c r="I1378" s="13">
        <f>IF(AND(C1378&gt;=DATE(2026,11,29),C1378&lt;=DATE(2026,12,1)),B1378*60,0)</f>
        <v/>
      </c>
      <c r="J1378" s="13">
        <f>IF(A1378="",0,B1378*(IF(C1378=DATE(2026,11,28),38,0)+IF(C1378=DATE(2026,12,1),38,0)+IF(C1378=DATE(2026,12,2),26,0)))</f>
        <v/>
      </c>
      <c r="K1378" s="13">
        <f>IF(C1378=Options!$B$9,B1378*12,0)</f>
        <v/>
      </c>
      <c r="L1378" s="13">
        <f>IF(C1378=Options!$B$9,B1378*Options!$Z$6,0)</f>
        <v/>
      </c>
      <c r="M1378" s="13" t="n">
        <v>0</v>
      </c>
      <c r="N1378" s="13">
        <f>SUM(E1378:M1378)</f>
        <v/>
      </c>
    </row>
    <row r="1379">
      <c r="A1379" s="5">
        <f>IF(AND(C1379&gt;=Options!$B$9,C1379&lt;=Options!$B$10),"Denver","")</f>
        <v/>
      </c>
      <c r="B1379" s="5">
        <f>IF(A1379="","",24)</f>
        <v/>
      </c>
      <c r="C1379" s="17" t="n">
        <v>46575</v>
      </c>
      <c r="D1379" s="5">
        <f>IF(A1379="","",IF(C1379=DATE(2026,11,29),"培训；注册午餐；早餐参数",IF(C1379=DATE(2026,11,30),"培训；注册午餐",IF(C1379=DATE(2026,12,1),"培训；注册午餐；机构晚餐",IF(C1379=Options!$B$9,"抵达；"&amp;IF(C1379=DATE(2026,11,28),"机构晚餐","无统一供餐"),IF(C1379=Options!$B$10,"返程；"&amp;IF(C1379=DATE(2026,12,2),"机构午餐","无统一供餐"),"差旅状态；无统一日程"))))))</f>
        <v/>
      </c>
      <c r="E1379" s="13">
        <f>IF(C1379=Options!$B$9,Options!$C$17,0)</f>
        <v/>
      </c>
      <c r="F1379" s="13">
        <f>IF(AND(A1379&lt;&gt;"",C1379&lt;Options!$B$10),B1379*Options!$X$6,0)</f>
        <v/>
      </c>
      <c r="G1379" s="13">
        <f>F1379*12%</f>
        <v/>
      </c>
      <c r="H1379" s="13">
        <f>IF(A1379="",0,B1379*(92*IF(OR(C1379=Options!$B$9,C1379=Options!$B$10),75%,100%)-IF(C1379=DATE(2026,11,29),26+IF(Options!$B$8="是",23,0),0)-IF(C1379=DATE(2026,11,30),26,0)-IF(C1379=DATE(2026,12,1),64,0)-IF(C1379=DATE(2026,11,28),38,0)-IF(C1379=DATE(2026,12,2),26,0)))</f>
        <v/>
      </c>
      <c r="I1379" s="13">
        <f>IF(AND(C1379&gt;=DATE(2026,11,29),C1379&lt;=DATE(2026,12,1)),B1379*60,0)</f>
        <v/>
      </c>
      <c r="J1379" s="13">
        <f>IF(A1379="",0,B1379*(IF(C1379=DATE(2026,11,28),38,0)+IF(C1379=DATE(2026,12,1),38,0)+IF(C1379=DATE(2026,12,2),26,0)))</f>
        <v/>
      </c>
      <c r="K1379" s="13">
        <f>IF(C1379=Options!$B$9,B1379*12,0)</f>
        <v/>
      </c>
      <c r="L1379" s="13">
        <f>IF(C1379=Options!$B$9,B1379*Options!$Z$6,0)</f>
        <v/>
      </c>
      <c r="M1379" s="13" t="n">
        <v>0</v>
      </c>
      <c r="N1379" s="13">
        <f>SUM(E1379:M1379)</f>
        <v/>
      </c>
    </row>
    <row r="1380">
      <c r="A1380" s="5">
        <f>IF(AND(C1380&gt;=Options!$B$9,C1380&lt;=Options!$B$10),"Denver","")</f>
        <v/>
      </c>
      <c r="B1380" s="5">
        <f>IF(A1380="","",24)</f>
        <v/>
      </c>
      <c r="C1380" s="17" t="n">
        <v>46576</v>
      </c>
      <c r="D1380" s="5">
        <f>IF(A1380="","",IF(C1380=DATE(2026,11,29),"培训；注册午餐；早餐参数",IF(C1380=DATE(2026,11,30),"培训；注册午餐",IF(C1380=DATE(2026,12,1),"培训；注册午餐；机构晚餐",IF(C1380=Options!$B$9,"抵达；"&amp;IF(C1380=DATE(2026,11,28),"机构晚餐","无统一供餐"),IF(C1380=Options!$B$10,"返程；"&amp;IF(C1380=DATE(2026,12,2),"机构午餐","无统一供餐"),"差旅状态；无统一日程"))))))</f>
        <v/>
      </c>
      <c r="E1380" s="13">
        <f>IF(C1380=Options!$B$9,Options!$C$17,0)</f>
        <v/>
      </c>
      <c r="F1380" s="13">
        <f>IF(AND(A1380&lt;&gt;"",C1380&lt;Options!$B$10),B1380*Options!$X$6,0)</f>
        <v/>
      </c>
      <c r="G1380" s="13">
        <f>F1380*12%</f>
        <v/>
      </c>
      <c r="H1380" s="13">
        <f>IF(A1380="",0,B1380*(92*IF(OR(C1380=Options!$B$9,C1380=Options!$B$10),75%,100%)-IF(C1380=DATE(2026,11,29),26+IF(Options!$B$8="是",23,0),0)-IF(C1380=DATE(2026,11,30),26,0)-IF(C1380=DATE(2026,12,1),64,0)-IF(C1380=DATE(2026,11,28),38,0)-IF(C1380=DATE(2026,12,2),26,0)))</f>
        <v/>
      </c>
      <c r="I1380" s="13">
        <f>IF(AND(C1380&gt;=DATE(2026,11,29),C1380&lt;=DATE(2026,12,1)),B1380*60,0)</f>
        <v/>
      </c>
      <c r="J1380" s="13">
        <f>IF(A1380="",0,B1380*(IF(C1380=DATE(2026,11,28),38,0)+IF(C1380=DATE(2026,12,1),38,0)+IF(C1380=DATE(2026,12,2),26,0)))</f>
        <v/>
      </c>
      <c r="K1380" s="13">
        <f>IF(C1380=Options!$B$9,B1380*12,0)</f>
        <v/>
      </c>
      <c r="L1380" s="13">
        <f>IF(C1380=Options!$B$9,B1380*Options!$Z$6,0)</f>
        <v/>
      </c>
      <c r="M1380" s="13" t="n">
        <v>0</v>
      </c>
      <c r="N1380" s="13">
        <f>SUM(E1380:M1380)</f>
        <v/>
      </c>
    </row>
    <row r="1381">
      <c r="A1381" s="5">
        <f>IF(AND(C1381&gt;=Options!$B$9,C1381&lt;=Options!$B$10),"Denver","")</f>
        <v/>
      </c>
      <c r="B1381" s="5">
        <f>IF(A1381="","",24)</f>
        <v/>
      </c>
      <c r="C1381" s="17" t="n">
        <v>46577</v>
      </c>
      <c r="D1381" s="5">
        <f>IF(A1381="","",IF(C1381=DATE(2026,11,29),"培训；注册午餐；早餐参数",IF(C1381=DATE(2026,11,30),"培训；注册午餐",IF(C1381=DATE(2026,12,1),"培训；注册午餐；机构晚餐",IF(C1381=Options!$B$9,"抵达；"&amp;IF(C1381=DATE(2026,11,28),"机构晚餐","无统一供餐"),IF(C1381=Options!$B$10,"返程；"&amp;IF(C1381=DATE(2026,12,2),"机构午餐","无统一供餐"),"差旅状态；无统一日程"))))))</f>
        <v/>
      </c>
      <c r="E1381" s="13">
        <f>IF(C1381=Options!$B$9,Options!$C$17,0)</f>
        <v/>
      </c>
      <c r="F1381" s="13">
        <f>IF(AND(A1381&lt;&gt;"",C1381&lt;Options!$B$10),B1381*Options!$X$6,0)</f>
        <v/>
      </c>
      <c r="G1381" s="13">
        <f>F1381*12%</f>
        <v/>
      </c>
      <c r="H1381" s="13">
        <f>IF(A1381="",0,B1381*(92*IF(OR(C1381=Options!$B$9,C1381=Options!$B$10),75%,100%)-IF(C1381=DATE(2026,11,29),26+IF(Options!$B$8="是",23,0),0)-IF(C1381=DATE(2026,11,30),26,0)-IF(C1381=DATE(2026,12,1),64,0)-IF(C1381=DATE(2026,11,28),38,0)-IF(C1381=DATE(2026,12,2),26,0)))</f>
        <v/>
      </c>
      <c r="I1381" s="13">
        <f>IF(AND(C1381&gt;=DATE(2026,11,29),C1381&lt;=DATE(2026,12,1)),B1381*60,0)</f>
        <v/>
      </c>
      <c r="J1381" s="13">
        <f>IF(A1381="",0,B1381*(IF(C1381=DATE(2026,11,28),38,0)+IF(C1381=DATE(2026,12,1),38,0)+IF(C1381=DATE(2026,12,2),26,0)))</f>
        <v/>
      </c>
      <c r="K1381" s="13">
        <f>IF(C1381=Options!$B$9,B1381*12,0)</f>
        <v/>
      </c>
      <c r="L1381" s="13">
        <f>IF(C1381=Options!$B$9,B1381*Options!$Z$6,0)</f>
        <v/>
      </c>
      <c r="M1381" s="13" t="n">
        <v>0</v>
      </c>
      <c r="N1381" s="13">
        <f>SUM(E1381:M1381)</f>
        <v/>
      </c>
    </row>
    <row r="1382">
      <c r="A1382" s="5">
        <f>IF(AND(C1382&gt;=Options!$B$9,C1382&lt;=Options!$B$10),"Denver","")</f>
        <v/>
      </c>
      <c r="B1382" s="5">
        <f>IF(A1382="","",24)</f>
        <v/>
      </c>
      <c r="C1382" s="17" t="n">
        <v>46578</v>
      </c>
      <c r="D1382" s="5">
        <f>IF(A1382="","",IF(C1382=DATE(2026,11,29),"培训；注册午餐；早餐参数",IF(C1382=DATE(2026,11,30),"培训；注册午餐",IF(C1382=DATE(2026,12,1),"培训；注册午餐；机构晚餐",IF(C1382=Options!$B$9,"抵达；"&amp;IF(C1382=DATE(2026,11,28),"机构晚餐","无统一供餐"),IF(C1382=Options!$B$10,"返程；"&amp;IF(C1382=DATE(2026,12,2),"机构午餐","无统一供餐"),"差旅状态；无统一日程"))))))</f>
        <v/>
      </c>
      <c r="E1382" s="13">
        <f>IF(C1382=Options!$B$9,Options!$C$17,0)</f>
        <v/>
      </c>
      <c r="F1382" s="13">
        <f>IF(AND(A1382&lt;&gt;"",C1382&lt;Options!$B$10),B1382*Options!$X$6,0)</f>
        <v/>
      </c>
      <c r="G1382" s="13">
        <f>F1382*12%</f>
        <v/>
      </c>
      <c r="H1382" s="13">
        <f>IF(A1382="",0,B1382*(92*IF(OR(C1382=Options!$B$9,C1382=Options!$B$10),75%,100%)-IF(C1382=DATE(2026,11,29),26+IF(Options!$B$8="是",23,0),0)-IF(C1382=DATE(2026,11,30),26,0)-IF(C1382=DATE(2026,12,1),64,0)-IF(C1382=DATE(2026,11,28),38,0)-IF(C1382=DATE(2026,12,2),26,0)))</f>
        <v/>
      </c>
      <c r="I1382" s="13">
        <f>IF(AND(C1382&gt;=DATE(2026,11,29),C1382&lt;=DATE(2026,12,1)),B1382*60,0)</f>
        <v/>
      </c>
      <c r="J1382" s="13">
        <f>IF(A1382="",0,B1382*(IF(C1382=DATE(2026,11,28),38,0)+IF(C1382=DATE(2026,12,1),38,0)+IF(C1382=DATE(2026,12,2),26,0)))</f>
        <v/>
      </c>
      <c r="K1382" s="13">
        <f>IF(C1382=Options!$B$9,B1382*12,0)</f>
        <v/>
      </c>
      <c r="L1382" s="13">
        <f>IF(C1382=Options!$B$9,B1382*Options!$Z$6,0)</f>
        <v/>
      </c>
      <c r="M1382" s="13" t="n">
        <v>0</v>
      </c>
      <c r="N1382" s="13">
        <f>SUM(E1382:M1382)</f>
        <v/>
      </c>
    </row>
    <row r="1383">
      <c r="A1383" s="5">
        <f>IF(AND(C1383&gt;=Options!$B$9,C1383&lt;=Options!$B$10),"Denver","")</f>
        <v/>
      </c>
      <c r="B1383" s="5">
        <f>IF(A1383="","",24)</f>
        <v/>
      </c>
      <c r="C1383" s="17" t="n">
        <v>46579</v>
      </c>
      <c r="D1383" s="5">
        <f>IF(A1383="","",IF(C1383=DATE(2026,11,29),"培训；注册午餐；早餐参数",IF(C1383=DATE(2026,11,30),"培训；注册午餐",IF(C1383=DATE(2026,12,1),"培训；注册午餐；机构晚餐",IF(C1383=Options!$B$9,"抵达；"&amp;IF(C1383=DATE(2026,11,28),"机构晚餐","无统一供餐"),IF(C1383=Options!$B$10,"返程；"&amp;IF(C1383=DATE(2026,12,2),"机构午餐","无统一供餐"),"差旅状态；无统一日程"))))))</f>
        <v/>
      </c>
      <c r="E1383" s="13">
        <f>IF(C1383=Options!$B$9,Options!$C$17,0)</f>
        <v/>
      </c>
      <c r="F1383" s="13">
        <f>IF(AND(A1383&lt;&gt;"",C1383&lt;Options!$B$10),B1383*Options!$X$6,0)</f>
        <v/>
      </c>
      <c r="G1383" s="13">
        <f>F1383*12%</f>
        <v/>
      </c>
      <c r="H1383" s="13">
        <f>IF(A1383="",0,B1383*(92*IF(OR(C1383=Options!$B$9,C1383=Options!$B$10),75%,100%)-IF(C1383=DATE(2026,11,29),26+IF(Options!$B$8="是",23,0),0)-IF(C1383=DATE(2026,11,30),26,0)-IF(C1383=DATE(2026,12,1),64,0)-IF(C1383=DATE(2026,11,28),38,0)-IF(C1383=DATE(2026,12,2),26,0)))</f>
        <v/>
      </c>
      <c r="I1383" s="13">
        <f>IF(AND(C1383&gt;=DATE(2026,11,29),C1383&lt;=DATE(2026,12,1)),B1383*60,0)</f>
        <v/>
      </c>
      <c r="J1383" s="13">
        <f>IF(A1383="",0,B1383*(IF(C1383=DATE(2026,11,28),38,0)+IF(C1383=DATE(2026,12,1),38,0)+IF(C1383=DATE(2026,12,2),26,0)))</f>
        <v/>
      </c>
      <c r="K1383" s="13">
        <f>IF(C1383=Options!$B$9,B1383*12,0)</f>
        <v/>
      </c>
      <c r="L1383" s="13">
        <f>IF(C1383=Options!$B$9,B1383*Options!$Z$6,0)</f>
        <v/>
      </c>
      <c r="M1383" s="13" t="n">
        <v>0</v>
      </c>
      <c r="N1383" s="13">
        <f>SUM(E1383:M1383)</f>
        <v/>
      </c>
    </row>
    <row r="1384">
      <c r="A1384" s="5">
        <f>IF(AND(C1384&gt;=Options!$B$9,C1384&lt;=Options!$B$10),"Denver","")</f>
        <v/>
      </c>
      <c r="B1384" s="5">
        <f>IF(A1384="","",24)</f>
        <v/>
      </c>
      <c r="C1384" s="17" t="n">
        <v>46580</v>
      </c>
      <c r="D1384" s="5">
        <f>IF(A1384="","",IF(C1384=DATE(2026,11,29),"培训；注册午餐；早餐参数",IF(C1384=DATE(2026,11,30),"培训；注册午餐",IF(C1384=DATE(2026,12,1),"培训；注册午餐；机构晚餐",IF(C1384=Options!$B$9,"抵达；"&amp;IF(C1384=DATE(2026,11,28),"机构晚餐","无统一供餐"),IF(C1384=Options!$B$10,"返程；"&amp;IF(C1384=DATE(2026,12,2),"机构午餐","无统一供餐"),"差旅状态；无统一日程"))))))</f>
        <v/>
      </c>
      <c r="E1384" s="13">
        <f>IF(C1384=Options!$B$9,Options!$C$17,0)</f>
        <v/>
      </c>
      <c r="F1384" s="13">
        <f>IF(AND(A1384&lt;&gt;"",C1384&lt;Options!$B$10),B1384*Options!$X$6,0)</f>
        <v/>
      </c>
      <c r="G1384" s="13">
        <f>F1384*12%</f>
        <v/>
      </c>
      <c r="H1384" s="13">
        <f>IF(A1384="",0,B1384*(92*IF(OR(C1384=Options!$B$9,C1384=Options!$B$10),75%,100%)-IF(C1384=DATE(2026,11,29),26+IF(Options!$B$8="是",23,0),0)-IF(C1384=DATE(2026,11,30),26,0)-IF(C1384=DATE(2026,12,1),64,0)-IF(C1384=DATE(2026,11,28),38,0)-IF(C1384=DATE(2026,12,2),26,0)))</f>
        <v/>
      </c>
      <c r="I1384" s="13">
        <f>IF(AND(C1384&gt;=DATE(2026,11,29),C1384&lt;=DATE(2026,12,1)),B1384*60,0)</f>
        <v/>
      </c>
      <c r="J1384" s="13">
        <f>IF(A1384="",0,B1384*(IF(C1384=DATE(2026,11,28),38,0)+IF(C1384=DATE(2026,12,1),38,0)+IF(C1384=DATE(2026,12,2),26,0)))</f>
        <v/>
      </c>
      <c r="K1384" s="13">
        <f>IF(C1384=Options!$B$9,B1384*12,0)</f>
        <v/>
      </c>
      <c r="L1384" s="13">
        <f>IF(C1384=Options!$B$9,B1384*Options!$Z$6,0)</f>
        <v/>
      </c>
      <c r="M1384" s="13" t="n">
        <v>0</v>
      </c>
      <c r="N1384" s="13">
        <f>SUM(E1384:M1384)</f>
        <v/>
      </c>
    </row>
    <row r="1385">
      <c r="A1385" s="5">
        <f>IF(AND(C1385&gt;=Options!$B$9,C1385&lt;=Options!$B$10),"Denver","")</f>
        <v/>
      </c>
      <c r="B1385" s="5">
        <f>IF(A1385="","",24)</f>
        <v/>
      </c>
      <c r="C1385" s="17" t="n">
        <v>46581</v>
      </c>
      <c r="D1385" s="5">
        <f>IF(A1385="","",IF(C1385=DATE(2026,11,29),"培训；注册午餐；早餐参数",IF(C1385=DATE(2026,11,30),"培训；注册午餐",IF(C1385=DATE(2026,12,1),"培训；注册午餐；机构晚餐",IF(C1385=Options!$B$9,"抵达；"&amp;IF(C1385=DATE(2026,11,28),"机构晚餐","无统一供餐"),IF(C1385=Options!$B$10,"返程；"&amp;IF(C1385=DATE(2026,12,2),"机构午餐","无统一供餐"),"差旅状态；无统一日程"))))))</f>
        <v/>
      </c>
      <c r="E1385" s="13">
        <f>IF(C1385=Options!$B$9,Options!$C$17,0)</f>
        <v/>
      </c>
      <c r="F1385" s="13">
        <f>IF(AND(A1385&lt;&gt;"",C1385&lt;Options!$B$10),B1385*Options!$X$6,0)</f>
        <v/>
      </c>
      <c r="G1385" s="13">
        <f>F1385*12%</f>
        <v/>
      </c>
      <c r="H1385" s="13">
        <f>IF(A1385="",0,B1385*(92*IF(OR(C1385=Options!$B$9,C1385=Options!$B$10),75%,100%)-IF(C1385=DATE(2026,11,29),26+IF(Options!$B$8="是",23,0),0)-IF(C1385=DATE(2026,11,30),26,0)-IF(C1385=DATE(2026,12,1),64,0)-IF(C1385=DATE(2026,11,28),38,0)-IF(C1385=DATE(2026,12,2),26,0)))</f>
        <v/>
      </c>
      <c r="I1385" s="13">
        <f>IF(AND(C1385&gt;=DATE(2026,11,29),C1385&lt;=DATE(2026,12,1)),B1385*60,0)</f>
        <v/>
      </c>
      <c r="J1385" s="13">
        <f>IF(A1385="",0,B1385*(IF(C1385=DATE(2026,11,28),38,0)+IF(C1385=DATE(2026,12,1),38,0)+IF(C1385=DATE(2026,12,2),26,0)))</f>
        <v/>
      </c>
      <c r="K1385" s="13">
        <f>IF(C1385=Options!$B$9,B1385*12,0)</f>
        <v/>
      </c>
      <c r="L1385" s="13">
        <f>IF(C1385=Options!$B$9,B1385*Options!$Z$6,0)</f>
        <v/>
      </c>
      <c r="M1385" s="13" t="n">
        <v>0</v>
      </c>
      <c r="N1385" s="13">
        <f>SUM(E1385:M1385)</f>
        <v/>
      </c>
    </row>
    <row r="1386">
      <c r="A1386" s="5">
        <f>IF(AND(C1386&gt;=Options!$B$9,C1386&lt;=Options!$B$10),"Denver","")</f>
        <v/>
      </c>
      <c r="B1386" s="5">
        <f>IF(A1386="","",24)</f>
        <v/>
      </c>
      <c r="C1386" s="17" t="n">
        <v>46582</v>
      </c>
      <c r="D1386" s="5">
        <f>IF(A1386="","",IF(C1386=DATE(2026,11,29),"培训；注册午餐；早餐参数",IF(C1386=DATE(2026,11,30),"培训；注册午餐",IF(C1386=DATE(2026,12,1),"培训；注册午餐；机构晚餐",IF(C1386=Options!$B$9,"抵达；"&amp;IF(C1386=DATE(2026,11,28),"机构晚餐","无统一供餐"),IF(C1386=Options!$B$10,"返程；"&amp;IF(C1386=DATE(2026,12,2),"机构午餐","无统一供餐"),"差旅状态；无统一日程"))))))</f>
        <v/>
      </c>
      <c r="E1386" s="13">
        <f>IF(C1386=Options!$B$9,Options!$C$17,0)</f>
        <v/>
      </c>
      <c r="F1386" s="13">
        <f>IF(AND(A1386&lt;&gt;"",C1386&lt;Options!$B$10),B1386*Options!$X$6,0)</f>
        <v/>
      </c>
      <c r="G1386" s="13">
        <f>F1386*12%</f>
        <v/>
      </c>
      <c r="H1386" s="13">
        <f>IF(A1386="",0,B1386*(92*IF(OR(C1386=Options!$B$9,C1386=Options!$B$10),75%,100%)-IF(C1386=DATE(2026,11,29),26+IF(Options!$B$8="是",23,0),0)-IF(C1386=DATE(2026,11,30),26,0)-IF(C1386=DATE(2026,12,1),64,0)-IF(C1386=DATE(2026,11,28),38,0)-IF(C1386=DATE(2026,12,2),26,0)))</f>
        <v/>
      </c>
      <c r="I1386" s="13">
        <f>IF(AND(C1386&gt;=DATE(2026,11,29),C1386&lt;=DATE(2026,12,1)),B1386*60,0)</f>
        <v/>
      </c>
      <c r="J1386" s="13">
        <f>IF(A1386="",0,B1386*(IF(C1386=DATE(2026,11,28),38,0)+IF(C1386=DATE(2026,12,1),38,0)+IF(C1386=DATE(2026,12,2),26,0)))</f>
        <v/>
      </c>
      <c r="K1386" s="13">
        <f>IF(C1386=Options!$B$9,B1386*12,0)</f>
        <v/>
      </c>
      <c r="L1386" s="13">
        <f>IF(C1386=Options!$B$9,B1386*Options!$Z$6,0)</f>
        <v/>
      </c>
      <c r="M1386" s="13" t="n">
        <v>0</v>
      </c>
      <c r="N1386" s="13">
        <f>SUM(E1386:M1386)</f>
        <v/>
      </c>
    </row>
    <row r="1387">
      <c r="A1387" s="5">
        <f>IF(AND(C1387&gt;=Options!$B$9,C1387&lt;=Options!$B$10),"Denver","")</f>
        <v/>
      </c>
      <c r="B1387" s="5">
        <f>IF(A1387="","",24)</f>
        <v/>
      </c>
      <c r="C1387" s="17" t="n">
        <v>46583</v>
      </c>
      <c r="D1387" s="5">
        <f>IF(A1387="","",IF(C1387=DATE(2026,11,29),"培训；注册午餐；早餐参数",IF(C1387=DATE(2026,11,30),"培训；注册午餐",IF(C1387=DATE(2026,12,1),"培训；注册午餐；机构晚餐",IF(C1387=Options!$B$9,"抵达；"&amp;IF(C1387=DATE(2026,11,28),"机构晚餐","无统一供餐"),IF(C1387=Options!$B$10,"返程；"&amp;IF(C1387=DATE(2026,12,2),"机构午餐","无统一供餐"),"差旅状态；无统一日程"))))))</f>
        <v/>
      </c>
      <c r="E1387" s="13">
        <f>IF(C1387=Options!$B$9,Options!$C$17,0)</f>
        <v/>
      </c>
      <c r="F1387" s="13">
        <f>IF(AND(A1387&lt;&gt;"",C1387&lt;Options!$B$10),B1387*Options!$X$6,0)</f>
        <v/>
      </c>
      <c r="G1387" s="13">
        <f>F1387*12%</f>
        <v/>
      </c>
      <c r="H1387" s="13">
        <f>IF(A1387="",0,B1387*(92*IF(OR(C1387=Options!$B$9,C1387=Options!$B$10),75%,100%)-IF(C1387=DATE(2026,11,29),26+IF(Options!$B$8="是",23,0),0)-IF(C1387=DATE(2026,11,30),26,0)-IF(C1387=DATE(2026,12,1),64,0)-IF(C1387=DATE(2026,11,28),38,0)-IF(C1387=DATE(2026,12,2),26,0)))</f>
        <v/>
      </c>
      <c r="I1387" s="13">
        <f>IF(AND(C1387&gt;=DATE(2026,11,29),C1387&lt;=DATE(2026,12,1)),B1387*60,0)</f>
        <v/>
      </c>
      <c r="J1387" s="13">
        <f>IF(A1387="",0,B1387*(IF(C1387=DATE(2026,11,28),38,0)+IF(C1387=DATE(2026,12,1),38,0)+IF(C1387=DATE(2026,12,2),26,0)))</f>
        <v/>
      </c>
      <c r="K1387" s="13">
        <f>IF(C1387=Options!$B$9,B1387*12,0)</f>
        <v/>
      </c>
      <c r="L1387" s="13">
        <f>IF(C1387=Options!$B$9,B1387*Options!$Z$6,0)</f>
        <v/>
      </c>
      <c r="M1387" s="13" t="n">
        <v>0</v>
      </c>
      <c r="N1387" s="13">
        <f>SUM(E1387:M1387)</f>
        <v/>
      </c>
    </row>
    <row r="1388">
      <c r="A1388" s="5">
        <f>IF(AND(C1388&gt;=Options!$B$9,C1388&lt;=Options!$B$10),"Denver","")</f>
        <v/>
      </c>
      <c r="B1388" s="5">
        <f>IF(A1388="","",24)</f>
        <v/>
      </c>
      <c r="C1388" s="17" t="n">
        <v>46584</v>
      </c>
      <c r="D1388" s="5">
        <f>IF(A1388="","",IF(C1388=DATE(2026,11,29),"培训；注册午餐；早餐参数",IF(C1388=DATE(2026,11,30),"培训；注册午餐",IF(C1388=DATE(2026,12,1),"培训；注册午餐；机构晚餐",IF(C1388=Options!$B$9,"抵达；"&amp;IF(C1388=DATE(2026,11,28),"机构晚餐","无统一供餐"),IF(C1388=Options!$B$10,"返程；"&amp;IF(C1388=DATE(2026,12,2),"机构午餐","无统一供餐"),"差旅状态；无统一日程"))))))</f>
        <v/>
      </c>
      <c r="E1388" s="13">
        <f>IF(C1388=Options!$B$9,Options!$C$17,0)</f>
        <v/>
      </c>
      <c r="F1388" s="13">
        <f>IF(AND(A1388&lt;&gt;"",C1388&lt;Options!$B$10),B1388*Options!$X$6,0)</f>
        <v/>
      </c>
      <c r="G1388" s="13">
        <f>F1388*12%</f>
        <v/>
      </c>
      <c r="H1388" s="13">
        <f>IF(A1388="",0,B1388*(92*IF(OR(C1388=Options!$B$9,C1388=Options!$B$10),75%,100%)-IF(C1388=DATE(2026,11,29),26+IF(Options!$B$8="是",23,0),0)-IF(C1388=DATE(2026,11,30),26,0)-IF(C1388=DATE(2026,12,1),64,0)-IF(C1388=DATE(2026,11,28),38,0)-IF(C1388=DATE(2026,12,2),26,0)))</f>
        <v/>
      </c>
      <c r="I1388" s="13">
        <f>IF(AND(C1388&gt;=DATE(2026,11,29),C1388&lt;=DATE(2026,12,1)),B1388*60,0)</f>
        <v/>
      </c>
      <c r="J1388" s="13">
        <f>IF(A1388="",0,B1388*(IF(C1388=DATE(2026,11,28),38,0)+IF(C1388=DATE(2026,12,1),38,0)+IF(C1388=DATE(2026,12,2),26,0)))</f>
        <v/>
      </c>
      <c r="K1388" s="13">
        <f>IF(C1388=Options!$B$9,B1388*12,0)</f>
        <v/>
      </c>
      <c r="L1388" s="13">
        <f>IF(C1388=Options!$B$9,B1388*Options!$Z$6,0)</f>
        <v/>
      </c>
      <c r="M1388" s="13" t="n">
        <v>0</v>
      </c>
      <c r="N1388" s="13">
        <f>SUM(E1388:M1388)</f>
        <v/>
      </c>
    </row>
    <row r="1389">
      <c r="A1389" s="5">
        <f>IF(AND(C1389&gt;=Options!$B$9,C1389&lt;=Options!$B$10),"Denver","")</f>
        <v/>
      </c>
      <c r="B1389" s="5">
        <f>IF(A1389="","",24)</f>
        <v/>
      </c>
      <c r="C1389" s="17" t="n">
        <v>46585</v>
      </c>
      <c r="D1389" s="5">
        <f>IF(A1389="","",IF(C1389=DATE(2026,11,29),"培训；注册午餐；早餐参数",IF(C1389=DATE(2026,11,30),"培训；注册午餐",IF(C1389=DATE(2026,12,1),"培训；注册午餐；机构晚餐",IF(C1389=Options!$B$9,"抵达；"&amp;IF(C1389=DATE(2026,11,28),"机构晚餐","无统一供餐"),IF(C1389=Options!$B$10,"返程；"&amp;IF(C1389=DATE(2026,12,2),"机构午餐","无统一供餐"),"差旅状态；无统一日程"))))))</f>
        <v/>
      </c>
      <c r="E1389" s="13">
        <f>IF(C1389=Options!$B$9,Options!$C$17,0)</f>
        <v/>
      </c>
      <c r="F1389" s="13">
        <f>IF(AND(A1389&lt;&gt;"",C1389&lt;Options!$B$10),B1389*Options!$X$6,0)</f>
        <v/>
      </c>
      <c r="G1389" s="13">
        <f>F1389*12%</f>
        <v/>
      </c>
      <c r="H1389" s="13">
        <f>IF(A1389="",0,B1389*(92*IF(OR(C1389=Options!$B$9,C1389=Options!$B$10),75%,100%)-IF(C1389=DATE(2026,11,29),26+IF(Options!$B$8="是",23,0),0)-IF(C1389=DATE(2026,11,30),26,0)-IF(C1389=DATE(2026,12,1),64,0)-IF(C1389=DATE(2026,11,28),38,0)-IF(C1389=DATE(2026,12,2),26,0)))</f>
        <v/>
      </c>
      <c r="I1389" s="13">
        <f>IF(AND(C1389&gt;=DATE(2026,11,29),C1389&lt;=DATE(2026,12,1)),B1389*60,0)</f>
        <v/>
      </c>
      <c r="J1389" s="13">
        <f>IF(A1389="",0,B1389*(IF(C1389=DATE(2026,11,28),38,0)+IF(C1389=DATE(2026,12,1),38,0)+IF(C1389=DATE(2026,12,2),26,0)))</f>
        <v/>
      </c>
      <c r="K1389" s="13">
        <f>IF(C1389=Options!$B$9,B1389*12,0)</f>
        <v/>
      </c>
      <c r="L1389" s="13">
        <f>IF(C1389=Options!$B$9,B1389*Options!$Z$6,0)</f>
        <v/>
      </c>
      <c r="M1389" s="13" t="n">
        <v>0</v>
      </c>
      <c r="N1389" s="13">
        <f>SUM(E1389:M1389)</f>
        <v/>
      </c>
    </row>
    <row r="1390">
      <c r="A1390" s="5">
        <f>IF(AND(C1390&gt;=Options!$B$9,C1390&lt;=Options!$B$10),"Denver","")</f>
        <v/>
      </c>
      <c r="B1390" s="5">
        <f>IF(A1390="","",24)</f>
        <v/>
      </c>
      <c r="C1390" s="17" t="n">
        <v>46586</v>
      </c>
      <c r="D1390" s="5">
        <f>IF(A1390="","",IF(C1390=DATE(2026,11,29),"培训；注册午餐；早餐参数",IF(C1390=DATE(2026,11,30),"培训；注册午餐",IF(C1390=DATE(2026,12,1),"培训；注册午餐；机构晚餐",IF(C1390=Options!$B$9,"抵达；"&amp;IF(C1390=DATE(2026,11,28),"机构晚餐","无统一供餐"),IF(C1390=Options!$B$10,"返程；"&amp;IF(C1390=DATE(2026,12,2),"机构午餐","无统一供餐"),"差旅状态；无统一日程"))))))</f>
        <v/>
      </c>
      <c r="E1390" s="13">
        <f>IF(C1390=Options!$B$9,Options!$C$17,0)</f>
        <v/>
      </c>
      <c r="F1390" s="13">
        <f>IF(AND(A1390&lt;&gt;"",C1390&lt;Options!$B$10),B1390*Options!$X$6,0)</f>
        <v/>
      </c>
      <c r="G1390" s="13">
        <f>F1390*12%</f>
        <v/>
      </c>
      <c r="H1390" s="13">
        <f>IF(A1390="",0,B1390*(92*IF(OR(C1390=Options!$B$9,C1390=Options!$B$10),75%,100%)-IF(C1390=DATE(2026,11,29),26+IF(Options!$B$8="是",23,0),0)-IF(C1390=DATE(2026,11,30),26,0)-IF(C1390=DATE(2026,12,1),64,0)-IF(C1390=DATE(2026,11,28),38,0)-IF(C1390=DATE(2026,12,2),26,0)))</f>
        <v/>
      </c>
      <c r="I1390" s="13">
        <f>IF(AND(C1390&gt;=DATE(2026,11,29),C1390&lt;=DATE(2026,12,1)),B1390*60,0)</f>
        <v/>
      </c>
      <c r="J1390" s="13">
        <f>IF(A1390="",0,B1390*(IF(C1390=DATE(2026,11,28),38,0)+IF(C1390=DATE(2026,12,1),38,0)+IF(C1390=DATE(2026,12,2),26,0)))</f>
        <v/>
      </c>
      <c r="K1390" s="13">
        <f>IF(C1390=Options!$B$9,B1390*12,0)</f>
        <v/>
      </c>
      <c r="L1390" s="13">
        <f>IF(C1390=Options!$B$9,B1390*Options!$Z$6,0)</f>
        <v/>
      </c>
      <c r="M1390" s="13" t="n">
        <v>0</v>
      </c>
      <c r="N1390" s="13">
        <f>SUM(E1390:M1390)</f>
        <v/>
      </c>
    </row>
    <row r="1391">
      <c r="A1391" s="5">
        <f>IF(AND(C1391&gt;=Options!$B$9,C1391&lt;=Options!$B$10),"Denver","")</f>
        <v/>
      </c>
      <c r="B1391" s="5">
        <f>IF(A1391="","",24)</f>
        <v/>
      </c>
      <c r="C1391" s="17" t="n">
        <v>46587</v>
      </c>
      <c r="D1391" s="5">
        <f>IF(A1391="","",IF(C1391=DATE(2026,11,29),"培训；注册午餐；早餐参数",IF(C1391=DATE(2026,11,30),"培训；注册午餐",IF(C1391=DATE(2026,12,1),"培训；注册午餐；机构晚餐",IF(C1391=Options!$B$9,"抵达；"&amp;IF(C1391=DATE(2026,11,28),"机构晚餐","无统一供餐"),IF(C1391=Options!$B$10,"返程；"&amp;IF(C1391=DATE(2026,12,2),"机构午餐","无统一供餐"),"差旅状态；无统一日程"))))))</f>
        <v/>
      </c>
      <c r="E1391" s="13">
        <f>IF(C1391=Options!$B$9,Options!$C$17,0)</f>
        <v/>
      </c>
      <c r="F1391" s="13">
        <f>IF(AND(A1391&lt;&gt;"",C1391&lt;Options!$B$10),B1391*Options!$X$6,0)</f>
        <v/>
      </c>
      <c r="G1391" s="13">
        <f>F1391*12%</f>
        <v/>
      </c>
      <c r="H1391" s="13">
        <f>IF(A1391="",0,B1391*(92*IF(OR(C1391=Options!$B$9,C1391=Options!$B$10),75%,100%)-IF(C1391=DATE(2026,11,29),26+IF(Options!$B$8="是",23,0),0)-IF(C1391=DATE(2026,11,30),26,0)-IF(C1391=DATE(2026,12,1),64,0)-IF(C1391=DATE(2026,11,28),38,0)-IF(C1391=DATE(2026,12,2),26,0)))</f>
        <v/>
      </c>
      <c r="I1391" s="13">
        <f>IF(AND(C1391&gt;=DATE(2026,11,29),C1391&lt;=DATE(2026,12,1)),B1391*60,0)</f>
        <v/>
      </c>
      <c r="J1391" s="13">
        <f>IF(A1391="",0,B1391*(IF(C1391=DATE(2026,11,28),38,0)+IF(C1391=DATE(2026,12,1),38,0)+IF(C1391=DATE(2026,12,2),26,0)))</f>
        <v/>
      </c>
      <c r="K1391" s="13">
        <f>IF(C1391=Options!$B$9,B1391*12,0)</f>
        <v/>
      </c>
      <c r="L1391" s="13">
        <f>IF(C1391=Options!$B$9,B1391*Options!$Z$6,0)</f>
        <v/>
      </c>
      <c r="M1391" s="13" t="n">
        <v>0</v>
      </c>
      <c r="N1391" s="13">
        <f>SUM(E1391:M1391)</f>
        <v/>
      </c>
    </row>
    <row r="1392">
      <c r="A1392" s="5">
        <f>IF(AND(C1392&gt;=Options!$B$9,C1392&lt;=Options!$B$10),"Denver","")</f>
        <v/>
      </c>
      <c r="B1392" s="5">
        <f>IF(A1392="","",24)</f>
        <v/>
      </c>
      <c r="C1392" s="17" t="n">
        <v>46588</v>
      </c>
      <c r="D1392" s="5">
        <f>IF(A1392="","",IF(C1392=DATE(2026,11,29),"培训；注册午餐；早餐参数",IF(C1392=DATE(2026,11,30),"培训；注册午餐",IF(C1392=DATE(2026,12,1),"培训；注册午餐；机构晚餐",IF(C1392=Options!$B$9,"抵达；"&amp;IF(C1392=DATE(2026,11,28),"机构晚餐","无统一供餐"),IF(C1392=Options!$B$10,"返程；"&amp;IF(C1392=DATE(2026,12,2),"机构午餐","无统一供餐"),"差旅状态；无统一日程"))))))</f>
        <v/>
      </c>
      <c r="E1392" s="13">
        <f>IF(C1392=Options!$B$9,Options!$C$17,0)</f>
        <v/>
      </c>
      <c r="F1392" s="13">
        <f>IF(AND(A1392&lt;&gt;"",C1392&lt;Options!$B$10),B1392*Options!$X$6,0)</f>
        <v/>
      </c>
      <c r="G1392" s="13">
        <f>F1392*12%</f>
        <v/>
      </c>
      <c r="H1392" s="13">
        <f>IF(A1392="",0,B1392*(92*IF(OR(C1392=Options!$B$9,C1392=Options!$B$10),75%,100%)-IF(C1392=DATE(2026,11,29),26+IF(Options!$B$8="是",23,0),0)-IF(C1392=DATE(2026,11,30),26,0)-IF(C1392=DATE(2026,12,1),64,0)-IF(C1392=DATE(2026,11,28),38,0)-IF(C1392=DATE(2026,12,2),26,0)))</f>
        <v/>
      </c>
      <c r="I1392" s="13">
        <f>IF(AND(C1392&gt;=DATE(2026,11,29),C1392&lt;=DATE(2026,12,1)),B1392*60,0)</f>
        <v/>
      </c>
      <c r="J1392" s="13">
        <f>IF(A1392="",0,B1392*(IF(C1392=DATE(2026,11,28),38,0)+IF(C1392=DATE(2026,12,1),38,0)+IF(C1392=DATE(2026,12,2),26,0)))</f>
        <v/>
      </c>
      <c r="K1392" s="13">
        <f>IF(C1392=Options!$B$9,B1392*12,0)</f>
        <v/>
      </c>
      <c r="L1392" s="13">
        <f>IF(C1392=Options!$B$9,B1392*Options!$Z$6,0)</f>
        <v/>
      </c>
      <c r="M1392" s="13" t="n">
        <v>0</v>
      </c>
      <c r="N1392" s="13">
        <f>SUM(E1392:M1392)</f>
        <v/>
      </c>
    </row>
    <row r="1393">
      <c r="A1393" s="5">
        <f>IF(AND(C1393&gt;=Options!$B$9,C1393&lt;=Options!$B$10),"Denver","")</f>
        <v/>
      </c>
      <c r="B1393" s="5">
        <f>IF(A1393="","",24)</f>
        <v/>
      </c>
      <c r="C1393" s="17" t="n">
        <v>46589</v>
      </c>
      <c r="D1393" s="5">
        <f>IF(A1393="","",IF(C1393=DATE(2026,11,29),"培训；注册午餐；早餐参数",IF(C1393=DATE(2026,11,30),"培训；注册午餐",IF(C1393=DATE(2026,12,1),"培训；注册午餐；机构晚餐",IF(C1393=Options!$B$9,"抵达；"&amp;IF(C1393=DATE(2026,11,28),"机构晚餐","无统一供餐"),IF(C1393=Options!$B$10,"返程；"&amp;IF(C1393=DATE(2026,12,2),"机构午餐","无统一供餐"),"差旅状态；无统一日程"))))))</f>
        <v/>
      </c>
      <c r="E1393" s="13">
        <f>IF(C1393=Options!$B$9,Options!$C$17,0)</f>
        <v/>
      </c>
      <c r="F1393" s="13">
        <f>IF(AND(A1393&lt;&gt;"",C1393&lt;Options!$B$10),B1393*Options!$X$6,0)</f>
        <v/>
      </c>
      <c r="G1393" s="13">
        <f>F1393*12%</f>
        <v/>
      </c>
      <c r="H1393" s="13">
        <f>IF(A1393="",0,B1393*(92*IF(OR(C1393=Options!$B$9,C1393=Options!$B$10),75%,100%)-IF(C1393=DATE(2026,11,29),26+IF(Options!$B$8="是",23,0),0)-IF(C1393=DATE(2026,11,30),26,0)-IF(C1393=DATE(2026,12,1),64,0)-IF(C1393=DATE(2026,11,28),38,0)-IF(C1393=DATE(2026,12,2),26,0)))</f>
        <v/>
      </c>
      <c r="I1393" s="13">
        <f>IF(AND(C1393&gt;=DATE(2026,11,29),C1393&lt;=DATE(2026,12,1)),B1393*60,0)</f>
        <v/>
      </c>
      <c r="J1393" s="13">
        <f>IF(A1393="",0,B1393*(IF(C1393=DATE(2026,11,28),38,0)+IF(C1393=DATE(2026,12,1),38,0)+IF(C1393=DATE(2026,12,2),26,0)))</f>
        <v/>
      </c>
      <c r="K1393" s="13">
        <f>IF(C1393=Options!$B$9,B1393*12,0)</f>
        <v/>
      </c>
      <c r="L1393" s="13">
        <f>IF(C1393=Options!$B$9,B1393*Options!$Z$6,0)</f>
        <v/>
      </c>
      <c r="M1393" s="13" t="n">
        <v>0</v>
      </c>
      <c r="N1393" s="13">
        <f>SUM(E1393:M1393)</f>
        <v/>
      </c>
    </row>
    <row r="1394">
      <c r="A1394" s="5">
        <f>IF(AND(C1394&gt;=Options!$B$9,C1394&lt;=Options!$B$10),"Denver","")</f>
        <v/>
      </c>
      <c r="B1394" s="5">
        <f>IF(A1394="","",24)</f>
        <v/>
      </c>
      <c r="C1394" s="17" t="n">
        <v>46590</v>
      </c>
      <c r="D1394" s="5">
        <f>IF(A1394="","",IF(C1394=DATE(2026,11,29),"培训；注册午餐；早餐参数",IF(C1394=DATE(2026,11,30),"培训；注册午餐",IF(C1394=DATE(2026,12,1),"培训；注册午餐；机构晚餐",IF(C1394=Options!$B$9,"抵达；"&amp;IF(C1394=DATE(2026,11,28),"机构晚餐","无统一供餐"),IF(C1394=Options!$B$10,"返程；"&amp;IF(C1394=DATE(2026,12,2),"机构午餐","无统一供餐"),"差旅状态；无统一日程"))))))</f>
        <v/>
      </c>
      <c r="E1394" s="13">
        <f>IF(C1394=Options!$B$9,Options!$C$17,0)</f>
        <v/>
      </c>
      <c r="F1394" s="13">
        <f>IF(AND(A1394&lt;&gt;"",C1394&lt;Options!$B$10),B1394*Options!$X$6,0)</f>
        <v/>
      </c>
      <c r="G1394" s="13">
        <f>F1394*12%</f>
        <v/>
      </c>
      <c r="H1394" s="13">
        <f>IF(A1394="",0,B1394*(92*IF(OR(C1394=Options!$B$9,C1394=Options!$B$10),75%,100%)-IF(C1394=DATE(2026,11,29),26+IF(Options!$B$8="是",23,0),0)-IF(C1394=DATE(2026,11,30),26,0)-IF(C1394=DATE(2026,12,1),64,0)-IF(C1394=DATE(2026,11,28),38,0)-IF(C1394=DATE(2026,12,2),26,0)))</f>
        <v/>
      </c>
      <c r="I1394" s="13">
        <f>IF(AND(C1394&gt;=DATE(2026,11,29),C1394&lt;=DATE(2026,12,1)),B1394*60,0)</f>
        <v/>
      </c>
      <c r="J1394" s="13">
        <f>IF(A1394="",0,B1394*(IF(C1394=DATE(2026,11,28),38,0)+IF(C1394=DATE(2026,12,1),38,0)+IF(C1394=DATE(2026,12,2),26,0)))</f>
        <v/>
      </c>
      <c r="K1394" s="13">
        <f>IF(C1394=Options!$B$9,B1394*12,0)</f>
        <v/>
      </c>
      <c r="L1394" s="13">
        <f>IF(C1394=Options!$B$9,B1394*Options!$Z$6,0)</f>
        <v/>
      </c>
      <c r="M1394" s="13" t="n">
        <v>0</v>
      </c>
      <c r="N1394" s="13">
        <f>SUM(E1394:M1394)</f>
        <v/>
      </c>
    </row>
    <row r="1395">
      <c r="A1395" s="5">
        <f>IF(AND(C1395&gt;=Options!$B$9,C1395&lt;=Options!$B$10),"Denver","")</f>
        <v/>
      </c>
      <c r="B1395" s="5">
        <f>IF(A1395="","",24)</f>
        <v/>
      </c>
      <c r="C1395" s="17" t="n">
        <v>46591</v>
      </c>
      <c r="D1395" s="5">
        <f>IF(A1395="","",IF(C1395=DATE(2026,11,29),"培训；注册午餐；早餐参数",IF(C1395=DATE(2026,11,30),"培训；注册午餐",IF(C1395=DATE(2026,12,1),"培训；注册午餐；机构晚餐",IF(C1395=Options!$B$9,"抵达；"&amp;IF(C1395=DATE(2026,11,28),"机构晚餐","无统一供餐"),IF(C1395=Options!$B$10,"返程；"&amp;IF(C1395=DATE(2026,12,2),"机构午餐","无统一供餐"),"差旅状态；无统一日程"))))))</f>
        <v/>
      </c>
      <c r="E1395" s="13">
        <f>IF(C1395=Options!$B$9,Options!$C$17,0)</f>
        <v/>
      </c>
      <c r="F1395" s="13">
        <f>IF(AND(A1395&lt;&gt;"",C1395&lt;Options!$B$10),B1395*Options!$X$6,0)</f>
        <v/>
      </c>
      <c r="G1395" s="13">
        <f>F1395*12%</f>
        <v/>
      </c>
      <c r="H1395" s="13">
        <f>IF(A1395="",0,B1395*(92*IF(OR(C1395=Options!$B$9,C1395=Options!$B$10),75%,100%)-IF(C1395=DATE(2026,11,29),26+IF(Options!$B$8="是",23,0),0)-IF(C1395=DATE(2026,11,30),26,0)-IF(C1395=DATE(2026,12,1),64,0)-IF(C1395=DATE(2026,11,28),38,0)-IF(C1395=DATE(2026,12,2),26,0)))</f>
        <v/>
      </c>
      <c r="I1395" s="13">
        <f>IF(AND(C1395&gt;=DATE(2026,11,29),C1395&lt;=DATE(2026,12,1)),B1395*60,0)</f>
        <v/>
      </c>
      <c r="J1395" s="13">
        <f>IF(A1395="",0,B1395*(IF(C1395=DATE(2026,11,28),38,0)+IF(C1395=DATE(2026,12,1),38,0)+IF(C1395=DATE(2026,12,2),26,0)))</f>
        <v/>
      </c>
      <c r="K1395" s="13">
        <f>IF(C1395=Options!$B$9,B1395*12,0)</f>
        <v/>
      </c>
      <c r="L1395" s="13">
        <f>IF(C1395=Options!$B$9,B1395*Options!$Z$6,0)</f>
        <v/>
      </c>
      <c r="M1395" s="13" t="n">
        <v>0</v>
      </c>
      <c r="N1395" s="13">
        <f>SUM(E1395:M1395)</f>
        <v/>
      </c>
    </row>
    <row r="1396">
      <c r="A1396" s="5">
        <f>IF(AND(C1396&gt;=Options!$B$9,C1396&lt;=Options!$B$10),"Denver","")</f>
        <v/>
      </c>
      <c r="B1396" s="5">
        <f>IF(A1396="","",24)</f>
        <v/>
      </c>
      <c r="C1396" s="17" t="n">
        <v>46592</v>
      </c>
      <c r="D1396" s="5">
        <f>IF(A1396="","",IF(C1396=DATE(2026,11,29),"培训；注册午餐；早餐参数",IF(C1396=DATE(2026,11,30),"培训；注册午餐",IF(C1396=DATE(2026,12,1),"培训；注册午餐；机构晚餐",IF(C1396=Options!$B$9,"抵达；"&amp;IF(C1396=DATE(2026,11,28),"机构晚餐","无统一供餐"),IF(C1396=Options!$B$10,"返程；"&amp;IF(C1396=DATE(2026,12,2),"机构午餐","无统一供餐"),"差旅状态；无统一日程"))))))</f>
        <v/>
      </c>
      <c r="E1396" s="13">
        <f>IF(C1396=Options!$B$9,Options!$C$17,0)</f>
        <v/>
      </c>
      <c r="F1396" s="13">
        <f>IF(AND(A1396&lt;&gt;"",C1396&lt;Options!$B$10),B1396*Options!$X$6,0)</f>
        <v/>
      </c>
      <c r="G1396" s="13">
        <f>F1396*12%</f>
        <v/>
      </c>
      <c r="H1396" s="13">
        <f>IF(A1396="",0,B1396*(92*IF(OR(C1396=Options!$B$9,C1396=Options!$B$10),75%,100%)-IF(C1396=DATE(2026,11,29),26+IF(Options!$B$8="是",23,0),0)-IF(C1396=DATE(2026,11,30),26,0)-IF(C1396=DATE(2026,12,1),64,0)-IF(C1396=DATE(2026,11,28),38,0)-IF(C1396=DATE(2026,12,2),26,0)))</f>
        <v/>
      </c>
      <c r="I1396" s="13">
        <f>IF(AND(C1396&gt;=DATE(2026,11,29),C1396&lt;=DATE(2026,12,1)),B1396*60,0)</f>
        <v/>
      </c>
      <c r="J1396" s="13">
        <f>IF(A1396="",0,B1396*(IF(C1396=DATE(2026,11,28),38,0)+IF(C1396=DATE(2026,12,1),38,0)+IF(C1396=DATE(2026,12,2),26,0)))</f>
        <v/>
      </c>
      <c r="K1396" s="13">
        <f>IF(C1396=Options!$B$9,B1396*12,0)</f>
        <v/>
      </c>
      <c r="L1396" s="13">
        <f>IF(C1396=Options!$B$9,B1396*Options!$Z$6,0)</f>
        <v/>
      </c>
      <c r="M1396" s="13" t="n">
        <v>0</v>
      </c>
      <c r="N1396" s="13">
        <f>SUM(E1396:M1396)</f>
        <v/>
      </c>
    </row>
    <row r="1397">
      <c r="A1397" s="5">
        <f>IF(AND(C1397&gt;=Options!$B$9,C1397&lt;=Options!$B$10),"Denver","")</f>
        <v/>
      </c>
      <c r="B1397" s="5">
        <f>IF(A1397="","",24)</f>
        <v/>
      </c>
      <c r="C1397" s="17" t="n">
        <v>46593</v>
      </c>
      <c r="D1397" s="5">
        <f>IF(A1397="","",IF(C1397=DATE(2026,11,29),"培训；注册午餐；早餐参数",IF(C1397=DATE(2026,11,30),"培训；注册午餐",IF(C1397=DATE(2026,12,1),"培训；注册午餐；机构晚餐",IF(C1397=Options!$B$9,"抵达；"&amp;IF(C1397=DATE(2026,11,28),"机构晚餐","无统一供餐"),IF(C1397=Options!$B$10,"返程；"&amp;IF(C1397=DATE(2026,12,2),"机构午餐","无统一供餐"),"差旅状态；无统一日程"))))))</f>
        <v/>
      </c>
      <c r="E1397" s="13">
        <f>IF(C1397=Options!$B$9,Options!$C$17,0)</f>
        <v/>
      </c>
      <c r="F1397" s="13">
        <f>IF(AND(A1397&lt;&gt;"",C1397&lt;Options!$B$10),B1397*Options!$X$6,0)</f>
        <v/>
      </c>
      <c r="G1397" s="13">
        <f>F1397*12%</f>
        <v/>
      </c>
      <c r="H1397" s="13">
        <f>IF(A1397="",0,B1397*(92*IF(OR(C1397=Options!$B$9,C1397=Options!$B$10),75%,100%)-IF(C1397=DATE(2026,11,29),26+IF(Options!$B$8="是",23,0),0)-IF(C1397=DATE(2026,11,30),26,0)-IF(C1397=DATE(2026,12,1),64,0)-IF(C1397=DATE(2026,11,28),38,0)-IF(C1397=DATE(2026,12,2),26,0)))</f>
        <v/>
      </c>
      <c r="I1397" s="13">
        <f>IF(AND(C1397&gt;=DATE(2026,11,29),C1397&lt;=DATE(2026,12,1)),B1397*60,0)</f>
        <v/>
      </c>
      <c r="J1397" s="13">
        <f>IF(A1397="",0,B1397*(IF(C1397=DATE(2026,11,28),38,0)+IF(C1397=DATE(2026,12,1),38,0)+IF(C1397=DATE(2026,12,2),26,0)))</f>
        <v/>
      </c>
      <c r="K1397" s="13">
        <f>IF(C1397=Options!$B$9,B1397*12,0)</f>
        <v/>
      </c>
      <c r="L1397" s="13">
        <f>IF(C1397=Options!$B$9,B1397*Options!$Z$6,0)</f>
        <v/>
      </c>
      <c r="M1397" s="13" t="n">
        <v>0</v>
      </c>
      <c r="N1397" s="13">
        <f>SUM(E1397:M1397)</f>
        <v/>
      </c>
    </row>
    <row r="1398">
      <c r="A1398" s="5">
        <f>IF(AND(C1398&gt;=Options!$B$9,C1398&lt;=Options!$B$10),"Denver","")</f>
        <v/>
      </c>
      <c r="B1398" s="5">
        <f>IF(A1398="","",24)</f>
        <v/>
      </c>
      <c r="C1398" s="17" t="n">
        <v>46594</v>
      </c>
      <c r="D1398" s="5">
        <f>IF(A1398="","",IF(C1398=DATE(2026,11,29),"培训；注册午餐；早餐参数",IF(C1398=DATE(2026,11,30),"培训；注册午餐",IF(C1398=DATE(2026,12,1),"培训；注册午餐；机构晚餐",IF(C1398=Options!$B$9,"抵达；"&amp;IF(C1398=DATE(2026,11,28),"机构晚餐","无统一供餐"),IF(C1398=Options!$B$10,"返程；"&amp;IF(C1398=DATE(2026,12,2),"机构午餐","无统一供餐"),"差旅状态；无统一日程"))))))</f>
        <v/>
      </c>
      <c r="E1398" s="13">
        <f>IF(C1398=Options!$B$9,Options!$C$17,0)</f>
        <v/>
      </c>
      <c r="F1398" s="13">
        <f>IF(AND(A1398&lt;&gt;"",C1398&lt;Options!$B$10),B1398*Options!$X$6,0)</f>
        <v/>
      </c>
      <c r="G1398" s="13">
        <f>F1398*12%</f>
        <v/>
      </c>
      <c r="H1398" s="13">
        <f>IF(A1398="",0,B1398*(92*IF(OR(C1398=Options!$B$9,C1398=Options!$B$10),75%,100%)-IF(C1398=DATE(2026,11,29),26+IF(Options!$B$8="是",23,0),0)-IF(C1398=DATE(2026,11,30),26,0)-IF(C1398=DATE(2026,12,1),64,0)-IF(C1398=DATE(2026,11,28),38,0)-IF(C1398=DATE(2026,12,2),26,0)))</f>
        <v/>
      </c>
      <c r="I1398" s="13">
        <f>IF(AND(C1398&gt;=DATE(2026,11,29),C1398&lt;=DATE(2026,12,1)),B1398*60,0)</f>
        <v/>
      </c>
      <c r="J1398" s="13">
        <f>IF(A1398="",0,B1398*(IF(C1398=DATE(2026,11,28),38,0)+IF(C1398=DATE(2026,12,1),38,0)+IF(C1398=DATE(2026,12,2),26,0)))</f>
        <v/>
      </c>
      <c r="K1398" s="13">
        <f>IF(C1398=Options!$B$9,B1398*12,0)</f>
        <v/>
      </c>
      <c r="L1398" s="13">
        <f>IF(C1398=Options!$B$9,B1398*Options!$Z$6,0)</f>
        <v/>
      </c>
      <c r="M1398" s="13" t="n">
        <v>0</v>
      </c>
      <c r="N1398" s="13">
        <f>SUM(E1398:M1398)</f>
        <v/>
      </c>
    </row>
    <row r="1399">
      <c r="A1399" s="5">
        <f>IF(AND(C1399&gt;=Options!$B$9,C1399&lt;=Options!$B$10),"Denver","")</f>
        <v/>
      </c>
      <c r="B1399" s="5">
        <f>IF(A1399="","",24)</f>
        <v/>
      </c>
      <c r="C1399" s="17" t="n">
        <v>46595</v>
      </c>
      <c r="D1399" s="5">
        <f>IF(A1399="","",IF(C1399=DATE(2026,11,29),"培训；注册午餐；早餐参数",IF(C1399=DATE(2026,11,30),"培训；注册午餐",IF(C1399=DATE(2026,12,1),"培训；注册午餐；机构晚餐",IF(C1399=Options!$B$9,"抵达；"&amp;IF(C1399=DATE(2026,11,28),"机构晚餐","无统一供餐"),IF(C1399=Options!$B$10,"返程；"&amp;IF(C1399=DATE(2026,12,2),"机构午餐","无统一供餐"),"差旅状态；无统一日程"))))))</f>
        <v/>
      </c>
      <c r="E1399" s="13">
        <f>IF(C1399=Options!$B$9,Options!$C$17,0)</f>
        <v/>
      </c>
      <c r="F1399" s="13">
        <f>IF(AND(A1399&lt;&gt;"",C1399&lt;Options!$B$10),B1399*Options!$X$6,0)</f>
        <v/>
      </c>
      <c r="G1399" s="13">
        <f>F1399*12%</f>
        <v/>
      </c>
      <c r="H1399" s="13">
        <f>IF(A1399="",0,B1399*(92*IF(OR(C1399=Options!$B$9,C1399=Options!$B$10),75%,100%)-IF(C1399=DATE(2026,11,29),26+IF(Options!$B$8="是",23,0),0)-IF(C1399=DATE(2026,11,30),26,0)-IF(C1399=DATE(2026,12,1),64,0)-IF(C1399=DATE(2026,11,28),38,0)-IF(C1399=DATE(2026,12,2),26,0)))</f>
        <v/>
      </c>
      <c r="I1399" s="13">
        <f>IF(AND(C1399&gt;=DATE(2026,11,29),C1399&lt;=DATE(2026,12,1)),B1399*60,0)</f>
        <v/>
      </c>
      <c r="J1399" s="13">
        <f>IF(A1399="",0,B1399*(IF(C1399=DATE(2026,11,28),38,0)+IF(C1399=DATE(2026,12,1),38,0)+IF(C1399=DATE(2026,12,2),26,0)))</f>
        <v/>
      </c>
      <c r="K1399" s="13">
        <f>IF(C1399=Options!$B$9,B1399*12,0)</f>
        <v/>
      </c>
      <c r="L1399" s="13">
        <f>IF(C1399=Options!$B$9,B1399*Options!$Z$6,0)</f>
        <v/>
      </c>
      <c r="M1399" s="13" t="n">
        <v>0</v>
      </c>
      <c r="N1399" s="13">
        <f>SUM(E1399:M1399)</f>
        <v/>
      </c>
    </row>
    <row r="1400">
      <c r="A1400" s="5">
        <f>IF(AND(C1400&gt;=Options!$B$9,C1400&lt;=Options!$B$10),"Denver","")</f>
        <v/>
      </c>
      <c r="B1400" s="5">
        <f>IF(A1400="","",24)</f>
        <v/>
      </c>
      <c r="C1400" s="17" t="n">
        <v>46596</v>
      </c>
      <c r="D1400" s="5">
        <f>IF(A1400="","",IF(C1400=DATE(2026,11,29),"培训；注册午餐；早餐参数",IF(C1400=DATE(2026,11,30),"培训；注册午餐",IF(C1400=DATE(2026,12,1),"培训；注册午餐；机构晚餐",IF(C1400=Options!$B$9,"抵达；"&amp;IF(C1400=DATE(2026,11,28),"机构晚餐","无统一供餐"),IF(C1400=Options!$B$10,"返程；"&amp;IF(C1400=DATE(2026,12,2),"机构午餐","无统一供餐"),"差旅状态；无统一日程"))))))</f>
        <v/>
      </c>
      <c r="E1400" s="13">
        <f>IF(C1400=Options!$B$9,Options!$C$17,0)</f>
        <v/>
      </c>
      <c r="F1400" s="13">
        <f>IF(AND(A1400&lt;&gt;"",C1400&lt;Options!$B$10),B1400*Options!$X$6,0)</f>
        <v/>
      </c>
      <c r="G1400" s="13">
        <f>F1400*12%</f>
        <v/>
      </c>
      <c r="H1400" s="13">
        <f>IF(A1400="",0,B1400*(92*IF(OR(C1400=Options!$B$9,C1400=Options!$B$10),75%,100%)-IF(C1400=DATE(2026,11,29),26+IF(Options!$B$8="是",23,0),0)-IF(C1400=DATE(2026,11,30),26,0)-IF(C1400=DATE(2026,12,1),64,0)-IF(C1400=DATE(2026,11,28),38,0)-IF(C1400=DATE(2026,12,2),26,0)))</f>
        <v/>
      </c>
      <c r="I1400" s="13">
        <f>IF(AND(C1400&gt;=DATE(2026,11,29),C1400&lt;=DATE(2026,12,1)),B1400*60,0)</f>
        <v/>
      </c>
      <c r="J1400" s="13">
        <f>IF(A1400="",0,B1400*(IF(C1400=DATE(2026,11,28),38,0)+IF(C1400=DATE(2026,12,1),38,0)+IF(C1400=DATE(2026,12,2),26,0)))</f>
        <v/>
      </c>
      <c r="K1400" s="13">
        <f>IF(C1400=Options!$B$9,B1400*12,0)</f>
        <v/>
      </c>
      <c r="L1400" s="13">
        <f>IF(C1400=Options!$B$9,B1400*Options!$Z$6,0)</f>
        <v/>
      </c>
      <c r="M1400" s="13" t="n">
        <v>0</v>
      </c>
      <c r="N1400" s="13">
        <f>SUM(E1400:M1400)</f>
        <v/>
      </c>
    </row>
    <row r="1401">
      <c r="A1401" s="5">
        <f>IF(AND(C1401&gt;=Options!$B$9,C1401&lt;=Options!$B$10),"Denver","")</f>
        <v/>
      </c>
      <c r="B1401" s="5">
        <f>IF(A1401="","",24)</f>
        <v/>
      </c>
      <c r="C1401" s="17" t="n">
        <v>46597</v>
      </c>
      <c r="D1401" s="5">
        <f>IF(A1401="","",IF(C1401=DATE(2026,11,29),"培训；注册午餐；早餐参数",IF(C1401=DATE(2026,11,30),"培训；注册午餐",IF(C1401=DATE(2026,12,1),"培训；注册午餐；机构晚餐",IF(C1401=Options!$B$9,"抵达；"&amp;IF(C1401=DATE(2026,11,28),"机构晚餐","无统一供餐"),IF(C1401=Options!$B$10,"返程；"&amp;IF(C1401=DATE(2026,12,2),"机构午餐","无统一供餐"),"差旅状态；无统一日程"))))))</f>
        <v/>
      </c>
      <c r="E1401" s="13">
        <f>IF(C1401=Options!$B$9,Options!$C$17,0)</f>
        <v/>
      </c>
      <c r="F1401" s="13">
        <f>IF(AND(A1401&lt;&gt;"",C1401&lt;Options!$B$10),B1401*Options!$X$6,0)</f>
        <v/>
      </c>
      <c r="G1401" s="13">
        <f>F1401*12%</f>
        <v/>
      </c>
      <c r="H1401" s="13">
        <f>IF(A1401="",0,B1401*(92*IF(OR(C1401=Options!$B$9,C1401=Options!$B$10),75%,100%)-IF(C1401=DATE(2026,11,29),26+IF(Options!$B$8="是",23,0),0)-IF(C1401=DATE(2026,11,30),26,0)-IF(C1401=DATE(2026,12,1),64,0)-IF(C1401=DATE(2026,11,28),38,0)-IF(C1401=DATE(2026,12,2),26,0)))</f>
        <v/>
      </c>
      <c r="I1401" s="13">
        <f>IF(AND(C1401&gt;=DATE(2026,11,29),C1401&lt;=DATE(2026,12,1)),B1401*60,0)</f>
        <v/>
      </c>
      <c r="J1401" s="13">
        <f>IF(A1401="",0,B1401*(IF(C1401=DATE(2026,11,28),38,0)+IF(C1401=DATE(2026,12,1),38,0)+IF(C1401=DATE(2026,12,2),26,0)))</f>
        <v/>
      </c>
      <c r="K1401" s="13">
        <f>IF(C1401=Options!$B$9,B1401*12,0)</f>
        <v/>
      </c>
      <c r="L1401" s="13">
        <f>IF(C1401=Options!$B$9,B1401*Options!$Z$6,0)</f>
        <v/>
      </c>
      <c r="M1401" s="13" t="n">
        <v>0</v>
      </c>
      <c r="N1401" s="13">
        <f>SUM(E1401:M1401)</f>
        <v/>
      </c>
    </row>
    <row r="1402">
      <c r="A1402" s="5">
        <f>IF(AND(C1402&gt;=Options!$B$9,C1402&lt;=Options!$B$10),"Denver","")</f>
        <v/>
      </c>
      <c r="B1402" s="5">
        <f>IF(A1402="","",24)</f>
        <v/>
      </c>
      <c r="C1402" s="17" t="n">
        <v>46598</v>
      </c>
      <c r="D1402" s="5">
        <f>IF(A1402="","",IF(C1402=DATE(2026,11,29),"培训；注册午餐；早餐参数",IF(C1402=DATE(2026,11,30),"培训；注册午餐",IF(C1402=DATE(2026,12,1),"培训；注册午餐；机构晚餐",IF(C1402=Options!$B$9,"抵达；"&amp;IF(C1402=DATE(2026,11,28),"机构晚餐","无统一供餐"),IF(C1402=Options!$B$10,"返程；"&amp;IF(C1402=DATE(2026,12,2),"机构午餐","无统一供餐"),"差旅状态；无统一日程"))))))</f>
        <v/>
      </c>
      <c r="E1402" s="13">
        <f>IF(C1402=Options!$B$9,Options!$C$17,0)</f>
        <v/>
      </c>
      <c r="F1402" s="13">
        <f>IF(AND(A1402&lt;&gt;"",C1402&lt;Options!$B$10),B1402*Options!$X$6,0)</f>
        <v/>
      </c>
      <c r="G1402" s="13">
        <f>F1402*12%</f>
        <v/>
      </c>
      <c r="H1402" s="13">
        <f>IF(A1402="",0,B1402*(92*IF(OR(C1402=Options!$B$9,C1402=Options!$B$10),75%,100%)-IF(C1402=DATE(2026,11,29),26+IF(Options!$B$8="是",23,0),0)-IF(C1402=DATE(2026,11,30),26,0)-IF(C1402=DATE(2026,12,1),64,0)-IF(C1402=DATE(2026,11,28),38,0)-IF(C1402=DATE(2026,12,2),26,0)))</f>
        <v/>
      </c>
      <c r="I1402" s="13">
        <f>IF(AND(C1402&gt;=DATE(2026,11,29),C1402&lt;=DATE(2026,12,1)),B1402*60,0)</f>
        <v/>
      </c>
      <c r="J1402" s="13">
        <f>IF(A1402="",0,B1402*(IF(C1402=DATE(2026,11,28),38,0)+IF(C1402=DATE(2026,12,1),38,0)+IF(C1402=DATE(2026,12,2),26,0)))</f>
        <v/>
      </c>
      <c r="K1402" s="13">
        <f>IF(C1402=Options!$B$9,B1402*12,0)</f>
        <v/>
      </c>
      <c r="L1402" s="13">
        <f>IF(C1402=Options!$B$9,B1402*Options!$Z$6,0)</f>
        <v/>
      </c>
      <c r="M1402" s="13" t="n">
        <v>0</v>
      </c>
      <c r="N1402" s="13">
        <f>SUM(E1402:M1402)</f>
        <v/>
      </c>
    </row>
    <row r="1403">
      <c r="A1403" s="5">
        <f>IF(AND(C1403&gt;=Options!$B$9,C1403&lt;=Options!$B$10),"Denver","")</f>
        <v/>
      </c>
      <c r="B1403" s="5">
        <f>IF(A1403="","",24)</f>
        <v/>
      </c>
      <c r="C1403" s="17" t="n">
        <v>46599</v>
      </c>
      <c r="D1403" s="5">
        <f>IF(A1403="","",IF(C1403=DATE(2026,11,29),"培训；注册午餐；早餐参数",IF(C1403=DATE(2026,11,30),"培训；注册午餐",IF(C1403=DATE(2026,12,1),"培训；注册午餐；机构晚餐",IF(C1403=Options!$B$9,"抵达；"&amp;IF(C1403=DATE(2026,11,28),"机构晚餐","无统一供餐"),IF(C1403=Options!$B$10,"返程；"&amp;IF(C1403=DATE(2026,12,2),"机构午餐","无统一供餐"),"差旅状态；无统一日程"))))))</f>
        <v/>
      </c>
      <c r="E1403" s="13">
        <f>IF(C1403=Options!$B$9,Options!$C$17,0)</f>
        <v/>
      </c>
      <c r="F1403" s="13">
        <f>IF(AND(A1403&lt;&gt;"",C1403&lt;Options!$B$10),B1403*Options!$X$6,0)</f>
        <v/>
      </c>
      <c r="G1403" s="13">
        <f>F1403*12%</f>
        <v/>
      </c>
      <c r="H1403" s="13">
        <f>IF(A1403="",0,B1403*(92*IF(OR(C1403=Options!$B$9,C1403=Options!$B$10),75%,100%)-IF(C1403=DATE(2026,11,29),26+IF(Options!$B$8="是",23,0),0)-IF(C1403=DATE(2026,11,30),26,0)-IF(C1403=DATE(2026,12,1),64,0)-IF(C1403=DATE(2026,11,28),38,0)-IF(C1403=DATE(2026,12,2),26,0)))</f>
        <v/>
      </c>
      <c r="I1403" s="13">
        <f>IF(AND(C1403&gt;=DATE(2026,11,29),C1403&lt;=DATE(2026,12,1)),B1403*60,0)</f>
        <v/>
      </c>
      <c r="J1403" s="13">
        <f>IF(A1403="",0,B1403*(IF(C1403=DATE(2026,11,28),38,0)+IF(C1403=DATE(2026,12,1),38,0)+IF(C1403=DATE(2026,12,2),26,0)))</f>
        <v/>
      </c>
      <c r="K1403" s="13">
        <f>IF(C1403=Options!$B$9,B1403*12,0)</f>
        <v/>
      </c>
      <c r="L1403" s="13">
        <f>IF(C1403=Options!$B$9,B1403*Options!$Z$6,0)</f>
        <v/>
      </c>
      <c r="M1403" s="13" t="n">
        <v>0</v>
      </c>
      <c r="N1403" s="13">
        <f>SUM(E1403:M1403)</f>
        <v/>
      </c>
    </row>
    <row r="1404">
      <c r="A1404" s="5">
        <f>IF(AND(C1404&gt;=Options!$B$9,C1404&lt;=Options!$B$10),"Denver","")</f>
        <v/>
      </c>
      <c r="B1404" s="5">
        <f>IF(A1404="","",24)</f>
        <v/>
      </c>
      <c r="C1404" s="17" t="n">
        <v>46600</v>
      </c>
      <c r="D1404" s="5">
        <f>IF(A1404="","",IF(C1404=DATE(2026,11,29),"培训；注册午餐；早餐参数",IF(C1404=DATE(2026,11,30),"培训；注册午餐",IF(C1404=DATE(2026,12,1),"培训；注册午餐；机构晚餐",IF(C1404=Options!$B$9,"抵达；"&amp;IF(C1404=DATE(2026,11,28),"机构晚餐","无统一供餐"),IF(C1404=Options!$B$10,"返程；"&amp;IF(C1404=DATE(2026,12,2),"机构午餐","无统一供餐"),"差旅状态；无统一日程"))))))</f>
        <v/>
      </c>
      <c r="E1404" s="13">
        <f>IF(C1404=Options!$B$9,Options!$C$17,0)</f>
        <v/>
      </c>
      <c r="F1404" s="13">
        <f>IF(AND(A1404&lt;&gt;"",C1404&lt;Options!$B$10),B1404*Options!$X$6,0)</f>
        <v/>
      </c>
      <c r="G1404" s="13">
        <f>F1404*12%</f>
        <v/>
      </c>
      <c r="H1404" s="13">
        <f>IF(A1404="",0,B1404*(92*IF(OR(C1404=Options!$B$9,C1404=Options!$B$10),75%,100%)-IF(C1404=DATE(2026,11,29),26+IF(Options!$B$8="是",23,0),0)-IF(C1404=DATE(2026,11,30),26,0)-IF(C1404=DATE(2026,12,1),64,0)-IF(C1404=DATE(2026,11,28),38,0)-IF(C1404=DATE(2026,12,2),26,0)))</f>
        <v/>
      </c>
      <c r="I1404" s="13">
        <f>IF(AND(C1404&gt;=DATE(2026,11,29),C1404&lt;=DATE(2026,12,1)),B1404*60,0)</f>
        <v/>
      </c>
      <c r="J1404" s="13">
        <f>IF(A1404="",0,B1404*(IF(C1404=DATE(2026,11,28),38,0)+IF(C1404=DATE(2026,12,1),38,0)+IF(C1404=DATE(2026,12,2),26,0)))</f>
        <v/>
      </c>
      <c r="K1404" s="13">
        <f>IF(C1404=Options!$B$9,B1404*12,0)</f>
        <v/>
      </c>
      <c r="L1404" s="13">
        <f>IF(C1404=Options!$B$9,B1404*Options!$Z$6,0)</f>
        <v/>
      </c>
      <c r="M1404" s="13" t="n">
        <v>0</v>
      </c>
      <c r="N1404" s="13">
        <f>SUM(E1404:M1404)</f>
        <v/>
      </c>
    </row>
    <row r="1405">
      <c r="A1405" s="5">
        <f>IF(AND(C1405&gt;=Options!$B$9,C1405&lt;=Options!$B$10),"Denver","")</f>
        <v/>
      </c>
      <c r="B1405" s="5">
        <f>IF(A1405="","",24)</f>
        <v/>
      </c>
      <c r="C1405" s="17" t="n">
        <v>46601</v>
      </c>
      <c r="D1405" s="5">
        <f>IF(A1405="","",IF(C1405=DATE(2026,11,29),"培训；注册午餐；早餐参数",IF(C1405=DATE(2026,11,30),"培训；注册午餐",IF(C1405=DATE(2026,12,1),"培训；注册午餐；机构晚餐",IF(C1405=Options!$B$9,"抵达；"&amp;IF(C1405=DATE(2026,11,28),"机构晚餐","无统一供餐"),IF(C1405=Options!$B$10,"返程；"&amp;IF(C1405=DATE(2026,12,2),"机构午餐","无统一供餐"),"差旅状态；无统一日程"))))))</f>
        <v/>
      </c>
      <c r="E1405" s="13">
        <f>IF(C1405=Options!$B$9,Options!$C$17,0)</f>
        <v/>
      </c>
      <c r="F1405" s="13">
        <f>IF(AND(A1405&lt;&gt;"",C1405&lt;Options!$B$10),B1405*Options!$X$6,0)</f>
        <v/>
      </c>
      <c r="G1405" s="13">
        <f>F1405*12%</f>
        <v/>
      </c>
      <c r="H1405" s="13">
        <f>IF(A1405="",0,B1405*(92*IF(OR(C1405=Options!$B$9,C1405=Options!$B$10),75%,100%)-IF(C1405=DATE(2026,11,29),26+IF(Options!$B$8="是",23,0),0)-IF(C1405=DATE(2026,11,30),26,0)-IF(C1405=DATE(2026,12,1),64,0)-IF(C1405=DATE(2026,11,28),38,0)-IF(C1405=DATE(2026,12,2),26,0)))</f>
        <v/>
      </c>
      <c r="I1405" s="13">
        <f>IF(AND(C1405&gt;=DATE(2026,11,29),C1405&lt;=DATE(2026,12,1)),B1405*60,0)</f>
        <v/>
      </c>
      <c r="J1405" s="13">
        <f>IF(A1405="",0,B1405*(IF(C1405=DATE(2026,11,28),38,0)+IF(C1405=DATE(2026,12,1),38,0)+IF(C1405=DATE(2026,12,2),26,0)))</f>
        <v/>
      </c>
      <c r="K1405" s="13">
        <f>IF(C1405=Options!$B$9,B1405*12,0)</f>
        <v/>
      </c>
      <c r="L1405" s="13">
        <f>IF(C1405=Options!$B$9,B1405*Options!$Z$6,0)</f>
        <v/>
      </c>
      <c r="M1405" s="13" t="n">
        <v>0</v>
      </c>
      <c r="N1405" s="13">
        <f>SUM(E1405:M1405)</f>
        <v/>
      </c>
    </row>
    <row r="1406">
      <c r="A1406" s="5">
        <f>IF(AND(C1406&gt;=Options!$B$9,C1406&lt;=Options!$B$10),"Denver","")</f>
        <v/>
      </c>
      <c r="B1406" s="5">
        <f>IF(A1406="","",24)</f>
        <v/>
      </c>
      <c r="C1406" s="17" t="n">
        <v>46602</v>
      </c>
      <c r="D1406" s="5">
        <f>IF(A1406="","",IF(C1406=DATE(2026,11,29),"培训；注册午餐；早餐参数",IF(C1406=DATE(2026,11,30),"培训；注册午餐",IF(C1406=DATE(2026,12,1),"培训；注册午餐；机构晚餐",IF(C1406=Options!$B$9,"抵达；"&amp;IF(C1406=DATE(2026,11,28),"机构晚餐","无统一供餐"),IF(C1406=Options!$B$10,"返程；"&amp;IF(C1406=DATE(2026,12,2),"机构午餐","无统一供餐"),"差旅状态；无统一日程"))))))</f>
        <v/>
      </c>
      <c r="E1406" s="13">
        <f>IF(C1406=Options!$B$9,Options!$C$17,0)</f>
        <v/>
      </c>
      <c r="F1406" s="13">
        <f>IF(AND(A1406&lt;&gt;"",C1406&lt;Options!$B$10),B1406*Options!$X$6,0)</f>
        <v/>
      </c>
      <c r="G1406" s="13">
        <f>F1406*12%</f>
        <v/>
      </c>
      <c r="H1406" s="13">
        <f>IF(A1406="",0,B1406*(92*IF(OR(C1406=Options!$B$9,C1406=Options!$B$10),75%,100%)-IF(C1406=DATE(2026,11,29),26+IF(Options!$B$8="是",23,0),0)-IF(C1406=DATE(2026,11,30),26,0)-IF(C1406=DATE(2026,12,1),64,0)-IF(C1406=DATE(2026,11,28),38,0)-IF(C1406=DATE(2026,12,2),26,0)))</f>
        <v/>
      </c>
      <c r="I1406" s="13">
        <f>IF(AND(C1406&gt;=DATE(2026,11,29),C1406&lt;=DATE(2026,12,1)),B1406*60,0)</f>
        <v/>
      </c>
      <c r="J1406" s="13">
        <f>IF(A1406="",0,B1406*(IF(C1406=DATE(2026,11,28),38,0)+IF(C1406=DATE(2026,12,1),38,0)+IF(C1406=DATE(2026,12,2),26,0)))</f>
        <v/>
      </c>
      <c r="K1406" s="13">
        <f>IF(C1406=Options!$B$9,B1406*12,0)</f>
        <v/>
      </c>
      <c r="L1406" s="13">
        <f>IF(C1406=Options!$B$9,B1406*Options!$Z$6,0)</f>
        <v/>
      </c>
      <c r="M1406" s="13" t="n">
        <v>0</v>
      </c>
      <c r="N1406" s="13">
        <f>SUM(E1406:M1406)</f>
        <v/>
      </c>
    </row>
    <row r="1407">
      <c r="A1407" s="5">
        <f>IF(AND(C1407&gt;=Options!$B$9,C1407&lt;=Options!$B$10),"Denver","")</f>
        <v/>
      </c>
      <c r="B1407" s="5">
        <f>IF(A1407="","",24)</f>
        <v/>
      </c>
      <c r="C1407" s="17" t="n">
        <v>46603</v>
      </c>
      <c r="D1407" s="5">
        <f>IF(A1407="","",IF(C1407=DATE(2026,11,29),"培训；注册午餐；早餐参数",IF(C1407=DATE(2026,11,30),"培训；注册午餐",IF(C1407=DATE(2026,12,1),"培训；注册午餐；机构晚餐",IF(C1407=Options!$B$9,"抵达；"&amp;IF(C1407=DATE(2026,11,28),"机构晚餐","无统一供餐"),IF(C1407=Options!$B$10,"返程；"&amp;IF(C1407=DATE(2026,12,2),"机构午餐","无统一供餐"),"差旅状态；无统一日程"))))))</f>
        <v/>
      </c>
      <c r="E1407" s="13">
        <f>IF(C1407=Options!$B$9,Options!$C$17,0)</f>
        <v/>
      </c>
      <c r="F1407" s="13">
        <f>IF(AND(A1407&lt;&gt;"",C1407&lt;Options!$B$10),B1407*Options!$X$6,0)</f>
        <v/>
      </c>
      <c r="G1407" s="13">
        <f>F1407*12%</f>
        <v/>
      </c>
      <c r="H1407" s="13">
        <f>IF(A1407="",0,B1407*(92*IF(OR(C1407=Options!$B$9,C1407=Options!$B$10),75%,100%)-IF(C1407=DATE(2026,11,29),26+IF(Options!$B$8="是",23,0),0)-IF(C1407=DATE(2026,11,30),26,0)-IF(C1407=DATE(2026,12,1),64,0)-IF(C1407=DATE(2026,11,28),38,0)-IF(C1407=DATE(2026,12,2),26,0)))</f>
        <v/>
      </c>
      <c r="I1407" s="13">
        <f>IF(AND(C1407&gt;=DATE(2026,11,29),C1407&lt;=DATE(2026,12,1)),B1407*60,0)</f>
        <v/>
      </c>
      <c r="J1407" s="13">
        <f>IF(A1407="",0,B1407*(IF(C1407=DATE(2026,11,28),38,0)+IF(C1407=DATE(2026,12,1),38,0)+IF(C1407=DATE(2026,12,2),26,0)))</f>
        <v/>
      </c>
      <c r="K1407" s="13">
        <f>IF(C1407=Options!$B$9,B1407*12,0)</f>
        <v/>
      </c>
      <c r="L1407" s="13">
        <f>IF(C1407=Options!$B$9,B1407*Options!$Z$6,0)</f>
        <v/>
      </c>
      <c r="M1407" s="13" t="n">
        <v>0</v>
      </c>
      <c r="N1407" s="13">
        <f>SUM(E1407:M1407)</f>
        <v/>
      </c>
    </row>
    <row r="1408">
      <c r="A1408" s="5">
        <f>IF(AND(C1408&gt;=Options!$B$9,C1408&lt;=Options!$B$10),"Denver","")</f>
        <v/>
      </c>
      <c r="B1408" s="5">
        <f>IF(A1408="","",24)</f>
        <v/>
      </c>
      <c r="C1408" s="17" t="n">
        <v>46604</v>
      </c>
      <c r="D1408" s="5">
        <f>IF(A1408="","",IF(C1408=DATE(2026,11,29),"培训；注册午餐；早餐参数",IF(C1408=DATE(2026,11,30),"培训；注册午餐",IF(C1408=DATE(2026,12,1),"培训；注册午餐；机构晚餐",IF(C1408=Options!$B$9,"抵达；"&amp;IF(C1408=DATE(2026,11,28),"机构晚餐","无统一供餐"),IF(C1408=Options!$B$10,"返程；"&amp;IF(C1408=DATE(2026,12,2),"机构午餐","无统一供餐"),"差旅状态；无统一日程"))))))</f>
        <v/>
      </c>
      <c r="E1408" s="13">
        <f>IF(C1408=Options!$B$9,Options!$C$17,0)</f>
        <v/>
      </c>
      <c r="F1408" s="13">
        <f>IF(AND(A1408&lt;&gt;"",C1408&lt;Options!$B$10),B1408*Options!$X$6,0)</f>
        <v/>
      </c>
      <c r="G1408" s="13">
        <f>F1408*12%</f>
        <v/>
      </c>
      <c r="H1408" s="13">
        <f>IF(A1408="",0,B1408*(92*IF(OR(C1408=Options!$B$9,C1408=Options!$B$10),75%,100%)-IF(C1408=DATE(2026,11,29),26+IF(Options!$B$8="是",23,0),0)-IF(C1408=DATE(2026,11,30),26,0)-IF(C1408=DATE(2026,12,1),64,0)-IF(C1408=DATE(2026,11,28),38,0)-IF(C1408=DATE(2026,12,2),26,0)))</f>
        <v/>
      </c>
      <c r="I1408" s="13">
        <f>IF(AND(C1408&gt;=DATE(2026,11,29),C1408&lt;=DATE(2026,12,1)),B1408*60,0)</f>
        <v/>
      </c>
      <c r="J1408" s="13">
        <f>IF(A1408="",0,B1408*(IF(C1408=DATE(2026,11,28),38,0)+IF(C1408=DATE(2026,12,1),38,0)+IF(C1408=DATE(2026,12,2),26,0)))</f>
        <v/>
      </c>
      <c r="K1408" s="13">
        <f>IF(C1408=Options!$B$9,B1408*12,0)</f>
        <v/>
      </c>
      <c r="L1408" s="13">
        <f>IF(C1408=Options!$B$9,B1408*Options!$Z$6,0)</f>
        <v/>
      </c>
      <c r="M1408" s="13" t="n">
        <v>0</v>
      </c>
      <c r="N1408" s="13">
        <f>SUM(E1408:M1408)</f>
        <v/>
      </c>
    </row>
    <row r="1409">
      <c r="A1409" s="5">
        <f>IF(AND(C1409&gt;=Options!$B$9,C1409&lt;=Options!$B$10),"Denver","")</f>
        <v/>
      </c>
      <c r="B1409" s="5">
        <f>IF(A1409="","",24)</f>
        <v/>
      </c>
      <c r="C1409" s="17" t="n">
        <v>46605</v>
      </c>
      <c r="D1409" s="5">
        <f>IF(A1409="","",IF(C1409=DATE(2026,11,29),"培训；注册午餐；早餐参数",IF(C1409=DATE(2026,11,30),"培训；注册午餐",IF(C1409=DATE(2026,12,1),"培训；注册午餐；机构晚餐",IF(C1409=Options!$B$9,"抵达；"&amp;IF(C1409=DATE(2026,11,28),"机构晚餐","无统一供餐"),IF(C1409=Options!$B$10,"返程；"&amp;IF(C1409=DATE(2026,12,2),"机构午餐","无统一供餐"),"差旅状态；无统一日程"))))))</f>
        <v/>
      </c>
      <c r="E1409" s="13">
        <f>IF(C1409=Options!$B$9,Options!$C$17,0)</f>
        <v/>
      </c>
      <c r="F1409" s="13">
        <f>IF(AND(A1409&lt;&gt;"",C1409&lt;Options!$B$10),B1409*Options!$X$6,0)</f>
        <v/>
      </c>
      <c r="G1409" s="13">
        <f>F1409*12%</f>
        <v/>
      </c>
      <c r="H1409" s="13">
        <f>IF(A1409="",0,B1409*(92*IF(OR(C1409=Options!$B$9,C1409=Options!$B$10),75%,100%)-IF(C1409=DATE(2026,11,29),26+IF(Options!$B$8="是",23,0),0)-IF(C1409=DATE(2026,11,30),26,0)-IF(C1409=DATE(2026,12,1),64,0)-IF(C1409=DATE(2026,11,28),38,0)-IF(C1409=DATE(2026,12,2),26,0)))</f>
        <v/>
      </c>
      <c r="I1409" s="13">
        <f>IF(AND(C1409&gt;=DATE(2026,11,29),C1409&lt;=DATE(2026,12,1)),B1409*60,0)</f>
        <v/>
      </c>
      <c r="J1409" s="13">
        <f>IF(A1409="",0,B1409*(IF(C1409=DATE(2026,11,28),38,0)+IF(C1409=DATE(2026,12,1),38,0)+IF(C1409=DATE(2026,12,2),26,0)))</f>
        <v/>
      </c>
      <c r="K1409" s="13">
        <f>IF(C1409=Options!$B$9,B1409*12,0)</f>
        <v/>
      </c>
      <c r="L1409" s="13">
        <f>IF(C1409=Options!$B$9,B1409*Options!$Z$6,0)</f>
        <v/>
      </c>
      <c r="M1409" s="13" t="n">
        <v>0</v>
      </c>
      <c r="N1409" s="13">
        <f>SUM(E1409:M1409)</f>
        <v/>
      </c>
    </row>
    <row r="1410">
      <c r="A1410" s="5">
        <f>IF(AND(C1410&gt;=Options!$B$9,C1410&lt;=Options!$B$10),"Denver","")</f>
        <v/>
      </c>
      <c r="B1410" s="5">
        <f>IF(A1410="","",24)</f>
        <v/>
      </c>
      <c r="C1410" s="17" t="n">
        <v>46606</v>
      </c>
      <c r="D1410" s="5">
        <f>IF(A1410="","",IF(C1410=DATE(2026,11,29),"培训；注册午餐；早餐参数",IF(C1410=DATE(2026,11,30),"培训；注册午餐",IF(C1410=DATE(2026,12,1),"培训；注册午餐；机构晚餐",IF(C1410=Options!$B$9,"抵达；"&amp;IF(C1410=DATE(2026,11,28),"机构晚餐","无统一供餐"),IF(C1410=Options!$B$10,"返程；"&amp;IF(C1410=DATE(2026,12,2),"机构午餐","无统一供餐"),"差旅状态；无统一日程"))))))</f>
        <v/>
      </c>
      <c r="E1410" s="13">
        <f>IF(C1410=Options!$B$9,Options!$C$17,0)</f>
        <v/>
      </c>
      <c r="F1410" s="13">
        <f>IF(AND(A1410&lt;&gt;"",C1410&lt;Options!$B$10),B1410*Options!$X$6,0)</f>
        <v/>
      </c>
      <c r="G1410" s="13">
        <f>F1410*12%</f>
        <v/>
      </c>
      <c r="H1410" s="13">
        <f>IF(A1410="",0,B1410*(92*IF(OR(C1410=Options!$B$9,C1410=Options!$B$10),75%,100%)-IF(C1410=DATE(2026,11,29),26+IF(Options!$B$8="是",23,0),0)-IF(C1410=DATE(2026,11,30),26,0)-IF(C1410=DATE(2026,12,1),64,0)-IF(C1410=DATE(2026,11,28),38,0)-IF(C1410=DATE(2026,12,2),26,0)))</f>
        <v/>
      </c>
      <c r="I1410" s="13">
        <f>IF(AND(C1410&gt;=DATE(2026,11,29),C1410&lt;=DATE(2026,12,1)),B1410*60,0)</f>
        <v/>
      </c>
      <c r="J1410" s="13">
        <f>IF(A1410="",0,B1410*(IF(C1410=DATE(2026,11,28),38,0)+IF(C1410=DATE(2026,12,1),38,0)+IF(C1410=DATE(2026,12,2),26,0)))</f>
        <v/>
      </c>
      <c r="K1410" s="13">
        <f>IF(C1410=Options!$B$9,B1410*12,0)</f>
        <v/>
      </c>
      <c r="L1410" s="13">
        <f>IF(C1410=Options!$B$9,B1410*Options!$Z$6,0)</f>
        <v/>
      </c>
      <c r="M1410" s="13" t="n">
        <v>0</v>
      </c>
      <c r="N1410" s="13">
        <f>SUM(E1410:M1410)</f>
        <v/>
      </c>
    </row>
    <row r="1411">
      <c r="A1411" s="5">
        <f>IF(AND(C1411&gt;=Options!$B$9,C1411&lt;=Options!$B$10),"Denver","")</f>
        <v/>
      </c>
      <c r="B1411" s="5">
        <f>IF(A1411="","",24)</f>
        <v/>
      </c>
      <c r="C1411" s="17" t="n">
        <v>46607</v>
      </c>
      <c r="D1411" s="5">
        <f>IF(A1411="","",IF(C1411=DATE(2026,11,29),"培训；注册午餐；早餐参数",IF(C1411=DATE(2026,11,30),"培训；注册午餐",IF(C1411=DATE(2026,12,1),"培训；注册午餐；机构晚餐",IF(C1411=Options!$B$9,"抵达；"&amp;IF(C1411=DATE(2026,11,28),"机构晚餐","无统一供餐"),IF(C1411=Options!$B$10,"返程；"&amp;IF(C1411=DATE(2026,12,2),"机构午餐","无统一供餐"),"差旅状态；无统一日程"))))))</f>
        <v/>
      </c>
      <c r="E1411" s="13">
        <f>IF(C1411=Options!$B$9,Options!$C$17,0)</f>
        <v/>
      </c>
      <c r="F1411" s="13">
        <f>IF(AND(A1411&lt;&gt;"",C1411&lt;Options!$B$10),B1411*Options!$X$6,0)</f>
        <v/>
      </c>
      <c r="G1411" s="13">
        <f>F1411*12%</f>
        <v/>
      </c>
      <c r="H1411" s="13">
        <f>IF(A1411="",0,B1411*(92*IF(OR(C1411=Options!$B$9,C1411=Options!$B$10),75%,100%)-IF(C1411=DATE(2026,11,29),26+IF(Options!$B$8="是",23,0),0)-IF(C1411=DATE(2026,11,30),26,0)-IF(C1411=DATE(2026,12,1),64,0)-IF(C1411=DATE(2026,11,28),38,0)-IF(C1411=DATE(2026,12,2),26,0)))</f>
        <v/>
      </c>
      <c r="I1411" s="13">
        <f>IF(AND(C1411&gt;=DATE(2026,11,29),C1411&lt;=DATE(2026,12,1)),B1411*60,0)</f>
        <v/>
      </c>
      <c r="J1411" s="13">
        <f>IF(A1411="",0,B1411*(IF(C1411=DATE(2026,11,28),38,0)+IF(C1411=DATE(2026,12,1),38,0)+IF(C1411=DATE(2026,12,2),26,0)))</f>
        <v/>
      </c>
      <c r="K1411" s="13">
        <f>IF(C1411=Options!$B$9,B1411*12,0)</f>
        <v/>
      </c>
      <c r="L1411" s="13">
        <f>IF(C1411=Options!$B$9,B1411*Options!$Z$6,0)</f>
        <v/>
      </c>
      <c r="M1411" s="13" t="n">
        <v>0</v>
      </c>
      <c r="N1411" s="13">
        <f>SUM(E1411:M1411)</f>
        <v/>
      </c>
    </row>
    <row r="1412">
      <c r="A1412" s="5">
        <f>IF(AND(C1412&gt;=Options!$B$9,C1412&lt;=Options!$B$10),"Denver","")</f>
        <v/>
      </c>
      <c r="B1412" s="5">
        <f>IF(A1412="","",24)</f>
        <v/>
      </c>
      <c r="C1412" s="17" t="n">
        <v>46608</v>
      </c>
      <c r="D1412" s="5">
        <f>IF(A1412="","",IF(C1412=DATE(2026,11,29),"培训；注册午餐；早餐参数",IF(C1412=DATE(2026,11,30),"培训；注册午餐",IF(C1412=DATE(2026,12,1),"培训；注册午餐；机构晚餐",IF(C1412=Options!$B$9,"抵达；"&amp;IF(C1412=DATE(2026,11,28),"机构晚餐","无统一供餐"),IF(C1412=Options!$B$10,"返程；"&amp;IF(C1412=DATE(2026,12,2),"机构午餐","无统一供餐"),"差旅状态；无统一日程"))))))</f>
        <v/>
      </c>
      <c r="E1412" s="13">
        <f>IF(C1412=Options!$B$9,Options!$C$17,0)</f>
        <v/>
      </c>
      <c r="F1412" s="13">
        <f>IF(AND(A1412&lt;&gt;"",C1412&lt;Options!$B$10),B1412*Options!$X$6,0)</f>
        <v/>
      </c>
      <c r="G1412" s="13">
        <f>F1412*12%</f>
        <v/>
      </c>
      <c r="H1412" s="13">
        <f>IF(A1412="",0,B1412*(92*IF(OR(C1412=Options!$B$9,C1412=Options!$B$10),75%,100%)-IF(C1412=DATE(2026,11,29),26+IF(Options!$B$8="是",23,0),0)-IF(C1412=DATE(2026,11,30),26,0)-IF(C1412=DATE(2026,12,1),64,0)-IF(C1412=DATE(2026,11,28),38,0)-IF(C1412=DATE(2026,12,2),26,0)))</f>
        <v/>
      </c>
      <c r="I1412" s="13">
        <f>IF(AND(C1412&gt;=DATE(2026,11,29),C1412&lt;=DATE(2026,12,1)),B1412*60,0)</f>
        <v/>
      </c>
      <c r="J1412" s="13">
        <f>IF(A1412="",0,B1412*(IF(C1412=DATE(2026,11,28),38,0)+IF(C1412=DATE(2026,12,1),38,0)+IF(C1412=DATE(2026,12,2),26,0)))</f>
        <v/>
      </c>
      <c r="K1412" s="13">
        <f>IF(C1412=Options!$B$9,B1412*12,0)</f>
        <v/>
      </c>
      <c r="L1412" s="13">
        <f>IF(C1412=Options!$B$9,B1412*Options!$Z$6,0)</f>
        <v/>
      </c>
      <c r="M1412" s="13" t="n">
        <v>0</v>
      </c>
      <c r="N1412" s="13">
        <f>SUM(E1412:M1412)</f>
        <v/>
      </c>
    </row>
    <row r="1413">
      <c r="A1413" s="5">
        <f>IF(AND(C1413&gt;=Options!$B$9,C1413&lt;=Options!$B$10),"Denver","")</f>
        <v/>
      </c>
      <c r="B1413" s="5">
        <f>IF(A1413="","",24)</f>
        <v/>
      </c>
      <c r="C1413" s="17" t="n">
        <v>46609</v>
      </c>
      <c r="D1413" s="5">
        <f>IF(A1413="","",IF(C1413=DATE(2026,11,29),"培训；注册午餐；早餐参数",IF(C1413=DATE(2026,11,30),"培训；注册午餐",IF(C1413=DATE(2026,12,1),"培训；注册午餐；机构晚餐",IF(C1413=Options!$B$9,"抵达；"&amp;IF(C1413=DATE(2026,11,28),"机构晚餐","无统一供餐"),IF(C1413=Options!$B$10,"返程；"&amp;IF(C1413=DATE(2026,12,2),"机构午餐","无统一供餐"),"差旅状态；无统一日程"))))))</f>
        <v/>
      </c>
      <c r="E1413" s="13">
        <f>IF(C1413=Options!$B$9,Options!$C$17,0)</f>
        <v/>
      </c>
      <c r="F1413" s="13">
        <f>IF(AND(A1413&lt;&gt;"",C1413&lt;Options!$B$10),B1413*Options!$X$6,0)</f>
        <v/>
      </c>
      <c r="G1413" s="13">
        <f>F1413*12%</f>
        <v/>
      </c>
      <c r="H1413" s="13">
        <f>IF(A1413="",0,B1413*(92*IF(OR(C1413=Options!$B$9,C1413=Options!$B$10),75%,100%)-IF(C1413=DATE(2026,11,29),26+IF(Options!$B$8="是",23,0),0)-IF(C1413=DATE(2026,11,30),26,0)-IF(C1413=DATE(2026,12,1),64,0)-IF(C1413=DATE(2026,11,28),38,0)-IF(C1413=DATE(2026,12,2),26,0)))</f>
        <v/>
      </c>
      <c r="I1413" s="13">
        <f>IF(AND(C1413&gt;=DATE(2026,11,29),C1413&lt;=DATE(2026,12,1)),B1413*60,0)</f>
        <v/>
      </c>
      <c r="J1413" s="13">
        <f>IF(A1413="",0,B1413*(IF(C1413=DATE(2026,11,28),38,0)+IF(C1413=DATE(2026,12,1),38,0)+IF(C1413=DATE(2026,12,2),26,0)))</f>
        <v/>
      </c>
      <c r="K1413" s="13">
        <f>IF(C1413=Options!$B$9,B1413*12,0)</f>
        <v/>
      </c>
      <c r="L1413" s="13">
        <f>IF(C1413=Options!$B$9,B1413*Options!$Z$6,0)</f>
        <v/>
      </c>
      <c r="M1413" s="13" t="n">
        <v>0</v>
      </c>
      <c r="N1413" s="13">
        <f>SUM(E1413:M1413)</f>
        <v/>
      </c>
    </row>
    <row r="1414">
      <c r="A1414" s="5">
        <f>IF(AND(C1414&gt;=Options!$B$9,C1414&lt;=Options!$B$10),"Denver","")</f>
        <v/>
      </c>
      <c r="B1414" s="5">
        <f>IF(A1414="","",24)</f>
        <v/>
      </c>
      <c r="C1414" s="17" t="n">
        <v>46610</v>
      </c>
      <c r="D1414" s="5">
        <f>IF(A1414="","",IF(C1414=DATE(2026,11,29),"培训；注册午餐；早餐参数",IF(C1414=DATE(2026,11,30),"培训；注册午餐",IF(C1414=DATE(2026,12,1),"培训；注册午餐；机构晚餐",IF(C1414=Options!$B$9,"抵达；"&amp;IF(C1414=DATE(2026,11,28),"机构晚餐","无统一供餐"),IF(C1414=Options!$B$10,"返程；"&amp;IF(C1414=DATE(2026,12,2),"机构午餐","无统一供餐"),"差旅状态；无统一日程"))))))</f>
        <v/>
      </c>
      <c r="E1414" s="13">
        <f>IF(C1414=Options!$B$9,Options!$C$17,0)</f>
        <v/>
      </c>
      <c r="F1414" s="13">
        <f>IF(AND(A1414&lt;&gt;"",C1414&lt;Options!$B$10),B1414*Options!$X$6,0)</f>
        <v/>
      </c>
      <c r="G1414" s="13">
        <f>F1414*12%</f>
        <v/>
      </c>
      <c r="H1414" s="13">
        <f>IF(A1414="",0,B1414*(92*IF(OR(C1414=Options!$B$9,C1414=Options!$B$10),75%,100%)-IF(C1414=DATE(2026,11,29),26+IF(Options!$B$8="是",23,0),0)-IF(C1414=DATE(2026,11,30),26,0)-IF(C1414=DATE(2026,12,1),64,0)-IF(C1414=DATE(2026,11,28),38,0)-IF(C1414=DATE(2026,12,2),26,0)))</f>
        <v/>
      </c>
      <c r="I1414" s="13">
        <f>IF(AND(C1414&gt;=DATE(2026,11,29),C1414&lt;=DATE(2026,12,1)),B1414*60,0)</f>
        <v/>
      </c>
      <c r="J1414" s="13">
        <f>IF(A1414="",0,B1414*(IF(C1414=DATE(2026,11,28),38,0)+IF(C1414=DATE(2026,12,1),38,0)+IF(C1414=DATE(2026,12,2),26,0)))</f>
        <v/>
      </c>
      <c r="K1414" s="13">
        <f>IF(C1414=Options!$B$9,B1414*12,0)</f>
        <v/>
      </c>
      <c r="L1414" s="13">
        <f>IF(C1414=Options!$B$9,B1414*Options!$Z$6,0)</f>
        <v/>
      </c>
      <c r="M1414" s="13" t="n">
        <v>0</v>
      </c>
      <c r="N1414" s="13">
        <f>SUM(E1414:M1414)</f>
        <v/>
      </c>
    </row>
    <row r="1415">
      <c r="A1415" s="5">
        <f>IF(AND(C1415&gt;=Options!$B$9,C1415&lt;=Options!$B$10),"Denver","")</f>
        <v/>
      </c>
      <c r="B1415" s="5">
        <f>IF(A1415="","",24)</f>
        <v/>
      </c>
      <c r="C1415" s="17" t="n">
        <v>46611</v>
      </c>
      <c r="D1415" s="5">
        <f>IF(A1415="","",IF(C1415=DATE(2026,11,29),"培训；注册午餐；早餐参数",IF(C1415=DATE(2026,11,30),"培训；注册午餐",IF(C1415=DATE(2026,12,1),"培训；注册午餐；机构晚餐",IF(C1415=Options!$B$9,"抵达；"&amp;IF(C1415=DATE(2026,11,28),"机构晚餐","无统一供餐"),IF(C1415=Options!$B$10,"返程；"&amp;IF(C1415=DATE(2026,12,2),"机构午餐","无统一供餐"),"差旅状态；无统一日程"))))))</f>
        <v/>
      </c>
      <c r="E1415" s="13">
        <f>IF(C1415=Options!$B$9,Options!$C$17,0)</f>
        <v/>
      </c>
      <c r="F1415" s="13">
        <f>IF(AND(A1415&lt;&gt;"",C1415&lt;Options!$B$10),B1415*Options!$X$6,0)</f>
        <v/>
      </c>
      <c r="G1415" s="13">
        <f>F1415*12%</f>
        <v/>
      </c>
      <c r="H1415" s="13">
        <f>IF(A1415="",0,B1415*(92*IF(OR(C1415=Options!$B$9,C1415=Options!$B$10),75%,100%)-IF(C1415=DATE(2026,11,29),26+IF(Options!$B$8="是",23,0),0)-IF(C1415=DATE(2026,11,30),26,0)-IF(C1415=DATE(2026,12,1),64,0)-IF(C1415=DATE(2026,11,28),38,0)-IF(C1415=DATE(2026,12,2),26,0)))</f>
        <v/>
      </c>
      <c r="I1415" s="13">
        <f>IF(AND(C1415&gt;=DATE(2026,11,29),C1415&lt;=DATE(2026,12,1)),B1415*60,0)</f>
        <v/>
      </c>
      <c r="J1415" s="13">
        <f>IF(A1415="",0,B1415*(IF(C1415=DATE(2026,11,28),38,0)+IF(C1415=DATE(2026,12,1),38,0)+IF(C1415=DATE(2026,12,2),26,0)))</f>
        <v/>
      </c>
      <c r="K1415" s="13">
        <f>IF(C1415=Options!$B$9,B1415*12,0)</f>
        <v/>
      </c>
      <c r="L1415" s="13">
        <f>IF(C1415=Options!$B$9,B1415*Options!$Z$6,0)</f>
        <v/>
      </c>
      <c r="M1415" s="13" t="n">
        <v>0</v>
      </c>
      <c r="N1415" s="13">
        <f>SUM(E1415:M1415)</f>
        <v/>
      </c>
    </row>
    <row r="1416">
      <c r="A1416" s="5">
        <f>IF(AND(C1416&gt;=Options!$B$9,C1416&lt;=Options!$B$10),"Denver","")</f>
        <v/>
      </c>
      <c r="B1416" s="5">
        <f>IF(A1416="","",24)</f>
        <v/>
      </c>
      <c r="C1416" s="17" t="n">
        <v>46612</v>
      </c>
      <c r="D1416" s="5">
        <f>IF(A1416="","",IF(C1416=DATE(2026,11,29),"培训；注册午餐；早餐参数",IF(C1416=DATE(2026,11,30),"培训；注册午餐",IF(C1416=DATE(2026,12,1),"培训；注册午餐；机构晚餐",IF(C1416=Options!$B$9,"抵达；"&amp;IF(C1416=DATE(2026,11,28),"机构晚餐","无统一供餐"),IF(C1416=Options!$B$10,"返程；"&amp;IF(C1416=DATE(2026,12,2),"机构午餐","无统一供餐"),"差旅状态；无统一日程"))))))</f>
        <v/>
      </c>
      <c r="E1416" s="13">
        <f>IF(C1416=Options!$B$9,Options!$C$17,0)</f>
        <v/>
      </c>
      <c r="F1416" s="13">
        <f>IF(AND(A1416&lt;&gt;"",C1416&lt;Options!$B$10),B1416*Options!$X$6,0)</f>
        <v/>
      </c>
      <c r="G1416" s="13">
        <f>F1416*12%</f>
        <v/>
      </c>
      <c r="H1416" s="13">
        <f>IF(A1416="",0,B1416*(92*IF(OR(C1416=Options!$B$9,C1416=Options!$B$10),75%,100%)-IF(C1416=DATE(2026,11,29),26+IF(Options!$B$8="是",23,0),0)-IF(C1416=DATE(2026,11,30),26,0)-IF(C1416=DATE(2026,12,1),64,0)-IF(C1416=DATE(2026,11,28),38,0)-IF(C1416=DATE(2026,12,2),26,0)))</f>
        <v/>
      </c>
      <c r="I1416" s="13">
        <f>IF(AND(C1416&gt;=DATE(2026,11,29),C1416&lt;=DATE(2026,12,1)),B1416*60,0)</f>
        <v/>
      </c>
      <c r="J1416" s="13">
        <f>IF(A1416="",0,B1416*(IF(C1416=DATE(2026,11,28),38,0)+IF(C1416=DATE(2026,12,1),38,0)+IF(C1416=DATE(2026,12,2),26,0)))</f>
        <v/>
      </c>
      <c r="K1416" s="13">
        <f>IF(C1416=Options!$B$9,B1416*12,0)</f>
        <v/>
      </c>
      <c r="L1416" s="13">
        <f>IF(C1416=Options!$B$9,B1416*Options!$Z$6,0)</f>
        <v/>
      </c>
      <c r="M1416" s="13" t="n">
        <v>0</v>
      </c>
      <c r="N1416" s="13">
        <f>SUM(E1416:M1416)</f>
        <v/>
      </c>
    </row>
    <row r="1417">
      <c r="A1417" s="5">
        <f>IF(AND(C1417&gt;=Options!$B$9,C1417&lt;=Options!$B$10),"Denver","")</f>
        <v/>
      </c>
      <c r="B1417" s="5">
        <f>IF(A1417="","",24)</f>
        <v/>
      </c>
      <c r="C1417" s="17" t="n">
        <v>46613</v>
      </c>
      <c r="D1417" s="5">
        <f>IF(A1417="","",IF(C1417=DATE(2026,11,29),"培训；注册午餐；早餐参数",IF(C1417=DATE(2026,11,30),"培训；注册午餐",IF(C1417=DATE(2026,12,1),"培训；注册午餐；机构晚餐",IF(C1417=Options!$B$9,"抵达；"&amp;IF(C1417=DATE(2026,11,28),"机构晚餐","无统一供餐"),IF(C1417=Options!$B$10,"返程；"&amp;IF(C1417=DATE(2026,12,2),"机构午餐","无统一供餐"),"差旅状态；无统一日程"))))))</f>
        <v/>
      </c>
      <c r="E1417" s="13">
        <f>IF(C1417=Options!$B$9,Options!$C$17,0)</f>
        <v/>
      </c>
      <c r="F1417" s="13">
        <f>IF(AND(A1417&lt;&gt;"",C1417&lt;Options!$B$10),B1417*Options!$X$6,0)</f>
        <v/>
      </c>
      <c r="G1417" s="13">
        <f>F1417*12%</f>
        <v/>
      </c>
      <c r="H1417" s="13">
        <f>IF(A1417="",0,B1417*(92*IF(OR(C1417=Options!$B$9,C1417=Options!$B$10),75%,100%)-IF(C1417=DATE(2026,11,29),26+IF(Options!$B$8="是",23,0),0)-IF(C1417=DATE(2026,11,30),26,0)-IF(C1417=DATE(2026,12,1),64,0)-IF(C1417=DATE(2026,11,28),38,0)-IF(C1417=DATE(2026,12,2),26,0)))</f>
        <v/>
      </c>
      <c r="I1417" s="13">
        <f>IF(AND(C1417&gt;=DATE(2026,11,29),C1417&lt;=DATE(2026,12,1)),B1417*60,0)</f>
        <v/>
      </c>
      <c r="J1417" s="13">
        <f>IF(A1417="",0,B1417*(IF(C1417=DATE(2026,11,28),38,0)+IF(C1417=DATE(2026,12,1),38,0)+IF(C1417=DATE(2026,12,2),26,0)))</f>
        <v/>
      </c>
      <c r="K1417" s="13">
        <f>IF(C1417=Options!$B$9,B1417*12,0)</f>
        <v/>
      </c>
      <c r="L1417" s="13">
        <f>IF(C1417=Options!$B$9,B1417*Options!$Z$6,0)</f>
        <v/>
      </c>
      <c r="M1417" s="13" t="n">
        <v>0</v>
      </c>
      <c r="N1417" s="13">
        <f>SUM(E1417:M1417)</f>
        <v/>
      </c>
    </row>
    <row r="1418">
      <c r="A1418" s="5">
        <f>IF(AND(C1418&gt;=Options!$B$9,C1418&lt;=Options!$B$10),"Denver","")</f>
        <v/>
      </c>
      <c r="B1418" s="5">
        <f>IF(A1418="","",24)</f>
        <v/>
      </c>
      <c r="C1418" s="17" t="n">
        <v>46614</v>
      </c>
      <c r="D1418" s="5">
        <f>IF(A1418="","",IF(C1418=DATE(2026,11,29),"培训；注册午餐；早餐参数",IF(C1418=DATE(2026,11,30),"培训；注册午餐",IF(C1418=DATE(2026,12,1),"培训；注册午餐；机构晚餐",IF(C1418=Options!$B$9,"抵达；"&amp;IF(C1418=DATE(2026,11,28),"机构晚餐","无统一供餐"),IF(C1418=Options!$B$10,"返程；"&amp;IF(C1418=DATE(2026,12,2),"机构午餐","无统一供餐"),"差旅状态；无统一日程"))))))</f>
        <v/>
      </c>
      <c r="E1418" s="13">
        <f>IF(C1418=Options!$B$9,Options!$C$17,0)</f>
        <v/>
      </c>
      <c r="F1418" s="13">
        <f>IF(AND(A1418&lt;&gt;"",C1418&lt;Options!$B$10),B1418*Options!$X$6,0)</f>
        <v/>
      </c>
      <c r="G1418" s="13">
        <f>F1418*12%</f>
        <v/>
      </c>
      <c r="H1418" s="13">
        <f>IF(A1418="",0,B1418*(92*IF(OR(C1418=Options!$B$9,C1418=Options!$B$10),75%,100%)-IF(C1418=DATE(2026,11,29),26+IF(Options!$B$8="是",23,0),0)-IF(C1418=DATE(2026,11,30),26,0)-IF(C1418=DATE(2026,12,1),64,0)-IF(C1418=DATE(2026,11,28),38,0)-IF(C1418=DATE(2026,12,2),26,0)))</f>
        <v/>
      </c>
      <c r="I1418" s="13">
        <f>IF(AND(C1418&gt;=DATE(2026,11,29),C1418&lt;=DATE(2026,12,1)),B1418*60,0)</f>
        <v/>
      </c>
      <c r="J1418" s="13">
        <f>IF(A1418="",0,B1418*(IF(C1418=DATE(2026,11,28),38,0)+IF(C1418=DATE(2026,12,1),38,0)+IF(C1418=DATE(2026,12,2),26,0)))</f>
        <v/>
      </c>
      <c r="K1418" s="13">
        <f>IF(C1418=Options!$B$9,B1418*12,0)</f>
        <v/>
      </c>
      <c r="L1418" s="13">
        <f>IF(C1418=Options!$B$9,B1418*Options!$Z$6,0)</f>
        <v/>
      </c>
      <c r="M1418" s="13" t="n">
        <v>0</v>
      </c>
      <c r="N1418" s="13">
        <f>SUM(E1418:M1418)</f>
        <v/>
      </c>
    </row>
    <row r="1419">
      <c r="A1419" s="5">
        <f>IF(AND(C1419&gt;=Options!$B$9,C1419&lt;=Options!$B$10),"Denver","")</f>
        <v/>
      </c>
      <c r="B1419" s="5">
        <f>IF(A1419="","",24)</f>
        <v/>
      </c>
      <c r="C1419" s="17" t="n">
        <v>46615</v>
      </c>
      <c r="D1419" s="5">
        <f>IF(A1419="","",IF(C1419=DATE(2026,11,29),"培训；注册午餐；早餐参数",IF(C1419=DATE(2026,11,30),"培训；注册午餐",IF(C1419=DATE(2026,12,1),"培训；注册午餐；机构晚餐",IF(C1419=Options!$B$9,"抵达；"&amp;IF(C1419=DATE(2026,11,28),"机构晚餐","无统一供餐"),IF(C1419=Options!$B$10,"返程；"&amp;IF(C1419=DATE(2026,12,2),"机构午餐","无统一供餐"),"差旅状态；无统一日程"))))))</f>
        <v/>
      </c>
      <c r="E1419" s="13">
        <f>IF(C1419=Options!$B$9,Options!$C$17,0)</f>
        <v/>
      </c>
      <c r="F1419" s="13">
        <f>IF(AND(A1419&lt;&gt;"",C1419&lt;Options!$B$10),B1419*Options!$X$6,0)</f>
        <v/>
      </c>
      <c r="G1419" s="13">
        <f>F1419*12%</f>
        <v/>
      </c>
      <c r="H1419" s="13">
        <f>IF(A1419="",0,B1419*(92*IF(OR(C1419=Options!$B$9,C1419=Options!$B$10),75%,100%)-IF(C1419=DATE(2026,11,29),26+IF(Options!$B$8="是",23,0),0)-IF(C1419=DATE(2026,11,30),26,0)-IF(C1419=DATE(2026,12,1),64,0)-IF(C1419=DATE(2026,11,28),38,0)-IF(C1419=DATE(2026,12,2),26,0)))</f>
        <v/>
      </c>
      <c r="I1419" s="13">
        <f>IF(AND(C1419&gt;=DATE(2026,11,29),C1419&lt;=DATE(2026,12,1)),B1419*60,0)</f>
        <v/>
      </c>
      <c r="J1419" s="13">
        <f>IF(A1419="",0,B1419*(IF(C1419=DATE(2026,11,28),38,0)+IF(C1419=DATE(2026,12,1),38,0)+IF(C1419=DATE(2026,12,2),26,0)))</f>
        <v/>
      </c>
      <c r="K1419" s="13">
        <f>IF(C1419=Options!$B$9,B1419*12,0)</f>
        <v/>
      </c>
      <c r="L1419" s="13">
        <f>IF(C1419=Options!$B$9,B1419*Options!$Z$6,0)</f>
        <v/>
      </c>
      <c r="M1419" s="13" t="n">
        <v>0</v>
      </c>
      <c r="N1419" s="13">
        <f>SUM(E1419:M1419)</f>
        <v/>
      </c>
    </row>
    <row r="1420">
      <c r="A1420" s="5">
        <f>IF(AND(C1420&gt;=Options!$B$9,C1420&lt;=Options!$B$10),"Denver","")</f>
        <v/>
      </c>
      <c r="B1420" s="5">
        <f>IF(A1420="","",24)</f>
        <v/>
      </c>
      <c r="C1420" s="17" t="n">
        <v>46616</v>
      </c>
      <c r="D1420" s="5">
        <f>IF(A1420="","",IF(C1420=DATE(2026,11,29),"培训；注册午餐；早餐参数",IF(C1420=DATE(2026,11,30),"培训；注册午餐",IF(C1420=DATE(2026,12,1),"培训；注册午餐；机构晚餐",IF(C1420=Options!$B$9,"抵达；"&amp;IF(C1420=DATE(2026,11,28),"机构晚餐","无统一供餐"),IF(C1420=Options!$B$10,"返程；"&amp;IF(C1420=DATE(2026,12,2),"机构午餐","无统一供餐"),"差旅状态；无统一日程"))))))</f>
        <v/>
      </c>
      <c r="E1420" s="13">
        <f>IF(C1420=Options!$B$9,Options!$C$17,0)</f>
        <v/>
      </c>
      <c r="F1420" s="13">
        <f>IF(AND(A1420&lt;&gt;"",C1420&lt;Options!$B$10),B1420*Options!$X$6,0)</f>
        <v/>
      </c>
      <c r="G1420" s="13">
        <f>F1420*12%</f>
        <v/>
      </c>
      <c r="H1420" s="13">
        <f>IF(A1420="",0,B1420*(92*IF(OR(C1420=Options!$B$9,C1420=Options!$B$10),75%,100%)-IF(C1420=DATE(2026,11,29),26+IF(Options!$B$8="是",23,0),0)-IF(C1420=DATE(2026,11,30),26,0)-IF(C1420=DATE(2026,12,1),64,0)-IF(C1420=DATE(2026,11,28),38,0)-IF(C1420=DATE(2026,12,2),26,0)))</f>
        <v/>
      </c>
      <c r="I1420" s="13">
        <f>IF(AND(C1420&gt;=DATE(2026,11,29),C1420&lt;=DATE(2026,12,1)),B1420*60,0)</f>
        <v/>
      </c>
      <c r="J1420" s="13">
        <f>IF(A1420="",0,B1420*(IF(C1420=DATE(2026,11,28),38,0)+IF(C1420=DATE(2026,12,1),38,0)+IF(C1420=DATE(2026,12,2),26,0)))</f>
        <v/>
      </c>
      <c r="K1420" s="13">
        <f>IF(C1420=Options!$B$9,B1420*12,0)</f>
        <v/>
      </c>
      <c r="L1420" s="13">
        <f>IF(C1420=Options!$B$9,B1420*Options!$Z$6,0)</f>
        <v/>
      </c>
      <c r="M1420" s="13" t="n">
        <v>0</v>
      </c>
      <c r="N1420" s="13">
        <f>SUM(E1420:M1420)</f>
        <v/>
      </c>
    </row>
    <row r="1421">
      <c r="A1421" s="5">
        <f>IF(AND(C1421&gt;=Options!$B$9,C1421&lt;=Options!$B$10),"Denver","")</f>
        <v/>
      </c>
      <c r="B1421" s="5">
        <f>IF(A1421="","",24)</f>
        <v/>
      </c>
      <c r="C1421" s="17" t="n">
        <v>46617</v>
      </c>
      <c r="D1421" s="5">
        <f>IF(A1421="","",IF(C1421=DATE(2026,11,29),"培训；注册午餐；早餐参数",IF(C1421=DATE(2026,11,30),"培训；注册午餐",IF(C1421=DATE(2026,12,1),"培训；注册午餐；机构晚餐",IF(C1421=Options!$B$9,"抵达；"&amp;IF(C1421=DATE(2026,11,28),"机构晚餐","无统一供餐"),IF(C1421=Options!$B$10,"返程；"&amp;IF(C1421=DATE(2026,12,2),"机构午餐","无统一供餐"),"差旅状态；无统一日程"))))))</f>
        <v/>
      </c>
      <c r="E1421" s="13">
        <f>IF(C1421=Options!$B$9,Options!$C$17,0)</f>
        <v/>
      </c>
      <c r="F1421" s="13">
        <f>IF(AND(A1421&lt;&gt;"",C1421&lt;Options!$B$10),B1421*Options!$X$6,0)</f>
        <v/>
      </c>
      <c r="G1421" s="13">
        <f>F1421*12%</f>
        <v/>
      </c>
      <c r="H1421" s="13">
        <f>IF(A1421="",0,B1421*(92*IF(OR(C1421=Options!$B$9,C1421=Options!$B$10),75%,100%)-IF(C1421=DATE(2026,11,29),26+IF(Options!$B$8="是",23,0),0)-IF(C1421=DATE(2026,11,30),26,0)-IF(C1421=DATE(2026,12,1),64,0)-IF(C1421=DATE(2026,11,28),38,0)-IF(C1421=DATE(2026,12,2),26,0)))</f>
        <v/>
      </c>
      <c r="I1421" s="13">
        <f>IF(AND(C1421&gt;=DATE(2026,11,29),C1421&lt;=DATE(2026,12,1)),B1421*60,0)</f>
        <v/>
      </c>
      <c r="J1421" s="13">
        <f>IF(A1421="",0,B1421*(IF(C1421=DATE(2026,11,28),38,0)+IF(C1421=DATE(2026,12,1),38,0)+IF(C1421=DATE(2026,12,2),26,0)))</f>
        <v/>
      </c>
      <c r="K1421" s="13">
        <f>IF(C1421=Options!$B$9,B1421*12,0)</f>
        <v/>
      </c>
      <c r="L1421" s="13">
        <f>IF(C1421=Options!$B$9,B1421*Options!$Z$6,0)</f>
        <v/>
      </c>
      <c r="M1421" s="13" t="n">
        <v>0</v>
      </c>
      <c r="N1421" s="13">
        <f>SUM(E1421:M1421)</f>
        <v/>
      </c>
    </row>
    <row r="1422">
      <c r="A1422" s="5">
        <f>IF(AND(C1422&gt;=Options!$B$9,C1422&lt;=Options!$B$10),"Denver","")</f>
        <v/>
      </c>
      <c r="B1422" s="5">
        <f>IF(A1422="","",24)</f>
        <v/>
      </c>
      <c r="C1422" s="17" t="n">
        <v>46618</v>
      </c>
      <c r="D1422" s="5">
        <f>IF(A1422="","",IF(C1422=DATE(2026,11,29),"培训；注册午餐；早餐参数",IF(C1422=DATE(2026,11,30),"培训；注册午餐",IF(C1422=DATE(2026,12,1),"培训；注册午餐；机构晚餐",IF(C1422=Options!$B$9,"抵达；"&amp;IF(C1422=DATE(2026,11,28),"机构晚餐","无统一供餐"),IF(C1422=Options!$B$10,"返程；"&amp;IF(C1422=DATE(2026,12,2),"机构午餐","无统一供餐"),"差旅状态；无统一日程"))))))</f>
        <v/>
      </c>
      <c r="E1422" s="13">
        <f>IF(C1422=Options!$B$9,Options!$C$17,0)</f>
        <v/>
      </c>
      <c r="F1422" s="13">
        <f>IF(AND(A1422&lt;&gt;"",C1422&lt;Options!$B$10),B1422*Options!$X$6,0)</f>
        <v/>
      </c>
      <c r="G1422" s="13">
        <f>F1422*12%</f>
        <v/>
      </c>
      <c r="H1422" s="13">
        <f>IF(A1422="",0,B1422*(92*IF(OR(C1422=Options!$B$9,C1422=Options!$B$10),75%,100%)-IF(C1422=DATE(2026,11,29),26+IF(Options!$B$8="是",23,0),0)-IF(C1422=DATE(2026,11,30),26,0)-IF(C1422=DATE(2026,12,1),64,0)-IF(C1422=DATE(2026,11,28),38,0)-IF(C1422=DATE(2026,12,2),26,0)))</f>
        <v/>
      </c>
      <c r="I1422" s="13">
        <f>IF(AND(C1422&gt;=DATE(2026,11,29),C1422&lt;=DATE(2026,12,1)),B1422*60,0)</f>
        <v/>
      </c>
      <c r="J1422" s="13">
        <f>IF(A1422="",0,B1422*(IF(C1422=DATE(2026,11,28),38,0)+IF(C1422=DATE(2026,12,1),38,0)+IF(C1422=DATE(2026,12,2),26,0)))</f>
        <v/>
      </c>
      <c r="K1422" s="13">
        <f>IF(C1422=Options!$B$9,B1422*12,0)</f>
        <v/>
      </c>
      <c r="L1422" s="13">
        <f>IF(C1422=Options!$B$9,B1422*Options!$Z$6,0)</f>
        <v/>
      </c>
      <c r="M1422" s="13" t="n">
        <v>0</v>
      </c>
      <c r="N1422" s="13">
        <f>SUM(E1422:M1422)</f>
        <v/>
      </c>
    </row>
    <row r="1423">
      <c r="A1423" s="5">
        <f>IF(AND(C1423&gt;=Options!$B$9,C1423&lt;=Options!$B$10),"Denver","")</f>
        <v/>
      </c>
      <c r="B1423" s="5">
        <f>IF(A1423="","",24)</f>
        <v/>
      </c>
      <c r="C1423" s="17" t="n">
        <v>46619</v>
      </c>
      <c r="D1423" s="5">
        <f>IF(A1423="","",IF(C1423=DATE(2026,11,29),"培训；注册午餐；早餐参数",IF(C1423=DATE(2026,11,30),"培训；注册午餐",IF(C1423=DATE(2026,12,1),"培训；注册午餐；机构晚餐",IF(C1423=Options!$B$9,"抵达；"&amp;IF(C1423=DATE(2026,11,28),"机构晚餐","无统一供餐"),IF(C1423=Options!$B$10,"返程；"&amp;IF(C1423=DATE(2026,12,2),"机构午餐","无统一供餐"),"差旅状态；无统一日程"))))))</f>
        <v/>
      </c>
      <c r="E1423" s="13">
        <f>IF(C1423=Options!$B$9,Options!$C$17,0)</f>
        <v/>
      </c>
      <c r="F1423" s="13">
        <f>IF(AND(A1423&lt;&gt;"",C1423&lt;Options!$B$10),B1423*Options!$X$6,0)</f>
        <v/>
      </c>
      <c r="G1423" s="13">
        <f>F1423*12%</f>
        <v/>
      </c>
      <c r="H1423" s="13">
        <f>IF(A1423="",0,B1423*(92*IF(OR(C1423=Options!$B$9,C1423=Options!$B$10),75%,100%)-IF(C1423=DATE(2026,11,29),26+IF(Options!$B$8="是",23,0),0)-IF(C1423=DATE(2026,11,30),26,0)-IF(C1423=DATE(2026,12,1),64,0)-IF(C1423=DATE(2026,11,28),38,0)-IF(C1423=DATE(2026,12,2),26,0)))</f>
        <v/>
      </c>
      <c r="I1423" s="13">
        <f>IF(AND(C1423&gt;=DATE(2026,11,29),C1423&lt;=DATE(2026,12,1)),B1423*60,0)</f>
        <v/>
      </c>
      <c r="J1423" s="13">
        <f>IF(A1423="",0,B1423*(IF(C1423=DATE(2026,11,28),38,0)+IF(C1423=DATE(2026,12,1),38,0)+IF(C1423=DATE(2026,12,2),26,0)))</f>
        <v/>
      </c>
      <c r="K1423" s="13">
        <f>IF(C1423=Options!$B$9,B1423*12,0)</f>
        <v/>
      </c>
      <c r="L1423" s="13">
        <f>IF(C1423=Options!$B$9,B1423*Options!$Z$6,0)</f>
        <v/>
      </c>
      <c r="M1423" s="13" t="n">
        <v>0</v>
      </c>
      <c r="N1423" s="13">
        <f>SUM(E1423:M1423)</f>
        <v/>
      </c>
    </row>
    <row r="1424">
      <c r="A1424" s="5">
        <f>IF(AND(C1424&gt;=Options!$B$9,C1424&lt;=Options!$B$10),"Denver","")</f>
        <v/>
      </c>
      <c r="B1424" s="5">
        <f>IF(A1424="","",24)</f>
        <v/>
      </c>
      <c r="C1424" s="17" t="n">
        <v>46620</v>
      </c>
      <c r="D1424" s="5">
        <f>IF(A1424="","",IF(C1424=DATE(2026,11,29),"培训；注册午餐；早餐参数",IF(C1424=DATE(2026,11,30),"培训；注册午餐",IF(C1424=DATE(2026,12,1),"培训；注册午餐；机构晚餐",IF(C1424=Options!$B$9,"抵达；"&amp;IF(C1424=DATE(2026,11,28),"机构晚餐","无统一供餐"),IF(C1424=Options!$B$10,"返程；"&amp;IF(C1424=DATE(2026,12,2),"机构午餐","无统一供餐"),"差旅状态；无统一日程"))))))</f>
        <v/>
      </c>
      <c r="E1424" s="13">
        <f>IF(C1424=Options!$B$9,Options!$C$17,0)</f>
        <v/>
      </c>
      <c r="F1424" s="13">
        <f>IF(AND(A1424&lt;&gt;"",C1424&lt;Options!$B$10),B1424*Options!$X$6,0)</f>
        <v/>
      </c>
      <c r="G1424" s="13">
        <f>F1424*12%</f>
        <v/>
      </c>
      <c r="H1424" s="13">
        <f>IF(A1424="",0,B1424*(92*IF(OR(C1424=Options!$B$9,C1424=Options!$B$10),75%,100%)-IF(C1424=DATE(2026,11,29),26+IF(Options!$B$8="是",23,0),0)-IF(C1424=DATE(2026,11,30),26,0)-IF(C1424=DATE(2026,12,1),64,0)-IF(C1424=DATE(2026,11,28),38,0)-IF(C1424=DATE(2026,12,2),26,0)))</f>
        <v/>
      </c>
      <c r="I1424" s="13">
        <f>IF(AND(C1424&gt;=DATE(2026,11,29),C1424&lt;=DATE(2026,12,1)),B1424*60,0)</f>
        <v/>
      </c>
      <c r="J1424" s="13">
        <f>IF(A1424="",0,B1424*(IF(C1424=DATE(2026,11,28),38,0)+IF(C1424=DATE(2026,12,1),38,0)+IF(C1424=DATE(2026,12,2),26,0)))</f>
        <v/>
      </c>
      <c r="K1424" s="13">
        <f>IF(C1424=Options!$B$9,B1424*12,0)</f>
        <v/>
      </c>
      <c r="L1424" s="13">
        <f>IF(C1424=Options!$B$9,B1424*Options!$Z$6,0)</f>
        <v/>
      </c>
      <c r="M1424" s="13" t="n">
        <v>0</v>
      </c>
      <c r="N1424" s="13">
        <f>SUM(E1424:M1424)</f>
        <v/>
      </c>
    </row>
    <row r="1425">
      <c r="A1425" s="5">
        <f>IF(AND(C1425&gt;=Options!$B$9,C1425&lt;=Options!$B$10),"Denver","")</f>
        <v/>
      </c>
      <c r="B1425" s="5">
        <f>IF(A1425="","",24)</f>
        <v/>
      </c>
      <c r="C1425" s="17" t="n">
        <v>46621</v>
      </c>
      <c r="D1425" s="5">
        <f>IF(A1425="","",IF(C1425=DATE(2026,11,29),"培训；注册午餐；早餐参数",IF(C1425=DATE(2026,11,30),"培训；注册午餐",IF(C1425=DATE(2026,12,1),"培训；注册午餐；机构晚餐",IF(C1425=Options!$B$9,"抵达；"&amp;IF(C1425=DATE(2026,11,28),"机构晚餐","无统一供餐"),IF(C1425=Options!$B$10,"返程；"&amp;IF(C1425=DATE(2026,12,2),"机构午餐","无统一供餐"),"差旅状态；无统一日程"))))))</f>
        <v/>
      </c>
      <c r="E1425" s="13">
        <f>IF(C1425=Options!$B$9,Options!$C$17,0)</f>
        <v/>
      </c>
      <c r="F1425" s="13">
        <f>IF(AND(A1425&lt;&gt;"",C1425&lt;Options!$B$10),B1425*Options!$X$6,0)</f>
        <v/>
      </c>
      <c r="G1425" s="13">
        <f>F1425*12%</f>
        <v/>
      </c>
      <c r="H1425" s="13">
        <f>IF(A1425="",0,B1425*(92*IF(OR(C1425=Options!$B$9,C1425=Options!$B$10),75%,100%)-IF(C1425=DATE(2026,11,29),26+IF(Options!$B$8="是",23,0),0)-IF(C1425=DATE(2026,11,30),26,0)-IF(C1425=DATE(2026,12,1),64,0)-IF(C1425=DATE(2026,11,28),38,0)-IF(C1425=DATE(2026,12,2),26,0)))</f>
        <v/>
      </c>
      <c r="I1425" s="13">
        <f>IF(AND(C1425&gt;=DATE(2026,11,29),C1425&lt;=DATE(2026,12,1)),B1425*60,0)</f>
        <v/>
      </c>
      <c r="J1425" s="13">
        <f>IF(A1425="",0,B1425*(IF(C1425=DATE(2026,11,28),38,0)+IF(C1425=DATE(2026,12,1),38,0)+IF(C1425=DATE(2026,12,2),26,0)))</f>
        <v/>
      </c>
      <c r="K1425" s="13">
        <f>IF(C1425=Options!$B$9,B1425*12,0)</f>
        <v/>
      </c>
      <c r="L1425" s="13">
        <f>IF(C1425=Options!$B$9,B1425*Options!$Z$6,0)</f>
        <v/>
      </c>
      <c r="M1425" s="13" t="n">
        <v>0</v>
      </c>
      <c r="N1425" s="13">
        <f>SUM(E1425:M1425)</f>
        <v/>
      </c>
    </row>
    <row r="1426">
      <c r="A1426" s="5">
        <f>IF(AND(C1426&gt;=Options!$B$9,C1426&lt;=Options!$B$10),"Denver","")</f>
        <v/>
      </c>
      <c r="B1426" s="5">
        <f>IF(A1426="","",24)</f>
        <v/>
      </c>
      <c r="C1426" s="17" t="n">
        <v>46622</v>
      </c>
      <c r="D1426" s="5">
        <f>IF(A1426="","",IF(C1426=DATE(2026,11,29),"培训；注册午餐；早餐参数",IF(C1426=DATE(2026,11,30),"培训；注册午餐",IF(C1426=DATE(2026,12,1),"培训；注册午餐；机构晚餐",IF(C1426=Options!$B$9,"抵达；"&amp;IF(C1426=DATE(2026,11,28),"机构晚餐","无统一供餐"),IF(C1426=Options!$B$10,"返程；"&amp;IF(C1426=DATE(2026,12,2),"机构午餐","无统一供餐"),"差旅状态；无统一日程"))))))</f>
        <v/>
      </c>
      <c r="E1426" s="13">
        <f>IF(C1426=Options!$B$9,Options!$C$17,0)</f>
        <v/>
      </c>
      <c r="F1426" s="13">
        <f>IF(AND(A1426&lt;&gt;"",C1426&lt;Options!$B$10),B1426*Options!$X$6,0)</f>
        <v/>
      </c>
      <c r="G1426" s="13">
        <f>F1426*12%</f>
        <v/>
      </c>
      <c r="H1426" s="13">
        <f>IF(A1426="",0,B1426*(92*IF(OR(C1426=Options!$B$9,C1426=Options!$B$10),75%,100%)-IF(C1426=DATE(2026,11,29),26+IF(Options!$B$8="是",23,0),0)-IF(C1426=DATE(2026,11,30),26,0)-IF(C1426=DATE(2026,12,1),64,0)-IF(C1426=DATE(2026,11,28),38,0)-IF(C1426=DATE(2026,12,2),26,0)))</f>
        <v/>
      </c>
      <c r="I1426" s="13">
        <f>IF(AND(C1426&gt;=DATE(2026,11,29),C1426&lt;=DATE(2026,12,1)),B1426*60,0)</f>
        <v/>
      </c>
      <c r="J1426" s="13">
        <f>IF(A1426="",0,B1426*(IF(C1426=DATE(2026,11,28),38,0)+IF(C1426=DATE(2026,12,1),38,0)+IF(C1426=DATE(2026,12,2),26,0)))</f>
        <v/>
      </c>
      <c r="K1426" s="13">
        <f>IF(C1426=Options!$B$9,B1426*12,0)</f>
        <v/>
      </c>
      <c r="L1426" s="13">
        <f>IF(C1426=Options!$B$9,B1426*Options!$Z$6,0)</f>
        <v/>
      </c>
      <c r="M1426" s="13" t="n">
        <v>0</v>
      </c>
      <c r="N1426" s="13">
        <f>SUM(E1426:M1426)</f>
        <v/>
      </c>
    </row>
    <row r="1427">
      <c r="A1427" s="5">
        <f>IF(AND(C1427&gt;=Options!$B$9,C1427&lt;=Options!$B$10),"Denver","")</f>
        <v/>
      </c>
      <c r="B1427" s="5">
        <f>IF(A1427="","",24)</f>
        <v/>
      </c>
      <c r="C1427" s="17" t="n">
        <v>46623</v>
      </c>
      <c r="D1427" s="5">
        <f>IF(A1427="","",IF(C1427=DATE(2026,11,29),"培训；注册午餐；早餐参数",IF(C1427=DATE(2026,11,30),"培训；注册午餐",IF(C1427=DATE(2026,12,1),"培训；注册午餐；机构晚餐",IF(C1427=Options!$B$9,"抵达；"&amp;IF(C1427=DATE(2026,11,28),"机构晚餐","无统一供餐"),IF(C1427=Options!$B$10,"返程；"&amp;IF(C1427=DATE(2026,12,2),"机构午餐","无统一供餐"),"差旅状态；无统一日程"))))))</f>
        <v/>
      </c>
      <c r="E1427" s="13">
        <f>IF(C1427=Options!$B$9,Options!$C$17,0)</f>
        <v/>
      </c>
      <c r="F1427" s="13">
        <f>IF(AND(A1427&lt;&gt;"",C1427&lt;Options!$B$10),B1427*Options!$X$6,0)</f>
        <v/>
      </c>
      <c r="G1427" s="13">
        <f>F1427*12%</f>
        <v/>
      </c>
      <c r="H1427" s="13">
        <f>IF(A1427="",0,B1427*(92*IF(OR(C1427=Options!$B$9,C1427=Options!$B$10),75%,100%)-IF(C1427=DATE(2026,11,29),26+IF(Options!$B$8="是",23,0),0)-IF(C1427=DATE(2026,11,30),26,0)-IF(C1427=DATE(2026,12,1),64,0)-IF(C1427=DATE(2026,11,28),38,0)-IF(C1427=DATE(2026,12,2),26,0)))</f>
        <v/>
      </c>
      <c r="I1427" s="13">
        <f>IF(AND(C1427&gt;=DATE(2026,11,29),C1427&lt;=DATE(2026,12,1)),B1427*60,0)</f>
        <v/>
      </c>
      <c r="J1427" s="13">
        <f>IF(A1427="",0,B1427*(IF(C1427=DATE(2026,11,28),38,0)+IF(C1427=DATE(2026,12,1),38,0)+IF(C1427=DATE(2026,12,2),26,0)))</f>
        <v/>
      </c>
      <c r="K1427" s="13">
        <f>IF(C1427=Options!$B$9,B1427*12,0)</f>
        <v/>
      </c>
      <c r="L1427" s="13">
        <f>IF(C1427=Options!$B$9,B1427*Options!$Z$6,0)</f>
        <v/>
      </c>
      <c r="M1427" s="13" t="n">
        <v>0</v>
      </c>
      <c r="N1427" s="13">
        <f>SUM(E1427:M1427)</f>
        <v/>
      </c>
    </row>
    <row r="1428">
      <c r="A1428" s="5">
        <f>IF(AND(C1428&gt;=Options!$B$9,C1428&lt;=Options!$B$10),"Denver","")</f>
        <v/>
      </c>
      <c r="B1428" s="5">
        <f>IF(A1428="","",24)</f>
        <v/>
      </c>
      <c r="C1428" s="17" t="n">
        <v>46624</v>
      </c>
      <c r="D1428" s="5">
        <f>IF(A1428="","",IF(C1428=DATE(2026,11,29),"培训；注册午餐；早餐参数",IF(C1428=DATE(2026,11,30),"培训；注册午餐",IF(C1428=DATE(2026,12,1),"培训；注册午餐；机构晚餐",IF(C1428=Options!$B$9,"抵达；"&amp;IF(C1428=DATE(2026,11,28),"机构晚餐","无统一供餐"),IF(C1428=Options!$B$10,"返程；"&amp;IF(C1428=DATE(2026,12,2),"机构午餐","无统一供餐"),"差旅状态；无统一日程"))))))</f>
        <v/>
      </c>
      <c r="E1428" s="13">
        <f>IF(C1428=Options!$B$9,Options!$C$17,0)</f>
        <v/>
      </c>
      <c r="F1428" s="13">
        <f>IF(AND(A1428&lt;&gt;"",C1428&lt;Options!$B$10),B1428*Options!$X$6,0)</f>
        <v/>
      </c>
      <c r="G1428" s="13">
        <f>F1428*12%</f>
        <v/>
      </c>
      <c r="H1428" s="13">
        <f>IF(A1428="",0,B1428*(92*IF(OR(C1428=Options!$B$9,C1428=Options!$B$10),75%,100%)-IF(C1428=DATE(2026,11,29),26+IF(Options!$B$8="是",23,0),0)-IF(C1428=DATE(2026,11,30),26,0)-IF(C1428=DATE(2026,12,1),64,0)-IF(C1428=DATE(2026,11,28),38,0)-IF(C1428=DATE(2026,12,2),26,0)))</f>
        <v/>
      </c>
      <c r="I1428" s="13">
        <f>IF(AND(C1428&gt;=DATE(2026,11,29),C1428&lt;=DATE(2026,12,1)),B1428*60,0)</f>
        <v/>
      </c>
      <c r="J1428" s="13">
        <f>IF(A1428="",0,B1428*(IF(C1428=DATE(2026,11,28),38,0)+IF(C1428=DATE(2026,12,1),38,0)+IF(C1428=DATE(2026,12,2),26,0)))</f>
        <v/>
      </c>
      <c r="K1428" s="13">
        <f>IF(C1428=Options!$B$9,B1428*12,0)</f>
        <v/>
      </c>
      <c r="L1428" s="13">
        <f>IF(C1428=Options!$B$9,B1428*Options!$Z$6,0)</f>
        <v/>
      </c>
      <c r="M1428" s="13" t="n">
        <v>0</v>
      </c>
      <c r="N1428" s="13">
        <f>SUM(E1428:M1428)</f>
        <v/>
      </c>
    </row>
    <row r="1429">
      <c r="A1429" s="5">
        <f>IF(AND(C1429&gt;=Options!$B$9,C1429&lt;=Options!$B$10),"Denver","")</f>
        <v/>
      </c>
      <c r="B1429" s="5">
        <f>IF(A1429="","",24)</f>
        <v/>
      </c>
      <c r="C1429" s="17" t="n">
        <v>46625</v>
      </c>
      <c r="D1429" s="5">
        <f>IF(A1429="","",IF(C1429=DATE(2026,11,29),"培训；注册午餐；早餐参数",IF(C1429=DATE(2026,11,30),"培训；注册午餐",IF(C1429=DATE(2026,12,1),"培训；注册午餐；机构晚餐",IF(C1429=Options!$B$9,"抵达；"&amp;IF(C1429=DATE(2026,11,28),"机构晚餐","无统一供餐"),IF(C1429=Options!$B$10,"返程；"&amp;IF(C1429=DATE(2026,12,2),"机构午餐","无统一供餐"),"差旅状态；无统一日程"))))))</f>
        <v/>
      </c>
      <c r="E1429" s="13">
        <f>IF(C1429=Options!$B$9,Options!$C$17,0)</f>
        <v/>
      </c>
      <c r="F1429" s="13">
        <f>IF(AND(A1429&lt;&gt;"",C1429&lt;Options!$B$10),B1429*Options!$X$6,0)</f>
        <v/>
      </c>
      <c r="G1429" s="13">
        <f>F1429*12%</f>
        <v/>
      </c>
      <c r="H1429" s="13">
        <f>IF(A1429="",0,B1429*(92*IF(OR(C1429=Options!$B$9,C1429=Options!$B$10),75%,100%)-IF(C1429=DATE(2026,11,29),26+IF(Options!$B$8="是",23,0),0)-IF(C1429=DATE(2026,11,30),26,0)-IF(C1429=DATE(2026,12,1),64,0)-IF(C1429=DATE(2026,11,28),38,0)-IF(C1429=DATE(2026,12,2),26,0)))</f>
        <v/>
      </c>
      <c r="I1429" s="13">
        <f>IF(AND(C1429&gt;=DATE(2026,11,29),C1429&lt;=DATE(2026,12,1)),B1429*60,0)</f>
        <v/>
      </c>
      <c r="J1429" s="13">
        <f>IF(A1429="",0,B1429*(IF(C1429=DATE(2026,11,28),38,0)+IF(C1429=DATE(2026,12,1),38,0)+IF(C1429=DATE(2026,12,2),26,0)))</f>
        <v/>
      </c>
      <c r="K1429" s="13">
        <f>IF(C1429=Options!$B$9,B1429*12,0)</f>
        <v/>
      </c>
      <c r="L1429" s="13">
        <f>IF(C1429=Options!$B$9,B1429*Options!$Z$6,0)</f>
        <v/>
      </c>
      <c r="M1429" s="13" t="n">
        <v>0</v>
      </c>
      <c r="N1429" s="13">
        <f>SUM(E1429:M1429)</f>
        <v/>
      </c>
    </row>
    <row r="1430">
      <c r="A1430" s="5">
        <f>IF(AND(C1430&gt;=Options!$B$9,C1430&lt;=Options!$B$10),"Denver","")</f>
        <v/>
      </c>
      <c r="B1430" s="5">
        <f>IF(A1430="","",24)</f>
        <v/>
      </c>
      <c r="C1430" s="17" t="n">
        <v>46626</v>
      </c>
      <c r="D1430" s="5">
        <f>IF(A1430="","",IF(C1430=DATE(2026,11,29),"培训；注册午餐；早餐参数",IF(C1430=DATE(2026,11,30),"培训；注册午餐",IF(C1430=DATE(2026,12,1),"培训；注册午餐；机构晚餐",IF(C1430=Options!$B$9,"抵达；"&amp;IF(C1430=DATE(2026,11,28),"机构晚餐","无统一供餐"),IF(C1430=Options!$B$10,"返程；"&amp;IF(C1430=DATE(2026,12,2),"机构午餐","无统一供餐"),"差旅状态；无统一日程"))))))</f>
        <v/>
      </c>
      <c r="E1430" s="13">
        <f>IF(C1430=Options!$B$9,Options!$C$17,0)</f>
        <v/>
      </c>
      <c r="F1430" s="13">
        <f>IF(AND(A1430&lt;&gt;"",C1430&lt;Options!$B$10),B1430*Options!$X$6,0)</f>
        <v/>
      </c>
      <c r="G1430" s="13">
        <f>F1430*12%</f>
        <v/>
      </c>
      <c r="H1430" s="13">
        <f>IF(A1430="",0,B1430*(92*IF(OR(C1430=Options!$B$9,C1430=Options!$B$10),75%,100%)-IF(C1430=DATE(2026,11,29),26+IF(Options!$B$8="是",23,0),0)-IF(C1430=DATE(2026,11,30),26,0)-IF(C1430=DATE(2026,12,1),64,0)-IF(C1430=DATE(2026,11,28),38,0)-IF(C1430=DATE(2026,12,2),26,0)))</f>
        <v/>
      </c>
      <c r="I1430" s="13">
        <f>IF(AND(C1430&gt;=DATE(2026,11,29),C1430&lt;=DATE(2026,12,1)),B1430*60,0)</f>
        <v/>
      </c>
      <c r="J1430" s="13">
        <f>IF(A1430="",0,B1430*(IF(C1430=DATE(2026,11,28),38,0)+IF(C1430=DATE(2026,12,1),38,0)+IF(C1430=DATE(2026,12,2),26,0)))</f>
        <v/>
      </c>
      <c r="K1430" s="13">
        <f>IF(C1430=Options!$B$9,B1430*12,0)</f>
        <v/>
      </c>
      <c r="L1430" s="13">
        <f>IF(C1430=Options!$B$9,B1430*Options!$Z$6,0)</f>
        <v/>
      </c>
      <c r="M1430" s="13" t="n">
        <v>0</v>
      </c>
      <c r="N1430" s="13">
        <f>SUM(E1430:M1430)</f>
        <v/>
      </c>
    </row>
    <row r="1431">
      <c r="A1431" s="5">
        <f>IF(AND(C1431&gt;=Options!$B$9,C1431&lt;=Options!$B$10),"Denver","")</f>
        <v/>
      </c>
      <c r="B1431" s="5">
        <f>IF(A1431="","",24)</f>
        <v/>
      </c>
      <c r="C1431" s="17" t="n">
        <v>46627</v>
      </c>
      <c r="D1431" s="5">
        <f>IF(A1431="","",IF(C1431=DATE(2026,11,29),"培训；注册午餐；早餐参数",IF(C1431=DATE(2026,11,30),"培训；注册午餐",IF(C1431=DATE(2026,12,1),"培训；注册午餐；机构晚餐",IF(C1431=Options!$B$9,"抵达；"&amp;IF(C1431=DATE(2026,11,28),"机构晚餐","无统一供餐"),IF(C1431=Options!$B$10,"返程；"&amp;IF(C1431=DATE(2026,12,2),"机构午餐","无统一供餐"),"差旅状态；无统一日程"))))))</f>
        <v/>
      </c>
      <c r="E1431" s="13">
        <f>IF(C1431=Options!$B$9,Options!$C$17,0)</f>
        <v/>
      </c>
      <c r="F1431" s="13">
        <f>IF(AND(A1431&lt;&gt;"",C1431&lt;Options!$B$10),B1431*Options!$X$6,0)</f>
        <v/>
      </c>
      <c r="G1431" s="13">
        <f>F1431*12%</f>
        <v/>
      </c>
      <c r="H1431" s="13">
        <f>IF(A1431="",0,B1431*(92*IF(OR(C1431=Options!$B$9,C1431=Options!$B$10),75%,100%)-IF(C1431=DATE(2026,11,29),26+IF(Options!$B$8="是",23,0),0)-IF(C1431=DATE(2026,11,30),26,0)-IF(C1431=DATE(2026,12,1),64,0)-IF(C1431=DATE(2026,11,28),38,0)-IF(C1431=DATE(2026,12,2),26,0)))</f>
        <v/>
      </c>
      <c r="I1431" s="13">
        <f>IF(AND(C1431&gt;=DATE(2026,11,29),C1431&lt;=DATE(2026,12,1)),B1431*60,0)</f>
        <v/>
      </c>
      <c r="J1431" s="13">
        <f>IF(A1431="",0,B1431*(IF(C1431=DATE(2026,11,28),38,0)+IF(C1431=DATE(2026,12,1),38,0)+IF(C1431=DATE(2026,12,2),26,0)))</f>
        <v/>
      </c>
      <c r="K1431" s="13">
        <f>IF(C1431=Options!$B$9,B1431*12,0)</f>
        <v/>
      </c>
      <c r="L1431" s="13">
        <f>IF(C1431=Options!$B$9,B1431*Options!$Z$6,0)</f>
        <v/>
      </c>
      <c r="M1431" s="13" t="n">
        <v>0</v>
      </c>
      <c r="N1431" s="13">
        <f>SUM(E1431:M1431)</f>
        <v/>
      </c>
    </row>
    <row r="1432">
      <c r="A1432" s="5">
        <f>IF(AND(C1432&gt;=Options!$B$9,C1432&lt;=Options!$B$10),"Denver","")</f>
        <v/>
      </c>
      <c r="B1432" s="5">
        <f>IF(A1432="","",24)</f>
        <v/>
      </c>
      <c r="C1432" s="17" t="n">
        <v>46628</v>
      </c>
      <c r="D1432" s="5">
        <f>IF(A1432="","",IF(C1432=DATE(2026,11,29),"培训；注册午餐；早餐参数",IF(C1432=DATE(2026,11,30),"培训；注册午餐",IF(C1432=DATE(2026,12,1),"培训；注册午餐；机构晚餐",IF(C1432=Options!$B$9,"抵达；"&amp;IF(C1432=DATE(2026,11,28),"机构晚餐","无统一供餐"),IF(C1432=Options!$B$10,"返程；"&amp;IF(C1432=DATE(2026,12,2),"机构午餐","无统一供餐"),"差旅状态；无统一日程"))))))</f>
        <v/>
      </c>
      <c r="E1432" s="13">
        <f>IF(C1432=Options!$B$9,Options!$C$17,0)</f>
        <v/>
      </c>
      <c r="F1432" s="13">
        <f>IF(AND(A1432&lt;&gt;"",C1432&lt;Options!$B$10),B1432*Options!$X$6,0)</f>
        <v/>
      </c>
      <c r="G1432" s="13">
        <f>F1432*12%</f>
        <v/>
      </c>
      <c r="H1432" s="13">
        <f>IF(A1432="",0,B1432*(92*IF(OR(C1432=Options!$B$9,C1432=Options!$B$10),75%,100%)-IF(C1432=DATE(2026,11,29),26+IF(Options!$B$8="是",23,0),0)-IF(C1432=DATE(2026,11,30),26,0)-IF(C1432=DATE(2026,12,1),64,0)-IF(C1432=DATE(2026,11,28),38,0)-IF(C1432=DATE(2026,12,2),26,0)))</f>
        <v/>
      </c>
      <c r="I1432" s="13">
        <f>IF(AND(C1432&gt;=DATE(2026,11,29),C1432&lt;=DATE(2026,12,1)),B1432*60,0)</f>
        <v/>
      </c>
      <c r="J1432" s="13">
        <f>IF(A1432="",0,B1432*(IF(C1432=DATE(2026,11,28),38,0)+IF(C1432=DATE(2026,12,1),38,0)+IF(C1432=DATE(2026,12,2),26,0)))</f>
        <v/>
      </c>
      <c r="K1432" s="13">
        <f>IF(C1432=Options!$B$9,B1432*12,0)</f>
        <v/>
      </c>
      <c r="L1432" s="13">
        <f>IF(C1432=Options!$B$9,B1432*Options!$Z$6,0)</f>
        <v/>
      </c>
      <c r="M1432" s="13" t="n">
        <v>0</v>
      </c>
      <c r="N1432" s="13">
        <f>SUM(E1432:M1432)</f>
        <v/>
      </c>
    </row>
    <row r="1433">
      <c r="A1433" s="5">
        <f>IF(AND(C1433&gt;=Options!$B$9,C1433&lt;=Options!$B$10),"Denver","")</f>
        <v/>
      </c>
      <c r="B1433" s="5">
        <f>IF(A1433="","",24)</f>
        <v/>
      </c>
      <c r="C1433" s="17" t="n">
        <v>46629</v>
      </c>
      <c r="D1433" s="5">
        <f>IF(A1433="","",IF(C1433=DATE(2026,11,29),"培训；注册午餐；早餐参数",IF(C1433=DATE(2026,11,30),"培训；注册午餐",IF(C1433=DATE(2026,12,1),"培训；注册午餐；机构晚餐",IF(C1433=Options!$B$9,"抵达；"&amp;IF(C1433=DATE(2026,11,28),"机构晚餐","无统一供餐"),IF(C1433=Options!$B$10,"返程；"&amp;IF(C1433=DATE(2026,12,2),"机构午餐","无统一供餐"),"差旅状态；无统一日程"))))))</f>
        <v/>
      </c>
      <c r="E1433" s="13">
        <f>IF(C1433=Options!$B$9,Options!$C$17,0)</f>
        <v/>
      </c>
      <c r="F1433" s="13">
        <f>IF(AND(A1433&lt;&gt;"",C1433&lt;Options!$B$10),B1433*Options!$X$6,0)</f>
        <v/>
      </c>
      <c r="G1433" s="13">
        <f>F1433*12%</f>
        <v/>
      </c>
      <c r="H1433" s="13">
        <f>IF(A1433="",0,B1433*(92*IF(OR(C1433=Options!$B$9,C1433=Options!$B$10),75%,100%)-IF(C1433=DATE(2026,11,29),26+IF(Options!$B$8="是",23,0),0)-IF(C1433=DATE(2026,11,30),26,0)-IF(C1433=DATE(2026,12,1),64,0)-IF(C1433=DATE(2026,11,28),38,0)-IF(C1433=DATE(2026,12,2),26,0)))</f>
        <v/>
      </c>
      <c r="I1433" s="13">
        <f>IF(AND(C1433&gt;=DATE(2026,11,29),C1433&lt;=DATE(2026,12,1)),B1433*60,0)</f>
        <v/>
      </c>
      <c r="J1433" s="13">
        <f>IF(A1433="",0,B1433*(IF(C1433=DATE(2026,11,28),38,0)+IF(C1433=DATE(2026,12,1),38,0)+IF(C1433=DATE(2026,12,2),26,0)))</f>
        <v/>
      </c>
      <c r="K1433" s="13">
        <f>IF(C1433=Options!$B$9,B1433*12,0)</f>
        <v/>
      </c>
      <c r="L1433" s="13">
        <f>IF(C1433=Options!$B$9,B1433*Options!$Z$6,0)</f>
        <v/>
      </c>
      <c r="M1433" s="13" t="n">
        <v>0</v>
      </c>
      <c r="N1433" s="13">
        <f>SUM(E1433:M1433)</f>
        <v/>
      </c>
    </row>
    <row r="1434">
      <c r="A1434" s="5">
        <f>IF(AND(C1434&gt;=Options!$B$9,C1434&lt;=Options!$B$10),"Denver","")</f>
        <v/>
      </c>
      <c r="B1434" s="5">
        <f>IF(A1434="","",24)</f>
        <v/>
      </c>
      <c r="C1434" s="17" t="n">
        <v>46630</v>
      </c>
      <c r="D1434" s="5">
        <f>IF(A1434="","",IF(C1434=DATE(2026,11,29),"培训；注册午餐；早餐参数",IF(C1434=DATE(2026,11,30),"培训；注册午餐",IF(C1434=DATE(2026,12,1),"培训；注册午餐；机构晚餐",IF(C1434=Options!$B$9,"抵达；"&amp;IF(C1434=DATE(2026,11,28),"机构晚餐","无统一供餐"),IF(C1434=Options!$B$10,"返程；"&amp;IF(C1434=DATE(2026,12,2),"机构午餐","无统一供餐"),"差旅状态；无统一日程"))))))</f>
        <v/>
      </c>
      <c r="E1434" s="13">
        <f>IF(C1434=Options!$B$9,Options!$C$17,0)</f>
        <v/>
      </c>
      <c r="F1434" s="13">
        <f>IF(AND(A1434&lt;&gt;"",C1434&lt;Options!$B$10),B1434*Options!$X$6,0)</f>
        <v/>
      </c>
      <c r="G1434" s="13">
        <f>F1434*12%</f>
        <v/>
      </c>
      <c r="H1434" s="13">
        <f>IF(A1434="",0,B1434*(92*IF(OR(C1434=Options!$B$9,C1434=Options!$B$10),75%,100%)-IF(C1434=DATE(2026,11,29),26+IF(Options!$B$8="是",23,0),0)-IF(C1434=DATE(2026,11,30),26,0)-IF(C1434=DATE(2026,12,1),64,0)-IF(C1434=DATE(2026,11,28),38,0)-IF(C1434=DATE(2026,12,2),26,0)))</f>
        <v/>
      </c>
      <c r="I1434" s="13">
        <f>IF(AND(C1434&gt;=DATE(2026,11,29),C1434&lt;=DATE(2026,12,1)),B1434*60,0)</f>
        <v/>
      </c>
      <c r="J1434" s="13">
        <f>IF(A1434="",0,B1434*(IF(C1434=DATE(2026,11,28),38,0)+IF(C1434=DATE(2026,12,1),38,0)+IF(C1434=DATE(2026,12,2),26,0)))</f>
        <v/>
      </c>
      <c r="K1434" s="13">
        <f>IF(C1434=Options!$B$9,B1434*12,0)</f>
        <v/>
      </c>
      <c r="L1434" s="13">
        <f>IF(C1434=Options!$B$9,B1434*Options!$Z$6,0)</f>
        <v/>
      </c>
      <c r="M1434" s="13" t="n">
        <v>0</v>
      </c>
      <c r="N1434" s="13">
        <f>SUM(E1434:M1434)</f>
        <v/>
      </c>
    </row>
    <row r="1435">
      <c r="A1435" s="5">
        <f>IF(AND(C1435&gt;=Options!$B$9,C1435&lt;=Options!$B$10),"Denver","")</f>
        <v/>
      </c>
      <c r="B1435" s="5">
        <f>IF(A1435="","",24)</f>
        <v/>
      </c>
      <c r="C1435" s="17" t="n">
        <v>46631</v>
      </c>
      <c r="D1435" s="5">
        <f>IF(A1435="","",IF(C1435=DATE(2026,11,29),"培训；注册午餐；早餐参数",IF(C1435=DATE(2026,11,30),"培训；注册午餐",IF(C1435=DATE(2026,12,1),"培训；注册午餐；机构晚餐",IF(C1435=Options!$B$9,"抵达；"&amp;IF(C1435=DATE(2026,11,28),"机构晚餐","无统一供餐"),IF(C1435=Options!$B$10,"返程；"&amp;IF(C1435=DATE(2026,12,2),"机构午餐","无统一供餐"),"差旅状态；无统一日程"))))))</f>
        <v/>
      </c>
      <c r="E1435" s="13">
        <f>IF(C1435=Options!$B$9,Options!$C$17,0)</f>
        <v/>
      </c>
      <c r="F1435" s="13">
        <f>IF(AND(A1435&lt;&gt;"",C1435&lt;Options!$B$10),B1435*Options!$X$6,0)</f>
        <v/>
      </c>
      <c r="G1435" s="13">
        <f>F1435*12%</f>
        <v/>
      </c>
      <c r="H1435" s="13">
        <f>IF(A1435="",0,B1435*(92*IF(OR(C1435=Options!$B$9,C1435=Options!$B$10),75%,100%)-IF(C1435=DATE(2026,11,29),26+IF(Options!$B$8="是",23,0),0)-IF(C1435=DATE(2026,11,30),26,0)-IF(C1435=DATE(2026,12,1),64,0)-IF(C1435=DATE(2026,11,28),38,0)-IF(C1435=DATE(2026,12,2),26,0)))</f>
        <v/>
      </c>
      <c r="I1435" s="13">
        <f>IF(AND(C1435&gt;=DATE(2026,11,29),C1435&lt;=DATE(2026,12,1)),B1435*60,0)</f>
        <v/>
      </c>
      <c r="J1435" s="13">
        <f>IF(A1435="",0,B1435*(IF(C1435=DATE(2026,11,28),38,0)+IF(C1435=DATE(2026,12,1),38,0)+IF(C1435=DATE(2026,12,2),26,0)))</f>
        <v/>
      </c>
      <c r="K1435" s="13">
        <f>IF(C1435=Options!$B$9,B1435*12,0)</f>
        <v/>
      </c>
      <c r="L1435" s="13">
        <f>IF(C1435=Options!$B$9,B1435*Options!$Z$6,0)</f>
        <v/>
      </c>
      <c r="M1435" s="13" t="n">
        <v>0</v>
      </c>
      <c r="N1435" s="13">
        <f>SUM(E1435:M1435)</f>
        <v/>
      </c>
    </row>
    <row r="1436">
      <c r="A1436" s="5">
        <f>IF(AND(C1436&gt;=Options!$B$9,C1436&lt;=Options!$B$10),"Denver","")</f>
        <v/>
      </c>
      <c r="B1436" s="5">
        <f>IF(A1436="","",24)</f>
        <v/>
      </c>
      <c r="C1436" s="17" t="n">
        <v>46632</v>
      </c>
      <c r="D1436" s="5">
        <f>IF(A1436="","",IF(C1436=DATE(2026,11,29),"培训；注册午餐；早餐参数",IF(C1436=DATE(2026,11,30),"培训；注册午餐",IF(C1436=DATE(2026,12,1),"培训；注册午餐；机构晚餐",IF(C1436=Options!$B$9,"抵达；"&amp;IF(C1436=DATE(2026,11,28),"机构晚餐","无统一供餐"),IF(C1436=Options!$B$10,"返程；"&amp;IF(C1436=DATE(2026,12,2),"机构午餐","无统一供餐"),"差旅状态；无统一日程"))))))</f>
        <v/>
      </c>
      <c r="E1436" s="13">
        <f>IF(C1436=Options!$B$9,Options!$C$17,0)</f>
        <v/>
      </c>
      <c r="F1436" s="13">
        <f>IF(AND(A1436&lt;&gt;"",C1436&lt;Options!$B$10),B1436*Options!$X$6,0)</f>
        <v/>
      </c>
      <c r="G1436" s="13">
        <f>F1436*12%</f>
        <v/>
      </c>
      <c r="H1436" s="13">
        <f>IF(A1436="",0,B1436*(92*IF(OR(C1436=Options!$B$9,C1436=Options!$B$10),75%,100%)-IF(C1436=DATE(2026,11,29),26+IF(Options!$B$8="是",23,0),0)-IF(C1436=DATE(2026,11,30),26,0)-IF(C1436=DATE(2026,12,1),64,0)-IF(C1436=DATE(2026,11,28),38,0)-IF(C1436=DATE(2026,12,2),26,0)))</f>
        <v/>
      </c>
      <c r="I1436" s="13">
        <f>IF(AND(C1436&gt;=DATE(2026,11,29),C1436&lt;=DATE(2026,12,1)),B1436*60,0)</f>
        <v/>
      </c>
      <c r="J1436" s="13">
        <f>IF(A1436="",0,B1436*(IF(C1436=DATE(2026,11,28),38,0)+IF(C1436=DATE(2026,12,1),38,0)+IF(C1436=DATE(2026,12,2),26,0)))</f>
        <v/>
      </c>
      <c r="K1436" s="13">
        <f>IF(C1436=Options!$B$9,B1436*12,0)</f>
        <v/>
      </c>
      <c r="L1436" s="13">
        <f>IF(C1436=Options!$B$9,B1436*Options!$Z$6,0)</f>
        <v/>
      </c>
      <c r="M1436" s="13" t="n">
        <v>0</v>
      </c>
      <c r="N1436" s="13">
        <f>SUM(E1436:M1436)</f>
        <v/>
      </c>
    </row>
    <row r="1437">
      <c r="A1437" s="5">
        <f>IF(AND(C1437&gt;=Options!$B$9,C1437&lt;=Options!$B$10),"Denver","")</f>
        <v/>
      </c>
      <c r="B1437" s="5">
        <f>IF(A1437="","",24)</f>
        <v/>
      </c>
      <c r="C1437" s="17" t="n">
        <v>46633</v>
      </c>
      <c r="D1437" s="5">
        <f>IF(A1437="","",IF(C1437=DATE(2026,11,29),"培训；注册午餐；早餐参数",IF(C1437=DATE(2026,11,30),"培训；注册午餐",IF(C1437=DATE(2026,12,1),"培训；注册午餐；机构晚餐",IF(C1437=Options!$B$9,"抵达；"&amp;IF(C1437=DATE(2026,11,28),"机构晚餐","无统一供餐"),IF(C1437=Options!$B$10,"返程；"&amp;IF(C1437=DATE(2026,12,2),"机构午餐","无统一供餐"),"差旅状态；无统一日程"))))))</f>
        <v/>
      </c>
      <c r="E1437" s="13">
        <f>IF(C1437=Options!$B$9,Options!$C$17,0)</f>
        <v/>
      </c>
      <c r="F1437" s="13">
        <f>IF(AND(A1437&lt;&gt;"",C1437&lt;Options!$B$10),B1437*Options!$X$6,0)</f>
        <v/>
      </c>
      <c r="G1437" s="13">
        <f>F1437*12%</f>
        <v/>
      </c>
      <c r="H1437" s="13">
        <f>IF(A1437="",0,B1437*(92*IF(OR(C1437=Options!$B$9,C1437=Options!$B$10),75%,100%)-IF(C1437=DATE(2026,11,29),26+IF(Options!$B$8="是",23,0),0)-IF(C1437=DATE(2026,11,30),26,0)-IF(C1437=DATE(2026,12,1),64,0)-IF(C1437=DATE(2026,11,28),38,0)-IF(C1437=DATE(2026,12,2),26,0)))</f>
        <v/>
      </c>
      <c r="I1437" s="13">
        <f>IF(AND(C1437&gt;=DATE(2026,11,29),C1437&lt;=DATE(2026,12,1)),B1437*60,0)</f>
        <v/>
      </c>
      <c r="J1437" s="13">
        <f>IF(A1437="",0,B1437*(IF(C1437=DATE(2026,11,28),38,0)+IF(C1437=DATE(2026,12,1),38,0)+IF(C1437=DATE(2026,12,2),26,0)))</f>
        <v/>
      </c>
      <c r="K1437" s="13">
        <f>IF(C1437=Options!$B$9,B1437*12,0)</f>
        <v/>
      </c>
      <c r="L1437" s="13">
        <f>IF(C1437=Options!$B$9,B1437*Options!$Z$6,0)</f>
        <v/>
      </c>
      <c r="M1437" s="13" t="n">
        <v>0</v>
      </c>
      <c r="N1437" s="13">
        <f>SUM(E1437:M1437)</f>
        <v/>
      </c>
    </row>
    <row r="1438">
      <c r="A1438" s="5">
        <f>IF(AND(C1438&gt;=Options!$B$9,C1438&lt;=Options!$B$10),"Denver","")</f>
        <v/>
      </c>
      <c r="B1438" s="5">
        <f>IF(A1438="","",24)</f>
        <v/>
      </c>
      <c r="C1438" s="17" t="n">
        <v>46634</v>
      </c>
      <c r="D1438" s="5">
        <f>IF(A1438="","",IF(C1438=DATE(2026,11,29),"培训；注册午餐；早餐参数",IF(C1438=DATE(2026,11,30),"培训；注册午餐",IF(C1438=DATE(2026,12,1),"培训；注册午餐；机构晚餐",IF(C1438=Options!$B$9,"抵达；"&amp;IF(C1438=DATE(2026,11,28),"机构晚餐","无统一供餐"),IF(C1438=Options!$B$10,"返程；"&amp;IF(C1438=DATE(2026,12,2),"机构午餐","无统一供餐"),"差旅状态；无统一日程"))))))</f>
        <v/>
      </c>
      <c r="E1438" s="13">
        <f>IF(C1438=Options!$B$9,Options!$C$17,0)</f>
        <v/>
      </c>
      <c r="F1438" s="13">
        <f>IF(AND(A1438&lt;&gt;"",C1438&lt;Options!$B$10),B1438*Options!$X$6,0)</f>
        <v/>
      </c>
      <c r="G1438" s="13">
        <f>F1438*12%</f>
        <v/>
      </c>
      <c r="H1438" s="13">
        <f>IF(A1438="",0,B1438*(92*IF(OR(C1438=Options!$B$9,C1438=Options!$B$10),75%,100%)-IF(C1438=DATE(2026,11,29),26+IF(Options!$B$8="是",23,0),0)-IF(C1438=DATE(2026,11,30),26,0)-IF(C1438=DATE(2026,12,1),64,0)-IF(C1438=DATE(2026,11,28),38,0)-IF(C1438=DATE(2026,12,2),26,0)))</f>
        <v/>
      </c>
      <c r="I1438" s="13">
        <f>IF(AND(C1438&gt;=DATE(2026,11,29),C1438&lt;=DATE(2026,12,1)),B1438*60,0)</f>
        <v/>
      </c>
      <c r="J1438" s="13">
        <f>IF(A1438="",0,B1438*(IF(C1438=DATE(2026,11,28),38,0)+IF(C1438=DATE(2026,12,1),38,0)+IF(C1438=DATE(2026,12,2),26,0)))</f>
        <v/>
      </c>
      <c r="K1438" s="13">
        <f>IF(C1438=Options!$B$9,B1438*12,0)</f>
        <v/>
      </c>
      <c r="L1438" s="13">
        <f>IF(C1438=Options!$B$9,B1438*Options!$Z$6,0)</f>
        <v/>
      </c>
      <c r="M1438" s="13" t="n">
        <v>0</v>
      </c>
      <c r="N1438" s="13">
        <f>SUM(E1438:M1438)</f>
        <v/>
      </c>
    </row>
    <row r="1439">
      <c r="A1439" s="5">
        <f>IF(AND(C1439&gt;=Options!$B$9,C1439&lt;=Options!$B$10),"Denver","")</f>
        <v/>
      </c>
      <c r="B1439" s="5">
        <f>IF(A1439="","",24)</f>
        <v/>
      </c>
      <c r="C1439" s="17" t="n">
        <v>46635</v>
      </c>
      <c r="D1439" s="5">
        <f>IF(A1439="","",IF(C1439=DATE(2026,11,29),"培训；注册午餐；早餐参数",IF(C1439=DATE(2026,11,30),"培训；注册午餐",IF(C1439=DATE(2026,12,1),"培训；注册午餐；机构晚餐",IF(C1439=Options!$B$9,"抵达；"&amp;IF(C1439=DATE(2026,11,28),"机构晚餐","无统一供餐"),IF(C1439=Options!$B$10,"返程；"&amp;IF(C1439=DATE(2026,12,2),"机构午餐","无统一供餐"),"差旅状态；无统一日程"))))))</f>
        <v/>
      </c>
      <c r="E1439" s="13">
        <f>IF(C1439=Options!$B$9,Options!$C$17,0)</f>
        <v/>
      </c>
      <c r="F1439" s="13">
        <f>IF(AND(A1439&lt;&gt;"",C1439&lt;Options!$B$10),B1439*Options!$X$6,0)</f>
        <v/>
      </c>
      <c r="G1439" s="13">
        <f>F1439*12%</f>
        <v/>
      </c>
      <c r="H1439" s="13">
        <f>IF(A1439="",0,B1439*(92*IF(OR(C1439=Options!$B$9,C1439=Options!$B$10),75%,100%)-IF(C1439=DATE(2026,11,29),26+IF(Options!$B$8="是",23,0),0)-IF(C1439=DATE(2026,11,30),26,0)-IF(C1439=DATE(2026,12,1),64,0)-IF(C1439=DATE(2026,11,28),38,0)-IF(C1439=DATE(2026,12,2),26,0)))</f>
        <v/>
      </c>
      <c r="I1439" s="13">
        <f>IF(AND(C1439&gt;=DATE(2026,11,29),C1439&lt;=DATE(2026,12,1)),B1439*60,0)</f>
        <v/>
      </c>
      <c r="J1439" s="13">
        <f>IF(A1439="",0,B1439*(IF(C1439=DATE(2026,11,28),38,0)+IF(C1439=DATE(2026,12,1),38,0)+IF(C1439=DATE(2026,12,2),26,0)))</f>
        <v/>
      </c>
      <c r="K1439" s="13">
        <f>IF(C1439=Options!$B$9,B1439*12,0)</f>
        <v/>
      </c>
      <c r="L1439" s="13">
        <f>IF(C1439=Options!$B$9,B1439*Options!$Z$6,0)</f>
        <v/>
      </c>
      <c r="M1439" s="13" t="n">
        <v>0</v>
      </c>
      <c r="N1439" s="13">
        <f>SUM(E1439:M1439)</f>
        <v/>
      </c>
    </row>
    <row r="1440">
      <c r="A1440" s="5">
        <f>IF(AND(C1440&gt;=Options!$B$9,C1440&lt;=Options!$B$10),"Denver","")</f>
        <v/>
      </c>
      <c r="B1440" s="5">
        <f>IF(A1440="","",24)</f>
        <v/>
      </c>
      <c r="C1440" s="17" t="n">
        <v>46636</v>
      </c>
      <c r="D1440" s="5">
        <f>IF(A1440="","",IF(C1440=DATE(2026,11,29),"培训；注册午餐；早餐参数",IF(C1440=DATE(2026,11,30),"培训；注册午餐",IF(C1440=DATE(2026,12,1),"培训；注册午餐；机构晚餐",IF(C1440=Options!$B$9,"抵达；"&amp;IF(C1440=DATE(2026,11,28),"机构晚餐","无统一供餐"),IF(C1440=Options!$B$10,"返程；"&amp;IF(C1440=DATE(2026,12,2),"机构午餐","无统一供餐"),"差旅状态；无统一日程"))))))</f>
        <v/>
      </c>
      <c r="E1440" s="13">
        <f>IF(C1440=Options!$B$9,Options!$C$17,0)</f>
        <v/>
      </c>
      <c r="F1440" s="13">
        <f>IF(AND(A1440&lt;&gt;"",C1440&lt;Options!$B$10),B1440*Options!$X$6,0)</f>
        <v/>
      </c>
      <c r="G1440" s="13">
        <f>F1440*12%</f>
        <v/>
      </c>
      <c r="H1440" s="13">
        <f>IF(A1440="",0,B1440*(92*IF(OR(C1440=Options!$B$9,C1440=Options!$B$10),75%,100%)-IF(C1440=DATE(2026,11,29),26+IF(Options!$B$8="是",23,0),0)-IF(C1440=DATE(2026,11,30),26,0)-IF(C1440=DATE(2026,12,1),64,0)-IF(C1440=DATE(2026,11,28),38,0)-IF(C1440=DATE(2026,12,2),26,0)))</f>
        <v/>
      </c>
      <c r="I1440" s="13">
        <f>IF(AND(C1440&gt;=DATE(2026,11,29),C1440&lt;=DATE(2026,12,1)),B1440*60,0)</f>
        <v/>
      </c>
      <c r="J1440" s="13">
        <f>IF(A1440="",0,B1440*(IF(C1440=DATE(2026,11,28),38,0)+IF(C1440=DATE(2026,12,1),38,0)+IF(C1440=DATE(2026,12,2),26,0)))</f>
        <v/>
      </c>
      <c r="K1440" s="13">
        <f>IF(C1440=Options!$B$9,B1440*12,0)</f>
        <v/>
      </c>
      <c r="L1440" s="13">
        <f>IF(C1440=Options!$B$9,B1440*Options!$Z$6,0)</f>
        <v/>
      </c>
      <c r="M1440" s="13" t="n">
        <v>0</v>
      </c>
      <c r="N1440" s="13">
        <f>SUM(E1440:M1440)</f>
        <v/>
      </c>
    </row>
    <row r="1441">
      <c r="A1441" s="5">
        <f>IF(AND(C1441&gt;=Options!$B$9,C1441&lt;=Options!$B$10),"Denver","")</f>
        <v/>
      </c>
      <c r="B1441" s="5">
        <f>IF(A1441="","",24)</f>
        <v/>
      </c>
      <c r="C1441" s="17" t="n">
        <v>46637</v>
      </c>
      <c r="D1441" s="5">
        <f>IF(A1441="","",IF(C1441=DATE(2026,11,29),"培训；注册午餐；早餐参数",IF(C1441=DATE(2026,11,30),"培训；注册午餐",IF(C1441=DATE(2026,12,1),"培训；注册午餐；机构晚餐",IF(C1441=Options!$B$9,"抵达；"&amp;IF(C1441=DATE(2026,11,28),"机构晚餐","无统一供餐"),IF(C1441=Options!$B$10,"返程；"&amp;IF(C1441=DATE(2026,12,2),"机构午餐","无统一供餐"),"差旅状态；无统一日程"))))))</f>
        <v/>
      </c>
      <c r="E1441" s="13">
        <f>IF(C1441=Options!$B$9,Options!$C$17,0)</f>
        <v/>
      </c>
      <c r="F1441" s="13">
        <f>IF(AND(A1441&lt;&gt;"",C1441&lt;Options!$B$10),B1441*Options!$X$6,0)</f>
        <v/>
      </c>
      <c r="G1441" s="13">
        <f>F1441*12%</f>
        <v/>
      </c>
      <c r="H1441" s="13">
        <f>IF(A1441="",0,B1441*(92*IF(OR(C1441=Options!$B$9,C1441=Options!$B$10),75%,100%)-IF(C1441=DATE(2026,11,29),26+IF(Options!$B$8="是",23,0),0)-IF(C1441=DATE(2026,11,30),26,0)-IF(C1441=DATE(2026,12,1),64,0)-IF(C1441=DATE(2026,11,28),38,0)-IF(C1441=DATE(2026,12,2),26,0)))</f>
        <v/>
      </c>
      <c r="I1441" s="13">
        <f>IF(AND(C1441&gt;=DATE(2026,11,29),C1441&lt;=DATE(2026,12,1)),B1441*60,0)</f>
        <v/>
      </c>
      <c r="J1441" s="13">
        <f>IF(A1441="",0,B1441*(IF(C1441=DATE(2026,11,28),38,0)+IF(C1441=DATE(2026,12,1),38,0)+IF(C1441=DATE(2026,12,2),26,0)))</f>
        <v/>
      </c>
      <c r="K1441" s="13">
        <f>IF(C1441=Options!$B$9,B1441*12,0)</f>
        <v/>
      </c>
      <c r="L1441" s="13">
        <f>IF(C1441=Options!$B$9,B1441*Options!$Z$6,0)</f>
        <v/>
      </c>
      <c r="M1441" s="13" t="n">
        <v>0</v>
      </c>
      <c r="N1441" s="13">
        <f>SUM(E1441:M1441)</f>
        <v/>
      </c>
    </row>
    <row r="1442">
      <c r="A1442" s="5">
        <f>IF(AND(C1442&gt;=Options!$B$9,C1442&lt;=Options!$B$10),"Denver","")</f>
        <v/>
      </c>
      <c r="B1442" s="5">
        <f>IF(A1442="","",24)</f>
        <v/>
      </c>
      <c r="C1442" s="17" t="n">
        <v>46638</v>
      </c>
      <c r="D1442" s="5">
        <f>IF(A1442="","",IF(C1442=DATE(2026,11,29),"培训；注册午餐；早餐参数",IF(C1442=DATE(2026,11,30),"培训；注册午餐",IF(C1442=DATE(2026,12,1),"培训；注册午餐；机构晚餐",IF(C1442=Options!$B$9,"抵达；"&amp;IF(C1442=DATE(2026,11,28),"机构晚餐","无统一供餐"),IF(C1442=Options!$B$10,"返程；"&amp;IF(C1442=DATE(2026,12,2),"机构午餐","无统一供餐"),"差旅状态；无统一日程"))))))</f>
        <v/>
      </c>
      <c r="E1442" s="13">
        <f>IF(C1442=Options!$B$9,Options!$C$17,0)</f>
        <v/>
      </c>
      <c r="F1442" s="13">
        <f>IF(AND(A1442&lt;&gt;"",C1442&lt;Options!$B$10),B1442*Options!$X$6,0)</f>
        <v/>
      </c>
      <c r="G1442" s="13">
        <f>F1442*12%</f>
        <v/>
      </c>
      <c r="H1442" s="13">
        <f>IF(A1442="",0,B1442*(92*IF(OR(C1442=Options!$B$9,C1442=Options!$B$10),75%,100%)-IF(C1442=DATE(2026,11,29),26+IF(Options!$B$8="是",23,0),0)-IF(C1442=DATE(2026,11,30),26,0)-IF(C1442=DATE(2026,12,1),64,0)-IF(C1442=DATE(2026,11,28),38,0)-IF(C1442=DATE(2026,12,2),26,0)))</f>
        <v/>
      </c>
      <c r="I1442" s="13">
        <f>IF(AND(C1442&gt;=DATE(2026,11,29),C1442&lt;=DATE(2026,12,1)),B1442*60,0)</f>
        <v/>
      </c>
      <c r="J1442" s="13">
        <f>IF(A1442="",0,B1442*(IF(C1442=DATE(2026,11,28),38,0)+IF(C1442=DATE(2026,12,1),38,0)+IF(C1442=DATE(2026,12,2),26,0)))</f>
        <v/>
      </c>
      <c r="K1442" s="13">
        <f>IF(C1442=Options!$B$9,B1442*12,0)</f>
        <v/>
      </c>
      <c r="L1442" s="13">
        <f>IF(C1442=Options!$B$9,B1442*Options!$Z$6,0)</f>
        <v/>
      </c>
      <c r="M1442" s="13" t="n">
        <v>0</v>
      </c>
      <c r="N1442" s="13">
        <f>SUM(E1442:M1442)</f>
        <v/>
      </c>
    </row>
    <row r="1443">
      <c r="A1443" s="5">
        <f>IF(AND(C1443&gt;=Options!$B$9,C1443&lt;=Options!$B$10),"Denver","")</f>
        <v/>
      </c>
      <c r="B1443" s="5">
        <f>IF(A1443="","",24)</f>
        <v/>
      </c>
      <c r="C1443" s="17" t="n">
        <v>46639</v>
      </c>
      <c r="D1443" s="5">
        <f>IF(A1443="","",IF(C1443=DATE(2026,11,29),"培训；注册午餐；早餐参数",IF(C1443=DATE(2026,11,30),"培训；注册午餐",IF(C1443=DATE(2026,12,1),"培训；注册午餐；机构晚餐",IF(C1443=Options!$B$9,"抵达；"&amp;IF(C1443=DATE(2026,11,28),"机构晚餐","无统一供餐"),IF(C1443=Options!$B$10,"返程；"&amp;IF(C1443=DATE(2026,12,2),"机构午餐","无统一供餐"),"差旅状态；无统一日程"))))))</f>
        <v/>
      </c>
      <c r="E1443" s="13">
        <f>IF(C1443=Options!$B$9,Options!$C$17,0)</f>
        <v/>
      </c>
      <c r="F1443" s="13">
        <f>IF(AND(A1443&lt;&gt;"",C1443&lt;Options!$B$10),B1443*Options!$X$6,0)</f>
        <v/>
      </c>
      <c r="G1443" s="13">
        <f>F1443*12%</f>
        <v/>
      </c>
      <c r="H1443" s="13">
        <f>IF(A1443="",0,B1443*(92*IF(OR(C1443=Options!$B$9,C1443=Options!$B$10),75%,100%)-IF(C1443=DATE(2026,11,29),26+IF(Options!$B$8="是",23,0),0)-IF(C1443=DATE(2026,11,30),26,0)-IF(C1443=DATE(2026,12,1),64,0)-IF(C1443=DATE(2026,11,28),38,0)-IF(C1443=DATE(2026,12,2),26,0)))</f>
        <v/>
      </c>
      <c r="I1443" s="13">
        <f>IF(AND(C1443&gt;=DATE(2026,11,29),C1443&lt;=DATE(2026,12,1)),B1443*60,0)</f>
        <v/>
      </c>
      <c r="J1443" s="13">
        <f>IF(A1443="",0,B1443*(IF(C1443=DATE(2026,11,28),38,0)+IF(C1443=DATE(2026,12,1),38,0)+IF(C1443=DATE(2026,12,2),26,0)))</f>
        <v/>
      </c>
      <c r="K1443" s="13">
        <f>IF(C1443=Options!$B$9,B1443*12,0)</f>
        <v/>
      </c>
      <c r="L1443" s="13">
        <f>IF(C1443=Options!$B$9,B1443*Options!$Z$6,0)</f>
        <v/>
      </c>
      <c r="M1443" s="13" t="n">
        <v>0</v>
      </c>
      <c r="N1443" s="13">
        <f>SUM(E1443:M1443)</f>
        <v/>
      </c>
    </row>
    <row r="1444">
      <c r="A1444" s="5">
        <f>IF(AND(C1444&gt;=Options!$B$9,C1444&lt;=Options!$B$10),"Denver","")</f>
        <v/>
      </c>
      <c r="B1444" s="5">
        <f>IF(A1444="","",24)</f>
        <v/>
      </c>
      <c r="C1444" s="17" t="n">
        <v>46640</v>
      </c>
      <c r="D1444" s="5">
        <f>IF(A1444="","",IF(C1444=DATE(2026,11,29),"培训；注册午餐；早餐参数",IF(C1444=DATE(2026,11,30),"培训；注册午餐",IF(C1444=DATE(2026,12,1),"培训；注册午餐；机构晚餐",IF(C1444=Options!$B$9,"抵达；"&amp;IF(C1444=DATE(2026,11,28),"机构晚餐","无统一供餐"),IF(C1444=Options!$B$10,"返程；"&amp;IF(C1444=DATE(2026,12,2),"机构午餐","无统一供餐"),"差旅状态；无统一日程"))))))</f>
        <v/>
      </c>
      <c r="E1444" s="13">
        <f>IF(C1444=Options!$B$9,Options!$C$17,0)</f>
        <v/>
      </c>
      <c r="F1444" s="13">
        <f>IF(AND(A1444&lt;&gt;"",C1444&lt;Options!$B$10),B1444*Options!$X$6,0)</f>
        <v/>
      </c>
      <c r="G1444" s="13">
        <f>F1444*12%</f>
        <v/>
      </c>
      <c r="H1444" s="13">
        <f>IF(A1444="",0,B1444*(92*IF(OR(C1444=Options!$B$9,C1444=Options!$B$10),75%,100%)-IF(C1444=DATE(2026,11,29),26+IF(Options!$B$8="是",23,0),0)-IF(C1444=DATE(2026,11,30),26,0)-IF(C1444=DATE(2026,12,1),64,0)-IF(C1444=DATE(2026,11,28),38,0)-IF(C1444=DATE(2026,12,2),26,0)))</f>
        <v/>
      </c>
      <c r="I1444" s="13">
        <f>IF(AND(C1444&gt;=DATE(2026,11,29),C1444&lt;=DATE(2026,12,1)),B1444*60,0)</f>
        <v/>
      </c>
      <c r="J1444" s="13">
        <f>IF(A1444="",0,B1444*(IF(C1444=DATE(2026,11,28),38,0)+IF(C1444=DATE(2026,12,1),38,0)+IF(C1444=DATE(2026,12,2),26,0)))</f>
        <v/>
      </c>
      <c r="K1444" s="13">
        <f>IF(C1444=Options!$B$9,B1444*12,0)</f>
        <v/>
      </c>
      <c r="L1444" s="13">
        <f>IF(C1444=Options!$B$9,B1444*Options!$Z$6,0)</f>
        <v/>
      </c>
      <c r="M1444" s="13" t="n">
        <v>0</v>
      </c>
      <c r="N1444" s="13">
        <f>SUM(E1444:M1444)</f>
        <v/>
      </c>
    </row>
    <row r="1445">
      <c r="A1445" s="5">
        <f>IF(AND(C1445&gt;=Options!$B$9,C1445&lt;=Options!$B$10),"Denver","")</f>
        <v/>
      </c>
      <c r="B1445" s="5">
        <f>IF(A1445="","",24)</f>
        <v/>
      </c>
      <c r="C1445" s="17" t="n">
        <v>46641</v>
      </c>
      <c r="D1445" s="5">
        <f>IF(A1445="","",IF(C1445=DATE(2026,11,29),"培训；注册午餐；早餐参数",IF(C1445=DATE(2026,11,30),"培训；注册午餐",IF(C1445=DATE(2026,12,1),"培训；注册午餐；机构晚餐",IF(C1445=Options!$B$9,"抵达；"&amp;IF(C1445=DATE(2026,11,28),"机构晚餐","无统一供餐"),IF(C1445=Options!$B$10,"返程；"&amp;IF(C1445=DATE(2026,12,2),"机构午餐","无统一供餐"),"差旅状态；无统一日程"))))))</f>
        <v/>
      </c>
      <c r="E1445" s="13">
        <f>IF(C1445=Options!$B$9,Options!$C$17,0)</f>
        <v/>
      </c>
      <c r="F1445" s="13">
        <f>IF(AND(A1445&lt;&gt;"",C1445&lt;Options!$B$10),B1445*Options!$X$6,0)</f>
        <v/>
      </c>
      <c r="G1445" s="13">
        <f>F1445*12%</f>
        <v/>
      </c>
      <c r="H1445" s="13">
        <f>IF(A1445="",0,B1445*(92*IF(OR(C1445=Options!$B$9,C1445=Options!$B$10),75%,100%)-IF(C1445=DATE(2026,11,29),26+IF(Options!$B$8="是",23,0),0)-IF(C1445=DATE(2026,11,30),26,0)-IF(C1445=DATE(2026,12,1),64,0)-IF(C1445=DATE(2026,11,28),38,0)-IF(C1445=DATE(2026,12,2),26,0)))</f>
        <v/>
      </c>
      <c r="I1445" s="13">
        <f>IF(AND(C1445&gt;=DATE(2026,11,29),C1445&lt;=DATE(2026,12,1)),B1445*60,0)</f>
        <v/>
      </c>
      <c r="J1445" s="13">
        <f>IF(A1445="",0,B1445*(IF(C1445=DATE(2026,11,28),38,0)+IF(C1445=DATE(2026,12,1),38,0)+IF(C1445=DATE(2026,12,2),26,0)))</f>
        <v/>
      </c>
      <c r="K1445" s="13">
        <f>IF(C1445=Options!$B$9,B1445*12,0)</f>
        <v/>
      </c>
      <c r="L1445" s="13">
        <f>IF(C1445=Options!$B$9,B1445*Options!$Z$6,0)</f>
        <v/>
      </c>
      <c r="M1445" s="13" t="n">
        <v>0</v>
      </c>
      <c r="N1445" s="13">
        <f>SUM(E1445:M1445)</f>
        <v/>
      </c>
    </row>
    <row r="1446">
      <c r="A1446" s="5">
        <f>IF(AND(C1446&gt;=Options!$B$9,C1446&lt;=Options!$B$10),"Denver","")</f>
        <v/>
      </c>
      <c r="B1446" s="5">
        <f>IF(A1446="","",24)</f>
        <v/>
      </c>
      <c r="C1446" s="17" t="n">
        <v>46642</v>
      </c>
      <c r="D1446" s="5">
        <f>IF(A1446="","",IF(C1446=DATE(2026,11,29),"培训；注册午餐；早餐参数",IF(C1446=DATE(2026,11,30),"培训；注册午餐",IF(C1446=DATE(2026,12,1),"培训；注册午餐；机构晚餐",IF(C1446=Options!$B$9,"抵达；"&amp;IF(C1446=DATE(2026,11,28),"机构晚餐","无统一供餐"),IF(C1446=Options!$B$10,"返程；"&amp;IF(C1446=DATE(2026,12,2),"机构午餐","无统一供餐"),"差旅状态；无统一日程"))))))</f>
        <v/>
      </c>
      <c r="E1446" s="13">
        <f>IF(C1446=Options!$B$9,Options!$C$17,0)</f>
        <v/>
      </c>
      <c r="F1446" s="13">
        <f>IF(AND(A1446&lt;&gt;"",C1446&lt;Options!$B$10),B1446*Options!$X$6,0)</f>
        <v/>
      </c>
      <c r="G1446" s="13">
        <f>F1446*12%</f>
        <v/>
      </c>
      <c r="H1446" s="13">
        <f>IF(A1446="",0,B1446*(92*IF(OR(C1446=Options!$B$9,C1446=Options!$B$10),75%,100%)-IF(C1446=DATE(2026,11,29),26+IF(Options!$B$8="是",23,0),0)-IF(C1446=DATE(2026,11,30),26,0)-IF(C1446=DATE(2026,12,1),64,0)-IF(C1446=DATE(2026,11,28),38,0)-IF(C1446=DATE(2026,12,2),26,0)))</f>
        <v/>
      </c>
      <c r="I1446" s="13">
        <f>IF(AND(C1446&gt;=DATE(2026,11,29),C1446&lt;=DATE(2026,12,1)),B1446*60,0)</f>
        <v/>
      </c>
      <c r="J1446" s="13">
        <f>IF(A1446="",0,B1446*(IF(C1446=DATE(2026,11,28),38,0)+IF(C1446=DATE(2026,12,1),38,0)+IF(C1446=DATE(2026,12,2),26,0)))</f>
        <v/>
      </c>
      <c r="K1446" s="13">
        <f>IF(C1446=Options!$B$9,B1446*12,0)</f>
        <v/>
      </c>
      <c r="L1446" s="13">
        <f>IF(C1446=Options!$B$9,B1446*Options!$Z$6,0)</f>
        <v/>
      </c>
      <c r="M1446" s="13" t="n">
        <v>0</v>
      </c>
      <c r="N1446" s="13">
        <f>SUM(E1446:M1446)</f>
        <v/>
      </c>
    </row>
    <row r="1447">
      <c r="A1447" s="5">
        <f>IF(AND(C1447&gt;=Options!$B$9,C1447&lt;=Options!$B$10),"Denver","")</f>
        <v/>
      </c>
      <c r="B1447" s="5">
        <f>IF(A1447="","",24)</f>
        <v/>
      </c>
      <c r="C1447" s="17" t="n">
        <v>46643</v>
      </c>
      <c r="D1447" s="5">
        <f>IF(A1447="","",IF(C1447=DATE(2026,11,29),"培训；注册午餐；早餐参数",IF(C1447=DATE(2026,11,30),"培训；注册午餐",IF(C1447=DATE(2026,12,1),"培训；注册午餐；机构晚餐",IF(C1447=Options!$B$9,"抵达；"&amp;IF(C1447=DATE(2026,11,28),"机构晚餐","无统一供餐"),IF(C1447=Options!$B$10,"返程；"&amp;IF(C1447=DATE(2026,12,2),"机构午餐","无统一供餐"),"差旅状态；无统一日程"))))))</f>
        <v/>
      </c>
      <c r="E1447" s="13">
        <f>IF(C1447=Options!$B$9,Options!$C$17,0)</f>
        <v/>
      </c>
      <c r="F1447" s="13">
        <f>IF(AND(A1447&lt;&gt;"",C1447&lt;Options!$B$10),B1447*Options!$X$6,0)</f>
        <v/>
      </c>
      <c r="G1447" s="13">
        <f>F1447*12%</f>
        <v/>
      </c>
      <c r="H1447" s="13">
        <f>IF(A1447="",0,B1447*(92*IF(OR(C1447=Options!$B$9,C1447=Options!$B$10),75%,100%)-IF(C1447=DATE(2026,11,29),26+IF(Options!$B$8="是",23,0),0)-IF(C1447=DATE(2026,11,30),26,0)-IF(C1447=DATE(2026,12,1),64,0)-IF(C1447=DATE(2026,11,28),38,0)-IF(C1447=DATE(2026,12,2),26,0)))</f>
        <v/>
      </c>
      <c r="I1447" s="13">
        <f>IF(AND(C1447&gt;=DATE(2026,11,29),C1447&lt;=DATE(2026,12,1)),B1447*60,0)</f>
        <v/>
      </c>
      <c r="J1447" s="13">
        <f>IF(A1447="",0,B1447*(IF(C1447=DATE(2026,11,28),38,0)+IF(C1447=DATE(2026,12,1),38,0)+IF(C1447=DATE(2026,12,2),26,0)))</f>
        <v/>
      </c>
      <c r="K1447" s="13">
        <f>IF(C1447=Options!$B$9,B1447*12,0)</f>
        <v/>
      </c>
      <c r="L1447" s="13">
        <f>IF(C1447=Options!$B$9,B1447*Options!$Z$6,0)</f>
        <v/>
      </c>
      <c r="M1447" s="13" t="n">
        <v>0</v>
      </c>
      <c r="N1447" s="13">
        <f>SUM(E1447:M1447)</f>
        <v/>
      </c>
    </row>
    <row r="1448">
      <c r="A1448" s="5">
        <f>IF(AND(C1448&gt;=Options!$B$9,C1448&lt;=Options!$B$10),"Denver","")</f>
        <v/>
      </c>
      <c r="B1448" s="5">
        <f>IF(A1448="","",24)</f>
        <v/>
      </c>
      <c r="C1448" s="17" t="n">
        <v>46644</v>
      </c>
      <c r="D1448" s="5">
        <f>IF(A1448="","",IF(C1448=DATE(2026,11,29),"培训；注册午餐；早餐参数",IF(C1448=DATE(2026,11,30),"培训；注册午餐",IF(C1448=DATE(2026,12,1),"培训；注册午餐；机构晚餐",IF(C1448=Options!$B$9,"抵达；"&amp;IF(C1448=DATE(2026,11,28),"机构晚餐","无统一供餐"),IF(C1448=Options!$B$10,"返程；"&amp;IF(C1448=DATE(2026,12,2),"机构午餐","无统一供餐"),"差旅状态；无统一日程"))))))</f>
        <v/>
      </c>
      <c r="E1448" s="13">
        <f>IF(C1448=Options!$B$9,Options!$C$17,0)</f>
        <v/>
      </c>
      <c r="F1448" s="13">
        <f>IF(AND(A1448&lt;&gt;"",C1448&lt;Options!$B$10),B1448*Options!$X$6,0)</f>
        <v/>
      </c>
      <c r="G1448" s="13">
        <f>F1448*12%</f>
        <v/>
      </c>
      <c r="H1448" s="13">
        <f>IF(A1448="",0,B1448*(92*IF(OR(C1448=Options!$B$9,C1448=Options!$B$10),75%,100%)-IF(C1448=DATE(2026,11,29),26+IF(Options!$B$8="是",23,0),0)-IF(C1448=DATE(2026,11,30),26,0)-IF(C1448=DATE(2026,12,1),64,0)-IF(C1448=DATE(2026,11,28),38,0)-IF(C1448=DATE(2026,12,2),26,0)))</f>
        <v/>
      </c>
      <c r="I1448" s="13">
        <f>IF(AND(C1448&gt;=DATE(2026,11,29),C1448&lt;=DATE(2026,12,1)),B1448*60,0)</f>
        <v/>
      </c>
      <c r="J1448" s="13">
        <f>IF(A1448="",0,B1448*(IF(C1448=DATE(2026,11,28),38,0)+IF(C1448=DATE(2026,12,1),38,0)+IF(C1448=DATE(2026,12,2),26,0)))</f>
        <v/>
      </c>
      <c r="K1448" s="13">
        <f>IF(C1448=Options!$B$9,B1448*12,0)</f>
        <v/>
      </c>
      <c r="L1448" s="13">
        <f>IF(C1448=Options!$B$9,B1448*Options!$Z$6,0)</f>
        <v/>
      </c>
      <c r="M1448" s="13" t="n">
        <v>0</v>
      </c>
      <c r="N1448" s="13">
        <f>SUM(E1448:M1448)</f>
        <v/>
      </c>
    </row>
    <row r="1449">
      <c r="A1449" s="5">
        <f>IF(AND(C1449&gt;=Options!$B$9,C1449&lt;=Options!$B$10),"Denver","")</f>
        <v/>
      </c>
      <c r="B1449" s="5">
        <f>IF(A1449="","",24)</f>
        <v/>
      </c>
      <c r="C1449" s="17" t="n">
        <v>46645</v>
      </c>
      <c r="D1449" s="5">
        <f>IF(A1449="","",IF(C1449=DATE(2026,11,29),"培训；注册午餐；早餐参数",IF(C1449=DATE(2026,11,30),"培训；注册午餐",IF(C1449=DATE(2026,12,1),"培训；注册午餐；机构晚餐",IF(C1449=Options!$B$9,"抵达；"&amp;IF(C1449=DATE(2026,11,28),"机构晚餐","无统一供餐"),IF(C1449=Options!$B$10,"返程；"&amp;IF(C1449=DATE(2026,12,2),"机构午餐","无统一供餐"),"差旅状态；无统一日程"))))))</f>
        <v/>
      </c>
      <c r="E1449" s="13">
        <f>IF(C1449=Options!$B$9,Options!$C$17,0)</f>
        <v/>
      </c>
      <c r="F1449" s="13">
        <f>IF(AND(A1449&lt;&gt;"",C1449&lt;Options!$B$10),B1449*Options!$X$6,0)</f>
        <v/>
      </c>
      <c r="G1449" s="13">
        <f>F1449*12%</f>
        <v/>
      </c>
      <c r="H1449" s="13">
        <f>IF(A1449="",0,B1449*(92*IF(OR(C1449=Options!$B$9,C1449=Options!$B$10),75%,100%)-IF(C1449=DATE(2026,11,29),26+IF(Options!$B$8="是",23,0),0)-IF(C1449=DATE(2026,11,30),26,0)-IF(C1449=DATE(2026,12,1),64,0)-IF(C1449=DATE(2026,11,28),38,0)-IF(C1449=DATE(2026,12,2),26,0)))</f>
        <v/>
      </c>
      <c r="I1449" s="13">
        <f>IF(AND(C1449&gt;=DATE(2026,11,29),C1449&lt;=DATE(2026,12,1)),B1449*60,0)</f>
        <v/>
      </c>
      <c r="J1449" s="13">
        <f>IF(A1449="",0,B1449*(IF(C1449=DATE(2026,11,28),38,0)+IF(C1449=DATE(2026,12,1),38,0)+IF(C1449=DATE(2026,12,2),26,0)))</f>
        <v/>
      </c>
      <c r="K1449" s="13">
        <f>IF(C1449=Options!$B$9,B1449*12,0)</f>
        <v/>
      </c>
      <c r="L1449" s="13">
        <f>IF(C1449=Options!$B$9,B1449*Options!$Z$6,0)</f>
        <v/>
      </c>
      <c r="M1449" s="13" t="n">
        <v>0</v>
      </c>
      <c r="N1449" s="13">
        <f>SUM(E1449:M1449)</f>
        <v/>
      </c>
    </row>
    <row r="1450">
      <c r="A1450" s="5">
        <f>IF(AND(C1450&gt;=Options!$B$9,C1450&lt;=Options!$B$10),"Denver","")</f>
        <v/>
      </c>
      <c r="B1450" s="5">
        <f>IF(A1450="","",24)</f>
        <v/>
      </c>
      <c r="C1450" s="17" t="n">
        <v>46646</v>
      </c>
      <c r="D1450" s="5">
        <f>IF(A1450="","",IF(C1450=DATE(2026,11,29),"培训；注册午餐；早餐参数",IF(C1450=DATE(2026,11,30),"培训；注册午餐",IF(C1450=DATE(2026,12,1),"培训；注册午餐；机构晚餐",IF(C1450=Options!$B$9,"抵达；"&amp;IF(C1450=DATE(2026,11,28),"机构晚餐","无统一供餐"),IF(C1450=Options!$B$10,"返程；"&amp;IF(C1450=DATE(2026,12,2),"机构午餐","无统一供餐"),"差旅状态；无统一日程"))))))</f>
        <v/>
      </c>
      <c r="E1450" s="13">
        <f>IF(C1450=Options!$B$9,Options!$C$17,0)</f>
        <v/>
      </c>
      <c r="F1450" s="13">
        <f>IF(AND(A1450&lt;&gt;"",C1450&lt;Options!$B$10),B1450*Options!$X$6,0)</f>
        <v/>
      </c>
      <c r="G1450" s="13">
        <f>F1450*12%</f>
        <v/>
      </c>
      <c r="H1450" s="13">
        <f>IF(A1450="",0,B1450*(92*IF(OR(C1450=Options!$B$9,C1450=Options!$B$10),75%,100%)-IF(C1450=DATE(2026,11,29),26+IF(Options!$B$8="是",23,0),0)-IF(C1450=DATE(2026,11,30),26,0)-IF(C1450=DATE(2026,12,1),64,0)-IF(C1450=DATE(2026,11,28),38,0)-IF(C1450=DATE(2026,12,2),26,0)))</f>
        <v/>
      </c>
      <c r="I1450" s="13">
        <f>IF(AND(C1450&gt;=DATE(2026,11,29),C1450&lt;=DATE(2026,12,1)),B1450*60,0)</f>
        <v/>
      </c>
      <c r="J1450" s="13">
        <f>IF(A1450="",0,B1450*(IF(C1450=DATE(2026,11,28),38,0)+IF(C1450=DATE(2026,12,1),38,0)+IF(C1450=DATE(2026,12,2),26,0)))</f>
        <v/>
      </c>
      <c r="K1450" s="13">
        <f>IF(C1450=Options!$B$9,B1450*12,0)</f>
        <v/>
      </c>
      <c r="L1450" s="13">
        <f>IF(C1450=Options!$B$9,B1450*Options!$Z$6,0)</f>
        <v/>
      </c>
      <c r="M1450" s="13" t="n">
        <v>0</v>
      </c>
      <c r="N1450" s="13">
        <f>SUM(E1450:M1450)</f>
        <v/>
      </c>
    </row>
    <row r="1451">
      <c r="A1451" s="5">
        <f>IF(AND(C1451&gt;=Options!$B$9,C1451&lt;=Options!$B$10),"Denver","")</f>
        <v/>
      </c>
      <c r="B1451" s="5">
        <f>IF(A1451="","",24)</f>
        <v/>
      </c>
      <c r="C1451" s="17" t="n">
        <v>46647</v>
      </c>
      <c r="D1451" s="5">
        <f>IF(A1451="","",IF(C1451=DATE(2026,11,29),"培训；注册午餐；早餐参数",IF(C1451=DATE(2026,11,30),"培训；注册午餐",IF(C1451=DATE(2026,12,1),"培训；注册午餐；机构晚餐",IF(C1451=Options!$B$9,"抵达；"&amp;IF(C1451=DATE(2026,11,28),"机构晚餐","无统一供餐"),IF(C1451=Options!$B$10,"返程；"&amp;IF(C1451=DATE(2026,12,2),"机构午餐","无统一供餐"),"差旅状态；无统一日程"))))))</f>
        <v/>
      </c>
      <c r="E1451" s="13">
        <f>IF(C1451=Options!$B$9,Options!$C$17,0)</f>
        <v/>
      </c>
      <c r="F1451" s="13">
        <f>IF(AND(A1451&lt;&gt;"",C1451&lt;Options!$B$10),B1451*Options!$X$6,0)</f>
        <v/>
      </c>
      <c r="G1451" s="13">
        <f>F1451*12%</f>
        <v/>
      </c>
      <c r="H1451" s="13">
        <f>IF(A1451="",0,B1451*(92*IF(OR(C1451=Options!$B$9,C1451=Options!$B$10),75%,100%)-IF(C1451=DATE(2026,11,29),26+IF(Options!$B$8="是",23,0),0)-IF(C1451=DATE(2026,11,30),26,0)-IF(C1451=DATE(2026,12,1),64,0)-IF(C1451=DATE(2026,11,28),38,0)-IF(C1451=DATE(2026,12,2),26,0)))</f>
        <v/>
      </c>
      <c r="I1451" s="13">
        <f>IF(AND(C1451&gt;=DATE(2026,11,29),C1451&lt;=DATE(2026,12,1)),B1451*60,0)</f>
        <v/>
      </c>
      <c r="J1451" s="13">
        <f>IF(A1451="",0,B1451*(IF(C1451=DATE(2026,11,28),38,0)+IF(C1451=DATE(2026,12,1),38,0)+IF(C1451=DATE(2026,12,2),26,0)))</f>
        <v/>
      </c>
      <c r="K1451" s="13">
        <f>IF(C1451=Options!$B$9,B1451*12,0)</f>
        <v/>
      </c>
      <c r="L1451" s="13">
        <f>IF(C1451=Options!$B$9,B1451*Options!$Z$6,0)</f>
        <v/>
      </c>
      <c r="M1451" s="13" t="n">
        <v>0</v>
      </c>
      <c r="N1451" s="13">
        <f>SUM(E1451:M1451)</f>
        <v/>
      </c>
    </row>
    <row r="1452">
      <c r="A1452" s="5">
        <f>IF(AND(C1452&gt;=Options!$B$9,C1452&lt;=Options!$B$10),"Denver","")</f>
        <v/>
      </c>
      <c r="B1452" s="5">
        <f>IF(A1452="","",24)</f>
        <v/>
      </c>
      <c r="C1452" s="17" t="n">
        <v>46648</v>
      </c>
      <c r="D1452" s="5">
        <f>IF(A1452="","",IF(C1452=DATE(2026,11,29),"培训；注册午餐；早餐参数",IF(C1452=DATE(2026,11,30),"培训；注册午餐",IF(C1452=DATE(2026,12,1),"培训；注册午餐；机构晚餐",IF(C1452=Options!$B$9,"抵达；"&amp;IF(C1452=DATE(2026,11,28),"机构晚餐","无统一供餐"),IF(C1452=Options!$B$10,"返程；"&amp;IF(C1452=DATE(2026,12,2),"机构午餐","无统一供餐"),"差旅状态；无统一日程"))))))</f>
        <v/>
      </c>
      <c r="E1452" s="13">
        <f>IF(C1452=Options!$B$9,Options!$C$17,0)</f>
        <v/>
      </c>
      <c r="F1452" s="13">
        <f>IF(AND(A1452&lt;&gt;"",C1452&lt;Options!$B$10),B1452*Options!$X$6,0)</f>
        <v/>
      </c>
      <c r="G1452" s="13">
        <f>F1452*12%</f>
        <v/>
      </c>
      <c r="H1452" s="13">
        <f>IF(A1452="",0,B1452*(92*IF(OR(C1452=Options!$B$9,C1452=Options!$B$10),75%,100%)-IF(C1452=DATE(2026,11,29),26+IF(Options!$B$8="是",23,0),0)-IF(C1452=DATE(2026,11,30),26,0)-IF(C1452=DATE(2026,12,1),64,0)-IF(C1452=DATE(2026,11,28),38,0)-IF(C1452=DATE(2026,12,2),26,0)))</f>
        <v/>
      </c>
      <c r="I1452" s="13">
        <f>IF(AND(C1452&gt;=DATE(2026,11,29),C1452&lt;=DATE(2026,12,1)),B1452*60,0)</f>
        <v/>
      </c>
      <c r="J1452" s="13">
        <f>IF(A1452="",0,B1452*(IF(C1452=DATE(2026,11,28),38,0)+IF(C1452=DATE(2026,12,1),38,0)+IF(C1452=DATE(2026,12,2),26,0)))</f>
        <v/>
      </c>
      <c r="K1452" s="13">
        <f>IF(C1452=Options!$B$9,B1452*12,0)</f>
        <v/>
      </c>
      <c r="L1452" s="13">
        <f>IF(C1452=Options!$B$9,B1452*Options!$Z$6,0)</f>
        <v/>
      </c>
      <c r="M1452" s="13" t="n">
        <v>0</v>
      </c>
      <c r="N1452" s="13">
        <f>SUM(E1452:M1452)</f>
        <v/>
      </c>
    </row>
    <row r="1453">
      <c r="A1453" s="5">
        <f>IF(AND(C1453&gt;=Options!$B$9,C1453&lt;=Options!$B$10),"Denver","")</f>
        <v/>
      </c>
      <c r="B1453" s="5">
        <f>IF(A1453="","",24)</f>
        <v/>
      </c>
      <c r="C1453" s="17" t="n">
        <v>46649</v>
      </c>
      <c r="D1453" s="5">
        <f>IF(A1453="","",IF(C1453=DATE(2026,11,29),"培训；注册午餐；早餐参数",IF(C1453=DATE(2026,11,30),"培训；注册午餐",IF(C1453=DATE(2026,12,1),"培训；注册午餐；机构晚餐",IF(C1453=Options!$B$9,"抵达；"&amp;IF(C1453=DATE(2026,11,28),"机构晚餐","无统一供餐"),IF(C1453=Options!$B$10,"返程；"&amp;IF(C1453=DATE(2026,12,2),"机构午餐","无统一供餐"),"差旅状态；无统一日程"))))))</f>
        <v/>
      </c>
      <c r="E1453" s="13">
        <f>IF(C1453=Options!$B$9,Options!$C$17,0)</f>
        <v/>
      </c>
      <c r="F1453" s="13">
        <f>IF(AND(A1453&lt;&gt;"",C1453&lt;Options!$B$10),B1453*Options!$X$6,0)</f>
        <v/>
      </c>
      <c r="G1453" s="13">
        <f>F1453*12%</f>
        <v/>
      </c>
      <c r="H1453" s="13">
        <f>IF(A1453="",0,B1453*(92*IF(OR(C1453=Options!$B$9,C1453=Options!$B$10),75%,100%)-IF(C1453=DATE(2026,11,29),26+IF(Options!$B$8="是",23,0),0)-IF(C1453=DATE(2026,11,30),26,0)-IF(C1453=DATE(2026,12,1),64,0)-IF(C1453=DATE(2026,11,28),38,0)-IF(C1453=DATE(2026,12,2),26,0)))</f>
        <v/>
      </c>
      <c r="I1453" s="13">
        <f>IF(AND(C1453&gt;=DATE(2026,11,29),C1453&lt;=DATE(2026,12,1)),B1453*60,0)</f>
        <v/>
      </c>
      <c r="J1453" s="13">
        <f>IF(A1453="",0,B1453*(IF(C1453=DATE(2026,11,28),38,0)+IF(C1453=DATE(2026,12,1),38,0)+IF(C1453=DATE(2026,12,2),26,0)))</f>
        <v/>
      </c>
      <c r="K1453" s="13">
        <f>IF(C1453=Options!$B$9,B1453*12,0)</f>
        <v/>
      </c>
      <c r="L1453" s="13">
        <f>IF(C1453=Options!$B$9,B1453*Options!$Z$6,0)</f>
        <v/>
      </c>
      <c r="M1453" s="13" t="n">
        <v>0</v>
      </c>
      <c r="N1453" s="13">
        <f>SUM(E1453:M1453)</f>
        <v/>
      </c>
    </row>
    <row r="1454">
      <c r="A1454" s="5">
        <f>IF(AND(C1454&gt;=Options!$B$9,C1454&lt;=Options!$B$10),"Denver","")</f>
        <v/>
      </c>
      <c r="B1454" s="5">
        <f>IF(A1454="","",24)</f>
        <v/>
      </c>
      <c r="C1454" s="17" t="n">
        <v>46650</v>
      </c>
      <c r="D1454" s="5">
        <f>IF(A1454="","",IF(C1454=DATE(2026,11,29),"培训；注册午餐；早餐参数",IF(C1454=DATE(2026,11,30),"培训；注册午餐",IF(C1454=DATE(2026,12,1),"培训；注册午餐；机构晚餐",IF(C1454=Options!$B$9,"抵达；"&amp;IF(C1454=DATE(2026,11,28),"机构晚餐","无统一供餐"),IF(C1454=Options!$B$10,"返程；"&amp;IF(C1454=DATE(2026,12,2),"机构午餐","无统一供餐"),"差旅状态；无统一日程"))))))</f>
        <v/>
      </c>
      <c r="E1454" s="13">
        <f>IF(C1454=Options!$B$9,Options!$C$17,0)</f>
        <v/>
      </c>
      <c r="F1454" s="13">
        <f>IF(AND(A1454&lt;&gt;"",C1454&lt;Options!$B$10),B1454*Options!$X$6,0)</f>
        <v/>
      </c>
      <c r="G1454" s="13">
        <f>F1454*12%</f>
        <v/>
      </c>
      <c r="H1454" s="13">
        <f>IF(A1454="",0,B1454*(92*IF(OR(C1454=Options!$B$9,C1454=Options!$B$10),75%,100%)-IF(C1454=DATE(2026,11,29),26+IF(Options!$B$8="是",23,0),0)-IF(C1454=DATE(2026,11,30),26,0)-IF(C1454=DATE(2026,12,1),64,0)-IF(C1454=DATE(2026,11,28),38,0)-IF(C1454=DATE(2026,12,2),26,0)))</f>
        <v/>
      </c>
      <c r="I1454" s="13">
        <f>IF(AND(C1454&gt;=DATE(2026,11,29),C1454&lt;=DATE(2026,12,1)),B1454*60,0)</f>
        <v/>
      </c>
      <c r="J1454" s="13">
        <f>IF(A1454="",0,B1454*(IF(C1454=DATE(2026,11,28),38,0)+IF(C1454=DATE(2026,12,1),38,0)+IF(C1454=DATE(2026,12,2),26,0)))</f>
        <v/>
      </c>
      <c r="K1454" s="13">
        <f>IF(C1454=Options!$B$9,B1454*12,0)</f>
        <v/>
      </c>
      <c r="L1454" s="13">
        <f>IF(C1454=Options!$B$9,B1454*Options!$Z$6,0)</f>
        <v/>
      </c>
      <c r="M1454" s="13" t="n">
        <v>0</v>
      </c>
      <c r="N1454" s="13">
        <f>SUM(E1454:M1454)</f>
        <v/>
      </c>
    </row>
    <row r="1455">
      <c r="A1455" s="5">
        <f>IF(AND(C1455&gt;=Options!$B$9,C1455&lt;=Options!$B$10),"Denver","")</f>
        <v/>
      </c>
      <c r="B1455" s="5">
        <f>IF(A1455="","",24)</f>
        <v/>
      </c>
      <c r="C1455" s="17" t="n">
        <v>46651</v>
      </c>
      <c r="D1455" s="5">
        <f>IF(A1455="","",IF(C1455=DATE(2026,11,29),"培训；注册午餐；早餐参数",IF(C1455=DATE(2026,11,30),"培训；注册午餐",IF(C1455=DATE(2026,12,1),"培训；注册午餐；机构晚餐",IF(C1455=Options!$B$9,"抵达；"&amp;IF(C1455=DATE(2026,11,28),"机构晚餐","无统一供餐"),IF(C1455=Options!$B$10,"返程；"&amp;IF(C1455=DATE(2026,12,2),"机构午餐","无统一供餐"),"差旅状态；无统一日程"))))))</f>
        <v/>
      </c>
      <c r="E1455" s="13">
        <f>IF(C1455=Options!$B$9,Options!$C$17,0)</f>
        <v/>
      </c>
      <c r="F1455" s="13">
        <f>IF(AND(A1455&lt;&gt;"",C1455&lt;Options!$B$10),B1455*Options!$X$6,0)</f>
        <v/>
      </c>
      <c r="G1455" s="13">
        <f>F1455*12%</f>
        <v/>
      </c>
      <c r="H1455" s="13">
        <f>IF(A1455="",0,B1455*(92*IF(OR(C1455=Options!$B$9,C1455=Options!$B$10),75%,100%)-IF(C1455=DATE(2026,11,29),26+IF(Options!$B$8="是",23,0),0)-IF(C1455=DATE(2026,11,30),26,0)-IF(C1455=DATE(2026,12,1),64,0)-IF(C1455=DATE(2026,11,28),38,0)-IF(C1455=DATE(2026,12,2),26,0)))</f>
        <v/>
      </c>
      <c r="I1455" s="13">
        <f>IF(AND(C1455&gt;=DATE(2026,11,29),C1455&lt;=DATE(2026,12,1)),B1455*60,0)</f>
        <v/>
      </c>
      <c r="J1455" s="13">
        <f>IF(A1455="",0,B1455*(IF(C1455=DATE(2026,11,28),38,0)+IF(C1455=DATE(2026,12,1),38,0)+IF(C1455=DATE(2026,12,2),26,0)))</f>
        <v/>
      </c>
      <c r="K1455" s="13">
        <f>IF(C1455=Options!$B$9,B1455*12,0)</f>
        <v/>
      </c>
      <c r="L1455" s="13">
        <f>IF(C1455=Options!$B$9,B1455*Options!$Z$6,0)</f>
        <v/>
      </c>
      <c r="M1455" s="13" t="n">
        <v>0</v>
      </c>
      <c r="N1455" s="13">
        <f>SUM(E1455:M1455)</f>
        <v/>
      </c>
    </row>
    <row r="1456">
      <c r="A1456" s="5">
        <f>IF(AND(C1456&gt;=Options!$B$9,C1456&lt;=Options!$B$10),"Denver","")</f>
        <v/>
      </c>
      <c r="B1456" s="5">
        <f>IF(A1456="","",24)</f>
        <v/>
      </c>
      <c r="C1456" s="17" t="n">
        <v>46652</v>
      </c>
      <c r="D1456" s="5">
        <f>IF(A1456="","",IF(C1456=DATE(2026,11,29),"培训；注册午餐；早餐参数",IF(C1456=DATE(2026,11,30),"培训；注册午餐",IF(C1456=DATE(2026,12,1),"培训；注册午餐；机构晚餐",IF(C1456=Options!$B$9,"抵达；"&amp;IF(C1456=DATE(2026,11,28),"机构晚餐","无统一供餐"),IF(C1456=Options!$B$10,"返程；"&amp;IF(C1456=DATE(2026,12,2),"机构午餐","无统一供餐"),"差旅状态；无统一日程"))))))</f>
        <v/>
      </c>
      <c r="E1456" s="13">
        <f>IF(C1456=Options!$B$9,Options!$C$17,0)</f>
        <v/>
      </c>
      <c r="F1456" s="13">
        <f>IF(AND(A1456&lt;&gt;"",C1456&lt;Options!$B$10),B1456*Options!$X$6,0)</f>
        <v/>
      </c>
      <c r="G1456" s="13">
        <f>F1456*12%</f>
        <v/>
      </c>
      <c r="H1456" s="13">
        <f>IF(A1456="",0,B1456*(92*IF(OR(C1456=Options!$B$9,C1456=Options!$B$10),75%,100%)-IF(C1456=DATE(2026,11,29),26+IF(Options!$B$8="是",23,0),0)-IF(C1456=DATE(2026,11,30),26,0)-IF(C1456=DATE(2026,12,1),64,0)-IF(C1456=DATE(2026,11,28),38,0)-IF(C1456=DATE(2026,12,2),26,0)))</f>
        <v/>
      </c>
      <c r="I1456" s="13">
        <f>IF(AND(C1456&gt;=DATE(2026,11,29),C1456&lt;=DATE(2026,12,1)),B1456*60,0)</f>
        <v/>
      </c>
      <c r="J1456" s="13">
        <f>IF(A1456="",0,B1456*(IF(C1456=DATE(2026,11,28),38,0)+IF(C1456=DATE(2026,12,1),38,0)+IF(C1456=DATE(2026,12,2),26,0)))</f>
        <v/>
      </c>
      <c r="K1456" s="13">
        <f>IF(C1456=Options!$B$9,B1456*12,0)</f>
        <v/>
      </c>
      <c r="L1456" s="13">
        <f>IF(C1456=Options!$B$9,B1456*Options!$Z$6,0)</f>
        <v/>
      </c>
      <c r="M1456" s="13" t="n">
        <v>0</v>
      </c>
      <c r="N1456" s="13">
        <f>SUM(E1456:M1456)</f>
        <v/>
      </c>
    </row>
    <row r="1457">
      <c r="A1457" s="5">
        <f>IF(AND(C1457&gt;=Options!$B$9,C1457&lt;=Options!$B$10),"Denver","")</f>
        <v/>
      </c>
      <c r="B1457" s="5">
        <f>IF(A1457="","",24)</f>
        <v/>
      </c>
      <c r="C1457" s="17" t="n">
        <v>46653</v>
      </c>
      <c r="D1457" s="5">
        <f>IF(A1457="","",IF(C1457=DATE(2026,11,29),"培训；注册午餐；早餐参数",IF(C1457=DATE(2026,11,30),"培训；注册午餐",IF(C1457=DATE(2026,12,1),"培训；注册午餐；机构晚餐",IF(C1457=Options!$B$9,"抵达；"&amp;IF(C1457=DATE(2026,11,28),"机构晚餐","无统一供餐"),IF(C1457=Options!$B$10,"返程；"&amp;IF(C1457=DATE(2026,12,2),"机构午餐","无统一供餐"),"差旅状态；无统一日程"))))))</f>
        <v/>
      </c>
      <c r="E1457" s="13">
        <f>IF(C1457=Options!$B$9,Options!$C$17,0)</f>
        <v/>
      </c>
      <c r="F1457" s="13">
        <f>IF(AND(A1457&lt;&gt;"",C1457&lt;Options!$B$10),B1457*Options!$X$6,0)</f>
        <v/>
      </c>
      <c r="G1457" s="13">
        <f>F1457*12%</f>
        <v/>
      </c>
      <c r="H1457" s="13">
        <f>IF(A1457="",0,B1457*(92*IF(OR(C1457=Options!$B$9,C1457=Options!$B$10),75%,100%)-IF(C1457=DATE(2026,11,29),26+IF(Options!$B$8="是",23,0),0)-IF(C1457=DATE(2026,11,30),26,0)-IF(C1457=DATE(2026,12,1),64,0)-IF(C1457=DATE(2026,11,28),38,0)-IF(C1457=DATE(2026,12,2),26,0)))</f>
        <v/>
      </c>
      <c r="I1457" s="13">
        <f>IF(AND(C1457&gt;=DATE(2026,11,29),C1457&lt;=DATE(2026,12,1)),B1457*60,0)</f>
        <v/>
      </c>
      <c r="J1457" s="13">
        <f>IF(A1457="",0,B1457*(IF(C1457=DATE(2026,11,28),38,0)+IF(C1457=DATE(2026,12,1),38,0)+IF(C1457=DATE(2026,12,2),26,0)))</f>
        <v/>
      </c>
      <c r="K1457" s="13">
        <f>IF(C1457=Options!$B$9,B1457*12,0)</f>
        <v/>
      </c>
      <c r="L1457" s="13">
        <f>IF(C1457=Options!$B$9,B1457*Options!$Z$6,0)</f>
        <v/>
      </c>
      <c r="M1457" s="13" t="n">
        <v>0</v>
      </c>
      <c r="N1457" s="13">
        <f>SUM(E1457:M1457)</f>
        <v/>
      </c>
    </row>
    <row r="1458">
      <c r="A1458" s="5">
        <f>IF(AND(C1458&gt;=Options!$B$9,C1458&lt;=Options!$B$10),"Denver","")</f>
        <v/>
      </c>
      <c r="B1458" s="5">
        <f>IF(A1458="","",24)</f>
        <v/>
      </c>
      <c r="C1458" s="17" t="n">
        <v>46654</v>
      </c>
      <c r="D1458" s="5">
        <f>IF(A1458="","",IF(C1458=DATE(2026,11,29),"培训；注册午餐；早餐参数",IF(C1458=DATE(2026,11,30),"培训；注册午餐",IF(C1458=DATE(2026,12,1),"培训；注册午餐；机构晚餐",IF(C1458=Options!$B$9,"抵达；"&amp;IF(C1458=DATE(2026,11,28),"机构晚餐","无统一供餐"),IF(C1458=Options!$B$10,"返程；"&amp;IF(C1458=DATE(2026,12,2),"机构午餐","无统一供餐"),"差旅状态；无统一日程"))))))</f>
        <v/>
      </c>
      <c r="E1458" s="13">
        <f>IF(C1458=Options!$B$9,Options!$C$17,0)</f>
        <v/>
      </c>
      <c r="F1458" s="13">
        <f>IF(AND(A1458&lt;&gt;"",C1458&lt;Options!$B$10),B1458*Options!$X$6,0)</f>
        <v/>
      </c>
      <c r="G1458" s="13">
        <f>F1458*12%</f>
        <v/>
      </c>
      <c r="H1458" s="13">
        <f>IF(A1458="",0,B1458*(92*IF(OR(C1458=Options!$B$9,C1458=Options!$B$10),75%,100%)-IF(C1458=DATE(2026,11,29),26+IF(Options!$B$8="是",23,0),0)-IF(C1458=DATE(2026,11,30),26,0)-IF(C1458=DATE(2026,12,1),64,0)-IF(C1458=DATE(2026,11,28),38,0)-IF(C1458=DATE(2026,12,2),26,0)))</f>
        <v/>
      </c>
      <c r="I1458" s="13">
        <f>IF(AND(C1458&gt;=DATE(2026,11,29),C1458&lt;=DATE(2026,12,1)),B1458*60,0)</f>
        <v/>
      </c>
      <c r="J1458" s="13">
        <f>IF(A1458="",0,B1458*(IF(C1458=DATE(2026,11,28),38,0)+IF(C1458=DATE(2026,12,1),38,0)+IF(C1458=DATE(2026,12,2),26,0)))</f>
        <v/>
      </c>
      <c r="K1458" s="13">
        <f>IF(C1458=Options!$B$9,B1458*12,0)</f>
        <v/>
      </c>
      <c r="L1458" s="13">
        <f>IF(C1458=Options!$B$9,B1458*Options!$Z$6,0)</f>
        <v/>
      </c>
      <c r="M1458" s="13" t="n">
        <v>0</v>
      </c>
      <c r="N1458" s="13">
        <f>SUM(E1458:M1458)</f>
        <v/>
      </c>
    </row>
    <row r="1459">
      <c r="A1459" s="5">
        <f>IF(AND(C1459&gt;=Options!$B$9,C1459&lt;=Options!$B$10),"Denver","")</f>
        <v/>
      </c>
      <c r="B1459" s="5">
        <f>IF(A1459="","",24)</f>
        <v/>
      </c>
      <c r="C1459" s="17" t="n">
        <v>46655</v>
      </c>
      <c r="D1459" s="5">
        <f>IF(A1459="","",IF(C1459=DATE(2026,11,29),"培训；注册午餐；早餐参数",IF(C1459=DATE(2026,11,30),"培训；注册午餐",IF(C1459=DATE(2026,12,1),"培训；注册午餐；机构晚餐",IF(C1459=Options!$B$9,"抵达；"&amp;IF(C1459=DATE(2026,11,28),"机构晚餐","无统一供餐"),IF(C1459=Options!$B$10,"返程；"&amp;IF(C1459=DATE(2026,12,2),"机构午餐","无统一供餐"),"差旅状态；无统一日程"))))))</f>
        <v/>
      </c>
      <c r="E1459" s="13">
        <f>IF(C1459=Options!$B$9,Options!$C$17,0)</f>
        <v/>
      </c>
      <c r="F1459" s="13">
        <f>IF(AND(A1459&lt;&gt;"",C1459&lt;Options!$B$10),B1459*Options!$X$6,0)</f>
        <v/>
      </c>
      <c r="G1459" s="13">
        <f>F1459*12%</f>
        <v/>
      </c>
      <c r="H1459" s="13">
        <f>IF(A1459="",0,B1459*(92*IF(OR(C1459=Options!$B$9,C1459=Options!$B$10),75%,100%)-IF(C1459=DATE(2026,11,29),26+IF(Options!$B$8="是",23,0),0)-IF(C1459=DATE(2026,11,30),26,0)-IF(C1459=DATE(2026,12,1),64,0)-IF(C1459=DATE(2026,11,28),38,0)-IF(C1459=DATE(2026,12,2),26,0)))</f>
        <v/>
      </c>
      <c r="I1459" s="13">
        <f>IF(AND(C1459&gt;=DATE(2026,11,29),C1459&lt;=DATE(2026,12,1)),B1459*60,0)</f>
        <v/>
      </c>
      <c r="J1459" s="13">
        <f>IF(A1459="",0,B1459*(IF(C1459=DATE(2026,11,28),38,0)+IF(C1459=DATE(2026,12,1),38,0)+IF(C1459=DATE(2026,12,2),26,0)))</f>
        <v/>
      </c>
      <c r="K1459" s="13">
        <f>IF(C1459=Options!$B$9,B1459*12,0)</f>
        <v/>
      </c>
      <c r="L1459" s="13">
        <f>IF(C1459=Options!$B$9,B1459*Options!$Z$6,0)</f>
        <v/>
      </c>
      <c r="M1459" s="13" t="n">
        <v>0</v>
      </c>
      <c r="N1459" s="13">
        <f>SUM(E1459:M1459)</f>
        <v/>
      </c>
    </row>
    <row r="1460">
      <c r="A1460" s="5">
        <f>IF(AND(C1460&gt;=Options!$B$9,C1460&lt;=Options!$B$10),"Denver","")</f>
        <v/>
      </c>
      <c r="B1460" s="5">
        <f>IF(A1460="","",24)</f>
        <v/>
      </c>
      <c r="C1460" s="17" t="n">
        <v>46656</v>
      </c>
      <c r="D1460" s="5">
        <f>IF(A1460="","",IF(C1460=DATE(2026,11,29),"培训；注册午餐；早餐参数",IF(C1460=DATE(2026,11,30),"培训；注册午餐",IF(C1460=DATE(2026,12,1),"培训；注册午餐；机构晚餐",IF(C1460=Options!$B$9,"抵达；"&amp;IF(C1460=DATE(2026,11,28),"机构晚餐","无统一供餐"),IF(C1460=Options!$B$10,"返程；"&amp;IF(C1460=DATE(2026,12,2),"机构午餐","无统一供餐"),"差旅状态；无统一日程"))))))</f>
        <v/>
      </c>
      <c r="E1460" s="13">
        <f>IF(C1460=Options!$B$9,Options!$C$17,0)</f>
        <v/>
      </c>
      <c r="F1460" s="13">
        <f>IF(AND(A1460&lt;&gt;"",C1460&lt;Options!$B$10),B1460*Options!$X$6,0)</f>
        <v/>
      </c>
      <c r="G1460" s="13">
        <f>F1460*12%</f>
        <v/>
      </c>
      <c r="H1460" s="13">
        <f>IF(A1460="",0,B1460*(92*IF(OR(C1460=Options!$B$9,C1460=Options!$B$10),75%,100%)-IF(C1460=DATE(2026,11,29),26+IF(Options!$B$8="是",23,0),0)-IF(C1460=DATE(2026,11,30),26,0)-IF(C1460=DATE(2026,12,1),64,0)-IF(C1460=DATE(2026,11,28),38,0)-IF(C1460=DATE(2026,12,2),26,0)))</f>
        <v/>
      </c>
      <c r="I1460" s="13">
        <f>IF(AND(C1460&gt;=DATE(2026,11,29),C1460&lt;=DATE(2026,12,1)),B1460*60,0)</f>
        <v/>
      </c>
      <c r="J1460" s="13">
        <f>IF(A1460="",0,B1460*(IF(C1460=DATE(2026,11,28),38,0)+IF(C1460=DATE(2026,12,1),38,0)+IF(C1460=DATE(2026,12,2),26,0)))</f>
        <v/>
      </c>
      <c r="K1460" s="13">
        <f>IF(C1460=Options!$B$9,B1460*12,0)</f>
        <v/>
      </c>
      <c r="L1460" s="13">
        <f>IF(C1460=Options!$B$9,B1460*Options!$Z$6,0)</f>
        <v/>
      </c>
      <c r="M1460" s="13" t="n">
        <v>0</v>
      </c>
      <c r="N1460" s="13">
        <f>SUM(E1460:M1460)</f>
        <v/>
      </c>
    </row>
    <row r="1461">
      <c r="A1461" s="5">
        <f>IF(AND(C1461&gt;=Options!$B$9,C1461&lt;=Options!$B$10),"Denver","")</f>
        <v/>
      </c>
      <c r="B1461" s="5">
        <f>IF(A1461="","",24)</f>
        <v/>
      </c>
      <c r="C1461" s="17" t="n">
        <v>46657</v>
      </c>
      <c r="D1461" s="5">
        <f>IF(A1461="","",IF(C1461=DATE(2026,11,29),"培训；注册午餐；早餐参数",IF(C1461=DATE(2026,11,30),"培训；注册午餐",IF(C1461=DATE(2026,12,1),"培训；注册午餐；机构晚餐",IF(C1461=Options!$B$9,"抵达；"&amp;IF(C1461=DATE(2026,11,28),"机构晚餐","无统一供餐"),IF(C1461=Options!$B$10,"返程；"&amp;IF(C1461=DATE(2026,12,2),"机构午餐","无统一供餐"),"差旅状态；无统一日程"))))))</f>
        <v/>
      </c>
      <c r="E1461" s="13">
        <f>IF(C1461=Options!$B$9,Options!$C$17,0)</f>
        <v/>
      </c>
      <c r="F1461" s="13">
        <f>IF(AND(A1461&lt;&gt;"",C1461&lt;Options!$B$10),B1461*Options!$X$6,0)</f>
        <v/>
      </c>
      <c r="G1461" s="13">
        <f>F1461*12%</f>
        <v/>
      </c>
      <c r="H1461" s="13">
        <f>IF(A1461="",0,B1461*(92*IF(OR(C1461=Options!$B$9,C1461=Options!$B$10),75%,100%)-IF(C1461=DATE(2026,11,29),26+IF(Options!$B$8="是",23,0),0)-IF(C1461=DATE(2026,11,30),26,0)-IF(C1461=DATE(2026,12,1),64,0)-IF(C1461=DATE(2026,11,28),38,0)-IF(C1461=DATE(2026,12,2),26,0)))</f>
        <v/>
      </c>
      <c r="I1461" s="13">
        <f>IF(AND(C1461&gt;=DATE(2026,11,29),C1461&lt;=DATE(2026,12,1)),B1461*60,0)</f>
        <v/>
      </c>
      <c r="J1461" s="13">
        <f>IF(A1461="",0,B1461*(IF(C1461=DATE(2026,11,28),38,0)+IF(C1461=DATE(2026,12,1),38,0)+IF(C1461=DATE(2026,12,2),26,0)))</f>
        <v/>
      </c>
      <c r="K1461" s="13">
        <f>IF(C1461=Options!$B$9,B1461*12,0)</f>
        <v/>
      </c>
      <c r="L1461" s="13">
        <f>IF(C1461=Options!$B$9,B1461*Options!$Z$6,0)</f>
        <v/>
      </c>
      <c r="M1461" s="13" t="n">
        <v>0</v>
      </c>
      <c r="N1461" s="13">
        <f>SUM(E1461:M1461)</f>
        <v/>
      </c>
    </row>
    <row r="1462">
      <c r="A1462" s="5">
        <f>IF(AND(C1462&gt;=Options!$B$9,C1462&lt;=Options!$B$10),"Denver","")</f>
        <v/>
      </c>
      <c r="B1462" s="5">
        <f>IF(A1462="","",24)</f>
        <v/>
      </c>
      <c r="C1462" s="17" t="n">
        <v>46658</v>
      </c>
      <c r="D1462" s="5">
        <f>IF(A1462="","",IF(C1462=DATE(2026,11,29),"培训；注册午餐；早餐参数",IF(C1462=DATE(2026,11,30),"培训；注册午餐",IF(C1462=DATE(2026,12,1),"培训；注册午餐；机构晚餐",IF(C1462=Options!$B$9,"抵达；"&amp;IF(C1462=DATE(2026,11,28),"机构晚餐","无统一供餐"),IF(C1462=Options!$B$10,"返程；"&amp;IF(C1462=DATE(2026,12,2),"机构午餐","无统一供餐"),"差旅状态；无统一日程"))))))</f>
        <v/>
      </c>
      <c r="E1462" s="13">
        <f>IF(C1462=Options!$B$9,Options!$C$17,0)</f>
        <v/>
      </c>
      <c r="F1462" s="13">
        <f>IF(AND(A1462&lt;&gt;"",C1462&lt;Options!$B$10),B1462*Options!$X$6,0)</f>
        <v/>
      </c>
      <c r="G1462" s="13">
        <f>F1462*12%</f>
        <v/>
      </c>
      <c r="H1462" s="13">
        <f>IF(A1462="",0,B1462*(92*IF(OR(C1462=Options!$B$9,C1462=Options!$B$10),75%,100%)-IF(C1462=DATE(2026,11,29),26+IF(Options!$B$8="是",23,0),0)-IF(C1462=DATE(2026,11,30),26,0)-IF(C1462=DATE(2026,12,1),64,0)-IF(C1462=DATE(2026,11,28),38,0)-IF(C1462=DATE(2026,12,2),26,0)))</f>
        <v/>
      </c>
      <c r="I1462" s="13">
        <f>IF(AND(C1462&gt;=DATE(2026,11,29),C1462&lt;=DATE(2026,12,1)),B1462*60,0)</f>
        <v/>
      </c>
      <c r="J1462" s="13">
        <f>IF(A1462="",0,B1462*(IF(C1462=DATE(2026,11,28),38,0)+IF(C1462=DATE(2026,12,1),38,0)+IF(C1462=DATE(2026,12,2),26,0)))</f>
        <v/>
      </c>
      <c r="K1462" s="13">
        <f>IF(C1462=Options!$B$9,B1462*12,0)</f>
        <v/>
      </c>
      <c r="L1462" s="13">
        <f>IF(C1462=Options!$B$9,B1462*Options!$Z$6,0)</f>
        <v/>
      </c>
      <c r="M1462" s="13" t="n">
        <v>0</v>
      </c>
      <c r="N1462" s="13">
        <f>SUM(E1462:M1462)</f>
        <v/>
      </c>
    </row>
    <row r="1463">
      <c r="A1463" s="5">
        <f>IF(AND(C1463&gt;=Options!$B$9,C1463&lt;=Options!$B$10),"Denver","")</f>
        <v/>
      </c>
      <c r="B1463" s="5">
        <f>IF(A1463="","",24)</f>
        <v/>
      </c>
      <c r="C1463" s="17" t="n">
        <v>46659</v>
      </c>
      <c r="D1463" s="5">
        <f>IF(A1463="","",IF(C1463=DATE(2026,11,29),"培训；注册午餐；早餐参数",IF(C1463=DATE(2026,11,30),"培训；注册午餐",IF(C1463=DATE(2026,12,1),"培训；注册午餐；机构晚餐",IF(C1463=Options!$B$9,"抵达；"&amp;IF(C1463=DATE(2026,11,28),"机构晚餐","无统一供餐"),IF(C1463=Options!$B$10,"返程；"&amp;IF(C1463=DATE(2026,12,2),"机构午餐","无统一供餐"),"差旅状态；无统一日程"))))))</f>
        <v/>
      </c>
      <c r="E1463" s="13">
        <f>IF(C1463=Options!$B$9,Options!$C$17,0)</f>
        <v/>
      </c>
      <c r="F1463" s="13">
        <f>IF(AND(A1463&lt;&gt;"",C1463&lt;Options!$B$10),B1463*Options!$X$6,0)</f>
        <v/>
      </c>
      <c r="G1463" s="13">
        <f>F1463*12%</f>
        <v/>
      </c>
      <c r="H1463" s="13">
        <f>IF(A1463="",0,B1463*(92*IF(OR(C1463=Options!$B$9,C1463=Options!$B$10),75%,100%)-IF(C1463=DATE(2026,11,29),26+IF(Options!$B$8="是",23,0),0)-IF(C1463=DATE(2026,11,30),26,0)-IF(C1463=DATE(2026,12,1),64,0)-IF(C1463=DATE(2026,11,28),38,0)-IF(C1463=DATE(2026,12,2),26,0)))</f>
        <v/>
      </c>
      <c r="I1463" s="13">
        <f>IF(AND(C1463&gt;=DATE(2026,11,29),C1463&lt;=DATE(2026,12,1)),B1463*60,0)</f>
        <v/>
      </c>
      <c r="J1463" s="13">
        <f>IF(A1463="",0,B1463*(IF(C1463=DATE(2026,11,28),38,0)+IF(C1463=DATE(2026,12,1),38,0)+IF(C1463=DATE(2026,12,2),26,0)))</f>
        <v/>
      </c>
      <c r="K1463" s="13">
        <f>IF(C1463=Options!$B$9,B1463*12,0)</f>
        <v/>
      </c>
      <c r="L1463" s="13">
        <f>IF(C1463=Options!$B$9,B1463*Options!$Z$6,0)</f>
        <v/>
      </c>
      <c r="M1463" s="13" t="n">
        <v>0</v>
      </c>
      <c r="N1463" s="13">
        <f>SUM(E1463:M1463)</f>
        <v/>
      </c>
    </row>
    <row r="1464">
      <c r="A1464" s="5">
        <f>IF(AND(C1464&gt;=Options!$B$9,C1464&lt;=Options!$B$10),"Denver","")</f>
        <v/>
      </c>
      <c r="B1464" s="5">
        <f>IF(A1464="","",24)</f>
        <v/>
      </c>
      <c r="C1464" s="17" t="n">
        <v>46660</v>
      </c>
      <c r="D1464" s="5">
        <f>IF(A1464="","",IF(C1464=DATE(2026,11,29),"培训；注册午餐；早餐参数",IF(C1464=DATE(2026,11,30),"培训；注册午餐",IF(C1464=DATE(2026,12,1),"培训；注册午餐；机构晚餐",IF(C1464=Options!$B$9,"抵达；"&amp;IF(C1464=DATE(2026,11,28),"机构晚餐","无统一供餐"),IF(C1464=Options!$B$10,"返程；"&amp;IF(C1464=DATE(2026,12,2),"机构午餐","无统一供餐"),"差旅状态；无统一日程"))))))</f>
        <v/>
      </c>
      <c r="E1464" s="13">
        <f>IF(C1464=Options!$B$9,Options!$C$17,0)</f>
        <v/>
      </c>
      <c r="F1464" s="13">
        <f>IF(AND(A1464&lt;&gt;"",C1464&lt;Options!$B$10),B1464*Options!$X$6,0)</f>
        <v/>
      </c>
      <c r="G1464" s="13">
        <f>F1464*12%</f>
        <v/>
      </c>
      <c r="H1464" s="13">
        <f>IF(A1464="",0,B1464*(92*IF(OR(C1464=Options!$B$9,C1464=Options!$B$10),75%,100%)-IF(C1464=DATE(2026,11,29),26+IF(Options!$B$8="是",23,0),0)-IF(C1464=DATE(2026,11,30),26,0)-IF(C1464=DATE(2026,12,1),64,0)-IF(C1464=DATE(2026,11,28),38,0)-IF(C1464=DATE(2026,12,2),26,0)))</f>
        <v/>
      </c>
      <c r="I1464" s="13">
        <f>IF(AND(C1464&gt;=DATE(2026,11,29),C1464&lt;=DATE(2026,12,1)),B1464*60,0)</f>
        <v/>
      </c>
      <c r="J1464" s="13">
        <f>IF(A1464="",0,B1464*(IF(C1464=DATE(2026,11,28),38,0)+IF(C1464=DATE(2026,12,1),38,0)+IF(C1464=DATE(2026,12,2),26,0)))</f>
        <v/>
      </c>
      <c r="K1464" s="13">
        <f>IF(C1464=Options!$B$9,B1464*12,0)</f>
        <v/>
      </c>
      <c r="L1464" s="13">
        <f>IF(C1464=Options!$B$9,B1464*Options!$Z$6,0)</f>
        <v/>
      </c>
      <c r="M1464" s="13" t="n">
        <v>0</v>
      </c>
      <c r="N1464" s="13">
        <f>SUM(E1464:M1464)</f>
        <v/>
      </c>
    </row>
    <row r="1465">
      <c r="A1465" s="5">
        <f>IF(AND(C1465&gt;=Options!$B$9,C1465&lt;=Options!$B$10),"Phoenix","")</f>
        <v/>
      </c>
      <c r="B1465" s="5">
        <f>IF(A1465="","",18)</f>
        <v/>
      </c>
      <c r="C1465" s="17" t="n">
        <v>46296</v>
      </c>
      <c r="D1465" s="5">
        <f>IF(A1465="","",IF(C1465=DATE(2026,11,29),"培训；注册午餐；早餐参数",IF(C1465=DATE(2026,11,30),"培训；注册午餐",IF(C1465=DATE(2026,12,1),"培训；注册午餐；机构晚餐",IF(C1465=Options!$B$9,"抵达；"&amp;IF(C1465=DATE(2026,11,28),"机构晚餐","无统一供餐"),IF(C1465=Options!$B$10,"返程；"&amp;IF(C1465=DATE(2026,12,2),"机构午餐","无统一供餐"),"差旅状态；无统一日程"))))))</f>
        <v/>
      </c>
      <c r="E1465" s="13">
        <f>IF(C1465=Options!$B$9,Options!$C$18,0)</f>
        <v/>
      </c>
      <c r="F1465" s="13">
        <f>IF(AND(A1465&lt;&gt;"",C1465&lt;Options!$B$10),B1465*Options!$X$7,0)</f>
        <v/>
      </c>
      <c r="G1465" s="13">
        <f>F1465*12%</f>
        <v/>
      </c>
      <c r="H1465" s="13">
        <f>IF(A1465="",0,B1465*(86*IF(OR(C1465=Options!$B$9,C1465=Options!$B$10),75%,100%)-IF(C1465=DATE(2026,11,29),23+IF(Options!$B$8="是",22,0),0)-IF(C1465=DATE(2026,11,30),23,0)-IF(C1465=DATE(2026,12,1),59,0)-IF(C1465=DATE(2026,11,28),36,0)-IF(C1465=DATE(2026,12,2),23,0)))</f>
        <v/>
      </c>
      <c r="I1465" s="13">
        <f>IF(AND(C1465&gt;=DATE(2026,11,29),C1465&lt;=DATE(2026,12,1)),B1465*60,0)</f>
        <v/>
      </c>
      <c r="J1465" s="13">
        <f>IF(A1465="",0,B1465*(IF(C1465=DATE(2026,11,28),36,0)+IF(C1465=DATE(2026,12,1),36,0)+IF(C1465=DATE(2026,12,2),23,0)))</f>
        <v/>
      </c>
      <c r="K1465" s="13">
        <f>IF(C1465=Options!$B$9,B1465*12,0)</f>
        <v/>
      </c>
      <c r="L1465" s="13">
        <f>IF(C1465=Options!$B$9,B1465*Options!$Z$7,0)</f>
        <v/>
      </c>
      <c r="M1465" s="13" t="n">
        <v>0</v>
      </c>
      <c r="N1465" s="13">
        <f>SUM(E1465:M1465)</f>
        <v/>
      </c>
    </row>
    <row r="1466">
      <c r="A1466" s="5">
        <f>IF(AND(C1466&gt;=Options!$B$9,C1466&lt;=Options!$B$10),"Phoenix","")</f>
        <v/>
      </c>
      <c r="B1466" s="5">
        <f>IF(A1466="","",18)</f>
        <v/>
      </c>
      <c r="C1466" s="17" t="n">
        <v>46297</v>
      </c>
      <c r="D1466" s="5">
        <f>IF(A1466="","",IF(C1466=DATE(2026,11,29),"培训；注册午餐；早餐参数",IF(C1466=DATE(2026,11,30),"培训；注册午餐",IF(C1466=DATE(2026,12,1),"培训；注册午餐；机构晚餐",IF(C1466=Options!$B$9,"抵达；"&amp;IF(C1466=DATE(2026,11,28),"机构晚餐","无统一供餐"),IF(C1466=Options!$B$10,"返程；"&amp;IF(C1466=DATE(2026,12,2),"机构午餐","无统一供餐"),"差旅状态；无统一日程"))))))</f>
        <v/>
      </c>
      <c r="E1466" s="13">
        <f>IF(C1466=Options!$B$9,Options!$C$18,0)</f>
        <v/>
      </c>
      <c r="F1466" s="13">
        <f>IF(AND(A1466&lt;&gt;"",C1466&lt;Options!$B$10),B1466*Options!$X$7,0)</f>
        <v/>
      </c>
      <c r="G1466" s="13">
        <f>F1466*12%</f>
        <v/>
      </c>
      <c r="H1466" s="13">
        <f>IF(A1466="",0,B1466*(86*IF(OR(C1466=Options!$B$9,C1466=Options!$B$10),75%,100%)-IF(C1466=DATE(2026,11,29),23+IF(Options!$B$8="是",22,0),0)-IF(C1466=DATE(2026,11,30),23,0)-IF(C1466=DATE(2026,12,1),59,0)-IF(C1466=DATE(2026,11,28),36,0)-IF(C1466=DATE(2026,12,2),23,0)))</f>
        <v/>
      </c>
      <c r="I1466" s="13">
        <f>IF(AND(C1466&gt;=DATE(2026,11,29),C1466&lt;=DATE(2026,12,1)),B1466*60,0)</f>
        <v/>
      </c>
      <c r="J1466" s="13">
        <f>IF(A1466="",0,B1466*(IF(C1466=DATE(2026,11,28),36,0)+IF(C1466=DATE(2026,12,1),36,0)+IF(C1466=DATE(2026,12,2),23,0)))</f>
        <v/>
      </c>
      <c r="K1466" s="13">
        <f>IF(C1466=Options!$B$9,B1466*12,0)</f>
        <v/>
      </c>
      <c r="L1466" s="13">
        <f>IF(C1466=Options!$B$9,B1466*Options!$Z$7,0)</f>
        <v/>
      </c>
      <c r="M1466" s="13" t="n">
        <v>0</v>
      </c>
      <c r="N1466" s="13">
        <f>SUM(E1466:M1466)</f>
        <v/>
      </c>
    </row>
    <row r="1467">
      <c r="A1467" s="5">
        <f>IF(AND(C1467&gt;=Options!$B$9,C1467&lt;=Options!$B$10),"Phoenix","")</f>
        <v/>
      </c>
      <c r="B1467" s="5">
        <f>IF(A1467="","",18)</f>
        <v/>
      </c>
      <c r="C1467" s="17" t="n">
        <v>46298</v>
      </c>
      <c r="D1467" s="5">
        <f>IF(A1467="","",IF(C1467=DATE(2026,11,29),"培训；注册午餐；早餐参数",IF(C1467=DATE(2026,11,30),"培训；注册午餐",IF(C1467=DATE(2026,12,1),"培训；注册午餐；机构晚餐",IF(C1467=Options!$B$9,"抵达；"&amp;IF(C1467=DATE(2026,11,28),"机构晚餐","无统一供餐"),IF(C1467=Options!$B$10,"返程；"&amp;IF(C1467=DATE(2026,12,2),"机构午餐","无统一供餐"),"差旅状态；无统一日程"))))))</f>
        <v/>
      </c>
      <c r="E1467" s="13">
        <f>IF(C1467=Options!$B$9,Options!$C$18,0)</f>
        <v/>
      </c>
      <c r="F1467" s="13">
        <f>IF(AND(A1467&lt;&gt;"",C1467&lt;Options!$B$10),B1467*Options!$X$7,0)</f>
        <v/>
      </c>
      <c r="G1467" s="13">
        <f>F1467*12%</f>
        <v/>
      </c>
      <c r="H1467" s="13">
        <f>IF(A1467="",0,B1467*(86*IF(OR(C1467=Options!$B$9,C1467=Options!$B$10),75%,100%)-IF(C1467=DATE(2026,11,29),23+IF(Options!$B$8="是",22,0),0)-IF(C1467=DATE(2026,11,30),23,0)-IF(C1467=DATE(2026,12,1),59,0)-IF(C1467=DATE(2026,11,28),36,0)-IF(C1467=DATE(2026,12,2),23,0)))</f>
        <v/>
      </c>
      <c r="I1467" s="13">
        <f>IF(AND(C1467&gt;=DATE(2026,11,29),C1467&lt;=DATE(2026,12,1)),B1467*60,0)</f>
        <v/>
      </c>
      <c r="J1467" s="13">
        <f>IF(A1467="",0,B1467*(IF(C1467=DATE(2026,11,28),36,0)+IF(C1467=DATE(2026,12,1),36,0)+IF(C1467=DATE(2026,12,2),23,0)))</f>
        <v/>
      </c>
      <c r="K1467" s="13">
        <f>IF(C1467=Options!$B$9,B1467*12,0)</f>
        <v/>
      </c>
      <c r="L1467" s="13">
        <f>IF(C1467=Options!$B$9,B1467*Options!$Z$7,0)</f>
        <v/>
      </c>
      <c r="M1467" s="13" t="n">
        <v>0</v>
      </c>
      <c r="N1467" s="13">
        <f>SUM(E1467:M1467)</f>
        <v/>
      </c>
    </row>
    <row r="1468">
      <c r="A1468" s="5">
        <f>IF(AND(C1468&gt;=Options!$B$9,C1468&lt;=Options!$B$10),"Phoenix","")</f>
        <v/>
      </c>
      <c r="B1468" s="5">
        <f>IF(A1468="","",18)</f>
        <v/>
      </c>
      <c r="C1468" s="17" t="n">
        <v>46299</v>
      </c>
      <c r="D1468" s="5">
        <f>IF(A1468="","",IF(C1468=DATE(2026,11,29),"培训；注册午餐；早餐参数",IF(C1468=DATE(2026,11,30),"培训；注册午餐",IF(C1468=DATE(2026,12,1),"培训；注册午餐；机构晚餐",IF(C1468=Options!$B$9,"抵达；"&amp;IF(C1468=DATE(2026,11,28),"机构晚餐","无统一供餐"),IF(C1468=Options!$B$10,"返程；"&amp;IF(C1468=DATE(2026,12,2),"机构午餐","无统一供餐"),"差旅状态；无统一日程"))))))</f>
        <v/>
      </c>
      <c r="E1468" s="13">
        <f>IF(C1468=Options!$B$9,Options!$C$18,0)</f>
        <v/>
      </c>
      <c r="F1468" s="13">
        <f>IF(AND(A1468&lt;&gt;"",C1468&lt;Options!$B$10),B1468*Options!$X$7,0)</f>
        <v/>
      </c>
      <c r="G1468" s="13">
        <f>F1468*12%</f>
        <v/>
      </c>
      <c r="H1468" s="13">
        <f>IF(A1468="",0,B1468*(86*IF(OR(C1468=Options!$B$9,C1468=Options!$B$10),75%,100%)-IF(C1468=DATE(2026,11,29),23+IF(Options!$B$8="是",22,0),0)-IF(C1468=DATE(2026,11,30),23,0)-IF(C1468=DATE(2026,12,1),59,0)-IF(C1468=DATE(2026,11,28),36,0)-IF(C1468=DATE(2026,12,2),23,0)))</f>
        <v/>
      </c>
      <c r="I1468" s="13">
        <f>IF(AND(C1468&gt;=DATE(2026,11,29),C1468&lt;=DATE(2026,12,1)),B1468*60,0)</f>
        <v/>
      </c>
      <c r="J1468" s="13">
        <f>IF(A1468="",0,B1468*(IF(C1468=DATE(2026,11,28),36,0)+IF(C1468=DATE(2026,12,1),36,0)+IF(C1468=DATE(2026,12,2),23,0)))</f>
        <v/>
      </c>
      <c r="K1468" s="13">
        <f>IF(C1468=Options!$B$9,B1468*12,0)</f>
        <v/>
      </c>
      <c r="L1468" s="13">
        <f>IF(C1468=Options!$B$9,B1468*Options!$Z$7,0)</f>
        <v/>
      </c>
      <c r="M1468" s="13" t="n">
        <v>0</v>
      </c>
      <c r="N1468" s="13">
        <f>SUM(E1468:M1468)</f>
        <v/>
      </c>
    </row>
    <row r="1469">
      <c r="A1469" s="5">
        <f>IF(AND(C1469&gt;=Options!$B$9,C1469&lt;=Options!$B$10),"Phoenix","")</f>
        <v/>
      </c>
      <c r="B1469" s="5">
        <f>IF(A1469="","",18)</f>
        <v/>
      </c>
      <c r="C1469" s="17" t="n">
        <v>46300</v>
      </c>
      <c r="D1469" s="5">
        <f>IF(A1469="","",IF(C1469=DATE(2026,11,29),"培训；注册午餐；早餐参数",IF(C1469=DATE(2026,11,30),"培训；注册午餐",IF(C1469=DATE(2026,12,1),"培训；注册午餐；机构晚餐",IF(C1469=Options!$B$9,"抵达；"&amp;IF(C1469=DATE(2026,11,28),"机构晚餐","无统一供餐"),IF(C1469=Options!$B$10,"返程；"&amp;IF(C1469=DATE(2026,12,2),"机构午餐","无统一供餐"),"差旅状态；无统一日程"))))))</f>
        <v/>
      </c>
      <c r="E1469" s="13">
        <f>IF(C1469=Options!$B$9,Options!$C$18,0)</f>
        <v/>
      </c>
      <c r="F1469" s="13">
        <f>IF(AND(A1469&lt;&gt;"",C1469&lt;Options!$B$10),B1469*Options!$X$7,0)</f>
        <v/>
      </c>
      <c r="G1469" s="13">
        <f>F1469*12%</f>
        <v/>
      </c>
      <c r="H1469" s="13">
        <f>IF(A1469="",0,B1469*(86*IF(OR(C1469=Options!$B$9,C1469=Options!$B$10),75%,100%)-IF(C1469=DATE(2026,11,29),23+IF(Options!$B$8="是",22,0),0)-IF(C1469=DATE(2026,11,30),23,0)-IF(C1469=DATE(2026,12,1),59,0)-IF(C1469=DATE(2026,11,28),36,0)-IF(C1469=DATE(2026,12,2),23,0)))</f>
        <v/>
      </c>
      <c r="I1469" s="13">
        <f>IF(AND(C1469&gt;=DATE(2026,11,29),C1469&lt;=DATE(2026,12,1)),B1469*60,0)</f>
        <v/>
      </c>
      <c r="J1469" s="13">
        <f>IF(A1469="",0,B1469*(IF(C1469=DATE(2026,11,28),36,0)+IF(C1469=DATE(2026,12,1),36,0)+IF(C1469=DATE(2026,12,2),23,0)))</f>
        <v/>
      </c>
      <c r="K1469" s="13">
        <f>IF(C1469=Options!$B$9,B1469*12,0)</f>
        <v/>
      </c>
      <c r="L1469" s="13">
        <f>IF(C1469=Options!$B$9,B1469*Options!$Z$7,0)</f>
        <v/>
      </c>
      <c r="M1469" s="13" t="n">
        <v>0</v>
      </c>
      <c r="N1469" s="13">
        <f>SUM(E1469:M1469)</f>
        <v/>
      </c>
    </row>
    <row r="1470">
      <c r="A1470" s="5">
        <f>IF(AND(C1470&gt;=Options!$B$9,C1470&lt;=Options!$B$10),"Phoenix","")</f>
        <v/>
      </c>
      <c r="B1470" s="5">
        <f>IF(A1470="","",18)</f>
        <v/>
      </c>
      <c r="C1470" s="17" t="n">
        <v>46301</v>
      </c>
      <c r="D1470" s="5">
        <f>IF(A1470="","",IF(C1470=DATE(2026,11,29),"培训；注册午餐；早餐参数",IF(C1470=DATE(2026,11,30),"培训；注册午餐",IF(C1470=DATE(2026,12,1),"培训；注册午餐；机构晚餐",IF(C1470=Options!$B$9,"抵达；"&amp;IF(C1470=DATE(2026,11,28),"机构晚餐","无统一供餐"),IF(C1470=Options!$B$10,"返程；"&amp;IF(C1470=DATE(2026,12,2),"机构午餐","无统一供餐"),"差旅状态；无统一日程"))))))</f>
        <v/>
      </c>
      <c r="E1470" s="13">
        <f>IF(C1470=Options!$B$9,Options!$C$18,0)</f>
        <v/>
      </c>
      <c r="F1470" s="13">
        <f>IF(AND(A1470&lt;&gt;"",C1470&lt;Options!$B$10),B1470*Options!$X$7,0)</f>
        <v/>
      </c>
      <c r="G1470" s="13">
        <f>F1470*12%</f>
        <v/>
      </c>
      <c r="H1470" s="13">
        <f>IF(A1470="",0,B1470*(86*IF(OR(C1470=Options!$B$9,C1470=Options!$B$10),75%,100%)-IF(C1470=DATE(2026,11,29),23+IF(Options!$B$8="是",22,0),0)-IF(C1470=DATE(2026,11,30),23,0)-IF(C1470=DATE(2026,12,1),59,0)-IF(C1470=DATE(2026,11,28),36,0)-IF(C1470=DATE(2026,12,2),23,0)))</f>
        <v/>
      </c>
      <c r="I1470" s="13">
        <f>IF(AND(C1470&gt;=DATE(2026,11,29),C1470&lt;=DATE(2026,12,1)),B1470*60,0)</f>
        <v/>
      </c>
      <c r="J1470" s="13">
        <f>IF(A1470="",0,B1470*(IF(C1470=DATE(2026,11,28),36,0)+IF(C1470=DATE(2026,12,1),36,0)+IF(C1470=DATE(2026,12,2),23,0)))</f>
        <v/>
      </c>
      <c r="K1470" s="13">
        <f>IF(C1470=Options!$B$9,B1470*12,0)</f>
        <v/>
      </c>
      <c r="L1470" s="13">
        <f>IF(C1470=Options!$B$9,B1470*Options!$Z$7,0)</f>
        <v/>
      </c>
      <c r="M1470" s="13" t="n">
        <v>0</v>
      </c>
      <c r="N1470" s="13">
        <f>SUM(E1470:M1470)</f>
        <v/>
      </c>
    </row>
    <row r="1471">
      <c r="A1471" s="5">
        <f>IF(AND(C1471&gt;=Options!$B$9,C1471&lt;=Options!$B$10),"Phoenix","")</f>
        <v/>
      </c>
      <c r="B1471" s="5">
        <f>IF(A1471="","",18)</f>
        <v/>
      </c>
      <c r="C1471" s="17" t="n">
        <v>46302</v>
      </c>
      <c r="D1471" s="5">
        <f>IF(A1471="","",IF(C1471=DATE(2026,11,29),"培训；注册午餐；早餐参数",IF(C1471=DATE(2026,11,30),"培训；注册午餐",IF(C1471=DATE(2026,12,1),"培训；注册午餐；机构晚餐",IF(C1471=Options!$B$9,"抵达；"&amp;IF(C1471=DATE(2026,11,28),"机构晚餐","无统一供餐"),IF(C1471=Options!$B$10,"返程；"&amp;IF(C1471=DATE(2026,12,2),"机构午餐","无统一供餐"),"差旅状态；无统一日程"))))))</f>
        <v/>
      </c>
      <c r="E1471" s="13">
        <f>IF(C1471=Options!$B$9,Options!$C$18,0)</f>
        <v/>
      </c>
      <c r="F1471" s="13">
        <f>IF(AND(A1471&lt;&gt;"",C1471&lt;Options!$B$10),B1471*Options!$X$7,0)</f>
        <v/>
      </c>
      <c r="G1471" s="13">
        <f>F1471*12%</f>
        <v/>
      </c>
      <c r="H1471" s="13">
        <f>IF(A1471="",0,B1471*(86*IF(OR(C1471=Options!$B$9,C1471=Options!$B$10),75%,100%)-IF(C1471=DATE(2026,11,29),23+IF(Options!$B$8="是",22,0),0)-IF(C1471=DATE(2026,11,30),23,0)-IF(C1471=DATE(2026,12,1),59,0)-IF(C1471=DATE(2026,11,28),36,0)-IF(C1471=DATE(2026,12,2),23,0)))</f>
        <v/>
      </c>
      <c r="I1471" s="13">
        <f>IF(AND(C1471&gt;=DATE(2026,11,29),C1471&lt;=DATE(2026,12,1)),B1471*60,0)</f>
        <v/>
      </c>
      <c r="J1471" s="13">
        <f>IF(A1471="",0,B1471*(IF(C1471=DATE(2026,11,28),36,0)+IF(C1471=DATE(2026,12,1),36,0)+IF(C1471=DATE(2026,12,2),23,0)))</f>
        <v/>
      </c>
      <c r="K1471" s="13">
        <f>IF(C1471=Options!$B$9,B1471*12,0)</f>
        <v/>
      </c>
      <c r="L1471" s="13">
        <f>IF(C1471=Options!$B$9,B1471*Options!$Z$7,0)</f>
        <v/>
      </c>
      <c r="M1471" s="13" t="n">
        <v>0</v>
      </c>
      <c r="N1471" s="13">
        <f>SUM(E1471:M1471)</f>
        <v/>
      </c>
    </row>
    <row r="1472">
      <c r="A1472" s="5">
        <f>IF(AND(C1472&gt;=Options!$B$9,C1472&lt;=Options!$B$10),"Phoenix","")</f>
        <v/>
      </c>
      <c r="B1472" s="5">
        <f>IF(A1472="","",18)</f>
        <v/>
      </c>
      <c r="C1472" s="17" t="n">
        <v>46303</v>
      </c>
      <c r="D1472" s="5">
        <f>IF(A1472="","",IF(C1472=DATE(2026,11,29),"培训；注册午餐；早餐参数",IF(C1472=DATE(2026,11,30),"培训；注册午餐",IF(C1472=DATE(2026,12,1),"培训；注册午餐；机构晚餐",IF(C1472=Options!$B$9,"抵达；"&amp;IF(C1472=DATE(2026,11,28),"机构晚餐","无统一供餐"),IF(C1472=Options!$B$10,"返程；"&amp;IF(C1472=DATE(2026,12,2),"机构午餐","无统一供餐"),"差旅状态；无统一日程"))))))</f>
        <v/>
      </c>
      <c r="E1472" s="13">
        <f>IF(C1472=Options!$B$9,Options!$C$18,0)</f>
        <v/>
      </c>
      <c r="F1472" s="13">
        <f>IF(AND(A1472&lt;&gt;"",C1472&lt;Options!$B$10),B1472*Options!$X$7,0)</f>
        <v/>
      </c>
      <c r="G1472" s="13">
        <f>F1472*12%</f>
        <v/>
      </c>
      <c r="H1472" s="13">
        <f>IF(A1472="",0,B1472*(86*IF(OR(C1472=Options!$B$9,C1472=Options!$B$10),75%,100%)-IF(C1472=DATE(2026,11,29),23+IF(Options!$B$8="是",22,0),0)-IF(C1472=DATE(2026,11,30),23,0)-IF(C1472=DATE(2026,12,1),59,0)-IF(C1472=DATE(2026,11,28),36,0)-IF(C1472=DATE(2026,12,2),23,0)))</f>
        <v/>
      </c>
      <c r="I1472" s="13">
        <f>IF(AND(C1472&gt;=DATE(2026,11,29),C1472&lt;=DATE(2026,12,1)),B1472*60,0)</f>
        <v/>
      </c>
      <c r="J1472" s="13">
        <f>IF(A1472="",0,B1472*(IF(C1472=DATE(2026,11,28),36,0)+IF(C1472=DATE(2026,12,1),36,0)+IF(C1472=DATE(2026,12,2),23,0)))</f>
        <v/>
      </c>
      <c r="K1472" s="13">
        <f>IF(C1472=Options!$B$9,B1472*12,0)</f>
        <v/>
      </c>
      <c r="L1472" s="13">
        <f>IF(C1472=Options!$B$9,B1472*Options!$Z$7,0)</f>
        <v/>
      </c>
      <c r="M1472" s="13" t="n">
        <v>0</v>
      </c>
      <c r="N1472" s="13">
        <f>SUM(E1472:M1472)</f>
        <v/>
      </c>
    </row>
    <row r="1473">
      <c r="A1473" s="5">
        <f>IF(AND(C1473&gt;=Options!$B$9,C1473&lt;=Options!$B$10),"Phoenix","")</f>
        <v/>
      </c>
      <c r="B1473" s="5">
        <f>IF(A1473="","",18)</f>
        <v/>
      </c>
      <c r="C1473" s="17" t="n">
        <v>46304</v>
      </c>
      <c r="D1473" s="5">
        <f>IF(A1473="","",IF(C1473=DATE(2026,11,29),"培训；注册午餐；早餐参数",IF(C1473=DATE(2026,11,30),"培训；注册午餐",IF(C1473=DATE(2026,12,1),"培训；注册午餐；机构晚餐",IF(C1473=Options!$B$9,"抵达；"&amp;IF(C1473=DATE(2026,11,28),"机构晚餐","无统一供餐"),IF(C1473=Options!$B$10,"返程；"&amp;IF(C1473=DATE(2026,12,2),"机构午餐","无统一供餐"),"差旅状态；无统一日程"))))))</f>
        <v/>
      </c>
      <c r="E1473" s="13">
        <f>IF(C1473=Options!$B$9,Options!$C$18,0)</f>
        <v/>
      </c>
      <c r="F1473" s="13">
        <f>IF(AND(A1473&lt;&gt;"",C1473&lt;Options!$B$10),B1473*Options!$X$7,0)</f>
        <v/>
      </c>
      <c r="G1473" s="13">
        <f>F1473*12%</f>
        <v/>
      </c>
      <c r="H1473" s="13">
        <f>IF(A1473="",0,B1473*(86*IF(OR(C1473=Options!$B$9,C1473=Options!$B$10),75%,100%)-IF(C1473=DATE(2026,11,29),23+IF(Options!$B$8="是",22,0),0)-IF(C1473=DATE(2026,11,30),23,0)-IF(C1473=DATE(2026,12,1),59,0)-IF(C1473=DATE(2026,11,28),36,0)-IF(C1473=DATE(2026,12,2),23,0)))</f>
        <v/>
      </c>
      <c r="I1473" s="13">
        <f>IF(AND(C1473&gt;=DATE(2026,11,29),C1473&lt;=DATE(2026,12,1)),B1473*60,0)</f>
        <v/>
      </c>
      <c r="J1473" s="13">
        <f>IF(A1473="",0,B1473*(IF(C1473=DATE(2026,11,28),36,0)+IF(C1473=DATE(2026,12,1),36,0)+IF(C1473=DATE(2026,12,2),23,0)))</f>
        <v/>
      </c>
      <c r="K1473" s="13">
        <f>IF(C1473=Options!$B$9,B1473*12,0)</f>
        <v/>
      </c>
      <c r="L1473" s="13">
        <f>IF(C1473=Options!$B$9,B1473*Options!$Z$7,0)</f>
        <v/>
      </c>
      <c r="M1473" s="13" t="n">
        <v>0</v>
      </c>
      <c r="N1473" s="13">
        <f>SUM(E1473:M1473)</f>
        <v/>
      </c>
    </row>
    <row r="1474">
      <c r="A1474" s="5">
        <f>IF(AND(C1474&gt;=Options!$B$9,C1474&lt;=Options!$B$10),"Phoenix","")</f>
        <v/>
      </c>
      <c r="B1474" s="5">
        <f>IF(A1474="","",18)</f>
        <v/>
      </c>
      <c r="C1474" s="17" t="n">
        <v>46305</v>
      </c>
      <c r="D1474" s="5">
        <f>IF(A1474="","",IF(C1474=DATE(2026,11,29),"培训；注册午餐；早餐参数",IF(C1474=DATE(2026,11,30),"培训；注册午餐",IF(C1474=DATE(2026,12,1),"培训；注册午餐；机构晚餐",IF(C1474=Options!$B$9,"抵达；"&amp;IF(C1474=DATE(2026,11,28),"机构晚餐","无统一供餐"),IF(C1474=Options!$B$10,"返程；"&amp;IF(C1474=DATE(2026,12,2),"机构午餐","无统一供餐"),"差旅状态；无统一日程"))))))</f>
        <v/>
      </c>
      <c r="E1474" s="13">
        <f>IF(C1474=Options!$B$9,Options!$C$18,0)</f>
        <v/>
      </c>
      <c r="F1474" s="13">
        <f>IF(AND(A1474&lt;&gt;"",C1474&lt;Options!$B$10),B1474*Options!$X$7,0)</f>
        <v/>
      </c>
      <c r="G1474" s="13">
        <f>F1474*12%</f>
        <v/>
      </c>
      <c r="H1474" s="13">
        <f>IF(A1474="",0,B1474*(86*IF(OR(C1474=Options!$B$9,C1474=Options!$B$10),75%,100%)-IF(C1474=DATE(2026,11,29),23+IF(Options!$B$8="是",22,0),0)-IF(C1474=DATE(2026,11,30),23,0)-IF(C1474=DATE(2026,12,1),59,0)-IF(C1474=DATE(2026,11,28),36,0)-IF(C1474=DATE(2026,12,2),23,0)))</f>
        <v/>
      </c>
      <c r="I1474" s="13">
        <f>IF(AND(C1474&gt;=DATE(2026,11,29),C1474&lt;=DATE(2026,12,1)),B1474*60,0)</f>
        <v/>
      </c>
      <c r="J1474" s="13">
        <f>IF(A1474="",0,B1474*(IF(C1474=DATE(2026,11,28),36,0)+IF(C1474=DATE(2026,12,1),36,0)+IF(C1474=DATE(2026,12,2),23,0)))</f>
        <v/>
      </c>
      <c r="K1474" s="13">
        <f>IF(C1474=Options!$B$9,B1474*12,0)</f>
        <v/>
      </c>
      <c r="L1474" s="13">
        <f>IF(C1474=Options!$B$9,B1474*Options!$Z$7,0)</f>
        <v/>
      </c>
      <c r="M1474" s="13" t="n">
        <v>0</v>
      </c>
      <c r="N1474" s="13">
        <f>SUM(E1474:M1474)</f>
        <v/>
      </c>
    </row>
    <row r="1475">
      <c r="A1475" s="5">
        <f>IF(AND(C1475&gt;=Options!$B$9,C1475&lt;=Options!$B$10),"Phoenix","")</f>
        <v/>
      </c>
      <c r="B1475" s="5">
        <f>IF(A1475="","",18)</f>
        <v/>
      </c>
      <c r="C1475" s="17" t="n">
        <v>46306</v>
      </c>
      <c r="D1475" s="5">
        <f>IF(A1475="","",IF(C1475=DATE(2026,11,29),"培训；注册午餐；早餐参数",IF(C1475=DATE(2026,11,30),"培训；注册午餐",IF(C1475=DATE(2026,12,1),"培训；注册午餐；机构晚餐",IF(C1475=Options!$B$9,"抵达；"&amp;IF(C1475=DATE(2026,11,28),"机构晚餐","无统一供餐"),IF(C1475=Options!$B$10,"返程；"&amp;IF(C1475=DATE(2026,12,2),"机构午餐","无统一供餐"),"差旅状态；无统一日程"))))))</f>
        <v/>
      </c>
      <c r="E1475" s="13">
        <f>IF(C1475=Options!$B$9,Options!$C$18,0)</f>
        <v/>
      </c>
      <c r="F1475" s="13">
        <f>IF(AND(A1475&lt;&gt;"",C1475&lt;Options!$B$10),B1475*Options!$X$7,0)</f>
        <v/>
      </c>
      <c r="G1475" s="13">
        <f>F1475*12%</f>
        <v/>
      </c>
      <c r="H1475" s="13">
        <f>IF(A1475="",0,B1475*(86*IF(OR(C1475=Options!$B$9,C1475=Options!$B$10),75%,100%)-IF(C1475=DATE(2026,11,29),23+IF(Options!$B$8="是",22,0),0)-IF(C1475=DATE(2026,11,30),23,0)-IF(C1475=DATE(2026,12,1),59,0)-IF(C1475=DATE(2026,11,28),36,0)-IF(C1475=DATE(2026,12,2),23,0)))</f>
        <v/>
      </c>
      <c r="I1475" s="13">
        <f>IF(AND(C1475&gt;=DATE(2026,11,29),C1475&lt;=DATE(2026,12,1)),B1475*60,0)</f>
        <v/>
      </c>
      <c r="J1475" s="13">
        <f>IF(A1475="",0,B1475*(IF(C1475=DATE(2026,11,28),36,0)+IF(C1475=DATE(2026,12,1),36,0)+IF(C1475=DATE(2026,12,2),23,0)))</f>
        <v/>
      </c>
      <c r="K1475" s="13">
        <f>IF(C1475=Options!$B$9,B1475*12,0)</f>
        <v/>
      </c>
      <c r="L1475" s="13">
        <f>IF(C1475=Options!$B$9,B1475*Options!$Z$7,0)</f>
        <v/>
      </c>
      <c r="M1475" s="13" t="n">
        <v>0</v>
      </c>
      <c r="N1475" s="13">
        <f>SUM(E1475:M1475)</f>
        <v/>
      </c>
    </row>
    <row r="1476">
      <c r="A1476" s="5">
        <f>IF(AND(C1476&gt;=Options!$B$9,C1476&lt;=Options!$B$10),"Phoenix","")</f>
        <v/>
      </c>
      <c r="B1476" s="5">
        <f>IF(A1476="","",18)</f>
        <v/>
      </c>
      <c r="C1476" s="17" t="n">
        <v>46307</v>
      </c>
      <c r="D1476" s="5">
        <f>IF(A1476="","",IF(C1476=DATE(2026,11,29),"培训；注册午餐；早餐参数",IF(C1476=DATE(2026,11,30),"培训；注册午餐",IF(C1476=DATE(2026,12,1),"培训；注册午餐；机构晚餐",IF(C1476=Options!$B$9,"抵达；"&amp;IF(C1476=DATE(2026,11,28),"机构晚餐","无统一供餐"),IF(C1476=Options!$B$10,"返程；"&amp;IF(C1476=DATE(2026,12,2),"机构午餐","无统一供餐"),"差旅状态；无统一日程"))))))</f>
        <v/>
      </c>
      <c r="E1476" s="13">
        <f>IF(C1476=Options!$B$9,Options!$C$18,0)</f>
        <v/>
      </c>
      <c r="F1476" s="13">
        <f>IF(AND(A1476&lt;&gt;"",C1476&lt;Options!$B$10),B1476*Options!$X$7,0)</f>
        <v/>
      </c>
      <c r="G1476" s="13">
        <f>F1476*12%</f>
        <v/>
      </c>
      <c r="H1476" s="13">
        <f>IF(A1476="",0,B1476*(86*IF(OR(C1476=Options!$B$9,C1476=Options!$B$10),75%,100%)-IF(C1476=DATE(2026,11,29),23+IF(Options!$B$8="是",22,0),0)-IF(C1476=DATE(2026,11,30),23,0)-IF(C1476=DATE(2026,12,1),59,0)-IF(C1476=DATE(2026,11,28),36,0)-IF(C1476=DATE(2026,12,2),23,0)))</f>
        <v/>
      </c>
      <c r="I1476" s="13">
        <f>IF(AND(C1476&gt;=DATE(2026,11,29),C1476&lt;=DATE(2026,12,1)),B1476*60,0)</f>
        <v/>
      </c>
      <c r="J1476" s="13">
        <f>IF(A1476="",0,B1476*(IF(C1476=DATE(2026,11,28),36,0)+IF(C1476=DATE(2026,12,1),36,0)+IF(C1476=DATE(2026,12,2),23,0)))</f>
        <v/>
      </c>
      <c r="K1476" s="13">
        <f>IF(C1476=Options!$B$9,B1476*12,0)</f>
        <v/>
      </c>
      <c r="L1476" s="13">
        <f>IF(C1476=Options!$B$9,B1476*Options!$Z$7,0)</f>
        <v/>
      </c>
      <c r="M1476" s="13" t="n">
        <v>0</v>
      </c>
      <c r="N1476" s="13">
        <f>SUM(E1476:M1476)</f>
        <v/>
      </c>
    </row>
    <row r="1477">
      <c r="A1477" s="5">
        <f>IF(AND(C1477&gt;=Options!$B$9,C1477&lt;=Options!$B$10),"Phoenix","")</f>
        <v/>
      </c>
      <c r="B1477" s="5">
        <f>IF(A1477="","",18)</f>
        <v/>
      </c>
      <c r="C1477" s="17" t="n">
        <v>46308</v>
      </c>
      <c r="D1477" s="5">
        <f>IF(A1477="","",IF(C1477=DATE(2026,11,29),"培训；注册午餐；早餐参数",IF(C1477=DATE(2026,11,30),"培训；注册午餐",IF(C1477=DATE(2026,12,1),"培训；注册午餐；机构晚餐",IF(C1477=Options!$B$9,"抵达；"&amp;IF(C1477=DATE(2026,11,28),"机构晚餐","无统一供餐"),IF(C1477=Options!$B$10,"返程；"&amp;IF(C1477=DATE(2026,12,2),"机构午餐","无统一供餐"),"差旅状态；无统一日程"))))))</f>
        <v/>
      </c>
      <c r="E1477" s="13">
        <f>IF(C1477=Options!$B$9,Options!$C$18,0)</f>
        <v/>
      </c>
      <c r="F1477" s="13">
        <f>IF(AND(A1477&lt;&gt;"",C1477&lt;Options!$B$10),B1477*Options!$X$7,0)</f>
        <v/>
      </c>
      <c r="G1477" s="13">
        <f>F1477*12%</f>
        <v/>
      </c>
      <c r="H1477" s="13">
        <f>IF(A1477="",0,B1477*(86*IF(OR(C1477=Options!$B$9,C1477=Options!$B$10),75%,100%)-IF(C1477=DATE(2026,11,29),23+IF(Options!$B$8="是",22,0),0)-IF(C1477=DATE(2026,11,30),23,0)-IF(C1477=DATE(2026,12,1),59,0)-IF(C1477=DATE(2026,11,28),36,0)-IF(C1477=DATE(2026,12,2),23,0)))</f>
        <v/>
      </c>
      <c r="I1477" s="13">
        <f>IF(AND(C1477&gt;=DATE(2026,11,29),C1477&lt;=DATE(2026,12,1)),B1477*60,0)</f>
        <v/>
      </c>
      <c r="J1477" s="13">
        <f>IF(A1477="",0,B1477*(IF(C1477=DATE(2026,11,28),36,0)+IF(C1477=DATE(2026,12,1),36,0)+IF(C1477=DATE(2026,12,2),23,0)))</f>
        <v/>
      </c>
      <c r="K1477" s="13">
        <f>IF(C1477=Options!$B$9,B1477*12,0)</f>
        <v/>
      </c>
      <c r="L1477" s="13">
        <f>IF(C1477=Options!$B$9,B1477*Options!$Z$7,0)</f>
        <v/>
      </c>
      <c r="M1477" s="13" t="n">
        <v>0</v>
      </c>
      <c r="N1477" s="13">
        <f>SUM(E1477:M1477)</f>
        <v/>
      </c>
    </row>
    <row r="1478">
      <c r="A1478" s="5">
        <f>IF(AND(C1478&gt;=Options!$B$9,C1478&lt;=Options!$B$10),"Phoenix","")</f>
        <v/>
      </c>
      <c r="B1478" s="5">
        <f>IF(A1478="","",18)</f>
        <v/>
      </c>
      <c r="C1478" s="17" t="n">
        <v>46309</v>
      </c>
      <c r="D1478" s="5">
        <f>IF(A1478="","",IF(C1478=DATE(2026,11,29),"培训；注册午餐；早餐参数",IF(C1478=DATE(2026,11,30),"培训；注册午餐",IF(C1478=DATE(2026,12,1),"培训；注册午餐；机构晚餐",IF(C1478=Options!$B$9,"抵达；"&amp;IF(C1478=DATE(2026,11,28),"机构晚餐","无统一供餐"),IF(C1478=Options!$B$10,"返程；"&amp;IF(C1478=DATE(2026,12,2),"机构午餐","无统一供餐"),"差旅状态；无统一日程"))))))</f>
        <v/>
      </c>
      <c r="E1478" s="13">
        <f>IF(C1478=Options!$B$9,Options!$C$18,0)</f>
        <v/>
      </c>
      <c r="F1478" s="13">
        <f>IF(AND(A1478&lt;&gt;"",C1478&lt;Options!$B$10),B1478*Options!$X$7,0)</f>
        <v/>
      </c>
      <c r="G1478" s="13">
        <f>F1478*12%</f>
        <v/>
      </c>
      <c r="H1478" s="13">
        <f>IF(A1478="",0,B1478*(86*IF(OR(C1478=Options!$B$9,C1478=Options!$B$10),75%,100%)-IF(C1478=DATE(2026,11,29),23+IF(Options!$B$8="是",22,0),0)-IF(C1478=DATE(2026,11,30),23,0)-IF(C1478=DATE(2026,12,1),59,0)-IF(C1478=DATE(2026,11,28),36,0)-IF(C1478=DATE(2026,12,2),23,0)))</f>
        <v/>
      </c>
      <c r="I1478" s="13">
        <f>IF(AND(C1478&gt;=DATE(2026,11,29),C1478&lt;=DATE(2026,12,1)),B1478*60,0)</f>
        <v/>
      </c>
      <c r="J1478" s="13">
        <f>IF(A1478="",0,B1478*(IF(C1478=DATE(2026,11,28),36,0)+IF(C1478=DATE(2026,12,1),36,0)+IF(C1478=DATE(2026,12,2),23,0)))</f>
        <v/>
      </c>
      <c r="K1478" s="13">
        <f>IF(C1478=Options!$B$9,B1478*12,0)</f>
        <v/>
      </c>
      <c r="L1478" s="13">
        <f>IF(C1478=Options!$B$9,B1478*Options!$Z$7,0)</f>
        <v/>
      </c>
      <c r="M1478" s="13" t="n">
        <v>0</v>
      </c>
      <c r="N1478" s="13">
        <f>SUM(E1478:M1478)</f>
        <v/>
      </c>
    </row>
    <row r="1479">
      <c r="A1479" s="5">
        <f>IF(AND(C1479&gt;=Options!$B$9,C1479&lt;=Options!$B$10),"Phoenix","")</f>
        <v/>
      </c>
      <c r="B1479" s="5">
        <f>IF(A1479="","",18)</f>
        <v/>
      </c>
      <c r="C1479" s="17" t="n">
        <v>46310</v>
      </c>
      <c r="D1479" s="5">
        <f>IF(A1479="","",IF(C1479=DATE(2026,11,29),"培训；注册午餐；早餐参数",IF(C1479=DATE(2026,11,30),"培训；注册午餐",IF(C1479=DATE(2026,12,1),"培训；注册午餐；机构晚餐",IF(C1479=Options!$B$9,"抵达；"&amp;IF(C1479=DATE(2026,11,28),"机构晚餐","无统一供餐"),IF(C1479=Options!$B$10,"返程；"&amp;IF(C1479=DATE(2026,12,2),"机构午餐","无统一供餐"),"差旅状态；无统一日程"))))))</f>
        <v/>
      </c>
      <c r="E1479" s="13">
        <f>IF(C1479=Options!$B$9,Options!$C$18,0)</f>
        <v/>
      </c>
      <c r="F1479" s="13">
        <f>IF(AND(A1479&lt;&gt;"",C1479&lt;Options!$B$10),B1479*Options!$X$7,0)</f>
        <v/>
      </c>
      <c r="G1479" s="13">
        <f>F1479*12%</f>
        <v/>
      </c>
      <c r="H1479" s="13">
        <f>IF(A1479="",0,B1479*(86*IF(OR(C1479=Options!$B$9,C1479=Options!$B$10),75%,100%)-IF(C1479=DATE(2026,11,29),23+IF(Options!$B$8="是",22,0),0)-IF(C1479=DATE(2026,11,30),23,0)-IF(C1479=DATE(2026,12,1),59,0)-IF(C1479=DATE(2026,11,28),36,0)-IF(C1479=DATE(2026,12,2),23,0)))</f>
        <v/>
      </c>
      <c r="I1479" s="13">
        <f>IF(AND(C1479&gt;=DATE(2026,11,29),C1479&lt;=DATE(2026,12,1)),B1479*60,0)</f>
        <v/>
      </c>
      <c r="J1479" s="13">
        <f>IF(A1479="",0,B1479*(IF(C1479=DATE(2026,11,28),36,0)+IF(C1479=DATE(2026,12,1),36,0)+IF(C1479=DATE(2026,12,2),23,0)))</f>
        <v/>
      </c>
      <c r="K1479" s="13">
        <f>IF(C1479=Options!$B$9,B1479*12,0)</f>
        <v/>
      </c>
      <c r="L1479" s="13">
        <f>IF(C1479=Options!$B$9,B1479*Options!$Z$7,0)</f>
        <v/>
      </c>
      <c r="M1479" s="13" t="n">
        <v>0</v>
      </c>
      <c r="N1479" s="13">
        <f>SUM(E1479:M1479)</f>
        <v/>
      </c>
    </row>
    <row r="1480">
      <c r="A1480" s="5">
        <f>IF(AND(C1480&gt;=Options!$B$9,C1480&lt;=Options!$B$10),"Phoenix","")</f>
        <v/>
      </c>
      <c r="B1480" s="5">
        <f>IF(A1480="","",18)</f>
        <v/>
      </c>
      <c r="C1480" s="17" t="n">
        <v>46311</v>
      </c>
      <c r="D1480" s="5">
        <f>IF(A1480="","",IF(C1480=DATE(2026,11,29),"培训；注册午餐；早餐参数",IF(C1480=DATE(2026,11,30),"培训；注册午餐",IF(C1480=DATE(2026,12,1),"培训；注册午餐；机构晚餐",IF(C1480=Options!$B$9,"抵达；"&amp;IF(C1480=DATE(2026,11,28),"机构晚餐","无统一供餐"),IF(C1480=Options!$B$10,"返程；"&amp;IF(C1480=DATE(2026,12,2),"机构午餐","无统一供餐"),"差旅状态；无统一日程"))))))</f>
        <v/>
      </c>
      <c r="E1480" s="13">
        <f>IF(C1480=Options!$B$9,Options!$C$18,0)</f>
        <v/>
      </c>
      <c r="F1480" s="13">
        <f>IF(AND(A1480&lt;&gt;"",C1480&lt;Options!$B$10),B1480*Options!$X$7,0)</f>
        <v/>
      </c>
      <c r="G1480" s="13">
        <f>F1480*12%</f>
        <v/>
      </c>
      <c r="H1480" s="13">
        <f>IF(A1480="",0,B1480*(86*IF(OR(C1480=Options!$B$9,C1480=Options!$B$10),75%,100%)-IF(C1480=DATE(2026,11,29),23+IF(Options!$B$8="是",22,0),0)-IF(C1480=DATE(2026,11,30),23,0)-IF(C1480=DATE(2026,12,1),59,0)-IF(C1480=DATE(2026,11,28),36,0)-IF(C1480=DATE(2026,12,2),23,0)))</f>
        <v/>
      </c>
      <c r="I1480" s="13">
        <f>IF(AND(C1480&gt;=DATE(2026,11,29),C1480&lt;=DATE(2026,12,1)),B1480*60,0)</f>
        <v/>
      </c>
      <c r="J1480" s="13">
        <f>IF(A1480="",0,B1480*(IF(C1480=DATE(2026,11,28),36,0)+IF(C1480=DATE(2026,12,1),36,0)+IF(C1480=DATE(2026,12,2),23,0)))</f>
        <v/>
      </c>
      <c r="K1480" s="13">
        <f>IF(C1480=Options!$B$9,B1480*12,0)</f>
        <v/>
      </c>
      <c r="L1480" s="13">
        <f>IF(C1480=Options!$B$9,B1480*Options!$Z$7,0)</f>
        <v/>
      </c>
      <c r="M1480" s="13" t="n">
        <v>0</v>
      </c>
      <c r="N1480" s="13">
        <f>SUM(E1480:M1480)</f>
        <v/>
      </c>
    </row>
    <row r="1481">
      <c r="A1481" s="5">
        <f>IF(AND(C1481&gt;=Options!$B$9,C1481&lt;=Options!$B$10),"Phoenix","")</f>
        <v/>
      </c>
      <c r="B1481" s="5">
        <f>IF(A1481="","",18)</f>
        <v/>
      </c>
      <c r="C1481" s="17" t="n">
        <v>46312</v>
      </c>
      <c r="D1481" s="5">
        <f>IF(A1481="","",IF(C1481=DATE(2026,11,29),"培训；注册午餐；早餐参数",IF(C1481=DATE(2026,11,30),"培训；注册午餐",IF(C1481=DATE(2026,12,1),"培训；注册午餐；机构晚餐",IF(C1481=Options!$B$9,"抵达；"&amp;IF(C1481=DATE(2026,11,28),"机构晚餐","无统一供餐"),IF(C1481=Options!$B$10,"返程；"&amp;IF(C1481=DATE(2026,12,2),"机构午餐","无统一供餐"),"差旅状态；无统一日程"))))))</f>
        <v/>
      </c>
      <c r="E1481" s="13">
        <f>IF(C1481=Options!$B$9,Options!$C$18,0)</f>
        <v/>
      </c>
      <c r="F1481" s="13">
        <f>IF(AND(A1481&lt;&gt;"",C1481&lt;Options!$B$10),B1481*Options!$X$7,0)</f>
        <v/>
      </c>
      <c r="G1481" s="13">
        <f>F1481*12%</f>
        <v/>
      </c>
      <c r="H1481" s="13">
        <f>IF(A1481="",0,B1481*(86*IF(OR(C1481=Options!$B$9,C1481=Options!$B$10),75%,100%)-IF(C1481=DATE(2026,11,29),23+IF(Options!$B$8="是",22,0),0)-IF(C1481=DATE(2026,11,30),23,0)-IF(C1481=DATE(2026,12,1),59,0)-IF(C1481=DATE(2026,11,28),36,0)-IF(C1481=DATE(2026,12,2),23,0)))</f>
        <v/>
      </c>
      <c r="I1481" s="13">
        <f>IF(AND(C1481&gt;=DATE(2026,11,29),C1481&lt;=DATE(2026,12,1)),B1481*60,0)</f>
        <v/>
      </c>
      <c r="J1481" s="13">
        <f>IF(A1481="",0,B1481*(IF(C1481=DATE(2026,11,28),36,0)+IF(C1481=DATE(2026,12,1),36,0)+IF(C1481=DATE(2026,12,2),23,0)))</f>
        <v/>
      </c>
      <c r="K1481" s="13">
        <f>IF(C1481=Options!$B$9,B1481*12,0)</f>
        <v/>
      </c>
      <c r="L1481" s="13">
        <f>IF(C1481=Options!$B$9,B1481*Options!$Z$7,0)</f>
        <v/>
      </c>
      <c r="M1481" s="13" t="n">
        <v>0</v>
      </c>
      <c r="N1481" s="13">
        <f>SUM(E1481:M1481)</f>
        <v/>
      </c>
    </row>
    <row r="1482">
      <c r="A1482" s="5">
        <f>IF(AND(C1482&gt;=Options!$B$9,C1482&lt;=Options!$B$10),"Phoenix","")</f>
        <v/>
      </c>
      <c r="B1482" s="5">
        <f>IF(A1482="","",18)</f>
        <v/>
      </c>
      <c r="C1482" s="17" t="n">
        <v>46313</v>
      </c>
      <c r="D1482" s="5">
        <f>IF(A1482="","",IF(C1482=DATE(2026,11,29),"培训；注册午餐；早餐参数",IF(C1482=DATE(2026,11,30),"培训；注册午餐",IF(C1482=DATE(2026,12,1),"培训；注册午餐；机构晚餐",IF(C1482=Options!$B$9,"抵达；"&amp;IF(C1482=DATE(2026,11,28),"机构晚餐","无统一供餐"),IF(C1482=Options!$B$10,"返程；"&amp;IF(C1482=DATE(2026,12,2),"机构午餐","无统一供餐"),"差旅状态；无统一日程"))))))</f>
        <v/>
      </c>
      <c r="E1482" s="13">
        <f>IF(C1482=Options!$B$9,Options!$C$18,0)</f>
        <v/>
      </c>
      <c r="F1482" s="13">
        <f>IF(AND(A1482&lt;&gt;"",C1482&lt;Options!$B$10),B1482*Options!$X$7,0)</f>
        <v/>
      </c>
      <c r="G1482" s="13">
        <f>F1482*12%</f>
        <v/>
      </c>
      <c r="H1482" s="13">
        <f>IF(A1482="",0,B1482*(86*IF(OR(C1482=Options!$B$9,C1482=Options!$B$10),75%,100%)-IF(C1482=DATE(2026,11,29),23+IF(Options!$B$8="是",22,0),0)-IF(C1482=DATE(2026,11,30),23,0)-IF(C1482=DATE(2026,12,1),59,0)-IF(C1482=DATE(2026,11,28),36,0)-IF(C1482=DATE(2026,12,2),23,0)))</f>
        <v/>
      </c>
      <c r="I1482" s="13">
        <f>IF(AND(C1482&gt;=DATE(2026,11,29),C1482&lt;=DATE(2026,12,1)),B1482*60,0)</f>
        <v/>
      </c>
      <c r="J1482" s="13">
        <f>IF(A1482="",0,B1482*(IF(C1482=DATE(2026,11,28),36,0)+IF(C1482=DATE(2026,12,1),36,0)+IF(C1482=DATE(2026,12,2),23,0)))</f>
        <v/>
      </c>
      <c r="K1482" s="13">
        <f>IF(C1482=Options!$B$9,B1482*12,0)</f>
        <v/>
      </c>
      <c r="L1482" s="13">
        <f>IF(C1482=Options!$B$9,B1482*Options!$Z$7,0)</f>
        <v/>
      </c>
      <c r="M1482" s="13" t="n">
        <v>0</v>
      </c>
      <c r="N1482" s="13">
        <f>SUM(E1482:M1482)</f>
        <v/>
      </c>
    </row>
    <row r="1483">
      <c r="A1483" s="5">
        <f>IF(AND(C1483&gt;=Options!$B$9,C1483&lt;=Options!$B$10),"Phoenix","")</f>
        <v/>
      </c>
      <c r="B1483" s="5">
        <f>IF(A1483="","",18)</f>
        <v/>
      </c>
      <c r="C1483" s="17" t="n">
        <v>46314</v>
      </c>
      <c r="D1483" s="5">
        <f>IF(A1483="","",IF(C1483=DATE(2026,11,29),"培训；注册午餐；早餐参数",IF(C1483=DATE(2026,11,30),"培训；注册午餐",IF(C1483=DATE(2026,12,1),"培训；注册午餐；机构晚餐",IF(C1483=Options!$B$9,"抵达；"&amp;IF(C1483=DATE(2026,11,28),"机构晚餐","无统一供餐"),IF(C1483=Options!$B$10,"返程；"&amp;IF(C1483=DATE(2026,12,2),"机构午餐","无统一供餐"),"差旅状态；无统一日程"))))))</f>
        <v/>
      </c>
      <c r="E1483" s="13">
        <f>IF(C1483=Options!$B$9,Options!$C$18,0)</f>
        <v/>
      </c>
      <c r="F1483" s="13">
        <f>IF(AND(A1483&lt;&gt;"",C1483&lt;Options!$B$10),B1483*Options!$X$7,0)</f>
        <v/>
      </c>
      <c r="G1483" s="13">
        <f>F1483*12%</f>
        <v/>
      </c>
      <c r="H1483" s="13">
        <f>IF(A1483="",0,B1483*(86*IF(OR(C1483=Options!$B$9,C1483=Options!$B$10),75%,100%)-IF(C1483=DATE(2026,11,29),23+IF(Options!$B$8="是",22,0),0)-IF(C1483=DATE(2026,11,30),23,0)-IF(C1483=DATE(2026,12,1),59,0)-IF(C1483=DATE(2026,11,28),36,0)-IF(C1483=DATE(2026,12,2),23,0)))</f>
        <v/>
      </c>
      <c r="I1483" s="13">
        <f>IF(AND(C1483&gt;=DATE(2026,11,29),C1483&lt;=DATE(2026,12,1)),B1483*60,0)</f>
        <v/>
      </c>
      <c r="J1483" s="13">
        <f>IF(A1483="",0,B1483*(IF(C1483=DATE(2026,11,28),36,0)+IF(C1483=DATE(2026,12,1),36,0)+IF(C1483=DATE(2026,12,2),23,0)))</f>
        <v/>
      </c>
      <c r="K1483" s="13">
        <f>IF(C1483=Options!$B$9,B1483*12,0)</f>
        <v/>
      </c>
      <c r="L1483" s="13">
        <f>IF(C1483=Options!$B$9,B1483*Options!$Z$7,0)</f>
        <v/>
      </c>
      <c r="M1483" s="13" t="n">
        <v>0</v>
      </c>
      <c r="N1483" s="13">
        <f>SUM(E1483:M1483)</f>
        <v/>
      </c>
    </row>
    <row r="1484">
      <c r="A1484" s="5">
        <f>IF(AND(C1484&gt;=Options!$B$9,C1484&lt;=Options!$B$10),"Phoenix","")</f>
        <v/>
      </c>
      <c r="B1484" s="5">
        <f>IF(A1484="","",18)</f>
        <v/>
      </c>
      <c r="C1484" s="17" t="n">
        <v>46315</v>
      </c>
      <c r="D1484" s="5">
        <f>IF(A1484="","",IF(C1484=DATE(2026,11,29),"培训；注册午餐；早餐参数",IF(C1484=DATE(2026,11,30),"培训；注册午餐",IF(C1484=DATE(2026,12,1),"培训；注册午餐；机构晚餐",IF(C1484=Options!$B$9,"抵达；"&amp;IF(C1484=DATE(2026,11,28),"机构晚餐","无统一供餐"),IF(C1484=Options!$B$10,"返程；"&amp;IF(C1484=DATE(2026,12,2),"机构午餐","无统一供餐"),"差旅状态；无统一日程"))))))</f>
        <v/>
      </c>
      <c r="E1484" s="13">
        <f>IF(C1484=Options!$B$9,Options!$C$18,0)</f>
        <v/>
      </c>
      <c r="F1484" s="13">
        <f>IF(AND(A1484&lt;&gt;"",C1484&lt;Options!$B$10),B1484*Options!$X$7,0)</f>
        <v/>
      </c>
      <c r="G1484" s="13">
        <f>F1484*12%</f>
        <v/>
      </c>
      <c r="H1484" s="13">
        <f>IF(A1484="",0,B1484*(86*IF(OR(C1484=Options!$B$9,C1484=Options!$B$10),75%,100%)-IF(C1484=DATE(2026,11,29),23+IF(Options!$B$8="是",22,0),0)-IF(C1484=DATE(2026,11,30),23,0)-IF(C1484=DATE(2026,12,1),59,0)-IF(C1484=DATE(2026,11,28),36,0)-IF(C1484=DATE(2026,12,2),23,0)))</f>
        <v/>
      </c>
      <c r="I1484" s="13">
        <f>IF(AND(C1484&gt;=DATE(2026,11,29),C1484&lt;=DATE(2026,12,1)),B1484*60,0)</f>
        <v/>
      </c>
      <c r="J1484" s="13">
        <f>IF(A1484="",0,B1484*(IF(C1484=DATE(2026,11,28),36,0)+IF(C1484=DATE(2026,12,1),36,0)+IF(C1484=DATE(2026,12,2),23,0)))</f>
        <v/>
      </c>
      <c r="K1484" s="13">
        <f>IF(C1484=Options!$B$9,B1484*12,0)</f>
        <v/>
      </c>
      <c r="L1484" s="13">
        <f>IF(C1484=Options!$B$9,B1484*Options!$Z$7,0)</f>
        <v/>
      </c>
      <c r="M1484" s="13" t="n">
        <v>0</v>
      </c>
      <c r="N1484" s="13">
        <f>SUM(E1484:M1484)</f>
        <v/>
      </c>
    </row>
    <row r="1485">
      <c r="A1485" s="5">
        <f>IF(AND(C1485&gt;=Options!$B$9,C1485&lt;=Options!$B$10),"Phoenix","")</f>
        <v/>
      </c>
      <c r="B1485" s="5">
        <f>IF(A1485="","",18)</f>
        <v/>
      </c>
      <c r="C1485" s="17" t="n">
        <v>46316</v>
      </c>
      <c r="D1485" s="5">
        <f>IF(A1485="","",IF(C1485=DATE(2026,11,29),"培训；注册午餐；早餐参数",IF(C1485=DATE(2026,11,30),"培训；注册午餐",IF(C1485=DATE(2026,12,1),"培训；注册午餐；机构晚餐",IF(C1485=Options!$B$9,"抵达；"&amp;IF(C1485=DATE(2026,11,28),"机构晚餐","无统一供餐"),IF(C1485=Options!$B$10,"返程；"&amp;IF(C1485=DATE(2026,12,2),"机构午餐","无统一供餐"),"差旅状态；无统一日程"))))))</f>
        <v/>
      </c>
      <c r="E1485" s="13">
        <f>IF(C1485=Options!$B$9,Options!$C$18,0)</f>
        <v/>
      </c>
      <c r="F1485" s="13">
        <f>IF(AND(A1485&lt;&gt;"",C1485&lt;Options!$B$10),B1485*Options!$X$7,0)</f>
        <v/>
      </c>
      <c r="G1485" s="13">
        <f>F1485*12%</f>
        <v/>
      </c>
      <c r="H1485" s="13">
        <f>IF(A1485="",0,B1485*(86*IF(OR(C1485=Options!$B$9,C1485=Options!$B$10),75%,100%)-IF(C1485=DATE(2026,11,29),23+IF(Options!$B$8="是",22,0),0)-IF(C1485=DATE(2026,11,30),23,0)-IF(C1485=DATE(2026,12,1),59,0)-IF(C1485=DATE(2026,11,28),36,0)-IF(C1485=DATE(2026,12,2),23,0)))</f>
        <v/>
      </c>
      <c r="I1485" s="13">
        <f>IF(AND(C1485&gt;=DATE(2026,11,29),C1485&lt;=DATE(2026,12,1)),B1485*60,0)</f>
        <v/>
      </c>
      <c r="J1485" s="13">
        <f>IF(A1485="",0,B1485*(IF(C1485=DATE(2026,11,28),36,0)+IF(C1485=DATE(2026,12,1),36,0)+IF(C1485=DATE(2026,12,2),23,0)))</f>
        <v/>
      </c>
      <c r="K1485" s="13">
        <f>IF(C1485=Options!$B$9,B1485*12,0)</f>
        <v/>
      </c>
      <c r="L1485" s="13">
        <f>IF(C1485=Options!$B$9,B1485*Options!$Z$7,0)</f>
        <v/>
      </c>
      <c r="M1485" s="13" t="n">
        <v>0</v>
      </c>
      <c r="N1485" s="13">
        <f>SUM(E1485:M1485)</f>
        <v/>
      </c>
    </row>
    <row r="1486">
      <c r="A1486" s="5">
        <f>IF(AND(C1486&gt;=Options!$B$9,C1486&lt;=Options!$B$10),"Phoenix","")</f>
        <v/>
      </c>
      <c r="B1486" s="5">
        <f>IF(A1486="","",18)</f>
        <v/>
      </c>
      <c r="C1486" s="17" t="n">
        <v>46317</v>
      </c>
      <c r="D1486" s="5">
        <f>IF(A1486="","",IF(C1486=DATE(2026,11,29),"培训；注册午餐；早餐参数",IF(C1486=DATE(2026,11,30),"培训；注册午餐",IF(C1486=DATE(2026,12,1),"培训；注册午餐；机构晚餐",IF(C1486=Options!$B$9,"抵达；"&amp;IF(C1486=DATE(2026,11,28),"机构晚餐","无统一供餐"),IF(C1486=Options!$B$10,"返程；"&amp;IF(C1486=DATE(2026,12,2),"机构午餐","无统一供餐"),"差旅状态；无统一日程"))))))</f>
        <v/>
      </c>
      <c r="E1486" s="13">
        <f>IF(C1486=Options!$B$9,Options!$C$18,0)</f>
        <v/>
      </c>
      <c r="F1486" s="13">
        <f>IF(AND(A1486&lt;&gt;"",C1486&lt;Options!$B$10),B1486*Options!$X$7,0)</f>
        <v/>
      </c>
      <c r="G1486" s="13">
        <f>F1486*12%</f>
        <v/>
      </c>
      <c r="H1486" s="13">
        <f>IF(A1486="",0,B1486*(86*IF(OR(C1486=Options!$B$9,C1486=Options!$B$10),75%,100%)-IF(C1486=DATE(2026,11,29),23+IF(Options!$B$8="是",22,0),0)-IF(C1486=DATE(2026,11,30),23,0)-IF(C1486=DATE(2026,12,1),59,0)-IF(C1486=DATE(2026,11,28),36,0)-IF(C1486=DATE(2026,12,2),23,0)))</f>
        <v/>
      </c>
      <c r="I1486" s="13">
        <f>IF(AND(C1486&gt;=DATE(2026,11,29),C1486&lt;=DATE(2026,12,1)),B1486*60,0)</f>
        <v/>
      </c>
      <c r="J1486" s="13">
        <f>IF(A1486="",0,B1486*(IF(C1486=DATE(2026,11,28),36,0)+IF(C1486=DATE(2026,12,1),36,0)+IF(C1486=DATE(2026,12,2),23,0)))</f>
        <v/>
      </c>
      <c r="K1486" s="13">
        <f>IF(C1486=Options!$B$9,B1486*12,0)</f>
        <v/>
      </c>
      <c r="L1486" s="13">
        <f>IF(C1486=Options!$B$9,B1486*Options!$Z$7,0)</f>
        <v/>
      </c>
      <c r="M1486" s="13" t="n">
        <v>0</v>
      </c>
      <c r="N1486" s="13">
        <f>SUM(E1486:M1486)</f>
        <v/>
      </c>
    </row>
    <row r="1487">
      <c r="A1487" s="5">
        <f>IF(AND(C1487&gt;=Options!$B$9,C1487&lt;=Options!$B$10),"Phoenix","")</f>
        <v/>
      </c>
      <c r="B1487" s="5">
        <f>IF(A1487="","",18)</f>
        <v/>
      </c>
      <c r="C1487" s="17" t="n">
        <v>46318</v>
      </c>
      <c r="D1487" s="5">
        <f>IF(A1487="","",IF(C1487=DATE(2026,11,29),"培训；注册午餐；早餐参数",IF(C1487=DATE(2026,11,30),"培训；注册午餐",IF(C1487=DATE(2026,12,1),"培训；注册午餐；机构晚餐",IF(C1487=Options!$B$9,"抵达；"&amp;IF(C1487=DATE(2026,11,28),"机构晚餐","无统一供餐"),IF(C1487=Options!$B$10,"返程；"&amp;IF(C1487=DATE(2026,12,2),"机构午餐","无统一供餐"),"差旅状态；无统一日程"))))))</f>
        <v/>
      </c>
      <c r="E1487" s="13">
        <f>IF(C1487=Options!$B$9,Options!$C$18,0)</f>
        <v/>
      </c>
      <c r="F1487" s="13">
        <f>IF(AND(A1487&lt;&gt;"",C1487&lt;Options!$B$10),B1487*Options!$X$7,0)</f>
        <v/>
      </c>
      <c r="G1487" s="13">
        <f>F1487*12%</f>
        <v/>
      </c>
      <c r="H1487" s="13">
        <f>IF(A1487="",0,B1487*(86*IF(OR(C1487=Options!$B$9,C1487=Options!$B$10),75%,100%)-IF(C1487=DATE(2026,11,29),23+IF(Options!$B$8="是",22,0),0)-IF(C1487=DATE(2026,11,30),23,0)-IF(C1487=DATE(2026,12,1),59,0)-IF(C1487=DATE(2026,11,28),36,0)-IF(C1487=DATE(2026,12,2),23,0)))</f>
        <v/>
      </c>
      <c r="I1487" s="13">
        <f>IF(AND(C1487&gt;=DATE(2026,11,29),C1487&lt;=DATE(2026,12,1)),B1487*60,0)</f>
        <v/>
      </c>
      <c r="J1487" s="13">
        <f>IF(A1487="",0,B1487*(IF(C1487=DATE(2026,11,28),36,0)+IF(C1487=DATE(2026,12,1),36,0)+IF(C1487=DATE(2026,12,2),23,0)))</f>
        <v/>
      </c>
      <c r="K1487" s="13">
        <f>IF(C1487=Options!$B$9,B1487*12,0)</f>
        <v/>
      </c>
      <c r="L1487" s="13">
        <f>IF(C1487=Options!$B$9,B1487*Options!$Z$7,0)</f>
        <v/>
      </c>
      <c r="M1487" s="13" t="n">
        <v>0</v>
      </c>
      <c r="N1487" s="13">
        <f>SUM(E1487:M1487)</f>
        <v/>
      </c>
    </row>
    <row r="1488">
      <c r="A1488" s="5">
        <f>IF(AND(C1488&gt;=Options!$B$9,C1488&lt;=Options!$B$10),"Phoenix","")</f>
        <v/>
      </c>
      <c r="B1488" s="5">
        <f>IF(A1488="","",18)</f>
        <v/>
      </c>
      <c r="C1488" s="17" t="n">
        <v>46319</v>
      </c>
      <c r="D1488" s="5">
        <f>IF(A1488="","",IF(C1488=DATE(2026,11,29),"培训；注册午餐；早餐参数",IF(C1488=DATE(2026,11,30),"培训；注册午餐",IF(C1488=DATE(2026,12,1),"培训；注册午餐；机构晚餐",IF(C1488=Options!$B$9,"抵达；"&amp;IF(C1488=DATE(2026,11,28),"机构晚餐","无统一供餐"),IF(C1488=Options!$B$10,"返程；"&amp;IF(C1488=DATE(2026,12,2),"机构午餐","无统一供餐"),"差旅状态；无统一日程"))))))</f>
        <v/>
      </c>
      <c r="E1488" s="13">
        <f>IF(C1488=Options!$B$9,Options!$C$18,0)</f>
        <v/>
      </c>
      <c r="F1488" s="13">
        <f>IF(AND(A1488&lt;&gt;"",C1488&lt;Options!$B$10),B1488*Options!$X$7,0)</f>
        <v/>
      </c>
      <c r="G1488" s="13">
        <f>F1488*12%</f>
        <v/>
      </c>
      <c r="H1488" s="13">
        <f>IF(A1488="",0,B1488*(86*IF(OR(C1488=Options!$B$9,C1488=Options!$B$10),75%,100%)-IF(C1488=DATE(2026,11,29),23+IF(Options!$B$8="是",22,0),0)-IF(C1488=DATE(2026,11,30),23,0)-IF(C1488=DATE(2026,12,1),59,0)-IF(C1488=DATE(2026,11,28),36,0)-IF(C1488=DATE(2026,12,2),23,0)))</f>
        <v/>
      </c>
      <c r="I1488" s="13">
        <f>IF(AND(C1488&gt;=DATE(2026,11,29),C1488&lt;=DATE(2026,12,1)),B1488*60,0)</f>
        <v/>
      </c>
      <c r="J1488" s="13">
        <f>IF(A1488="",0,B1488*(IF(C1488=DATE(2026,11,28),36,0)+IF(C1488=DATE(2026,12,1),36,0)+IF(C1488=DATE(2026,12,2),23,0)))</f>
        <v/>
      </c>
      <c r="K1488" s="13">
        <f>IF(C1488=Options!$B$9,B1488*12,0)</f>
        <v/>
      </c>
      <c r="L1488" s="13">
        <f>IF(C1488=Options!$B$9,B1488*Options!$Z$7,0)</f>
        <v/>
      </c>
      <c r="M1488" s="13" t="n">
        <v>0</v>
      </c>
      <c r="N1488" s="13">
        <f>SUM(E1488:M1488)</f>
        <v/>
      </c>
    </row>
    <row r="1489">
      <c r="A1489" s="5">
        <f>IF(AND(C1489&gt;=Options!$B$9,C1489&lt;=Options!$B$10),"Phoenix","")</f>
        <v/>
      </c>
      <c r="B1489" s="5">
        <f>IF(A1489="","",18)</f>
        <v/>
      </c>
      <c r="C1489" s="17" t="n">
        <v>46320</v>
      </c>
      <c r="D1489" s="5">
        <f>IF(A1489="","",IF(C1489=DATE(2026,11,29),"培训；注册午餐；早餐参数",IF(C1489=DATE(2026,11,30),"培训；注册午餐",IF(C1489=DATE(2026,12,1),"培训；注册午餐；机构晚餐",IF(C1489=Options!$B$9,"抵达；"&amp;IF(C1489=DATE(2026,11,28),"机构晚餐","无统一供餐"),IF(C1489=Options!$B$10,"返程；"&amp;IF(C1489=DATE(2026,12,2),"机构午餐","无统一供餐"),"差旅状态；无统一日程"))))))</f>
        <v/>
      </c>
      <c r="E1489" s="13">
        <f>IF(C1489=Options!$B$9,Options!$C$18,0)</f>
        <v/>
      </c>
      <c r="F1489" s="13">
        <f>IF(AND(A1489&lt;&gt;"",C1489&lt;Options!$B$10),B1489*Options!$X$7,0)</f>
        <v/>
      </c>
      <c r="G1489" s="13">
        <f>F1489*12%</f>
        <v/>
      </c>
      <c r="H1489" s="13">
        <f>IF(A1489="",0,B1489*(86*IF(OR(C1489=Options!$B$9,C1489=Options!$B$10),75%,100%)-IF(C1489=DATE(2026,11,29),23+IF(Options!$B$8="是",22,0),0)-IF(C1489=DATE(2026,11,30),23,0)-IF(C1489=DATE(2026,12,1),59,0)-IF(C1489=DATE(2026,11,28),36,0)-IF(C1489=DATE(2026,12,2),23,0)))</f>
        <v/>
      </c>
      <c r="I1489" s="13">
        <f>IF(AND(C1489&gt;=DATE(2026,11,29),C1489&lt;=DATE(2026,12,1)),B1489*60,0)</f>
        <v/>
      </c>
      <c r="J1489" s="13">
        <f>IF(A1489="",0,B1489*(IF(C1489=DATE(2026,11,28),36,0)+IF(C1489=DATE(2026,12,1),36,0)+IF(C1489=DATE(2026,12,2),23,0)))</f>
        <v/>
      </c>
      <c r="K1489" s="13">
        <f>IF(C1489=Options!$B$9,B1489*12,0)</f>
        <v/>
      </c>
      <c r="L1489" s="13">
        <f>IF(C1489=Options!$B$9,B1489*Options!$Z$7,0)</f>
        <v/>
      </c>
      <c r="M1489" s="13" t="n">
        <v>0</v>
      </c>
      <c r="N1489" s="13">
        <f>SUM(E1489:M1489)</f>
        <v/>
      </c>
    </row>
    <row r="1490">
      <c r="A1490" s="5">
        <f>IF(AND(C1490&gt;=Options!$B$9,C1490&lt;=Options!$B$10),"Phoenix","")</f>
        <v/>
      </c>
      <c r="B1490" s="5">
        <f>IF(A1490="","",18)</f>
        <v/>
      </c>
      <c r="C1490" s="17" t="n">
        <v>46321</v>
      </c>
      <c r="D1490" s="5">
        <f>IF(A1490="","",IF(C1490=DATE(2026,11,29),"培训；注册午餐；早餐参数",IF(C1490=DATE(2026,11,30),"培训；注册午餐",IF(C1490=DATE(2026,12,1),"培训；注册午餐；机构晚餐",IF(C1490=Options!$B$9,"抵达；"&amp;IF(C1490=DATE(2026,11,28),"机构晚餐","无统一供餐"),IF(C1490=Options!$B$10,"返程；"&amp;IF(C1490=DATE(2026,12,2),"机构午餐","无统一供餐"),"差旅状态；无统一日程"))))))</f>
        <v/>
      </c>
      <c r="E1490" s="13">
        <f>IF(C1490=Options!$B$9,Options!$C$18,0)</f>
        <v/>
      </c>
      <c r="F1490" s="13">
        <f>IF(AND(A1490&lt;&gt;"",C1490&lt;Options!$B$10),B1490*Options!$X$7,0)</f>
        <v/>
      </c>
      <c r="G1490" s="13">
        <f>F1490*12%</f>
        <v/>
      </c>
      <c r="H1490" s="13">
        <f>IF(A1490="",0,B1490*(86*IF(OR(C1490=Options!$B$9,C1490=Options!$B$10),75%,100%)-IF(C1490=DATE(2026,11,29),23+IF(Options!$B$8="是",22,0),0)-IF(C1490=DATE(2026,11,30),23,0)-IF(C1490=DATE(2026,12,1),59,0)-IF(C1490=DATE(2026,11,28),36,0)-IF(C1490=DATE(2026,12,2),23,0)))</f>
        <v/>
      </c>
      <c r="I1490" s="13">
        <f>IF(AND(C1490&gt;=DATE(2026,11,29),C1490&lt;=DATE(2026,12,1)),B1490*60,0)</f>
        <v/>
      </c>
      <c r="J1490" s="13">
        <f>IF(A1490="",0,B1490*(IF(C1490=DATE(2026,11,28),36,0)+IF(C1490=DATE(2026,12,1),36,0)+IF(C1490=DATE(2026,12,2),23,0)))</f>
        <v/>
      </c>
      <c r="K1490" s="13">
        <f>IF(C1490=Options!$B$9,B1490*12,0)</f>
        <v/>
      </c>
      <c r="L1490" s="13">
        <f>IF(C1490=Options!$B$9,B1490*Options!$Z$7,0)</f>
        <v/>
      </c>
      <c r="M1490" s="13" t="n">
        <v>0</v>
      </c>
      <c r="N1490" s="13">
        <f>SUM(E1490:M1490)</f>
        <v/>
      </c>
    </row>
    <row r="1491">
      <c r="A1491" s="5">
        <f>IF(AND(C1491&gt;=Options!$B$9,C1491&lt;=Options!$B$10),"Phoenix","")</f>
        <v/>
      </c>
      <c r="B1491" s="5">
        <f>IF(A1491="","",18)</f>
        <v/>
      </c>
      <c r="C1491" s="17" t="n">
        <v>46322</v>
      </c>
      <c r="D1491" s="5">
        <f>IF(A1491="","",IF(C1491=DATE(2026,11,29),"培训；注册午餐；早餐参数",IF(C1491=DATE(2026,11,30),"培训；注册午餐",IF(C1491=DATE(2026,12,1),"培训；注册午餐；机构晚餐",IF(C1491=Options!$B$9,"抵达；"&amp;IF(C1491=DATE(2026,11,28),"机构晚餐","无统一供餐"),IF(C1491=Options!$B$10,"返程；"&amp;IF(C1491=DATE(2026,12,2),"机构午餐","无统一供餐"),"差旅状态；无统一日程"))))))</f>
        <v/>
      </c>
      <c r="E1491" s="13">
        <f>IF(C1491=Options!$B$9,Options!$C$18,0)</f>
        <v/>
      </c>
      <c r="F1491" s="13">
        <f>IF(AND(A1491&lt;&gt;"",C1491&lt;Options!$B$10),B1491*Options!$X$7,0)</f>
        <v/>
      </c>
      <c r="G1491" s="13">
        <f>F1491*12%</f>
        <v/>
      </c>
      <c r="H1491" s="13">
        <f>IF(A1491="",0,B1491*(86*IF(OR(C1491=Options!$B$9,C1491=Options!$B$10),75%,100%)-IF(C1491=DATE(2026,11,29),23+IF(Options!$B$8="是",22,0),0)-IF(C1491=DATE(2026,11,30),23,0)-IF(C1491=DATE(2026,12,1),59,0)-IF(C1491=DATE(2026,11,28),36,0)-IF(C1491=DATE(2026,12,2),23,0)))</f>
        <v/>
      </c>
      <c r="I1491" s="13">
        <f>IF(AND(C1491&gt;=DATE(2026,11,29),C1491&lt;=DATE(2026,12,1)),B1491*60,0)</f>
        <v/>
      </c>
      <c r="J1491" s="13">
        <f>IF(A1491="",0,B1491*(IF(C1491=DATE(2026,11,28),36,0)+IF(C1491=DATE(2026,12,1),36,0)+IF(C1491=DATE(2026,12,2),23,0)))</f>
        <v/>
      </c>
      <c r="K1491" s="13">
        <f>IF(C1491=Options!$B$9,B1491*12,0)</f>
        <v/>
      </c>
      <c r="L1491" s="13">
        <f>IF(C1491=Options!$B$9,B1491*Options!$Z$7,0)</f>
        <v/>
      </c>
      <c r="M1491" s="13" t="n">
        <v>0</v>
      </c>
      <c r="N1491" s="13">
        <f>SUM(E1491:M1491)</f>
        <v/>
      </c>
    </row>
    <row r="1492">
      <c r="A1492" s="5">
        <f>IF(AND(C1492&gt;=Options!$B$9,C1492&lt;=Options!$B$10),"Phoenix","")</f>
        <v/>
      </c>
      <c r="B1492" s="5">
        <f>IF(A1492="","",18)</f>
        <v/>
      </c>
      <c r="C1492" s="17" t="n">
        <v>46323</v>
      </c>
      <c r="D1492" s="5">
        <f>IF(A1492="","",IF(C1492=DATE(2026,11,29),"培训；注册午餐；早餐参数",IF(C1492=DATE(2026,11,30),"培训；注册午餐",IF(C1492=DATE(2026,12,1),"培训；注册午餐；机构晚餐",IF(C1492=Options!$B$9,"抵达；"&amp;IF(C1492=DATE(2026,11,28),"机构晚餐","无统一供餐"),IF(C1492=Options!$B$10,"返程；"&amp;IF(C1492=DATE(2026,12,2),"机构午餐","无统一供餐"),"差旅状态；无统一日程"))))))</f>
        <v/>
      </c>
      <c r="E1492" s="13">
        <f>IF(C1492=Options!$B$9,Options!$C$18,0)</f>
        <v/>
      </c>
      <c r="F1492" s="13">
        <f>IF(AND(A1492&lt;&gt;"",C1492&lt;Options!$B$10),B1492*Options!$X$7,0)</f>
        <v/>
      </c>
      <c r="G1492" s="13">
        <f>F1492*12%</f>
        <v/>
      </c>
      <c r="H1492" s="13">
        <f>IF(A1492="",0,B1492*(86*IF(OR(C1492=Options!$B$9,C1492=Options!$B$10),75%,100%)-IF(C1492=DATE(2026,11,29),23+IF(Options!$B$8="是",22,0),0)-IF(C1492=DATE(2026,11,30),23,0)-IF(C1492=DATE(2026,12,1),59,0)-IF(C1492=DATE(2026,11,28),36,0)-IF(C1492=DATE(2026,12,2),23,0)))</f>
        <v/>
      </c>
      <c r="I1492" s="13">
        <f>IF(AND(C1492&gt;=DATE(2026,11,29),C1492&lt;=DATE(2026,12,1)),B1492*60,0)</f>
        <v/>
      </c>
      <c r="J1492" s="13">
        <f>IF(A1492="",0,B1492*(IF(C1492=DATE(2026,11,28),36,0)+IF(C1492=DATE(2026,12,1),36,0)+IF(C1492=DATE(2026,12,2),23,0)))</f>
        <v/>
      </c>
      <c r="K1492" s="13">
        <f>IF(C1492=Options!$B$9,B1492*12,0)</f>
        <v/>
      </c>
      <c r="L1492" s="13">
        <f>IF(C1492=Options!$B$9,B1492*Options!$Z$7,0)</f>
        <v/>
      </c>
      <c r="M1492" s="13" t="n">
        <v>0</v>
      </c>
      <c r="N1492" s="13">
        <f>SUM(E1492:M1492)</f>
        <v/>
      </c>
    </row>
    <row r="1493">
      <c r="A1493" s="5">
        <f>IF(AND(C1493&gt;=Options!$B$9,C1493&lt;=Options!$B$10),"Phoenix","")</f>
        <v/>
      </c>
      <c r="B1493" s="5">
        <f>IF(A1493="","",18)</f>
        <v/>
      </c>
      <c r="C1493" s="17" t="n">
        <v>46324</v>
      </c>
      <c r="D1493" s="5">
        <f>IF(A1493="","",IF(C1493=DATE(2026,11,29),"培训；注册午餐；早餐参数",IF(C1493=DATE(2026,11,30),"培训；注册午餐",IF(C1493=DATE(2026,12,1),"培训；注册午餐；机构晚餐",IF(C1493=Options!$B$9,"抵达；"&amp;IF(C1493=DATE(2026,11,28),"机构晚餐","无统一供餐"),IF(C1493=Options!$B$10,"返程；"&amp;IF(C1493=DATE(2026,12,2),"机构午餐","无统一供餐"),"差旅状态；无统一日程"))))))</f>
        <v/>
      </c>
      <c r="E1493" s="13">
        <f>IF(C1493=Options!$B$9,Options!$C$18,0)</f>
        <v/>
      </c>
      <c r="F1493" s="13">
        <f>IF(AND(A1493&lt;&gt;"",C1493&lt;Options!$B$10),B1493*Options!$X$7,0)</f>
        <v/>
      </c>
      <c r="G1493" s="13">
        <f>F1493*12%</f>
        <v/>
      </c>
      <c r="H1493" s="13">
        <f>IF(A1493="",0,B1493*(86*IF(OR(C1493=Options!$B$9,C1493=Options!$B$10),75%,100%)-IF(C1493=DATE(2026,11,29),23+IF(Options!$B$8="是",22,0),0)-IF(C1493=DATE(2026,11,30),23,0)-IF(C1493=DATE(2026,12,1),59,0)-IF(C1493=DATE(2026,11,28),36,0)-IF(C1493=DATE(2026,12,2),23,0)))</f>
        <v/>
      </c>
      <c r="I1493" s="13">
        <f>IF(AND(C1493&gt;=DATE(2026,11,29),C1493&lt;=DATE(2026,12,1)),B1493*60,0)</f>
        <v/>
      </c>
      <c r="J1493" s="13">
        <f>IF(A1493="",0,B1493*(IF(C1493=DATE(2026,11,28),36,0)+IF(C1493=DATE(2026,12,1),36,0)+IF(C1493=DATE(2026,12,2),23,0)))</f>
        <v/>
      </c>
      <c r="K1493" s="13">
        <f>IF(C1493=Options!$B$9,B1493*12,0)</f>
        <v/>
      </c>
      <c r="L1493" s="13">
        <f>IF(C1493=Options!$B$9,B1493*Options!$Z$7,0)</f>
        <v/>
      </c>
      <c r="M1493" s="13" t="n">
        <v>0</v>
      </c>
      <c r="N1493" s="13">
        <f>SUM(E1493:M1493)</f>
        <v/>
      </c>
    </row>
    <row r="1494">
      <c r="A1494" s="5">
        <f>IF(AND(C1494&gt;=Options!$B$9,C1494&lt;=Options!$B$10),"Phoenix","")</f>
        <v/>
      </c>
      <c r="B1494" s="5">
        <f>IF(A1494="","",18)</f>
        <v/>
      </c>
      <c r="C1494" s="17" t="n">
        <v>46325</v>
      </c>
      <c r="D1494" s="5">
        <f>IF(A1494="","",IF(C1494=DATE(2026,11,29),"培训；注册午餐；早餐参数",IF(C1494=DATE(2026,11,30),"培训；注册午餐",IF(C1494=DATE(2026,12,1),"培训；注册午餐；机构晚餐",IF(C1494=Options!$B$9,"抵达；"&amp;IF(C1494=DATE(2026,11,28),"机构晚餐","无统一供餐"),IF(C1494=Options!$B$10,"返程；"&amp;IF(C1494=DATE(2026,12,2),"机构午餐","无统一供餐"),"差旅状态；无统一日程"))))))</f>
        <v/>
      </c>
      <c r="E1494" s="13">
        <f>IF(C1494=Options!$B$9,Options!$C$18,0)</f>
        <v/>
      </c>
      <c r="F1494" s="13">
        <f>IF(AND(A1494&lt;&gt;"",C1494&lt;Options!$B$10),B1494*Options!$X$7,0)</f>
        <v/>
      </c>
      <c r="G1494" s="13">
        <f>F1494*12%</f>
        <v/>
      </c>
      <c r="H1494" s="13">
        <f>IF(A1494="",0,B1494*(86*IF(OR(C1494=Options!$B$9,C1494=Options!$B$10),75%,100%)-IF(C1494=DATE(2026,11,29),23+IF(Options!$B$8="是",22,0),0)-IF(C1494=DATE(2026,11,30),23,0)-IF(C1494=DATE(2026,12,1),59,0)-IF(C1494=DATE(2026,11,28),36,0)-IF(C1494=DATE(2026,12,2),23,0)))</f>
        <v/>
      </c>
      <c r="I1494" s="13">
        <f>IF(AND(C1494&gt;=DATE(2026,11,29),C1494&lt;=DATE(2026,12,1)),B1494*60,0)</f>
        <v/>
      </c>
      <c r="J1494" s="13">
        <f>IF(A1494="",0,B1494*(IF(C1494=DATE(2026,11,28),36,0)+IF(C1494=DATE(2026,12,1),36,0)+IF(C1494=DATE(2026,12,2),23,0)))</f>
        <v/>
      </c>
      <c r="K1494" s="13">
        <f>IF(C1494=Options!$B$9,B1494*12,0)</f>
        <v/>
      </c>
      <c r="L1494" s="13">
        <f>IF(C1494=Options!$B$9,B1494*Options!$Z$7,0)</f>
        <v/>
      </c>
      <c r="M1494" s="13" t="n">
        <v>0</v>
      </c>
      <c r="N1494" s="13">
        <f>SUM(E1494:M1494)</f>
        <v/>
      </c>
    </row>
    <row r="1495">
      <c r="A1495" s="5">
        <f>IF(AND(C1495&gt;=Options!$B$9,C1495&lt;=Options!$B$10),"Phoenix","")</f>
        <v/>
      </c>
      <c r="B1495" s="5">
        <f>IF(A1495="","",18)</f>
        <v/>
      </c>
      <c r="C1495" s="17" t="n">
        <v>46326</v>
      </c>
      <c r="D1495" s="5">
        <f>IF(A1495="","",IF(C1495=DATE(2026,11,29),"培训；注册午餐；早餐参数",IF(C1495=DATE(2026,11,30),"培训；注册午餐",IF(C1495=DATE(2026,12,1),"培训；注册午餐；机构晚餐",IF(C1495=Options!$B$9,"抵达；"&amp;IF(C1495=DATE(2026,11,28),"机构晚餐","无统一供餐"),IF(C1495=Options!$B$10,"返程；"&amp;IF(C1495=DATE(2026,12,2),"机构午餐","无统一供餐"),"差旅状态；无统一日程"))))))</f>
        <v/>
      </c>
      <c r="E1495" s="13">
        <f>IF(C1495=Options!$B$9,Options!$C$18,0)</f>
        <v/>
      </c>
      <c r="F1495" s="13">
        <f>IF(AND(A1495&lt;&gt;"",C1495&lt;Options!$B$10),B1495*Options!$X$7,0)</f>
        <v/>
      </c>
      <c r="G1495" s="13">
        <f>F1495*12%</f>
        <v/>
      </c>
      <c r="H1495" s="13">
        <f>IF(A1495="",0,B1495*(86*IF(OR(C1495=Options!$B$9,C1495=Options!$B$10),75%,100%)-IF(C1495=DATE(2026,11,29),23+IF(Options!$B$8="是",22,0),0)-IF(C1495=DATE(2026,11,30),23,0)-IF(C1495=DATE(2026,12,1),59,0)-IF(C1495=DATE(2026,11,28),36,0)-IF(C1495=DATE(2026,12,2),23,0)))</f>
        <v/>
      </c>
      <c r="I1495" s="13">
        <f>IF(AND(C1495&gt;=DATE(2026,11,29),C1495&lt;=DATE(2026,12,1)),B1495*60,0)</f>
        <v/>
      </c>
      <c r="J1495" s="13">
        <f>IF(A1495="",0,B1495*(IF(C1495=DATE(2026,11,28),36,0)+IF(C1495=DATE(2026,12,1),36,0)+IF(C1495=DATE(2026,12,2),23,0)))</f>
        <v/>
      </c>
      <c r="K1495" s="13">
        <f>IF(C1495=Options!$B$9,B1495*12,0)</f>
        <v/>
      </c>
      <c r="L1495" s="13">
        <f>IF(C1495=Options!$B$9,B1495*Options!$Z$7,0)</f>
        <v/>
      </c>
      <c r="M1495" s="13" t="n">
        <v>0</v>
      </c>
      <c r="N1495" s="13">
        <f>SUM(E1495:M1495)</f>
        <v/>
      </c>
    </row>
    <row r="1496">
      <c r="A1496" s="5">
        <f>IF(AND(C1496&gt;=Options!$B$9,C1496&lt;=Options!$B$10),"Phoenix","")</f>
        <v/>
      </c>
      <c r="B1496" s="5">
        <f>IF(A1496="","",18)</f>
        <v/>
      </c>
      <c r="C1496" s="17" t="n">
        <v>46327</v>
      </c>
      <c r="D1496" s="5">
        <f>IF(A1496="","",IF(C1496=DATE(2026,11,29),"培训；注册午餐；早餐参数",IF(C1496=DATE(2026,11,30),"培训；注册午餐",IF(C1496=DATE(2026,12,1),"培训；注册午餐；机构晚餐",IF(C1496=Options!$B$9,"抵达；"&amp;IF(C1496=DATE(2026,11,28),"机构晚餐","无统一供餐"),IF(C1496=Options!$B$10,"返程；"&amp;IF(C1496=DATE(2026,12,2),"机构午餐","无统一供餐"),"差旅状态；无统一日程"))))))</f>
        <v/>
      </c>
      <c r="E1496" s="13">
        <f>IF(C1496=Options!$B$9,Options!$C$18,0)</f>
        <v/>
      </c>
      <c r="F1496" s="13">
        <f>IF(AND(A1496&lt;&gt;"",C1496&lt;Options!$B$10),B1496*Options!$X$7,0)</f>
        <v/>
      </c>
      <c r="G1496" s="13">
        <f>F1496*12%</f>
        <v/>
      </c>
      <c r="H1496" s="13">
        <f>IF(A1496="",0,B1496*(86*IF(OR(C1496=Options!$B$9,C1496=Options!$B$10),75%,100%)-IF(C1496=DATE(2026,11,29),23+IF(Options!$B$8="是",22,0),0)-IF(C1496=DATE(2026,11,30),23,0)-IF(C1496=DATE(2026,12,1),59,0)-IF(C1496=DATE(2026,11,28),36,0)-IF(C1496=DATE(2026,12,2),23,0)))</f>
        <v/>
      </c>
      <c r="I1496" s="13">
        <f>IF(AND(C1496&gt;=DATE(2026,11,29),C1496&lt;=DATE(2026,12,1)),B1496*60,0)</f>
        <v/>
      </c>
      <c r="J1496" s="13">
        <f>IF(A1496="",0,B1496*(IF(C1496=DATE(2026,11,28),36,0)+IF(C1496=DATE(2026,12,1),36,0)+IF(C1496=DATE(2026,12,2),23,0)))</f>
        <v/>
      </c>
      <c r="K1496" s="13">
        <f>IF(C1496=Options!$B$9,B1496*12,0)</f>
        <v/>
      </c>
      <c r="L1496" s="13">
        <f>IF(C1496=Options!$B$9,B1496*Options!$Z$7,0)</f>
        <v/>
      </c>
      <c r="M1496" s="13" t="n">
        <v>0</v>
      </c>
      <c r="N1496" s="13">
        <f>SUM(E1496:M1496)</f>
        <v/>
      </c>
    </row>
    <row r="1497">
      <c r="A1497" s="5">
        <f>IF(AND(C1497&gt;=Options!$B$9,C1497&lt;=Options!$B$10),"Phoenix","")</f>
        <v/>
      </c>
      <c r="B1497" s="5">
        <f>IF(A1497="","",18)</f>
        <v/>
      </c>
      <c r="C1497" s="17" t="n">
        <v>46328</v>
      </c>
      <c r="D1497" s="5">
        <f>IF(A1497="","",IF(C1497=DATE(2026,11,29),"培训；注册午餐；早餐参数",IF(C1497=DATE(2026,11,30),"培训；注册午餐",IF(C1497=DATE(2026,12,1),"培训；注册午餐；机构晚餐",IF(C1497=Options!$B$9,"抵达；"&amp;IF(C1497=DATE(2026,11,28),"机构晚餐","无统一供餐"),IF(C1497=Options!$B$10,"返程；"&amp;IF(C1497=DATE(2026,12,2),"机构午餐","无统一供餐"),"差旅状态；无统一日程"))))))</f>
        <v/>
      </c>
      <c r="E1497" s="13">
        <f>IF(C1497=Options!$B$9,Options!$C$18,0)</f>
        <v/>
      </c>
      <c r="F1497" s="13">
        <f>IF(AND(A1497&lt;&gt;"",C1497&lt;Options!$B$10),B1497*Options!$X$7,0)</f>
        <v/>
      </c>
      <c r="G1497" s="13">
        <f>F1497*12%</f>
        <v/>
      </c>
      <c r="H1497" s="13">
        <f>IF(A1497="",0,B1497*(86*IF(OR(C1497=Options!$B$9,C1497=Options!$B$10),75%,100%)-IF(C1497=DATE(2026,11,29),23+IF(Options!$B$8="是",22,0),0)-IF(C1497=DATE(2026,11,30),23,0)-IF(C1497=DATE(2026,12,1),59,0)-IF(C1497=DATE(2026,11,28),36,0)-IF(C1497=DATE(2026,12,2),23,0)))</f>
        <v/>
      </c>
      <c r="I1497" s="13">
        <f>IF(AND(C1497&gt;=DATE(2026,11,29),C1497&lt;=DATE(2026,12,1)),B1497*60,0)</f>
        <v/>
      </c>
      <c r="J1497" s="13">
        <f>IF(A1497="",0,B1497*(IF(C1497=DATE(2026,11,28),36,0)+IF(C1497=DATE(2026,12,1),36,0)+IF(C1497=DATE(2026,12,2),23,0)))</f>
        <v/>
      </c>
      <c r="K1497" s="13">
        <f>IF(C1497=Options!$B$9,B1497*12,0)</f>
        <v/>
      </c>
      <c r="L1497" s="13">
        <f>IF(C1497=Options!$B$9,B1497*Options!$Z$7,0)</f>
        <v/>
      </c>
      <c r="M1497" s="13" t="n">
        <v>0</v>
      </c>
      <c r="N1497" s="13">
        <f>SUM(E1497:M1497)</f>
        <v/>
      </c>
    </row>
    <row r="1498">
      <c r="A1498" s="5">
        <f>IF(AND(C1498&gt;=Options!$B$9,C1498&lt;=Options!$B$10),"Phoenix","")</f>
        <v/>
      </c>
      <c r="B1498" s="5">
        <f>IF(A1498="","",18)</f>
        <v/>
      </c>
      <c r="C1498" s="17" t="n">
        <v>46329</v>
      </c>
      <c r="D1498" s="5">
        <f>IF(A1498="","",IF(C1498=DATE(2026,11,29),"培训；注册午餐；早餐参数",IF(C1498=DATE(2026,11,30),"培训；注册午餐",IF(C1498=DATE(2026,12,1),"培训；注册午餐；机构晚餐",IF(C1498=Options!$B$9,"抵达；"&amp;IF(C1498=DATE(2026,11,28),"机构晚餐","无统一供餐"),IF(C1498=Options!$B$10,"返程；"&amp;IF(C1498=DATE(2026,12,2),"机构午餐","无统一供餐"),"差旅状态；无统一日程"))))))</f>
        <v/>
      </c>
      <c r="E1498" s="13">
        <f>IF(C1498=Options!$B$9,Options!$C$18,0)</f>
        <v/>
      </c>
      <c r="F1498" s="13">
        <f>IF(AND(A1498&lt;&gt;"",C1498&lt;Options!$B$10),B1498*Options!$X$7,0)</f>
        <v/>
      </c>
      <c r="G1498" s="13">
        <f>F1498*12%</f>
        <v/>
      </c>
      <c r="H1498" s="13">
        <f>IF(A1498="",0,B1498*(86*IF(OR(C1498=Options!$B$9,C1498=Options!$B$10),75%,100%)-IF(C1498=DATE(2026,11,29),23+IF(Options!$B$8="是",22,0),0)-IF(C1498=DATE(2026,11,30),23,0)-IF(C1498=DATE(2026,12,1),59,0)-IF(C1498=DATE(2026,11,28),36,0)-IF(C1498=DATE(2026,12,2),23,0)))</f>
        <v/>
      </c>
      <c r="I1498" s="13">
        <f>IF(AND(C1498&gt;=DATE(2026,11,29),C1498&lt;=DATE(2026,12,1)),B1498*60,0)</f>
        <v/>
      </c>
      <c r="J1498" s="13">
        <f>IF(A1498="",0,B1498*(IF(C1498=DATE(2026,11,28),36,0)+IF(C1498=DATE(2026,12,1),36,0)+IF(C1498=DATE(2026,12,2),23,0)))</f>
        <v/>
      </c>
      <c r="K1498" s="13">
        <f>IF(C1498=Options!$B$9,B1498*12,0)</f>
        <v/>
      </c>
      <c r="L1498" s="13">
        <f>IF(C1498=Options!$B$9,B1498*Options!$Z$7,0)</f>
        <v/>
      </c>
      <c r="M1498" s="13" t="n">
        <v>0</v>
      </c>
      <c r="N1498" s="13">
        <f>SUM(E1498:M1498)</f>
        <v/>
      </c>
    </row>
    <row r="1499">
      <c r="A1499" s="5">
        <f>IF(AND(C1499&gt;=Options!$B$9,C1499&lt;=Options!$B$10),"Phoenix","")</f>
        <v/>
      </c>
      <c r="B1499" s="5">
        <f>IF(A1499="","",18)</f>
        <v/>
      </c>
      <c r="C1499" s="17" t="n">
        <v>46330</v>
      </c>
      <c r="D1499" s="5">
        <f>IF(A1499="","",IF(C1499=DATE(2026,11,29),"培训；注册午餐；早餐参数",IF(C1499=DATE(2026,11,30),"培训；注册午餐",IF(C1499=DATE(2026,12,1),"培训；注册午餐；机构晚餐",IF(C1499=Options!$B$9,"抵达；"&amp;IF(C1499=DATE(2026,11,28),"机构晚餐","无统一供餐"),IF(C1499=Options!$B$10,"返程；"&amp;IF(C1499=DATE(2026,12,2),"机构午餐","无统一供餐"),"差旅状态；无统一日程"))))))</f>
        <v/>
      </c>
      <c r="E1499" s="13">
        <f>IF(C1499=Options!$B$9,Options!$C$18,0)</f>
        <v/>
      </c>
      <c r="F1499" s="13">
        <f>IF(AND(A1499&lt;&gt;"",C1499&lt;Options!$B$10),B1499*Options!$X$7,0)</f>
        <v/>
      </c>
      <c r="G1499" s="13">
        <f>F1499*12%</f>
        <v/>
      </c>
      <c r="H1499" s="13">
        <f>IF(A1499="",0,B1499*(86*IF(OR(C1499=Options!$B$9,C1499=Options!$B$10),75%,100%)-IF(C1499=DATE(2026,11,29),23+IF(Options!$B$8="是",22,0),0)-IF(C1499=DATE(2026,11,30),23,0)-IF(C1499=DATE(2026,12,1),59,0)-IF(C1499=DATE(2026,11,28),36,0)-IF(C1499=DATE(2026,12,2),23,0)))</f>
        <v/>
      </c>
      <c r="I1499" s="13">
        <f>IF(AND(C1499&gt;=DATE(2026,11,29),C1499&lt;=DATE(2026,12,1)),B1499*60,0)</f>
        <v/>
      </c>
      <c r="J1499" s="13">
        <f>IF(A1499="",0,B1499*(IF(C1499=DATE(2026,11,28),36,0)+IF(C1499=DATE(2026,12,1),36,0)+IF(C1499=DATE(2026,12,2),23,0)))</f>
        <v/>
      </c>
      <c r="K1499" s="13">
        <f>IF(C1499=Options!$B$9,B1499*12,0)</f>
        <v/>
      </c>
      <c r="L1499" s="13">
        <f>IF(C1499=Options!$B$9,B1499*Options!$Z$7,0)</f>
        <v/>
      </c>
      <c r="M1499" s="13" t="n">
        <v>0</v>
      </c>
      <c r="N1499" s="13">
        <f>SUM(E1499:M1499)</f>
        <v/>
      </c>
    </row>
    <row r="1500">
      <c r="A1500" s="5">
        <f>IF(AND(C1500&gt;=Options!$B$9,C1500&lt;=Options!$B$10),"Phoenix","")</f>
        <v/>
      </c>
      <c r="B1500" s="5">
        <f>IF(A1500="","",18)</f>
        <v/>
      </c>
      <c r="C1500" s="17" t="n">
        <v>46331</v>
      </c>
      <c r="D1500" s="5">
        <f>IF(A1500="","",IF(C1500=DATE(2026,11,29),"培训；注册午餐；早餐参数",IF(C1500=DATE(2026,11,30),"培训；注册午餐",IF(C1500=DATE(2026,12,1),"培训；注册午餐；机构晚餐",IF(C1500=Options!$B$9,"抵达；"&amp;IF(C1500=DATE(2026,11,28),"机构晚餐","无统一供餐"),IF(C1500=Options!$B$10,"返程；"&amp;IF(C1500=DATE(2026,12,2),"机构午餐","无统一供餐"),"差旅状态；无统一日程"))))))</f>
        <v/>
      </c>
      <c r="E1500" s="13">
        <f>IF(C1500=Options!$B$9,Options!$C$18,0)</f>
        <v/>
      </c>
      <c r="F1500" s="13">
        <f>IF(AND(A1500&lt;&gt;"",C1500&lt;Options!$B$10),B1500*Options!$X$7,0)</f>
        <v/>
      </c>
      <c r="G1500" s="13">
        <f>F1500*12%</f>
        <v/>
      </c>
      <c r="H1500" s="13">
        <f>IF(A1500="",0,B1500*(86*IF(OR(C1500=Options!$B$9,C1500=Options!$B$10),75%,100%)-IF(C1500=DATE(2026,11,29),23+IF(Options!$B$8="是",22,0),0)-IF(C1500=DATE(2026,11,30),23,0)-IF(C1500=DATE(2026,12,1),59,0)-IF(C1500=DATE(2026,11,28),36,0)-IF(C1500=DATE(2026,12,2),23,0)))</f>
        <v/>
      </c>
      <c r="I1500" s="13">
        <f>IF(AND(C1500&gt;=DATE(2026,11,29),C1500&lt;=DATE(2026,12,1)),B1500*60,0)</f>
        <v/>
      </c>
      <c r="J1500" s="13">
        <f>IF(A1500="",0,B1500*(IF(C1500=DATE(2026,11,28),36,0)+IF(C1500=DATE(2026,12,1),36,0)+IF(C1500=DATE(2026,12,2),23,0)))</f>
        <v/>
      </c>
      <c r="K1500" s="13">
        <f>IF(C1500=Options!$B$9,B1500*12,0)</f>
        <v/>
      </c>
      <c r="L1500" s="13">
        <f>IF(C1500=Options!$B$9,B1500*Options!$Z$7,0)</f>
        <v/>
      </c>
      <c r="M1500" s="13" t="n">
        <v>0</v>
      </c>
      <c r="N1500" s="13">
        <f>SUM(E1500:M1500)</f>
        <v/>
      </c>
    </row>
    <row r="1501">
      <c r="A1501" s="5">
        <f>IF(AND(C1501&gt;=Options!$B$9,C1501&lt;=Options!$B$10),"Phoenix","")</f>
        <v/>
      </c>
      <c r="B1501" s="5">
        <f>IF(A1501="","",18)</f>
        <v/>
      </c>
      <c r="C1501" s="17" t="n">
        <v>46332</v>
      </c>
      <c r="D1501" s="5">
        <f>IF(A1501="","",IF(C1501=DATE(2026,11,29),"培训；注册午餐；早餐参数",IF(C1501=DATE(2026,11,30),"培训；注册午餐",IF(C1501=DATE(2026,12,1),"培训；注册午餐；机构晚餐",IF(C1501=Options!$B$9,"抵达；"&amp;IF(C1501=DATE(2026,11,28),"机构晚餐","无统一供餐"),IF(C1501=Options!$B$10,"返程；"&amp;IF(C1501=DATE(2026,12,2),"机构午餐","无统一供餐"),"差旅状态；无统一日程"))))))</f>
        <v/>
      </c>
      <c r="E1501" s="13">
        <f>IF(C1501=Options!$B$9,Options!$C$18,0)</f>
        <v/>
      </c>
      <c r="F1501" s="13">
        <f>IF(AND(A1501&lt;&gt;"",C1501&lt;Options!$B$10),B1501*Options!$X$7,0)</f>
        <v/>
      </c>
      <c r="G1501" s="13">
        <f>F1501*12%</f>
        <v/>
      </c>
      <c r="H1501" s="13">
        <f>IF(A1501="",0,B1501*(86*IF(OR(C1501=Options!$B$9,C1501=Options!$B$10),75%,100%)-IF(C1501=DATE(2026,11,29),23+IF(Options!$B$8="是",22,0),0)-IF(C1501=DATE(2026,11,30),23,0)-IF(C1501=DATE(2026,12,1),59,0)-IF(C1501=DATE(2026,11,28),36,0)-IF(C1501=DATE(2026,12,2),23,0)))</f>
        <v/>
      </c>
      <c r="I1501" s="13">
        <f>IF(AND(C1501&gt;=DATE(2026,11,29),C1501&lt;=DATE(2026,12,1)),B1501*60,0)</f>
        <v/>
      </c>
      <c r="J1501" s="13">
        <f>IF(A1501="",0,B1501*(IF(C1501=DATE(2026,11,28),36,0)+IF(C1501=DATE(2026,12,1),36,0)+IF(C1501=DATE(2026,12,2),23,0)))</f>
        <v/>
      </c>
      <c r="K1501" s="13">
        <f>IF(C1501=Options!$B$9,B1501*12,0)</f>
        <v/>
      </c>
      <c r="L1501" s="13">
        <f>IF(C1501=Options!$B$9,B1501*Options!$Z$7,0)</f>
        <v/>
      </c>
      <c r="M1501" s="13" t="n">
        <v>0</v>
      </c>
      <c r="N1501" s="13">
        <f>SUM(E1501:M1501)</f>
        <v/>
      </c>
    </row>
    <row r="1502">
      <c r="A1502" s="5">
        <f>IF(AND(C1502&gt;=Options!$B$9,C1502&lt;=Options!$B$10),"Phoenix","")</f>
        <v/>
      </c>
      <c r="B1502" s="5">
        <f>IF(A1502="","",18)</f>
        <v/>
      </c>
      <c r="C1502" s="17" t="n">
        <v>46333</v>
      </c>
      <c r="D1502" s="5">
        <f>IF(A1502="","",IF(C1502=DATE(2026,11,29),"培训；注册午餐；早餐参数",IF(C1502=DATE(2026,11,30),"培训；注册午餐",IF(C1502=DATE(2026,12,1),"培训；注册午餐；机构晚餐",IF(C1502=Options!$B$9,"抵达；"&amp;IF(C1502=DATE(2026,11,28),"机构晚餐","无统一供餐"),IF(C1502=Options!$B$10,"返程；"&amp;IF(C1502=DATE(2026,12,2),"机构午餐","无统一供餐"),"差旅状态；无统一日程"))))))</f>
        <v/>
      </c>
      <c r="E1502" s="13">
        <f>IF(C1502=Options!$B$9,Options!$C$18,0)</f>
        <v/>
      </c>
      <c r="F1502" s="13">
        <f>IF(AND(A1502&lt;&gt;"",C1502&lt;Options!$B$10),B1502*Options!$X$7,0)</f>
        <v/>
      </c>
      <c r="G1502" s="13">
        <f>F1502*12%</f>
        <v/>
      </c>
      <c r="H1502" s="13">
        <f>IF(A1502="",0,B1502*(86*IF(OR(C1502=Options!$B$9,C1502=Options!$B$10),75%,100%)-IF(C1502=DATE(2026,11,29),23+IF(Options!$B$8="是",22,0),0)-IF(C1502=DATE(2026,11,30),23,0)-IF(C1502=DATE(2026,12,1),59,0)-IF(C1502=DATE(2026,11,28),36,0)-IF(C1502=DATE(2026,12,2),23,0)))</f>
        <v/>
      </c>
      <c r="I1502" s="13">
        <f>IF(AND(C1502&gt;=DATE(2026,11,29),C1502&lt;=DATE(2026,12,1)),B1502*60,0)</f>
        <v/>
      </c>
      <c r="J1502" s="13">
        <f>IF(A1502="",0,B1502*(IF(C1502=DATE(2026,11,28),36,0)+IF(C1502=DATE(2026,12,1),36,0)+IF(C1502=DATE(2026,12,2),23,0)))</f>
        <v/>
      </c>
      <c r="K1502" s="13">
        <f>IF(C1502=Options!$B$9,B1502*12,0)</f>
        <v/>
      </c>
      <c r="L1502" s="13">
        <f>IF(C1502=Options!$B$9,B1502*Options!$Z$7,0)</f>
        <v/>
      </c>
      <c r="M1502" s="13" t="n">
        <v>0</v>
      </c>
      <c r="N1502" s="13">
        <f>SUM(E1502:M1502)</f>
        <v/>
      </c>
    </row>
    <row r="1503">
      <c r="A1503" s="5">
        <f>IF(AND(C1503&gt;=Options!$B$9,C1503&lt;=Options!$B$10),"Phoenix","")</f>
        <v/>
      </c>
      <c r="B1503" s="5">
        <f>IF(A1503="","",18)</f>
        <v/>
      </c>
      <c r="C1503" s="17" t="n">
        <v>46334</v>
      </c>
      <c r="D1503" s="5">
        <f>IF(A1503="","",IF(C1503=DATE(2026,11,29),"培训；注册午餐；早餐参数",IF(C1503=DATE(2026,11,30),"培训；注册午餐",IF(C1503=DATE(2026,12,1),"培训；注册午餐；机构晚餐",IF(C1503=Options!$B$9,"抵达；"&amp;IF(C1503=DATE(2026,11,28),"机构晚餐","无统一供餐"),IF(C1503=Options!$B$10,"返程；"&amp;IF(C1503=DATE(2026,12,2),"机构午餐","无统一供餐"),"差旅状态；无统一日程"))))))</f>
        <v/>
      </c>
      <c r="E1503" s="13">
        <f>IF(C1503=Options!$B$9,Options!$C$18,0)</f>
        <v/>
      </c>
      <c r="F1503" s="13">
        <f>IF(AND(A1503&lt;&gt;"",C1503&lt;Options!$B$10),B1503*Options!$X$7,0)</f>
        <v/>
      </c>
      <c r="G1503" s="13">
        <f>F1503*12%</f>
        <v/>
      </c>
      <c r="H1503" s="13">
        <f>IF(A1503="",0,B1503*(86*IF(OR(C1503=Options!$B$9,C1503=Options!$B$10),75%,100%)-IF(C1503=DATE(2026,11,29),23+IF(Options!$B$8="是",22,0),0)-IF(C1503=DATE(2026,11,30),23,0)-IF(C1503=DATE(2026,12,1),59,0)-IF(C1503=DATE(2026,11,28),36,0)-IF(C1503=DATE(2026,12,2),23,0)))</f>
        <v/>
      </c>
      <c r="I1503" s="13">
        <f>IF(AND(C1503&gt;=DATE(2026,11,29),C1503&lt;=DATE(2026,12,1)),B1503*60,0)</f>
        <v/>
      </c>
      <c r="J1503" s="13">
        <f>IF(A1503="",0,B1503*(IF(C1503=DATE(2026,11,28),36,0)+IF(C1503=DATE(2026,12,1),36,0)+IF(C1503=DATE(2026,12,2),23,0)))</f>
        <v/>
      </c>
      <c r="K1503" s="13">
        <f>IF(C1503=Options!$B$9,B1503*12,0)</f>
        <v/>
      </c>
      <c r="L1503" s="13">
        <f>IF(C1503=Options!$B$9,B1503*Options!$Z$7,0)</f>
        <v/>
      </c>
      <c r="M1503" s="13" t="n">
        <v>0</v>
      </c>
      <c r="N1503" s="13">
        <f>SUM(E1503:M1503)</f>
        <v/>
      </c>
    </row>
    <row r="1504">
      <c r="A1504" s="5">
        <f>IF(AND(C1504&gt;=Options!$B$9,C1504&lt;=Options!$B$10),"Phoenix","")</f>
        <v/>
      </c>
      <c r="B1504" s="5">
        <f>IF(A1504="","",18)</f>
        <v/>
      </c>
      <c r="C1504" s="17" t="n">
        <v>46335</v>
      </c>
      <c r="D1504" s="5">
        <f>IF(A1504="","",IF(C1504=DATE(2026,11,29),"培训；注册午餐；早餐参数",IF(C1504=DATE(2026,11,30),"培训；注册午餐",IF(C1504=DATE(2026,12,1),"培训；注册午餐；机构晚餐",IF(C1504=Options!$B$9,"抵达；"&amp;IF(C1504=DATE(2026,11,28),"机构晚餐","无统一供餐"),IF(C1504=Options!$B$10,"返程；"&amp;IF(C1504=DATE(2026,12,2),"机构午餐","无统一供餐"),"差旅状态；无统一日程"))))))</f>
        <v/>
      </c>
      <c r="E1504" s="13">
        <f>IF(C1504=Options!$B$9,Options!$C$18,0)</f>
        <v/>
      </c>
      <c r="F1504" s="13">
        <f>IF(AND(A1504&lt;&gt;"",C1504&lt;Options!$B$10),B1504*Options!$X$7,0)</f>
        <v/>
      </c>
      <c r="G1504" s="13">
        <f>F1504*12%</f>
        <v/>
      </c>
      <c r="H1504" s="13">
        <f>IF(A1504="",0,B1504*(86*IF(OR(C1504=Options!$B$9,C1504=Options!$B$10),75%,100%)-IF(C1504=DATE(2026,11,29),23+IF(Options!$B$8="是",22,0),0)-IF(C1504=DATE(2026,11,30),23,0)-IF(C1504=DATE(2026,12,1),59,0)-IF(C1504=DATE(2026,11,28),36,0)-IF(C1504=DATE(2026,12,2),23,0)))</f>
        <v/>
      </c>
      <c r="I1504" s="13">
        <f>IF(AND(C1504&gt;=DATE(2026,11,29),C1504&lt;=DATE(2026,12,1)),B1504*60,0)</f>
        <v/>
      </c>
      <c r="J1504" s="13">
        <f>IF(A1504="",0,B1504*(IF(C1504=DATE(2026,11,28),36,0)+IF(C1504=DATE(2026,12,1),36,0)+IF(C1504=DATE(2026,12,2),23,0)))</f>
        <v/>
      </c>
      <c r="K1504" s="13">
        <f>IF(C1504=Options!$B$9,B1504*12,0)</f>
        <v/>
      </c>
      <c r="L1504" s="13">
        <f>IF(C1504=Options!$B$9,B1504*Options!$Z$7,0)</f>
        <v/>
      </c>
      <c r="M1504" s="13" t="n">
        <v>0</v>
      </c>
      <c r="N1504" s="13">
        <f>SUM(E1504:M1504)</f>
        <v/>
      </c>
    </row>
    <row r="1505">
      <c r="A1505" s="5">
        <f>IF(AND(C1505&gt;=Options!$B$9,C1505&lt;=Options!$B$10),"Phoenix","")</f>
        <v/>
      </c>
      <c r="B1505" s="5">
        <f>IF(A1505="","",18)</f>
        <v/>
      </c>
      <c r="C1505" s="17" t="n">
        <v>46336</v>
      </c>
      <c r="D1505" s="5">
        <f>IF(A1505="","",IF(C1505=DATE(2026,11,29),"培训；注册午餐；早餐参数",IF(C1505=DATE(2026,11,30),"培训；注册午餐",IF(C1505=DATE(2026,12,1),"培训；注册午餐；机构晚餐",IF(C1505=Options!$B$9,"抵达；"&amp;IF(C1505=DATE(2026,11,28),"机构晚餐","无统一供餐"),IF(C1505=Options!$B$10,"返程；"&amp;IF(C1505=DATE(2026,12,2),"机构午餐","无统一供餐"),"差旅状态；无统一日程"))))))</f>
        <v/>
      </c>
      <c r="E1505" s="13">
        <f>IF(C1505=Options!$B$9,Options!$C$18,0)</f>
        <v/>
      </c>
      <c r="F1505" s="13">
        <f>IF(AND(A1505&lt;&gt;"",C1505&lt;Options!$B$10),B1505*Options!$X$7,0)</f>
        <v/>
      </c>
      <c r="G1505" s="13">
        <f>F1505*12%</f>
        <v/>
      </c>
      <c r="H1505" s="13">
        <f>IF(A1505="",0,B1505*(86*IF(OR(C1505=Options!$B$9,C1505=Options!$B$10),75%,100%)-IF(C1505=DATE(2026,11,29),23+IF(Options!$B$8="是",22,0),0)-IF(C1505=DATE(2026,11,30),23,0)-IF(C1505=DATE(2026,12,1),59,0)-IF(C1505=DATE(2026,11,28),36,0)-IF(C1505=DATE(2026,12,2),23,0)))</f>
        <v/>
      </c>
      <c r="I1505" s="13">
        <f>IF(AND(C1505&gt;=DATE(2026,11,29),C1505&lt;=DATE(2026,12,1)),B1505*60,0)</f>
        <v/>
      </c>
      <c r="J1505" s="13">
        <f>IF(A1505="",0,B1505*(IF(C1505=DATE(2026,11,28),36,0)+IF(C1505=DATE(2026,12,1),36,0)+IF(C1505=DATE(2026,12,2),23,0)))</f>
        <v/>
      </c>
      <c r="K1505" s="13">
        <f>IF(C1505=Options!$B$9,B1505*12,0)</f>
        <v/>
      </c>
      <c r="L1505" s="13">
        <f>IF(C1505=Options!$B$9,B1505*Options!$Z$7,0)</f>
        <v/>
      </c>
      <c r="M1505" s="13" t="n">
        <v>0</v>
      </c>
      <c r="N1505" s="13">
        <f>SUM(E1505:M1505)</f>
        <v/>
      </c>
    </row>
    <row r="1506">
      <c r="A1506" s="5">
        <f>IF(AND(C1506&gt;=Options!$B$9,C1506&lt;=Options!$B$10),"Phoenix","")</f>
        <v/>
      </c>
      <c r="B1506" s="5">
        <f>IF(A1506="","",18)</f>
        <v/>
      </c>
      <c r="C1506" s="17" t="n">
        <v>46337</v>
      </c>
      <c r="D1506" s="5">
        <f>IF(A1506="","",IF(C1506=DATE(2026,11,29),"培训；注册午餐；早餐参数",IF(C1506=DATE(2026,11,30),"培训；注册午餐",IF(C1506=DATE(2026,12,1),"培训；注册午餐；机构晚餐",IF(C1506=Options!$B$9,"抵达；"&amp;IF(C1506=DATE(2026,11,28),"机构晚餐","无统一供餐"),IF(C1506=Options!$B$10,"返程；"&amp;IF(C1506=DATE(2026,12,2),"机构午餐","无统一供餐"),"差旅状态；无统一日程"))))))</f>
        <v/>
      </c>
      <c r="E1506" s="13">
        <f>IF(C1506=Options!$B$9,Options!$C$18,0)</f>
        <v/>
      </c>
      <c r="F1506" s="13">
        <f>IF(AND(A1506&lt;&gt;"",C1506&lt;Options!$B$10),B1506*Options!$X$7,0)</f>
        <v/>
      </c>
      <c r="G1506" s="13">
        <f>F1506*12%</f>
        <v/>
      </c>
      <c r="H1506" s="13">
        <f>IF(A1506="",0,B1506*(86*IF(OR(C1506=Options!$B$9,C1506=Options!$B$10),75%,100%)-IF(C1506=DATE(2026,11,29),23+IF(Options!$B$8="是",22,0),0)-IF(C1506=DATE(2026,11,30),23,0)-IF(C1506=DATE(2026,12,1),59,0)-IF(C1506=DATE(2026,11,28),36,0)-IF(C1506=DATE(2026,12,2),23,0)))</f>
        <v/>
      </c>
      <c r="I1506" s="13">
        <f>IF(AND(C1506&gt;=DATE(2026,11,29),C1506&lt;=DATE(2026,12,1)),B1506*60,0)</f>
        <v/>
      </c>
      <c r="J1506" s="13">
        <f>IF(A1506="",0,B1506*(IF(C1506=DATE(2026,11,28),36,0)+IF(C1506=DATE(2026,12,1),36,0)+IF(C1506=DATE(2026,12,2),23,0)))</f>
        <v/>
      </c>
      <c r="K1506" s="13">
        <f>IF(C1506=Options!$B$9,B1506*12,0)</f>
        <v/>
      </c>
      <c r="L1506" s="13">
        <f>IF(C1506=Options!$B$9,B1506*Options!$Z$7,0)</f>
        <v/>
      </c>
      <c r="M1506" s="13" t="n">
        <v>0</v>
      </c>
      <c r="N1506" s="13">
        <f>SUM(E1506:M1506)</f>
        <v/>
      </c>
    </row>
    <row r="1507">
      <c r="A1507" s="5">
        <f>IF(AND(C1507&gt;=Options!$B$9,C1507&lt;=Options!$B$10),"Phoenix","")</f>
        <v/>
      </c>
      <c r="B1507" s="5">
        <f>IF(A1507="","",18)</f>
        <v/>
      </c>
      <c r="C1507" s="17" t="n">
        <v>46338</v>
      </c>
      <c r="D1507" s="5">
        <f>IF(A1507="","",IF(C1507=DATE(2026,11,29),"培训；注册午餐；早餐参数",IF(C1507=DATE(2026,11,30),"培训；注册午餐",IF(C1507=DATE(2026,12,1),"培训；注册午餐；机构晚餐",IF(C1507=Options!$B$9,"抵达；"&amp;IF(C1507=DATE(2026,11,28),"机构晚餐","无统一供餐"),IF(C1507=Options!$B$10,"返程；"&amp;IF(C1507=DATE(2026,12,2),"机构午餐","无统一供餐"),"差旅状态；无统一日程"))))))</f>
        <v/>
      </c>
      <c r="E1507" s="13">
        <f>IF(C1507=Options!$B$9,Options!$C$18,0)</f>
        <v/>
      </c>
      <c r="F1507" s="13">
        <f>IF(AND(A1507&lt;&gt;"",C1507&lt;Options!$B$10),B1507*Options!$X$7,0)</f>
        <v/>
      </c>
      <c r="G1507" s="13">
        <f>F1507*12%</f>
        <v/>
      </c>
      <c r="H1507" s="13">
        <f>IF(A1507="",0,B1507*(86*IF(OR(C1507=Options!$B$9,C1507=Options!$B$10),75%,100%)-IF(C1507=DATE(2026,11,29),23+IF(Options!$B$8="是",22,0),0)-IF(C1507=DATE(2026,11,30),23,0)-IF(C1507=DATE(2026,12,1),59,0)-IF(C1507=DATE(2026,11,28),36,0)-IF(C1507=DATE(2026,12,2),23,0)))</f>
        <v/>
      </c>
      <c r="I1507" s="13">
        <f>IF(AND(C1507&gt;=DATE(2026,11,29),C1507&lt;=DATE(2026,12,1)),B1507*60,0)</f>
        <v/>
      </c>
      <c r="J1507" s="13">
        <f>IF(A1507="",0,B1507*(IF(C1507=DATE(2026,11,28),36,0)+IF(C1507=DATE(2026,12,1),36,0)+IF(C1507=DATE(2026,12,2),23,0)))</f>
        <v/>
      </c>
      <c r="K1507" s="13">
        <f>IF(C1507=Options!$B$9,B1507*12,0)</f>
        <v/>
      </c>
      <c r="L1507" s="13">
        <f>IF(C1507=Options!$B$9,B1507*Options!$Z$7,0)</f>
        <v/>
      </c>
      <c r="M1507" s="13" t="n">
        <v>0</v>
      </c>
      <c r="N1507" s="13">
        <f>SUM(E1507:M1507)</f>
        <v/>
      </c>
    </row>
    <row r="1508">
      <c r="A1508" s="5">
        <f>IF(AND(C1508&gt;=Options!$B$9,C1508&lt;=Options!$B$10),"Phoenix","")</f>
        <v/>
      </c>
      <c r="B1508" s="5">
        <f>IF(A1508="","",18)</f>
        <v/>
      </c>
      <c r="C1508" s="17" t="n">
        <v>46339</v>
      </c>
      <c r="D1508" s="5">
        <f>IF(A1508="","",IF(C1508=DATE(2026,11,29),"培训；注册午餐；早餐参数",IF(C1508=DATE(2026,11,30),"培训；注册午餐",IF(C1508=DATE(2026,12,1),"培训；注册午餐；机构晚餐",IF(C1508=Options!$B$9,"抵达；"&amp;IF(C1508=DATE(2026,11,28),"机构晚餐","无统一供餐"),IF(C1508=Options!$B$10,"返程；"&amp;IF(C1508=DATE(2026,12,2),"机构午餐","无统一供餐"),"差旅状态；无统一日程"))))))</f>
        <v/>
      </c>
      <c r="E1508" s="13">
        <f>IF(C1508=Options!$B$9,Options!$C$18,0)</f>
        <v/>
      </c>
      <c r="F1508" s="13">
        <f>IF(AND(A1508&lt;&gt;"",C1508&lt;Options!$B$10),B1508*Options!$X$7,0)</f>
        <v/>
      </c>
      <c r="G1508" s="13">
        <f>F1508*12%</f>
        <v/>
      </c>
      <c r="H1508" s="13">
        <f>IF(A1508="",0,B1508*(86*IF(OR(C1508=Options!$B$9,C1508=Options!$B$10),75%,100%)-IF(C1508=DATE(2026,11,29),23+IF(Options!$B$8="是",22,0),0)-IF(C1508=DATE(2026,11,30),23,0)-IF(C1508=DATE(2026,12,1),59,0)-IF(C1508=DATE(2026,11,28),36,0)-IF(C1508=DATE(2026,12,2),23,0)))</f>
        <v/>
      </c>
      <c r="I1508" s="13">
        <f>IF(AND(C1508&gt;=DATE(2026,11,29),C1508&lt;=DATE(2026,12,1)),B1508*60,0)</f>
        <v/>
      </c>
      <c r="J1508" s="13">
        <f>IF(A1508="",0,B1508*(IF(C1508=DATE(2026,11,28),36,0)+IF(C1508=DATE(2026,12,1),36,0)+IF(C1508=DATE(2026,12,2),23,0)))</f>
        <v/>
      </c>
      <c r="K1508" s="13">
        <f>IF(C1508=Options!$B$9,B1508*12,0)</f>
        <v/>
      </c>
      <c r="L1508" s="13">
        <f>IF(C1508=Options!$B$9,B1508*Options!$Z$7,0)</f>
        <v/>
      </c>
      <c r="M1508" s="13" t="n">
        <v>0</v>
      </c>
      <c r="N1508" s="13">
        <f>SUM(E1508:M1508)</f>
        <v/>
      </c>
    </row>
    <row r="1509">
      <c r="A1509" s="5">
        <f>IF(AND(C1509&gt;=Options!$B$9,C1509&lt;=Options!$B$10),"Phoenix","")</f>
        <v/>
      </c>
      <c r="B1509" s="5">
        <f>IF(A1509="","",18)</f>
        <v/>
      </c>
      <c r="C1509" s="17" t="n">
        <v>46340</v>
      </c>
      <c r="D1509" s="5">
        <f>IF(A1509="","",IF(C1509=DATE(2026,11,29),"培训；注册午餐；早餐参数",IF(C1509=DATE(2026,11,30),"培训；注册午餐",IF(C1509=DATE(2026,12,1),"培训；注册午餐；机构晚餐",IF(C1509=Options!$B$9,"抵达；"&amp;IF(C1509=DATE(2026,11,28),"机构晚餐","无统一供餐"),IF(C1509=Options!$B$10,"返程；"&amp;IF(C1509=DATE(2026,12,2),"机构午餐","无统一供餐"),"差旅状态；无统一日程"))))))</f>
        <v/>
      </c>
      <c r="E1509" s="13">
        <f>IF(C1509=Options!$B$9,Options!$C$18,0)</f>
        <v/>
      </c>
      <c r="F1509" s="13">
        <f>IF(AND(A1509&lt;&gt;"",C1509&lt;Options!$B$10),B1509*Options!$X$7,0)</f>
        <v/>
      </c>
      <c r="G1509" s="13">
        <f>F1509*12%</f>
        <v/>
      </c>
      <c r="H1509" s="13">
        <f>IF(A1509="",0,B1509*(86*IF(OR(C1509=Options!$B$9,C1509=Options!$B$10),75%,100%)-IF(C1509=DATE(2026,11,29),23+IF(Options!$B$8="是",22,0),0)-IF(C1509=DATE(2026,11,30),23,0)-IF(C1509=DATE(2026,12,1),59,0)-IF(C1509=DATE(2026,11,28),36,0)-IF(C1509=DATE(2026,12,2),23,0)))</f>
        <v/>
      </c>
      <c r="I1509" s="13">
        <f>IF(AND(C1509&gt;=DATE(2026,11,29),C1509&lt;=DATE(2026,12,1)),B1509*60,0)</f>
        <v/>
      </c>
      <c r="J1509" s="13">
        <f>IF(A1509="",0,B1509*(IF(C1509=DATE(2026,11,28),36,0)+IF(C1509=DATE(2026,12,1),36,0)+IF(C1509=DATE(2026,12,2),23,0)))</f>
        <v/>
      </c>
      <c r="K1509" s="13">
        <f>IF(C1509=Options!$B$9,B1509*12,0)</f>
        <v/>
      </c>
      <c r="L1509" s="13">
        <f>IF(C1509=Options!$B$9,B1509*Options!$Z$7,0)</f>
        <v/>
      </c>
      <c r="M1509" s="13" t="n">
        <v>0</v>
      </c>
      <c r="N1509" s="13">
        <f>SUM(E1509:M1509)</f>
        <v/>
      </c>
    </row>
    <row r="1510">
      <c r="A1510" s="5">
        <f>IF(AND(C1510&gt;=Options!$B$9,C1510&lt;=Options!$B$10),"Phoenix","")</f>
        <v/>
      </c>
      <c r="B1510" s="5">
        <f>IF(A1510="","",18)</f>
        <v/>
      </c>
      <c r="C1510" s="17" t="n">
        <v>46341</v>
      </c>
      <c r="D1510" s="5">
        <f>IF(A1510="","",IF(C1510=DATE(2026,11,29),"培训；注册午餐；早餐参数",IF(C1510=DATE(2026,11,30),"培训；注册午餐",IF(C1510=DATE(2026,12,1),"培训；注册午餐；机构晚餐",IF(C1510=Options!$B$9,"抵达；"&amp;IF(C1510=DATE(2026,11,28),"机构晚餐","无统一供餐"),IF(C1510=Options!$B$10,"返程；"&amp;IF(C1510=DATE(2026,12,2),"机构午餐","无统一供餐"),"差旅状态；无统一日程"))))))</f>
        <v/>
      </c>
      <c r="E1510" s="13">
        <f>IF(C1510=Options!$B$9,Options!$C$18,0)</f>
        <v/>
      </c>
      <c r="F1510" s="13">
        <f>IF(AND(A1510&lt;&gt;"",C1510&lt;Options!$B$10),B1510*Options!$X$7,0)</f>
        <v/>
      </c>
      <c r="G1510" s="13">
        <f>F1510*12%</f>
        <v/>
      </c>
      <c r="H1510" s="13">
        <f>IF(A1510="",0,B1510*(86*IF(OR(C1510=Options!$B$9,C1510=Options!$B$10),75%,100%)-IF(C1510=DATE(2026,11,29),23+IF(Options!$B$8="是",22,0),0)-IF(C1510=DATE(2026,11,30),23,0)-IF(C1510=DATE(2026,12,1),59,0)-IF(C1510=DATE(2026,11,28),36,0)-IF(C1510=DATE(2026,12,2),23,0)))</f>
        <v/>
      </c>
      <c r="I1510" s="13">
        <f>IF(AND(C1510&gt;=DATE(2026,11,29),C1510&lt;=DATE(2026,12,1)),B1510*60,0)</f>
        <v/>
      </c>
      <c r="J1510" s="13">
        <f>IF(A1510="",0,B1510*(IF(C1510=DATE(2026,11,28),36,0)+IF(C1510=DATE(2026,12,1),36,0)+IF(C1510=DATE(2026,12,2),23,0)))</f>
        <v/>
      </c>
      <c r="K1510" s="13">
        <f>IF(C1510=Options!$B$9,B1510*12,0)</f>
        <v/>
      </c>
      <c r="L1510" s="13">
        <f>IF(C1510=Options!$B$9,B1510*Options!$Z$7,0)</f>
        <v/>
      </c>
      <c r="M1510" s="13" t="n">
        <v>0</v>
      </c>
      <c r="N1510" s="13">
        <f>SUM(E1510:M1510)</f>
        <v/>
      </c>
    </row>
    <row r="1511">
      <c r="A1511" s="5">
        <f>IF(AND(C1511&gt;=Options!$B$9,C1511&lt;=Options!$B$10),"Phoenix","")</f>
        <v/>
      </c>
      <c r="B1511" s="5">
        <f>IF(A1511="","",18)</f>
        <v/>
      </c>
      <c r="C1511" s="17" t="n">
        <v>46342</v>
      </c>
      <c r="D1511" s="5">
        <f>IF(A1511="","",IF(C1511=DATE(2026,11,29),"培训；注册午餐；早餐参数",IF(C1511=DATE(2026,11,30),"培训；注册午餐",IF(C1511=DATE(2026,12,1),"培训；注册午餐；机构晚餐",IF(C1511=Options!$B$9,"抵达；"&amp;IF(C1511=DATE(2026,11,28),"机构晚餐","无统一供餐"),IF(C1511=Options!$B$10,"返程；"&amp;IF(C1511=DATE(2026,12,2),"机构午餐","无统一供餐"),"差旅状态；无统一日程"))))))</f>
        <v/>
      </c>
      <c r="E1511" s="13">
        <f>IF(C1511=Options!$B$9,Options!$C$18,0)</f>
        <v/>
      </c>
      <c r="F1511" s="13">
        <f>IF(AND(A1511&lt;&gt;"",C1511&lt;Options!$B$10),B1511*Options!$X$7,0)</f>
        <v/>
      </c>
      <c r="G1511" s="13">
        <f>F1511*12%</f>
        <v/>
      </c>
      <c r="H1511" s="13">
        <f>IF(A1511="",0,B1511*(86*IF(OR(C1511=Options!$B$9,C1511=Options!$B$10),75%,100%)-IF(C1511=DATE(2026,11,29),23+IF(Options!$B$8="是",22,0),0)-IF(C1511=DATE(2026,11,30),23,0)-IF(C1511=DATE(2026,12,1),59,0)-IF(C1511=DATE(2026,11,28),36,0)-IF(C1511=DATE(2026,12,2),23,0)))</f>
        <v/>
      </c>
      <c r="I1511" s="13">
        <f>IF(AND(C1511&gt;=DATE(2026,11,29),C1511&lt;=DATE(2026,12,1)),B1511*60,0)</f>
        <v/>
      </c>
      <c r="J1511" s="13">
        <f>IF(A1511="",0,B1511*(IF(C1511=DATE(2026,11,28),36,0)+IF(C1511=DATE(2026,12,1),36,0)+IF(C1511=DATE(2026,12,2),23,0)))</f>
        <v/>
      </c>
      <c r="K1511" s="13">
        <f>IF(C1511=Options!$B$9,B1511*12,0)</f>
        <v/>
      </c>
      <c r="L1511" s="13">
        <f>IF(C1511=Options!$B$9,B1511*Options!$Z$7,0)</f>
        <v/>
      </c>
      <c r="M1511" s="13" t="n">
        <v>0</v>
      </c>
      <c r="N1511" s="13">
        <f>SUM(E1511:M1511)</f>
        <v/>
      </c>
    </row>
    <row r="1512">
      <c r="A1512" s="5">
        <f>IF(AND(C1512&gt;=Options!$B$9,C1512&lt;=Options!$B$10),"Phoenix","")</f>
        <v/>
      </c>
      <c r="B1512" s="5">
        <f>IF(A1512="","",18)</f>
        <v/>
      </c>
      <c r="C1512" s="17" t="n">
        <v>46343</v>
      </c>
      <c r="D1512" s="5">
        <f>IF(A1512="","",IF(C1512=DATE(2026,11,29),"培训；注册午餐；早餐参数",IF(C1512=DATE(2026,11,30),"培训；注册午餐",IF(C1512=DATE(2026,12,1),"培训；注册午餐；机构晚餐",IF(C1512=Options!$B$9,"抵达；"&amp;IF(C1512=DATE(2026,11,28),"机构晚餐","无统一供餐"),IF(C1512=Options!$B$10,"返程；"&amp;IF(C1512=DATE(2026,12,2),"机构午餐","无统一供餐"),"差旅状态；无统一日程"))))))</f>
        <v/>
      </c>
      <c r="E1512" s="13">
        <f>IF(C1512=Options!$B$9,Options!$C$18,0)</f>
        <v/>
      </c>
      <c r="F1512" s="13">
        <f>IF(AND(A1512&lt;&gt;"",C1512&lt;Options!$B$10),B1512*Options!$X$7,0)</f>
        <v/>
      </c>
      <c r="G1512" s="13">
        <f>F1512*12%</f>
        <v/>
      </c>
      <c r="H1512" s="13">
        <f>IF(A1512="",0,B1512*(86*IF(OR(C1512=Options!$B$9,C1512=Options!$B$10),75%,100%)-IF(C1512=DATE(2026,11,29),23+IF(Options!$B$8="是",22,0),0)-IF(C1512=DATE(2026,11,30),23,0)-IF(C1512=DATE(2026,12,1),59,0)-IF(C1512=DATE(2026,11,28),36,0)-IF(C1512=DATE(2026,12,2),23,0)))</f>
        <v/>
      </c>
      <c r="I1512" s="13">
        <f>IF(AND(C1512&gt;=DATE(2026,11,29),C1512&lt;=DATE(2026,12,1)),B1512*60,0)</f>
        <v/>
      </c>
      <c r="J1512" s="13">
        <f>IF(A1512="",0,B1512*(IF(C1512=DATE(2026,11,28),36,0)+IF(C1512=DATE(2026,12,1),36,0)+IF(C1512=DATE(2026,12,2),23,0)))</f>
        <v/>
      </c>
      <c r="K1512" s="13">
        <f>IF(C1512=Options!$B$9,B1512*12,0)</f>
        <v/>
      </c>
      <c r="L1512" s="13">
        <f>IF(C1512=Options!$B$9,B1512*Options!$Z$7,0)</f>
        <v/>
      </c>
      <c r="M1512" s="13" t="n">
        <v>0</v>
      </c>
      <c r="N1512" s="13">
        <f>SUM(E1512:M1512)</f>
        <v/>
      </c>
    </row>
    <row r="1513">
      <c r="A1513" s="5">
        <f>IF(AND(C1513&gt;=Options!$B$9,C1513&lt;=Options!$B$10),"Phoenix","")</f>
        <v/>
      </c>
      <c r="B1513" s="5">
        <f>IF(A1513="","",18)</f>
        <v/>
      </c>
      <c r="C1513" s="17" t="n">
        <v>46344</v>
      </c>
      <c r="D1513" s="5">
        <f>IF(A1513="","",IF(C1513=DATE(2026,11,29),"培训；注册午餐；早餐参数",IF(C1513=DATE(2026,11,30),"培训；注册午餐",IF(C1513=DATE(2026,12,1),"培训；注册午餐；机构晚餐",IF(C1513=Options!$B$9,"抵达；"&amp;IF(C1513=DATE(2026,11,28),"机构晚餐","无统一供餐"),IF(C1513=Options!$B$10,"返程；"&amp;IF(C1513=DATE(2026,12,2),"机构午餐","无统一供餐"),"差旅状态；无统一日程"))))))</f>
        <v/>
      </c>
      <c r="E1513" s="13">
        <f>IF(C1513=Options!$B$9,Options!$C$18,0)</f>
        <v/>
      </c>
      <c r="F1513" s="13">
        <f>IF(AND(A1513&lt;&gt;"",C1513&lt;Options!$B$10),B1513*Options!$X$7,0)</f>
        <v/>
      </c>
      <c r="G1513" s="13">
        <f>F1513*12%</f>
        <v/>
      </c>
      <c r="H1513" s="13">
        <f>IF(A1513="",0,B1513*(86*IF(OR(C1513=Options!$B$9,C1513=Options!$B$10),75%,100%)-IF(C1513=DATE(2026,11,29),23+IF(Options!$B$8="是",22,0),0)-IF(C1513=DATE(2026,11,30),23,0)-IF(C1513=DATE(2026,12,1),59,0)-IF(C1513=DATE(2026,11,28),36,0)-IF(C1513=DATE(2026,12,2),23,0)))</f>
        <v/>
      </c>
      <c r="I1513" s="13">
        <f>IF(AND(C1513&gt;=DATE(2026,11,29),C1513&lt;=DATE(2026,12,1)),B1513*60,0)</f>
        <v/>
      </c>
      <c r="J1513" s="13">
        <f>IF(A1513="",0,B1513*(IF(C1513=DATE(2026,11,28),36,0)+IF(C1513=DATE(2026,12,1),36,0)+IF(C1513=DATE(2026,12,2),23,0)))</f>
        <v/>
      </c>
      <c r="K1513" s="13">
        <f>IF(C1513=Options!$B$9,B1513*12,0)</f>
        <v/>
      </c>
      <c r="L1513" s="13">
        <f>IF(C1513=Options!$B$9,B1513*Options!$Z$7,0)</f>
        <v/>
      </c>
      <c r="M1513" s="13" t="n">
        <v>0</v>
      </c>
      <c r="N1513" s="13">
        <f>SUM(E1513:M1513)</f>
        <v/>
      </c>
    </row>
    <row r="1514">
      <c r="A1514" s="5">
        <f>IF(AND(C1514&gt;=Options!$B$9,C1514&lt;=Options!$B$10),"Phoenix","")</f>
        <v/>
      </c>
      <c r="B1514" s="5">
        <f>IF(A1514="","",18)</f>
        <v/>
      </c>
      <c r="C1514" s="17" t="n">
        <v>46345</v>
      </c>
      <c r="D1514" s="5">
        <f>IF(A1514="","",IF(C1514=DATE(2026,11,29),"培训；注册午餐；早餐参数",IF(C1514=DATE(2026,11,30),"培训；注册午餐",IF(C1514=DATE(2026,12,1),"培训；注册午餐；机构晚餐",IF(C1514=Options!$B$9,"抵达；"&amp;IF(C1514=DATE(2026,11,28),"机构晚餐","无统一供餐"),IF(C1514=Options!$B$10,"返程；"&amp;IF(C1514=DATE(2026,12,2),"机构午餐","无统一供餐"),"差旅状态；无统一日程"))))))</f>
        <v/>
      </c>
      <c r="E1514" s="13">
        <f>IF(C1514=Options!$B$9,Options!$C$18,0)</f>
        <v/>
      </c>
      <c r="F1514" s="13">
        <f>IF(AND(A1514&lt;&gt;"",C1514&lt;Options!$B$10),B1514*Options!$X$7,0)</f>
        <v/>
      </c>
      <c r="G1514" s="13">
        <f>F1514*12%</f>
        <v/>
      </c>
      <c r="H1514" s="13">
        <f>IF(A1514="",0,B1514*(86*IF(OR(C1514=Options!$B$9,C1514=Options!$B$10),75%,100%)-IF(C1514=DATE(2026,11,29),23+IF(Options!$B$8="是",22,0),0)-IF(C1514=DATE(2026,11,30),23,0)-IF(C1514=DATE(2026,12,1),59,0)-IF(C1514=DATE(2026,11,28),36,0)-IF(C1514=DATE(2026,12,2),23,0)))</f>
        <v/>
      </c>
      <c r="I1514" s="13">
        <f>IF(AND(C1514&gt;=DATE(2026,11,29),C1514&lt;=DATE(2026,12,1)),B1514*60,0)</f>
        <v/>
      </c>
      <c r="J1514" s="13">
        <f>IF(A1514="",0,B1514*(IF(C1514=DATE(2026,11,28),36,0)+IF(C1514=DATE(2026,12,1),36,0)+IF(C1514=DATE(2026,12,2),23,0)))</f>
        <v/>
      </c>
      <c r="K1514" s="13">
        <f>IF(C1514=Options!$B$9,B1514*12,0)</f>
        <v/>
      </c>
      <c r="L1514" s="13">
        <f>IF(C1514=Options!$B$9,B1514*Options!$Z$7,0)</f>
        <v/>
      </c>
      <c r="M1514" s="13" t="n">
        <v>0</v>
      </c>
      <c r="N1514" s="13">
        <f>SUM(E1514:M1514)</f>
        <v/>
      </c>
    </row>
    <row r="1515">
      <c r="A1515" s="5">
        <f>IF(AND(C1515&gt;=Options!$B$9,C1515&lt;=Options!$B$10),"Phoenix","")</f>
        <v/>
      </c>
      <c r="B1515" s="5">
        <f>IF(A1515="","",18)</f>
        <v/>
      </c>
      <c r="C1515" s="17" t="n">
        <v>46346</v>
      </c>
      <c r="D1515" s="5">
        <f>IF(A1515="","",IF(C1515=DATE(2026,11,29),"培训；注册午餐；早餐参数",IF(C1515=DATE(2026,11,30),"培训；注册午餐",IF(C1515=DATE(2026,12,1),"培训；注册午餐；机构晚餐",IF(C1515=Options!$B$9,"抵达；"&amp;IF(C1515=DATE(2026,11,28),"机构晚餐","无统一供餐"),IF(C1515=Options!$B$10,"返程；"&amp;IF(C1515=DATE(2026,12,2),"机构午餐","无统一供餐"),"差旅状态；无统一日程"))))))</f>
        <v/>
      </c>
      <c r="E1515" s="13">
        <f>IF(C1515=Options!$B$9,Options!$C$18,0)</f>
        <v/>
      </c>
      <c r="F1515" s="13">
        <f>IF(AND(A1515&lt;&gt;"",C1515&lt;Options!$B$10),B1515*Options!$X$7,0)</f>
        <v/>
      </c>
      <c r="G1515" s="13">
        <f>F1515*12%</f>
        <v/>
      </c>
      <c r="H1515" s="13">
        <f>IF(A1515="",0,B1515*(86*IF(OR(C1515=Options!$B$9,C1515=Options!$B$10),75%,100%)-IF(C1515=DATE(2026,11,29),23+IF(Options!$B$8="是",22,0),0)-IF(C1515=DATE(2026,11,30),23,0)-IF(C1515=DATE(2026,12,1),59,0)-IF(C1515=DATE(2026,11,28),36,0)-IF(C1515=DATE(2026,12,2),23,0)))</f>
        <v/>
      </c>
      <c r="I1515" s="13">
        <f>IF(AND(C1515&gt;=DATE(2026,11,29),C1515&lt;=DATE(2026,12,1)),B1515*60,0)</f>
        <v/>
      </c>
      <c r="J1515" s="13">
        <f>IF(A1515="",0,B1515*(IF(C1515=DATE(2026,11,28),36,0)+IF(C1515=DATE(2026,12,1),36,0)+IF(C1515=DATE(2026,12,2),23,0)))</f>
        <v/>
      </c>
      <c r="K1515" s="13">
        <f>IF(C1515=Options!$B$9,B1515*12,0)</f>
        <v/>
      </c>
      <c r="L1515" s="13">
        <f>IF(C1515=Options!$B$9,B1515*Options!$Z$7,0)</f>
        <v/>
      </c>
      <c r="M1515" s="13" t="n">
        <v>0</v>
      </c>
      <c r="N1515" s="13">
        <f>SUM(E1515:M1515)</f>
        <v/>
      </c>
    </row>
    <row r="1516">
      <c r="A1516" s="5">
        <f>IF(AND(C1516&gt;=Options!$B$9,C1516&lt;=Options!$B$10),"Phoenix","")</f>
        <v/>
      </c>
      <c r="B1516" s="5">
        <f>IF(A1516="","",18)</f>
        <v/>
      </c>
      <c r="C1516" s="17" t="n">
        <v>46347</v>
      </c>
      <c r="D1516" s="5">
        <f>IF(A1516="","",IF(C1516=DATE(2026,11,29),"培训；注册午餐；早餐参数",IF(C1516=DATE(2026,11,30),"培训；注册午餐",IF(C1516=DATE(2026,12,1),"培训；注册午餐；机构晚餐",IF(C1516=Options!$B$9,"抵达；"&amp;IF(C1516=DATE(2026,11,28),"机构晚餐","无统一供餐"),IF(C1516=Options!$B$10,"返程；"&amp;IF(C1516=DATE(2026,12,2),"机构午餐","无统一供餐"),"差旅状态；无统一日程"))))))</f>
        <v/>
      </c>
      <c r="E1516" s="13">
        <f>IF(C1516=Options!$B$9,Options!$C$18,0)</f>
        <v/>
      </c>
      <c r="F1516" s="13">
        <f>IF(AND(A1516&lt;&gt;"",C1516&lt;Options!$B$10),B1516*Options!$X$7,0)</f>
        <v/>
      </c>
      <c r="G1516" s="13">
        <f>F1516*12%</f>
        <v/>
      </c>
      <c r="H1516" s="13">
        <f>IF(A1516="",0,B1516*(86*IF(OR(C1516=Options!$B$9,C1516=Options!$B$10),75%,100%)-IF(C1516=DATE(2026,11,29),23+IF(Options!$B$8="是",22,0),0)-IF(C1516=DATE(2026,11,30),23,0)-IF(C1516=DATE(2026,12,1),59,0)-IF(C1516=DATE(2026,11,28),36,0)-IF(C1516=DATE(2026,12,2),23,0)))</f>
        <v/>
      </c>
      <c r="I1516" s="13">
        <f>IF(AND(C1516&gt;=DATE(2026,11,29),C1516&lt;=DATE(2026,12,1)),B1516*60,0)</f>
        <v/>
      </c>
      <c r="J1516" s="13">
        <f>IF(A1516="",0,B1516*(IF(C1516=DATE(2026,11,28),36,0)+IF(C1516=DATE(2026,12,1),36,0)+IF(C1516=DATE(2026,12,2),23,0)))</f>
        <v/>
      </c>
      <c r="K1516" s="13">
        <f>IF(C1516=Options!$B$9,B1516*12,0)</f>
        <v/>
      </c>
      <c r="L1516" s="13">
        <f>IF(C1516=Options!$B$9,B1516*Options!$Z$7,0)</f>
        <v/>
      </c>
      <c r="M1516" s="13" t="n">
        <v>0</v>
      </c>
      <c r="N1516" s="13">
        <f>SUM(E1516:M1516)</f>
        <v/>
      </c>
    </row>
    <row r="1517">
      <c r="A1517" s="5">
        <f>IF(AND(C1517&gt;=Options!$B$9,C1517&lt;=Options!$B$10),"Phoenix","")</f>
        <v/>
      </c>
      <c r="B1517" s="5">
        <f>IF(A1517="","",18)</f>
        <v/>
      </c>
      <c r="C1517" s="17" t="n">
        <v>46348</v>
      </c>
      <c r="D1517" s="5">
        <f>IF(A1517="","",IF(C1517=DATE(2026,11,29),"培训；注册午餐；早餐参数",IF(C1517=DATE(2026,11,30),"培训；注册午餐",IF(C1517=DATE(2026,12,1),"培训；注册午餐；机构晚餐",IF(C1517=Options!$B$9,"抵达；"&amp;IF(C1517=DATE(2026,11,28),"机构晚餐","无统一供餐"),IF(C1517=Options!$B$10,"返程；"&amp;IF(C1517=DATE(2026,12,2),"机构午餐","无统一供餐"),"差旅状态；无统一日程"))))))</f>
        <v/>
      </c>
      <c r="E1517" s="13">
        <f>IF(C1517=Options!$B$9,Options!$C$18,0)</f>
        <v/>
      </c>
      <c r="F1517" s="13">
        <f>IF(AND(A1517&lt;&gt;"",C1517&lt;Options!$B$10),B1517*Options!$X$7,0)</f>
        <v/>
      </c>
      <c r="G1517" s="13">
        <f>F1517*12%</f>
        <v/>
      </c>
      <c r="H1517" s="13">
        <f>IF(A1517="",0,B1517*(86*IF(OR(C1517=Options!$B$9,C1517=Options!$B$10),75%,100%)-IF(C1517=DATE(2026,11,29),23+IF(Options!$B$8="是",22,0),0)-IF(C1517=DATE(2026,11,30),23,0)-IF(C1517=DATE(2026,12,1),59,0)-IF(C1517=DATE(2026,11,28),36,0)-IF(C1517=DATE(2026,12,2),23,0)))</f>
        <v/>
      </c>
      <c r="I1517" s="13">
        <f>IF(AND(C1517&gt;=DATE(2026,11,29),C1517&lt;=DATE(2026,12,1)),B1517*60,0)</f>
        <v/>
      </c>
      <c r="J1517" s="13">
        <f>IF(A1517="",0,B1517*(IF(C1517=DATE(2026,11,28),36,0)+IF(C1517=DATE(2026,12,1),36,0)+IF(C1517=DATE(2026,12,2),23,0)))</f>
        <v/>
      </c>
      <c r="K1517" s="13">
        <f>IF(C1517=Options!$B$9,B1517*12,0)</f>
        <v/>
      </c>
      <c r="L1517" s="13">
        <f>IF(C1517=Options!$B$9,B1517*Options!$Z$7,0)</f>
        <v/>
      </c>
      <c r="M1517" s="13" t="n">
        <v>0</v>
      </c>
      <c r="N1517" s="13">
        <f>SUM(E1517:M1517)</f>
        <v/>
      </c>
    </row>
    <row r="1518">
      <c r="A1518" s="5">
        <f>IF(AND(C1518&gt;=Options!$B$9,C1518&lt;=Options!$B$10),"Phoenix","")</f>
        <v/>
      </c>
      <c r="B1518" s="5">
        <f>IF(A1518="","",18)</f>
        <v/>
      </c>
      <c r="C1518" s="17" t="n">
        <v>46349</v>
      </c>
      <c r="D1518" s="5">
        <f>IF(A1518="","",IF(C1518=DATE(2026,11,29),"培训；注册午餐；早餐参数",IF(C1518=DATE(2026,11,30),"培训；注册午餐",IF(C1518=DATE(2026,12,1),"培训；注册午餐；机构晚餐",IF(C1518=Options!$B$9,"抵达；"&amp;IF(C1518=DATE(2026,11,28),"机构晚餐","无统一供餐"),IF(C1518=Options!$B$10,"返程；"&amp;IF(C1518=DATE(2026,12,2),"机构午餐","无统一供餐"),"差旅状态；无统一日程"))))))</f>
        <v/>
      </c>
      <c r="E1518" s="13">
        <f>IF(C1518=Options!$B$9,Options!$C$18,0)</f>
        <v/>
      </c>
      <c r="F1518" s="13">
        <f>IF(AND(A1518&lt;&gt;"",C1518&lt;Options!$B$10),B1518*Options!$X$7,0)</f>
        <v/>
      </c>
      <c r="G1518" s="13">
        <f>F1518*12%</f>
        <v/>
      </c>
      <c r="H1518" s="13">
        <f>IF(A1518="",0,B1518*(86*IF(OR(C1518=Options!$B$9,C1518=Options!$B$10),75%,100%)-IF(C1518=DATE(2026,11,29),23+IF(Options!$B$8="是",22,0),0)-IF(C1518=DATE(2026,11,30),23,0)-IF(C1518=DATE(2026,12,1),59,0)-IF(C1518=DATE(2026,11,28),36,0)-IF(C1518=DATE(2026,12,2),23,0)))</f>
        <v/>
      </c>
      <c r="I1518" s="13">
        <f>IF(AND(C1518&gt;=DATE(2026,11,29),C1518&lt;=DATE(2026,12,1)),B1518*60,0)</f>
        <v/>
      </c>
      <c r="J1518" s="13">
        <f>IF(A1518="",0,B1518*(IF(C1518=DATE(2026,11,28),36,0)+IF(C1518=DATE(2026,12,1),36,0)+IF(C1518=DATE(2026,12,2),23,0)))</f>
        <v/>
      </c>
      <c r="K1518" s="13">
        <f>IF(C1518=Options!$B$9,B1518*12,0)</f>
        <v/>
      </c>
      <c r="L1518" s="13">
        <f>IF(C1518=Options!$B$9,B1518*Options!$Z$7,0)</f>
        <v/>
      </c>
      <c r="M1518" s="13" t="n">
        <v>0</v>
      </c>
      <c r="N1518" s="13">
        <f>SUM(E1518:M1518)</f>
        <v/>
      </c>
    </row>
    <row r="1519">
      <c r="A1519" s="5">
        <f>IF(AND(C1519&gt;=Options!$B$9,C1519&lt;=Options!$B$10),"Phoenix","")</f>
        <v/>
      </c>
      <c r="B1519" s="5">
        <f>IF(A1519="","",18)</f>
        <v/>
      </c>
      <c r="C1519" s="17" t="n">
        <v>46350</v>
      </c>
      <c r="D1519" s="5">
        <f>IF(A1519="","",IF(C1519=DATE(2026,11,29),"培训；注册午餐；早餐参数",IF(C1519=DATE(2026,11,30),"培训；注册午餐",IF(C1519=DATE(2026,12,1),"培训；注册午餐；机构晚餐",IF(C1519=Options!$B$9,"抵达；"&amp;IF(C1519=DATE(2026,11,28),"机构晚餐","无统一供餐"),IF(C1519=Options!$B$10,"返程；"&amp;IF(C1519=DATE(2026,12,2),"机构午餐","无统一供餐"),"差旅状态；无统一日程"))))))</f>
        <v/>
      </c>
      <c r="E1519" s="13">
        <f>IF(C1519=Options!$B$9,Options!$C$18,0)</f>
        <v/>
      </c>
      <c r="F1519" s="13">
        <f>IF(AND(A1519&lt;&gt;"",C1519&lt;Options!$B$10),B1519*Options!$X$7,0)</f>
        <v/>
      </c>
      <c r="G1519" s="13">
        <f>F1519*12%</f>
        <v/>
      </c>
      <c r="H1519" s="13">
        <f>IF(A1519="",0,B1519*(86*IF(OR(C1519=Options!$B$9,C1519=Options!$B$10),75%,100%)-IF(C1519=DATE(2026,11,29),23+IF(Options!$B$8="是",22,0),0)-IF(C1519=DATE(2026,11,30),23,0)-IF(C1519=DATE(2026,12,1),59,0)-IF(C1519=DATE(2026,11,28),36,0)-IF(C1519=DATE(2026,12,2),23,0)))</f>
        <v/>
      </c>
      <c r="I1519" s="13">
        <f>IF(AND(C1519&gt;=DATE(2026,11,29),C1519&lt;=DATE(2026,12,1)),B1519*60,0)</f>
        <v/>
      </c>
      <c r="J1519" s="13">
        <f>IF(A1519="",0,B1519*(IF(C1519=DATE(2026,11,28),36,0)+IF(C1519=DATE(2026,12,1),36,0)+IF(C1519=DATE(2026,12,2),23,0)))</f>
        <v/>
      </c>
      <c r="K1519" s="13">
        <f>IF(C1519=Options!$B$9,B1519*12,0)</f>
        <v/>
      </c>
      <c r="L1519" s="13">
        <f>IF(C1519=Options!$B$9,B1519*Options!$Z$7,0)</f>
        <v/>
      </c>
      <c r="M1519" s="13" t="n">
        <v>0</v>
      </c>
      <c r="N1519" s="13">
        <f>SUM(E1519:M1519)</f>
        <v/>
      </c>
    </row>
    <row r="1520">
      <c r="A1520" s="5">
        <f>IF(AND(C1520&gt;=Options!$B$9,C1520&lt;=Options!$B$10),"Phoenix","")</f>
        <v/>
      </c>
      <c r="B1520" s="5">
        <f>IF(A1520="","",18)</f>
        <v/>
      </c>
      <c r="C1520" s="17" t="n">
        <v>46351</v>
      </c>
      <c r="D1520" s="5">
        <f>IF(A1520="","",IF(C1520=DATE(2026,11,29),"培训；注册午餐；早餐参数",IF(C1520=DATE(2026,11,30),"培训；注册午餐",IF(C1520=DATE(2026,12,1),"培训；注册午餐；机构晚餐",IF(C1520=Options!$B$9,"抵达；"&amp;IF(C1520=DATE(2026,11,28),"机构晚餐","无统一供餐"),IF(C1520=Options!$B$10,"返程；"&amp;IF(C1520=DATE(2026,12,2),"机构午餐","无统一供餐"),"差旅状态；无统一日程"))))))</f>
        <v/>
      </c>
      <c r="E1520" s="13">
        <f>IF(C1520=Options!$B$9,Options!$C$18,0)</f>
        <v/>
      </c>
      <c r="F1520" s="13">
        <f>IF(AND(A1520&lt;&gt;"",C1520&lt;Options!$B$10),B1520*Options!$X$7,0)</f>
        <v/>
      </c>
      <c r="G1520" s="13">
        <f>F1520*12%</f>
        <v/>
      </c>
      <c r="H1520" s="13">
        <f>IF(A1520="",0,B1520*(86*IF(OR(C1520=Options!$B$9,C1520=Options!$B$10),75%,100%)-IF(C1520=DATE(2026,11,29),23+IF(Options!$B$8="是",22,0),0)-IF(C1520=DATE(2026,11,30),23,0)-IF(C1520=DATE(2026,12,1),59,0)-IF(C1520=DATE(2026,11,28),36,0)-IF(C1520=DATE(2026,12,2),23,0)))</f>
        <v/>
      </c>
      <c r="I1520" s="13">
        <f>IF(AND(C1520&gt;=DATE(2026,11,29),C1520&lt;=DATE(2026,12,1)),B1520*60,0)</f>
        <v/>
      </c>
      <c r="J1520" s="13">
        <f>IF(A1520="",0,B1520*(IF(C1520=DATE(2026,11,28),36,0)+IF(C1520=DATE(2026,12,1),36,0)+IF(C1520=DATE(2026,12,2),23,0)))</f>
        <v/>
      </c>
      <c r="K1520" s="13">
        <f>IF(C1520=Options!$B$9,B1520*12,0)</f>
        <v/>
      </c>
      <c r="L1520" s="13">
        <f>IF(C1520=Options!$B$9,B1520*Options!$Z$7,0)</f>
        <v/>
      </c>
      <c r="M1520" s="13" t="n">
        <v>0</v>
      </c>
      <c r="N1520" s="13">
        <f>SUM(E1520:M1520)</f>
        <v/>
      </c>
    </row>
    <row r="1521">
      <c r="A1521" s="5">
        <f>IF(AND(C1521&gt;=Options!$B$9,C1521&lt;=Options!$B$10),"Phoenix","")</f>
        <v/>
      </c>
      <c r="B1521" s="5">
        <f>IF(A1521="","",18)</f>
        <v/>
      </c>
      <c r="C1521" s="17" t="n">
        <v>46352</v>
      </c>
      <c r="D1521" s="5">
        <f>IF(A1521="","",IF(C1521=DATE(2026,11,29),"培训；注册午餐；早餐参数",IF(C1521=DATE(2026,11,30),"培训；注册午餐",IF(C1521=DATE(2026,12,1),"培训；注册午餐；机构晚餐",IF(C1521=Options!$B$9,"抵达；"&amp;IF(C1521=DATE(2026,11,28),"机构晚餐","无统一供餐"),IF(C1521=Options!$B$10,"返程；"&amp;IF(C1521=DATE(2026,12,2),"机构午餐","无统一供餐"),"差旅状态；无统一日程"))))))</f>
        <v/>
      </c>
      <c r="E1521" s="13">
        <f>IF(C1521=Options!$B$9,Options!$C$18,0)</f>
        <v/>
      </c>
      <c r="F1521" s="13">
        <f>IF(AND(A1521&lt;&gt;"",C1521&lt;Options!$B$10),B1521*Options!$X$7,0)</f>
        <v/>
      </c>
      <c r="G1521" s="13">
        <f>F1521*12%</f>
        <v/>
      </c>
      <c r="H1521" s="13">
        <f>IF(A1521="",0,B1521*(86*IF(OR(C1521=Options!$B$9,C1521=Options!$B$10),75%,100%)-IF(C1521=DATE(2026,11,29),23+IF(Options!$B$8="是",22,0),0)-IF(C1521=DATE(2026,11,30),23,0)-IF(C1521=DATE(2026,12,1),59,0)-IF(C1521=DATE(2026,11,28),36,0)-IF(C1521=DATE(2026,12,2),23,0)))</f>
        <v/>
      </c>
      <c r="I1521" s="13">
        <f>IF(AND(C1521&gt;=DATE(2026,11,29),C1521&lt;=DATE(2026,12,1)),B1521*60,0)</f>
        <v/>
      </c>
      <c r="J1521" s="13">
        <f>IF(A1521="",0,B1521*(IF(C1521=DATE(2026,11,28),36,0)+IF(C1521=DATE(2026,12,1),36,0)+IF(C1521=DATE(2026,12,2),23,0)))</f>
        <v/>
      </c>
      <c r="K1521" s="13">
        <f>IF(C1521=Options!$B$9,B1521*12,0)</f>
        <v/>
      </c>
      <c r="L1521" s="13">
        <f>IF(C1521=Options!$B$9,B1521*Options!$Z$7,0)</f>
        <v/>
      </c>
      <c r="M1521" s="13" t="n">
        <v>0</v>
      </c>
      <c r="N1521" s="13">
        <f>SUM(E1521:M1521)</f>
        <v/>
      </c>
    </row>
    <row r="1522">
      <c r="A1522" s="5">
        <f>IF(AND(C1522&gt;=Options!$B$9,C1522&lt;=Options!$B$10),"Phoenix","")</f>
        <v/>
      </c>
      <c r="B1522" s="5">
        <f>IF(A1522="","",18)</f>
        <v/>
      </c>
      <c r="C1522" s="17" t="n">
        <v>46353</v>
      </c>
      <c r="D1522" s="5">
        <f>IF(A1522="","",IF(C1522=DATE(2026,11,29),"培训；注册午餐；早餐参数",IF(C1522=DATE(2026,11,30),"培训；注册午餐",IF(C1522=DATE(2026,12,1),"培训；注册午餐；机构晚餐",IF(C1522=Options!$B$9,"抵达；"&amp;IF(C1522=DATE(2026,11,28),"机构晚餐","无统一供餐"),IF(C1522=Options!$B$10,"返程；"&amp;IF(C1522=DATE(2026,12,2),"机构午餐","无统一供餐"),"差旅状态；无统一日程"))))))</f>
        <v/>
      </c>
      <c r="E1522" s="13">
        <f>IF(C1522=Options!$B$9,Options!$C$18,0)</f>
        <v/>
      </c>
      <c r="F1522" s="13">
        <f>IF(AND(A1522&lt;&gt;"",C1522&lt;Options!$B$10),B1522*Options!$X$7,0)</f>
        <v/>
      </c>
      <c r="G1522" s="13">
        <f>F1522*12%</f>
        <v/>
      </c>
      <c r="H1522" s="13">
        <f>IF(A1522="",0,B1522*(86*IF(OR(C1522=Options!$B$9,C1522=Options!$B$10),75%,100%)-IF(C1522=DATE(2026,11,29),23+IF(Options!$B$8="是",22,0),0)-IF(C1522=DATE(2026,11,30),23,0)-IF(C1522=DATE(2026,12,1),59,0)-IF(C1522=DATE(2026,11,28),36,0)-IF(C1522=DATE(2026,12,2),23,0)))</f>
        <v/>
      </c>
      <c r="I1522" s="13">
        <f>IF(AND(C1522&gt;=DATE(2026,11,29),C1522&lt;=DATE(2026,12,1)),B1522*60,0)</f>
        <v/>
      </c>
      <c r="J1522" s="13">
        <f>IF(A1522="",0,B1522*(IF(C1522=DATE(2026,11,28),36,0)+IF(C1522=DATE(2026,12,1),36,0)+IF(C1522=DATE(2026,12,2),23,0)))</f>
        <v/>
      </c>
      <c r="K1522" s="13">
        <f>IF(C1522=Options!$B$9,B1522*12,0)</f>
        <v/>
      </c>
      <c r="L1522" s="13">
        <f>IF(C1522=Options!$B$9,B1522*Options!$Z$7,0)</f>
        <v/>
      </c>
      <c r="M1522" s="13" t="n">
        <v>0</v>
      </c>
      <c r="N1522" s="13">
        <f>SUM(E1522:M1522)</f>
        <v/>
      </c>
    </row>
    <row r="1523">
      <c r="A1523" s="5">
        <f>IF(AND(C1523&gt;=Options!$B$9,C1523&lt;=Options!$B$10),"Phoenix","")</f>
        <v/>
      </c>
      <c r="B1523" s="5">
        <f>IF(A1523="","",18)</f>
        <v/>
      </c>
      <c r="C1523" s="17" t="n">
        <v>46354</v>
      </c>
      <c r="D1523" s="5">
        <f>IF(A1523="","",IF(C1523=DATE(2026,11,29),"培训；注册午餐；早餐参数",IF(C1523=DATE(2026,11,30),"培训；注册午餐",IF(C1523=DATE(2026,12,1),"培训；注册午餐；机构晚餐",IF(C1523=Options!$B$9,"抵达；"&amp;IF(C1523=DATE(2026,11,28),"机构晚餐","无统一供餐"),IF(C1523=Options!$B$10,"返程；"&amp;IF(C1523=DATE(2026,12,2),"机构午餐","无统一供餐"),"差旅状态；无统一日程"))))))</f>
        <v/>
      </c>
      <c r="E1523" s="13">
        <f>IF(C1523=Options!$B$9,Options!$C$18,0)</f>
        <v/>
      </c>
      <c r="F1523" s="13">
        <f>IF(AND(A1523&lt;&gt;"",C1523&lt;Options!$B$10),B1523*Options!$X$7,0)</f>
        <v/>
      </c>
      <c r="G1523" s="13">
        <f>F1523*12%</f>
        <v/>
      </c>
      <c r="H1523" s="13">
        <f>IF(A1523="",0,B1523*(86*IF(OR(C1523=Options!$B$9,C1523=Options!$B$10),75%,100%)-IF(C1523=DATE(2026,11,29),23+IF(Options!$B$8="是",22,0),0)-IF(C1523=DATE(2026,11,30),23,0)-IF(C1523=DATE(2026,12,1),59,0)-IF(C1523=DATE(2026,11,28),36,0)-IF(C1523=DATE(2026,12,2),23,0)))</f>
        <v/>
      </c>
      <c r="I1523" s="13">
        <f>IF(AND(C1523&gt;=DATE(2026,11,29),C1523&lt;=DATE(2026,12,1)),B1523*60,0)</f>
        <v/>
      </c>
      <c r="J1523" s="13">
        <f>IF(A1523="",0,B1523*(IF(C1523=DATE(2026,11,28),36,0)+IF(C1523=DATE(2026,12,1),36,0)+IF(C1523=DATE(2026,12,2),23,0)))</f>
        <v/>
      </c>
      <c r="K1523" s="13">
        <f>IF(C1523=Options!$B$9,B1523*12,0)</f>
        <v/>
      </c>
      <c r="L1523" s="13">
        <f>IF(C1523=Options!$B$9,B1523*Options!$Z$7,0)</f>
        <v/>
      </c>
      <c r="M1523" s="13" t="n">
        <v>0</v>
      </c>
      <c r="N1523" s="13">
        <f>SUM(E1523:M1523)</f>
        <v/>
      </c>
    </row>
    <row r="1524">
      <c r="A1524" s="5">
        <f>IF(AND(C1524&gt;=Options!$B$9,C1524&lt;=Options!$B$10),"Phoenix","")</f>
        <v/>
      </c>
      <c r="B1524" s="5">
        <f>IF(A1524="","",18)</f>
        <v/>
      </c>
      <c r="C1524" s="17" t="n">
        <v>46355</v>
      </c>
      <c r="D1524" s="5">
        <f>IF(A1524="","",IF(C1524=DATE(2026,11,29),"培训；注册午餐；早餐参数",IF(C1524=DATE(2026,11,30),"培训；注册午餐",IF(C1524=DATE(2026,12,1),"培训；注册午餐；机构晚餐",IF(C1524=Options!$B$9,"抵达；"&amp;IF(C1524=DATE(2026,11,28),"机构晚餐","无统一供餐"),IF(C1524=Options!$B$10,"返程；"&amp;IF(C1524=DATE(2026,12,2),"机构午餐","无统一供餐"),"差旅状态；无统一日程"))))))</f>
        <v/>
      </c>
      <c r="E1524" s="13">
        <f>IF(C1524=Options!$B$9,Options!$C$18,0)</f>
        <v/>
      </c>
      <c r="F1524" s="13">
        <f>IF(AND(A1524&lt;&gt;"",C1524&lt;Options!$B$10),B1524*Options!$X$7,0)</f>
        <v/>
      </c>
      <c r="G1524" s="13">
        <f>F1524*12%</f>
        <v/>
      </c>
      <c r="H1524" s="13">
        <f>IF(A1524="",0,B1524*(86*IF(OR(C1524=Options!$B$9,C1524=Options!$B$10),75%,100%)-IF(C1524=DATE(2026,11,29),23+IF(Options!$B$8="是",22,0),0)-IF(C1524=DATE(2026,11,30),23,0)-IF(C1524=DATE(2026,12,1),59,0)-IF(C1524=DATE(2026,11,28),36,0)-IF(C1524=DATE(2026,12,2),23,0)))</f>
        <v/>
      </c>
      <c r="I1524" s="13">
        <f>IF(AND(C1524&gt;=DATE(2026,11,29),C1524&lt;=DATE(2026,12,1)),B1524*60,0)</f>
        <v/>
      </c>
      <c r="J1524" s="13">
        <f>IF(A1524="",0,B1524*(IF(C1524=DATE(2026,11,28),36,0)+IF(C1524=DATE(2026,12,1),36,0)+IF(C1524=DATE(2026,12,2),23,0)))</f>
        <v/>
      </c>
      <c r="K1524" s="13">
        <f>IF(C1524=Options!$B$9,B1524*12,0)</f>
        <v/>
      </c>
      <c r="L1524" s="13">
        <f>IF(C1524=Options!$B$9,B1524*Options!$Z$7,0)</f>
        <v/>
      </c>
      <c r="M1524" s="13" t="n">
        <v>0</v>
      </c>
      <c r="N1524" s="13">
        <f>SUM(E1524:M1524)</f>
        <v/>
      </c>
    </row>
    <row r="1525">
      <c r="A1525" s="5">
        <f>IF(AND(C1525&gt;=Options!$B$9,C1525&lt;=Options!$B$10),"Phoenix","")</f>
        <v/>
      </c>
      <c r="B1525" s="5">
        <f>IF(A1525="","",18)</f>
        <v/>
      </c>
      <c r="C1525" s="17" t="n">
        <v>46356</v>
      </c>
      <c r="D1525" s="5">
        <f>IF(A1525="","",IF(C1525=DATE(2026,11,29),"培训；注册午餐；早餐参数",IF(C1525=DATE(2026,11,30),"培训；注册午餐",IF(C1525=DATE(2026,12,1),"培训；注册午餐；机构晚餐",IF(C1525=Options!$B$9,"抵达；"&amp;IF(C1525=DATE(2026,11,28),"机构晚餐","无统一供餐"),IF(C1525=Options!$B$10,"返程；"&amp;IF(C1525=DATE(2026,12,2),"机构午餐","无统一供餐"),"差旅状态；无统一日程"))))))</f>
        <v/>
      </c>
      <c r="E1525" s="13">
        <f>IF(C1525=Options!$B$9,Options!$C$18,0)</f>
        <v/>
      </c>
      <c r="F1525" s="13">
        <f>IF(AND(A1525&lt;&gt;"",C1525&lt;Options!$B$10),B1525*Options!$X$7,0)</f>
        <v/>
      </c>
      <c r="G1525" s="13">
        <f>F1525*12%</f>
        <v/>
      </c>
      <c r="H1525" s="13">
        <f>IF(A1525="",0,B1525*(86*IF(OR(C1525=Options!$B$9,C1525=Options!$B$10),75%,100%)-IF(C1525=DATE(2026,11,29),23+IF(Options!$B$8="是",22,0),0)-IF(C1525=DATE(2026,11,30),23,0)-IF(C1525=DATE(2026,12,1),59,0)-IF(C1525=DATE(2026,11,28),36,0)-IF(C1525=DATE(2026,12,2),23,0)))</f>
        <v/>
      </c>
      <c r="I1525" s="13">
        <f>IF(AND(C1525&gt;=DATE(2026,11,29),C1525&lt;=DATE(2026,12,1)),B1525*60,0)</f>
        <v/>
      </c>
      <c r="J1525" s="13">
        <f>IF(A1525="",0,B1525*(IF(C1525=DATE(2026,11,28),36,0)+IF(C1525=DATE(2026,12,1),36,0)+IF(C1525=DATE(2026,12,2),23,0)))</f>
        <v/>
      </c>
      <c r="K1525" s="13">
        <f>IF(C1525=Options!$B$9,B1525*12,0)</f>
        <v/>
      </c>
      <c r="L1525" s="13">
        <f>IF(C1525=Options!$B$9,B1525*Options!$Z$7,0)</f>
        <v/>
      </c>
      <c r="M1525" s="13" t="n">
        <v>0</v>
      </c>
      <c r="N1525" s="13">
        <f>SUM(E1525:M1525)</f>
        <v/>
      </c>
    </row>
    <row r="1526">
      <c r="A1526" s="5">
        <f>IF(AND(C1526&gt;=Options!$B$9,C1526&lt;=Options!$B$10),"Phoenix","")</f>
        <v/>
      </c>
      <c r="B1526" s="5">
        <f>IF(A1526="","",18)</f>
        <v/>
      </c>
      <c r="C1526" s="17" t="n">
        <v>46357</v>
      </c>
      <c r="D1526" s="5">
        <f>IF(A1526="","",IF(C1526=DATE(2026,11,29),"培训；注册午餐；早餐参数",IF(C1526=DATE(2026,11,30),"培训；注册午餐",IF(C1526=DATE(2026,12,1),"培训；注册午餐；机构晚餐",IF(C1526=Options!$B$9,"抵达；"&amp;IF(C1526=DATE(2026,11,28),"机构晚餐","无统一供餐"),IF(C1526=Options!$B$10,"返程；"&amp;IF(C1526=DATE(2026,12,2),"机构午餐","无统一供餐"),"差旅状态；无统一日程"))))))</f>
        <v/>
      </c>
      <c r="E1526" s="13">
        <f>IF(C1526=Options!$B$9,Options!$C$18,0)</f>
        <v/>
      </c>
      <c r="F1526" s="13">
        <f>IF(AND(A1526&lt;&gt;"",C1526&lt;Options!$B$10),B1526*Options!$X$7,0)</f>
        <v/>
      </c>
      <c r="G1526" s="13">
        <f>F1526*12%</f>
        <v/>
      </c>
      <c r="H1526" s="13">
        <f>IF(A1526="",0,B1526*(86*IF(OR(C1526=Options!$B$9,C1526=Options!$B$10),75%,100%)-IF(C1526=DATE(2026,11,29),23+IF(Options!$B$8="是",22,0),0)-IF(C1526=DATE(2026,11,30),23,0)-IF(C1526=DATE(2026,12,1),59,0)-IF(C1526=DATE(2026,11,28),36,0)-IF(C1526=DATE(2026,12,2),23,0)))</f>
        <v/>
      </c>
      <c r="I1526" s="13">
        <f>IF(AND(C1526&gt;=DATE(2026,11,29),C1526&lt;=DATE(2026,12,1)),B1526*60,0)</f>
        <v/>
      </c>
      <c r="J1526" s="13">
        <f>IF(A1526="",0,B1526*(IF(C1526=DATE(2026,11,28),36,0)+IF(C1526=DATE(2026,12,1),36,0)+IF(C1526=DATE(2026,12,2),23,0)))</f>
        <v/>
      </c>
      <c r="K1526" s="13">
        <f>IF(C1526=Options!$B$9,B1526*12,0)</f>
        <v/>
      </c>
      <c r="L1526" s="13">
        <f>IF(C1526=Options!$B$9,B1526*Options!$Z$7,0)</f>
        <v/>
      </c>
      <c r="M1526" s="13" t="n">
        <v>0</v>
      </c>
      <c r="N1526" s="13">
        <f>SUM(E1526:M1526)</f>
        <v/>
      </c>
    </row>
    <row r="1527">
      <c r="A1527" s="5">
        <f>IF(AND(C1527&gt;=Options!$B$9,C1527&lt;=Options!$B$10),"Phoenix","")</f>
        <v/>
      </c>
      <c r="B1527" s="5">
        <f>IF(A1527="","",18)</f>
        <v/>
      </c>
      <c r="C1527" s="17" t="n">
        <v>46358</v>
      </c>
      <c r="D1527" s="5">
        <f>IF(A1527="","",IF(C1527=DATE(2026,11,29),"培训；注册午餐；早餐参数",IF(C1527=DATE(2026,11,30),"培训；注册午餐",IF(C1527=DATE(2026,12,1),"培训；注册午餐；机构晚餐",IF(C1527=Options!$B$9,"抵达；"&amp;IF(C1527=DATE(2026,11,28),"机构晚餐","无统一供餐"),IF(C1527=Options!$B$10,"返程；"&amp;IF(C1527=DATE(2026,12,2),"机构午餐","无统一供餐"),"差旅状态；无统一日程"))))))</f>
        <v/>
      </c>
      <c r="E1527" s="13">
        <f>IF(C1527=Options!$B$9,Options!$C$18,0)</f>
        <v/>
      </c>
      <c r="F1527" s="13">
        <f>IF(AND(A1527&lt;&gt;"",C1527&lt;Options!$B$10),B1527*Options!$X$7,0)</f>
        <v/>
      </c>
      <c r="G1527" s="13">
        <f>F1527*12%</f>
        <v/>
      </c>
      <c r="H1527" s="13">
        <f>IF(A1527="",0,B1527*(86*IF(OR(C1527=Options!$B$9,C1527=Options!$B$10),75%,100%)-IF(C1527=DATE(2026,11,29),23+IF(Options!$B$8="是",22,0),0)-IF(C1527=DATE(2026,11,30),23,0)-IF(C1527=DATE(2026,12,1),59,0)-IF(C1527=DATE(2026,11,28),36,0)-IF(C1527=DATE(2026,12,2),23,0)))</f>
        <v/>
      </c>
      <c r="I1527" s="13">
        <f>IF(AND(C1527&gt;=DATE(2026,11,29),C1527&lt;=DATE(2026,12,1)),B1527*60,0)</f>
        <v/>
      </c>
      <c r="J1527" s="13">
        <f>IF(A1527="",0,B1527*(IF(C1527=DATE(2026,11,28),36,0)+IF(C1527=DATE(2026,12,1),36,0)+IF(C1527=DATE(2026,12,2),23,0)))</f>
        <v/>
      </c>
      <c r="K1527" s="13">
        <f>IF(C1527=Options!$B$9,B1527*12,0)</f>
        <v/>
      </c>
      <c r="L1527" s="13">
        <f>IF(C1527=Options!$B$9,B1527*Options!$Z$7,0)</f>
        <v/>
      </c>
      <c r="M1527" s="13" t="n">
        <v>0</v>
      </c>
      <c r="N1527" s="13">
        <f>SUM(E1527:M1527)</f>
        <v/>
      </c>
    </row>
    <row r="1528">
      <c r="A1528" s="5">
        <f>IF(AND(C1528&gt;=Options!$B$9,C1528&lt;=Options!$B$10),"Phoenix","")</f>
        <v/>
      </c>
      <c r="B1528" s="5">
        <f>IF(A1528="","",18)</f>
        <v/>
      </c>
      <c r="C1528" s="17" t="n">
        <v>46359</v>
      </c>
      <c r="D1528" s="5">
        <f>IF(A1528="","",IF(C1528=DATE(2026,11,29),"培训；注册午餐；早餐参数",IF(C1528=DATE(2026,11,30),"培训；注册午餐",IF(C1528=DATE(2026,12,1),"培训；注册午餐；机构晚餐",IF(C1528=Options!$B$9,"抵达；"&amp;IF(C1528=DATE(2026,11,28),"机构晚餐","无统一供餐"),IF(C1528=Options!$B$10,"返程；"&amp;IF(C1528=DATE(2026,12,2),"机构午餐","无统一供餐"),"差旅状态；无统一日程"))))))</f>
        <v/>
      </c>
      <c r="E1528" s="13">
        <f>IF(C1528=Options!$B$9,Options!$C$18,0)</f>
        <v/>
      </c>
      <c r="F1528" s="13">
        <f>IF(AND(A1528&lt;&gt;"",C1528&lt;Options!$B$10),B1528*Options!$X$7,0)</f>
        <v/>
      </c>
      <c r="G1528" s="13">
        <f>F1528*12%</f>
        <v/>
      </c>
      <c r="H1528" s="13">
        <f>IF(A1528="",0,B1528*(86*IF(OR(C1528=Options!$B$9,C1528=Options!$B$10),75%,100%)-IF(C1528=DATE(2026,11,29),23+IF(Options!$B$8="是",22,0),0)-IF(C1528=DATE(2026,11,30),23,0)-IF(C1528=DATE(2026,12,1),59,0)-IF(C1528=DATE(2026,11,28),36,0)-IF(C1528=DATE(2026,12,2),23,0)))</f>
        <v/>
      </c>
      <c r="I1528" s="13">
        <f>IF(AND(C1528&gt;=DATE(2026,11,29),C1528&lt;=DATE(2026,12,1)),B1528*60,0)</f>
        <v/>
      </c>
      <c r="J1528" s="13">
        <f>IF(A1528="",0,B1528*(IF(C1528=DATE(2026,11,28),36,0)+IF(C1528=DATE(2026,12,1),36,0)+IF(C1528=DATE(2026,12,2),23,0)))</f>
        <v/>
      </c>
      <c r="K1528" s="13">
        <f>IF(C1528=Options!$B$9,B1528*12,0)</f>
        <v/>
      </c>
      <c r="L1528" s="13">
        <f>IF(C1528=Options!$B$9,B1528*Options!$Z$7,0)</f>
        <v/>
      </c>
      <c r="M1528" s="13" t="n">
        <v>0</v>
      </c>
      <c r="N1528" s="13">
        <f>SUM(E1528:M1528)</f>
        <v/>
      </c>
    </row>
    <row r="1529">
      <c r="A1529" s="5">
        <f>IF(AND(C1529&gt;=Options!$B$9,C1529&lt;=Options!$B$10),"Phoenix","")</f>
        <v/>
      </c>
      <c r="B1529" s="5">
        <f>IF(A1529="","",18)</f>
        <v/>
      </c>
      <c r="C1529" s="17" t="n">
        <v>46360</v>
      </c>
      <c r="D1529" s="5">
        <f>IF(A1529="","",IF(C1529=DATE(2026,11,29),"培训；注册午餐；早餐参数",IF(C1529=DATE(2026,11,30),"培训；注册午餐",IF(C1529=DATE(2026,12,1),"培训；注册午餐；机构晚餐",IF(C1529=Options!$B$9,"抵达；"&amp;IF(C1529=DATE(2026,11,28),"机构晚餐","无统一供餐"),IF(C1529=Options!$B$10,"返程；"&amp;IF(C1529=DATE(2026,12,2),"机构午餐","无统一供餐"),"差旅状态；无统一日程"))))))</f>
        <v/>
      </c>
      <c r="E1529" s="13">
        <f>IF(C1529=Options!$B$9,Options!$C$18,0)</f>
        <v/>
      </c>
      <c r="F1529" s="13">
        <f>IF(AND(A1529&lt;&gt;"",C1529&lt;Options!$B$10),B1529*Options!$X$7,0)</f>
        <v/>
      </c>
      <c r="G1529" s="13">
        <f>F1529*12%</f>
        <v/>
      </c>
      <c r="H1529" s="13">
        <f>IF(A1529="",0,B1529*(86*IF(OR(C1529=Options!$B$9,C1529=Options!$B$10),75%,100%)-IF(C1529=DATE(2026,11,29),23+IF(Options!$B$8="是",22,0),0)-IF(C1529=DATE(2026,11,30),23,0)-IF(C1529=DATE(2026,12,1),59,0)-IF(C1529=DATE(2026,11,28),36,0)-IF(C1529=DATE(2026,12,2),23,0)))</f>
        <v/>
      </c>
      <c r="I1529" s="13">
        <f>IF(AND(C1529&gt;=DATE(2026,11,29),C1529&lt;=DATE(2026,12,1)),B1529*60,0)</f>
        <v/>
      </c>
      <c r="J1529" s="13">
        <f>IF(A1529="",0,B1529*(IF(C1529=DATE(2026,11,28),36,0)+IF(C1529=DATE(2026,12,1),36,0)+IF(C1529=DATE(2026,12,2),23,0)))</f>
        <v/>
      </c>
      <c r="K1529" s="13">
        <f>IF(C1529=Options!$B$9,B1529*12,0)</f>
        <v/>
      </c>
      <c r="L1529" s="13">
        <f>IF(C1529=Options!$B$9,B1529*Options!$Z$7,0)</f>
        <v/>
      </c>
      <c r="M1529" s="13" t="n">
        <v>0</v>
      </c>
      <c r="N1529" s="13">
        <f>SUM(E1529:M1529)</f>
        <v/>
      </c>
    </row>
    <row r="1530">
      <c r="A1530" s="5">
        <f>IF(AND(C1530&gt;=Options!$B$9,C1530&lt;=Options!$B$10),"Phoenix","")</f>
        <v/>
      </c>
      <c r="B1530" s="5">
        <f>IF(A1530="","",18)</f>
        <v/>
      </c>
      <c r="C1530" s="17" t="n">
        <v>46361</v>
      </c>
      <c r="D1530" s="5">
        <f>IF(A1530="","",IF(C1530=DATE(2026,11,29),"培训；注册午餐；早餐参数",IF(C1530=DATE(2026,11,30),"培训；注册午餐",IF(C1530=DATE(2026,12,1),"培训；注册午餐；机构晚餐",IF(C1530=Options!$B$9,"抵达；"&amp;IF(C1530=DATE(2026,11,28),"机构晚餐","无统一供餐"),IF(C1530=Options!$B$10,"返程；"&amp;IF(C1530=DATE(2026,12,2),"机构午餐","无统一供餐"),"差旅状态；无统一日程"))))))</f>
        <v/>
      </c>
      <c r="E1530" s="13">
        <f>IF(C1530=Options!$B$9,Options!$C$18,0)</f>
        <v/>
      </c>
      <c r="F1530" s="13">
        <f>IF(AND(A1530&lt;&gt;"",C1530&lt;Options!$B$10),B1530*Options!$X$7,0)</f>
        <v/>
      </c>
      <c r="G1530" s="13">
        <f>F1530*12%</f>
        <v/>
      </c>
      <c r="H1530" s="13">
        <f>IF(A1530="",0,B1530*(86*IF(OR(C1530=Options!$B$9,C1530=Options!$B$10),75%,100%)-IF(C1530=DATE(2026,11,29),23+IF(Options!$B$8="是",22,0),0)-IF(C1530=DATE(2026,11,30),23,0)-IF(C1530=DATE(2026,12,1),59,0)-IF(C1530=DATE(2026,11,28),36,0)-IF(C1530=DATE(2026,12,2),23,0)))</f>
        <v/>
      </c>
      <c r="I1530" s="13">
        <f>IF(AND(C1530&gt;=DATE(2026,11,29),C1530&lt;=DATE(2026,12,1)),B1530*60,0)</f>
        <v/>
      </c>
      <c r="J1530" s="13">
        <f>IF(A1530="",0,B1530*(IF(C1530=DATE(2026,11,28),36,0)+IF(C1530=DATE(2026,12,1),36,0)+IF(C1530=DATE(2026,12,2),23,0)))</f>
        <v/>
      </c>
      <c r="K1530" s="13">
        <f>IF(C1530=Options!$B$9,B1530*12,0)</f>
        <v/>
      </c>
      <c r="L1530" s="13">
        <f>IF(C1530=Options!$B$9,B1530*Options!$Z$7,0)</f>
        <v/>
      </c>
      <c r="M1530" s="13" t="n">
        <v>0</v>
      </c>
      <c r="N1530" s="13">
        <f>SUM(E1530:M1530)</f>
        <v/>
      </c>
    </row>
    <row r="1531">
      <c r="A1531" s="5">
        <f>IF(AND(C1531&gt;=Options!$B$9,C1531&lt;=Options!$B$10),"Phoenix","")</f>
        <v/>
      </c>
      <c r="B1531" s="5">
        <f>IF(A1531="","",18)</f>
        <v/>
      </c>
      <c r="C1531" s="17" t="n">
        <v>46362</v>
      </c>
      <c r="D1531" s="5">
        <f>IF(A1531="","",IF(C1531=DATE(2026,11,29),"培训；注册午餐；早餐参数",IF(C1531=DATE(2026,11,30),"培训；注册午餐",IF(C1531=DATE(2026,12,1),"培训；注册午餐；机构晚餐",IF(C1531=Options!$B$9,"抵达；"&amp;IF(C1531=DATE(2026,11,28),"机构晚餐","无统一供餐"),IF(C1531=Options!$B$10,"返程；"&amp;IF(C1531=DATE(2026,12,2),"机构午餐","无统一供餐"),"差旅状态；无统一日程"))))))</f>
        <v/>
      </c>
      <c r="E1531" s="13">
        <f>IF(C1531=Options!$B$9,Options!$C$18,0)</f>
        <v/>
      </c>
      <c r="F1531" s="13">
        <f>IF(AND(A1531&lt;&gt;"",C1531&lt;Options!$B$10),B1531*Options!$X$7,0)</f>
        <v/>
      </c>
      <c r="G1531" s="13">
        <f>F1531*12%</f>
        <v/>
      </c>
      <c r="H1531" s="13">
        <f>IF(A1531="",0,B1531*(86*IF(OR(C1531=Options!$B$9,C1531=Options!$B$10),75%,100%)-IF(C1531=DATE(2026,11,29),23+IF(Options!$B$8="是",22,0),0)-IF(C1531=DATE(2026,11,30),23,0)-IF(C1531=DATE(2026,12,1),59,0)-IF(C1531=DATE(2026,11,28),36,0)-IF(C1531=DATE(2026,12,2),23,0)))</f>
        <v/>
      </c>
      <c r="I1531" s="13">
        <f>IF(AND(C1531&gt;=DATE(2026,11,29),C1531&lt;=DATE(2026,12,1)),B1531*60,0)</f>
        <v/>
      </c>
      <c r="J1531" s="13">
        <f>IF(A1531="",0,B1531*(IF(C1531=DATE(2026,11,28),36,0)+IF(C1531=DATE(2026,12,1),36,0)+IF(C1531=DATE(2026,12,2),23,0)))</f>
        <v/>
      </c>
      <c r="K1531" s="13">
        <f>IF(C1531=Options!$B$9,B1531*12,0)</f>
        <v/>
      </c>
      <c r="L1531" s="13">
        <f>IF(C1531=Options!$B$9,B1531*Options!$Z$7,0)</f>
        <v/>
      </c>
      <c r="M1531" s="13" t="n">
        <v>0</v>
      </c>
      <c r="N1531" s="13">
        <f>SUM(E1531:M1531)</f>
        <v/>
      </c>
    </row>
    <row r="1532">
      <c r="A1532" s="5">
        <f>IF(AND(C1532&gt;=Options!$B$9,C1532&lt;=Options!$B$10),"Phoenix","")</f>
        <v/>
      </c>
      <c r="B1532" s="5">
        <f>IF(A1532="","",18)</f>
        <v/>
      </c>
      <c r="C1532" s="17" t="n">
        <v>46363</v>
      </c>
      <c r="D1532" s="5">
        <f>IF(A1532="","",IF(C1532=DATE(2026,11,29),"培训；注册午餐；早餐参数",IF(C1532=DATE(2026,11,30),"培训；注册午餐",IF(C1532=DATE(2026,12,1),"培训；注册午餐；机构晚餐",IF(C1532=Options!$B$9,"抵达；"&amp;IF(C1532=DATE(2026,11,28),"机构晚餐","无统一供餐"),IF(C1532=Options!$B$10,"返程；"&amp;IF(C1532=DATE(2026,12,2),"机构午餐","无统一供餐"),"差旅状态；无统一日程"))))))</f>
        <v/>
      </c>
      <c r="E1532" s="13">
        <f>IF(C1532=Options!$B$9,Options!$C$18,0)</f>
        <v/>
      </c>
      <c r="F1532" s="13">
        <f>IF(AND(A1532&lt;&gt;"",C1532&lt;Options!$B$10),B1532*Options!$X$7,0)</f>
        <v/>
      </c>
      <c r="G1532" s="13">
        <f>F1532*12%</f>
        <v/>
      </c>
      <c r="H1532" s="13">
        <f>IF(A1532="",0,B1532*(86*IF(OR(C1532=Options!$B$9,C1532=Options!$B$10),75%,100%)-IF(C1532=DATE(2026,11,29),23+IF(Options!$B$8="是",22,0),0)-IF(C1532=DATE(2026,11,30),23,0)-IF(C1532=DATE(2026,12,1),59,0)-IF(C1532=DATE(2026,11,28),36,0)-IF(C1532=DATE(2026,12,2),23,0)))</f>
        <v/>
      </c>
      <c r="I1532" s="13">
        <f>IF(AND(C1532&gt;=DATE(2026,11,29),C1532&lt;=DATE(2026,12,1)),B1532*60,0)</f>
        <v/>
      </c>
      <c r="J1532" s="13">
        <f>IF(A1532="",0,B1532*(IF(C1532=DATE(2026,11,28),36,0)+IF(C1532=DATE(2026,12,1),36,0)+IF(C1532=DATE(2026,12,2),23,0)))</f>
        <v/>
      </c>
      <c r="K1532" s="13">
        <f>IF(C1532=Options!$B$9,B1532*12,0)</f>
        <v/>
      </c>
      <c r="L1532" s="13">
        <f>IF(C1532=Options!$B$9,B1532*Options!$Z$7,0)</f>
        <v/>
      </c>
      <c r="M1532" s="13" t="n">
        <v>0</v>
      </c>
      <c r="N1532" s="13">
        <f>SUM(E1532:M1532)</f>
        <v/>
      </c>
    </row>
    <row r="1533">
      <c r="A1533" s="5">
        <f>IF(AND(C1533&gt;=Options!$B$9,C1533&lt;=Options!$B$10),"Phoenix","")</f>
        <v/>
      </c>
      <c r="B1533" s="5">
        <f>IF(A1533="","",18)</f>
        <v/>
      </c>
      <c r="C1533" s="17" t="n">
        <v>46364</v>
      </c>
      <c r="D1533" s="5">
        <f>IF(A1533="","",IF(C1533=DATE(2026,11,29),"培训；注册午餐；早餐参数",IF(C1533=DATE(2026,11,30),"培训；注册午餐",IF(C1533=DATE(2026,12,1),"培训；注册午餐；机构晚餐",IF(C1533=Options!$B$9,"抵达；"&amp;IF(C1533=DATE(2026,11,28),"机构晚餐","无统一供餐"),IF(C1533=Options!$B$10,"返程；"&amp;IF(C1533=DATE(2026,12,2),"机构午餐","无统一供餐"),"差旅状态；无统一日程"))))))</f>
        <v/>
      </c>
      <c r="E1533" s="13">
        <f>IF(C1533=Options!$B$9,Options!$C$18,0)</f>
        <v/>
      </c>
      <c r="F1533" s="13">
        <f>IF(AND(A1533&lt;&gt;"",C1533&lt;Options!$B$10),B1533*Options!$X$7,0)</f>
        <v/>
      </c>
      <c r="G1533" s="13">
        <f>F1533*12%</f>
        <v/>
      </c>
      <c r="H1533" s="13">
        <f>IF(A1533="",0,B1533*(86*IF(OR(C1533=Options!$B$9,C1533=Options!$B$10),75%,100%)-IF(C1533=DATE(2026,11,29),23+IF(Options!$B$8="是",22,0),0)-IF(C1533=DATE(2026,11,30),23,0)-IF(C1533=DATE(2026,12,1),59,0)-IF(C1533=DATE(2026,11,28),36,0)-IF(C1533=DATE(2026,12,2),23,0)))</f>
        <v/>
      </c>
      <c r="I1533" s="13">
        <f>IF(AND(C1533&gt;=DATE(2026,11,29),C1533&lt;=DATE(2026,12,1)),B1533*60,0)</f>
        <v/>
      </c>
      <c r="J1533" s="13">
        <f>IF(A1533="",0,B1533*(IF(C1533=DATE(2026,11,28),36,0)+IF(C1533=DATE(2026,12,1),36,0)+IF(C1533=DATE(2026,12,2),23,0)))</f>
        <v/>
      </c>
      <c r="K1533" s="13">
        <f>IF(C1533=Options!$B$9,B1533*12,0)</f>
        <v/>
      </c>
      <c r="L1533" s="13">
        <f>IF(C1533=Options!$B$9,B1533*Options!$Z$7,0)</f>
        <v/>
      </c>
      <c r="M1533" s="13" t="n">
        <v>0</v>
      </c>
      <c r="N1533" s="13">
        <f>SUM(E1533:M1533)</f>
        <v/>
      </c>
    </row>
    <row r="1534">
      <c r="A1534" s="5">
        <f>IF(AND(C1534&gt;=Options!$B$9,C1534&lt;=Options!$B$10),"Phoenix","")</f>
        <v/>
      </c>
      <c r="B1534" s="5">
        <f>IF(A1534="","",18)</f>
        <v/>
      </c>
      <c r="C1534" s="17" t="n">
        <v>46365</v>
      </c>
      <c r="D1534" s="5">
        <f>IF(A1534="","",IF(C1534=DATE(2026,11,29),"培训；注册午餐；早餐参数",IF(C1534=DATE(2026,11,30),"培训；注册午餐",IF(C1534=DATE(2026,12,1),"培训；注册午餐；机构晚餐",IF(C1534=Options!$B$9,"抵达；"&amp;IF(C1534=DATE(2026,11,28),"机构晚餐","无统一供餐"),IF(C1534=Options!$B$10,"返程；"&amp;IF(C1534=DATE(2026,12,2),"机构午餐","无统一供餐"),"差旅状态；无统一日程"))))))</f>
        <v/>
      </c>
      <c r="E1534" s="13">
        <f>IF(C1534=Options!$B$9,Options!$C$18,0)</f>
        <v/>
      </c>
      <c r="F1534" s="13">
        <f>IF(AND(A1534&lt;&gt;"",C1534&lt;Options!$B$10),B1534*Options!$X$7,0)</f>
        <v/>
      </c>
      <c r="G1534" s="13">
        <f>F1534*12%</f>
        <v/>
      </c>
      <c r="H1534" s="13">
        <f>IF(A1534="",0,B1534*(86*IF(OR(C1534=Options!$B$9,C1534=Options!$B$10),75%,100%)-IF(C1534=DATE(2026,11,29),23+IF(Options!$B$8="是",22,0),0)-IF(C1534=DATE(2026,11,30),23,0)-IF(C1534=DATE(2026,12,1),59,0)-IF(C1534=DATE(2026,11,28),36,0)-IF(C1534=DATE(2026,12,2),23,0)))</f>
        <v/>
      </c>
      <c r="I1534" s="13">
        <f>IF(AND(C1534&gt;=DATE(2026,11,29),C1534&lt;=DATE(2026,12,1)),B1534*60,0)</f>
        <v/>
      </c>
      <c r="J1534" s="13">
        <f>IF(A1534="",0,B1534*(IF(C1534=DATE(2026,11,28),36,0)+IF(C1534=DATE(2026,12,1),36,0)+IF(C1534=DATE(2026,12,2),23,0)))</f>
        <v/>
      </c>
      <c r="K1534" s="13">
        <f>IF(C1534=Options!$B$9,B1534*12,0)</f>
        <v/>
      </c>
      <c r="L1534" s="13">
        <f>IF(C1534=Options!$B$9,B1534*Options!$Z$7,0)</f>
        <v/>
      </c>
      <c r="M1534" s="13" t="n">
        <v>0</v>
      </c>
      <c r="N1534" s="13">
        <f>SUM(E1534:M1534)</f>
        <v/>
      </c>
    </row>
    <row r="1535">
      <c r="A1535" s="5">
        <f>IF(AND(C1535&gt;=Options!$B$9,C1535&lt;=Options!$B$10),"Phoenix","")</f>
        <v/>
      </c>
      <c r="B1535" s="5">
        <f>IF(A1535="","",18)</f>
        <v/>
      </c>
      <c r="C1535" s="17" t="n">
        <v>46366</v>
      </c>
      <c r="D1535" s="5">
        <f>IF(A1535="","",IF(C1535=DATE(2026,11,29),"培训；注册午餐；早餐参数",IF(C1535=DATE(2026,11,30),"培训；注册午餐",IF(C1535=DATE(2026,12,1),"培训；注册午餐；机构晚餐",IF(C1535=Options!$B$9,"抵达；"&amp;IF(C1535=DATE(2026,11,28),"机构晚餐","无统一供餐"),IF(C1535=Options!$B$10,"返程；"&amp;IF(C1535=DATE(2026,12,2),"机构午餐","无统一供餐"),"差旅状态；无统一日程"))))))</f>
        <v/>
      </c>
      <c r="E1535" s="13">
        <f>IF(C1535=Options!$B$9,Options!$C$18,0)</f>
        <v/>
      </c>
      <c r="F1535" s="13">
        <f>IF(AND(A1535&lt;&gt;"",C1535&lt;Options!$B$10),B1535*Options!$X$7,0)</f>
        <v/>
      </c>
      <c r="G1535" s="13">
        <f>F1535*12%</f>
        <v/>
      </c>
      <c r="H1535" s="13">
        <f>IF(A1535="",0,B1535*(86*IF(OR(C1535=Options!$B$9,C1535=Options!$B$10),75%,100%)-IF(C1535=DATE(2026,11,29),23+IF(Options!$B$8="是",22,0),0)-IF(C1535=DATE(2026,11,30),23,0)-IF(C1535=DATE(2026,12,1),59,0)-IF(C1535=DATE(2026,11,28),36,0)-IF(C1535=DATE(2026,12,2),23,0)))</f>
        <v/>
      </c>
      <c r="I1535" s="13">
        <f>IF(AND(C1535&gt;=DATE(2026,11,29),C1535&lt;=DATE(2026,12,1)),B1535*60,0)</f>
        <v/>
      </c>
      <c r="J1535" s="13">
        <f>IF(A1535="",0,B1535*(IF(C1535=DATE(2026,11,28),36,0)+IF(C1535=DATE(2026,12,1),36,0)+IF(C1535=DATE(2026,12,2),23,0)))</f>
        <v/>
      </c>
      <c r="K1535" s="13">
        <f>IF(C1535=Options!$B$9,B1535*12,0)</f>
        <v/>
      </c>
      <c r="L1535" s="13">
        <f>IF(C1535=Options!$B$9,B1535*Options!$Z$7,0)</f>
        <v/>
      </c>
      <c r="M1535" s="13" t="n">
        <v>0</v>
      </c>
      <c r="N1535" s="13">
        <f>SUM(E1535:M1535)</f>
        <v/>
      </c>
    </row>
    <row r="1536">
      <c r="A1536" s="5">
        <f>IF(AND(C1536&gt;=Options!$B$9,C1536&lt;=Options!$B$10),"Phoenix","")</f>
        <v/>
      </c>
      <c r="B1536" s="5">
        <f>IF(A1536="","",18)</f>
        <v/>
      </c>
      <c r="C1536" s="17" t="n">
        <v>46367</v>
      </c>
      <c r="D1536" s="5">
        <f>IF(A1536="","",IF(C1536=DATE(2026,11,29),"培训；注册午餐；早餐参数",IF(C1536=DATE(2026,11,30),"培训；注册午餐",IF(C1536=DATE(2026,12,1),"培训；注册午餐；机构晚餐",IF(C1536=Options!$B$9,"抵达；"&amp;IF(C1536=DATE(2026,11,28),"机构晚餐","无统一供餐"),IF(C1536=Options!$B$10,"返程；"&amp;IF(C1536=DATE(2026,12,2),"机构午餐","无统一供餐"),"差旅状态；无统一日程"))))))</f>
        <v/>
      </c>
      <c r="E1536" s="13">
        <f>IF(C1536=Options!$B$9,Options!$C$18,0)</f>
        <v/>
      </c>
      <c r="F1536" s="13">
        <f>IF(AND(A1536&lt;&gt;"",C1536&lt;Options!$B$10),B1536*Options!$X$7,0)</f>
        <v/>
      </c>
      <c r="G1536" s="13">
        <f>F1536*12%</f>
        <v/>
      </c>
      <c r="H1536" s="13">
        <f>IF(A1536="",0,B1536*(86*IF(OR(C1536=Options!$B$9,C1536=Options!$B$10),75%,100%)-IF(C1536=DATE(2026,11,29),23+IF(Options!$B$8="是",22,0),0)-IF(C1536=DATE(2026,11,30),23,0)-IF(C1536=DATE(2026,12,1),59,0)-IF(C1536=DATE(2026,11,28),36,0)-IF(C1536=DATE(2026,12,2),23,0)))</f>
        <v/>
      </c>
      <c r="I1536" s="13">
        <f>IF(AND(C1536&gt;=DATE(2026,11,29),C1536&lt;=DATE(2026,12,1)),B1536*60,0)</f>
        <v/>
      </c>
      <c r="J1536" s="13">
        <f>IF(A1536="",0,B1536*(IF(C1536=DATE(2026,11,28),36,0)+IF(C1536=DATE(2026,12,1),36,0)+IF(C1536=DATE(2026,12,2),23,0)))</f>
        <v/>
      </c>
      <c r="K1536" s="13">
        <f>IF(C1536=Options!$B$9,B1536*12,0)</f>
        <v/>
      </c>
      <c r="L1536" s="13">
        <f>IF(C1536=Options!$B$9,B1536*Options!$Z$7,0)</f>
        <v/>
      </c>
      <c r="M1536" s="13" t="n">
        <v>0</v>
      </c>
      <c r="N1536" s="13">
        <f>SUM(E1536:M1536)</f>
        <v/>
      </c>
    </row>
    <row r="1537">
      <c r="A1537" s="5">
        <f>IF(AND(C1537&gt;=Options!$B$9,C1537&lt;=Options!$B$10),"Phoenix","")</f>
        <v/>
      </c>
      <c r="B1537" s="5">
        <f>IF(A1537="","",18)</f>
        <v/>
      </c>
      <c r="C1537" s="17" t="n">
        <v>46368</v>
      </c>
      <c r="D1537" s="5">
        <f>IF(A1537="","",IF(C1537=DATE(2026,11,29),"培训；注册午餐；早餐参数",IF(C1537=DATE(2026,11,30),"培训；注册午餐",IF(C1537=DATE(2026,12,1),"培训；注册午餐；机构晚餐",IF(C1537=Options!$B$9,"抵达；"&amp;IF(C1537=DATE(2026,11,28),"机构晚餐","无统一供餐"),IF(C1537=Options!$B$10,"返程；"&amp;IF(C1537=DATE(2026,12,2),"机构午餐","无统一供餐"),"差旅状态；无统一日程"))))))</f>
        <v/>
      </c>
      <c r="E1537" s="13">
        <f>IF(C1537=Options!$B$9,Options!$C$18,0)</f>
        <v/>
      </c>
      <c r="F1537" s="13">
        <f>IF(AND(A1537&lt;&gt;"",C1537&lt;Options!$B$10),B1537*Options!$X$7,0)</f>
        <v/>
      </c>
      <c r="G1537" s="13">
        <f>F1537*12%</f>
        <v/>
      </c>
      <c r="H1537" s="13">
        <f>IF(A1537="",0,B1537*(86*IF(OR(C1537=Options!$B$9,C1537=Options!$B$10),75%,100%)-IF(C1537=DATE(2026,11,29),23+IF(Options!$B$8="是",22,0),0)-IF(C1537=DATE(2026,11,30),23,0)-IF(C1537=DATE(2026,12,1),59,0)-IF(C1537=DATE(2026,11,28),36,0)-IF(C1537=DATE(2026,12,2),23,0)))</f>
        <v/>
      </c>
      <c r="I1537" s="13">
        <f>IF(AND(C1537&gt;=DATE(2026,11,29),C1537&lt;=DATE(2026,12,1)),B1537*60,0)</f>
        <v/>
      </c>
      <c r="J1537" s="13">
        <f>IF(A1537="",0,B1537*(IF(C1537=DATE(2026,11,28),36,0)+IF(C1537=DATE(2026,12,1),36,0)+IF(C1537=DATE(2026,12,2),23,0)))</f>
        <v/>
      </c>
      <c r="K1537" s="13">
        <f>IF(C1537=Options!$B$9,B1537*12,0)</f>
        <v/>
      </c>
      <c r="L1537" s="13">
        <f>IF(C1537=Options!$B$9,B1537*Options!$Z$7,0)</f>
        <v/>
      </c>
      <c r="M1537" s="13" t="n">
        <v>0</v>
      </c>
      <c r="N1537" s="13">
        <f>SUM(E1537:M1537)</f>
        <v/>
      </c>
    </row>
    <row r="1538">
      <c r="A1538" s="5">
        <f>IF(AND(C1538&gt;=Options!$B$9,C1538&lt;=Options!$B$10),"Phoenix","")</f>
        <v/>
      </c>
      <c r="B1538" s="5">
        <f>IF(A1538="","",18)</f>
        <v/>
      </c>
      <c r="C1538" s="17" t="n">
        <v>46369</v>
      </c>
      <c r="D1538" s="5">
        <f>IF(A1538="","",IF(C1538=DATE(2026,11,29),"培训；注册午餐；早餐参数",IF(C1538=DATE(2026,11,30),"培训；注册午餐",IF(C1538=DATE(2026,12,1),"培训；注册午餐；机构晚餐",IF(C1538=Options!$B$9,"抵达；"&amp;IF(C1538=DATE(2026,11,28),"机构晚餐","无统一供餐"),IF(C1538=Options!$B$10,"返程；"&amp;IF(C1538=DATE(2026,12,2),"机构午餐","无统一供餐"),"差旅状态；无统一日程"))))))</f>
        <v/>
      </c>
      <c r="E1538" s="13">
        <f>IF(C1538=Options!$B$9,Options!$C$18,0)</f>
        <v/>
      </c>
      <c r="F1538" s="13">
        <f>IF(AND(A1538&lt;&gt;"",C1538&lt;Options!$B$10),B1538*Options!$X$7,0)</f>
        <v/>
      </c>
      <c r="G1538" s="13">
        <f>F1538*12%</f>
        <v/>
      </c>
      <c r="H1538" s="13">
        <f>IF(A1538="",0,B1538*(86*IF(OR(C1538=Options!$B$9,C1538=Options!$B$10),75%,100%)-IF(C1538=DATE(2026,11,29),23+IF(Options!$B$8="是",22,0),0)-IF(C1538=DATE(2026,11,30),23,0)-IF(C1538=DATE(2026,12,1),59,0)-IF(C1538=DATE(2026,11,28),36,0)-IF(C1538=DATE(2026,12,2),23,0)))</f>
        <v/>
      </c>
      <c r="I1538" s="13">
        <f>IF(AND(C1538&gt;=DATE(2026,11,29),C1538&lt;=DATE(2026,12,1)),B1538*60,0)</f>
        <v/>
      </c>
      <c r="J1538" s="13">
        <f>IF(A1538="",0,B1538*(IF(C1538=DATE(2026,11,28),36,0)+IF(C1538=DATE(2026,12,1),36,0)+IF(C1538=DATE(2026,12,2),23,0)))</f>
        <v/>
      </c>
      <c r="K1538" s="13">
        <f>IF(C1538=Options!$B$9,B1538*12,0)</f>
        <v/>
      </c>
      <c r="L1538" s="13">
        <f>IF(C1538=Options!$B$9,B1538*Options!$Z$7,0)</f>
        <v/>
      </c>
      <c r="M1538" s="13" t="n">
        <v>0</v>
      </c>
      <c r="N1538" s="13">
        <f>SUM(E1538:M1538)</f>
        <v/>
      </c>
    </row>
    <row r="1539">
      <c r="A1539" s="5">
        <f>IF(AND(C1539&gt;=Options!$B$9,C1539&lt;=Options!$B$10),"Phoenix","")</f>
        <v/>
      </c>
      <c r="B1539" s="5">
        <f>IF(A1539="","",18)</f>
        <v/>
      </c>
      <c r="C1539" s="17" t="n">
        <v>46370</v>
      </c>
      <c r="D1539" s="5">
        <f>IF(A1539="","",IF(C1539=DATE(2026,11,29),"培训；注册午餐；早餐参数",IF(C1539=DATE(2026,11,30),"培训；注册午餐",IF(C1539=DATE(2026,12,1),"培训；注册午餐；机构晚餐",IF(C1539=Options!$B$9,"抵达；"&amp;IF(C1539=DATE(2026,11,28),"机构晚餐","无统一供餐"),IF(C1539=Options!$B$10,"返程；"&amp;IF(C1539=DATE(2026,12,2),"机构午餐","无统一供餐"),"差旅状态；无统一日程"))))))</f>
        <v/>
      </c>
      <c r="E1539" s="13">
        <f>IF(C1539=Options!$B$9,Options!$C$18,0)</f>
        <v/>
      </c>
      <c r="F1539" s="13">
        <f>IF(AND(A1539&lt;&gt;"",C1539&lt;Options!$B$10),B1539*Options!$X$7,0)</f>
        <v/>
      </c>
      <c r="G1539" s="13">
        <f>F1539*12%</f>
        <v/>
      </c>
      <c r="H1539" s="13">
        <f>IF(A1539="",0,B1539*(86*IF(OR(C1539=Options!$B$9,C1539=Options!$B$10),75%,100%)-IF(C1539=DATE(2026,11,29),23+IF(Options!$B$8="是",22,0),0)-IF(C1539=DATE(2026,11,30),23,0)-IF(C1539=DATE(2026,12,1),59,0)-IF(C1539=DATE(2026,11,28),36,0)-IF(C1539=DATE(2026,12,2),23,0)))</f>
        <v/>
      </c>
      <c r="I1539" s="13">
        <f>IF(AND(C1539&gt;=DATE(2026,11,29),C1539&lt;=DATE(2026,12,1)),B1539*60,0)</f>
        <v/>
      </c>
      <c r="J1539" s="13">
        <f>IF(A1539="",0,B1539*(IF(C1539=DATE(2026,11,28),36,0)+IF(C1539=DATE(2026,12,1),36,0)+IF(C1539=DATE(2026,12,2),23,0)))</f>
        <v/>
      </c>
      <c r="K1539" s="13">
        <f>IF(C1539=Options!$B$9,B1539*12,0)</f>
        <v/>
      </c>
      <c r="L1539" s="13">
        <f>IF(C1539=Options!$B$9,B1539*Options!$Z$7,0)</f>
        <v/>
      </c>
      <c r="M1539" s="13" t="n">
        <v>0</v>
      </c>
      <c r="N1539" s="13">
        <f>SUM(E1539:M1539)</f>
        <v/>
      </c>
    </row>
    <row r="1540">
      <c r="A1540" s="5">
        <f>IF(AND(C1540&gt;=Options!$B$9,C1540&lt;=Options!$B$10),"Phoenix","")</f>
        <v/>
      </c>
      <c r="B1540" s="5">
        <f>IF(A1540="","",18)</f>
        <v/>
      </c>
      <c r="C1540" s="17" t="n">
        <v>46371</v>
      </c>
      <c r="D1540" s="5">
        <f>IF(A1540="","",IF(C1540=DATE(2026,11,29),"培训；注册午餐；早餐参数",IF(C1540=DATE(2026,11,30),"培训；注册午餐",IF(C1540=DATE(2026,12,1),"培训；注册午餐；机构晚餐",IF(C1540=Options!$B$9,"抵达；"&amp;IF(C1540=DATE(2026,11,28),"机构晚餐","无统一供餐"),IF(C1540=Options!$B$10,"返程；"&amp;IF(C1540=DATE(2026,12,2),"机构午餐","无统一供餐"),"差旅状态；无统一日程"))))))</f>
        <v/>
      </c>
      <c r="E1540" s="13">
        <f>IF(C1540=Options!$B$9,Options!$C$18,0)</f>
        <v/>
      </c>
      <c r="F1540" s="13">
        <f>IF(AND(A1540&lt;&gt;"",C1540&lt;Options!$B$10),B1540*Options!$X$7,0)</f>
        <v/>
      </c>
      <c r="G1540" s="13">
        <f>F1540*12%</f>
        <v/>
      </c>
      <c r="H1540" s="13">
        <f>IF(A1540="",0,B1540*(86*IF(OR(C1540=Options!$B$9,C1540=Options!$B$10),75%,100%)-IF(C1540=DATE(2026,11,29),23+IF(Options!$B$8="是",22,0),0)-IF(C1540=DATE(2026,11,30),23,0)-IF(C1540=DATE(2026,12,1),59,0)-IF(C1540=DATE(2026,11,28),36,0)-IF(C1540=DATE(2026,12,2),23,0)))</f>
        <v/>
      </c>
      <c r="I1540" s="13">
        <f>IF(AND(C1540&gt;=DATE(2026,11,29),C1540&lt;=DATE(2026,12,1)),B1540*60,0)</f>
        <v/>
      </c>
      <c r="J1540" s="13">
        <f>IF(A1540="",0,B1540*(IF(C1540=DATE(2026,11,28),36,0)+IF(C1540=DATE(2026,12,1),36,0)+IF(C1540=DATE(2026,12,2),23,0)))</f>
        <v/>
      </c>
      <c r="K1540" s="13">
        <f>IF(C1540=Options!$B$9,B1540*12,0)</f>
        <v/>
      </c>
      <c r="L1540" s="13">
        <f>IF(C1540=Options!$B$9,B1540*Options!$Z$7,0)</f>
        <v/>
      </c>
      <c r="M1540" s="13" t="n">
        <v>0</v>
      </c>
      <c r="N1540" s="13">
        <f>SUM(E1540:M1540)</f>
        <v/>
      </c>
    </row>
    <row r="1541">
      <c r="A1541" s="5">
        <f>IF(AND(C1541&gt;=Options!$B$9,C1541&lt;=Options!$B$10),"Phoenix","")</f>
        <v/>
      </c>
      <c r="B1541" s="5">
        <f>IF(A1541="","",18)</f>
        <v/>
      </c>
      <c r="C1541" s="17" t="n">
        <v>46372</v>
      </c>
      <c r="D1541" s="5">
        <f>IF(A1541="","",IF(C1541=DATE(2026,11,29),"培训；注册午餐；早餐参数",IF(C1541=DATE(2026,11,30),"培训；注册午餐",IF(C1541=DATE(2026,12,1),"培训；注册午餐；机构晚餐",IF(C1541=Options!$B$9,"抵达；"&amp;IF(C1541=DATE(2026,11,28),"机构晚餐","无统一供餐"),IF(C1541=Options!$B$10,"返程；"&amp;IF(C1541=DATE(2026,12,2),"机构午餐","无统一供餐"),"差旅状态；无统一日程"))))))</f>
        <v/>
      </c>
      <c r="E1541" s="13">
        <f>IF(C1541=Options!$B$9,Options!$C$18,0)</f>
        <v/>
      </c>
      <c r="F1541" s="13">
        <f>IF(AND(A1541&lt;&gt;"",C1541&lt;Options!$B$10),B1541*Options!$X$7,0)</f>
        <v/>
      </c>
      <c r="G1541" s="13">
        <f>F1541*12%</f>
        <v/>
      </c>
      <c r="H1541" s="13">
        <f>IF(A1541="",0,B1541*(86*IF(OR(C1541=Options!$B$9,C1541=Options!$B$10),75%,100%)-IF(C1541=DATE(2026,11,29),23+IF(Options!$B$8="是",22,0),0)-IF(C1541=DATE(2026,11,30),23,0)-IF(C1541=DATE(2026,12,1),59,0)-IF(C1541=DATE(2026,11,28),36,0)-IF(C1541=DATE(2026,12,2),23,0)))</f>
        <v/>
      </c>
      <c r="I1541" s="13">
        <f>IF(AND(C1541&gt;=DATE(2026,11,29),C1541&lt;=DATE(2026,12,1)),B1541*60,0)</f>
        <v/>
      </c>
      <c r="J1541" s="13">
        <f>IF(A1541="",0,B1541*(IF(C1541=DATE(2026,11,28),36,0)+IF(C1541=DATE(2026,12,1),36,0)+IF(C1541=DATE(2026,12,2),23,0)))</f>
        <v/>
      </c>
      <c r="K1541" s="13">
        <f>IF(C1541=Options!$B$9,B1541*12,0)</f>
        <v/>
      </c>
      <c r="L1541" s="13">
        <f>IF(C1541=Options!$B$9,B1541*Options!$Z$7,0)</f>
        <v/>
      </c>
      <c r="M1541" s="13" t="n">
        <v>0</v>
      </c>
      <c r="N1541" s="13">
        <f>SUM(E1541:M1541)</f>
        <v/>
      </c>
    </row>
    <row r="1542">
      <c r="A1542" s="5">
        <f>IF(AND(C1542&gt;=Options!$B$9,C1542&lt;=Options!$B$10),"Phoenix","")</f>
        <v/>
      </c>
      <c r="B1542" s="5">
        <f>IF(A1542="","",18)</f>
        <v/>
      </c>
      <c r="C1542" s="17" t="n">
        <v>46373</v>
      </c>
      <c r="D1542" s="5">
        <f>IF(A1542="","",IF(C1542=DATE(2026,11,29),"培训；注册午餐；早餐参数",IF(C1542=DATE(2026,11,30),"培训；注册午餐",IF(C1542=DATE(2026,12,1),"培训；注册午餐；机构晚餐",IF(C1542=Options!$B$9,"抵达；"&amp;IF(C1542=DATE(2026,11,28),"机构晚餐","无统一供餐"),IF(C1542=Options!$B$10,"返程；"&amp;IF(C1542=DATE(2026,12,2),"机构午餐","无统一供餐"),"差旅状态；无统一日程"))))))</f>
        <v/>
      </c>
      <c r="E1542" s="13">
        <f>IF(C1542=Options!$B$9,Options!$C$18,0)</f>
        <v/>
      </c>
      <c r="F1542" s="13">
        <f>IF(AND(A1542&lt;&gt;"",C1542&lt;Options!$B$10),B1542*Options!$X$7,0)</f>
        <v/>
      </c>
      <c r="G1542" s="13">
        <f>F1542*12%</f>
        <v/>
      </c>
      <c r="H1542" s="13">
        <f>IF(A1542="",0,B1542*(86*IF(OR(C1542=Options!$B$9,C1542=Options!$B$10),75%,100%)-IF(C1542=DATE(2026,11,29),23+IF(Options!$B$8="是",22,0),0)-IF(C1542=DATE(2026,11,30),23,0)-IF(C1542=DATE(2026,12,1),59,0)-IF(C1542=DATE(2026,11,28),36,0)-IF(C1542=DATE(2026,12,2),23,0)))</f>
        <v/>
      </c>
      <c r="I1542" s="13">
        <f>IF(AND(C1542&gt;=DATE(2026,11,29),C1542&lt;=DATE(2026,12,1)),B1542*60,0)</f>
        <v/>
      </c>
      <c r="J1542" s="13">
        <f>IF(A1542="",0,B1542*(IF(C1542=DATE(2026,11,28),36,0)+IF(C1542=DATE(2026,12,1),36,0)+IF(C1542=DATE(2026,12,2),23,0)))</f>
        <v/>
      </c>
      <c r="K1542" s="13">
        <f>IF(C1542=Options!$B$9,B1542*12,0)</f>
        <v/>
      </c>
      <c r="L1542" s="13">
        <f>IF(C1542=Options!$B$9,B1542*Options!$Z$7,0)</f>
        <v/>
      </c>
      <c r="M1542" s="13" t="n">
        <v>0</v>
      </c>
      <c r="N1542" s="13">
        <f>SUM(E1542:M1542)</f>
        <v/>
      </c>
    </row>
    <row r="1543">
      <c r="A1543" s="5">
        <f>IF(AND(C1543&gt;=Options!$B$9,C1543&lt;=Options!$B$10),"Phoenix","")</f>
        <v/>
      </c>
      <c r="B1543" s="5">
        <f>IF(A1543="","",18)</f>
        <v/>
      </c>
      <c r="C1543" s="17" t="n">
        <v>46374</v>
      </c>
      <c r="D1543" s="5">
        <f>IF(A1543="","",IF(C1543=DATE(2026,11,29),"培训；注册午餐；早餐参数",IF(C1543=DATE(2026,11,30),"培训；注册午餐",IF(C1543=DATE(2026,12,1),"培训；注册午餐；机构晚餐",IF(C1543=Options!$B$9,"抵达；"&amp;IF(C1543=DATE(2026,11,28),"机构晚餐","无统一供餐"),IF(C1543=Options!$B$10,"返程；"&amp;IF(C1543=DATE(2026,12,2),"机构午餐","无统一供餐"),"差旅状态；无统一日程"))))))</f>
        <v/>
      </c>
      <c r="E1543" s="13">
        <f>IF(C1543=Options!$B$9,Options!$C$18,0)</f>
        <v/>
      </c>
      <c r="F1543" s="13">
        <f>IF(AND(A1543&lt;&gt;"",C1543&lt;Options!$B$10),B1543*Options!$X$7,0)</f>
        <v/>
      </c>
      <c r="G1543" s="13">
        <f>F1543*12%</f>
        <v/>
      </c>
      <c r="H1543" s="13">
        <f>IF(A1543="",0,B1543*(86*IF(OR(C1543=Options!$B$9,C1543=Options!$B$10),75%,100%)-IF(C1543=DATE(2026,11,29),23+IF(Options!$B$8="是",22,0),0)-IF(C1543=DATE(2026,11,30),23,0)-IF(C1543=DATE(2026,12,1),59,0)-IF(C1543=DATE(2026,11,28),36,0)-IF(C1543=DATE(2026,12,2),23,0)))</f>
        <v/>
      </c>
      <c r="I1543" s="13">
        <f>IF(AND(C1543&gt;=DATE(2026,11,29),C1543&lt;=DATE(2026,12,1)),B1543*60,0)</f>
        <v/>
      </c>
      <c r="J1543" s="13">
        <f>IF(A1543="",0,B1543*(IF(C1543=DATE(2026,11,28),36,0)+IF(C1543=DATE(2026,12,1),36,0)+IF(C1543=DATE(2026,12,2),23,0)))</f>
        <v/>
      </c>
      <c r="K1543" s="13">
        <f>IF(C1543=Options!$B$9,B1543*12,0)</f>
        <v/>
      </c>
      <c r="L1543" s="13">
        <f>IF(C1543=Options!$B$9,B1543*Options!$Z$7,0)</f>
        <v/>
      </c>
      <c r="M1543" s="13" t="n">
        <v>0</v>
      </c>
      <c r="N1543" s="13">
        <f>SUM(E1543:M1543)</f>
        <v/>
      </c>
    </row>
    <row r="1544">
      <c r="A1544" s="5">
        <f>IF(AND(C1544&gt;=Options!$B$9,C1544&lt;=Options!$B$10),"Phoenix","")</f>
        <v/>
      </c>
      <c r="B1544" s="5">
        <f>IF(A1544="","",18)</f>
        <v/>
      </c>
      <c r="C1544" s="17" t="n">
        <v>46375</v>
      </c>
      <c r="D1544" s="5">
        <f>IF(A1544="","",IF(C1544=DATE(2026,11,29),"培训；注册午餐；早餐参数",IF(C1544=DATE(2026,11,30),"培训；注册午餐",IF(C1544=DATE(2026,12,1),"培训；注册午餐；机构晚餐",IF(C1544=Options!$B$9,"抵达；"&amp;IF(C1544=DATE(2026,11,28),"机构晚餐","无统一供餐"),IF(C1544=Options!$B$10,"返程；"&amp;IF(C1544=DATE(2026,12,2),"机构午餐","无统一供餐"),"差旅状态；无统一日程"))))))</f>
        <v/>
      </c>
      <c r="E1544" s="13">
        <f>IF(C1544=Options!$B$9,Options!$C$18,0)</f>
        <v/>
      </c>
      <c r="F1544" s="13">
        <f>IF(AND(A1544&lt;&gt;"",C1544&lt;Options!$B$10),B1544*Options!$X$7,0)</f>
        <v/>
      </c>
      <c r="G1544" s="13">
        <f>F1544*12%</f>
        <v/>
      </c>
      <c r="H1544" s="13">
        <f>IF(A1544="",0,B1544*(86*IF(OR(C1544=Options!$B$9,C1544=Options!$B$10),75%,100%)-IF(C1544=DATE(2026,11,29),23+IF(Options!$B$8="是",22,0),0)-IF(C1544=DATE(2026,11,30),23,0)-IF(C1544=DATE(2026,12,1),59,0)-IF(C1544=DATE(2026,11,28),36,0)-IF(C1544=DATE(2026,12,2),23,0)))</f>
        <v/>
      </c>
      <c r="I1544" s="13">
        <f>IF(AND(C1544&gt;=DATE(2026,11,29),C1544&lt;=DATE(2026,12,1)),B1544*60,0)</f>
        <v/>
      </c>
      <c r="J1544" s="13">
        <f>IF(A1544="",0,B1544*(IF(C1544=DATE(2026,11,28),36,0)+IF(C1544=DATE(2026,12,1),36,0)+IF(C1544=DATE(2026,12,2),23,0)))</f>
        <v/>
      </c>
      <c r="K1544" s="13">
        <f>IF(C1544=Options!$B$9,B1544*12,0)</f>
        <v/>
      </c>
      <c r="L1544" s="13">
        <f>IF(C1544=Options!$B$9,B1544*Options!$Z$7,0)</f>
        <v/>
      </c>
      <c r="M1544" s="13" t="n">
        <v>0</v>
      </c>
      <c r="N1544" s="13">
        <f>SUM(E1544:M1544)</f>
        <v/>
      </c>
    </row>
    <row r="1545">
      <c r="A1545" s="5">
        <f>IF(AND(C1545&gt;=Options!$B$9,C1545&lt;=Options!$B$10),"Phoenix","")</f>
        <v/>
      </c>
      <c r="B1545" s="5">
        <f>IF(A1545="","",18)</f>
        <v/>
      </c>
      <c r="C1545" s="17" t="n">
        <v>46376</v>
      </c>
      <c r="D1545" s="5">
        <f>IF(A1545="","",IF(C1545=DATE(2026,11,29),"培训；注册午餐；早餐参数",IF(C1545=DATE(2026,11,30),"培训；注册午餐",IF(C1545=DATE(2026,12,1),"培训；注册午餐；机构晚餐",IF(C1545=Options!$B$9,"抵达；"&amp;IF(C1545=DATE(2026,11,28),"机构晚餐","无统一供餐"),IF(C1545=Options!$B$10,"返程；"&amp;IF(C1545=DATE(2026,12,2),"机构午餐","无统一供餐"),"差旅状态；无统一日程"))))))</f>
        <v/>
      </c>
      <c r="E1545" s="13">
        <f>IF(C1545=Options!$B$9,Options!$C$18,0)</f>
        <v/>
      </c>
      <c r="F1545" s="13">
        <f>IF(AND(A1545&lt;&gt;"",C1545&lt;Options!$B$10),B1545*Options!$X$7,0)</f>
        <v/>
      </c>
      <c r="G1545" s="13">
        <f>F1545*12%</f>
        <v/>
      </c>
      <c r="H1545" s="13">
        <f>IF(A1545="",0,B1545*(86*IF(OR(C1545=Options!$B$9,C1545=Options!$B$10),75%,100%)-IF(C1545=DATE(2026,11,29),23+IF(Options!$B$8="是",22,0),0)-IF(C1545=DATE(2026,11,30),23,0)-IF(C1545=DATE(2026,12,1),59,0)-IF(C1545=DATE(2026,11,28),36,0)-IF(C1545=DATE(2026,12,2),23,0)))</f>
        <v/>
      </c>
      <c r="I1545" s="13">
        <f>IF(AND(C1545&gt;=DATE(2026,11,29),C1545&lt;=DATE(2026,12,1)),B1545*60,0)</f>
        <v/>
      </c>
      <c r="J1545" s="13">
        <f>IF(A1545="",0,B1545*(IF(C1545=DATE(2026,11,28),36,0)+IF(C1545=DATE(2026,12,1),36,0)+IF(C1545=DATE(2026,12,2),23,0)))</f>
        <v/>
      </c>
      <c r="K1545" s="13">
        <f>IF(C1545=Options!$B$9,B1545*12,0)</f>
        <v/>
      </c>
      <c r="L1545" s="13">
        <f>IF(C1545=Options!$B$9,B1545*Options!$Z$7,0)</f>
        <v/>
      </c>
      <c r="M1545" s="13" t="n">
        <v>0</v>
      </c>
      <c r="N1545" s="13">
        <f>SUM(E1545:M1545)</f>
        <v/>
      </c>
    </row>
    <row r="1546">
      <c r="A1546" s="5">
        <f>IF(AND(C1546&gt;=Options!$B$9,C1546&lt;=Options!$B$10),"Phoenix","")</f>
        <v/>
      </c>
      <c r="B1546" s="5">
        <f>IF(A1546="","",18)</f>
        <v/>
      </c>
      <c r="C1546" s="17" t="n">
        <v>46377</v>
      </c>
      <c r="D1546" s="5">
        <f>IF(A1546="","",IF(C1546=DATE(2026,11,29),"培训；注册午餐；早餐参数",IF(C1546=DATE(2026,11,30),"培训；注册午餐",IF(C1546=DATE(2026,12,1),"培训；注册午餐；机构晚餐",IF(C1546=Options!$B$9,"抵达；"&amp;IF(C1546=DATE(2026,11,28),"机构晚餐","无统一供餐"),IF(C1546=Options!$B$10,"返程；"&amp;IF(C1546=DATE(2026,12,2),"机构午餐","无统一供餐"),"差旅状态；无统一日程"))))))</f>
        <v/>
      </c>
      <c r="E1546" s="13">
        <f>IF(C1546=Options!$B$9,Options!$C$18,0)</f>
        <v/>
      </c>
      <c r="F1546" s="13">
        <f>IF(AND(A1546&lt;&gt;"",C1546&lt;Options!$B$10),B1546*Options!$X$7,0)</f>
        <v/>
      </c>
      <c r="G1546" s="13">
        <f>F1546*12%</f>
        <v/>
      </c>
      <c r="H1546" s="13">
        <f>IF(A1546="",0,B1546*(86*IF(OR(C1546=Options!$B$9,C1546=Options!$B$10),75%,100%)-IF(C1546=DATE(2026,11,29),23+IF(Options!$B$8="是",22,0),0)-IF(C1546=DATE(2026,11,30),23,0)-IF(C1546=DATE(2026,12,1),59,0)-IF(C1546=DATE(2026,11,28),36,0)-IF(C1546=DATE(2026,12,2),23,0)))</f>
        <v/>
      </c>
      <c r="I1546" s="13">
        <f>IF(AND(C1546&gt;=DATE(2026,11,29),C1546&lt;=DATE(2026,12,1)),B1546*60,0)</f>
        <v/>
      </c>
      <c r="J1546" s="13">
        <f>IF(A1546="",0,B1546*(IF(C1546=DATE(2026,11,28),36,0)+IF(C1546=DATE(2026,12,1),36,0)+IF(C1546=DATE(2026,12,2),23,0)))</f>
        <v/>
      </c>
      <c r="K1546" s="13">
        <f>IF(C1546=Options!$B$9,B1546*12,0)</f>
        <v/>
      </c>
      <c r="L1546" s="13">
        <f>IF(C1546=Options!$B$9,B1546*Options!$Z$7,0)</f>
        <v/>
      </c>
      <c r="M1546" s="13" t="n">
        <v>0</v>
      </c>
      <c r="N1546" s="13">
        <f>SUM(E1546:M1546)</f>
        <v/>
      </c>
    </row>
    <row r="1547">
      <c r="A1547" s="5">
        <f>IF(AND(C1547&gt;=Options!$B$9,C1547&lt;=Options!$B$10),"Phoenix","")</f>
        <v/>
      </c>
      <c r="B1547" s="5">
        <f>IF(A1547="","",18)</f>
        <v/>
      </c>
      <c r="C1547" s="17" t="n">
        <v>46378</v>
      </c>
      <c r="D1547" s="5">
        <f>IF(A1547="","",IF(C1547=DATE(2026,11,29),"培训；注册午餐；早餐参数",IF(C1547=DATE(2026,11,30),"培训；注册午餐",IF(C1547=DATE(2026,12,1),"培训；注册午餐；机构晚餐",IF(C1547=Options!$B$9,"抵达；"&amp;IF(C1547=DATE(2026,11,28),"机构晚餐","无统一供餐"),IF(C1547=Options!$B$10,"返程；"&amp;IF(C1547=DATE(2026,12,2),"机构午餐","无统一供餐"),"差旅状态；无统一日程"))))))</f>
        <v/>
      </c>
      <c r="E1547" s="13">
        <f>IF(C1547=Options!$B$9,Options!$C$18,0)</f>
        <v/>
      </c>
      <c r="F1547" s="13">
        <f>IF(AND(A1547&lt;&gt;"",C1547&lt;Options!$B$10),B1547*Options!$X$7,0)</f>
        <v/>
      </c>
      <c r="G1547" s="13">
        <f>F1547*12%</f>
        <v/>
      </c>
      <c r="H1547" s="13">
        <f>IF(A1547="",0,B1547*(86*IF(OR(C1547=Options!$B$9,C1547=Options!$B$10),75%,100%)-IF(C1547=DATE(2026,11,29),23+IF(Options!$B$8="是",22,0),0)-IF(C1547=DATE(2026,11,30),23,0)-IF(C1547=DATE(2026,12,1),59,0)-IF(C1547=DATE(2026,11,28),36,0)-IF(C1547=DATE(2026,12,2),23,0)))</f>
        <v/>
      </c>
      <c r="I1547" s="13">
        <f>IF(AND(C1547&gt;=DATE(2026,11,29),C1547&lt;=DATE(2026,12,1)),B1547*60,0)</f>
        <v/>
      </c>
      <c r="J1547" s="13">
        <f>IF(A1547="",0,B1547*(IF(C1547=DATE(2026,11,28),36,0)+IF(C1547=DATE(2026,12,1),36,0)+IF(C1547=DATE(2026,12,2),23,0)))</f>
        <v/>
      </c>
      <c r="K1547" s="13">
        <f>IF(C1547=Options!$B$9,B1547*12,0)</f>
        <v/>
      </c>
      <c r="L1547" s="13">
        <f>IF(C1547=Options!$B$9,B1547*Options!$Z$7,0)</f>
        <v/>
      </c>
      <c r="M1547" s="13" t="n">
        <v>0</v>
      </c>
      <c r="N1547" s="13">
        <f>SUM(E1547:M1547)</f>
        <v/>
      </c>
    </row>
    <row r="1548">
      <c r="A1548" s="5">
        <f>IF(AND(C1548&gt;=Options!$B$9,C1548&lt;=Options!$B$10),"Phoenix","")</f>
        <v/>
      </c>
      <c r="B1548" s="5">
        <f>IF(A1548="","",18)</f>
        <v/>
      </c>
      <c r="C1548" s="17" t="n">
        <v>46379</v>
      </c>
      <c r="D1548" s="5">
        <f>IF(A1548="","",IF(C1548=DATE(2026,11,29),"培训；注册午餐；早餐参数",IF(C1548=DATE(2026,11,30),"培训；注册午餐",IF(C1548=DATE(2026,12,1),"培训；注册午餐；机构晚餐",IF(C1548=Options!$B$9,"抵达；"&amp;IF(C1548=DATE(2026,11,28),"机构晚餐","无统一供餐"),IF(C1548=Options!$B$10,"返程；"&amp;IF(C1548=DATE(2026,12,2),"机构午餐","无统一供餐"),"差旅状态；无统一日程"))))))</f>
        <v/>
      </c>
      <c r="E1548" s="13">
        <f>IF(C1548=Options!$B$9,Options!$C$18,0)</f>
        <v/>
      </c>
      <c r="F1548" s="13">
        <f>IF(AND(A1548&lt;&gt;"",C1548&lt;Options!$B$10),B1548*Options!$X$7,0)</f>
        <v/>
      </c>
      <c r="G1548" s="13">
        <f>F1548*12%</f>
        <v/>
      </c>
      <c r="H1548" s="13">
        <f>IF(A1548="",0,B1548*(86*IF(OR(C1548=Options!$B$9,C1548=Options!$B$10),75%,100%)-IF(C1548=DATE(2026,11,29),23+IF(Options!$B$8="是",22,0),0)-IF(C1548=DATE(2026,11,30),23,0)-IF(C1548=DATE(2026,12,1),59,0)-IF(C1548=DATE(2026,11,28),36,0)-IF(C1548=DATE(2026,12,2),23,0)))</f>
        <v/>
      </c>
      <c r="I1548" s="13">
        <f>IF(AND(C1548&gt;=DATE(2026,11,29),C1548&lt;=DATE(2026,12,1)),B1548*60,0)</f>
        <v/>
      </c>
      <c r="J1548" s="13">
        <f>IF(A1548="",0,B1548*(IF(C1548=DATE(2026,11,28),36,0)+IF(C1548=DATE(2026,12,1),36,0)+IF(C1548=DATE(2026,12,2),23,0)))</f>
        <v/>
      </c>
      <c r="K1548" s="13">
        <f>IF(C1548=Options!$B$9,B1548*12,0)</f>
        <v/>
      </c>
      <c r="L1548" s="13">
        <f>IF(C1548=Options!$B$9,B1548*Options!$Z$7,0)</f>
        <v/>
      </c>
      <c r="M1548" s="13" t="n">
        <v>0</v>
      </c>
      <c r="N1548" s="13">
        <f>SUM(E1548:M1548)</f>
        <v/>
      </c>
    </row>
    <row r="1549">
      <c r="A1549" s="5">
        <f>IF(AND(C1549&gt;=Options!$B$9,C1549&lt;=Options!$B$10),"Phoenix","")</f>
        <v/>
      </c>
      <c r="B1549" s="5">
        <f>IF(A1549="","",18)</f>
        <v/>
      </c>
      <c r="C1549" s="17" t="n">
        <v>46380</v>
      </c>
      <c r="D1549" s="5">
        <f>IF(A1549="","",IF(C1549=DATE(2026,11,29),"培训；注册午餐；早餐参数",IF(C1549=DATE(2026,11,30),"培训；注册午餐",IF(C1549=DATE(2026,12,1),"培训；注册午餐；机构晚餐",IF(C1549=Options!$B$9,"抵达；"&amp;IF(C1549=DATE(2026,11,28),"机构晚餐","无统一供餐"),IF(C1549=Options!$B$10,"返程；"&amp;IF(C1549=DATE(2026,12,2),"机构午餐","无统一供餐"),"差旅状态；无统一日程"))))))</f>
        <v/>
      </c>
      <c r="E1549" s="13">
        <f>IF(C1549=Options!$B$9,Options!$C$18,0)</f>
        <v/>
      </c>
      <c r="F1549" s="13">
        <f>IF(AND(A1549&lt;&gt;"",C1549&lt;Options!$B$10),B1549*Options!$X$7,0)</f>
        <v/>
      </c>
      <c r="G1549" s="13">
        <f>F1549*12%</f>
        <v/>
      </c>
      <c r="H1549" s="13">
        <f>IF(A1549="",0,B1549*(86*IF(OR(C1549=Options!$B$9,C1549=Options!$B$10),75%,100%)-IF(C1549=DATE(2026,11,29),23+IF(Options!$B$8="是",22,0),0)-IF(C1549=DATE(2026,11,30),23,0)-IF(C1549=DATE(2026,12,1),59,0)-IF(C1549=DATE(2026,11,28),36,0)-IF(C1549=DATE(2026,12,2),23,0)))</f>
        <v/>
      </c>
      <c r="I1549" s="13">
        <f>IF(AND(C1549&gt;=DATE(2026,11,29),C1549&lt;=DATE(2026,12,1)),B1549*60,0)</f>
        <v/>
      </c>
      <c r="J1549" s="13">
        <f>IF(A1549="",0,B1549*(IF(C1549=DATE(2026,11,28),36,0)+IF(C1549=DATE(2026,12,1),36,0)+IF(C1549=DATE(2026,12,2),23,0)))</f>
        <v/>
      </c>
      <c r="K1549" s="13">
        <f>IF(C1549=Options!$B$9,B1549*12,0)</f>
        <v/>
      </c>
      <c r="L1549" s="13">
        <f>IF(C1549=Options!$B$9,B1549*Options!$Z$7,0)</f>
        <v/>
      </c>
      <c r="M1549" s="13" t="n">
        <v>0</v>
      </c>
      <c r="N1549" s="13">
        <f>SUM(E1549:M1549)</f>
        <v/>
      </c>
    </row>
    <row r="1550">
      <c r="A1550" s="5">
        <f>IF(AND(C1550&gt;=Options!$B$9,C1550&lt;=Options!$B$10),"Phoenix","")</f>
        <v/>
      </c>
      <c r="B1550" s="5">
        <f>IF(A1550="","",18)</f>
        <v/>
      </c>
      <c r="C1550" s="17" t="n">
        <v>46381</v>
      </c>
      <c r="D1550" s="5">
        <f>IF(A1550="","",IF(C1550=DATE(2026,11,29),"培训；注册午餐；早餐参数",IF(C1550=DATE(2026,11,30),"培训；注册午餐",IF(C1550=DATE(2026,12,1),"培训；注册午餐；机构晚餐",IF(C1550=Options!$B$9,"抵达；"&amp;IF(C1550=DATE(2026,11,28),"机构晚餐","无统一供餐"),IF(C1550=Options!$B$10,"返程；"&amp;IF(C1550=DATE(2026,12,2),"机构午餐","无统一供餐"),"差旅状态；无统一日程"))))))</f>
        <v/>
      </c>
      <c r="E1550" s="13">
        <f>IF(C1550=Options!$B$9,Options!$C$18,0)</f>
        <v/>
      </c>
      <c r="F1550" s="13">
        <f>IF(AND(A1550&lt;&gt;"",C1550&lt;Options!$B$10),B1550*Options!$X$7,0)</f>
        <v/>
      </c>
      <c r="G1550" s="13">
        <f>F1550*12%</f>
        <v/>
      </c>
      <c r="H1550" s="13">
        <f>IF(A1550="",0,B1550*(86*IF(OR(C1550=Options!$B$9,C1550=Options!$B$10),75%,100%)-IF(C1550=DATE(2026,11,29),23+IF(Options!$B$8="是",22,0),0)-IF(C1550=DATE(2026,11,30),23,0)-IF(C1550=DATE(2026,12,1),59,0)-IF(C1550=DATE(2026,11,28),36,0)-IF(C1550=DATE(2026,12,2),23,0)))</f>
        <v/>
      </c>
      <c r="I1550" s="13">
        <f>IF(AND(C1550&gt;=DATE(2026,11,29),C1550&lt;=DATE(2026,12,1)),B1550*60,0)</f>
        <v/>
      </c>
      <c r="J1550" s="13">
        <f>IF(A1550="",0,B1550*(IF(C1550=DATE(2026,11,28),36,0)+IF(C1550=DATE(2026,12,1),36,0)+IF(C1550=DATE(2026,12,2),23,0)))</f>
        <v/>
      </c>
      <c r="K1550" s="13">
        <f>IF(C1550=Options!$B$9,B1550*12,0)</f>
        <v/>
      </c>
      <c r="L1550" s="13">
        <f>IF(C1550=Options!$B$9,B1550*Options!$Z$7,0)</f>
        <v/>
      </c>
      <c r="M1550" s="13" t="n">
        <v>0</v>
      </c>
      <c r="N1550" s="13">
        <f>SUM(E1550:M1550)</f>
        <v/>
      </c>
    </row>
    <row r="1551">
      <c r="A1551" s="5">
        <f>IF(AND(C1551&gt;=Options!$B$9,C1551&lt;=Options!$B$10),"Phoenix","")</f>
        <v/>
      </c>
      <c r="B1551" s="5">
        <f>IF(A1551="","",18)</f>
        <v/>
      </c>
      <c r="C1551" s="17" t="n">
        <v>46382</v>
      </c>
      <c r="D1551" s="5">
        <f>IF(A1551="","",IF(C1551=DATE(2026,11,29),"培训；注册午餐；早餐参数",IF(C1551=DATE(2026,11,30),"培训；注册午餐",IF(C1551=DATE(2026,12,1),"培训；注册午餐；机构晚餐",IF(C1551=Options!$B$9,"抵达；"&amp;IF(C1551=DATE(2026,11,28),"机构晚餐","无统一供餐"),IF(C1551=Options!$B$10,"返程；"&amp;IF(C1551=DATE(2026,12,2),"机构午餐","无统一供餐"),"差旅状态；无统一日程"))))))</f>
        <v/>
      </c>
      <c r="E1551" s="13">
        <f>IF(C1551=Options!$B$9,Options!$C$18,0)</f>
        <v/>
      </c>
      <c r="F1551" s="13">
        <f>IF(AND(A1551&lt;&gt;"",C1551&lt;Options!$B$10),B1551*Options!$X$7,0)</f>
        <v/>
      </c>
      <c r="G1551" s="13">
        <f>F1551*12%</f>
        <v/>
      </c>
      <c r="H1551" s="13">
        <f>IF(A1551="",0,B1551*(86*IF(OR(C1551=Options!$B$9,C1551=Options!$B$10),75%,100%)-IF(C1551=DATE(2026,11,29),23+IF(Options!$B$8="是",22,0),0)-IF(C1551=DATE(2026,11,30),23,0)-IF(C1551=DATE(2026,12,1),59,0)-IF(C1551=DATE(2026,11,28),36,0)-IF(C1551=DATE(2026,12,2),23,0)))</f>
        <v/>
      </c>
      <c r="I1551" s="13">
        <f>IF(AND(C1551&gt;=DATE(2026,11,29),C1551&lt;=DATE(2026,12,1)),B1551*60,0)</f>
        <v/>
      </c>
      <c r="J1551" s="13">
        <f>IF(A1551="",0,B1551*(IF(C1551=DATE(2026,11,28),36,0)+IF(C1551=DATE(2026,12,1),36,0)+IF(C1551=DATE(2026,12,2),23,0)))</f>
        <v/>
      </c>
      <c r="K1551" s="13">
        <f>IF(C1551=Options!$B$9,B1551*12,0)</f>
        <v/>
      </c>
      <c r="L1551" s="13">
        <f>IF(C1551=Options!$B$9,B1551*Options!$Z$7,0)</f>
        <v/>
      </c>
      <c r="M1551" s="13" t="n">
        <v>0</v>
      </c>
      <c r="N1551" s="13">
        <f>SUM(E1551:M1551)</f>
        <v/>
      </c>
    </row>
    <row r="1552">
      <c r="A1552" s="5">
        <f>IF(AND(C1552&gt;=Options!$B$9,C1552&lt;=Options!$B$10),"Phoenix","")</f>
        <v/>
      </c>
      <c r="B1552" s="5">
        <f>IF(A1552="","",18)</f>
        <v/>
      </c>
      <c r="C1552" s="17" t="n">
        <v>46383</v>
      </c>
      <c r="D1552" s="5">
        <f>IF(A1552="","",IF(C1552=DATE(2026,11,29),"培训；注册午餐；早餐参数",IF(C1552=DATE(2026,11,30),"培训；注册午餐",IF(C1552=DATE(2026,12,1),"培训；注册午餐；机构晚餐",IF(C1552=Options!$B$9,"抵达；"&amp;IF(C1552=DATE(2026,11,28),"机构晚餐","无统一供餐"),IF(C1552=Options!$B$10,"返程；"&amp;IF(C1552=DATE(2026,12,2),"机构午餐","无统一供餐"),"差旅状态；无统一日程"))))))</f>
        <v/>
      </c>
      <c r="E1552" s="13">
        <f>IF(C1552=Options!$B$9,Options!$C$18,0)</f>
        <v/>
      </c>
      <c r="F1552" s="13">
        <f>IF(AND(A1552&lt;&gt;"",C1552&lt;Options!$B$10),B1552*Options!$X$7,0)</f>
        <v/>
      </c>
      <c r="G1552" s="13">
        <f>F1552*12%</f>
        <v/>
      </c>
      <c r="H1552" s="13">
        <f>IF(A1552="",0,B1552*(86*IF(OR(C1552=Options!$B$9,C1552=Options!$B$10),75%,100%)-IF(C1552=DATE(2026,11,29),23+IF(Options!$B$8="是",22,0),0)-IF(C1552=DATE(2026,11,30),23,0)-IF(C1552=DATE(2026,12,1),59,0)-IF(C1552=DATE(2026,11,28),36,0)-IF(C1552=DATE(2026,12,2),23,0)))</f>
        <v/>
      </c>
      <c r="I1552" s="13">
        <f>IF(AND(C1552&gt;=DATE(2026,11,29),C1552&lt;=DATE(2026,12,1)),B1552*60,0)</f>
        <v/>
      </c>
      <c r="J1552" s="13">
        <f>IF(A1552="",0,B1552*(IF(C1552=DATE(2026,11,28),36,0)+IF(C1552=DATE(2026,12,1),36,0)+IF(C1552=DATE(2026,12,2),23,0)))</f>
        <v/>
      </c>
      <c r="K1552" s="13">
        <f>IF(C1552=Options!$B$9,B1552*12,0)</f>
        <v/>
      </c>
      <c r="L1552" s="13">
        <f>IF(C1552=Options!$B$9,B1552*Options!$Z$7,0)</f>
        <v/>
      </c>
      <c r="M1552" s="13" t="n">
        <v>0</v>
      </c>
      <c r="N1552" s="13">
        <f>SUM(E1552:M1552)</f>
        <v/>
      </c>
    </row>
    <row r="1553">
      <c r="A1553" s="5">
        <f>IF(AND(C1553&gt;=Options!$B$9,C1553&lt;=Options!$B$10),"Phoenix","")</f>
        <v/>
      </c>
      <c r="B1553" s="5">
        <f>IF(A1553="","",18)</f>
        <v/>
      </c>
      <c r="C1553" s="17" t="n">
        <v>46384</v>
      </c>
      <c r="D1553" s="5">
        <f>IF(A1553="","",IF(C1553=DATE(2026,11,29),"培训；注册午餐；早餐参数",IF(C1553=DATE(2026,11,30),"培训；注册午餐",IF(C1553=DATE(2026,12,1),"培训；注册午餐；机构晚餐",IF(C1553=Options!$B$9,"抵达；"&amp;IF(C1553=DATE(2026,11,28),"机构晚餐","无统一供餐"),IF(C1553=Options!$B$10,"返程；"&amp;IF(C1553=DATE(2026,12,2),"机构午餐","无统一供餐"),"差旅状态；无统一日程"))))))</f>
        <v/>
      </c>
      <c r="E1553" s="13">
        <f>IF(C1553=Options!$B$9,Options!$C$18,0)</f>
        <v/>
      </c>
      <c r="F1553" s="13">
        <f>IF(AND(A1553&lt;&gt;"",C1553&lt;Options!$B$10),B1553*Options!$X$7,0)</f>
        <v/>
      </c>
      <c r="G1553" s="13">
        <f>F1553*12%</f>
        <v/>
      </c>
      <c r="H1553" s="13">
        <f>IF(A1553="",0,B1553*(86*IF(OR(C1553=Options!$B$9,C1553=Options!$B$10),75%,100%)-IF(C1553=DATE(2026,11,29),23+IF(Options!$B$8="是",22,0),0)-IF(C1553=DATE(2026,11,30),23,0)-IF(C1553=DATE(2026,12,1),59,0)-IF(C1553=DATE(2026,11,28),36,0)-IF(C1553=DATE(2026,12,2),23,0)))</f>
        <v/>
      </c>
      <c r="I1553" s="13">
        <f>IF(AND(C1553&gt;=DATE(2026,11,29),C1553&lt;=DATE(2026,12,1)),B1553*60,0)</f>
        <v/>
      </c>
      <c r="J1553" s="13">
        <f>IF(A1553="",0,B1553*(IF(C1553=DATE(2026,11,28),36,0)+IF(C1553=DATE(2026,12,1),36,0)+IF(C1553=DATE(2026,12,2),23,0)))</f>
        <v/>
      </c>
      <c r="K1553" s="13">
        <f>IF(C1553=Options!$B$9,B1553*12,0)</f>
        <v/>
      </c>
      <c r="L1553" s="13">
        <f>IF(C1553=Options!$B$9,B1553*Options!$Z$7,0)</f>
        <v/>
      </c>
      <c r="M1553" s="13" t="n">
        <v>0</v>
      </c>
      <c r="N1553" s="13">
        <f>SUM(E1553:M1553)</f>
        <v/>
      </c>
    </row>
    <row r="1554">
      <c r="A1554" s="5">
        <f>IF(AND(C1554&gt;=Options!$B$9,C1554&lt;=Options!$B$10),"Phoenix","")</f>
        <v/>
      </c>
      <c r="B1554" s="5">
        <f>IF(A1554="","",18)</f>
        <v/>
      </c>
      <c r="C1554" s="17" t="n">
        <v>46385</v>
      </c>
      <c r="D1554" s="5">
        <f>IF(A1554="","",IF(C1554=DATE(2026,11,29),"培训；注册午餐；早餐参数",IF(C1554=DATE(2026,11,30),"培训；注册午餐",IF(C1554=DATE(2026,12,1),"培训；注册午餐；机构晚餐",IF(C1554=Options!$B$9,"抵达；"&amp;IF(C1554=DATE(2026,11,28),"机构晚餐","无统一供餐"),IF(C1554=Options!$B$10,"返程；"&amp;IF(C1554=DATE(2026,12,2),"机构午餐","无统一供餐"),"差旅状态；无统一日程"))))))</f>
        <v/>
      </c>
      <c r="E1554" s="13">
        <f>IF(C1554=Options!$B$9,Options!$C$18,0)</f>
        <v/>
      </c>
      <c r="F1554" s="13">
        <f>IF(AND(A1554&lt;&gt;"",C1554&lt;Options!$B$10),B1554*Options!$X$7,0)</f>
        <v/>
      </c>
      <c r="G1554" s="13">
        <f>F1554*12%</f>
        <v/>
      </c>
      <c r="H1554" s="13">
        <f>IF(A1554="",0,B1554*(86*IF(OR(C1554=Options!$B$9,C1554=Options!$B$10),75%,100%)-IF(C1554=DATE(2026,11,29),23+IF(Options!$B$8="是",22,0),0)-IF(C1554=DATE(2026,11,30),23,0)-IF(C1554=DATE(2026,12,1),59,0)-IF(C1554=DATE(2026,11,28),36,0)-IF(C1554=DATE(2026,12,2),23,0)))</f>
        <v/>
      </c>
      <c r="I1554" s="13">
        <f>IF(AND(C1554&gt;=DATE(2026,11,29),C1554&lt;=DATE(2026,12,1)),B1554*60,0)</f>
        <v/>
      </c>
      <c r="J1554" s="13">
        <f>IF(A1554="",0,B1554*(IF(C1554=DATE(2026,11,28),36,0)+IF(C1554=DATE(2026,12,1),36,0)+IF(C1554=DATE(2026,12,2),23,0)))</f>
        <v/>
      </c>
      <c r="K1554" s="13">
        <f>IF(C1554=Options!$B$9,B1554*12,0)</f>
        <v/>
      </c>
      <c r="L1554" s="13">
        <f>IF(C1554=Options!$B$9,B1554*Options!$Z$7,0)</f>
        <v/>
      </c>
      <c r="M1554" s="13" t="n">
        <v>0</v>
      </c>
      <c r="N1554" s="13">
        <f>SUM(E1554:M1554)</f>
        <v/>
      </c>
    </row>
    <row r="1555">
      <c r="A1555" s="5">
        <f>IF(AND(C1555&gt;=Options!$B$9,C1555&lt;=Options!$B$10),"Phoenix","")</f>
        <v/>
      </c>
      <c r="B1555" s="5">
        <f>IF(A1555="","",18)</f>
        <v/>
      </c>
      <c r="C1555" s="17" t="n">
        <v>46386</v>
      </c>
      <c r="D1555" s="5">
        <f>IF(A1555="","",IF(C1555=DATE(2026,11,29),"培训；注册午餐；早餐参数",IF(C1555=DATE(2026,11,30),"培训；注册午餐",IF(C1555=DATE(2026,12,1),"培训；注册午餐；机构晚餐",IF(C1555=Options!$B$9,"抵达；"&amp;IF(C1555=DATE(2026,11,28),"机构晚餐","无统一供餐"),IF(C1555=Options!$B$10,"返程；"&amp;IF(C1555=DATE(2026,12,2),"机构午餐","无统一供餐"),"差旅状态；无统一日程"))))))</f>
        <v/>
      </c>
      <c r="E1555" s="13">
        <f>IF(C1555=Options!$B$9,Options!$C$18,0)</f>
        <v/>
      </c>
      <c r="F1555" s="13">
        <f>IF(AND(A1555&lt;&gt;"",C1555&lt;Options!$B$10),B1555*Options!$X$7,0)</f>
        <v/>
      </c>
      <c r="G1555" s="13">
        <f>F1555*12%</f>
        <v/>
      </c>
      <c r="H1555" s="13">
        <f>IF(A1555="",0,B1555*(86*IF(OR(C1555=Options!$B$9,C1555=Options!$B$10),75%,100%)-IF(C1555=DATE(2026,11,29),23+IF(Options!$B$8="是",22,0),0)-IF(C1555=DATE(2026,11,30),23,0)-IF(C1555=DATE(2026,12,1),59,0)-IF(C1555=DATE(2026,11,28),36,0)-IF(C1555=DATE(2026,12,2),23,0)))</f>
        <v/>
      </c>
      <c r="I1555" s="13">
        <f>IF(AND(C1555&gt;=DATE(2026,11,29),C1555&lt;=DATE(2026,12,1)),B1555*60,0)</f>
        <v/>
      </c>
      <c r="J1555" s="13">
        <f>IF(A1555="",0,B1555*(IF(C1555=DATE(2026,11,28),36,0)+IF(C1555=DATE(2026,12,1),36,0)+IF(C1555=DATE(2026,12,2),23,0)))</f>
        <v/>
      </c>
      <c r="K1555" s="13">
        <f>IF(C1555=Options!$B$9,B1555*12,0)</f>
        <v/>
      </c>
      <c r="L1555" s="13">
        <f>IF(C1555=Options!$B$9,B1555*Options!$Z$7,0)</f>
        <v/>
      </c>
      <c r="M1555" s="13" t="n">
        <v>0</v>
      </c>
      <c r="N1555" s="13">
        <f>SUM(E1555:M1555)</f>
        <v/>
      </c>
    </row>
    <row r="1556">
      <c r="A1556" s="5">
        <f>IF(AND(C1556&gt;=Options!$B$9,C1556&lt;=Options!$B$10),"Phoenix","")</f>
        <v/>
      </c>
      <c r="B1556" s="5">
        <f>IF(A1556="","",18)</f>
        <v/>
      </c>
      <c r="C1556" s="17" t="n">
        <v>46387</v>
      </c>
      <c r="D1556" s="5">
        <f>IF(A1556="","",IF(C1556=DATE(2026,11,29),"培训；注册午餐；早餐参数",IF(C1556=DATE(2026,11,30),"培训；注册午餐",IF(C1556=DATE(2026,12,1),"培训；注册午餐；机构晚餐",IF(C1556=Options!$B$9,"抵达；"&amp;IF(C1556=DATE(2026,11,28),"机构晚餐","无统一供餐"),IF(C1556=Options!$B$10,"返程；"&amp;IF(C1556=DATE(2026,12,2),"机构午餐","无统一供餐"),"差旅状态；无统一日程"))))))</f>
        <v/>
      </c>
      <c r="E1556" s="13">
        <f>IF(C1556=Options!$B$9,Options!$C$18,0)</f>
        <v/>
      </c>
      <c r="F1556" s="13">
        <f>IF(AND(A1556&lt;&gt;"",C1556&lt;Options!$B$10),B1556*Options!$X$7,0)</f>
        <v/>
      </c>
      <c r="G1556" s="13">
        <f>F1556*12%</f>
        <v/>
      </c>
      <c r="H1556" s="13">
        <f>IF(A1556="",0,B1556*(86*IF(OR(C1556=Options!$B$9,C1556=Options!$B$10),75%,100%)-IF(C1556=DATE(2026,11,29),23+IF(Options!$B$8="是",22,0),0)-IF(C1556=DATE(2026,11,30),23,0)-IF(C1556=DATE(2026,12,1),59,0)-IF(C1556=DATE(2026,11,28),36,0)-IF(C1556=DATE(2026,12,2),23,0)))</f>
        <v/>
      </c>
      <c r="I1556" s="13">
        <f>IF(AND(C1556&gt;=DATE(2026,11,29),C1556&lt;=DATE(2026,12,1)),B1556*60,0)</f>
        <v/>
      </c>
      <c r="J1556" s="13">
        <f>IF(A1556="",0,B1556*(IF(C1556=DATE(2026,11,28),36,0)+IF(C1556=DATE(2026,12,1),36,0)+IF(C1556=DATE(2026,12,2),23,0)))</f>
        <v/>
      </c>
      <c r="K1556" s="13">
        <f>IF(C1556=Options!$B$9,B1556*12,0)</f>
        <v/>
      </c>
      <c r="L1556" s="13">
        <f>IF(C1556=Options!$B$9,B1556*Options!$Z$7,0)</f>
        <v/>
      </c>
      <c r="M1556" s="13" t="n">
        <v>0</v>
      </c>
      <c r="N1556" s="13">
        <f>SUM(E1556:M1556)</f>
        <v/>
      </c>
    </row>
    <row r="1557">
      <c r="A1557" s="5">
        <f>IF(AND(C1557&gt;=Options!$B$9,C1557&lt;=Options!$B$10),"Phoenix","")</f>
        <v/>
      </c>
      <c r="B1557" s="5">
        <f>IF(A1557="","",18)</f>
        <v/>
      </c>
      <c r="C1557" s="17" t="n">
        <v>46388</v>
      </c>
      <c r="D1557" s="5">
        <f>IF(A1557="","",IF(C1557=DATE(2026,11,29),"培训；注册午餐；早餐参数",IF(C1557=DATE(2026,11,30),"培训；注册午餐",IF(C1557=DATE(2026,12,1),"培训；注册午餐；机构晚餐",IF(C1557=Options!$B$9,"抵达；"&amp;IF(C1557=DATE(2026,11,28),"机构晚餐","无统一供餐"),IF(C1557=Options!$B$10,"返程；"&amp;IF(C1557=DATE(2026,12,2),"机构午餐","无统一供餐"),"差旅状态；无统一日程"))))))</f>
        <v/>
      </c>
      <c r="E1557" s="13">
        <f>IF(C1557=Options!$B$9,Options!$C$18,0)</f>
        <v/>
      </c>
      <c r="F1557" s="13">
        <f>IF(AND(A1557&lt;&gt;"",C1557&lt;Options!$B$10),B1557*Options!$X$7,0)</f>
        <v/>
      </c>
      <c r="G1557" s="13">
        <f>F1557*12%</f>
        <v/>
      </c>
      <c r="H1557" s="13">
        <f>IF(A1557="",0,B1557*(86*IF(OR(C1557=Options!$B$9,C1557=Options!$B$10),75%,100%)-IF(C1557=DATE(2026,11,29),23+IF(Options!$B$8="是",22,0),0)-IF(C1557=DATE(2026,11,30),23,0)-IF(C1557=DATE(2026,12,1),59,0)-IF(C1557=DATE(2026,11,28),36,0)-IF(C1557=DATE(2026,12,2),23,0)))</f>
        <v/>
      </c>
      <c r="I1557" s="13">
        <f>IF(AND(C1557&gt;=DATE(2026,11,29),C1557&lt;=DATE(2026,12,1)),B1557*60,0)</f>
        <v/>
      </c>
      <c r="J1557" s="13">
        <f>IF(A1557="",0,B1557*(IF(C1557=DATE(2026,11,28),36,0)+IF(C1557=DATE(2026,12,1),36,0)+IF(C1557=DATE(2026,12,2),23,0)))</f>
        <v/>
      </c>
      <c r="K1557" s="13">
        <f>IF(C1557=Options!$B$9,B1557*12,0)</f>
        <v/>
      </c>
      <c r="L1557" s="13">
        <f>IF(C1557=Options!$B$9,B1557*Options!$Z$7,0)</f>
        <v/>
      </c>
      <c r="M1557" s="13" t="n">
        <v>0</v>
      </c>
      <c r="N1557" s="13">
        <f>SUM(E1557:M1557)</f>
        <v/>
      </c>
    </row>
    <row r="1558">
      <c r="A1558" s="5">
        <f>IF(AND(C1558&gt;=Options!$B$9,C1558&lt;=Options!$B$10),"Phoenix","")</f>
        <v/>
      </c>
      <c r="B1558" s="5">
        <f>IF(A1558="","",18)</f>
        <v/>
      </c>
      <c r="C1558" s="17" t="n">
        <v>46389</v>
      </c>
      <c r="D1558" s="5">
        <f>IF(A1558="","",IF(C1558=DATE(2026,11,29),"培训；注册午餐；早餐参数",IF(C1558=DATE(2026,11,30),"培训；注册午餐",IF(C1558=DATE(2026,12,1),"培训；注册午餐；机构晚餐",IF(C1558=Options!$B$9,"抵达；"&amp;IF(C1558=DATE(2026,11,28),"机构晚餐","无统一供餐"),IF(C1558=Options!$B$10,"返程；"&amp;IF(C1558=DATE(2026,12,2),"机构午餐","无统一供餐"),"差旅状态；无统一日程"))))))</f>
        <v/>
      </c>
      <c r="E1558" s="13">
        <f>IF(C1558=Options!$B$9,Options!$C$18,0)</f>
        <v/>
      </c>
      <c r="F1558" s="13">
        <f>IF(AND(A1558&lt;&gt;"",C1558&lt;Options!$B$10),B1558*Options!$X$7,0)</f>
        <v/>
      </c>
      <c r="G1558" s="13">
        <f>F1558*12%</f>
        <v/>
      </c>
      <c r="H1558" s="13">
        <f>IF(A1558="",0,B1558*(86*IF(OR(C1558=Options!$B$9,C1558=Options!$B$10),75%,100%)-IF(C1558=DATE(2026,11,29),23+IF(Options!$B$8="是",22,0),0)-IF(C1558=DATE(2026,11,30),23,0)-IF(C1558=DATE(2026,12,1),59,0)-IF(C1558=DATE(2026,11,28),36,0)-IF(C1558=DATE(2026,12,2),23,0)))</f>
        <v/>
      </c>
      <c r="I1558" s="13">
        <f>IF(AND(C1558&gt;=DATE(2026,11,29),C1558&lt;=DATE(2026,12,1)),B1558*60,0)</f>
        <v/>
      </c>
      <c r="J1558" s="13">
        <f>IF(A1558="",0,B1558*(IF(C1558=DATE(2026,11,28),36,0)+IF(C1558=DATE(2026,12,1),36,0)+IF(C1558=DATE(2026,12,2),23,0)))</f>
        <v/>
      </c>
      <c r="K1558" s="13">
        <f>IF(C1558=Options!$B$9,B1558*12,0)</f>
        <v/>
      </c>
      <c r="L1558" s="13">
        <f>IF(C1558=Options!$B$9,B1558*Options!$Z$7,0)</f>
        <v/>
      </c>
      <c r="M1558" s="13" t="n">
        <v>0</v>
      </c>
      <c r="N1558" s="13">
        <f>SUM(E1558:M1558)</f>
        <v/>
      </c>
    </row>
    <row r="1559">
      <c r="A1559" s="5">
        <f>IF(AND(C1559&gt;=Options!$B$9,C1559&lt;=Options!$B$10),"Phoenix","")</f>
        <v/>
      </c>
      <c r="B1559" s="5">
        <f>IF(A1559="","",18)</f>
        <v/>
      </c>
      <c r="C1559" s="17" t="n">
        <v>46390</v>
      </c>
      <c r="D1559" s="5">
        <f>IF(A1559="","",IF(C1559=DATE(2026,11,29),"培训；注册午餐；早餐参数",IF(C1559=DATE(2026,11,30),"培训；注册午餐",IF(C1559=DATE(2026,12,1),"培训；注册午餐；机构晚餐",IF(C1559=Options!$B$9,"抵达；"&amp;IF(C1559=DATE(2026,11,28),"机构晚餐","无统一供餐"),IF(C1559=Options!$B$10,"返程；"&amp;IF(C1559=DATE(2026,12,2),"机构午餐","无统一供餐"),"差旅状态；无统一日程"))))))</f>
        <v/>
      </c>
      <c r="E1559" s="13">
        <f>IF(C1559=Options!$B$9,Options!$C$18,0)</f>
        <v/>
      </c>
      <c r="F1559" s="13">
        <f>IF(AND(A1559&lt;&gt;"",C1559&lt;Options!$B$10),B1559*Options!$X$7,0)</f>
        <v/>
      </c>
      <c r="G1559" s="13">
        <f>F1559*12%</f>
        <v/>
      </c>
      <c r="H1559" s="13">
        <f>IF(A1559="",0,B1559*(86*IF(OR(C1559=Options!$B$9,C1559=Options!$B$10),75%,100%)-IF(C1559=DATE(2026,11,29),23+IF(Options!$B$8="是",22,0),0)-IF(C1559=DATE(2026,11,30),23,0)-IF(C1559=DATE(2026,12,1),59,0)-IF(C1559=DATE(2026,11,28),36,0)-IF(C1559=DATE(2026,12,2),23,0)))</f>
        <v/>
      </c>
      <c r="I1559" s="13">
        <f>IF(AND(C1559&gt;=DATE(2026,11,29),C1559&lt;=DATE(2026,12,1)),B1559*60,0)</f>
        <v/>
      </c>
      <c r="J1559" s="13">
        <f>IF(A1559="",0,B1559*(IF(C1559=DATE(2026,11,28),36,0)+IF(C1559=DATE(2026,12,1),36,0)+IF(C1559=DATE(2026,12,2),23,0)))</f>
        <v/>
      </c>
      <c r="K1559" s="13">
        <f>IF(C1559=Options!$B$9,B1559*12,0)</f>
        <v/>
      </c>
      <c r="L1559" s="13">
        <f>IF(C1559=Options!$B$9,B1559*Options!$Z$7,0)</f>
        <v/>
      </c>
      <c r="M1559" s="13" t="n">
        <v>0</v>
      </c>
      <c r="N1559" s="13">
        <f>SUM(E1559:M1559)</f>
        <v/>
      </c>
    </row>
    <row r="1560">
      <c r="A1560" s="5">
        <f>IF(AND(C1560&gt;=Options!$B$9,C1560&lt;=Options!$B$10),"Phoenix","")</f>
        <v/>
      </c>
      <c r="B1560" s="5">
        <f>IF(A1560="","",18)</f>
        <v/>
      </c>
      <c r="C1560" s="17" t="n">
        <v>46391</v>
      </c>
      <c r="D1560" s="5">
        <f>IF(A1560="","",IF(C1560=DATE(2026,11,29),"培训；注册午餐；早餐参数",IF(C1560=DATE(2026,11,30),"培训；注册午餐",IF(C1560=DATE(2026,12,1),"培训；注册午餐；机构晚餐",IF(C1560=Options!$B$9,"抵达；"&amp;IF(C1560=DATE(2026,11,28),"机构晚餐","无统一供餐"),IF(C1560=Options!$B$10,"返程；"&amp;IF(C1560=DATE(2026,12,2),"机构午餐","无统一供餐"),"差旅状态；无统一日程"))))))</f>
        <v/>
      </c>
      <c r="E1560" s="13">
        <f>IF(C1560=Options!$B$9,Options!$C$18,0)</f>
        <v/>
      </c>
      <c r="F1560" s="13">
        <f>IF(AND(A1560&lt;&gt;"",C1560&lt;Options!$B$10),B1560*Options!$X$7,0)</f>
        <v/>
      </c>
      <c r="G1560" s="13">
        <f>F1560*12%</f>
        <v/>
      </c>
      <c r="H1560" s="13">
        <f>IF(A1560="",0,B1560*(86*IF(OR(C1560=Options!$B$9,C1560=Options!$B$10),75%,100%)-IF(C1560=DATE(2026,11,29),23+IF(Options!$B$8="是",22,0),0)-IF(C1560=DATE(2026,11,30),23,0)-IF(C1560=DATE(2026,12,1),59,0)-IF(C1560=DATE(2026,11,28),36,0)-IF(C1560=DATE(2026,12,2),23,0)))</f>
        <v/>
      </c>
      <c r="I1560" s="13">
        <f>IF(AND(C1560&gt;=DATE(2026,11,29),C1560&lt;=DATE(2026,12,1)),B1560*60,0)</f>
        <v/>
      </c>
      <c r="J1560" s="13">
        <f>IF(A1560="",0,B1560*(IF(C1560=DATE(2026,11,28),36,0)+IF(C1560=DATE(2026,12,1),36,0)+IF(C1560=DATE(2026,12,2),23,0)))</f>
        <v/>
      </c>
      <c r="K1560" s="13">
        <f>IF(C1560=Options!$B$9,B1560*12,0)</f>
        <v/>
      </c>
      <c r="L1560" s="13">
        <f>IF(C1560=Options!$B$9,B1560*Options!$Z$7,0)</f>
        <v/>
      </c>
      <c r="M1560" s="13" t="n">
        <v>0</v>
      </c>
      <c r="N1560" s="13">
        <f>SUM(E1560:M1560)</f>
        <v/>
      </c>
    </row>
    <row r="1561">
      <c r="A1561" s="5">
        <f>IF(AND(C1561&gt;=Options!$B$9,C1561&lt;=Options!$B$10),"Phoenix","")</f>
        <v/>
      </c>
      <c r="B1561" s="5">
        <f>IF(A1561="","",18)</f>
        <v/>
      </c>
      <c r="C1561" s="17" t="n">
        <v>46392</v>
      </c>
      <c r="D1561" s="5">
        <f>IF(A1561="","",IF(C1561=DATE(2026,11,29),"培训；注册午餐；早餐参数",IF(C1561=DATE(2026,11,30),"培训；注册午餐",IF(C1561=DATE(2026,12,1),"培训；注册午餐；机构晚餐",IF(C1561=Options!$B$9,"抵达；"&amp;IF(C1561=DATE(2026,11,28),"机构晚餐","无统一供餐"),IF(C1561=Options!$B$10,"返程；"&amp;IF(C1561=DATE(2026,12,2),"机构午餐","无统一供餐"),"差旅状态；无统一日程"))))))</f>
        <v/>
      </c>
      <c r="E1561" s="13">
        <f>IF(C1561=Options!$B$9,Options!$C$18,0)</f>
        <v/>
      </c>
      <c r="F1561" s="13">
        <f>IF(AND(A1561&lt;&gt;"",C1561&lt;Options!$B$10),B1561*Options!$X$7,0)</f>
        <v/>
      </c>
      <c r="G1561" s="13">
        <f>F1561*12%</f>
        <v/>
      </c>
      <c r="H1561" s="13">
        <f>IF(A1561="",0,B1561*(86*IF(OR(C1561=Options!$B$9,C1561=Options!$B$10),75%,100%)-IF(C1561=DATE(2026,11,29),23+IF(Options!$B$8="是",22,0),0)-IF(C1561=DATE(2026,11,30),23,0)-IF(C1561=DATE(2026,12,1),59,0)-IF(C1561=DATE(2026,11,28),36,0)-IF(C1561=DATE(2026,12,2),23,0)))</f>
        <v/>
      </c>
      <c r="I1561" s="13">
        <f>IF(AND(C1561&gt;=DATE(2026,11,29),C1561&lt;=DATE(2026,12,1)),B1561*60,0)</f>
        <v/>
      </c>
      <c r="J1561" s="13">
        <f>IF(A1561="",0,B1561*(IF(C1561=DATE(2026,11,28),36,0)+IF(C1561=DATE(2026,12,1),36,0)+IF(C1561=DATE(2026,12,2),23,0)))</f>
        <v/>
      </c>
      <c r="K1561" s="13">
        <f>IF(C1561=Options!$B$9,B1561*12,0)</f>
        <v/>
      </c>
      <c r="L1561" s="13">
        <f>IF(C1561=Options!$B$9,B1561*Options!$Z$7,0)</f>
        <v/>
      </c>
      <c r="M1561" s="13" t="n">
        <v>0</v>
      </c>
      <c r="N1561" s="13">
        <f>SUM(E1561:M1561)</f>
        <v/>
      </c>
    </row>
    <row r="1562">
      <c r="A1562" s="5">
        <f>IF(AND(C1562&gt;=Options!$B$9,C1562&lt;=Options!$B$10),"Phoenix","")</f>
        <v/>
      </c>
      <c r="B1562" s="5">
        <f>IF(A1562="","",18)</f>
        <v/>
      </c>
      <c r="C1562" s="17" t="n">
        <v>46393</v>
      </c>
      <c r="D1562" s="5">
        <f>IF(A1562="","",IF(C1562=DATE(2026,11,29),"培训；注册午餐；早餐参数",IF(C1562=DATE(2026,11,30),"培训；注册午餐",IF(C1562=DATE(2026,12,1),"培训；注册午餐；机构晚餐",IF(C1562=Options!$B$9,"抵达；"&amp;IF(C1562=DATE(2026,11,28),"机构晚餐","无统一供餐"),IF(C1562=Options!$B$10,"返程；"&amp;IF(C1562=DATE(2026,12,2),"机构午餐","无统一供餐"),"差旅状态；无统一日程"))))))</f>
        <v/>
      </c>
      <c r="E1562" s="13">
        <f>IF(C1562=Options!$B$9,Options!$C$18,0)</f>
        <v/>
      </c>
      <c r="F1562" s="13">
        <f>IF(AND(A1562&lt;&gt;"",C1562&lt;Options!$B$10),B1562*Options!$X$7,0)</f>
        <v/>
      </c>
      <c r="G1562" s="13">
        <f>F1562*12%</f>
        <v/>
      </c>
      <c r="H1562" s="13">
        <f>IF(A1562="",0,B1562*(86*IF(OR(C1562=Options!$B$9,C1562=Options!$B$10),75%,100%)-IF(C1562=DATE(2026,11,29),23+IF(Options!$B$8="是",22,0),0)-IF(C1562=DATE(2026,11,30),23,0)-IF(C1562=DATE(2026,12,1),59,0)-IF(C1562=DATE(2026,11,28),36,0)-IF(C1562=DATE(2026,12,2),23,0)))</f>
        <v/>
      </c>
      <c r="I1562" s="13">
        <f>IF(AND(C1562&gt;=DATE(2026,11,29),C1562&lt;=DATE(2026,12,1)),B1562*60,0)</f>
        <v/>
      </c>
      <c r="J1562" s="13">
        <f>IF(A1562="",0,B1562*(IF(C1562=DATE(2026,11,28),36,0)+IF(C1562=DATE(2026,12,1),36,0)+IF(C1562=DATE(2026,12,2),23,0)))</f>
        <v/>
      </c>
      <c r="K1562" s="13">
        <f>IF(C1562=Options!$B$9,B1562*12,0)</f>
        <v/>
      </c>
      <c r="L1562" s="13">
        <f>IF(C1562=Options!$B$9,B1562*Options!$Z$7,0)</f>
        <v/>
      </c>
      <c r="M1562" s="13" t="n">
        <v>0</v>
      </c>
      <c r="N1562" s="13">
        <f>SUM(E1562:M1562)</f>
        <v/>
      </c>
    </row>
    <row r="1563">
      <c r="A1563" s="5">
        <f>IF(AND(C1563&gt;=Options!$B$9,C1563&lt;=Options!$B$10),"Phoenix","")</f>
        <v/>
      </c>
      <c r="B1563" s="5">
        <f>IF(A1563="","",18)</f>
        <v/>
      </c>
      <c r="C1563" s="17" t="n">
        <v>46394</v>
      </c>
      <c r="D1563" s="5">
        <f>IF(A1563="","",IF(C1563=DATE(2026,11,29),"培训；注册午餐；早餐参数",IF(C1563=DATE(2026,11,30),"培训；注册午餐",IF(C1563=DATE(2026,12,1),"培训；注册午餐；机构晚餐",IF(C1563=Options!$B$9,"抵达；"&amp;IF(C1563=DATE(2026,11,28),"机构晚餐","无统一供餐"),IF(C1563=Options!$B$10,"返程；"&amp;IF(C1563=DATE(2026,12,2),"机构午餐","无统一供餐"),"差旅状态；无统一日程"))))))</f>
        <v/>
      </c>
      <c r="E1563" s="13">
        <f>IF(C1563=Options!$B$9,Options!$C$18,0)</f>
        <v/>
      </c>
      <c r="F1563" s="13">
        <f>IF(AND(A1563&lt;&gt;"",C1563&lt;Options!$B$10),B1563*Options!$X$7,0)</f>
        <v/>
      </c>
      <c r="G1563" s="13">
        <f>F1563*12%</f>
        <v/>
      </c>
      <c r="H1563" s="13">
        <f>IF(A1563="",0,B1563*(86*IF(OR(C1563=Options!$B$9,C1563=Options!$B$10),75%,100%)-IF(C1563=DATE(2026,11,29),23+IF(Options!$B$8="是",22,0),0)-IF(C1563=DATE(2026,11,30),23,0)-IF(C1563=DATE(2026,12,1),59,0)-IF(C1563=DATE(2026,11,28),36,0)-IF(C1563=DATE(2026,12,2),23,0)))</f>
        <v/>
      </c>
      <c r="I1563" s="13">
        <f>IF(AND(C1563&gt;=DATE(2026,11,29),C1563&lt;=DATE(2026,12,1)),B1563*60,0)</f>
        <v/>
      </c>
      <c r="J1563" s="13">
        <f>IF(A1563="",0,B1563*(IF(C1563=DATE(2026,11,28),36,0)+IF(C1563=DATE(2026,12,1),36,0)+IF(C1563=DATE(2026,12,2),23,0)))</f>
        <v/>
      </c>
      <c r="K1563" s="13">
        <f>IF(C1563=Options!$B$9,B1563*12,0)</f>
        <v/>
      </c>
      <c r="L1563" s="13">
        <f>IF(C1563=Options!$B$9,B1563*Options!$Z$7,0)</f>
        <v/>
      </c>
      <c r="M1563" s="13" t="n">
        <v>0</v>
      </c>
      <c r="N1563" s="13">
        <f>SUM(E1563:M1563)</f>
        <v/>
      </c>
    </row>
    <row r="1564">
      <c r="A1564" s="5">
        <f>IF(AND(C1564&gt;=Options!$B$9,C1564&lt;=Options!$B$10),"Phoenix","")</f>
        <v/>
      </c>
      <c r="B1564" s="5">
        <f>IF(A1564="","",18)</f>
        <v/>
      </c>
      <c r="C1564" s="17" t="n">
        <v>46395</v>
      </c>
      <c r="D1564" s="5">
        <f>IF(A1564="","",IF(C1564=DATE(2026,11,29),"培训；注册午餐；早餐参数",IF(C1564=DATE(2026,11,30),"培训；注册午餐",IF(C1564=DATE(2026,12,1),"培训；注册午餐；机构晚餐",IF(C1564=Options!$B$9,"抵达；"&amp;IF(C1564=DATE(2026,11,28),"机构晚餐","无统一供餐"),IF(C1564=Options!$B$10,"返程；"&amp;IF(C1564=DATE(2026,12,2),"机构午餐","无统一供餐"),"差旅状态；无统一日程"))))))</f>
        <v/>
      </c>
      <c r="E1564" s="13">
        <f>IF(C1564=Options!$B$9,Options!$C$18,0)</f>
        <v/>
      </c>
      <c r="F1564" s="13">
        <f>IF(AND(A1564&lt;&gt;"",C1564&lt;Options!$B$10),B1564*Options!$X$7,0)</f>
        <v/>
      </c>
      <c r="G1564" s="13">
        <f>F1564*12%</f>
        <v/>
      </c>
      <c r="H1564" s="13">
        <f>IF(A1564="",0,B1564*(86*IF(OR(C1564=Options!$B$9,C1564=Options!$B$10),75%,100%)-IF(C1564=DATE(2026,11,29),23+IF(Options!$B$8="是",22,0),0)-IF(C1564=DATE(2026,11,30),23,0)-IF(C1564=DATE(2026,12,1),59,0)-IF(C1564=DATE(2026,11,28),36,0)-IF(C1564=DATE(2026,12,2),23,0)))</f>
        <v/>
      </c>
      <c r="I1564" s="13">
        <f>IF(AND(C1564&gt;=DATE(2026,11,29),C1564&lt;=DATE(2026,12,1)),B1564*60,0)</f>
        <v/>
      </c>
      <c r="J1564" s="13">
        <f>IF(A1564="",0,B1564*(IF(C1564=DATE(2026,11,28),36,0)+IF(C1564=DATE(2026,12,1),36,0)+IF(C1564=DATE(2026,12,2),23,0)))</f>
        <v/>
      </c>
      <c r="K1564" s="13">
        <f>IF(C1564=Options!$B$9,B1564*12,0)</f>
        <v/>
      </c>
      <c r="L1564" s="13">
        <f>IF(C1564=Options!$B$9,B1564*Options!$Z$7,0)</f>
        <v/>
      </c>
      <c r="M1564" s="13" t="n">
        <v>0</v>
      </c>
      <c r="N1564" s="13">
        <f>SUM(E1564:M1564)</f>
        <v/>
      </c>
    </row>
    <row r="1565">
      <c r="A1565" s="5">
        <f>IF(AND(C1565&gt;=Options!$B$9,C1565&lt;=Options!$B$10),"Phoenix","")</f>
        <v/>
      </c>
      <c r="B1565" s="5">
        <f>IF(A1565="","",18)</f>
        <v/>
      </c>
      <c r="C1565" s="17" t="n">
        <v>46396</v>
      </c>
      <c r="D1565" s="5">
        <f>IF(A1565="","",IF(C1565=DATE(2026,11,29),"培训；注册午餐；早餐参数",IF(C1565=DATE(2026,11,30),"培训；注册午餐",IF(C1565=DATE(2026,12,1),"培训；注册午餐；机构晚餐",IF(C1565=Options!$B$9,"抵达；"&amp;IF(C1565=DATE(2026,11,28),"机构晚餐","无统一供餐"),IF(C1565=Options!$B$10,"返程；"&amp;IF(C1565=DATE(2026,12,2),"机构午餐","无统一供餐"),"差旅状态；无统一日程"))))))</f>
        <v/>
      </c>
      <c r="E1565" s="13">
        <f>IF(C1565=Options!$B$9,Options!$C$18,0)</f>
        <v/>
      </c>
      <c r="F1565" s="13">
        <f>IF(AND(A1565&lt;&gt;"",C1565&lt;Options!$B$10),B1565*Options!$X$7,0)</f>
        <v/>
      </c>
      <c r="G1565" s="13">
        <f>F1565*12%</f>
        <v/>
      </c>
      <c r="H1565" s="13">
        <f>IF(A1565="",0,B1565*(86*IF(OR(C1565=Options!$B$9,C1565=Options!$B$10),75%,100%)-IF(C1565=DATE(2026,11,29),23+IF(Options!$B$8="是",22,0),0)-IF(C1565=DATE(2026,11,30),23,0)-IF(C1565=DATE(2026,12,1),59,0)-IF(C1565=DATE(2026,11,28),36,0)-IF(C1565=DATE(2026,12,2),23,0)))</f>
        <v/>
      </c>
      <c r="I1565" s="13">
        <f>IF(AND(C1565&gt;=DATE(2026,11,29),C1565&lt;=DATE(2026,12,1)),B1565*60,0)</f>
        <v/>
      </c>
      <c r="J1565" s="13">
        <f>IF(A1565="",0,B1565*(IF(C1565=DATE(2026,11,28),36,0)+IF(C1565=DATE(2026,12,1),36,0)+IF(C1565=DATE(2026,12,2),23,0)))</f>
        <v/>
      </c>
      <c r="K1565" s="13">
        <f>IF(C1565=Options!$B$9,B1565*12,0)</f>
        <v/>
      </c>
      <c r="L1565" s="13">
        <f>IF(C1565=Options!$B$9,B1565*Options!$Z$7,0)</f>
        <v/>
      </c>
      <c r="M1565" s="13" t="n">
        <v>0</v>
      </c>
      <c r="N1565" s="13">
        <f>SUM(E1565:M1565)</f>
        <v/>
      </c>
    </row>
    <row r="1566">
      <c r="A1566" s="5">
        <f>IF(AND(C1566&gt;=Options!$B$9,C1566&lt;=Options!$B$10),"Phoenix","")</f>
        <v/>
      </c>
      <c r="B1566" s="5">
        <f>IF(A1566="","",18)</f>
        <v/>
      </c>
      <c r="C1566" s="17" t="n">
        <v>46397</v>
      </c>
      <c r="D1566" s="5">
        <f>IF(A1566="","",IF(C1566=DATE(2026,11,29),"培训；注册午餐；早餐参数",IF(C1566=DATE(2026,11,30),"培训；注册午餐",IF(C1566=DATE(2026,12,1),"培训；注册午餐；机构晚餐",IF(C1566=Options!$B$9,"抵达；"&amp;IF(C1566=DATE(2026,11,28),"机构晚餐","无统一供餐"),IF(C1566=Options!$B$10,"返程；"&amp;IF(C1566=DATE(2026,12,2),"机构午餐","无统一供餐"),"差旅状态；无统一日程"))))))</f>
        <v/>
      </c>
      <c r="E1566" s="13">
        <f>IF(C1566=Options!$B$9,Options!$C$18,0)</f>
        <v/>
      </c>
      <c r="F1566" s="13">
        <f>IF(AND(A1566&lt;&gt;"",C1566&lt;Options!$B$10),B1566*Options!$X$7,0)</f>
        <v/>
      </c>
      <c r="G1566" s="13">
        <f>F1566*12%</f>
        <v/>
      </c>
      <c r="H1566" s="13">
        <f>IF(A1566="",0,B1566*(86*IF(OR(C1566=Options!$B$9,C1566=Options!$B$10),75%,100%)-IF(C1566=DATE(2026,11,29),23+IF(Options!$B$8="是",22,0),0)-IF(C1566=DATE(2026,11,30),23,0)-IF(C1566=DATE(2026,12,1),59,0)-IF(C1566=DATE(2026,11,28),36,0)-IF(C1566=DATE(2026,12,2),23,0)))</f>
        <v/>
      </c>
      <c r="I1566" s="13">
        <f>IF(AND(C1566&gt;=DATE(2026,11,29),C1566&lt;=DATE(2026,12,1)),B1566*60,0)</f>
        <v/>
      </c>
      <c r="J1566" s="13">
        <f>IF(A1566="",0,B1566*(IF(C1566=DATE(2026,11,28),36,0)+IF(C1566=DATE(2026,12,1),36,0)+IF(C1566=DATE(2026,12,2),23,0)))</f>
        <v/>
      </c>
      <c r="K1566" s="13">
        <f>IF(C1566=Options!$B$9,B1566*12,0)</f>
        <v/>
      </c>
      <c r="L1566" s="13">
        <f>IF(C1566=Options!$B$9,B1566*Options!$Z$7,0)</f>
        <v/>
      </c>
      <c r="M1566" s="13" t="n">
        <v>0</v>
      </c>
      <c r="N1566" s="13">
        <f>SUM(E1566:M1566)</f>
        <v/>
      </c>
    </row>
    <row r="1567">
      <c r="A1567" s="5">
        <f>IF(AND(C1567&gt;=Options!$B$9,C1567&lt;=Options!$B$10),"Phoenix","")</f>
        <v/>
      </c>
      <c r="B1567" s="5">
        <f>IF(A1567="","",18)</f>
        <v/>
      </c>
      <c r="C1567" s="17" t="n">
        <v>46398</v>
      </c>
      <c r="D1567" s="5">
        <f>IF(A1567="","",IF(C1567=DATE(2026,11,29),"培训；注册午餐；早餐参数",IF(C1567=DATE(2026,11,30),"培训；注册午餐",IF(C1567=DATE(2026,12,1),"培训；注册午餐；机构晚餐",IF(C1567=Options!$B$9,"抵达；"&amp;IF(C1567=DATE(2026,11,28),"机构晚餐","无统一供餐"),IF(C1567=Options!$B$10,"返程；"&amp;IF(C1567=DATE(2026,12,2),"机构午餐","无统一供餐"),"差旅状态；无统一日程"))))))</f>
        <v/>
      </c>
      <c r="E1567" s="13">
        <f>IF(C1567=Options!$B$9,Options!$C$18,0)</f>
        <v/>
      </c>
      <c r="F1567" s="13">
        <f>IF(AND(A1567&lt;&gt;"",C1567&lt;Options!$B$10),B1567*Options!$X$7,0)</f>
        <v/>
      </c>
      <c r="G1567" s="13">
        <f>F1567*12%</f>
        <v/>
      </c>
      <c r="H1567" s="13">
        <f>IF(A1567="",0,B1567*(86*IF(OR(C1567=Options!$B$9,C1567=Options!$B$10),75%,100%)-IF(C1567=DATE(2026,11,29),23+IF(Options!$B$8="是",22,0),0)-IF(C1567=DATE(2026,11,30),23,0)-IF(C1567=DATE(2026,12,1),59,0)-IF(C1567=DATE(2026,11,28),36,0)-IF(C1567=DATE(2026,12,2),23,0)))</f>
        <v/>
      </c>
      <c r="I1567" s="13">
        <f>IF(AND(C1567&gt;=DATE(2026,11,29),C1567&lt;=DATE(2026,12,1)),B1567*60,0)</f>
        <v/>
      </c>
      <c r="J1567" s="13">
        <f>IF(A1567="",0,B1567*(IF(C1567=DATE(2026,11,28),36,0)+IF(C1567=DATE(2026,12,1),36,0)+IF(C1567=DATE(2026,12,2),23,0)))</f>
        <v/>
      </c>
      <c r="K1567" s="13">
        <f>IF(C1567=Options!$B$9,B1567*12,0)</f>
        <v/>
      </c>
      <c r="L1567" s="13">
        <f>IF(C1567=Options!$B$9,B1567*Options!$Z$7,0)</f>
        <v/>
      </c>
      <c r="M1567" s="13" t="n">
        <v>0</v>
      </c>
      <c r="N1567" s="13">
        <f>SUM(E1567:M1567)</f>
        <v/>
      </c>
    </row>
    <row r="1568">
      <c r="A1568" s="5">
        <f>IF(AND(C1568&gt;=Options!$B$9,C1568&lt;=Options!$B$10),"Phoenix","")</f>
        <v/>
      </c>
      <c r="B1568" s="5">
        <f>IF(A1568="","",18)</f>
        <v/>
      </c>
      <c r="C1568" s="17" t="n">
        <v>46399</v>
      </c>
      <c r="D1568" s="5">
        <f>IF(A1568="","",IF(C1568=DATE(2026,11,29),"培训；注册午餐；早餐参数",IF(C1568=DATE(2026,11,30),"培训；注册午餐",IF(C1568=DATE(2026,12,1),"培训；注册午餐；机构晚餐",IF(C1568=Options!$B$9,"抵达；"&amp;IF(C1568=DATE(2026,11,28),"机构晚餐","无统一供餐"),IF(C1568=Options!$B$10,"返程；"&amp;IF(C1568=DATE(2026,12,2),"机构午餐","无统一供餐"),"差旅状态；无统一日程"))))))</f>
        <v/>
      </c>
      <c r="E1568" s="13">
        <f>IF(C1568=Options!$B$9,Options!$C$18,0)</f>
        <v/>
      </c>
      <c r="F1568" s="13">
        <f>IF(AND(A1568&lt;&gt;"",C1568&lt;Options!$B$10),B1568*Options!$X$7,0)</f>
        <v/>
      </c>
      <c r="G1568" s="13">
        <f>F1568*12%</f>
        <v/>
      </c>
      <c r="H1568" s="13">
        <f>IF(A1568="",0,B1568*(86*IF(OR(C1568=Options!$B$9,C1568=Options!$B$10),75%,100%)-IF(C1568=DATE(2026,11,29),23+IF(Options!$B$8="是",22,0),0)-IF(C1568=DATE(2026,11,30),23,0)-IF(C1568=DATE(2026,12,1),59,0)-IF(C1568=DATE(2026,11,28),36,0)-IF(C1568=DATE(2026,12,2),23,0)))</f>
        <v/>
      </c>
      <c r="I1568" s="13">
        <f>IF(AND(C1568&gt;=DATE(2026,11,29),C1568&lt;=DATE(2026,12,1)),B1568*60,0)</f>
        <v/>
      </c>
      <c r="J1568" s="13">
        <f>IF(A1568="",0,B1568*(IF(C1568=DATE(2026,11,28),36,0)+IF(C1568=DATE(2026,12,1),36,0)+IF(C1568=DATE(2026,12,2),23,0)))</f>
        <v/>
      </c>
      <c r="K1568" s="13">
        <f>IF(C1568=Options!$B$9,B1568*12,0)</f>
        <v/>
      </c>
      <c r="L1568" s="13">
        <f>IF(C1568=Options!$B$9,B1568*Options!$Z$7,0)</f>
        <v/>
      </c>
      <c r="M1568" s="13" t="n">
        <v>0</v>
      </c>
      <c r="N1568" s="13">
        <f>SUM(E1568:M1568)</f>
        <v/>
      </c>
    </row>
    <row r="1569">
      <c r="A1569" s="5">
        <f>IF(AND(C1569&gt;=Options!$B$9,C1569&lt;=Options!$B$10),"Phoenix","")</f>
        <v/>
      </c>
      <c r="B1569" s="5">
        <f>IF(A1569="","",18)</f>
        <v/>
      </c>
      <c r="C1569" s="17" t="n">
        <v>46400</v>
      </c>
      <c r="D1569" s="5">
        <f>IF(A1569="","",IF(C1569=DATE(2026,11,29),"培训；注册午餐；早餐参数",IF(C1569=DATE(2026,11,30),"培训；注册午餐",IF(C1569=DATE(2026,12,1),"培训；注册午餐；机构晚餐",IF(C1569=Options!$B$9,"抵达；"&amp;IF(C1569=DATE(2026,11,28),"机构晚餐","无统一供餐"),IF(C1569=Options!$B$10,"返程；"&amp;IF(C1569=DATE(2026,12,2),"机构午餐","无统一供餐"),"差旅状态；无统一日程"))))))</f>
        <v/>
      </c>
      <c r="E1569" s="13">
        <f>IF(C1569=Options!$B$9,Options!$C$18,0)</f>
        <v/>
      </c>
      <c r="F1569" s="13">
        <f>IF(AND(A1569&lt;&gt;"",C1569&lt;Options!$B$10),B1569*Options!$X$7,0)</f>
        <v/>
      </c>
      <c r="G1569" s="13">
        <f>F1569*12%</f>
        <v/>
      </c>
      <c r="H1569" s="13">
        <f>IF(A1569="",0,B1569*(86*IF(OR(C1569=Options!$B$9,C1569=Options!$B$10),75%,100%)-IF(C1569=DATE(2026,11,29),23+IF(Options!$B$8="是",22,0),0)-IF(C1569=DATE(2026,11,30),23,0)-IF(C1569=DATE(2026,12,1),59,0)-IF(C1569=DATE(2026,11,28),36,0)-IF(C1569=DATE(2026,12,2),23,0)))</f>
        <v/>
      </c>
      <c r="I1569" s="13">
        <f>IF(AND(C1569&gt;=DATE(2026,11,29),C1569&lt;=DATE(2026,12,1)),B1569*60,0)</f>
        <v/>
      </c>
      <c r="J1569" s="13">
        <f>IF(A1569="",0,B1569*(IF(C1569=DATE(2026,11,28),36,0)+IF(C1569=DATE(2026,12,1),36,0)+IF(C1569=DATE(2026,12,2),23,0)))</f>
        <v/>
      </c>
      <c r="K1569" s="13">
        <f>IF(C1569=Options!$B$9,B1569*12,0)</f>
        <v/>
      </c>
      <c r="L1569" s="13">
        <f>IF(C1569=Options!$B$9,B1569*Options!$Z$7,0)</f>
        <v/>
      </c>
      <c r="M1569" s="13" t="n">
        <v>0</v>
      </c>
      <c r="N1569" s="13">
        <f>SUM(E1569:M1569)</f>
        <v/>
      </c>
    </row>
    <row r="1570">
      <c r="A1570" s="5">
        <f>IF(AND(C1570&gt;=Options!$B$9,C1570&lt;=Options!$B$10),"Phoenix","")</f>
        <v/>
      </c>
      <c r="B1570" s="5">
        <f>IF(A1570="","",18)</f>
        <v/>
      </c>
      <c r="C1570" s="17" t="n">
        <v>46401</v>
      </c>
      <c r="D1570" s="5">
        <f>IF(A1570="","",IF(C1570=DATE(2026,11,29),"培训；注册午餐；早餐参数",IF(C1570=DATE(2026,11,30),"培训；注册午餐",IF(C1570=DATE(2026,12,1),"培训；注册午餐；机构晚餐",IF(C1570=Options!$B$9,"抵达；"&amp;IF(C1570=DATE(2026,11,28),"机构晚餐","无统一供餐"),IF(C1570=Options!$B$10,"返程；"&amp;IF(C1570=DATE(2026,12,2),"机构午餐","无统一供餐"),"差旅状态；无统一日程"))))))</f>
        <v/>
      </c>
      <c r="E1570" s="13">
        <f>IF(C1570=Options!$B$9,Options!$C$18,0)</f>
        <v/>
      </c>
      <c r="F1570" s="13">
        <f>IF(AND(A1570&lt;&gt;"",C1570&lt;Options!$B$10),B1570*Options!$X$7,0)</f>
        <v/>
      </c>
      <c r="G1570" s="13">
        <f>F1570*12%</f>
        <v/>
      </c>
      <c r="H1570" s="13">
        <f>IF(A1570="",0,B1570*(86*IF(OR(C1570=Options!$B$9,C1570=Options!$B$10),75%,100%)-IF(C1570=DATE(2026,11,29),23+IF(Options!$B$8="是",22,0),0)-IF(C1570=DATE(2026,11,30),23,0)-IF(C1570=DATE(2026,12,1),59,0)-IF(C1570=DATE(2026,11,28),36,0)-IF(C1570=DATE(2026,12,2),23,0)))</f>
        <v/>
      </c>
      <c r="I1570" s="13">
        <f>IF(AND(C1570&gt;=DATE(2026,11,29),C1570&lt;=DATE(2026,12,1)),B1570*60,0)</f>
        <v/>
      </c>
      <c r="J1570" s="13">
        <f>IF(A1570="",0,B1570*(IF(C1570=DATE(2026,11,28),36,0)+IF(C1570=DATE(2026,12,1),36,0)+IF(C1570=DATE(2026,12,2),23,0)))</f>
        <v/>
      </c>
      <c r="K1570" s="13">
        <f>IF(C1570=Options!$B$9,B1570*12,0)</f>
        <v/>
      </c>
      <c r="L1570" s="13">
        <f>IF(C1570=Options!$B$9,B1570*Options!$Z$7,0)</f>
        <v/>
      </c>
      <c r="M1570" s="13" t="n">
        <v>0</v>
      </c>
      <c r="N1570" s="13">
        <f>SUM(E1570:M1570)</f>
        <v/>
      </c>
    </row>
    <row r="1571">
      <c r="A1571" s="5">
        <f>IF(AND(C1571&gt;=Options!$B$9,C1571&lt;=Options!$B$10),"Phoenix","")</f>
        <v/>
      </c>
      <c r="B1571" s="5">
        <f>IF(A1571="","",18)</f>
        <v/>
      </c>
      <c r="C1571" s="17" t="n">
        <v>46402</v>
      </c>
      <c r="D1571" s="5">
        <f>IF(A1571="","",IF(C1571=DATE(2026,11,29),"培训；注册午餐；早餐参数",IF(C1571=DATE(2026,11,30),"培训；注册午餐",IF(C1571=DATE(2026,12,1),"培训；注册午餐；机构晚餐",IF(C1571=Options!$B$9,"抵达；"&amp;IF(C1571=DATE(2026,11,28),"机构晚餐","无统一供餐"),IF(C1571=Options!$B$10,"返程；"&amp;IF(C1571=DATE(2026,12,2),"机构午餐","无统一供餐"),"差旅状态；无统一日程"))))))</f>
        <v/>
      </c>
      <c r="E1571" s="13">
        <f>IF(C1571=Options!$B$9,Options!$C$18,0)</f>
        <v/>
      </c>
      <c r="F1571" s="13">
        <f>IF(AND(A1571&lt;&gt;"",C1571&lt;Options!$B$10),B1571*Options!$X$7,0)</f>
        <v/>
      </c>
      <c r="G1571" s="13">
        <f>F1571*12%</f>
        <v/>
      </c>
      <c r="H1571" s="13">
        <f>IF(A1571="",0,B1571*(86*IF(OR(C1571=Options!$B$9,C1571=Options!$B$10),75%,100%)-IF(C1571=DATE(2026,11,29),23+IF(Options!$B$8="是",22,0),0)-IF(C1571=DATE(2026,11,30),23,0)-IF(C1571=DATE(2026,12,1),59,0)-IF(C1571=DATE(2026,11,28),36,0)-IF(C1571=DATE(2026,12,2),23,0)))</f>
        <v/>
      </c>
      <c r="I1571" s="13">
        <f>IF(AND(C1571&gt;=DATE(2026,11,29),C1571&lt;=DATE(2026,12,1)),B1571*60,0)</f>
        <v/>
      </c>
      <c r="J1571" s="13">
        <f>IF(A1571="",0,B1571*(IF(C1571=DATE(2026,11,28),36,0)+IF(C1571=DATE(2026,12,1),36,0)+IF(C1571=DATE(2026,12,2),23,0)))</f>
        <v/>
      </c>
      <c r="K1571" s="13">
        <f>IF(C1571=Options!$B$9,B1571*12,0)</f>
        <v/>
      </c>
      <c r="L1571" s="13">
        <f>IF(C1571=Options!$B$9,B1571*Options!$Z$7,0)</f>
        <v/>
      </c>
      <c r="M1571" s="13" t="n">
        <v>0</v>
      </c>
      <c r="N1571" s="13">
        <f>SUM(E1571:M1571)</f>
        <v/>
      </c>
    </row>
    <row r="1572">
      <c r="A1572" s="5">
        <f>IF(AND(C1572&gt;=Options!$B$9,C1572&lt;=Options!$B$10),"Phoenix","")</f>
        <v/>
      </c>
      <c r="B1572" s="5">
        <f>IF(A1572="","",18)</f>
        <v/>
      </c>
      <c r="C1572" s="17" t="n">
        <v>46403</v>
      </c>
      <c r="D1572" s="5">
        <f>IF(A1572="","",IF(C1572=DATE(2026,11,29),"培训；注册午餐；早餐参数",IF(C1572=DATE(2026,11,30),"培训；注册午餐",IF(C1572=DATE(2026,12,1),"培训；注册午餐；机构晚餐",IF(C1572=Options!$B$9,"抵达；"&amp;IF(C1572=DATE(2026,11,28),"机构晚餐","无统一供餐"),IF(C1572=Options!$B$10,"返程；"&amp;IF(C1572=DATE(2026,12,2),"机构午餐","无统一供餐"),"差旅状态；无统一日程"))))))</f>
        <v/>
      </c>
      <c r="E1572" s="13">
        <f>IF(C1572=Options!$B$9,Options!$C$18,0)</f>
        <v/>
      </c>
      <c r="F1572" s="13">
        <f>IF(AND(A1572&lt;&gt;"",C1572&lt;Options!$B$10),B1572*Options!$X$7,0)</f>
        <v/>
      </c>
      <c r="G1572" s="13">
        <f>F1572*12%</f>
        <v/>
      </c>
      <c r="H1572" s="13">
        <f>IF(A1572="",0,B1572*(86*IF(OR(C1572=Options!$B$9,C1572=Options!$B$10),75%,100%)-IF(C1572=DATE(2026,11,29),23+IF(Options!$B$8="是",22,0),0)-IF(C1572=DATE(2026,11,30),23,0)-IF(C1572=DATE(2026,12,1),59,0)-IF(C1572=DATE(2026,11,28),36,0)-IF(C1572=DATE(2026,12,2),23,0)))</f>
        <v/>
      </c>
      <c r="I1572" s="13">
        <f>IF(AND(C1572&gt;=DATE(2026,11,29),C1572&lt;=DATE(2026,12,1)),B1572*60,0)</f>
        <v/>
      </c>
      <c r="J1572" s="13">
        <f>IF(A1572="",0,B1572*(IF(C1572=DATE(2026,11,28),36,0)+IF(C1572=DATE(2026,12,1),36,0)+IF(C1572=DATE(2026,12,2),23,0)))</f>
        <v/>
      </c>
      <c r="K1572" s="13">
        <f>IF(C1572=Options!$B$9,B1572*12,0)</f>
        <v/>
      </c>
      <c r="L1572" s="13">
        <f>IF(C1572=Options!$B$9,B1572*Options!$Z$7,0)</f>
        <v/>
      </c>
      <c r="M1572" s="13" t="n">
        <v>0</v>
      </c>
      <c r="N1572" s="13">
        <f>SUM(E1572:M1572)</f>
        <v/>
      </c>
    </row>
    <row r="1573">
      <c r="A1573" s="5">
        <f>IF(AND(C1573&gt;=Options!$B$9,C1573&lt;=Options!$B$10),"Phoenix","")</f>
        <v/>
      </c>
      <c r="B1573" s="5">
        <f>IF(A1573="","",18)</f>
        <v/>
      </c>
      <c r="C1573" s="17" t="n">
        <v>46404</v>
      </c>
      <c r="D1573" s="5">
        <f>IF(A1573="","",IF(C1573=DATE(2026,11,29),"培训；注册午餐；早餐参数",IF(C1573=DATE(2026,11,30),"培训；注册午餐",IF(C1573=DATE(2026,12,1),"培训；注册午餐；机构晚餐",IF(C1573=Options!$B$9,"抵达；"&amp;IF(C1573=DATE(2026,11,28),"机构晚餐","无统一供餐"),IF(C1573=Options!$B$10,"返程；"&amp;IF(C1573=DATE(2026,12,2),"机构午餐","无统一供餐"),"差旅状态；无统一日程"))))))</f>
        <v/>
      </c>
      <c r="E1573" s="13">
        <f>IF(C1573=Options!$B$9,Options!$C$18,0)</f>
        <v/>
      </c>
      <c r="F1573" s="13">
        <f>IF(AND(A1573&lt;&gt;"",C1573&lt;Options!$B$10),B1573*Options!$X$7,0)</f>
        <v/>
      </c>
      <c r="G1573" s="13">
        <f>F1573*12%</f>
        <v/>
      </c>
      <c r="H1573" s="13">
        <f>IF(A1573="",0,B1573*(86*IF(OR(C1573=Options!$B$9,C1573=Options!$B$10),75%,100%)-IF(C1573=DATE(2026,11,29),23+IF(Options!$B$8="是",22,0),0)-IF(C1573=DATE(2026,11,30),23,0)-IF(C1573=DATE(2026,12,1),59,0)-IF(C1573=DATE(2026,11,28),36,0)-IF(C1573=DATE(2026,12,2),23,0)))</f>
        <v/>
      </c>
      <c r="I1573" s="13">
        <f>IF(AND(C1573&gt;=DATE(2026,11,29),C1573&lt;=DATE(2026,12,1)),B1573*60,0)</f>
        <v/>
      </c>
      <c r="J1573" s="13">
        <f>IF(A1573="",0,B1573*(IF(C1573=DATE(2026,11,28),36,0)+IF(C1573=DATE(2026,12,1),36,0)+IF(C1573=DATE(2026,12,2),23,0)))</f>
        <v/>
      </c>
      <c r="K1573" s="13">
        <f>IF(C1573=Options!$B$9,B1573*12,0)</f>
        <v/>
      </c>
      <c r="L1573" s="13">
        <f>IF(C1573=Options!$B$9,B1573*Options!$Z$7,0)</f>
        <v/>
      </c>
      <c r="M1573" s="13" t="n">
        <v>0</v>
      </c>
      <c r="N1573" s="13">
        <f>SUM(E1573:M1573)</f>
        <v/>
      </c>
    </row>
    <row r="1574">
      <c r="A1574" s="5">
        <f>IF(AND(C1574&gt;=Options!$B$9,C1574&lt;=Options!$B$10),"Phoenix","")</f>
        <v/>
      </c>
      <c r="B1574" s="5">
        <f>IF(A1574="","",18)</f>
        <v/>
      </c>
      <c r="C1574" s="17" t="n">
        <v>46405</v>
      </c>
      <c r="D1574" s="5">
        <f>IF(A1574="","",IF(C1574=DATE(2026,11,29),"培训；注册午餐；早餐参数",IF(C1574=DATE(2026,11,30),"培训；注册午餐",IF(C1574=DATE(2026,12,1),"培训；注册午餐；机构晚餐",IF(C1574=Options!$B$9,"抵达；"&amp;IF(C1574=DATE(2026,11,28),"机构晚餐","无统一供餐"),IF(C1574=Options!$B$10,"返程；"&amp;IF(C1574=DATE(2026,12,2),"机构午餐","无统一供餐"),"差旅状态；无统一日程"))))))</f>
        <v/>
      </c>
      <c r="E1574" s="13">
        <f>IF(C1574=Options!$B$9,Options!$C$18,0)</f>
        <v/>
      </c>
      <c r="F1574" s="13">
        <f>IF(AND(A1574&lt;&gt;"",C1574&lt;Options!$B$10),B1574*Options!$X$7,0)</f>
        <v/>
      </c>
      <c r="G1574" s="13">
        <f>F1574*12%</f>
        <v/>
      </c>
      <c r="H1574" s="13">
        <f>IF(A1574="",0,B1574*(86*IF(OR(C1574=Options!$B$9,C1574=Options!$B$10),75%,100%)-IF(C1574=DATE(2026,11,29),23+IF(Options!$B$8="是",22,0),0)-IF(C1574=DATE(2026,11,30),23,0)-IF(C1574=DATE(2026,12,1),59,0)-IF(C1574=DATE(2026,11,28),36,0)-IF(C1574=DATE(2026,12,2),23,0)))</f>
        <v/>
      </c>
      <c r="I1574" s="13">
        <f>IF(AND(C1574&gt;=DATE(2026,11,29),C1574&lt;=DATE(2026,12,1)),B1574*60,0)</f>
        <v/>
      </c>
      <c r="J1574" s="13">
        <f>IF(A1574="",0,B1574*(IF(C1574=DATE(2026,11,28),36,0)+IF(C1574=DATE(2026,12,1),36,0)+IF(C1574=DATE(2026,12,2),23,0)))</f>
        <v/>
      </c>
      <c r="K1574" s="13">
        <f>IF(C1574=Options!$B$9,B1574*12,0)</f>
        <v/>
      </c>
      <c r="L1574" s="13">
        <f>IF(C1574=Options!$B$9,B1574*Options!$Z$7,0)</f>
        <v/>
      </c>
      <c r="M1574" s="13" t="n">
        <v>0</v>
      </c>
      <c r="N1574" s="13">
        <f>SUM(E1574:M1574)</f>
        <v/>
      </c>
    </row>
    <row r="1575">
      <c r="A1575" s="5">
        <f>IF(AND(C1575&gt;=Options!$B$9,C1575&lt;=Options!$B$10),"Phoenix","")</f>
        <v/>
      </c>
      <c r="B1575" s="5">
        <f>IF(A1575="","",18)</f>
        <v/>
      </c>
      <c r="C1575" s="17" t="n">
        <v>46406</v>
      </c>
      <c r="D1575" s="5">
        <f>IF(A1575="","",IF(C1575=DATE(2026,11,29),"培训；注册午餐；早餐参数",IF(C1575=DATE(2026,11,30),"培训；注册午餐",IF(C1575=DATE(2026,12,1),"培训；注册午餐；机构晚餐",IF(C1575=Options!$B$9,"抵达；"&amp;IF(C1575=DATE(2026,11,28),"机构晚餐","无统一供餐"),IF(C1575=Options!$B$10,"返程；"&amp;IF(C1575=DATE(2026,12,2),"机构午餐","无统一供餐"),"差旅状态；无统一日程"))))))</f>
        <v/>
      </c>
      <c r="E1575" s="13">
        <f>IF(C1575=Options!$B$9,Options!$C$18,0)</f>
        <v/>
      </c>
      <c r="F1575" s="13">
        <f>IF(AND(A1575&lt;&gt;"",C1575&lt;Options!$B$10),B1575*Options!$X$7,0)</f>
        <v/>
      </c>
      <c r="G1575" s="13">
        <f>F1575*12%</f>
        <v/>
      </c>
      <c r="H1575" s="13">
        <f>IF(A1575="",0,B1575*(86*IF(OR(C1575=Options!$B$9,C1575=Options!$B$10),75%,100%)-IF(C1575=DATE(2026,11,29),23+IF(Options!$B$8="是",22,0),0)-IF(C1575=DATE(2026,11,30),23,0)-IF(C1575=DATE(2026,12,1),59,0)-IF(C1575=DATE(2026,11,28),36,0)-IF(C1575=DATE(2026,12,2),23,0)))</f>
        <v/>
      </c>
      <c r="I1575" s="13">
        <f>IF(AND(C1575&gt;=DATE(2026,11,29),C1575&lt;=DATE(2026,12,1)),B1575*60,0)</f>
        <v/>
      </c>
      <c r="J1575" s="13">
        <f>IF(A1575="",0,B1575*(IF(C1575=DATE(2026,11,28),36,0)+IF(C1575=DATE(2026,12,1),36,0)+IF(C1575=DATE(2026,12,2),23,0)))</f>
        <v/>
      </c>
      <c r="K1575" s="13">
        <f>IF(C1575=Options!$B$9,B1575*12,0)</f>
        <v/>
      </c>
      <c r="L1575" s="13">
        <f>IF(C1575=Options!$B$9,B1575*Options!$Z$7,0)</f>
        <v/>
      </c>
      <c r="M1575" s="13" t="n">
        <v>0</v>
      </c>
      <c r="N1575" s="13">
        <f>SUM(E1575:M1575)</f>
        <v/>
      </c>
    </row>
    <row r="1576">
      <c r="A1576" s="5">
        <f>IF(AND(C1576&gt;=Options!$B$9,C1576&lt;=Options!$B$10),"Phoenix","")</f>
        <v/>
      </c>
      <c r="B1576" s="5">
        <f>IF(A1576="","",18)</f>
        <v/>
      </c>
      <c r="C1576" s="17" t="n">
        <v>46407</v>
      </c>
      <c r="D1576" s="5">
        <f>IF(A1576="","",IF(C1576=DATE(2026,11,29),"培训；注册午餐；早餐参数",IF(C1576=DATE(2026,11,30),"培训；注册午餐",IF(C1576=DATE(2026,12,1),"培训；注册午餐；机构晚餐",IF(C1576=Options!$B$9,"抵达；"&amp;IF(C1576=DATE(2026,11,28),"机构晚餐","无统一供餐"),IF(C1576=Options!$B$10,"返程；"&amp;IF(C1576=DATE(2026,12,2),"机构午餐","无统一供餐"),"差旅状态；无统一日程"))))))</f>
        <v/>
      </c>
      <c r="E1576" s="13">
        <f>IF(C1576=Options!$B$9,Options!$C$18,0)</f>
        <v/>
      </c>
      <c r="F1576" s="13">
        <f>IF(AND(A1576&lt;&gt;"",C1576&lt;Options!$B$10),B1576*Options!$X$7,0)</f>
        <v/>
      </c>
      <c r="G1576" s="13">
        <f>F1576*12%</f>
        <v/>
      </c>
      <c r="H1576" s="13">
        <f>IF(A1576="",0,B1576*(86*IF(OR(C1576=Options!$B$9,C1576=Options!$B$10),75%,100%)-IF(C1576=DATE(2026,11,29),23+IF(Options!$B$8="是",22,0),0)-IF(C1576=DATE(2026,11,30),23,0)-IF(C1576=DATE(2026,12,1),59,0)-IF(C1576=DATE(2026,11,28),36,0)-IF(C1576=DATE(2026,12,2),23,0)))</f>
        <v/>
      </c>
      <c r="I1576" s="13">
        <f>IF(AND(C1576&gt;=DATE(2026,11,29),C1576&lt;=DATE(2026,12,1)),B1576*60,0)</f>
        <v/>
      </c>
      <c r="J1576" s="13">
        <f>IF(A1576="",0,B1576*(IF(C1576=DATE(2026,11,28),36,0)+IF(C1576=DATE(2026,12,1),36,0)+IF(C1576=DATE(2026,12,2),23,0)))</f>
        <v/>
      </c>
      <c r="K1576" s="13">
        <f>IF(C1576=Options!$B$9,B1576*12,0)</f>
        <v/>
      </c>
      <c r="L1576" s="13">
        <f>IF(C1576=Options!$B$9,B1576*Options!$Z$7,0)</f>
        <v/>
      </c>
      <c r="M1576" s="13" t="n">
        <v>0</v>
      </c>
      <c r="N1576" s="13">
        <f>SUM(E1576:M1576)</f>
        <v/>
      </c>
    </row>
    <row r="1577">
      <c r="A1577" s="5">
        <f>IF(AND(C1577&gt;=Options!$B$9,C1577&lt;=Options!$B$10),"Phoenix","")</f>
        <v/>
      </c>
      <c r="B1577" s="5">
        <f>IF(A1577="","",18)</f>
        <v/>
      </c>
      <c r="C1577" s="17" t="n">
        <v>46408</v>
      </c>
      <c r="D1577" s="5">
        <f>IF(A1577="","",IF(C1577=DATE(2026,11,29),"培训；注册午餐；早餐参数",IF(C1577=DATE(2026,11,30),"培训；注册午餐",IF(C1577=DATE(2026,12,1),"培训；注册午餐；机构晚餐",IF(C1577=Options!$B$9,"抵达；"&amp;IF(C1577=DATE(2026,11,28),"机构晚餐","无统一供餐"),IF(C1577=Options!$B$10,"返程；"&amp;IF(C1577=DATE(2026,12,2),"机构午餐","无统一供餐"),"差旅状态；无统一日程"))))))</f>
        <v/>
      </c>
      <c r="E1577" s="13">
        <f>IF(C1577=Options!$B$9,Options!$C$18,0)</f>
        <v/>
      </c>
      <c r="F1577" s="13">
        <f>IF(AND(A1577&lt;&gt;"",C1577&lt;Options!$B$10),B1577*Options!$X$7,0)</f>
        <v/>
      </c>
      <c r="G1577" s="13">
        <f>F1577*12%</f>
        <v/>
      </c>
      <c r="H1577" s="13">
        <f>IF(A1577="",0,B1577*(86*IF(OR(C1577=Options!$B$9,C1577=Options!$B$10),75%,100%)-IF(C1577=DATE(2026,11,29),23+IF(Options!$B$8="是",22,0),0)-IF(C1577=DATE(2026,11,30),23,0)-IF(C1577=DATE(2026,12,1),59,0)-IF(C1577=DATE(2026,11,28),36,0)-IF(C1577=DATE(2026,12,2),23,0)))</f>
        <v/>
      </c>
      <c r="I1577" s="13">
        <f>IF(AND(C1577&gt;=DATE(2026,11,29),C1577&lt;=DATE(2026,12,1)),B1577*60,0)</f>
        <v/>
      </c>
      <c r="J1577" s="13">
        <f>IF(A1577="",0,B1577*(IF(C1577=DATE(2026,11,28),36,0)+IF(C1577=DATE(2026,12,1),36,0)+IF(C1577=DATE(2026,12,2),23,0)))</f>
        <v/>
      </c>
      <c r="K1577" s="13">
        <f>IF(C1577=Options!$B$9,B1577*12,0)</f>
        <v/>
      </c>
      <c r="L1577" s="13">
        <f>IF(C1577=Options!$B$9,B1577*Options!$Z$7,0)</f>
        <v/>
      </c>
      <c r="M1577" s="13" t="n">
        <v>0</v>
      </c>
      <c r="N1577" s="13">
        <f>SUM(E1577:M1577)</f>
        <v/>
      </c>
    </row>
    <row r="1578">
      <c r="A1578" s="5">
        <f>IF(AND(C1578&gt;=Options!$B$9,C1578&lt;=Options!$B$10),"Phoenix","")</f>
        <v/>
      </c>
      <c r="B1578" s="5">
        <f>IF(A1578="","",18)</f>
        <v/>
      </c>
      <c r="C1578" s="17" t="n">
        <v>46409</v>
      </c>
      <c r="D1578" s="5">
        <f>IF(A1578="","",IF(C1578=DATE(2026,11,29),"培训；注册午餐；早餐参数",IF(C1578=DATE(2026,11,30),"培训；注册午餐",IF(C1578=DATE(2026,12,1),"培训；注册午餐；机构晚餐",IF(C1578=Options!$B$9,"抵达；"&amp;IF(C1578=DATE(2026,11,28),"机构晚餐","无统一供餐"),IF(C1578=Options!$B$10,"返程；"&amp;IF(C1578=DATE(2026,12,2),"机构午餐","无统一供餐"),"差旅状态；无统一日程"))))))</f>
        <v/>
      </c>
      <c r="E1578" s="13">
        <f>IF(C1578=Options!$B$9,Options!$C$18,0)</f>
        <v/>
      </c>
      <c r="F1578" s="13">
        <f>IF(AND(A1578&lt;&gt;"",C1578&lt;Options!$B$10),B1578*Options!$X$7,0)</f>
        <v/>
      </c>
      <c r="G1578" s="13">
        <f>F1578*12%</f>
        <v/>
      </c>
      <c r="H1578" s="13">
        <f>IF(A1578="",0,B1578*(86*IF(OR(C1578=Options!$B$9,C1578=Options!$B$10),75%,100%)-IF(C1578=DATE(2026,11,29),23+IF(Options!$B$8="是",22,0),0)-IF(C1578=DATE(2026,11,30),23,0)-IF(C1578=DATE(2026,12,1),59,0)-IF(C1578=DATE(2026,11,28),36,0)-IF(C1578=DATE(2026,12,2),23,0)))</f>
        <v/>
      </c>
      <c r="I1578" s="13">
        <f>IF(AND(C1578&gt;=DATE(2026,11,29),C1578&lt;=DATE(2026,12,1)),B1578*60,0)</f>
        <v/>
      </c>
      <c r="J1578" s="13">
        <f>IF(A1578="",0,B1578*(IF(C1578=DATE(2026,11,28),36,0)+IF(C1578=DATE(2026,12,1),36,0)+IF(C1578=DATE(2026,12,2),23,0)))</f>
        <v/>
      </c>
      <c r="K1578" s="13">
        <f>IF(C1578=Options!$B$9,B1578*12,0)</f>
        <v/>
      </c>
      <c r="L1578" s="13">
        <f>IF(C1578=Options!$B$9,B1578*Options!$Z$7,0)</f>
        <v/>
      </c>
      <c r="M1578" s="13" t="n">
        <v>0</v>
      </c>
      <c r="N1578" s="13">
        <f>SUM(E1578:M1578)</f>
        <v/>
      </c>
    </row>
    <row r="1579">
      <c r="A1579" s="5">
        <f>IF(AND(C1579&gt;=Options!$B$9,C1579&lt;=Options!$B$10),"Phoenix","")</f>
        <v/>
      </c>
      <c r="B1579" s="5">
        <f>IF(A1579="","",18)</f>
        <v/>
      </c>
      <c r="C1579" s="17" t="n">
        <v>46410</v>
      </c>
      <c r="D1579" s="5">
        <f>IF(A1579="","",IF(C1579=DATE(2026,11,29),"培训；注册午餐；早餐参数",IF(C1579=DATE(2026,11,30),"培训；注册午餐",IF(C1579=DATE(2026,12,1),"培训；注册午餐；机构晚餐",IF(C1579=Options!$B$9,"抵达；"&amp;IF(C1579=DATE(2026,11,28),"机构晚餐","无统一供餐"),IF(C1579=Options!$B$10,"返程；"&amp;IF(C1579=DATE(2026,12,2),"机构午餐","无统一供餐"),"差旅状态；无统一日程"))))))</f>
        <v/>
      </c>
      <c r="E1579" s="13">
        <f>IF(C1579=Options!$B$9,Options!$C$18,0)</f>
        <v/>
      </c>
      <c r="F1579" s="13">
        <f>IF(AND(A1579&lt;&gt;"",C1579&lt;Options!$B$10),B1579*Options!$X$7,0)</f>
        <v/>
      </c>
      <c r="G1579" s="13">
        <f>F1579*12%</f>
        <v/>
      </c>
      <c r="H1579" s="13">
        <f>IF(A1579="",0,B1579*(86*IF(OR(C1579=Options!$B$9,C1579=Options!$B$10),75%,100%)-IF(C1579=DATE(2026,11,29),23+IF(Options!$B$8="是",22,0),0)-IF(C1579=DATE(2026,11,30),23,0)-IF(C1579=DATE(2026,12,1),59,0)-IF(C1579=DATE(2026,11,28),36,0)-IF(C1579=DATE(2026,12,2),23,0)))</f>
        <v/>
      </c>
      <c r="I1579" s="13">
        <f>IF(AND(C1579&gt;=DATE(2026,11,29),C1579&lt;=DATE(2026,12,1)),B1579*60,0)</f>
        <v/>
      </c>
      <c r="J1579" s="13">
        <f>IF(A1579="",0,B1579*(IF(C1579=DATE(2026,11,28),36,0)+IF(C1579=DATE(2026,12,1),36,0)+IF(C1579=DATE(2026,12,2),23,0)))</f>
        <v/>
      </c>
      <c r="K1579" s="13">
        <f>IF(C1579=Options!$B$9,B1579*12,0)</f>
        <v/>
      </c>
      <c r="L1579" s="13">
        <f>IF(C1579=Options!$B$9,B1579*Options!$Z$7,0)</f>
        <v/>
      </c>
      <c r="M1579" s="13" t="n">
        <v>0</v>
      </c>
      <c r="N1579" s="13">
        <f>SUM(E1579:M1579)</f>
        <v/>
      </c>
    </row>
    <row r="1580">
      <c r="A1580" s="5">
        <f>IF(AND(C1580&gt;=Options!$B$9,C1580&lt;=Options!$B$10),"Phoenix","")</f>
        <v/>
      </c>
      <c r="B1580" s="5">
        <f>IF(A1580="","",18)</f>
        <v/>
      </c>
      <c r="C1580" s="17" t="n">
        <v>46411</v>
      </c>
      <c r="D1580" s="5">
        <f>IF(A1580="","",IF(C1580=DATE(2026,11,29),"培训；注册午餐；早餐参数",IF(C1580=DATE(2026,11,30),"培训；注册午餐",IF(C1580=DATE(2026,12,1),"培训；注册午餐；机构晚餐",IF(C1580=Options!$B$9,"抵达；"&amp;IF(C1580=DATE(2026,11,28),"机构晚餐","无统一供餐"),IF(C1580=Options!$B$10,"返程；"&amp;IF(C1580=DATE(2026,12,2),"机构午餐","无统一供餐"),"差旅状态；无统一日程"))))))</f>
        <v/>
      </c>
      <c r="E1580" s="13">
        <f>IF(C1580=Options!$B$9,Options!$C$18,0)</f>
        <v/>
      </c>
      <c r="F1580" s="13">
        <f>IF(AND(A1580&lt;&gt;"",C1580&lt;Options!$B$10),B1580*Options!$X$7,0)</f>
        <v/>
      </c>
      <c r="G1580" s="13">
        <f>F1580*12%</f>
        <v/>
      </c>
      <c r="H1580" s="13">
        <f>IF(A1580="",0,B1580*(86*IF(OR(C1580=Options!$B$9,C1580=Options!$B$10),75%,100%)-IF(C1580=DATE(2026,11,29),23+IF(Options!$B$8="是",22,0),0)-IF(C1580=DATE(2026,11,30),23,0)-IF(C1580=DATE(2026,12,1),59,0)-IF(C1580=DATE(2026,11,28),36,0)-IF(C1580=DATE(2026,12,2),23,0)))</f>
        <v/>
      </c>
      <c r="I1580" s="13">
        <f>IF(AND(C1580&gt;=DATE(2026,11,29),C1580&lt;=DATE(2026,12,1)),B1580*60,0)</f>
        <v/>
      </c>
      <c r="J1580" s="13">
        <f>IF(A1580="",0,B1580*(IF(C1580=DATE(2026,11,28),36,0)+IF(C1580=DATE(2026,12,1),36,0)+IF(C1580=DATE(2026,12,2),23,0)))</f>
        <v/>
      </c>
      <c r="K1580" s="13">
        <f>IF(C1580=Options!$B$9,B1580*12,0)</f>
        <v/>
      </c>
      <c r="L1580" s="13">
        <f>IF(C1580=Options!$B$9,B1580*Options!$Z$7,0)</f>
        <v/>
      </c>
      <c r="M1580" s="13" t="n">
        <v>0</v>
      </c>
      <c r="N1580" s="13">
        <f>SUM(E1580:M1580)</f>
        <v/>
      </c>
    </row>
    <row r="1581">
      <c r="A1581" s="5">
        <f>IF(AND(C1581&gt;=Options!$B$9,C1581&lt;=Options!$B$10),"Phoenix","")</f>
        <v/>
      </c>
      <c r="B1581" s="5">
        <f>IF(A1581="","",18)</f>
        <v/>
      </c>
      <c r="C1581" s="17" t="n">
        <v>46412</v>
      </c>
      <c r="D1581" s="5">
        <f>IF(A1581="","",IF(C1581=DATE(2026,11,29),"培训；注册午餐；早餐参数",IF(C1581=DATE(2026,11,30),"培训；注册午餐",IF(C1581=DATE(2026,12,1),"培训；注册午餐；机构晚餐",IF(C1581=Options!$B$9,"抵达；"&amp;IF(C1581=DATE(2026,11,28),"机构晚餐","无统一供餐"),IF(C1581=Options!$B$10,"返程；"&amp;IF(C1581=DATE(2026,12,2),"机构午餐","无统一供餐"),"差旅状态；无统一日程"))))))</f>
        <v/>
      </c>
      <c r="E1581" s="13">
        <f>IF(C1581=Options!$B$9,Options!$C$18,0)</f>
        <v/>
      </c>
      <c r="F1581" s="13">
        <f>IF(AND(A1581&lt;&gt;"",C1581&lt;Options!$B$10),B1581*Options!$X$7,0)</f>
        <v/>
      </c>
      <c r="G1581" s="13">
        <f>F1581*12%</f>
        <v/>
      </c>
      <c r="H1581" s="13">
        <f>IF(A1581="",0,B1581*(86*IF(OR(C1581=Options!$B$9,C1581=Options!$B$10),75%,100%)-IF(C1581=DATE(2026,11,29),23+IF(Options!$B$8="是",22,0),0)-IF(C1581=DATE(2026,11,30),23,0)-IF(C1581=DATE(2026,12,1),59,0)-IF(C1581=DATE(2026,11,28),36,0)-IF(C1581=DATE(2026,12,2),23,0)))</f>
        <v/>
      </c>
      <c r="I1581" s="13">
        <f>IF(AND(C1581&gt;=DATE(2026,11,29),C1581&lt;=DATE(2026,12,1)),B1581*60,0)</f>
        <v/>
      </c>
      <c r="J1581" s="13">
        <f>IF(A1581="",0,B1581*(IF(C1581=DATE(2026,11,28),36,0)+IF(C1581=DATE(2026,12,1),36,0)+IF(C1581=DATE(2026,12,2),23,0)))</f>
        <v/>
      </c>
      <c r="K1581" s="13">
        <f>IF(C1581=Options!$B$9,B1581*12,0)</f>
        <v/>
      </c>
      <c r="L1581" s="13">
        <f>IF(C1581=Options!$B$9,B1581*Options!$Z$7,0)</f>
        <v/>
      </c>
      <c r="M1581" s="13" t="n">
        <v>0</v>
      </c>
      <c r="N1581" s="13">
        <f>SUM(E1581:M1581)</f>
        <v/>
      </c>
    </row>
    <row r="1582">
      <c r="A1582" s="5">
        <f>IF(AND(C1582&gt;=Options!$B$9,C1582&lt;=Options!$B$10),"Phoenix","")</f>
        <v/>
      </c>
      <c r="B1582" s="5">
        <f>IF(A1582="","",18)</f>
        <v/>
      </c>
      <c r="C1582" s="17" t="n">
        <v>46413</v>
      </c>
      <c r="D1582" s="5">
        <f>IF(A1582="","",IF(C1582=DATE(2026,11,29),"培训；注册午餐；早餐参数",IF(C1582=DATE(2026,11,30),"培训；注册午餐",IF(C1582=DATE(2026,12,1),"培训；注册午餐；机构晚餐",IF(C1582=Options!$B$9,"抵达；"&amp;IF(C1582=DATE(2026,11,28),"机构晚餐","无统一供餐"),IF(C1582=Options!$B$10,"返程；"&amp;IF(C1582=DATE(2026,12,2),"机构午餐","无统一供餐"),"差旅状态；无统一日程"))))))</f>
        <v/>
      </c>
      <c r="E1582" s="13">
        <f>IF(C1582=Options!$B$9,Options!$C$18,0)</f>
        <v/>
      </c>
      <c r="F1582" s="13">
        <f>IF(AND(A1582&lt;&gt;"",C1582&lt;Options!$B$10),B1582*Options!$X$7,0)</f>
        <v/>
      </c>
      <c r="G1582" s="13">
        <f>F1582*12%</f>
        <v/>
      </c>
      <c r="H1582" s="13">
        <f>IF(A1582="",0,B1582*(86*IF(OR(C1582=Options!$B$9,C1582=Options!$B$10),75%,100%)-IF(C1582=DATE(2026,11,29),23+IF(Options!$B$8="是",22,0),0)-IF(C1582=DATE(2026,11,30),23,0)-IF(C1582=DATE(2026,12,1),59,0)-IF(C1582=DATE(2026,11,28),36,0)-IF(C1582=DATE(2026,12,2),23,0)))</f>
        <v/>
      </c>
      <c r="I1582" s="13">
        <f>IF(AND(C1582&gt;=DATE(2026,11,29),C1582&lt;=DATE(2026,12,1)),B1582*60,0)</f>
        <v/>
      </c>
      <c r="J1582" s="13">
        <f>IF(A1582="",0,B1582*(IF(C1582=DATE(2026,11,28),36,0)+IF(C1582=DATE(2026,12,1),36,0)+IF(C1582=DATE(2026,12,2),23,0)))</f>
        <v/>
      </c>
      <c r="K1582" s="13">
        <f>IF(C1582=Options!$B$9,B1582*12,0)</f>
        <v/>
      </c>
      <c r="L1582" s="13">
        <f>IF(C1582=Options!$B$9,B1582*Options!$Z$7,0)</f>
        <v/>
      </c>
      <c r="M1582" s="13" t="n">
        <v>0</v>
      </c>
      <c r="N1582" s="13">
        <f>SUM(E1582:M1582)</f>
        <v/>
      </c>
    </row>
    <row r="1583">
      <c r="A1583" s="5">
        <f>IF(AND(C1583&gt;=Options!$B$9,C1583&lt;=Options!$B$10),"Phoenix","")</f>
        <v/>
      </c>
      <c r="B1583" s="5">
        <f>IF(A1583="","",18)</f>
        <v/>
      </c>
      <c r="C1583" s="17" t="n">
        <v>46414</v>
      </c>
      <c r="D1583" s="5">
        <f>IF(A1583="","",IF(C1583=DATE(2026,11,29),"培训；注册午餐；早餐参数",IF(C1583=DATE(2026,11,30),"培训；注册午餐",IF(C1583=DATE(2026,12,1),"培训；注册午餐；机构晚餐",IF(C1583=Options!$B$9,"抵达；"&amp;IF(C1583=DATE(2026,11,28),"机构晚餐","无统一供餐"),IF(C1583=Options!$B$10,"返程；"&amp;IF(C1583=DATE(2026,12,2),"机构午餐","无统一供餐"),"差旅状态；无统一日程"))))))</f>
        <v/>
      </c>
      <c r="E1583" s="13">
        <f>IF(C1583=Options!$B$9,Options!$C$18,0)</f>
        <v/>
      </c>
      <c r="F1583" s="13">
        <f>IF(AND(A1583&lt;&gt;"",C1583&lt;Options!$B$10),B1583*Options!$X$7,0)</f>
        <v/>
      </c>
      <c r="G1583" s="13">
        <f>F1583*12%</f>
        <v/>
      </c>
      <c r="H1583" s="13">
        <f>IF(A1583="",0,B1583*(86*IF(OR(C1583=Options!$B$9,C1583=Options!$B$10),75%,100%)-IF(C1583=DATE(2026,11,29),23+IF(Options!$B$8="是",22,0),0)-IF(C1583=DATE(2026,11,30),23,0)-IF(C1583=DATE(2026,12,1),59,0)-IF(C1583=DATE(2026,11,28),36,0)-IF(C1583=DATE(2026,12,2),23,0)))</f>
        <v/>
      </c>
      <c r="I1583" s="13">
        <f>IF(AND(C1583&gt;=DATE(2026,11,29),C1583&lt;=DATE(2026,12,1)),B1583*60,0)</f>
        <v/>
      </c>
      <c r="J1583" s="13">
        <f>IF(A1583="",0,B1583*(IF(C1583=DATE(2026,11,28),36,0)+IF(C1583=DATE(2026,12,1),36,0)+IF(C1583=DATE(2026,12,2),23,0)))</f>
        <v/>
      </c>
      <c r="K1583" s="13">
        <f>IF(C1583=Options!$B$9,B1583*12,0)</f>
        <v/>
      </c>
      <c r="L1583" s="13">
        <f>IF(C1583=Options!$B$9,B1583*Options!$Z$7,0)</f>
        <v/>
      </c>
      <c r="M1583" s="13" t="n">
        <v>0</v>
      </c>
      <c r="N1583" s="13">
        <f>SUM(E1583:M1583)</f>
        <v/>
      </c>
    </row>
    <row r="1584">
      <c r="A1584" s="5">
        <f>IF(AND(C1584&gt;=Options!$B$9,C1584&lt;=Options!$B$10),"Phoenix","")</f>
        <v/>
      </c>
      <c r="B1584" s="5">
        <f>IF(A1584="","",18)</f>
        <v/>
      </c>
      <c r="C1584" s="17" t="n">
        <v>46415</v>
      </c>
      <c r="D1584" s="5">
        <f>IF(A1584="","",IF(C1584=DATE(2026,11,29),"培训；注册午餐；早餐参数",IF(C1584=DATE(2026,11,30),"培训；注册午餐",IF(C1584=DATE(2026,12,1),"培训；注册午餐；机构晚餐",IF(C1584=Options!$B$9,"抵达；"&amp;IF(C1584=DATE(2026,11,28),"机构晚餐","无统一供餐"),IF(C1584=Options!$B$10,"返程；"&amp;IF(C1584=DATE(2026,12,2),"机构午餐","无统一供餐"),"差旅状态；无统一日程"))))))</f>
        <v/>
      </c>
      <c r="E1584" s="13">
        <f>IF(C1584=Options!$B$9,Options!$C$18,0)</f>
        <v/>
      </c>
      <c r="F1584" s="13">
        <f>IF(AND(A1584&lt;&gt;"",C1584&lt;Options!$B$10),B1584*Options!$X$7,0)</f>
        <v/>
      </c>
      <c r="G1584" s="13">
        <f>F1584*12%</f>
        <v/>
      </c>
      <c r="H1584" s="13">
        <f>IF(A1584="",0,B1584*(86*IF(OR(C1584=Options!$B$9,C1584=Options!$B$10),75%,100%)-IF(C1584=DATE(2026,11,29),23+IF(Options!$B$8="是",22,0),0)-IF(C1584=DATE(2026,11,30),23,0)-IF(C1584=DATE(2026,12,1),59,0)-IF(C1584=DATE(2026,11,28),36,0)-IF(C1584=DATE(2026,12,2),23,0)))</f>
        <v/>
      </c>
      <c r="I1584" s="13">
        <f>IF(AND(C1584&gt;=DATE(2026,11,29),C1584&lt;=DATE(2026,12,1)),B1584*60,0)</f>
        <v/>
      </c>
      <c r="J1584" s="13">
        <f>IF(A1584="",0,B1584*(IF(C1584=DATE(2026,11,28),36,0)+IF(C1584=DATE(2026,12,1),36,0)+IF(C1584=DATE(2026,12,2),23,0)))</f>
        <v/>
      </c>
      <c r="K1584" s="13">
        <f>IF(C1584=Options!$B$9,B1584*12,0)</f>
        <v/>
      </c>
      <c r="L1584" s="13">
        <f>IF(C1584=Options!$B$9,B1584*Options!$Z$7,0)</f>
        <v/>
      </c>
      <c r="M1584" s="13" t="n">
        <v>0</v>
      </c>
      <c r="N1584" s="13">
        <f>SUM(E1584:M1584)</f>
        <v/>
      </c>
    </row>
    <row r="1585">
      <c r="A1585" s="5">
        <f>IF(AND(C1585&gt;=Options!$B$9,C1585&lt;=Options!$B$10),"Phoenix","")</f>
        <v/>
      </c>
      <c r="B1585" s="5">
        <f>IF(A1585="","",18)</f>
        <v/>
      </c>
      <c r="C1585" s="17" t="n">
        <v>46416</v>
      </c>
      <c r="D1585" s="5">
        <f>IF(A1585="","",IF(C1585=DATE(2026,11,29),"培训；注册午餐；早餐参数",IF(C1585=DATE(2026,11,30),"培训；注册午餐",IF(C1585=DATE(2026,12,1),"培训；注册午餐；机构晚餐",IF(C1585=Options!$B$9,"抵达；"&amp;IF(C1585=DATE(2026,11,28),"机构晚餐","无统一供餐"),IF(C1585=Options!$B$10,"返程；"&amp;IF(C1585=DATE(2026,12,2),"机构午餐","无统一供餐"),"差旅状态；无统一日程"))))))</f>
        <v/>
      </c>
      <c r="E1585" s="13">
        <f>IF(C1585=Options!$B$9,Options!$C$18,0)</f>
        <v/>
      </c>
      <c r="F1585" s="13">
        <f>IF(AND(A1585&lt;&gt;"",C1585&lt;Options!$B$10),B1585*Options!$X$7,0)</f>
        <v/>
      </c>
      <c r="G1585" s="13">
        <f>F1585*12%</f>
        <v/>
      </c>
      <c r="H1585" s="13">
        <f>IF(A1585="",0,B1585*(86*IF(OR(C1585=Options!$B$9,C1585=Options!$B$10),75%,100%)-IF(C1585=DATE(2026,11,29),23+IF(Options!$B$8="是",22,0),0)-IF(C1585=DATE(2026,11,30),23,0)-IF(C1585=DATE(2026,12,1),59,0)-IF(C1585=DATE(2026,11,28),36,0)-IF(C1585=DATE(2026,12,2),23,0)))</f>
        <v/>
      </c>
      <c r="I1585" s="13">
        <f>IF(AND(C1585&gt;=DATE(2026,11,29),C1585&lt;=DATE(2026,12,1)),B1585*60,0)</f>
        <v/>
      </c>
      <c r="J1585" s="13">
        <f>IF(A1585="",0,B1585*(IF(C1585=DATE(2026,11,28),36,0)+IF(C1585=DATE(2026,12,1),36,0)+IF(C1585=DATE(2026,12,2),23,0)))</f>
        <v/>
      </c>
      <c r="K1585" s="13">
        <f>IF(C1585=Options!$B$9,B1585*12,0)</f>
        <v/>
      </c>
      <c r="L1585" s="13">
        <f>IF(C1585=Options!$B$9,B1585*Options!$Z$7,0)</f>
        <v/>
      </c>
      <c r="M1585" s="13" t="n">
        <v>0</v>
      </c>
      <c r="N1585" s="13">
        <f>SUM(E1585:M1585)</f>
        <v/>
      </c>
    </row>
    <row r="1586">
      <c r="A1586" s="5">
        <f>IF(AND(C1586&gt;=Options!$B$9,C1586&lt;=Options!$B$10),"Phoenix","")</f>
        <v/>
      </c>
      <c r="B1586" s="5">
        <f>IF(A1586="","",18)</f>
        <v/>
      </c>
      <c r="C1586" s="17" t="n">
        <v>46417</v>
      </c>
      <c r="D1586" s="5">
        <f>IF(A1586="","",IF(C1586=DATE(2026,11,29),"培训；注册午餐；早餐参数",IF(C1586=DATE(2026,11,30),"培训；注册午餐",IF(C1586=DATE(2026,12,1),"培训；注册午餐；机构晚餐",IF(C1586=Options!$B$9,"抵达；"&amp;IF(C1586=DATE(2026,11,28),"机构晚餐","无统一供餐"),IF(C1586=Options!$B$10,"返程；"&amp;IF(C1586=DATE(2026,12,2),"机构午餐","无统一供餐"),"差旅状态；无统一日程"))))))</f>
        <v/>
      </c>
      <c r="E1586" s="13">
        <f>IF(C1586=Options!$B$9,Options!$C$18,0)</f>
        <v/>
      </c>
      <c r="F1586" s="13">
        <f>IF(AND(A1586&lt;&gt;"",C1586&lt;Options!$B$10),B1586*Options!$X$7,0)</f>
        <v/>
      </c>
      <c r="G1586" s="13">
        <f>F1586*12%</f>
        <v/>
      </c>
      <c r="H1586" s="13">
        <f>IF(A1586="",0,B1586*(86*IF(OR(C1586=Options!$B$9,C1586=Options!$B$10),75%,100%)-IF(C1586=DATE(2026,11,29),23+IF(Options!$B$8="是",22,0),0)-IF(C1586=DATE(2026,11,30),23,0)-IF(C1586=DATE(2026,12,1),59,0)-IF(C1586=DATE(2026,11,28),36,0)-IF(C1586=DATE(2026,12,2),23,0)))</f>
        <v/>
      </c>
      <c r="I1586" s="13">
        <f>IF(AND(C1586&gt;=DATE(2026,11,29),C1586&lt;=DATE(2026,12,1)),B1586*60,0)</f>
        <v/>
      </c>
      <c r="J1586" s="13">
        <f>IF(A1586="",0,B1586*(IF(C1586=DATE(2026,11,28),36,0)+IF(C1586=DATE(2026,12,1),36,0)+IF(C1586=DATE(2026,12,2),23,0)))</f>
        <v/>
      </c>
      <c r="K1586" s="13">
        <f>IF(C1586=Options!$B$9,B1586*12,0)</f>
        <v/>
      </c>
      <c r="L1586" s="13">
        <f>IF(C1586=Options!$B$9,B1586*Options!$Z$7,0)</f>
        <v/>
      </c>
      <c r="M1586" s="13" t="n">
        <v>0</v>
      </c>
      <c r="N1586" s="13">
        <f>SUM(E1586:M1586)</f>
        <v/>
      </c>
    </row>
    <row r="1587">
      <c r="A1587" s="5">
        <f>IF(AND(C1587&gt;=Options!$B$9,C1587&lt;=Options!$B$10),"Phoenix","")</f>
        <v/>
      </c>
      <c r="B1587" s="5">
        <f>IF(A1587="","",18)</f>
        <v/>
      </c>
      <c r="C1587" s="17" t="n">
        <v>46418</v>
      </c>
      <c r="D1587" s="5">
        <f>IF(A1587="","",IF(C1587=DATE(2026,11,29),"培训；注册午餐；早餐参数",IF(C1587=DATE(2026,11,30),"培训；注册午餐",IF(C1587=DATE(2026,12,1),"培训；注册午餐；机构晚餐",IF(C1587=Options!$B$9,"抵达；"&amp;IF(C1587=DATE(2026,11,28),"机构晚餐","无统一供餐"),IF(C1587=Options!$B$10,"返程；"&amp;IF(C1587=DATE(2026,12,2),"机构午餐","无统一供餐"),"差旅状态；无统一日程"))))))</f>
        <v/>
      </c>
      <c r="E1587" s="13">
        <f>IF(C1587=Options!$B$9,Options!$C$18,0)</f>
        <v/>
      </c>
      <c r="F1587" s="13">
        <f>IF(AND(A1587&lt;&gt;"",C1587&lt;Options!$B$10),B1587*Options!$X$7,0)</f>
        <v/>
      </c>
      <c r="G1587" s="13">
        <f>F1587*12%</f>
        <v/>
      </c>
      <c r="H1587" s="13">
        <f>IF(A1587="",0,B1587*(86*IF(OR(C1587=Options!$B$9,C1587=Options!$B$10),75%,100%)-IF(C1587=DATE(2026,11,29),23+IF(Options!$B$8="是",22,0),0)-IF(C1587=DATE(2026,11,30),23,0)-IF(C1587=DATE(2026,12,1),59,0)-IF(C1587=DATE(2026,11,28),36,0)-IF(C1587=DATE(2026,12,2),23,0)))</f>
        <v/>
      </c>
      <c r="I1587" s="13">
        <f>IF(AND(C1587&gt;=DATE(2026,11,29),C1587&lt;=DATE(2026,12,1)),B1587*60,0)</f>
        <v/>
      </c>
      <c r="J1587" s="13">
        <f>IF(A1587="",0,B1587*(IF(C1587=DATE(2026,11,28),36,0)+IF(C1587=DATE(2026,12,1),36,0)+IF(C1587=DATE(2026,12,2),23,0)))</f>
        <v/>
      </c>
      <c r="K1587" s="13">
        <f>IF(C1587=Options!$B$9,B1587*12,0)</f>
        <v/>
      </c>
      <c r="L1587" s="13">
        <f>IF(C1587=Options!$B$9,B1587*Options!$Z$7,0)</f>
        <v/>
      </c>
      <c r="M1587" s="13" t="n">
        <v>0</v>
      </c>
      <c r="N1587" s="13">
        <f>SUM(E1587:M1587)</f>
        <v/>
      </c>
    </row>
    <row r="1588">
      <c r="A1588" s="5">
        <f>IF(AND(C1588&gt;=Options!$B$9,C1588&lt;=Options!$B$10),"Phoenix","")</f>
        <v/>
      </c>
      <c r="B1588" s="5">
        <f>IF(A1588="","",18)</f>
        <v/>
      </c>
      <c r="C1588" s="17" t="n">
        <v>46419</v>
      </c>
      <c r="D1588" s="5">
        <f>IF(A1588="","",IF(C1588=DATE(2026,11,29),"培训；注册午餐；早餐参数",IF(C1588=DATE(2026,11,30),"培训；注册午餐",IF(C1588=DATE(2026,12,1),"培训；注册午餐；机构晚餐",IF(C1588=Options!$B$9,"抵达；"&amp;IF(C1588=DATE(2026,11,28),"机构晚餐","无统一供餐"),IF(C1588=Options!$B$10,"返程；"&amp;IF(C1588=DATE(2026,12,2),"机构午餐","无统一供餐"),"差旅状态；无统一日程"))))))</f>
        <v/>
      </c>
      <c r="E1588" s="13">
        <f>IF(C1588=Options!$B$9,Options!$C$18,0)</f>
        <v/>
      </c>
      <c r="F1588" s="13">
        <f>IF(AND(A1588&lt;&gt;"",C1588&lt;Options!$B$10),B1588*Options!$X$7,0)</f>
        <v/>
      </c>
      <c r="G1588" s="13">
        <f>F1588*12%</f>
        <v/>
      </c>
      <c r="H1588" s="13">
        <f>IF(A1588="",0,B1588*(86*IF(OR(C1588=Options!$B$9,C1588=Options!$B$10),75%,100%)-IF(C1588=DATE(2026,11,29),23+IF(Options!$B$8="是",22,0),0)-IF(C1588=DATE(2026,11,30),23,0)-IF(C1588=DATE(2026,12,1),59,0)-IF(C1588=DATE(2026,11,28),36,0)-IF(C1588=DATE(2026,12,2),23,0)))</f>
        <v/>
      </c>
      <c r="I1588" s="13">
        <f>IF(AND(C1588&gt;=DATE(2026,11,29),C1588&lt;=DATE(2026,12,1)),B1588*60,0)</f>
        <v/>
      </c>
      <c r="J1588" s="13">
        <f>IF(A1588="",0,B1588*(IF(C1588=DATE(2026,11,28),36,0)+IF(C1588=DATE(2026,12,1),36,0)+IF(C1588=DATE(2026,12,2),23,0)))</f>
        <v/>
      </c>
      <c r="K1588" s="13">
        <f>IF(C1588=Options!$B$9,B1588*12,0)</f>
        <v/>
      </c>
      <c r="L1588" s="13">
        <f>IF(C1588=Options!$B$9,B1588*Options!$Z$7,0)</f>
        <v/>
      </c>
      <c r="M1588" s="13" t="n">
        <v>0</v>
      </c>
      <c r="N1588" s="13">
        <f>SUM(E1588:M1588)</f>
        <v/>
      </c>
    </row>
    <row r="1589">
      <c r="A1589" s="5">
        <f>IF(AND(C1589&gt;=Options!$B$9,C1589&lt;=Options!$B$10),"Phoenix","")</f>
        <v/>
      </c>
      <c r="B1589" s="5">
        <f>IF(A1589="","",18)</f>
        <v/>
      </c>
      <c r="C1589" s="17" t="n">
        <v>46420</v>
      </c>
      <c r="D1589" s="5">
        <f>IF(A1589="","",IF(C1589=DATE(2026,11,29),"培训；注册午餐；早餐参数",IF(C1589=DATE(2026,11,30),"培训；注册午餐",IF(C1589=DATE(2026,12,1),"培训；注册午餐；机构晚餐",IF(C1589=Options!$B$9,"抵达；"&amp;IF(C1589=DATE(2026,11,28),"机构晚餐","无统一供餐"),IF(C1589=Options!$B$10,"返程；"&amp;IF(C1589=DATE(2026,12,2),"机构午餐","无统一供餐"),"差旅状态；无统一日程"))))))</f>
        <v/>
      </c>
      <c r="E1589" s="13">
        <f>IF(C1589=Options!$B$9,Options!$C$18,0)</f>
        <v/>
      </c>
      <c r="F1589" s="13">
        <f>IF(AND(A1589&lt;&gt;"",C1589&lt;Options!$B$10),B1589*Options!$X$7,0)</f>
        <v/>
      </c>
      <c r="G1589" s="13">
        <f>F1589*12%</f>
        <v/>
      </c>
      <c r="H1589" s="13">
        <f>IF(A1589="",0,B1589*(86*IF(OR(C1589=Options!$B$9,C1589=Options!$B$10),75%,100%)-IF(C1589=DATE(2026,11,29),23+IF(Options!$B$8="是",22,0),0)-IF(C1589=DATE(2026,11,30),23,0)-IF(C1589=DATE(2026,12,1),59,0)-IF(C1589=DATE(2026,11,28),36,0)-IF(C1589=DATE(2026,12,2),23,0)))</f>
        <v/>
      </c>
      <c r="I1589" s="13">
        <f>IF(AND(C1589&gt;=DATE(2026,11,29),C1589&lt;=DATE(2026,12,1)),B1589*60,0)</f>
        <v/>
      </c>
      <c r="J1589" s="13">
        <f>IF(A1589="",0,B1589*(IF(C1589=DATE(2026,11,28),36,0)+IF(C1589=DATE(2026,12,1),36,0)+IF(C1589=DATE(2026,12,2),23,0)))</f>
        <v/>
      </c>
      <c r="K1589" s="13">
        <f>IF(C1589=Options!$B$9,B1589*12,0)</f>
        <v/>
      </c>
      <c r="L1589" s="13">
        <f>IF(C1589=Options!$B$9,B1589*Options!$Z$7,0)</f>
        <v/>
      </c>
      <c r="M1589" s="13" t="n">
        <v>0</v>
      </c>
      <c r="N1589" s="13">
        <f>SUM(E1589:M1589)</f>
        <v/>
      </c>
    </row>
    <row r="1590">
      <c r="A1590" s="5">
        <f>IF(AND(C1590&gt;=Options!$B$9,C1590&lt;=Options!$B$10),"Phoenix","")</f>
        <v/>
      </c>
      <c r="B1590" s="5">
        <f>IF(A1590="","",18)</f>
        <v/>
      </c>
      <c r="C1590" s="17" t="n">
        <v>46421</v>
      </c>
      <c r="D1590" s="5">
        <f>IF(A1590="","",IF(C1590=DATE(2026,11,29),"培训；注册午餐；早餐参数",IF(C1590=DATE(2026,11,30),"培训；注册午餐",IF(C1590=DATE(2026,12,1),"培训；注册午餐；机构晚餐",IF(C1590=Options!$B$9,"抵达；"&amp;IF(C1590=DATE(2026,11,28),"机构晚餐","无统一供餐"),IF(C1590=Options!$B$10,"返程；"&amp;IF(C1590=DATE(2026,12,2),"机构午餐","无统一供餐"),"差旅状态；无统一日程"))))))</f>
        <v/>
      </c>
      <c r="E1590" s="13">
        <f>IF(C1590=Options!$B$9,Options!$C$18,0)</f>
        <v/>
      </c>
      <c r="F1590" s="13">
        <f>IF(AND(A1590&lt;&gt;"",C1590&lt;Options!$B$10),B1590*Options!$X$7,0)</f>
        <v/>
      </c>
      <c r="G1590" s="13">
        <f>F1590*12%</f>
        <v/>
      </c>
      <c r="H1590" s="13">
        <f>IF(A1590="",0,B1590*(86*IF(OR(C1590=Options!$B$9,C1590=Options!$B$10),75%,100%)-IF(C1590=DATE(2026,11,29),23+IF(Options!$B$8="是",22,0),0)-IF(C1590=DATE(2026,11,30),23,0)-IF(C1590=DATE(2026,12,1),59,0)-IF(C1590=DATE(2026,11,28),36,0)-IF(C1590=DATE(2026,12,2),23,0)))</f>
        <v/>
      </c>
      <c r="I1590" s="13">
        <f>IF(AND(C1590&gt;=DATE(2026,11,29),C1590&lt;=DATE(2026,12,1)),B1590*60,0)</f>
        <v/>
      </c>
      <c r="J1590" s="13">
        <f>IF(A1590="",0,B1590*(IF(C1590=DATE(2026,11,28),36,0)+IF(C1590=DATE(2026,12,1),36,0)+IF(C1590=DATE(2026,12,2),23,0)))</f>
        <v/>
      </c>
      <c r="K1590" s="13">
        <f>IF(C1590=Options!$B$9,B1590*12,0)</f>
        <v/>
      </c>
      <c r="L1590" s="13">
        <f>IF(C1590=Options!$B$9,B1590*Options!$Z$7,0)</f>
        <v/>
      </c>
      <c r="M1590" s="13" t="n">
        <v>0</v>
      </c>
      <c r="N1590" s="13">
        <f>SUM(E1590:M1590)</f>
        <v/>
      </c>
    </row>
    <row r="1591">
      <c r="A1591" s="5">
        <f>IF(AND(C1591&gt;=Options!$B$9,C1591&lt;=Options!$B$10),"Phoenix","")</f>
        <v/>
      </c>
      <c r="B1591" s="5">
        <f>IF(A1591="","",18)</f>
        <v/>
      </c>
      <c r="C1591" s="17" t="n">
        <v>46422</v>
      </c>
      <c r="D1591" s="5">
        <f>IF(A1591="","",IF(C1591=DATE(2026,11,29),"培训；注册午餐；早餐参数",IF(C1591=DATE(2026,11,30),"培训；注册午餐",IF(C1591=DATE(2026,12,1),"培训；注册午餐；机构晚餐",IF(C1591=Options!$B$9,"抵达；"&amp;IF(C1591=DATE(2026,11,28),"机构晚餐","无统一供餐"),IF(C1591=Options!$B$10,"返程；"&amp;IF(C1591=DATE(2026,12,2),"机构午餐","无统一供餐"),"差旅状态；无统一日程"))))))</f>
        <v/>
      </c>
      <c r="E1591" s="13">
        <f>IF(C1591=Options!$B$9,Options!$C$18,0)</f>
        <v/>
      </c>
      <c r="F1591" s="13">
        <f>IF(AND(A1591&lt;&gt;"",C1591&lt;Options!$B$10),B1591*Options!$X$7,0)</f>
        <v/>
      </c>
      <c r="G1591" s="13">
        <f>F1591*12%</f>
        <v/>
      </c>
      <c r="H1591" s="13">
        <f>IF(A1591="",0,B1591*(86*IF(OR(C1591=Options!$B$9,C1591=Options!$B$10),75%,100%)-IF(C1591=DATE(2026,11,29),23+IF(Options!$B$8="是",22,0),0)-IF(C1591=DATE(2026,11,30),23,0)-IF(C1591=DATE(2026,12,1),59,0)-IF(C1591=DATE(2026,11,28),36,0)-IF(C1591=DATE(2026,12,2),23,0)))</f>
        <v/>
      </c>
      <c r="I1591" s="13">
        <f>IF(AND(C1591&gt;=DATE(2026,11,29),C1591&lt;=DATE(2026,12,1)),B1591*60,0)</f>
        <v/>
      </c>
      <c r="J1591" s="13">
        <f>IF(A1591="",0,B1591*(IF(C1591=DATE(2026,11,28),36,0)+IF(C1591=DATE(2026,12,1),36,0)+IF(C1591=DATE(2026,12,2),23,0)))</f>
        <v/>
      </c>
      <c r="K1591" s="13">
        <f>IF(C1591=Options!$B$9,B1591*12,0)</f>
        <v/>
      </c>
      <c r="L1591" s="13">
        <f>IF(C1591=Options!$B$9,B1591*Options!$Z$7,0)</f>
        <v/>
      </c>
      <c r="M1591" s="13" t="n">
        <v>0</v>
      </c>
      <c r="N1591" s="13">
        <f>SUM(E1591:M1591)</f>
        <v/>
      </c>
    </row>
    <row r="1592">
      <c r="A1592" s="5">
        <f>IF(AND(C1592&gt;=Options!$B$9,C1592&lt;=Options!$B$10),"Phoenix","")</f>
        <v/>
      </c>
      <c r="B1592" s="5">
        <f>IF(A1592="","",18)</f>
        <v/>
      </c>
      <c r="C1592" s="17" t="n">
        <v>46423</v>
      </c>
      <c r="D1592" s="5">
        <f>IF(A1592="","",IF(C1592=DATE(2026,11,29),"培训；注册午餐；早餐参数",IF(C1592=DATE(2026,11,30),"培训；注册午餐",IF(C1592=DATE(2026,12,1),"培训；注册午餐；机构晚餐",IF(C1592=Options!$B$9,"抵达；"&amp;IF(C1592=DATE(2026,11,28),"机构晚餐","无统一供餐"),IF(C1592=Options!$B$10,"返程；"&amp;IF(C1592=DATE(2026,12,2),"机构午餐","无统一供餐"),"差旅状态；无统一日程"))))))</f>
        <v/>
      </c>
      <c r="E1592" s="13">
        <f>IF(C1592=Options!$B$9,Options!$C$18,0)</f>
        <v/>
      </c>
      <c r="F1592" s="13">
        <f>IF(AND(A1592&lt;&gt;"",C1592&lt;Options!$B$10),B1592*Options!$X$7,0)</f>
        <v/>
      </c>
      <c r="G1592" s="13">
        <f>F1592*12%</f>
        <v/>
      </c>
      <c r="H1592" s="13">
        <f>IF(A1592="",0,B1592*(86*IF(OR(C1592=Options!$B$9,C1592=Options!$B$10),75%,100%)-IF(C1592=DATE(2026,11,29),23+IF(Options!$B$8="是",22,0),0)-IF(C1592=DATE(2026,11,30),23,0)-IF(C1592=DATE(2026,12,1),59,0)-IF(C1592=DATE(2026,11,28),36,0)-IF(C1592=DATE(2026,12,2),23,0)))</f>
        <v/>
      </c>
      <c r="I1592" s="13">
        <f>IF(AND(C1592&gt;=DATE(2026,11,29),C1592&lt;=DATE(2026,12,1)),B1592*60,0)</f>
        <v/>
      </c>
      <c r="J1592" s="13">
        <f>IF(A1592="",0,B1592*(IF(C1592=DATE(2026,11,28),36,0)+IF(C1592=DATE(2026,12,1),36,0)+IF(C1592=DATE(2026,12,2),23,0)))</f>
        <v/>
      </c>
      <c r="K1592" s="13">
        <f>IF(C1592=Options!$B$9,B1592*12,0)</f>
        <v/>
      </c>
      <c r="L1592" s="13">
        <f>IF(C1592=Options!$B$9,B1592*Options!$Z$7,0)</f>
        <v/>
      </c>
      <c r="M1592" s="13" t="n">
        <v>0</v>
      </c>
      <c r="N1592" s="13">
        <f>SUM(E1592:M1592)</f>
        <v/>
      </c>
    </row>
    <row r="1593">
      <c r="A1593" s="5">
        <f>IF(AND(C1593&gt;=Options!$B$9,C1593&lt;=Options!$B$10),"Phoenix","")</f>
        <v/>
      </c>
      <c r="B1593" s="5">
        <f>IF(A1593="","",18)</f>
        <v/>
      </c>
      <c r="C1593" s="17" t="n">
        <v>46424</v>
      </c>
      <c r="D1593" s="5">
        <f>IF(A1593="","",IF(C1593=DATE(2026,11,29),"培训；注册午餐；早餐参数",IF(C1593=DATE(2026,11,30),"培训；注册午餐",IF(C1593=DATE(2026,12,1),"培训；注册午餐；机构晚餐",IF(C1593=Options!$B$9,"抵达；"&amp;IF(C1593=DATE(2026,11,28),"机构晚餐","无统一供餐"),IF(C1593=Options!$B$10,"返程；"&amp;IF(C1593=DATE(2026,12,2),"机构午餐","无统一供餐"),"差旅状态；无统一日程"))))))</f>
        <v/>
      </c>
      <c r="E1593" s="13">
        <f>IF(C1593=Options!$B$9,Options!$C$18,0)</f>
        <v/>
      </c>
      <c r="F1593" s="13">
        <f>IF(AND(A1593&lt;&gt;"",C1593&lt;Options!$B$10),B1593*Options!$X$7,0)</f>
        <v/>
      </c>
      <c r="G1593" s="13">
        <f>F1593*12%</f>
        <v/>
      </c>
      <c r="H1593" s="13">
        <f>IF(A1593="",0,B1593*(86*IF(OR(C1593=Options!$B$9,C1593=Options!$B$10),75%,100%)-IF(C1593=DATE(2026,11,29),23+IF(Options!$B$8="是",22,0),0)-IF(C1593=DATE(2026,11,30),23,0)-IF(C1593=DATE(2026,12,1),59,0)-IF(C1593=DATE(2026,11,28),36,0)-IF(C1593=DATE(2026,12,2),23,0)))</f>
        <v/>
      </c>
      <c r="I1593" s="13">
        <f>IF(AND(C1593&gt;=DATE(2026,11,29),C1593&lt;=DATE(2026,12,1)),B1593*60,0)</f>
        <v/>
      </c>
      <c r="J1593" s="13">
        <f>IF(A1593="",0,B1593*(IF(C1593=DATE(2026,11,28),36,0)+IF(C1593=DATE(2026,12,1),36,0)+IF(C1593=DATE(2026,12,2),23,0)))</f>
        <v/>
      </c>
      <c r="K1593" s="13">
        <f>IF(C1593=Options!$B$9,B1593*12,0)</f>
        <v/>
      </c>
      <c r="L1593" s="13">
        <f>IF(C1593=Options!$B$9,B1593*Options!$Z$7,0)</f>
        <v/>
      </c>
      <c r="M1593" s="13" t="n">
        <v>0</v>
      </c>
      <c r="N1593" s="13">
        <f>SUM(E1593:M1593)</f>
        <v/>
      </c>
    </row>
    <row r="1594">
      <c r="A1594" s="5">
        <f>IF(AND(C1594&gt;=Options!$B$9,C1594&lt;=Options!$B$10),"Phoenix","")</f>
        <v/>
      </c>
      <c r="B1594" s="5">
        <f>IF(A1594="","",18)</f>
        <v/>
      </c>
      <c r="C1594" s="17" t="n">
        <v>46425</v>
      </c>
      <c r="D1594" s="5">
        <f>IF(A1594="","",IF(C1594=DATE(2026,11,29),"培训；注册午餐；早餐参数",IF(C1594=DATE(2026,11,30),"培训；注册午餐",IF(C1594=DATE(2026,12,1),"培训；注册午餐；机构晚餐",IF(C1594=Options!$B$9,"抵达；"&amp;IF(C1594=DATE(2026,11,28),"机构晚餐","无统一供餐"),IF(C1594=Options!$B$10,"返程；"&amp;IF(C1594=DATE(2026,12,2),"机构午餐","无统一供餐"),"差旅状态；无统一日程"))))))</f>
        <v/>
      </c>
      <c r="E1594" s="13">
        <f>IF(C1594=Options!$B$9,Options!$C$18,0)</f>
        <v/>
      </c>
      <c r="F1594" s="13">
        <f>IF(AND(A1594&lt;&gt;"",C1594&lt;Options!$B$10),B1594*Options!$X$7,0)</f>
        <v/>
      </c>
      <c r="G1594" s="13">
        <f>F1594*12%</f>
        <v/>
      </c>
      <c r="H1594" s="13">
        <f>IF(A1594="",0,B1594*(86*IF(OR(C1594=Options!$B$9,C1594=Options!$B$10),75%,100%)-IF(C1594=DATE(2026,11,29),23+IF(Options!$B$8="是",22,0),0)-IF(C1594=DATE(2026,11,30),23,0)-IF(C1594=DATE(2026,12,1),59,0)-IF(C1594=DATE(2026,11,28),36,0)-IF(C1594=DATE(2026,12,2),23,0)))</f>
        <v/>
      </c>
      <c r="I1594" s="13">
        <f>IF(AND(C1594&gt;=DATE(2026,11,29),C1594&lt;=DATE(2026,12,1)),B1594*60,0)</f>
        <v/>
      </c>
      <c r="J1594" s="13">
        <f>IF(A1594="",0,B1594*(IF(C1594=DATE(2026,11,28),36,0)+IF(C1594=DATE(2026,12,1),36,0)+IF(C1594=DATE(2026,12,2),23,0)))</f>
        <v/>
      </c>
      <c r="K1594" s="13">
        <f>IF(C1594=Options!$B$9,B1594*12,0)</f>
        <v/>
      </c>
      <c r="L1594" s="13">
        <f>IF(C1594=Options!$B$9,B1594*Options!$Z$7,0)</f>
        <v/>
      </c>
      <c r="M1594" s="13" t="n">
        <v>0</v>
      </c>
      <c r="N1594" s="13">
        <f>SUM(E1594:M1594)</f>
        <v/>
      </c>
    </row>
    <row r="1595">
      <c r="A1595" s="5">
        <f>IF(AND(C1595&gt;=Options!$B$9,C1595&lt;=Options!$B$10),"Phoenix","")</f>
        <v/>
      </c>
      <c r="B1595" s="5">
        <f>IF(A1595="","",18)</f>
        <v/>
      </c>
      <c r="C1595" s="17" t="n">
        <v>46426</v>
      </c>
      <c r="D1595" s="5">
        <f>IF(A1595="","",IF(C1595=DATE(2026,11,29),"培训；注册午餐；早餐参数",IF(C1595=DATE(2026,11,30),"培训；注册午餐",IF(C1595=DATE(2026,12,1),"培训；注册午餐；机构晚餐",IF(C1595=Options!$B$9,"抵达；"&amp;IF(C1595=DATE(2026,11,28),"机构晚餐","无统一供餐"),IF(C1595=Options!$B$10,"返程；"&amp;IF(C1595=DATE(2026,12,2),"机构午餐","无统一供餐"),"差旅状态；无统一日程"))))))</f>
        <v/>
      </c>
      <c r="E1595" s="13">
        <f>IF(C1595=Options!$B$9,Options!$C$18,0)</f>
        <v/>
      </c>
      <c r="F1595" s="13">
        <f>IF(AND(A1595&lt;&gt;"",C1595&lt;Options!$B$10),B1595*Options!$X$7,0)</f>
        <v/>
      </c>
      <c r="G1595" s="13">
        <f>F1595*12%</f>
        <v/>
      </c>
      <c r="H1595" s="13">
        <f>IF(A1595="",0,B1595*(86*IF(OR(C1595=Options!$B$9,C1595=Options!$B$10),75%,100%)-IF(C1595=DATE(2026,11,29),23+IF(Options!$B$8="是",22,0),0)-IF(C1595=DATE(2026,11,30),23,0)-IF(C1595=DATE(2026,12,1),59,0)-IF(C1595=DATE(2026,11,28),36,0)-IF(C1595=DATE(2026,12,2),23,0)))</f>
        <v/>
      </c>
      <c r="I1595" s="13">
        <f>IF(AND(C1595&gt;=DATE(2026,11,29),C1595&lt;=DATE(2026,12,1)),B1595*60,0)</f>
        <v/>
      </c>
      <c r="J1595" s="13">
        <f>IF(A1595="",0,B1595*(IF(C1595=DATE(2026,11,28),36,0)+IF(C1595=DATE(2026,12,1),36,0)+IF(C1595=DATE(2026,12,2),23,0)))</f>
        <v/>
      </c>
      <c r="K1595" s="13">
        <f>IF(C1595=Options!$B$9,B1595*12,0)</f>
        <v/>
      </c>
      <c r="L1595" s="13">
        <f>IF(C1595=Options!$B$9,B1595*Options!$Z$7,0)</f>
        <v/>
      </c>
      <c r="M1595" s="13" t="n">
        <v>0</v>
      </c>
      <c r="N1595" s="13">
        <f>SUM(E1595:M1595)</f>
        <v/>
      </c>
    </row>
    <row r="1596">
      <c r="A1596" s="5">
        <f>IF(AND(C1596&gt;=Options!$B$9,C1596&lt;=Options!$B$10),"Phoenix","")</f>
        <v/>
      </c>
      <c r="B1596" s="5">
        <f>IF(A1596="","",18)</f>
        <v/>
      </c>
      <c r="C1596" s="17" t="n">
        <v>46427</v>
      </c>
      <c r="D1596" s="5">
        <f>IF(A1596="","",IF(C1596=DATE(2026,11,29),"培训；注册午餐；早餐参数",IF(C1596=DATE(2026,11,30),"培训；注册午餐",IF(C1596=DATE(2026,12,1),"培训；注册午餐；机构晚餐",IF(C1596=Options!$B$9,"抵达；"&amp;IF(C1596=DATE(2026,11,28),"机构晚餐","无统一供餐"),IF(C1596=Options!$B$10,"返程；"&amp;IF(C1596=DATE(2026,12,2),"机构午餐","无统一供餐"),"差旅状态；无统一日程"))))))</f>
        <v/>
      </c>
      <c r="E1596" s="13">
        <f>IF(C1596=Options!$B$9,Options!$C$18,0)</f>
        <v/>
      </c>
      <c r="F1596" s="13">
        <f>IF(AND(A1596&lt;&gt;"",C1596&lt;Options!$B$10),B1596*Options!$X$7,0)</f>
        <v/>
      </c>
      <c r="G1596" s="13">
        <f>F1596*12%</f>
        <v/>
      </c>
      <c r="H1596" s="13">
        <f>IF(A1596="",0,B1596*(86*IF(OR(C1596=Options!$B$9,C1596=Options!$B$10),75%,100%)-IF(C1596=DATE(2026,11,29),23+IF(Options!$B$8="是",22,0),0)-IF(C1596=DATE(2026,11,30),23,0)-IF(C1596=DATE(2026,12,1),59,0)-IF(C1596=DATE(2026,11,28),36,0)-IF(C1596=DATE(2026,12,2),23,0)))</f>
        <v/>
      </c>
      <c r="I1596" s="13">
        <f>IF(AND(C1596&gt;=DATE(2026,11,29),C1596&lt;=DATE(2026,12,1)),B1596*60,0)</f>
        <v/>
      </c>
      <c r="J1596" s="13">
        <f>IF(A1596="",0,B1596*(IF(C1596=DATE(2026,11,28),36,0)+IF(C1596=DATE(2026,12,1),36,0)+IF(C1596=DATE(2026,12,2),23,0)))</f>
        <v/>
      </c>
      <c r="K1596" s="13">
        <f>IF(C1596=Options!$B$9,B1596*12,0)</f>
        <v/>
      </c>
      <c r="L1596" s="13">
        <f>IF(C1596=Options!$B$9,B1596*Options!$Z$7,0)</f>
        <v/>
      </c>
      <c r="M1596" s="13" t="n">
        <v>0</v>
      </c>
      <c r="N1596" s="13">
        <f>SUM(E1596:M1596)</f>
        <v/>
      </c>
    </row>
    <row r="1597">
      <c r="A1597" s="5">
        <f>IF(AND(C1597&gt;=Options!$B$9,C1597&lt;=Options!$B$10),"Phoenix","")</f>
        <v/>
      </c>
      <c r="B1597" s="5">
        <f>IF(A1597="","",18)</f>
        <v/>
      </c>
      <c r="C1597" s="17" t="n">
        <v>46428</v>
      </c>
      <c r="D1597" s="5">
        <f>IF(A1597="","",IF(C1597=DATE(2026,11,29),"培训；注册午餐；早餐参数",IF(C1597=DATE(2026,11,30),"培训；注册午餐",IF(C1597=DATE(2026,12,1),"培训；注册午餐；机构晚餐",IF(C1597=Options!$B$9,"抵达；"&amp;IF(C1597=DATE(2026,11,28),"机构晚餐","无统一供餐"),IF(C1597=Options!$B$10,"返程；"&amp;IF(C1597=DATE(2026,12,2),"机构午餐","无统一供餐"),"差旅状态；无统一日程"))))))</f>
        <v/>
      </c>
      <c r="E1597" s="13">
        <f>IF(C1597=Options!$B$9,Options!$C$18,0)</f>
        <v/>
      </c>
      <c r="F1597" s="13">
        <f>IF(AND(A1597&lt;&gt;"",C1597&lt;Options!$B$10),B1597*Options!$X$7,0)</f>
        <v/>
      </c>
      <c r="G1597" s="13">
        <f>F1597*12%</f>
        <v/>
      </c>
      <c r="H1597" s="13">
        <f>IF(A1597="",0,B1597*(86*IF(OR(C1597=Options!$B$9,C1597=Options!$B$10),75%,100%)-IF(C1597=DATE(2026,11,29),23+IF(Options!$B$8="是",22,0),0)-IF(C1597=DATE(2026,11,30),23,0)-IF(C1597=DATE(2026,12,1),59,0)-IF(C1597=DATE(2026,11,28),36,0)-IF(C1597=DATE(2026,12,2),23,0)))</f>
        <v/>
      </c>
      <c r="I1597" s="13">
        <f>IF(AND(C1597&gt;=DATE(2026,11,29),C1597&lt;=DATE(2026,12,1)),B1597*60,0)</f>
        <v/>
      </c>
      <c r="J1597" s="13">
        <f>IF(A1597="",0,B1597*(IF(C1597=DATE(2026,11,28),36,0)+IF(C1597=DATE(2026,12,1),36,0)+IF(C1597=DATE(2026,12,2),23,0)))</f>
        <v/>
      </c>
      <c r="K1597" s="13">
        <f>IF(C1597=Options!$B$9,B1597*12,0)</f>
        <v/>
      </c>
      <c r="L1597" s="13">
        <f>IF(C1597=Options!$B$9,B1597*Options!$Z$7,0)</f>
        <v/>
      </c>
      <c r="M1597" s="13" t="n">
        <v>0</v>
      </c>
      <c r="N1597" s="13">
        <f>SUM(E1597:M1597)</f>
        <v/>
      </c>
    </row>
    <row r="1598">
      <c r="A1598" s="5">
        <f>IF(AND(C1598&gt;=Options!$B$9,C1598&lt;=Options!$B$10),"Phoenix","")</f>
        <v/>
      </c>
      <c r="B1598" s="5">
        <f>IF(A1598="","",18)</f>
        <v/>
      </c>
      <c r="C1598" s="17" t="n">
        <v>46429</v>
      </c>
      <c r="D1598" s="5">
        <f>IF(A1598="","",IF(C1598=DATE(2026,11,29),"培训；注册午餐；早餐参数",IF(C1598=DATE(2026,11,30),"培训；注册午餐",IF(C1598=DATE(2026,12,1),"培训；注册午餐；机构晚餐",IF(C1598=Options!$B$9,"抵达；"&amp;IF(C1598=DATE(2026,11,28),"机构晚餐","无统一供餐"),IF(C1598=Options!$B$10,"返程；"&amp;IF(C1598=DATE(2026,12,2),"机构午餐","无统一供餐"),"差旅状态；无统一日程"))))))</f>
        <v/>
      </c>
      <c r="E1598" s="13">
        <f>IF(C1598=Options!$B$9,Options!$C$18,0)</f>
        <v/>
      </c>
      <c r="F1598" s="13">
        <f>IF(AND(A1598&lt;&gt;"",C1598&lt;Options!$B$10),B1598*Options!$X$7,0)</f>
        <v/>
      </c>
      <c r="G1598" s="13">
        <f>F1598*12%</f>
        <v/>
      </c>
      <c r="H1598" s="13">
        <f>IF(A1598="",0,B1598*(86*IF(OR(C1598=Options!$B$9,C1598=Options!$B$10),75%,100%)-IF(C1598=DATE(2026,11,29),23+IF(Options!$B$8="是",22,0),0)-IF(C1598=DATE(2026,11,30),23,0)-IF(C1598=DATE(2026,12,1),59,0)-IF(C1598=DATE(2026,11,28),36,0)-IF(C1598=DATE(2026,12,2),23,0)))</f>
        <v/>
      </c>
      <c r="I1598" s="13">
        <f>IF(AND(C1598&gt;=DATE(2026,11,29),C1598&lt;=DATE(2026,12,1)),B1598*60,0)</f>
        <v/>
      </c>
      <c r="J1598" s="13">
        <f>IF(A1598="",0,B1598*(IF(C1598=DATE(2026,11,28),36,0)+IF(C1598=DATE(2026,12,1),36,0)+IF(C1598=DATE(2026,12,2),23,0)))</f>
        <v/>
      </c>
      <c r="K1598" s="13">
        <f>IF(C1598=Options!$B$9,B1598*12,0)</f>
        <v/>
      </c>
      <c r="L1598" s="13">
        <f>IF(C1598=Options!$B$9,B1598*Options!$Z$7,0)</f>
        <v/>
      </c>
      <c r="M1598" s="13" t="n">
        <v>0</v>
      </c>
      <c r="N1598" s="13">
        <f>SUM(E1598:M1598)</f>
        <v/>
      </c>
    </row>
    <row r="1599">
      <c r="A1599" s="5">
        <f>IF(AND(C1599&gt;=Options!$B$9,C1599&lt;=Options!$B$10),"Phoenix","")</f>
        <v/>
      </c>
      <c r="B1599" s="5">
        <f>IF(A1599="","",18)</f>
        <v/>
      </c>
      <c r="C1599" s="17" t="n">
        <v>46430</v>
      </c>
      <c r="D1599" s="5">
        <f>IF(A1599="","",IF(C1599=DATE(2026,11,29),"培训；注册午餐；早餐参数",IF(C1599=DATE(2026,11,30),"培训；注册午餐",IF(C1599=DATE(2026,12,1),"培训；注册午餐；机构晚餐",IF(C1599=Options!$B$9,"抵达；"&amp;IF(C1599=DATE(2026,11,28),"机构晚餐","无统一供餐"),IF(C1599=Options!$B$10,"返程；"&amp;IF(C1599=DATE(2026,12,2),"机构午餐","无统一供餐"),"差旅状态；无统一日程"))))))</f>
        <v/>
      </c>
      <c r="E1599" s="13">
        <f>IF(C1599=Options!$B$9,Options!$C$18,0)</f>
        <v/>
      </c>
      <c r="F1599" s="13">
        <f>IF(AND(A1599&lt;&gt;"",C1599&lt;Options!$B$10),B1599*Options!$X$7,0)</f>
        <v/>
      </c>
      <c r="G1599" s="13">
        <f>F1599*12%</f>
        <v/>
      </c>
      <c r="H1599" s="13">
        <f>IF(A1599="",0,B1599*(86*IF(OR(C1599=Options!$B$9,C1599=Options!$B$10),75%,100%)-IF(C1599=DATE(2026,11,29),23+IF(Options!$B$8="是",22,0),0)-IF(C1599=DATE(2026,11,30),23,0)-IF(C1599=DATE(2026,12,1),59,0)-IF(C1599=DATE(2026,11,28),36,0)-IF(C1599=DATE(2026,12,2),23,0)))</f>
        <v/>
      </c>
      <c r="I1599" s="13">
        <f>IF(AND(C1599&gt;=DATE(2026,11,29),C1599&lt;=DATE(2026,12,1)),B1599*60,0)</f>
        <v/>
      </c>
      <c r="J1599" s="13">
        <f>IF(A1599="",0,B1599*(IF(C1599=DATE(2026,11,28),36,0)+IF(C1599=DATE(2026,12,1),36,0)+IF(C1599=DATE(2026,12,2),23,0)))</f>
        <v/>
      </c>
      <c r="K1599" s="13">
        <f>IF(C1599=Options!$B$9,B1599*12,0)</f>
        <v/>
      </c>
      <c r="L1599" s="13">
        <f>IF(C1599=Options!$B$9,B1599*Options!$Z$7,0)</f>
        <v/>
      </c>
      <c r="M1599" s="13" t="n">
        <v>0</v>
      </c>
      <c r="N1599" s="13">
        <f>SUM(E1599:M1599)</f>
        <v/>
      </c>
    </row>
    <row r="1600">
      <c r="A1600" s="5">
        <f>IF(AND(C1600&gt;=Options!$B$9,C1600&lt;=Options!$B$10),"Phoenix","")</f>
        <v/>
      </c>
      <c r="B1600" s="5">
        <f>IF(A1600="","",18)</f>
        <v/>
      </c>
      <c r="C1600" s="17" t="n">
        <v>46431</v>
      </c>
      <c r="D1600" s="5">
        <f>IF(A1600="","",IF(C1600=DATE(2026,11,29),"培训；注册午餐；早餐参数",IF(C1600=DATE(2026,11,30),"培训；注册午餐",IF(C1600=DATE(2026,12,1),"培训；注册午餐；机构晚餐",IF(C1600=Options!$B$9,"抵达；"&amp;IF(C1600=DATE(2026,11,28),"机构晚餐","无统一供餐"),IF(C1600=Options!$B$10,"返程；"&amp;IF(C1600=DATE(2026,12,2),"机构午餐","无统一供餐"),"差旅状态；无统一日程"))))))</f>
        <v/>
      </c>
      <c r="E1600" s="13">
        <f>IF(C1600=Options!$B$9,Options!$C$18,0)</f>
        <v/>
      </c>
      <c r="F1600" s="13">
        <f>IF(AND(A1600&lt;&gt;"",C1600&lt;Options!$B$10),B1600*Options!$X$7,0)</f>
        <v/>
      </c>
      <c r="G1600" s="13">
        <f>F1600*12%</f>
        <v/>
      </c>
      <c r="H1600" s="13">
        <f>IF(A1600="",0,B1600*(86*IF(OR(C1600=Options!$B$9,C1600=Options!$B$10),75%,100%)-IF(C1600=DATE(2026,11,29),23+IF(Options!$B$8="是",22,0),0)-IF(C1600=DATE(2026,11,30),23,0)-IF(C1600=DATE(2026,12,1),59,0)-IF(C1600=DATE(2026,11,28),36,0)-IF(C1600=DATE(2026,12,2),23,0)))</f>
        <v/>
      </c>
      <c r="I1600" s="13">
        <f>IF(AND(C1600&gt;=DATE(2026,11,29),C1600&lt;=DATE(2026,12,1)),B1600*60,0)</f>
        <v/>
      </c>
      <c r="J1600" s="13">
        <f>IF(A1600="",0,B1600*(IF(C1600=DATE(2026,11,28),36,0)+IF(C1600=DATE(2026,12,1),36,0)+IF(C1600=DATE(2026,12,2),23,0)))</f>
        <v/>
      </c>
      <c r="K1600" s="13">
        <f>IF(C1600=Options!$B$9,B1600*12,0)</f>
        <v/>
      </c>
      <c r="L1600" s="13">
        <f>IF(C1600=Options!$B$9,B1600*Options!$Z$7,0)</f>
        <v/>
      </c>
      <c r="M1600" s="13" t="n">
        <v>0</v>
      </c>
      <c r="N1600" s="13">
        <f>SUM(E1600:M1600)</f>
        <v/>
      </c>
    </row>
    <row r="1601">
      <c r="A1601" s="5">
        <f>IF(AND(C1601&gt;=Options!$B$9,C1601&lt;=Options!$B$10),"Phoenix","")</f>
        <v/>
      </c>
      <c r="B1601" s="5">
        <f>IF(A1601="","",18)</f>
        <v/>
      </c>
      <c r="C1601" s="17" t="n">
        <v>46432</v>
      </c>
      <c r="D1601" s="5">
        <f>IF(A1601="","",IF(C1601=DATE(2026,11,29),"培训；注册午餐；早餐参数",IF(C1601=DATE(2026,11,30),"培训；注册午餐",IF(C1601=DATE(2026,12,1),"培训；注册午餐；机构晚餐",IF(C1601=Options!$B$9,"抵达；"&amp;IF(C1601=DATE(2026,11,28),"机构晚餐","无统一供餐"),IF(C1601=Options!$B$10,"返程；"&amp;IF(C1601=DATE(2026,12,2),"机构午餐","无统一供餐"),"差旅状态；无统一日程"))))))</f>
        <v/>
      </c>
      <c r="E1601" s="13">
        <f>IF(C1601=Options!$B$9,Options!$C$18,0)</f>
        <v/>
      </c>
      <c r="F1601" s="13">
        <f>IF(AND(A1601&lt;&gt;"",C1601&lt;Options!$B$10),B1601*Options!$X$7,0)</f>
        <v/>
      </c>
      <c r="G1601" s="13">
        <f>F1601*12%</f>
        <v/>
      </c>
      <c r="H1601" s="13">
        <f>IF(A1601="",0,B1601*(86*IF(OR(C1601=Options!$B$9,C1601=Options!$B$10),75%,100%)-IF(C1601=DATE(2026,11,29),23+IF(Options!$B$8="是",22,0),0)-IF(C1601=DATE(2026,11,30),23,0)-IF(C1601=DATE(2026,12,1),59,0)-IF(C1601=DATE(2026,11,28),36,0)-IF(C1601=DATE(2026,12,2),23,0)))</f>
        <v/>
      </c>
      <c r="I1601" s="13">
        <f>IF(AND(C1601&gt;=DATE(2026,11,29),C1601&lt;=DATE(2026,12,1)),B1601*60,0)</f>
        <v/>
      </c>
      <c r="J1601" s="13">
        <f>IF(A1601="",0,B1601*(IF(C1601=DATE(2026,11,28),36,0)+IF(C1601=DATE(2026,12,1),36,0)+IF(C1601=DATE(2026,12,2),23,0)))</f>
        <v/>
      </c>
      <c r="K1601" s="13">
        <f>IF(C1601=Options!$B$9,B1601*12,0)</f>
        <v/>
      </c>
      <c r="L1601" s="13">
        <f>IF(C1601=Options!$B$9,B1601*Options!$Z$7,0)</f>
        <v/>
      </c>
      <c r="M1601" s="13" t="n">
        <v>0</v>
      </c>
      <c r="N1601" s="13">
        <f>SUM(E1601:M1601)</f>
        <v/>
      </c>
    </row>
    <row r="1602">
      <c r="A1602" s="5">
        <f>IF(AND(C1602&gt;=Options!$B$9,C1602&lt;=Options!$B$10),"Phoenix","")</f>
        <v/>
      </c>
      <c r="B1602" s="5">
        <f>IF(A1602="","",18)</f>
        <v/>
      </c>
      <c r="C1602" s="17" t="n">
        <v>46433</v>
      </c>
      <c r="D1602" s="5">
        <f>IF(A1602="","",IF(C1602=DATE(2026,11,29),"培训；注册午餐；早餐参数",IF(C1602=DATE(2026,11,30),"培训；注册午餐",IF(C1602=DATE(2026,12,1),"培训；注册午餐；机构晚餐",IF(C1602=Options!$B$9,"抵达；"&amp;IF(C1602=DATE(2026,11,28),"机构晚餐","无统一供餐"),IF(C1602=Options!$B$10,"返程；"&amp;IF(C1602=DATE(2026,12,2),"机构午餐","无统一供餐"),"差旅状态；无统一日程"))))))</f>
        <v/>
      </c>
      <c r="E1602" s="13">
        <f>IF(C1602=Options!$B$9,Options!$C$18,0)</f>
        <v/>
      </c>
      <c r="F1602" s="13">
        <f>IF(AND(A1602&lt;&gt;"",C1602&lt;Options!$B$10),B1602*Options!$X$7,0)</f>
        <v/>
      </c>
      <c r="G1602" s="13">
        <f>F1602*12%</f>
        <v/>
      </c>
      <c r="H1602" s="13">
        <f>IF(A1602="",0,B1602*(86*IF(OR(C1602=Options!$B$9,C1602=Options!$B$10),75%,100%)-IF(C1602=DATE(2026,11,29),23+IF(Options!$B$8="是",22,0),0)-IF(C1602=DATE(2026,11,30),23,0)-IF(C1602=DATE(2026,12,1),59,0)-IF(C1602=DATE(2026,11,28),36,0)-IF(C1602=DATE(2026,12,2),23,0)))</f>
        <v/>
      </c>
      <c r="I1602" s="13">
        <f>IF(AND(C1602&gt;=DATE(2026,11,29),C1602&lt;=DATE(2026,12,1)),B1602*60,0)</f>
        <v/>
      </c>
      <c r="J1602" s="13">
        <f>IF(A1602="",0,B1602*(IF(C1602=DATE(2026,11,28),36,0)+IF(C1602=DATE(2026,12,1),36,0)+IF(C1602=DATE(2026,12,2),23,0)))</f>
        <v/>
      </c>
      <c r="K1602" s="13">
        <f>IF(C1602=Options!$B$9,B1602*12,0)</f>
        <v/>
      </c>
      <c r="L1602" s="13">
        <f>IF(C1602=Options!$B$9,B1602*Options!$Z$7,0)</f>
        <v/>
      </c>
      <c r="M1602" s="13" t="n">
        <v>0</v>
      </c>
      <c r="N1602" s="13">
        <f>SUM(E1602:M1602)</f>
        <v/>
      </c>
    </row>
    <row r="1603">
      <c r="A1603" s="5">
        <f>IF(AND(C1603&gt;=Options!$B$9,C1603&lt;=Options!$B$10),"Phoenix","")</f>
        <v/>
      </c>
      <c r="B1603" s="5">
        <f>IF(A1603="","",18)</f>
        <v/>
      </c>
      <c r="C1603" s="17" t="n">
        <v>46434</v>
      </c>
      <c r="D1603" s="5">
        <f>IF(A1603="","",IF(C1603=DATE(2026,11,29),"培训；注册午餐；早餐参数",IF(C1603=DATE(2026,11,30),"培训；注册午餐",IF(C1603=DATE(2026,12,1),"培训；注册午餐；机构晚餐",IF(C1603=Options!$B$9,"抵达；"&amp;IF(C1603=DATE(2026,11,28),"机构晚餐","无统一供餐"),IF(C1603=Options!$B$10,"返程；"&amp;IF(C1603=DATE(2026,12,2),"机构午餐","无统一供餐"),"差旅状态；无统一日程"))))))</f>
        <v/>
      </c>
      <c r="E1603" s="13">
        <f>IF(C1603=Options!$B$9,Options!$C$18,0)</f>
        <v/>
      </c>
      <c r="F1603" s="13">
        <f>IF(AND(A1603&lt;&gt;"",C1603&lt;Options!$B$10),B1603*Options!$X$7,0)</f>
        <v/>
      </c>
      <c r="G1603" s="13">
        <f>F1603*12%</f>
        <v/>
      </c>
      <c r="H1603" s="13">
        <f>IF(A1603="",0,B1603*(86*IF(OR(C1603=Options!$B$9,C1603=Options!$B$10),75%,100%)-IF(C1603=DATE(2026,11,29),23+IF(Options!$B$8="是",22,0),0)-IF(C1603=DATE(2026,11,30),23,0)-IF(C1603=DATE(2026,12,1),59,0)-IF(C1603=DATE(2026,11,28),36,0)-IF(C1603=DATE(2026,12,2),23,0)))</f>
        <v/>
      </c>
      <c r="I1603" s="13">
        <f>IF(AND(C1603&gt;=DATE(2026,11,29),C1603&lt;=DATE(2026,12,1)),B1603*60,0)</f>
        <v/>
      </c>
      <c r="J1603" s="13">
        <f>IF(A1603="",0,B1603*(IF(C1603=DATE(2026,11,28),36,0)+IF(C1603=DATE(2026,12,1),36,0)+IF(C1603=DATE(2026,12,2),23,0)))</f>
        <v/>
      </c>
      <c r="K1603" s="13">
        <f>IF(C1603=Options!$B$9,B1603*12,0)</f>
        <v/>
      </c>
      <c r="L1603" s="13">
        <f>IF(C1603=Options!$B$9,B1603*Options!$Z$7,0)</f>
        <v/>
      </c>
      <c r="M1603" s="13" t="n">
        <v>0</v>
      </c>
      <c r="N1603" s="13">
        <f>SUM(E1603:M1603)</f>
        <v/>
      </c>
    </row>
    <row r="1604">
      <c r="A1604" s="5">
        <f>IF(AND(C1604&gt;=Options!$B$9,C1604&lt;=Options!$B$10),"Phoenix","")</f>
        <v/>
      </c>
      <c r="B1604" s="5">
        <f>IF(A1604="","",18)</f>
        <v/>
      </c>
      <c r="C1604" s="17" t="n">
        <v>46435</v>
      </c>
      <c r="D1604" s="5">
        <f>IF(A1604="","",IF(C1604=DATE(2026,11,29),"培训；注册午餐；早餐参数",IF(C1604=DATE(2026,11,30),"培训；注册午餐",IF(C1604=DATE(2026,12,1),"培训；注册午餐；机构晚餐",IF(C1604=Options!$B$9,"抵达；"&amp;IF(C1604=DATE(2026,11,28),"机构晚餐","无统一供餐"),IF(C1604=Options!$B$10,"返程；"&amp;IF(C1604=DATE(2026,12,2),"机构午餐","无统一供餐"),"差旅状态；无统一日程"))))))</f>
        <v/>
      </c>
      <c r="E1604" s="13">
        <f>IF(C1604=Options!$B$9,Options!$C$18,0)</f>
        <v/>
      </c>
      <c r="F1604" s="13">
        <f>IF(AND(A1604&lt;&gt;"",C1604&lt;Options!$B$10),B1604*Options!$X$7,0)</f>
        <v/>
      </c>
      <c r="G1604" s="13">
        <f>F1604*12%</f>
        <v/>
      </c>
      <c r="H1604" s="13">
        <f>IF(A1604="",0,B1604*(86*IF(OR(C1604=Options!$B$9,C1604=Options!$B$10),75%,100%)-IF(C1604=DATE(2026,11,29),23+IF(Options!$B$8="是",22,0),0)-IF(C1604=DATE(2026,11,30),23,0)-IF(C1604=DATE(2026,12,1),59,0)-IF(C1604=DATE(2026,11,28),36,0)-IF(C1604=DATE(2026,12,2),23,0)))</f>
        <v/>
      </c>
      <c r="I1604" s="13">
        <f>IF(AND(C1604&gt;=DATE(2026,11,29),C1604&lt;=DATE(2026,12,1)),B1604*60,0)</f>
        <v/>
      </c>
      <c r="J1604" s="13">
        <f>IF(A1604="",0,B1604*(IF(C1604=DATE(2026,11,28),36,0)+IF(C1604=DATE(2026,12,1),36,0)+IF(C1604=DATE(2026,12,2),23,0)))</f>
        <v/>
      </c>
      <c r="K1604" s="13">
        <f>IF(C1604=Options!$B$9,B1604*12,0)</f>
        <v/>
      </c>
      <c r="L1604" s="13">
        <f>IF(C1604=Options!$B$9,B1604*Options!$Z$7,0)</f>
        <v/>
      </c>
      <c r="M1604" s="13" t="n">
        <v>0</v>
      </c>
      <c r="N1604" s="13">
        <f>SUM(E1604:M1604)</f>
        <v/>
      </c>
    </row>
    <row r="1605">
      <c r="A1605" s="5">
        <f>IF(AND(C1605&gt;=Options!$B$9,C1605&lt;=Options!$B$10),"Phoenix","")</f>
        <v/>
      </c>
      <c r="B1605" s="5">
        <f>IF(A1605="","",18)</f>
        <v/>
      </c>
      <c r="C1605" s="17" t="n">
        <v>46436</v>
      </c>
      <c r="D1605" s="5">
        <f>IF(A1605="","",IF(C1605=DATE(2026,11,29),"培训；注册午餐；早餐参数",IF(C1605=DATE(2026,11,30),"培训；注册午餐",IF(C1605=DATE(2026,12,1),"培训；注册午餐；机构晚餐",IF(C1605=Options!$B$9,"抵达；"&amp;IF(C1605=DATE(2026,11,28),"机构晚餐","无统一供餐"),IF(C1605=Options!$B$10,"返程；"&amp;IF(C1605=DATE(2026,12,2),"机构午餐","无统一供餐"),"差旅状态；无统一日程"))))))</f>
        <v/>
      </c>
      <c r="E1605" s="13">
        <f>IF(C1605=Options!$B$9,Options!$C$18,0)</f>
        <v/>
      </c>
      <c r="F1605" s="13">
        <f>IF(AND(A1605&lt;&gt;"",C1605&lt;Options!$B$10),B1605*Options!$X$7,0)</f>
        <v/>
      </c>
      <c r="G1605" s="13">
        <f>F1605*12%</f>
        <v/>
      </c>
      <c r="H1605" s="13">
        <f>IF(A1605="",0,B1605*(86*IF(OR(C1605=Options!$B$9,C1605=Options!$B$10),75%,100%)-IF(C1605=DATE(2026,11,29),23+IF(Options!$B$8="是",22,0),0)-IF(C1605=DATE(2026,11,30),23,0)-IF(C1605=DATE(2026,12,1),59,0)-IF(C1605=DATE(2026,11,28),36,0)-IF(C1605=DATE(2026,12,2),23,0)))</f>
        <v/>
      </c>
      <c r="I1605" s="13">
        <f>IF(AND(C1605&gt;=DATE(2026,11,29),C1605&lt;=DATE(2026,12,1)),B1605*60,0)</f>
        <v/>
      </c>
      <c r="J1605" s="13">
        <f>IF(A1605="",0,B1605*(IF(C1605=DATE(2026,11,28),36,0)+IF(C1605=DATE(2026,12,1),36,0)+IF(C1605=DATE(2026,12,2),23,0)))</f>
        <v/>
      </c>
      <c r="K1605" s="13">
        <f>IF(C1605=Options!$B$9,B1605*12,0)</f>
        <v/>
      </c>
      <c r="L1605" s="13">
        <f>IF(C1605=Options!$B$9,B1605*Options!$Z$7,0)</f>
        <v/>
      </c>
      <c r="M1605" s="13" t="n">
        <v>0</v>
      </c>
      <c r="N1605" s="13">
        <f>SUM(E1605:M1605)</f>
        <v/>
      </c>
    </row>
    <row r="1606">
      <c r="A1606" s="5">
        <f>IF(AND(C1606&gt;=Options!$B$9,C1606&lt;=Options!$B$10),"Phoenix","")</f>
        <v/>
      </c>
      <c r="B1606" s="5">
        <f>IF(A1606="","",18)</f>
        <v/>
      </c>
      <c r="C1606" s="17" t="n">
        <v>46437</v>
      </c>
      <c r="D1606" s="5">
        <f>IF(A1606="","",IF(C1606=DATE(2026,11,29),"培训；注册午餐；早餐参数",IF(C1606=DATE(2026,11,30),"培训；注册午餐",IF(C1606=DATE(2026,12,1),"培训；注册午餐；机构晚餐",IF(C1606=Options!$B$9,"抵达；"&amp;IF(C1606=DATE(2026,11,28),"机构晚餐","无统一供餐"),IF(C1606=Options!$B$10,"返程；"&amp;IF(C1606=DATE(2026,12,2),"机构午餐","无统一供餐"),"差旅状态；无统一日程"))))))</f>
        <v/>
      </c>
      <c r="E1606" s="13">
        <f>IF(C1606=Options!$B$9,Options!$C$18,0)</f>
        <v/>
      </c>
      <c r="F1606" s="13">
        <f>IF(AND(A1606&lt;&gt;"",C1606&lt;Options!$B$10),B1606*Options!$X$7,0)</f>
        <v/>
      </c>
      <c r="G1606" s="13">
        <f>F1606*12%</f>
        <v/>
      </c>
      <c r="H1606" s="13">
        <f>IF(A1606="",0,B1606*(86*IF(OR(C1606=Options!$B$9,C1606=Options!$B$10),75%,100%)-IF(C1606=DATE(2026,11,29),23+IF(Options!$B$8="是",22,0),0)-IF(C1606=DATE(2026,11,30),23,0)-IF(C1606=DATE(2026,12,1),59,0)-IF(C1606=DATE(2026,11,28),36,0)-IF(C1606=DATE(2026,12,2),23,0)))</f>
        <v/>
      </c>
      <c r="I1606" s="13">
        <f>IF(AND(C1606&gt;=DATE(2026,11,29),C1606&lt;=DATE(2026,12,1)),B1606*60,0)</f>
        <v/>
      </c>
      <c r="J1606" s="13">
        <f>IF(A1606="",0,B1606*(IF(C1606=DATE(2026,11,28),36,0)+IF(C1606=DATE(2026,12,1),36,0)+IF(C1606=DATE(2026,12,2),23,0)))</f>
        <v/>
      </c>
      <c r="K1606" s="13">
        <f>IF(C1606=Options!$B$9,B1606*12,0)</f>
        <v/>
      </c>
      <c r="L1606" s="13">
        <f>IF(C1606=Options!$B$9,B1606*Options!$Z$7,0)</f>
        <v/>
      </c>
      <c r="M1606" s="13" t="n">
        <v>0</v>
      </c>
      <c r="N1606" s="13">
        <f>SUM(E1606:M1606)</f>
        <v/>
      </c>
    </row>
    <row r="1607">
      <c r="A1607" s="5">
        <f>IF(AND(C1607&gt;=Options!$B$9,C1607&lt;=Options!$B$10),"Phoenix","")</f>
        <v/>
      </c>
      <c r="B1607" s="5">
        <f>IF(A1607="","",18)</f>
        <v/>
      </c>
      <c r="C1607" s="17" t="n">
        <v>46438</v>
      </c>
      <c r="D1607" s="5">
        <f>IF(A1607="","",IF(C1607=DATE(2026,11,29),"培训；注册午餐；早餐参数",IF(C1607=DATE(2026,11,30),"培训；注册午餐",IF(C1607=DATE(2026,12,1),"培训；注册午餐；机构晚餐",IF(C1607=Options!$B$9,"抵达；"&amp;IF(C1607=DATE(2026,11,28),"机构晚餐","无统一供餐"),IF(C1607=Options!$B$10,"返程；"&amp;IF(C1607=DATE(2026,12,2),"机构午餐","无统一供餐"),"差旅状态；无统一日程"))))))</f>
        <v/>
      </c>
      <c r="E1607" s="13">
        <f>IF(C1607=Options!$B$9,Options!$C$18,0)</f>
        <v/>
      </c>
      <c r="F1607" s="13">
        <f>IF(AND(A1607&lt;&gt;"",C1607&lt;Options!$B$10),B1607*Options!$X$7,0)</f>
        <v/>
      </c>
      <c r="G1607" s="13">
        <f>F1607*12%</f>
        <v/>
      </c>
      <c r="H1607" s="13">
        <f>IF(A1607="",0,B1607*(86*IF(OR(C1607=Options!$B$9,C1607=Options!$B$10),75%,100%)-IF(C1607=DATE(2026,11,29),23+IF(Options!$B$8="是",22,0),0)-IF(C1607=DATE(2026,11,30),23,0)-IF(C1607=DATE(2026,12,1),59,0)-IF(C1607=DATE(2026,11,28),36,0)-IF(C1607=DATE(2026,12,2),23,0)))</f>
        <v/>
      </c>
      <c r="I1607" s="13">
        <f>IF(AND(C1607&gt;=DATE(2026,11,29),C1607&lt;=DATE(2026,12,1)),B1607*60,0)</f>
        <v/>
      </c>
      <c r="J1607" s="13">
        <f>IF(A1607="",0,B1607*(IF(C1607=DATE(2026,11,28),36,0)+IF(C1607=DATE(2026,12,1),36,0)+IF(C1607=DATE(2026,12,2),23,0)))</f>
        <v/>
      </c>
      <c r="K1607" s="13">
        <f>IF(C1607=Options!$B$9,B1607*12,0)</f>
        <v/>
      </c>
      <c r="L1607" s="13">
        <f>IF(C1607=Options!$B$9,B1607*Options!$Z$7,0)</f>
        <v/>
      </c>
      <c r="M1607" s="13" t="n">
        <v>0</v>
      </c>
      <c r="N1607" s="13">
        <f>SUM(E1607:M1607)</f>
        <v/>
      </c>
    </row>
    <row r="1608">
      <c r="A1608" s="5">
        <f>IF(AND(C1608&gt;=Options!$B$9,C1608&lt;=Options!$B$10),"Phoenix","")</f>
        <v/>
      </c>
      <c r="B1608" s="5">
        <f>IF(A1608="","",18)</f>
        <v/>
      </c>
      <c r="C1608" s="17" t="n">
        <v>46439</v>
      </c>
      <c r="D1608" s="5">
        <f>IF(A1608="","",IF(C1608=DATE(2026,11,29),"培训；注册午餐；早餐参数",IF(C1608=DATE(2026,11,30),"培训；注册午餐",IF(C1608=DATE(2026,12,1),"培训；注册午餐；机构晚餐",IF(C1608=Options!$B$9,"抵达；"&amp;IF(C1608=DATE(2026,11,28),"机构晚餐","无统一供餐"),IF(C1608=Options!$B$10,"返程；"&amp;IF(C1608=DATE(2026,12,2),"机构午餐","无统一供餐"),"差旅状态；无统一日程"))))))</f>
        <v/>
      </c>
      <c r="E1608" s="13">
        <f>IF(C1608=Options!$B$9,Options!$C$18,0)</f>
        <v/>
      </c>
      <c r="F1608" s="13">
        <f>IF(AND(A1608&lt;&gt;"",C1608&lt;Options!$B$10),B1608*Options!$X$7,0)</f>
        <v/>
      </c>
      <c r="G1608" s="13">
        <f>F1608*12%</f>
        <v/>
      </c>
      <c r="H1608" s="13">
        <f>IF(A1608="",0,B1608*(86*IF(OR(C1608=Options!$B$9,C1608=Options!$B$10),75%,100%)-IF(C1608=DATE(2026,11,29),23+IF(Options!$B$8="是",22,0),0)-IF(C1608=DATE(2026,11,30),23,0)-IF(C1608=DATE(2026,12,1),59,0)-IF(C1608=DATE(2026,11,28),36,0)-IF(C1608=DATE(2026,12,2),23,0)))</f>
        <v/>
      </c>
      <c r="I1608" s="13">
        <f>IF(AND(C1608&gt;=DATE(2026,11,29),C1608&lt;=DATE(2026,12,1)),B1608*60,0)</f>
        <v/>
      </c>
      <c r="J1608" s="13">
        <f>IF(A1608="",0,B1608*(IF(C1608=DATE(2026,11,28),36,0)+IF(C1608=DATE(2026,12,1),36,0)+IF(C1608=DATE(2026,12,2),23,0)))</f>
        <v/>
      </c>
      <c r="K1608" s="13">
        <f>IF(C1608=Options!$B$9,B1608*12,0)</f>
        <v/>
      </c>
      <c r="L1608" s="13">
        <f>IF(C1608=Options!$B$9,B1608*Options!$Z$7,0)</f>
        <v/>
      </c>
      <c r="M1608" s="13" t="n">
        <v>0</v>
      </c>
      <c r="N1608" s="13">
        <f>SUM(E1608:M1608)</f>
        <v/>
      </c>
    </row>
    <row r="1609">
      <c r="A1609" s="5">
        <f>IF(AND(C1609&gt;=Options!$B$9,C1609&lt;=Options!$B$10),"Phoenix","")</f>
        <v/>
      </c>
      <c r="B1609" s="5">
        <f>IF(A1609="","",18)</f>
        <v/>
      </c>
      <c r="C1609" s="17" t="n">
        <v>46440</v>
      </c>
      <c r="D1609" s="5">
        <f>IF(A1609="","",IF(C1609=DATE(2026,11,29),"培训；注册午餐；早餐参数",IF(C1609=DATE(2026,11,30),"培训；注册午餐",IF(C1609=DATE(2026,12,1),"培训；注册午餐；机构晚餐",IF(C1609=Options!$B$9,"抵达；"&amp;IF(C1609=DATE(2026,11,28),"机构晚餐","无统一供餐"),IF(C1609=Options!$B$10,"返程；"&amp;IF(C1609=DATE(2026,12,2),"机构午餐","无统一供餐"),"差旅状态；无统一日程"))))))</f>
        <v/>
      </c>
      <c r="E1609" s="13">
        <f>IF(C1609=Options!$B$9,Options!$C$18,0)</f>
        <v/>
      </c>
      <c r="F1609" s="13">
        <f>IF(AND(A1609&lt;&gt;"",C1609&lt;Options!$B$10),B1609*Options!$X$7,0)</f>
        <v/>
      </c>
      <c r="G1609" s="13">
        <f>F1609*12%</f>
        <v/>
      </c>
      <c r="H1609" s="13">
        <f>IF(A1609="",0,B1609*(86*IF(OR(C1609=Options!$B$9,C1609=Options!$B$10),75%,100%)-IF(C1609=DATE(2026,11,29),23+IF(Options!$B$8="是",22,0),0)-IF(C1609=DATE(2026,11,30),23,0)-IF(C1609=DATE(2026,12,1),59,0)-IF(C1609=DATE(2026,11,28),36,0)-IF(C1609=DATE(2026,12,2),23,0)))</f>
        <v/>
      </c>
      <c r="I1609" s="13">
        <f>IF(AND(C1609&gt;=DATE(2026,11,29),C1609&lt;=DATE(2026,12,1)),B1609*60,0)</f>
        <v/>
      </c>
      <c r="J1609" s="13">
        <f>IF(A1609="",0,B1609*(IF(C1609=DATE(2026,11,28),36,0)+IF(C1609=DATE(2026,12,1),36,0)+IF(C1609=DATE(2026,12,2),23,0)))</f>
        <v/>
      </c>
      <c r="K1609" s="13">
        <f>IF(C1609=Options!$B$9,B1609*12,0)</f>
        <v/>
      </c>
      <c r="L1609" s="13">
        <f>IF(C1609=Options!$B$9,B1609*Options!$Z$7,0)</f>
        <v/>
      </c>
      <c r="M1609" s="13" t="n">
        <v>0</v>
      </c>
      <c r="N1609" s="13">
        <f>SUM(E1609:M1609)</f>
        <v/>
      </c>
    </row>
    <row r="1610">
      <c r="A1610" s="5">
        <f>IF(AND(C1610&gt;=Options!$B$9,C1610&lt;=Options!$B$10),"Phoenix","")</f>
        <v/>
      </c>
      <c r="B1610" s="5">
        <f>IF(A1610="","",18)</f>
        <v/>
      </c>
      <c r="C1610" s="17" t="n">
        <v>46441</v>
      </c>
      <c r="D1610" s="5">
        <f>IF(A1610="","",IF(C1610=DATE(2026,11,29),"培训；注册午餐；早餐参数",IF(C1610=DATE(2026,11,30),"培训；注册午餐",IF(C1610=DATE(2026,12,1),"培训；注册午餐；机构晚餐",IF(C1610=Options!$B$9,"抵达；"&amp;IF(C1610=DATE(2026,11,28),"机构晚餐","无统一供餐"),IF(C1610=Options!$B$10,"返程；"&amp;IF(C1610=DATE(2026,12,2),"机构午餐","无统一供餐"),"差旅状态；无统一日程"))))))</f>
        <v/>
      </c>
      <c r="E1610" s="13">
        <f>IF(C1610=Options!$B$9,Options!$C$18,0)</f>
        <v/>
      </c>
      <c r="F1610" s="13">
        <f>IF(AND(A1610&lt;&gt;"",C1610&lt;Options!$B$10),B1610*Options!$X$7,0)</f>
        <v/>
      </c>
      <c r="G1610" s="13">
        <f>F1610*12%</f>
        <v/>
      </c>
      <c r="H1610" s="13">
        <f>IF(A1610="",0,B1610*(86*IF(OR(C1610=Options!$B$9,C1610=Options!$B$10),75%,100%)-IF(C1610=DATE(2026,11,29),23+IF(Options!$B$8="是",22,0),0)-IF(C1610=DATE(2026,11,30),23,0)-IF(C1610=DATE(2026,12,1),59,0)-IF(C1610=DATE(2026,11,28),36,0)-IF(C1610=DATE(2026,12,2),23,0)))</f>
        <v/>
      </c>
      <c r="I1610" s="13">
        <f>IF(AND(C1610&gt;=DATE(2026,11,29),C1610&lt;=DATE(2026,12,1)),B1610*60,0)</f>
        <v/>
      </c>
      <c r="J1610" s="13">
        <f>IF(A1610="",0,B1610*(IF(C1610=DATE(2026,11,28),36,0)+IF(C1610=DATE(2026,12,1),36,0)+IF(C1610=DATE(2026,12,2),23,0)))</f>
        <v/>
      </c>
      <c r="K1610" s="13">
        <f>IF(C1610=Options!$B$9,B1610*12,0)</f>
        <v/>
      </c>
      <c r="L1610" s="13">
        <f>IF(C1610=Options!$B$9,B1610*Options!$Z$7,0)</f>
        <v/>
      </c>
      <c r="M1610" s="13" t="n">
        <v>0</v>
      </c>
      <c r="N1610" s="13">
        <f>SUM(E1610:M1610)</f>
        <v/>
      </c>
    </row>
    <row r="1611">
      <c r="A1611" s="5">
        <f>IF(AND(C1611&gt;=Options!$B$9,C1611&lt;=Options!$B$10),"Phoenix","")</f>
        <v/>
      </c>
      <c r="B1611" s="5">
        <f>IF(A1611="","",18)</f>
        <v/>
      </c>
      <c r="C1611" s="17" t="n">
        <v>46442</v>
      </c>
      <c r="D1611" s="5">
        <f>IF(A1611="","",IF(C1611=DATE(2026,11,29),"培训；注册午餐；早餐参数",IF(C1611=DATE(2026,11,30),"培训；注册午餐",IF(C1611=DATE(2026,12,1),"培训；注册午餐；机构晚餐",IF(C1611=Options!$B$9,"抵达；"&amp;IF(C1611=DATE(2026,11,28),"机构晚餐","无统一供餐"),IF(C1611=Options!$B$10,"返程；"&amp;IF(C1611=DATE(2026,12,2),"机构午餐","无统一供餐"),"差旅状态；无统一日程"))))))</f>
        <v/>
      </c>
      <c r="E1611" s="13">
        <f>IF(C1611=Options!$B$9,Options!$C$18,0)</f>
        <v/>
      </c>
      <c r="F1611" s="13">
        <f>IF(AND(A1611&lt;&gt;"",C1611&lt;Options!$B$10),B1611*Options!$X$7,0)</f>
        <v/>
      </c>
      <c r="G1611" s="13">
        <f>F1611*12%</f>
        <v/>
      </c>
      <c r="H1611" s="13">
        <f>IF(A1611="",0,B1611*(86*IF(OR(C1611=Options!$B$9,C1611=Options!$B$10),75%,100%)-IF(C1611=DATE(2026,11,29),23+IF(Options!$B$8="是",22,0),0)-IF(C1611=DATE(2026,11,30),23,0)-IF(C1611=DATE(2026,12,1),59,0)-IF(C1611=DATE(2026,11,28),36,0)-IF(C1611=DATE(2026,12,2),23,0)))</f>
        <v/>
      </c>
      <c r="I1611" s="13">
        <f>IF(AND(C1611&gt;=DATE(2026,11,29),C1611&lt;=DATE(2026,12,1)),B1611*60,0)</f>
        <v/>
      </c>
      <c r="J1611" s="13">
        <f>IF(A1611="",0,B1611*(IF(C1611=DATE(2026,11,28),36,0)+IF(C1611=DATE(2026,12,1),36,0)+IF(C1611=DATE(2026,12,2),23,0)))</f>
        <v/>
      </c>
      <c r="K1611" s="13">
        <f>IF(C1611=Options!$B$9,B1611*12,0)</f>
        <v/>
      </c>
      <c r="L1611" s="13">
        <f>IF(C1611=Options!$B$9,B1611*Options!$Z$7,0)</f>
        <v/>
      </c>
      <c r="M1611" s="13" t="n">
        <v>0</v>
      </c>
      <c r="N1611" s="13">
        <f>SUM(E1611:M1611)</f>
        <v/>
      </c>
    </row>
    <row r="1612">
      <c r="A1612" s="5">
        <f>IF(AND(C1612&gt;=Options!$B$9,C1612&lt;=Options!$B$10),"Phoenix","")</f>
        <v/>
      </c>
      <c r="B1612" s="5">
        <f>IF(A1612="","",18)</f>
        <v/>
      </c>
      <c r="C1612" s="17" t="n">
        <v>46443</v>
      </c>
      <c r="D1612" s="5">
        <f>IF(A1612="","",IF(C1612=DATE(2026,11,29),"培训；注册午餐；早餐参数",IF(C1612=DATE(2026,11,30),"培训；注册午餐",IF(C1612=DATE(2026,12,1),"培训；注册午餐；机构晚餐",IF(C1612=Options!$B$9,"抵达；"&amp;IF(C1612=DATE(2026,11,28),"机构晚餐","无统一供餐"),IF(C1612=Options!$B$10,"返程；"&amp;IF(C1612=DATE(2026,12,2),"机构午餐","无统一供餐"),"差旅状态；无统一日程"))))))</f>
        <v/>
      </c>
      <c r="E1612" s="13">
        <f>IF(C1612=Options!$B$9,Options!$C$18,0)</f>
        <v/>
      </c>
      <c r="F1612" s="13">
        <f>IF(AND(A1612&lt;&gt;"",C1612&lt;Options!$B$10),B1612*Options!$X$7,0)</f>
        <v/>
      </c>
      <c r="G1612" s="13">
        <f>F1612*12%</f>
        <v/>
      </c>
      <c r="H1612" s="13">
        <f>IF(A1612="",0,B1612*(86*IF(OR(C1612=Options!$B$9,C1612=Options!$B$10),75%,100%)-IF(C1612=DATE(2026,11,29),23+IF(Options!$B$8="是",22,0),0)-IF(C1612=DATE(2026,11,30),23,0)-IF(C1612=DATE(2026,12,1),59,0)-IF(C1612=DATE(2026,11,28),36,0)-IF(C1612=DATE(2026,12,2),23,0)))</f>
        <v/>
      </c>
      <c r="I1612" s="13">
        <f>IF(AND(C1612&gt;=DATE(2026,11,29),C1612&lt;=DATE(2026,12,1)),B1612*60,0)</f>
        <v/>
      </c>
      <c r="J1612" s="13">
        <f>IF(A1612="",0,B1612*(IF(C1612=DATE(2026,11,28),36,0)+IF(C1612=DATE(2026,12,1),36,0)+IF(C1612=DATE(2026,12,2),23,0)))</f>
        <v/>
      </c>
      <c r="K1612" s="13">
        <f>IF(C1612=Options!$B$9,B1612*12,0)</f>
        <v/>
      </c>
      <c r="L1612" s="13">
        <f>IF(C1612=Options!$B$9,B1612*Options!$Z$7,0)</f>
        <v/>
      </c>
      <c r="M1612" s="13" t="n">
        <v>0</v>
      </c>
      <c r="N1612" s="13">
        <f>SUM(E1612:M1612)</f>
        <v/>
      </c>
    </row>
    <row r="1613">
      <c r="A1613" s="5">
        <f>IF(AND(C1613&gt;=Options!$B$9,C1613&lt;=Options!$B$10),"Phoenix","")</f>
        <v/>
      </c>
      <c r="B1613" s="5">
        <f>IF(A1613="","",18)</f>
        <v/>
      </c>
      <c r="C1613" s="17" t="n">
        <v>46444</v>
      </c>
      <c r="D1613" s="5">
        <f>IF(A1613="","",IF(C1613=DATE(2026,11,29),"培训；注册午餐；早餐参数",IF(C1613=DATE(2026,11,30),"培训；注册午餐",IF(C1613=DATE(2026,12,1),"培训；注册午餐；机构晚餐",IF(C1613=Options!$B$9,"抵达；"&amp;IF(C1613=DATE(2026,11,28),"机构晚餐","无统一供餐"),IF(C1613=Options!$B$10,"返程；"&amp;IF(C1613=DATE(2026,12,2),"机构午餐","无统一供餐"),"差旅状态；无统一日程"))))))</f>
        <v/>
      </c>
      <c r="E1613" s="13">
        <f>IF(C1613=Options!$B$9,Options!$C$18,0)</f>
        <v/>
      </c>
      <c r="F1613" s="13">
        <f>IF(AND(A1613&lt;&gt;"",C1613&lt;Options!$B$10),B1613*Options!$X$7,0)</f>
        <v/>
      </c>
      <c r="G1613" s="13">
        <f>F1613*12%</f>
        <v/>
      </c>
      <c r="H1613" s="13">
        <f>IF(A1613="",0,B1613*(86*IF(OR(C1613=Options!$B$9,C1613=Options!$B$10),75%,100%)-IF(C1613=DATE(2026,11,29),23+IF(Options!$B$8="是",22,0),0)-IF(C1613=DATE(2026,11,30),23,0)-IF(C1613=DATE(2026,12,1),59,0)-IF(C1613=DATE(2026,11,28),36,0)-IF(C1613=DATE(2026,12,2),23,0)))</f>
        <v/>
      </c>
      <c r="I1613" s="13">
        <f>IF(AND(C1613&gt;=DATE(2026,11,29),C1613&lt;=DATE(2026,12,1)),B1613*60,0)</f>
        <v/>
      </c>
      <c r="J1613" s="13">
        <f>IF(A1613="",0,B1613*(IF(C1613=DATE(2026,11,28),36,0)+IF(C1613=DATE(2026,12,1),36,0)+IF(C1613=DATE(2026,12,2),23,0)))</f>
        <v/>
      </c>
      <c r="K1613" s="13">
        <f>IF(C1613=Options!$B$9,B1613*12,0)</f>
        <v/>
      </c>
      <c r="L1613" s="13">
        <f>IF(C1613=Options!$B$9,B1613*Options!$Z$7,0)</f>
        <v/>
      </c>
      <c r="M1613" s="13" t="n">
        <v>0</v>
      </c>
      <c r="N1613" s="13">
        <f>SUM(E1613:M1613)</f>
        <v/>
      </c>
    </row>
    <row r="1614">
      <c r="A1614" s="5">
        <f>IF(AND(C1614&gt;=Options!$B$9,C1614&lt;=Options!$B$10),"Phoenix","")</f>
        <v/>
      </c>
      <c r="B1614" s="5">
        <f>IF(A1614="","",18)</f>
        <v/>
      </c>
      <c r="C1614" s="17" t="n">
        <v>46445</v>
      </c>
      <c r="D1614" s="5">
        <f>IF(A1614="","",IF(C1614=DATE(2026,11,29),"培训；注册午餐；早餐参数",IF(C1614=DATE(2026,11,30),"培训；注册午餐",IF(C1614=DATE(2026,12,1),"培训；注册午餐；机构晚餐",IF(C1614=Options!$B$9,"抵达；"&amp;IF(C1614=DATE(2026,11,28),"机构晚餐","无统一供餐"),IF(C1614=Options!$B$10,"返程；"&amp;IF(C1614=DATE(2026,12,2),"机构午餐","无统一供餐"),"差旅状态；无统一日程"))))))</f>
        <v/>
      </c>
      <c r="E1614" s="13">
        <f>IF(C1614=Options!$B$9,Options!$C$18,0)</f>
        <v/>
      </c>
      <c r="F1614" s="13">
        <f>IF(AND(A1614&lt;&gt;"",C1614&lt;Options!$B$10),B1614*Options!$X$7,0)</f>
        <v/>
      </c>
      <c r="G1614" s="13">
        <f>F1614*12%</f>
        <v/>
      </c>
      <c r="H1614" s="13">
        <f>IF(A1614="",0,B1614*(86*IF(OR(C1614=Options!$B$9,C1614=Options!$B$10),75%,100%)-IF(C1614=DATE(2026,11,29),23+IF(Options!$B$8="是",22,0),0)-IF(C1614=DATE(2026,11,30),23,0)-IF(C1614=DATE(2026,12,1),59,0)-IF(C1614=DATE(2026,11,28),36,0)-IF(C1614=DATE(2026,12,2),23,0)))</f>
        <v/>
      </c>
      <c r="I1614" s="13">
        <f>IF(AND(C1614&gt;=DATE(2026,11,29),C1614&lt;=DATE(2026,12,1)),B1614*60,0)</f>
        <v/>
      </c>
      <c r="J1614" s="13">
        <f>IF(A1614="",0,B1614*(IF(C1614=DATE(2026,11,28),36,0)+IF(C1614=DATE(2026,12,1),36,0)+IF(C1614=DATE(2026,12,2),23,0)))</f>
        <v/>
      </c>
      <c r="K1614" s="13">
        <f>IF(C1614=Options!$B$9,B1614*12,0)</f>
        <v/>
      </c>
      <c r="L1614" s="13">
        <f>IF(C1614=Options!$B$9,B1614*Options!$Z$7,0)</f>
        <v/>
      </c>
      <c r="M1614" s="13" t="n">
        <v>0</v>
      </c>
      <c r="N1614" s="13">
        <f>SUM(E1614:M1614)</f>
        <v/>
      </c>
    </row>
    <row r="1615">
      <c r="A1615" s="5">
        <f>IF(AND(C1615&gt;=Options!$B$9,C1615&lt;=Options!$B$10),"Phoenix","")</f>
        <v/>
      </c>
      <c r="B1615" s="5">
        <f>IF(A1615="","",18)</f>
        <v/>
      </c>
      <c r="C1615" s="17" t="n">
        <v>46446</v>
      </c>
      <c r="D1615" s="5">
        <f>IF(A1615="","",IF(C1615=DATE(2026,11,29),"培训；注册午餐；早餐参数",IF(C1615=DATE(2026,11,30),"培训；注册午餐",IF(C1615=DATE(2026,12,1),"培训；注册午餐；机构晚餐",IF(C1615=Options!$B$9,"抵达；"&amp;IF(C1615=DATE(2026,11,28),"机构晚餐","无统一供餐"),IF(C1615=Options!$B$10,"返程；"&amp;IF(C1615=DATE(2026,12,2),"机构午餐","无统一供餐"),"差旅状态；无统一日程"))))))</f>
        <v/>
      </c>
      <c r="E1615" s="13">
        <f>IF(C1615=Options!$B$9,Options!$C$18,0)</f>
        <v/>
      </c>
      <c r="F1615" s="13">
        <f>IF(AND(A1615&lt;&gt;"",C1615&lt;Options!$B$10),B1615*Options!$X$7,0)</f>
        <v/>
      </c>
      <c r="G1615" s="13">
        <f>F1615*12%</f>
        <v/>
      </c>
      <c r="H1615" s="13">
        <f>IF(A1615="",0,B1615*(86*IF(OR(C1615=Options!$B$9,C1615=Options!$B$10),75%,100%)-IF(C1615=DATE(2026,11,29),23+IF(Options!$B$8="是",22,0),0)-IF(C1615=DATE(2026,11,30),23,0)-IF(C1615=DATE(2026,12,1),59,0)-IF(C1615=DATE(2026,11,28),36,0)-IF(C1615=DATE(2026,12,2),23,0)))</f>
        <v/>
      </c>
      <c r="I1615" s="13">
        <f>IF(AND(C1615&gt;=DATE(2026,11,29),C1615&lt;=DATE(2026,12,1)),B1615*60,0)</f>
        <v/>
      </c>
      <c r="J1615" s="13">
        <f>IF(A1615="",0,B1615*(IF(C1615=DATE(2026,11,28),36,0)+IF(C1615=DATE(2026,12,1),36,0)+IF(C1615=DATE(2026,12,2),23,0)))</f>
        <v/>
      </c>
      <c r="K1615" s="13">
        <f>IF(C1615=Options!$B$9,B1615*12,0)</f>
        <v/>
      </c>
      <c r="L1615" s="13">
        <f>IF(C1615=Options!$B$9,B1615*Options!$Z$7,0)</f>
        <v/>
      </c>
      <c r="M1615" s="13" t="n">
        <v>0</v>
      </c>
      <c r="N1615" s="13">
        <f>SUM(E1615:M1615)</f>
        <v/>
      </c>
    </row>
    <row r="1616">
      <c r="A1616" s="5">
        <f>IF(AND(C1616&gt;=Options!$B$9,C1616&lt;=Options!$B$10),"Phoenix","")</f>
        <v/>
      </c>
      <c r="B1616" s="5">
        <f>IF(A1616="","",18)</f>
        <v/>
      </c>
      <c r="C1616" s="17" t="n">
        <v>46447</v>
      </c>
      <c r="D1616" s="5">
        <f>IF(A1616="","",IF(C1616=DATE(2026,11,29),"培训；注册午餐；早餐参数",IF(C1616=DATE(2026,11,30),"培训；注册午餐",IF(C1616=DATE(2026,12,1),"培训；注册午餐；机构晚餐",IF(C1616=Options!$B$9,"抵达；"&amp;IF(C1616=DATE(2026,11,28),"机构晚餐","无统一供餐"),IF(C1616=Options!$B$10,"返程；"&amp;IF(C1616=DATE(2026,12,2),"机构午餐","无统一供餐"),"差旅状态；无统一日程"))))))</f>
        <v/>
      </c>
      <c r="E1616" s="13">
        <f>IF(C1616=Options!$B$9,Options!$C$18,0)</f>
        <v/>
      </c>
      <c r="F1616" s="13">
        <f>IF(AND(A1616&lt;&gt;"",C1616&lt;Options!$B$10),B1616*Options!$X$7,0)</f>
        <v/>
      </c>
      <c r="G1616" s="13">
        <f>F1616*12%</f>
        <v/>
      </c>
      <c r="H1616" s="13">
        <f>IF(A1616="",0,B1616*(86*IF(OR(C1616=Options!$B$9,C1616=Options!$B$10),75%,100%)-IF(C1616=DATE(2026,11,29),23+IF(Options!$B$8="是",22,0),0)-IF(C1616=DATE(2026,11,30),23,0)-IF(C1616=DATE(2026,12,1),59,0)-IF(C1616=DATE(2026,11,28),36,0)-IF(C1616=DATE(2026,12,2),23,0)))</f>
        <v/>
      </c>
      <c r="I1616" s="13">
        <f>IF(AND(C1616&gt;=DATE(2026,11,29),C1616&lt;=DATE(2026,12,1)),B1616*60,0)</f>
        <v/>
      </c>
      <c r="J1616" s="13">
        <f>IF(A1616="",0,B1616*(IF(C1616=DATE(2026,11,28),36,0)+IF(C1616=DATE(2026,12,1),36,0)+IF(C1616=DATE(2026,12,2),23,0)))</f>
        <v/>
      </c>
      <c r="K1616" s="13">
        <f>IF(C1616=Options!$B$9,B1616*12,0)</f>
        <v/>
      </c>
      <c r="L1616" s="13">
        <f>IF(C1616=Options!$B$9,B1616*Options!$Z$7,0)</f>
        <v/>
      </c>
      <c r="M1616" s="13" t="n">
        <v>0</v>
      </c>
      <c r="N1616" s="13">
        <f>SUM(E1616:M1616)</f>
        <v/>
      </c>
    </row>
    <row r="1617">
      <c r="A1617" s="5">
        <f>IF(AND(C1617&gt;=Options!$B$9,C1617&lt;=Options!$B$10),"Phoenix","")</f>
        <v/>
      </c>
      <c r="B1617" s="5">
        <f>IF(A1617="","",18)</f>
        <v/>
      </c>
      <c r="C1617" s="17" t="n">
        <v>46448</v>
      </c>
      <c r="D1617" s="5">
        <f>IF(A1617="","",IF(C1617=DATE(2026,11,29),"培训；注册午餐；早餐参数",IF(C1617=DATE(2026,11,30),"培训；注册午餐",IF(C1617=DATE(2026,12,1),"培训；注册午餐；机构晚餐",IF(C1617=Options!$B$9,"抵达；"&amp;IF(C1617=DATE(2026,11,28),"机构晚餐","无统一供餐"),IF(C1617=Options!$B$10,"返程；"&amp;IF(C1617=DATE(2026,12,2),"机构午餐","无统一供餐"),"差旅状态；无统一日程"))))))</f>
        <v/>
      </c>
      <c r="E1617" s="13">
        <f>IF(C1617=Options!$B$9,Options!$C$18,0)</f>
        <v/>
      </c>
      <c r="F1617" s="13">
        <f>IF(AND(A1617&lt;&gt;"",C1617&lt;Options!$B$10),B1617*Options!$X$7,0)</f>
        <v/>
      </c>
      <c r="G1617" s="13">
        <f>F1617*12%</f>
        <v/>
      </c>
      <c r="H1617" s="13">
        <f>IF(A1617="",0,B1617*(86*IF(OR(C1617=Options!$B$9,C1617=Options!$B$10),75%,100%)-IF(C1617=DATE(2026,11,29),23+IF(Options!$B$8="是",22,0),0)-IF(C1617=DATE(2026,11,30),23,0)-IF(C1617=DATE(2026,12,1),59,0)-IF(C1617=DATE(2026,11,28),36,0)-IF(C1617=DATE(2026,12,2),23,0)))</f>
        <v/>
      </c>
      <c r="I1617" s="13">
        <f>IF(AND(C1617&gt;=DATE(2026,11,29),C1617&lt;=DATE(2026,12,1)),B1617*60,0)</f>
        <v/>
      </c>
      <c r="J1617" s="13">
        <f>IF(A1617="",0,B1617*(IF(C1617=DATE(2026,11,28),36,0)+IF(C1617=DATE(2026,12,1),36,0)+IF(C1617=DATE(2026,12,2),23,0)))</f>
        <v/>
      </c>
      <c r="K1617" s="13">
        <f>IF(C1617=Options!$B$9,B1617*12,0)</f>
        <v/>
      </c>
      <c r="L1617" s="13">
        <f>IF(C1617=Options!$B$9,B1617*Options!$Z$7,0)</f>
        <v/>
      </c>
      <c r="M1617" s="13" t="n">
        <v>0</v>
      </c>
      <c r="N1617" s="13">
        <f>SUM(E1617:M1617)</f>
        <v/>
      </c>
    </row>
    <row r="1618">
      <c r="A1618" s="5">
        <f>IF(AND(C1618&gt;=Options!$B$9,C1618&lt;=Options!$B$10),"Phoenix","")</f>
        <v/>
      </c>
      <c r="B1618" s="5">
        <f>IF(A1618="","",18)</f>
        <v/>
      </c>
      <c r="C1618" s="17" t="n">
        <v>46449</v>
      </c>
      <c r="D1618" s="5">
        <f>IF(A1618="","",IF(C1618=DATE(2026,11,29),"培训；注册午餐；早餐参数",IF(C1618=DATE(2026,11,30),"培训；注册午餐",IF(C1618=DATE(2026,12,1),"培训；注册午餐；机构晚餐",IF(C1618=Options!$B$9,"抵达；"&amp;IF(C1618=DATE(2026,11,28),"机构晚餐","无统一供餐"),IF(C1618=Options!$B$10,"返程；"&amp;IF(C1618=DATE(2026,12,2),"机构午餐","无统一供餐"),"差旅状态；无统一日程"))))))</f>
        <v/>
      </c>
      <c r="E1618" s="13">
        <f>IF(C1618=Options!$B$9,Options!$C$18,0)</f>
        <v/>
      </c>
      <c r="F1618" s="13">
        <f>IF(AND(A1618&lt;&gt;"",C1618&lt;Options!$B$10),B1618*Options!$X$7,0)</f>
        <v/>
      </c>
      <c r="G1618" s="13">
        <f>F1618*12%</f>
        <v/>
      </c>
      <c r="H1618" s="13">
        <f>IF(A1618="",0,B1618*(86*IF(OR(C1618=Options!$B$9,C1618=Options!$B$10),75%,100%)-IF(C1618=DATE(2026,11,29),23+IF(Options!$B$8="是",22,0),0)-IF(C1618=DATE(2026,11,30),23,0)-IF(C1618=DATE(2026,12,1),59,0)-IF(C1618=DATE(2026,11,28),36,0)-IF(C1618=DATE(2026,12,2),23,0)))</f>
        <v/>
      </c>
      <c r="I1618" s="13">
        <f>IF(AND(C1618&gt;=DATE(2026,11,29),C1618&lt;=DATE(2026,12,1)),B1618*60,0)</f>
        <v/>
      </c>
      <c r="J1618" s="13">
        <f>IF(A1618="",0,B1618*(IF(C1618=DATE(2026,11,28),36,0)+IF(C1618=DATE(2026,12,1),36,0)+IF(C1618=DATE(2026,12,2),23,0)))</f>
        <v/>
      </c>
      <c r="K1618" s="13">
        <f>IF(C1618=Options!$B$9,B1618*12,0)</f>
        <v/>
      </c>
      <c r="L1618" s="13">
        <f>IF(C1618=Options!$B$9,B1618*Options!$Z$7,0)</f>
        <v/>
      </c>
      <c r="M1618" s="13" t="n">
        <v>0</v>
      </c>
      <c r="N1618" s="13">
        <f>SUM(E1618:M1618)</f>
        <v/>
      </c>
    </row>
    <row r="1619">
      <c r="A1619" s="5">
        <f>IF(AND(C1619&gt;=Options!$B$9,C1619&lt;=Options!$B$10),"Phoenix","")</f>
        <v/>
      </c>
      <c r="B1619" s="5">
        <f>IF(A1619="","",18)</f>
        <v/>
      </c>
      <c r="C1619" s="17" t="n">
        <v>46450</v>
      </c>
      <c r="D1619" s="5">
        <f>IF(A1619="","",IF(C1619=DATE(2026,11,29),"培训；注册午餐；早餐参数",IF(C1619=DATE(2026,11,30),"培训；注册午餐",IF(C1619=DATE(2026,12,1),"培训；注册午餐；机构晚餐",IF(C1619=Options!$B$9,"抵达；"&amp;IF(C1619=DATE(2026,11,28),"机构晚餐","无统一供餐"),IF(C1619=Options!$B$10,"返程；"&amp;IF(C1619=DATE(2026,12,2),"机构午餐","无统一供餐"),"差旅状态；无统一日程"))))))</f>
        <v/>
      </c>
      <c r="E1619" s="13">
        <f>IF(C1619=Options!$B$9,Options!$C$18,0)</f>
        <v/>
      </c>
      <c r="F1619" s="13">
        <f>IF(AND(A1619&lt;&gt;"",C1619&lt;Options!$B$10),B1619*Options!$X$7,0)</f>
        <v/>
      </c>
      <c r="G1619" s="13">
        <f>F1619*12%</f>
        <v/>
      </c>
      <c r="H1619" s="13">
        <f>IF(A1619="",0,B1619*(86*IF(OR(C1619=Options!$B$9,C1619=Options!$B$10),75%,100%)-IF(C1619=DATE(2026,11,29),23+IF(Options!$B$8="是",22,0),0)-IF(C1619=DATE(2026,11,30),23,0)-IF(C1619=DATE(2026,12,1),59,0)-IF(C1619=DATE(2026,11,28),36,0)-IF(C1619=DATE(2026,12,2),23,0)))</f>
        <v/>
      </c>
      <c r="I1619" s="13">
        <f>IF(AND(C1619&gt;=DATE(2026,11,29),C1619&lt;=DATE(2026,12,1)),B1619*60,0)</f>
        <v/>
      </c>
      <c r="J1619" s="13">
        <f>IF(A1619="",0,B1619*(IF(C1619=DATE(2026,11,28),36,0)+IF(C1619=DATE(2026,12,1),36,0)+IF(C1619=DATE(2026,12,2),23,0)))</f>
        <v/>
      </c>
      <c r="K1619" s="13">
        <f>IF(C1619=Options!$B$9,B1619*12,0)</f>
        <v/>
      </c>
      <c r="L1619" s="13">
        <f>IF(C1619=Options!$B$9,B1619*Options!$Z$7,0)</f>
        <v/>
      </c>
      <c r="M1619" s="13" t="n">
        <v>0</v>
      </c>
      <c r="N1619" s="13">
        <f>SUM(E1619:M1619)</f>
        <v/>
      </c>
    </row>
    <row r="1620">
      <c r="A1620" s="5">
        <f>IF(AND(C1620&gt;=Options!$B$9,C1620&lt;=Options!$B$10),"Phoenix","")</f>
        <v/>
      </c>
      <c r="B1620" s="5">
        <f>IF(A1620="","",18)</f>
        <v/>
      </c>
      <c r="C1620" s="17" t="n">
        <v>46451</v>
      </c>
      <c r="D1620" s="5">
        <f>IF(A1620="","",IF(C1620=DATE(2026,11,29),"培训；注册午餐；早餐参数",IF(C1620=DATE(2026,11,30),"培训；注册午餐",IF(C1620=DATE(2026,12,1),"培训；注册午餐；机构晚餐",IF(C1620=Options!$B$9,"抵达；"&amp;IF(C1620=DATE(2026,11,28),"机构晚餐","无统一供餐"),IF(C1620=Options!$B$10,"返程；"&amp;IF(C1620=DATE(2026,12,2),"机构午餐","无统一供餐"),"差旅状态；无统一日程"))))))</f>
        <v/>
      </c>
      <c r="E1620" s="13">
        <f>IF(C1620=Options!$B$9,Options!$C$18,0)</f>
        <v/>
      </c>
      <c r="F1620" s="13">
        <f>IF(AND(A1620&lt;&gt;"",C1620&lt;Options!$B$10),B1620*Options!$X$7,0)</f>
        <v/>
      </c>
      <c r="G1620" s="13">
        <f>F1620*12%</f>
        <v/>
      </c>
      <c r="H1620" s="13">
        <f>IF(A1620="",0,B1620*(86*IF(OR(C1620=Options!$B$9,C1620=Options!$B$10),75%,100%)-IF(C1620=DATE(2026,11,29),23+IF(Options!$B$8="是",22,0),0)-IF(C1620=DATE(2026,11,30),23,0)-IF(C1620=DATE(2026,12,1),59,0)-IF(C1620=DATE(2026,11,28),36,0)-IF(C1620=DATE(2026,12,2),23,0)))</f>
        <v/>
      </c>
      <c r="I1620" s="13">
        <f>IF(AND(C1620&gt;=DATE(2026,11,29),C1620&lt;=DATE(2026,12,1)),B1620*60,0)</f>
        <v/>
      </c>
      <c r="J1620" s="13">
        <f>IF(A1620="",0,B1620*(IF(C1620=DATE(2026,11,28),36,0)+IF(C1620=DATE(2026,12,1),36,0)+IF(C1620=DATE(2026,12,2),23,0)))</f>
        <v/>
      </c>
      <c r="K1620" s="13">
        <f>IF(C1620=Options!$B$9,B1620*12,0)</f>
        <v/>
      </c>
      <c r="L1620" s="13">
        <f>IF(C1620=Options!$B$9,B1620*Options!$Z$7,0)</f>
        <v/>
      </c>
      <c r="M1620" s="13" t="n">
        <v>0</v>
      </c>
      <c r="N1620" s="13">
        <f>SUM(E1620:M1620)</f>
        <v/>
      </c>
    </row>
    <row r="1621">
      <c r="A1621" s="5">
        <f>IF(AND(C1621&gt;=Options!$B$9,C1621&lt;=Options!$B$10),"Phoenix","")</f>
        <v/>
      </c>
      <c r="B1621" s="5">
        <f>IF(A1621="","",18)</f>
        <v/>
      </c>
      <c r="C1621" s="17" t="n">
        <v>46452</v>
      </c>
      <c r="D1621" s="5">
        <f>IF(A1621="","",IF(C1621=DATE(2026,11,29),"培训；注册午餐；早餐参数",IF(C1621=DATE(2026,11,30),"培训；注册午餐",IF(C1621=DATE(2026,12,1),"培训；注册午餐；机构晚餐",IF(C1621=Options!$B$9,"抵达；"&amp;IF(C1621=DATE(2026,11,28),"机构晚餐","无统一供餐"),IF(C1621=Options!$B$10,"返程；"&amp;IF(C1621=DATE(2026,12,2),"机构午餐","无统一供餐"),"差旅状态；无统一日程"))))))</f>
        <v/>
      </c>
      <c r="E1621" s="13">
        <f>IF(C1621=Options!$B$9,Options!$C$18,0)</f>
        <v/>
      </c>
      <c r="F1621" s="13">
        <f>IF(AND(A1621&lt;&gt;"",C1621&lt;Options!$B$10),B1621*Options!$X$7,0)</f>
        <v/>
      </c>
      <c r="G1621" s="13">
        <f>F1621*12%</f>
        <v/>
      </c>
      <c r="H1621" s="13">
        <f>IF(A1621="",0,B1621*(86*IF(OR(C1621=Options!$B$9,C1621=Options!$B$10),75%,100%)-IF(C1621=DATE(2026,11,29),23+IF(Options!$B$8="是",22,0),0)-IF(C1621=DATE(2026,11,30),23,0)-IF(C1621=DATE(2026,12,1),59,0)-IF(C1621=DATE(2026,11,28),36,0)-IF(C1621=DATE(2026,12,2),23,0)))</f>
        <v/>
      </c>
      <c r="I1621" s="13">
        <f>IF(AND(C1621&gt;=DATE(2026,11,29),C1621&lt;=DATE(2026,12,1)),B1621*60,0)</f>
        <v/>
      </c>
      <c r="J1621" s="13">
        <f>IF(A1621="",0,B1621*(IF(C1621=DATE(2026,11,28),36,0)+IF(C1621=DATE(2026,12,1),36,0)+IF(C1621=DATE(2026,12,2),23,0)))</f>
        <v/>
      </c>
      <c r="K1621" s="13">
        <f>IF(C1621=Options!$B$9,B1621*12,0)</f>
        <v/>
      </c>
      <c r="L1621" s="13">
        <f>IF(C1621=Options!$B$9,B1621*Options!$Z$7,0)</f>
        <v/>
      </c>
      <c r="M1621" s="13" t="n">
        <v>0</v>
      </c>
      <c r="N1621" s="13">
        <f>SUM(E1621:M1621)</f>
        <v/>
      </c>
    </row>
    <row r="1622">
      <c r="A1622" s="5">
        <f>IF(AND(C1622&gt;=Options!$B$9,C1622&lt;=Options!$B$10),"Phoenix","")</f>
        <v/>
      </c>
      <c r="B1622" s="5">
        <f>IF(A1622="","",18)</f>
        <v/>
      </c>
      <c r="C1622" s="17" t="n">
        <v>46453</v>
      </c>
      <c r="D1622" s="5">
        <f>IF(A1622="","",IF(C1622=DATE(2026,11,29),"培训；注册午餐；早餐参数",IF(C1622=DATE(2026,11,30),"培训；注册午餐",IF(C1622=DATE(2026,12,1),"培训；注册午餐；机构晚餐",IF(C1622=Options!$B$9,"抵达；"&amp;IF(C1622=DATE(2026,11,28),"机构晚餐","无统一供餐"),IF(C1622=Options!$B$10,"返程；"&amp;IF(C1622=DATE(2026,12,2),"机构午餐","无统一供餐"),"差旅状态；无统一日程"))))))</f>
        <v/>
      </c>
      <c r="E1622" s="13">
        <f>IF(C1622=Options!$B$9,Options!$C$18,0)</f>
        <v/>
      </c>
      <c r="F1622" s="13">
        <f>IF(AND(A1622&lt;&gt;"",C1622&lt;Options!$B$10),B1622*Options!$X$7,0)</f>
        <v/>
      </c>
      <c r="G1622" s="13">
        <f>F1622*12%</f>
        <v/>
      </c>
      <c r="H1622" s="13">
        <f>IF(A1622="",0,B1622*(86*IF(OR(C1622=Options!$B$9,C1622=Options!$B$10),75%,100%)-IF(C1622=DATE(2026,11,29),23+IF(Options!$B$8="是",22,0),0)-IF(C1622=DATE(2026,11,30),23,0)-IF(C1622=DATE(2026,12,1),59,0)-IF(C1622=DATE(2026,11,28),36,0)-IF(C1622=DATE(2026,12,2),23,0)))</f>
        <v/>
      </c>
      <c r="I1622" s="13">
        <f>IF(AND(C1622&gt;=DATE(2026,11,29),C1622&lt;=DATE(2026,12,1)),B1622*60,0)</f>
        <v/>
      </c>
      <c r="J1622" s="13">
        <f>IF(A1622="",0,B1622*(IF(C1622=DATE(2026,11,28),36,0)+IF(C1622=DATE(2026,12,1),36,0)+IF(C1622=DATE(2026,12,2),23,0)))</f>
        <v/>
      </c>
      <c r="K1622" s="13">
        <f>IF(C1622=Options!$B$9,B1622*12,0)</f>
        <v/>
      </c>
      <c r="L1622" s="13">
        <f>IF(C1622=Options!$B$9,B1622*Options!$Z$7,0)</f>
        <v/>
      </c>
      <c r="M1622" s="13" t="n">
        <v>0</v>
      </c>
      <c r="N1622" s="13">
        <f>SUM(E1622:M1622)</f>
        <v/>
      </c>
    </row>
    <row r="1623">
      <c r="A1623" s="5">
        <f>IF(AND(C1623&gt;=Options!$B$9,C1623&lt;=Options!$B$10),"Phoenix","")</f>
        <v/>
      </c>
      <c r="B1623" s="5">
        <f>IF(A1623="","",18)</f>
        <v/>
      </c>
      <c r="C1623" s="17" t="n">
        <v>46454</v>
      </c>
      <c r="D1623" s="5">
        <f>IF(A1623="","",IF(C1623=DATE(2026,11,29),"培训；注册午餐；早餐参数",IF(C1623=DATE(2026,11,30),"培训；注册午餐",IF(C1623=DATE(2026,12,1),"培训；注册午餐；机构晚餐",IF(C1623=Options!$B$9,"抵达；"&amp;IF(C1623=DATE(2026,11,28),"机构晚餐","无统一供餐"),IF(C1623=Options!$B$10,"返程；"&amp;IF(C1623=DATE(2026,12,2),"机构午餐","无统一供餐"),"差旅状态；无统一日程"))))))</f>
        <v/>
      </c>
      <c r="E1623" s="13">
        <f>IF(C1623=Options!$B$9,Options!$C$18,0)</f>
        <v/>
      </c>
      <c r="F1623" s="13">
        <f>IF(AND(A1623&lt;&gt;"",C1623&lt;Options!$B$10),B1623*Options!$X$7,0)</f>
        <v/>
      </c>
      <c r="G1623" s="13">
        <f>F1623*12%</f>
        <v/>
      </c>
      <c r="H1623" s="13">
        <f>IF(A1623="",0,B1623*(86*IF(OR(C1623=Options!$B$9,C1623=Options!$B$10),75%,100%)-IF(C1623=DATE(2026,11,29),23+IF(Options!$B$8="是",22,0),0)-IF(C1623=DATE(2026,11,30),23,0)-IF(C1623=DATE(2026,12,1),59,0)-IF(C1623=DATE(2026,11,28),36,0)-IF(C1623=DATE(2026,12,2),23,0)))</f>
        <v/>
      </c>
      <c r="I1623" s="13">
        <f>IF(AND(C1623&gt;=DATE(2026,11,29),C1623&lt;=DATE(2026,12,1)),B1623*60,0)</f>
        <v/>
      </c>
      <c r="J1623" s="13">
        <f>IF(A1623="",0,B1623*(IF(C1623=DATE(2026,11,28),36,0)+IF(C1623=DATE(2026,12,1),36,0)+IF(C1623=DATE(2026,12,2),23,0)))</f>
        <v/>
      </c>
      <c r="K1623" s="13">
        <f>IF(C1623=Options!$B$9,B1623*12,0)</f>
        <v/>
      </c>
      <c r="L1623" s="13">
        <f>IF(C1623=Options!$B$9,B1623*Options!$Z$7,0)</f>
        <v/>
      </c>
      <c r="M1623" s="13" t="n">
        <v>0</v>
      </c>
      <c r="N1623" s="13">
        <f>SUM(E1623:M1623)</f>
        <v/>
      </c>
    </row>
    <row r="1624">
      <c r="A1624" s="5">
        <f>IF(AND(C1624&gt;=Options!$B$9,C1624&lt;=Options!$B$10),"Phoenix","")</f>
        <v/>
      </c>
      <c r="B1624" s="5">
        <f>IF(A1624="","",18)</f>
        <v/>
      </c>
      <c r="C1624" s="17" t="n">
        <v>46455</v>
      </c>
      <c r="D1624" s="5">
        <f>IF(A1624="","",IF(C1624=DATE(2026,11,29),"培训；注册午餐；早餐参数",IF(C1624=DATE(2026,11,30),"培训；注册午餐",IF(C1624=DATE(2026,12,1),"培训；注册午餐；机构晚餐",IF(C1624=Options!$B$9,"抵达；"&amp;IF(C1624=DATE(2026,11,28),"机构晚餐","无统一供餐"),IF(C1624=Options!$B$10,"返程；"&amp;IF(C1624=DATE(2026,12,2),"机构午餐","无统一供餐"),"差旅状态；无统一日程"))))))</f>
        <v/>
      </c>
      <c r="E1624" s="13">
        <f>IF(C1624=Options!$B$9,Options!$C$18,0)</f>
        <v/>
      </c>
      <c r="F1624" s="13">
        <f>IF(AND(A1624&lt;&gt;"",C1624&lt;Options!$B$10),B1624*Options!$X$7,0)</f>
        <v/>
      </c>
      <c r="G1624" s="13">
        <f>F1624*12%</f>
        <v/>
      </c>
      <c r="H1624" s="13">
        <f>IF(A1624="",0,B1624*(86*IF(OR(C1624=Options!$B$9,C1624=Options!$B$10),75%,100%)-IF(C1624=DATE(2026,11,29),23+IF(Options!$B$8="是",22,0),0)-IF(C1624=DATE(2026,11,30),23,0)-IF(C1624=DATE(2026,12,1),59,0)-IF(C1624=DATE(2026,11,28),36,0)-IF(C1624=DATE(2026,12,2),23,0)))</f>
        <v/>
      </c>
      <c r="I1624" s="13">
        <f>IF(AND(C1624&gt;=DATE(2026,11,29),C1624&lt;=DATE(2026,12,1)),B1624*60,0)</f>
        <v/>
      </c>
      <c r="J1624" s="13">
        <f>IF(A1624="",0,B1624*(IF(C1624=DATE(2026,11,28),36,0)+IF(C1624=DATE(2026,12,1),36,0)+IF(C1624=DATE(2026,12,2),23,0)))</f>
        <v/>
      </c>
      <c r="K1624" s="13">
        <f>IF(C1624=Options!$B$9,B1624*12,0)</f>
        <v/>
      </c>
      <c r="L1624" s="13">
        <f>IF(C1624=Options!$B$9,B1624*Options!$Z$7,0)</f>
        <v/>
      </c>
      <c r="M1624" s="13" t="n">
        <v>0</v>
      </c>
      <c r="N1624" s="13">
        <f>SUM(E1624:M1624)</f>
        <v/>
      </c>
    </row>
    <row r="1625">
      <c r="A1625" s="5">
        <f>IF(AND(C1625&gt;=Options!$B$9,C1625&lt;=Options!$B$10),"Phoenix","")</f>
        <v/>
      </c>
      <c r="B1625" s="5">
        <f>IF(A1625="","",18)</f>
        <v/>
      </c>
      <c r="C1625" s="17" t="n">
        <v>46456</v>
      </c>
      <c r="D1625" s="5">
        <f>IF(A1625="","",IF(C1625=DATE(2026,11,29),"培训；注册午餐；早餐参数",IF(C1625=DATE(2026,11,30),"培训；注册午餐",IF(C1625=DATE(2026,12,1),"培训；注册午餐；机构晚餐",IF(C1625=Options!$B$9,"抵达；"&amp;IF(C1625=DATE(2026,11,28),"机构晚餐","无统一供餐"),IF(C1625=Options!$B$10,"返程；"&amp;IF(C1625=DATE(2026,12,2),"机构午餐","无统一供餐"),"差旅状态；无统一日程"))))))</f>
        <v/>
      </c>
      <c r="E1625" s="13">
        <f>IF(C1625=Options!$B$9,Options!$C$18,0)</f>
        <v/>
      </c>
      <c r="F1625" s="13">
        <f>IF(AND(A1625&lt;&gt;"",C1625&lt;Options!$B$10),B1625*Options!$X$7,0)</f>
        <v/>
      </c>
      <c r="G1625" s="13">
        <f>F1625*12%</f>
        <v/>
      </c>
      <c r="H1625" s="13">
        <f>IF(A1625="",0,B1625*(86*IF(OR(C1625=Options!$B$9,C1625=Options!$B$10),75%,100%)-IF(C1625=DATE(2026,11,29),23+IF(Options!$B$8="是",22,0),0)-IF(C1625=DATE(2026,11,30),23,0)-IF(C1625=DATE(2026,12,1),59,0)-IF(C1625=DATE(2026,11,28),36,0)-IF(C1625=DATE(2026,12,2),23,0)))</f>
        <v/>
      </c>
      <c r="I1625" s="13">
        <f>IF(AND(C1625&gt;=DATE(2026,11,29),C1625&lt;=DATE(2026,12,1)),B1625*60,0)</f>
        <v/>
      </c>
      <c r="J1625" s="13">
        <f>IF(A1625="",0,B1625*(IF(C1625=DATE(2026,11,28),36,0)+IF(C1625=DATE(2026,12,1),36,0)+IF(C1625=DATE(2026,12,2),23,0)))</f>
        <v/>
      </c>
      <c r="K1625" s="13">
        <f>IF(C1625=Options!$B$9,B1625*12,0)</f>
        <v/>
      </c>
      <c r="L1625" s="13">
        <f>IF(C1625=Options!$B$9,B1625*Options!$Z$7,0)</f>
        <v/>
      </c>
      <c r="M1625" s="13" t="n">
        <v>0</v>
      </c>
      <c r="N1625" s="13">
        <f>SUM(E1625:M1625)</f>
        <v/>
      </c>
    </row>
    <row r="1626">
      <c r="A1626" s="5">
        <f>IF(AND(C1626&gt;=Options!$B$9,C1626&lt;=Options!$B$10),"Phoenix","")</f>
        <v/>
      </c>
      <c r="B1626" s="5">
        <f>IF(A1626="","",18)</f>
        <v/>
      </c>
      <c r="C1626" s="17" t="n">
        <v>46457</v>
      </c>
      <c r="D1626" s="5">
        <f>IF(A1626="","",IF(C1626=DATE(2026,11,29),"培训；注册午餐；早餐参数",IF(C1626=DATE(2026,11,30),"培训；注册午餐",IF(C1626=DATE(2026,12,1),"培训；注册午餐；机构晚餐",IF(C1626=Options!$B$9,"抵达；"&amp;IF(C1626=DATE(2026,11,28),"机构晚餐","无统一供餐"),IF(C1626=Options!$B$10,"返程；"&amp;IF(C1626=DATE(2026,12,2),"机构午餐","无统一供餐"),"差旅状态；无统一日程"))))))</f>
        <v/>
      </c>
      <c r="E1626" s="13">
        <f>IF(C1626=Options!$B$9,Options!$C$18,0)</f>
        <v/>
      </c>
      <c r="F1626" s="13">
        <f>IF(AND(A1626&lt;&gt;"",C1626&lt;Options!$B$10),B1626*Options!$X$7,0)</f>
        <v/>
      </c>
      <c r="G1626" s="13">
        <f>F1626*12%</f>
        <v/>
      </c>
      <c r="H1626" s="13">
        <f>IF(A1626="",0,B1626*(86*IF(OR(C1626=Options!$B$9,C1626=Options!$B$10),75%,100%)-IF(C1626=DATE(2026,11,29),23+IF(Options!$B$8="是",22,0),0)-IF(C1626=DATE(2026,11,30),23,0)-IF(C1626=DATE(2026,12,1),59,0)-IF(C1626=DATE(2026,11,28),36,0)-IF(C1626=DATE(2026,12,2),23,0)))</f>
        <v/>
      </c>
      <c r="I1626" s="13">
        <f>IF(AND(C1626&gt;=DATE(2026,11,29),C1626&lt;=DATE(2026,12,1)),B1626*60,0)</f>
        <v/>
      </c>
      <c r="J1626" s="13">
        <f>IF(A1626="",0,B1626*(IF(C1626=DATE(2026,11,28),36,0)+IF(C1626=DATE(2026,12,1),36,0)+IF(C1626=DATE(2026,12,2),23,0)))</f>
        <v/>
      </c>
      <c r="K1626" s="13">
        <f>IF(C1626=Options!$B$9,B1626*12,0)</f>
        <v/>
      </c>
      <c r="L1626" s="13">
        <f>IF(C1626=Options!$B$9,B1626*Options!$Z$7,0)</f>
        <v/>
      </c>
      <c r="M1626" s="13" t="n">
        <v>0</v>
      </c>
      <c r="N1626" s="13">
        <f>SUM(E1626:M1626)</f>
        <v/>
      </c>
    </row>
    <row r="1627">
      <c r="A1627" s="5">
        <f>IF(AND(C1627&gt;=Options!$B$9,C1627&lt;=Options!$B$10),"Phoenix","")</f>
        <v/>
      </c>
      <c r="B1627" s="5">
        <f>IF(A1627="","",18)</f>
        <v/>
      </c>
      <c r="C1627" s="17" t="n">
        <v>46458</v>
      </c>
      <c r="D1627" s="5">
        <f>IF(A1627="","",IF(C1627=DATE(2026,11,29),"培训；注册午餐；早餐参数",IF(C1627=DATE(2026,11,30),"培训；注册午餐",IF(C1627=DATE(2026,12,1),"培训；注册午餐；机构晚餐",IF(C1627=Options!$B$9,"抵达；"&amp;IF(C1627=DATE(2026,11,28),"机构晚餐","无统一供餐"),IF(C1627=Options!$B$10,"返程；"&amp;IF(C1627=DATE(2026,12,2),"机构午餐","无统一供餐"),"差旅状态；无统一日程"))))))</f>
        <v/>
      </c>
      <c r="E1627" s="13">
        <f>IF(C1627=Options!$B$9,Options!$C$18,0)</f>
        <v/>
      </c>
      <c r="F1627" s="13">
        <f>IF(AND(A1627&lt;&gt;"",C1627&lt;Options!$B$10),B1627*Options!$X$7,0)</f>
        <v/>
      </c>
      <c r="G1627" s="13">
        <f>F1627*12%</f>
        <v/>
      </c>
      <c r="H1627" s="13">
        <f>IF(A1627="",0,B1627*(86*IF(OR(C1627=Options!$B$9,C1627=Options!$B$10),75%,100%)-IF(C1627=DATE(2026,11,29),23+IF(Options!$B$8="是",22,0),0)-IF(C1627=DATE(2026,11,30),23,0)-IF(C1627=DATE(2026,12,1),59,0)-IF(C1627=DATE(2026,11,28),36,0)-IF(C1627=DATE(2026,12,2),23,0)))</f>
        <v/>
      </c>
      <c r="I1627" s="13">
        <f>IF(AND(C1627&gt;=DATE(2026,11,29),C1627&lt;=DATE(2026,12,1)),B1627*60,0)</f>
        <v/>
      </c>
      <c r="J1627" s="13">
        <f>IF(A1627="",0,B1627*(IF(C1627=DATE(2026,11,28),36,0)+IF(C1627=DATE(2026,12,1),36,0)+IF(C1627=DATE(2026,12,2),23,0)))</f>
        <v/>
      </c>
      <c r="K1627" s="13">
        <f>IF(C1627=Options!$B$9,B1627*12,0)</f>
        <v/>
      </c>
      <c r="L1627" s="13">
        <f>IF(C1627=Options!$B$9,B1627*Options!$Z$7,0)</f>
        <v/>
      </c>
      <c r="M1627" s="13" t="n">
        <v>0</v>
      </c>
      <c r="N1627" s="13">
        <f>SUM(E1627:M1627)</f>
        <v/>
      </c>
    </row>
    <row r="1628">
      <c r="A1628" s="5">
        <f>IF(AND(C1628&gt;=Options!$B$9,C1628&lt;=Options!$B$10),"Phoenix","")</f>
        <v/>
      </c>
      <c r="B1628" s="5">
        <f>IF(A1628="","",18)</f>
        <v/>
      </c>
      <c r="C1628" s="17" t="n">
        <v>46459</v>
      </c>
      <c r="D1628" s="5">
        <f>IF(A1628="","",IF(C1628=DATE(2026,11,29),"培训；注册午餐；早餐参数",IF(C1628=DATE(2026,11,30),"培训；注册午餐",IF(C1628=DATE(2026,12,1),"培训；注册午餐；机构晚餐",IF(C1628=Options!$B$9,"抵达；"&amp;IF(C1628=DATE(2026,11,28),"机构晚餐","无统一供餐"),IF(C1628=Options!$B$10,"返程；"&amp;IF(C1628=DATE(2026,12,2),"机构午餐","无统一供餐"),"差旅状态；无统一日程"))))))</f>
        <v/>
      </c>
      <c r="E1628" s="13">
        <f>IF(C1628=Options!$B$9,Options!$C$18,0)</f>
        <v/>
      </c>
      <c r="F1628" s="13">
        <f>IF(AND(A1628&lt;&gt;"",C1628&lt;Options!$B$10),B1628*Options!$X$7,0)</f>
        <v/>
      </c>
      <c r="G1628" s="13">
        <f>F1628*12%</f>
        <v/>
      </c>
      <c r="H1628" s="13">
        <f>IF(A1628="",0,B1628*(86*IF(OR(C1628=Options!$B$9,C1628=Options!$B$10),75%,100%)-IF(C1628=DATE(2026,11,29),23+IF(Options!$B$8="是",22,0),0)-IF(C1628=DATE(2026,11,30),23,0)-IF(C1628=DATE(2026,12,1),59,0)-IF(C1628=DATE(2026,11,28),36,0)-IF(C1628=DATE(2026,12,2),23,0)))</f>
        <v/>
      </c>
      <c r="I1628" s="13">
        <f>IF(AND(C1628&gt;=DATE(2026,11,29),C1628&lt;=DATE(2026,12,1)),B1628*60,0)</f>
        <v/>
      </c>
      <c r="J1628" s="13">
        <f>IF(A1628="",0,B1628*(IF(C1628=DATE(2026,11,28),36,0)+IF(C1628=DATE(2026,12,1),36,0)+IF(C1628=DATE(2026,12,2),23,0)))</f>
        <v/>
      </c>
      <c r="K1628" s="13">
        <f>IF(C1628=Options!$B$9,B1628*12,0)</f>
        <v/>
      </c>
      <c r="L1628" s="13">
        <f>IF(C1628=Options!$B$9,B1628*Options!$Z$7,0)</f>
        <v/>
      </c>
      <c r="M1628" s="13" t="n">
        <v>0</v>
      </c>
      <c r="N1628" s="13">
        <f>SUM(E1628:M1628)</f>
        <v/>
      </c>
    </row>
    <row r="1629">
      <c r="A1629" s="5">
        <f>IF(AND(C1629&gt;=Options!$B$9,C1629&lt;=Options!$B$10),"Phoenix","")</f>
        <v/>
      </c>
      <c r="B1629" s="5">
        <f>IF(A1629="","",18)</f>
        <v/>
      </c>
      <c r="C1629" s="17" t="n">
        <v>46460</v>
      </c>
      <c r="D1629" s="5">
        <f>IF(A1629="","",IF(C1629=DATE(2026,11,29),"培训；注册午餐；早餐参数",IF(C1629=DATE(2026,11,30),"培训；注册午餐",IF(C1629=DATE(2026,12,1),"培训；注册午餐；机构晚餐",IF(C1629=Options!$B$9,"抵达；"&amp;IF(C1629=DATE(2026,11,28),"机构晚餐","无统一供餐"),IF(C1629=Options!$B$10,"返程；"&amp;IF(C1629=DATE(2026,12,2),"机构午餐","无统一供餐"),"差旅状态；无统一日程"))))))</f>
        <v/>
      </c>
      <c r="E1629" s="13">
        <f>IF(C1629=Options!$B$9,Options!$C$18,0)</f>
        <v/>
      </c>
      <c r="F1629" s="13">
        <f>IF(AND(A1629&lt;&gt;"",C1629&lt;Options!$B$10),B1629*Options!$X$7,0)</f>
        <v/>
      </c>
      <c r="G1629" s="13">
        <f>F1629*12%</f>
        <v/>
      </c>
      <c r="H1629" s="13">
        <f>IF(A1629="",0,B1629*(86*IF(OR(C1629=Options!$B$9,C1629=Options!$B$10),75%,100%)-IF(C1629=DATE(2026,11,29),23+IF(Options!$B$8="是",22,0),0)-IF(C1629=DATE(2026,11,30),23,0)-IF(C1629=DATE(2026,12,1),59,0)-IF(C1629=DATE(2026,11,28),36,0)-IF(C1629=DATE(2026,12,2),23,0)))</f>
        <v/>
      </c>
      <c r="I1629" s="13">
        <f>IF(AND(C1629&gt;=DATE(2026,11,29),C1629&lt;=DATE(2026,12,1)),B1629*60,0)</f>
        <v/>
      </c>
      <c r="J1629" s="13">
        <f>IF(A1629="",0,B1629*(IF(C1629=DATE(2026,11,28),36,0)+IF(C1629=DATE(2026,12,1),36,0)+IF(C1629=DATE(2026,12,2),23,0)))</f>
        <v/>
      </c>
      <c r="K1629" s="13">
        <f>IF(C1629=Options!$B$9,B1629*12,0)</f>
        <v/>
      </c>
      <c r="L1629" s="13">
        <f>IF(C1629=Options!$B$9,B1629*Options!$Z$7,0)</f>
        <v/>
      </c>
      <c r="M1629" s="13" t="n">
        <v>0</v>
      </c>
      <c r="N1629" s="13">
        <f>SUM(E1629:M1629)</f>
        <v/>
      </c>
    </row>
    <row r="1630">
      <c r="A1630" s="5">
        <f>IF(AND(C1630&gt;=Options!$B$9,C1630&lt;=Options!$B$10),"Phoenix","")</f>
        <v/>
      </c>
      <c r="B1630" s="5">
        <f>IF(A1630="","",18)</f>
        <v/>
      </c>
      <c r="C1630" s="17" t="n">
        <v>46461</v>
      </c>
      <c r="D1630" s="5">
        <f>IF(A1630="","",IF(C1630=DATE(2026,11,29),"培训；注册午餐；早餐参数",IF(C1630=DATE(2026,11,30),"培训；注册午餐",IF(C1630=DATE(2026,12,1),"培训；注册午餐；机构晚餐",IF(C1630=Options!$B$9,"抵达；"&amp;IF(C1630=DATE(2026,11,28),"机构晚餐","无统一供餐"),IF(C1630=Options!$B$10,"返程；"&amp;IF(C1630=DATE(2026,12,2),"机构午餐","无统一供餐"),"差旅状态；无统一日程"))))))</f>
        <v/>
      </c>
      <c r="E1630" s="13">
        <f>IF(C1630=Options!$B$9,Options!$C$18,0)</f>
        <v/>
      </c>
      <c r="F1630" s="13">
        <f>IF(AND(A1630&lt;&gt;"",C1630&lt;Options!$B$10),B1630*Options!$X$7,0)</f>
        <v/>
      </c>
      <c r="G1630" s="13">
        <f>F1630*12%</f>
        <v/>
      </c>
      <c r="H1630" s="13">
        <f>IF(A1630="",0,B1630*(86*IF(OR(C1630=Options!$B$9,C1630=Options!$B$10),75%,100%)-IF(C1630=DATE(2026,11,29),23+IF(Options!$B$8="是",22,0),0)-IF(C1630=DATE(2026,11,30),23,0)-IF(C1630=DATE(2026,12,1),59,0)-IF(C1630=DATE(2026,11,28),36,0)-IF(C1630=DATE(2026,12,2),23,0)))</f>
        <v/>
      </c>
      <c r="I1630" s="13">
        <f>IF(AND(C1630&gt;=DATE(2026,11,29),C1630&lt;=DATE(2026,12,1)),B1630*60,0)</f>
        <v/>
      </c>
      <c r="J1630" s="13">
        <f>IF(A1630="",0,B1630*(IF(C1630=DATE(2026,11,28),36,0)+IF(C1630=DATE(2026,12,1),36,0)+IF(C1630=DATE(2026,12,2),23,0)))</f>
        <v/>
      </c>
      <c r="K1630" s="13">
        <f>IF(C1630=Options!$B$9,B1630*12,0)</f>
        <v/>
      </c>
      <c r="L1630" s="13">
        <f>IF(C1630=Options!$B$9,B1630*Options!$Z$7,0)</f>
        <v/>
      </c>
      <c r="M1630" s="13" t="n">
        <v>0</v>
      </c>
      <c r="N1630" s="13">
        <f>SUM(E1630:M1630)</f>
        <v/>
      </c>
    </row>
    <row r="1631">
      <c r="A1631" s="5">
        <f>IF(AND(C1631&gt;=Options!$B$9,C1631&lt;=Options!$B$10),"Phoenix","")</f>
        <v/>
      </c>
      <c r="B1631" s="5">
        <f>IF(A1631="","",18)</f>
        <v/>
      </c>
      <c r="C1631" s="17" t="n">
        <v>46462</v>
      </c>
      <c r="D1631" s="5">
        <f>IF(A1631="","",IF(C1631=DATE(2026,11,29),"培训；注册午餐；早餐参数",IF(C1631=DATE(2026,11,30),"培训；注册午餐",IF(C1631=DATE(2026,12,1),"培训；注册午餐；机构晚餐",IF(C1631=Options!$B$9,"抵达；"&amp;IF(C1631=DATE(2026,11,28),"机构晚餐","无统一供餐"),IF(C1631=Options!$B$10,"返程；"&amp;IF(C1631=DATE(2026,12,2),"机构午餐","无统一供餐"),"差旅状态；无统一日程"))))))</f>
        <v/>
      </c>
      <c r="E1631" s="13">
        <f>IF(C1631=Options!$B$9,Options!$C$18,0)</f>
        <v/>
      </c>
      <c r="F1631" s="13">
        <f>IF(AND(A1631&lt;&gt;"",C1631&lt;Options!$B$10),B1631*Options!$X$7,0)</f>
        <v/>
      </c>
      <c r="G1631" s="13">
        <f>F1631*12%</f>
        <v/>
      </c>
      <c r="H1631" s="13">
        <f>IF(A1631="",0,B1631*(86*IF(OR(C1631=Options!$B$9,C1631=Options!$B$10),75%,100%)-IF(C1631=DATE(2026,11,29),23+IF(Options!$B$8="是",22,0),0)-IF(C1631=DATE(2026,11,30),23,0)-IF(C1631=DATE(2026,12,1),59,0)-IF(C1631=DATE(2026,11,28),36,0)-IF(C1631=DATE(2026,12,2),23,0)))</f>
        <v/>
      </c>
      <c r="I1631" s="13">
        <f>IF(AND(C1631&gt;=DATE(2026,11,29),C1631&lt;=DATE(2026,12,1)),B1631*60,0)</f>
        <v/>
      </c>
      <c r="J1631" s="13">
        <f>IF(A1631="",0,B1631*(IF(C1631=DATE(2026,11,28),36,0)+IF(C1631=DATE(2026,12,1),36,0)+IF(C1631=DATE(2026,12,2),23,0)))</f>
        <v/>
      </c>
      <c r="K1631" s="13">
        <f>IF(C1631=Options!$B$9,B1631*12,0)</f>
        <v/>
      </c>
      <c r="L1631" s="13">
        <f>IF(C1631=Options!$B$9,B1631*Options!$Z$7,0)</f>
        <v/>
      </c>
      <c r="M1631" s="13" t="n">
        <v>0</v>
      </c>
      <c r="N1631" s="13">
        <f>SUM(E1631:M1631)</f>
        <v/>
      </c>
    </row>
    <row r="1632">
      <c r="A1632" s="5">
        <f>IF(AND(C1632&gt;=Options!$B$9,C1632&lt;=Options!$B$10),"Phoenix","")</f>
        <v/>
      </c>
      <c r="B1632" s="5">
        <f>IF(A1632="","",18)</f>
        <v/>
      </c>
      <c r="C1632" s="17" t="n">
        <v>46463</v>
      </c>
      <c r="D1632" s="5">
        <f>IF(A1632="","",IF(C1632=DATE(2026,11,29),"培训；注册午餐；早餐参数",IF(C1632=DATE(2026,11,30),"培训；注册午餐",IF(C1632=DATE(2026,12,1),"培训；注册午餐；机构晚餐",IF(C1632=Options!$B$9,"抵达；"&amp;IF(C1632=DATE(2026,11,28),"机构晚餐","无统一供餐"),IF(C1632=Options!$B$10,"返程；"&amp;IF(C1632=DATE(2026,12,2),"机构午餐","无统一供餐"),"差旅状态；无统一日程"))))))</f>
        <v/>
      </c>
      <c r="E1632" s="13">
        <f>IF(C1632=Options!$B$9,Options!$C$18,0)</f>
        <v/>
      </c>
      <c r="F1632" s="13">
        <f>IF(AND(A1632&lt;&gt;"",C1632&lt;Options!$B$10),B1632*Options!$X$7,0)</f>
        <v/>
      </c>
      <c r="G1632" s="13">
        <f>F1632*12%</f>
        <v/>
      </c>
      <c r="H1632" s="13">
        <f>IF(A1632="",0,B1632*(86*IF(OR(C1632=Options!$B$9,C1632=Options!$B$10),75%,100%)-IF(C1632=DATE(2026,11,29),23+IF(Options!$B$8="是",22,0),0)-IF(C1632=DATE(2026,11,30),23,0)-IF(C1632=DATE(2026,12,1),59,0)-IF(C1632=DATE(2026,11,28),36,0)-IF(C1632=DATE(2026,12,2),23,0)))</f>
        <v/>
      </c>
      <c r="I1632" s="13">
        <f>IF(AND(C1632&gt;=DATE(2026,11,29),C1632&lt;=DATE(2026,12,1)),B1632*60,0)</f>
        <v/>
      </c>
      <c r="J1632" s="13">
        <f>IF(A1632="",0,B1632*(IF(C1632=DATE(2026,11,28),36,0)+IF(C1632=DATE(2026,12,1),36,0)+IF(C1632=DATE(2026,12,2),23,0)))</f>
        <v/>
      </c>
      <c r="K1632" s="13">
        <f>IF(C1632=Options!$B$9,B1632*12,0)</f>
        <v/>
      </c>
      <c r="L1632" s="13">
        <f>IF(C1632=Options!$B$9,B1632*Options!$Z$7,0)</f>
        <v/>
      </c>
      <c r="M1632" s="13" t="n">
        <v>0</v>
      </c>
      <c r="N1632" s="13">
        <f>SUM(E1632:M1632)</f>
        <v/>
      </c>
    </row>
    <row r="1633">
      <c r="A1633" s="5">
        <f>IF(AND(C1633&gt;=Options!$B$9,C1633&lt;=Options!$B$10),"Phoenix","")</f>
        <v/>
      </c>
      <c r="B1633" s="5">
        <f>IF(A1633="","",18)</f>
        <v/>
      </c>
      <c r="C1633" s="17" t="n">
        <v>46464</v>
      </c>
      <c r="D1633" s="5">
        <f>IF(A1633="","",IF(C1633=DATE(2026,11,29),"培训；注册午餐；早餐参数",IF(C1633=DATE(2026,11,30),"培训；注册午餐",IF(C1633=DATE(2026,12,1),"培训；注册午餐；机构晚餐",IF(C1633=Options!$B$9,"抵达；"&amp;IF(C1633=DATE(2026,11,28),"机构晚餐","无统一供餐"),IF(C1633=Options!$B$10,"返程；"&amp;IF(C1633=DATE(2026,12,2),"机构午餐","无统一供餐"),"差旅状态；无统一日程"))))))</f>
        <v/>
      </c>
      <c r="E1633" s="13">
        <f>IF(C1633=Options!$B$9,Options!$C$18,0)</f>
        <v/>
      </c>
      <c r="F1633" s="13">
        <f>IF(AND(A1633&lt;&gt;"",C1633&lt;Options!$B$10),B1633*Options!$X$7,0)</f>
        <v/>
      </c>
      <c r="G1633" s="13">
        <f>F1633*12%</f>
        <v/>
      </c>
      <c r="H1633" s="13">
        <f>IF(A1633="",0,B1633*(86*IF(OR(C1633=Options!$B$9,C1633=Options!$B$10),75%,100%)-IF(C1633=DATE(2026,11,29),23+IF(Options!$B$8="是",22,0),0)-IF(C1633=DATE(2026,11,30),23,0)-IF(C1633=DATE(2026,12,1),59,0)-IF(C1633=DATE(2026,11,28),36,0)-IF(C1633=DATE(2026,12,2),23,0)))</f>
        <v/>
      </c>
      <c r="I1633" s="13">
        <f>IF(AND(C1633&gt;=DATE(2026,11,29),C1633&lt;=DATE(2026,12,1)),B1633*60,0)</f>
        <v/>
      </c>
      <c r="J1633" s="13">
        <f>IF(A1633="",0,B1633*(IF(C1633=DATE(2026,11,28),36,0)+IF(C1633=DATE(2026,12,1),36,0)+IF(C1633=DATE(2026,12,2),23,0)))</f>
        <v/>
      </c>
      <c r="K1633" s="13">
        <f>IF(C1633=Options!$B$9,B1633*12,0)</f>
        <v/>
      </c>
      <c r="L1633" s="13">
        <f>IF(C1633=Options!$B$9,B1633*Options!$Z$7,0)</f>
        <v/>
      </c>
      <c r="M1633" s="13" t="n">
        <v>0</v>
      </c>
      <c r="N1633" s="13">
        <f>SUM(E1633:M1633)</f>
        <v/>
      </c>
    </row>
    <row r="1634">
      <c r="A1634" s="5">
        <f>IF(AND(C1634&gt;=Options!$B$9,C1634&lt;=Options!$B$10),"Phoenix","")</f>
        <v/>
      </c>
      <c r="B1634" s="5">
        <f>IF(A1634="","",18)</f>
        <v/>
      </c>
      <c r="C1634" s="17" t="n">
        <v>46465</v>
      </c>
      <c r="D1634" s="5">
        <f>IF(A1634="","",IF(C1634=DATE(2026,11,29),"培训；注册午餐；早餐参数",IF(C1634=DATE(2026,11,30),"培训；注册午餐",IF(C1634=DATE(2026,12,1),"培训；注册午餐；机构晚餐",IF(C1634=Options!$B$9,"抵达；"&amp;IF(C1634=DATE(2026,11,28),"机构晚餐","无统一供餐"),IF(C1634=Options!$B$10,"返程；"&amp;IF(C1634=DATE(2026,12,2),"机构午餐","无统一供餐"),"差旅状态；无统一日程"))))))</f>
        <v/>
      </c>
      <c r="E1634" s="13">
        <f>IF(C1634=Options!$B$9,Options!$C$18,0)</f>
        <v/>
      </c>
      <c r="F1634" s="13">
        <f>IF(AND(A1634&lt;&gt;"",C1634&lt;Options!$B$10),B1634*Options!$X$7,0)</f>
        <v/>
      </c>
      <c r="G1634" s="13">
        <f>F1634*12%</f>
        <v/>
      </c>
      <c r="H1634" s="13">
        <f>IF(A1634="",0,B1634*(86*IF(OR(C1634=Options!$B$9,C1634=Options!$B$10),75%,100%)-IF(C1634=DATE(2026,11,29),23+IF(Options!$B$8="是",22,0),0)-IF(C1634=DATE(2026,11,30),23,0)-IF(C1634=DATE(2026,12,1),59,0)-IF(C1634=DATE(2026,11,28),36,0)-IF(C1634=DATE(2026,12,2),23,0)))</f>
        <v/>
      </c>
      <c r="I1634" s="13">
        <f>IF(AND(C1634&gt;=DATE(2026,11,29),C1634&lt;=DATE(2026,12,1)),B1634*60,0)</f>
        <v/>
      </c>
      <c r="J1634" s="13">
        <f>IF(A1634="",0,B1634*(IF(C1634=DATE(2026,11,28),36,0)+IF(C1634=DATE(2026,12,1),36,0)+IF(C1634=DATE(2026,12,2),23,0)))</f>
        <v/>
      </c>
      <c r="K1634" s="13">
        <f>IF(C1634=Options!$B$9,B1634*12,0)</f>
        <v/>
      </c>
      <c r="L1634" s="13">
        <f>IF(C1634=Options!$B$9,B1634*Options!$Z$7,0)</f>
        <v/>
      </c>
      <c r="M1634" s="13" t="n">
        <v>0</v>
      </c>
      <c r="N1634" s="13">
        <f>SUM(E1634:M1634)</f>
        <v/>
      </c>
    </row>
    <row r="1635">
      <c r="A1635" s="5">
        <f>IF(AND(C1635&gt;=Options!$B$9,C1635&lt;=Options!$B$10),"Phoenix","")</f>
        <v/>
      </c>
      <c r="B1635" s="5">
        <f>IF(A1635="","",18)</f>
        <v/>
      </c>
      <c r="C1635" s="17" t="n">
        <v>46466</v>
      </c>
      <c r="D1635" s="5">
        <f>IF(A1635="","",IF(C1635=DATE(2026,11,29),"培训；注册午餐；早餐参数",IF(C1635=DATE(2026,11,30),"培训；注册午餐",IF(C1635=DATE(2026,12,1),"培训；注册午餐；机构晚餐",IF(C1635=Options!$B$9,"抵达；"&amp;IF(C1635=DATE(2026,11,28),"机构晚餐","无统一供餐"),IF(C1635=Options!$B$10,"返程；"&amp;IF(C1635=DATE(2026,12,2),"机构午餐","无统一供餐"),"差旅状态；无统一日程"))))))</f>
        <v/>
      </c>
      <c r="E1635" s="13">
        <f>IF(C1635=Options!$B$9,Options!$C$18,0)</f>
        <v/>
      </c>
      <c r="F1635" s="13">
        <f>IF(AND(A1635&lt;&gt;"",C1635&lt;Options!$B$10),B1635*Options!$X$7,0)</f>
        <v/>
      </c>
      <c r="G1635" s="13">
        <f>F1635*12%</f>
        <v/>
      </c>
      <c r="H1635" s="13">
        <f>IF(A1635="",0,B1635*(86*IF(OR(C1635=Options!$B$9,C1635=Options!$B$10),75%,100%)-IF(C1635=DATE(2026,11,29),23+IF(Options!$B$8="是",22,0),0)-IF(C1635=DATE(2026,11,30),23,0)-IF(C1635=DATE(2026,12,1),59,0)-IF(C1635=DATE(2026,11,28),36,0)-IF(C1635=DATE(2026,12,2),23,0)))</f>
        <v/>
      </c>
      <c r="I1635" s="13">
        <f>IF(AND(C1635&gt;=DATE(2026,11,29),C1635&lt;=DATE(2026,12,1)),B1635*60,0)</f>
        <v/>
      </c>
      <c r="J1635" s="13">
        <f>IF(A1635="",0,B1635*(IF(C1635=DATE(2026,11,28),36,0)+IF(C1635=DATE(2026,12,1),36,0)+IF(C1635=DATE(2026,12,2),23,0)))</f>
        <v/>
      </c>
      <c r="K1635" s="13">
        <f>IF(C1635=Options!$B$9,B1635*12,0)</f>
        <v/>
      </c>
      <c r="L1635" s="13">
        <f>IF(C1635=Options!$B$9,B1635*Options!$Z$7,0)</f>
        <v/>
      </c>
      <c r="M1635" s="13" t="n">
        <v>0</v>
      </c>
      <c r="N1635" s="13">
        <f>SUM(E1635:M1635)</f>
        <v/>
      </c>
    </row>
    <row r="1636">
      <c r="A1636" s="5">
        <f>IF(AND(C1636&gt;=Options!$B$9,C1636&lt;=Options!$B$10),"Phoenix","")</f>
        <v/>
      </c>
      <c r="B1636" s="5">
        <f>IF(A1636="","",18)</f>
        <v/>
      </c>
      <c r="C1636" s="17" t="n">
        <v>46467</v>
      </c>
      <c r="D1636" s="5">
        <f>IF(A1636="","",IF(C1636=DATE(2026,11,29),"培训；注册午餐；早餐参数",IF(C1636=DATE(2026,11,30),"培训；注册午餐",IF(C1636=DATE(2026,12,1),"培训；注册午餐；机构晚餐",IF(C1636=Options!$B$9,"抵达；"&amp;IF(C1636=DATE(2026,11,28),"机构晚餐","无统一供餐"),IF(C1636=Options!$B$10,"返程；"&amp;IF(C1636=DATE(2026,12,2),"机构午餐","无统一供餐"),"差旅状态；无统一日程"))))))</f>
        <v/>
      </c>
      <c r="E1636" s="13">
        <f>IF(C1636=Options!$B$9,Options!$C$18,0)</f>
        <v/>
      </c>
      <c r="F1636" s="13">
        <f>IF(AND(A1636&lt;&gt;"",C1636&lt;Options!$B$10),B1636*Options!$X$7,0)</f>
        <v/>
      </c>
      <c r="G1636" s="13">
        <f>F1636*12%</f>
        <v/>
      </c>
      <c r="H1636" s="13">
        <f>IF(A1636="",0,B1636*(86*IF(OR(C1636=Options!$B$9,C1636=Options!$B$10),75%,100%)-IF(C1636=DATE(2026,11,29),23+IF(Options!$B$8="是",22,0),0)-IF(C1636=DATE(2026,11,30),23,0)-IF(C1636=DATE(2026,12,1),59,0)-IF(C1636=DATE(2026,11,28),36,0)-IF(C1636=DATE(2026,12,2),23,0)))</f>
        <v/>
      </c>
      <c r="I1636" s="13">
        <f>IF(AND(C1636&gt;=DATE(2026,11,29),C1636&lt;=DATE(2026,12,1)),B1636*60,0)</f>
        <v/>
      </c>
      <c r="J1636" s="13">
        <f>IF(A1636="",0,B1636*(IF(C1636=DATE(2026,11,28),36,0)+IF(C1636=DATE(2026,12,1),36,0)+IF(C1636=DATE(2026,12,2),23,0)))</f>
        <v/>
      </c>
      <c r="K1636" s="13">
        <f>IF(C1636=Options!$B$9,B1636*12,0)</f>
        <v/>
      </c>
      <c r="L1636" s="13">
        <f>IF(C1636=Options!$B$9,B1636*Options!$Z$7,0)</f>
        <v/>
      </c>
      <c r="M1636" s="13" t="n">
        <v>0</v>
      </c>
      <c r="N1636" s="13">
        <f>SUM(E1636:M1636)</f>
        <v/>
      </c>
    </row>
    <row r="1637">
      <c r="A1637" s="5">
        <f>IF(AND(C1637&gt;=Options!$B$9,C1637&lt;=Options!$B$10),"Phoenix","")</f>
        <v/>
      </c>
      <c r="B1637" s="5">
        <f>IF(A1637="","",18)</f>
        <v/>
      </c>
      <c r="C1637" s="17" t="n">
        <v>46468</v>
      </c>
      <c r="D1637" s="5">
        <f>IF(A1637="","",IF(C1637=DATE(2026,11,29),"培训；注册午餐；早餐参数",IF(C1637=DATE(2026,11,30),"培训；注册午餐",IF(C1637=DATE(2026,12,1),"培训；注册午餐；机构晚餐",IF(C1637=Options!$B$9,"抵达；"&amp;IF(C1637=DATE(2026,11,28),"机构晚餐","无统一供餐"),IF(C1637=Options!$B$10,"返程；"&amp;IF(C1637=DATE(2026,12,2),"机构午餐","无统一供餐"),"差旅状态；无统一日程"))))))</f>
        <v/>
      </c>
      <c r="E1637" s="13">
        <f>IF(C1637=Options!$B$9,Options!$C$18,0)</f>
        <v/>
      </c>
      <c r="F1637" s="13">
        <f>IF(AND(A1637&lt;&gt;"",C1637&lt;Options!$B$10),B1637*Options!$X$7,0)</f>
        <v/>
      </c>
      <c r="G1637" s="13">
        <f>F1637*12%</f>
        <v/>
      </c>
      <c r="H1637" s="13">
        <f>IF(A1637="",0,B1637*(86*IF(OR(C1637=Options!$B$9,C1637=Options!$B$10),75%,100%)-IF(C1637=DATE(2026,11,29),23+IF(Options!$B$8="是",22,0),0)-IF(C1637=DATE(2026,11,30),23,0)-IF(C1637=DATE(2026,12,1),59,0)-IF(C1637=DATE(2026,11,28),36,0)-IF(C1637=DATE(2026,12,2),23,0)))</f>
        <v/>
      </c>
      <c r="I1637" s="13">
        <f>IF(AND(C1637&gt;=DATE(2026,11,29),C1637&lt;=DATE(2026,12,1)),B1637*60,0)</f>
        <v/>
      </c>
      <c r="J1637" s="13">
        <f>IF(A1637="",0,B1637*(IF(C1637=DATE(2026,11,28),36,0)+IF(C1637=DATE(2026,12,1),36,0)+IF(C1637=DATE(2026,12,2),23,0)))</f>
        <v/>
      </c>
      <c r="K1637" s="13">
        <f>IF(C1637=Options!$B$9,B1637*12,0)</f>
        <v/>
      </c>
      <c r="L1637" s="13">
        <f>IF(C1637=Options!$B$9,B1637*Options!$Z$7,0)</f>
        <v/>
      </c>
      <c r="M1637" s="13" t="n">
        <v>0</v>
      </c>
      <c r="N1637" s="13">
        <f>SUM(E1637:M1637)</f>
        <v/>
      </c>
    </row>
    <row r="1638">
      <c r="A1638" s="5">
        <f>IF(AND(C1638&gt;=Options!$B$9,C1638&lt;=Options!$B$10),"Phoenix","")</f>
        <v/>
      </c>
      <c r="B1638" s="5">
        <f>IF(A1638="","",18)</f>
        <v/>
      </c>
      <c r="C1638" s="17" t="n">
        <v>46469</v>
      </c>
      <c r="D1638" s="5">
        <f>IF(A1638="","",IF(C1638=DATE(2026,11,29),"培训；注册午餐；早餐参数",IF(C1638=DATE(2026,11,30),"培训；注册午餐",IF(C1638=DATE(2026,12,1),"培训；注册午餐；机构晚餐",IF(C1638=Options!$B$9,"抵达；"&amp;IF(C1638=DATE(2026,11,28),"机构晚餐","无统一供餐"),IF(C1638=Options!$B$10,"返程；"&amp;IF(C1638=DATE(2026,12,2),"机构午餐","无统一供餐"),"差旅状态；无统一日程"))))))</f>
        <v/>
      </c>
      <c r="E1638" s="13">
        <f>IF(C1638=Options!$B$9,Options!$C$18,0)</f>
        <v/>
      </c>
      <c r="F1638" s="13">
        <f>IF(AND(A1638&lt;&gt;"",C1638&lt;Options!$B$10),B1638*Options!$X$7,0)</f>
        <v/>
      </c>
      <c r="G1638" s="13">
        <f>F1638*12%</f>
        <v/>
      </c>
      <c r="H1638" s="13">
        <f>IF(A1638="",0,B1638*(86*IF(OR(C1638=Options!$B$9,C1638=Options!$B$10),75%,100%)-IF(C1638=DATE(2026,11,29),23+IF(Options!$B$8="是",22,0),0)-IF(C1638=DATE(2026,11,30),23,0)-IF(C1638=DATE(2026,12,1),59,0)-IF(C1638=DATE(2026,11,28),36,0)-IF(C1638=DATE(2026,12,2),23,0)))</f>
        <v/>
      </c>
      <c r="I1638" s="13">
        <f>IF(AND(C1638&gt;=DATE(2026,11,29),C1638&lt;=DATE(2026,12,1)),B1638*60,0)</f>
        <v/>
      </c>
      <c r="J1638" s="13">
        <f>IF(A1638="",0,B1638*(IF(C1638=DATE(2026,11,28),36,0)+IF(C1638=DATE(2026,12,1),36,0)+IF(C1638=DATE(2026,12,2),23,0)))</f>
        <v/>
      </c>
      <c r="K1638" s="13">
        <f>IF(C1638=Options!$B$9,B1638*12,0)</f>
        <v/>
      </c>
      <c r="L1638" s="13">
        <f>IF(C1638=Options!$B$9,B1638*Options!$Z$7,0)</f>
        <v/>
      </c>
      <c r="M1638" s="13" t="n">
        <v>0</v>
      </c>
      <c r="N1638" s="13">
        <f>SUM(E1638:M1638)</f>
        <v/>
      </c>
    </row>
    <row r="1639">
      <c r="A1639" s="5">
        <f>IF(AND(C1639&gt;=Options!$B$9,C1639&lt;=Options!$B$10),"Phoenix","")</f>
        <v/>
      </c>
      <c r="B1639" s="5">
        <f>IF(A1639="","",18)</f>
        <v/>
      </c>
      <c r="C1639" s="17" t="n">
        <v>46470</v>
      </c>
      <c r="D1639" s="5">
        <f>IF(A1639="","",IF(C1639=DATE(2026,11,29),"培训；注册午餐；早餐参数",IF(C1639=DATE(2026,11,30),"培训；注册午餐",IF(C1639=DATE(2026,12,1),"培训；注册午餐；机构晚餐",IF(C1639=Options!$B$9,"抵达；"&amp;IF(C1639=DATE(2026,11,28),"机构晚餐","无统一供餐"),IF(C1639=Options!$B$10,"返程；"&amp;IF(C1639=DATE(2026,12,2),"机构午餐","无统一供餐"),"差旅状态；无统一日程"))))))</f>
        <v/>
      </c>
      <c r="E1639" s="13">
        <f>IF(C1639=Options!$B$9,Options!$C$18,0)</f>
        <v/>
      </c>
      <c r="F1639" s="13">
        <f>IF(AND(A1639&lt;&gt;"",C1639&lt;Options!$B$10),B1639*Options!$X$7,0)</f>
        <v/>
      </c>
      <c r="G1639" s="13">
        <f>F1639*12%</f>
        <v/>
      </c>
      <c r="H1639" s="13">
        <f>IF(A1639="",0,B1639*(86*IF(OR(C1639=Options!$B$9,C1639=Options!$B$10),75%,100%)-IF(C1639=DATE(2026,11,29),23+IF(Options!$B$8="是",22,0),0)-IF(C1639=DATE(2026,11,30),23,0)-IF(C1639=DATE(2026,12,1),59,0)-IF(C1639=DATE(2026,11,28),36,0)-IF(C1639=DATE(2026,12,2),23,0)))</f>
        <v/>
      </c>
      <c r="I1639" s="13">
        <f>IF(AND(C1639&gt;=DATE(2026,11,29),C1639&lt;=DATE(2026,12,1)),B1639*60,0)</f>
        <v/>
      </c>
      <c r="J1639" s="13">
        <f>IF(A1639="",0,B1639*(IF(C1639=DATE(2026,11,28),36,0)+IF(C1639=DATE(2026,12,1),36,0)+IF(C1639=DATE(2026,12,2),23,0)))</f>
        <v/>
      </c>
      <c r="K1639" s="13">
        <f>IF(C1639=Options!$B$9,B1639*12,0)</f>
        <v/>
      </c>
      <c r="L1639" s="13">
        <f>IF(C1639=Options!$B$9,B1639*Options!$Z$7,0)</f>
        <v/>
      </c>
      <c r="M1639" s="13" t="n">
        <v>0</v>
      </c>
      <c r="N1639" s="13">
        <f>SUM(E1639:M1639)</f>
        <v/>
      </c>
    </row>
    <row r="1640">
      <c r="A1640" s="5">
        <f>IF(AND(C1640&gt;=Options!$B$9,C1640&lt;=Options!$B$10),"Phoenix","")</f>
        <v/>
      </c>
      <c r="B1640" s="5">
        <f>IF(A1640="","",18)</f>
        <v/>
      </c>
      <c r="C1640" s="17" t="n">
        <v>46471</v>
      </c>
      <c r="D1640" s="5">
        <f>IF(A1640="","",IF(C1640=DATE(2026,11,29),"培训；注册午餐；早餐参数",IF(C1640=DATE(2026,11,30),"培训；注册午餐",IF(C1640=DATE(2026,12,1),"培训；注册午餐；机构晚餐",IF(C1640=Options!$B$9,"抵达；"&amp;IF(C1640=DATE(2026,11,28),"机构晚餐","无统一供餐"),IF(C1640=Options!$B$10,"返程；"&amp;IF(C1640=DATE(2026,12,2),"机构午餐","无统一供餐"),"差旅状态；无统一日程"))))))</f>
        <v/>
      </c>
      <c r="E1640" s="13">
        <f>IF(C1640=Options!$B$9,Options!$C$18,0)</f>
        <v/>
      </c>
      <c r="F1640" s="13">
        <f>IF(AND(A1640&lt;&gt;"",C1640&lt;Options!$B$10),B1640*Options!$X$7,0)</f>
        <v/>
      </c>
      <c r="G1640" s="13">
        <f>F1640*12%</f>
        <v/>
      </c>
      <c r="H1640" s="13">
        <f>IF(A1640="",0,B1640*(86*IF(OR(C1640=Options!$B$9,C1640=Options!$B$10),75%,100%)-IF(C1640=DATE(2026,11,29),23+IF(Options!$B$8="是",22,0),0)-IF(C1640=DATE(2026,11,30),23,0)-IF(C1640=DATE(2026,12,1),59,0)-IF(C1640=DATE(2026,11,28),36,0)-IF(C1640=DATE(2026,12,2),23,0)))</f>
        <v/>
      </c>
      <c r="I1640" s="13">
        <f>IF(AND(C1640&gt;=DATE(2026,11,29),C1640&lt;=DATE(2026,12,1)),B1640*60,0)</f>
        <v/>
      </c>
      <c r="J1640" s="13">
        <f>IF(A1640="",0,B1640*(IF(C1640=DATE(2026,11,28),36,0)+IF(C1640=DATE(2026,12,1),36,0)+IF(C1640=DATE(2026,12,2),23,0)))</f>
        <v/>
      </c>
      <c r="K1640" s="13">
        <f>IF(C1640=Options!$B$9,B1640*12,0)</f>
        <v/>
      </c>
      <c r="L1640" s="13">
        <f>IF(C1640=Options!$B$9,B1640*Options!$Z$7,0)</f>
        <v/>
      </c>
      <c r="M1640" s="13" t="n">
        <v>0</v>
      </c>
      <c r="N1640" s="13">
        <f>SUM(E1640:M1640)</f>
        <v/>
      </c>
    </row>
    <row r="1641">
      <c r="A1641" s="5">
        <f>IF(AND(C1641&gt;=Options!$B$9,C1641&lt;=Options!$B$10),"Phoenix","")</f>
        <v/>
      </c>
      <c r="B1641" s="5">
        <f>IF(A1641="","",18)</f>
        <v/>
      </c>
      <c r="C1641" s="17" t="n">
        <v>46472</v>
      </c>
      <c r="D1641" s="5">
        <f>IF(A1641="","",IF(C1641=DATE(2026,11,29),"培训；注册午餐；早餐参数",IF(C1641=DATE(2026,11,30),"培训；注册午餐",IF(C1641=DATE(2026,12,1),"培训；注册午餐；机构晚餐",IF(C1641=Options!$B$9,"抵达；"&amp;IF(C1641=DATE(2026,11,28),"机构晚餐","无统一供餐"),IF(C1641=Options!$B$10,"返程；"&amp;IF(C1641=DATE(2026,12,2),"机构午餐","无统一供餐"),"差旅状态；无统一日程"))))))</f>
        <v/>
      </c>
      <c r="E1641" s="13">
        <f>IF(C1641=Options!$B$9,Options!$C$18,0)</f>
        <v/>
      </c>
      <c r="F1641" s="13">
        <f>IF(AND(A1641&lt;&gt;"",C1641&lt;Options!$B$10),B1641*Options!$X$7,0)</f>
        <v/>
      </c>
      <c r="G1641" s="13">
        <f>F1641*12%</f>
        <v/>
      </c>
      <c r="H1641" s="13">
        <f>IF(A1641="",0,B1641*(86*IF(OR(C1641=Options!$B$9,C1641=Options!$B$10),75%,100%)-IF(C1641=DATE(2026,11,29),23+IF(Options!$B$8="是",22,0),0)-IF(C1641=DATE(2026,11,30),23,0)-IF(C1641=DATE(2026,12,1),59,0)-IF(C1641=DATE(2026,11,28),36,0)-IF(C1641=DATE(2026,12,2),23,0)))</f>
        <v/>
      </c>
      <c r="I1641" s="13">
        <f>IF(AND(C1641&gt;=DATE(2026,11,29),C1641&lt;=DATE(2026,12,1)),B1641*60,0)</f>
        <v/>
      </c>
      <c r="J1641" s="13">
        <f>IF(A1641="",0,B1641*(IF(C1641=DATE(2026,11,28),36,0)+IF(C1641=DATE(2026,12,1),36,0)+IF(C1641=DATE(2026,12,2),23,0)))</f>
        <v/>
      </c>
      <c r="K1641" s="13">
        <f>IF(C1641=Options!$B$9,B1641*12,0)</f>
        <v/>
      </c>
      <c r="L1641" s="13">
        <f>IF(C1641=Options!$B$9,B1641*Options!$Z$7,0)</f>
        <v/>
      </c>
      <c r="M1641" s="13" t="n">
        <v>0</v>
      </c>
      <c r="N1641" s="13">
        <f>SUM(E1641:M1641)</f>
        <v/>
      </c>
    </row>
    <row r="1642">
      <c r="A1642" s="5">
        <f>IF(AND(C1642&gt;=Options!$B$9,C1642&lt;=Options!$B$10),"Phoenix","")</f>
        <v/>
      </c>
      <c r="B1642" s="5">
        <f>IF(A1642="","",18)</f>
        <v/>
      </c>
      <c r="C1642" s="17" t="n">
        <v>46473</v>
      </c>
      <c r="D1642" s="5">
        <f>IF(A1642="","",IF(C1642=DATE(2026,11,29),"培训；注册午餐；早餐参数",IF(C1642=DATE(2026,11,30),"培训；注册午餐",IF(C1642=DATE(2026,12,1),"培训；注册午餐；机构晚餐",IF(C1642=Options!$B$9,"抵达；"&amp;IF(C1642=DATE(2026,11,28),"机构晚餐","无统一供餐"),IF(C1642=Options!$B$10,"返程；"&amp;IF(C1642=DATE(2026,12,2),"机构午餐","无统一供餐"),"差旅状态；无统一日程"))))))</f>
        <v/>
      </c>
      <c r="E1642" s="13">
        <f>IF(C1642=Options!$B$9,Options!$C$18,0)</f>
        <v/>
      </c>
      <c r="F1642" s="13">
        <f>IF(AND(A1642&lt;&gt;"",C1642&lt;Options!$B$10),B1642*Options!$X$7,0)</f>
        <v/>
      </c>
      <c r="G1642" s="13">
        <f>F1642*12%</f>
        <v/>
      </c>
      <c r="H1642" s="13">
        <f>IF(A1642="",0,B1642*(86*IF(OR(C1642=Options!$B$9,C1642=Options!$B$10),75%,100%)-IF(C1642=DATE(2026,11,29),23+IF(Options!$B$8="是",22,0),0)-IF(C1642=DATE(2026,11,30),23,0)-IF(C1642=DATE(2026,12,1),59,0)-IF(C1642=DATE(2026,11,28),36,0)-IF(C1642=DATE(2026,12,2),23,0)))</f>
        <v/>
      </c>
      <c r="I1642" s="13">
        <f>IF(AND(C1642&gt;=DATE(2026,11,29),C1642&lt;=DATE(2026,12,1)),B1642*60,0)</f>
        <v/>
      </c>
      <c r="J1642" s="13">
        <f>IF(A1642="",0,B1642*(IF(C1642=DATE(2026,11,28),36,0)+IF(C1642=DATE(2026,12,1),36,0)+IF(C1642=DATE(2026,12,2),23,0)))</f>
        <v/>
      </c>
      <c r="K1642" s="13">
        <f>IF(C1642=Options!$B$9,B1642*12,0)</f>
        <v/>
      </c>
      <c r="L1642" s="13">
        <f>IF(C1642=Options!$B$9,B1642*Options!$Z$7,0)</f>
        <v/>
      </c>
      <c r="M1642" s="13" t="n">
        <v>0</v>
      </c>
      <c r="N1642" s="13">
        <f>SUM(E1642:M1642)</f>
        <v/>
      </c>
    </row>
    <row r="1643">
      <c r="A1643" s="5">
        <f>IF(AND(C1643&gt;=Options!$B$9,C1643&lt;=Options!$B$10),"Phoenix","")</f>
        <v/>
      </c>
      <c r="B1643" s="5">
        <f>IF(A1643="","",18)</f>
        <v/>
      </c>
      <c r="C1643" s="17" t="n">
        <v>46474</v>
      </c>
      <c r="D1643" s="5">
        <f>IF(A1643="","",IF(C1643=DATE(2026,11,29),"培训；注册午餐；早餐参数",IF(C1643=DATE(2026,11,30),"培训；注册午餐",IF(C1643=DATE(2026,12,1),"培训；注册午餐；机构晚餐",IF(C1643=Options!$B$9,"抵达；"&amp;IF(C1643=DATE(2026,11,28),"机构晚餐","无统一供餐"),IF(C1643=Options!$B$10,"返程；"&amp;IF(C1643=DATE(2026,12,2),"机构午餐","无统一供餐"),"差旅状态；无统一日程"))))))</f>
        <v/>
      </c>
      <c r="E1643" s="13">
        <f>IF(C1643=Options!$B$9,Options!$C$18,0)</f>
        <v/>
      </c>
      <c r="F1643" s="13">
        <f>IF(AND(A1643&lt;&gt;"",C1643&lt;Options!$B$10),B1643*Options!$X$7,0)</f>
        <v/>
      </c>
      <c r="G1643" s="13">
        <f>F1643*12%</f>
        <v/>
      </c>
      <c r="H1643" s="13">
        <f>IF(A1643="",0,B1643*(86*IF(OR(C1643=Options!$B$9,C1643=Options!$B$10),75%,100%)-IF(C1643=DATE(2026,11,29),23+IF(Options!$B$8="是",22,0),0)-IF(C1643=DATE(2026,11,30),23,0)-IF(C1643=DATE(2026,12,1),59,0)-IF(C1643=DATE(2026,11,28),36,0)-IF(C1643=DATE(2026,12,2),23,0)))</f>
        <v/>
      </c>
      <c r="I1643" s="13">
        <f>IF(AND(C1643&gt;=DATE(2026,11,29),C1643&lt;=DATE(2026,12,1)),B1643*60,0)</f>
        <v/>
      </c>
      <c r="J1643" s="13">
        <f>IF(A1643="",0,B1643*(IF(C1643=DATE(2026,11,28),36,0)+IF(C1643=DATE(2026,12,1),36,0)+IF(C1643=DATE(2026,12,2),23,0)))</f>
        <v/>
      </c>
      <c r="K1643" s="13">
        <f>IF(C1643=Options!$B$9,B1643*12,0)</f>
        <v/>
      </c>
      <c r="L1643" s="13">
        <f>IF(C1643=Options!$B$9,B1643*Options!$Z$7,0)</f>
        <v/>
      </c>
      <c r="M1643" s="13" t="n">
        <v>0</v>
      </c>
      <c r="N1643" s="13">
        <f>SUM(E1643:M1643)</f>
        <v/>
      </c>
    </row>
    <row r="1644">
      <c r="A1644" s="5">
        <f>IF(AND(C1644&gt;=Options!$B$9,C1644&lt;=Options!$B$10),"Phoenix","")</f>
        <v/>
      </c>
      <c r="B1644" s="5">
        <f>IF(A1644="","",18)</f>
        <v/>
      </c>
      <c r="C1644" s="17" t="n">
        <v>46475</v>
      </c>
      <c r="D1644" s="5">
        <f>IF(A1644="","",IF(C1644=DATE(2026,11,29),"培训；注册午餐；早餐参数",IF(C1644=DATE(2026,11,30),"培训；注册午餐",IF(C1644=DATE(2026,12,1),"培训；注册午餐；机构晚餐",IF(C1644=Options!$B$9,"抵达；"&amp;IF(C1644=DATE(2026,11,28),"机构晚餐","无统一供餐"),IF(C1644=Options!$B$10,"返程；"&amp;IF(C1644=DATE(2026,12,2),"机构午餐","无统一供餐"),"差旅状态；无统一日程"))))))</f>
        <v/>
      </c>
      <c r="E1644" s="13">
        <f>IF(C1644=Options!$B$9,Options!$C$18,0)</f>
        <v/>
      </c>
      <c r="F1644" s="13">
        <f>IF(AND(A1644&lt;&gt;"",C1644&lt;Options!$B$10),B1644*Options!$X$7,0)</f>
        <v/>
      </c>
      <c r="G1644" s="13">
        <f>F1644*12%</f>
        <v/>
      </c>
      <c r="H1644" s="13">
        <f>IF(A1644="",0,B1644*(86*IF(OR(C1644=Options!$B$9,C1644=Options!$B$10),75%,100%)-IF(C1644=DATE(2026,11,29),23+IF(Options!$B$8="是",22,0),0)-IF(C1644=DATE(2026,11,30),23,0)-IF(C1644=DATE(2026,12,1),59,0)-IF(C1644=DATE(2026,11,28),36,0)-IF(C1644=DATE(2026,12,2),23,0)))</f>
        <v/>
      </c>
      <c r="I1644" s="13">
        <f>IF(AND(C1644&gt;=DATE(2026,11,29),C1644&lt;=DATE(2026,12,1)),B1644*60,0)</f>
        <v/>
      </c>
      <c r="J1644" s="13">
        <f>IF(A1644="",0,B1644*(IF(C1644=DATE(2026,11,28),36,0)+IF(C1644=DATE(2026,12,1),36,0)+IF(C1644=DATE(2026,12,2),23,0)))</f>
        <v/>
      </c>
      <c r="K1644" s="13">
        <f>IF(C1644=Options!$B$9,B1644*12,0)</f>
        <v/>
      </c>
      <c r="L1644" s="13">
        <f>IF(C1644=Options!$B$9,B1644*Options!$Z$7,0)</f>
        <v/>
      </c>
      <c r="M1644" s="13" t="n">
        <v>0</v>
      </c>
      <c r="N1644" s="13">
        <f>SUM(E1644:M1644)</f>
        <v/>
      </c>
    </row>
    <row r="1645">
      <c r="A1645" s="5">
        <f>IF(AND(C1645&gt;=Options!$B$9,C1645&lt;=Options!$B$10),"Phoenix","")</f>
        <v/>
      </c>
      <c r="B1645" s="5">
        <f>IF(A1645="","",18)</f>
        <v/>
      </c>
      <c r="C1645" s="17" t="n">
        <v>46476</v>
      </c>
      <c r="D1645" s="5">
        <f>IF(A1645="","",IF(C1645=DATE(2026,11,29),"培训；注册午餐；早餐参数",IF(C1645=DATE(2026,11,30),"培训；注册午餐",IF(C1645=DATE(2026,12,1),"培训；注册午餐；机构晚餐",IF(C1645=Options!$B$9,"抵达；"&amp;IF(C1645=DATE(2026,11,28),"机构晚餐","无统一供餐"),IF(C1645=Options!$B$10,"返程；"&amp;IF(C1645=DATE(2026,12,2),"机构午餐","无统一供餐"),"差旅状态；无统一日程"))))))</f>
        <v/>
      </c>
      <c r="E1645" s="13">
        <f>IF(C1645=Options!$B$9,Options!$C$18,0)</f>
        <v/>
      </c>
      <c r="F1645" s="13">
        <f>IF(AND(A1645&lt;&gt;"",C1645&lt;Options!$B$10),B1645*Options!$X$7,0)</f>
        <v/>
      </c>
      <c r="G1645" s="13">
        <f>F1645*12%</f>
        <v/>
      </c>
      <c r="H1645" s="13">
        <f>IF(A1645="",0,B1645*(86*IF(OR(C1645=Options!$B$9,C1645=Options!$B$10),75%,100%)-IF(C1645=DATE(2026,11,29),23+IF(Options!$B$8="是",22,0),0)-IF(C1645=DATE(2026,11,30),23,0)-IF(C1645=DATE(2026,12,1),59,0)-IF(C1645=DATE(2026,11,28),36,0)-IF(C1645=DATE(2026,12,2),23,0)))</f>
        <v/>
      </c>
      <c r="I1645" s="13">
        <f>IF(AND(C1645&gt;=DATE(2026,11,29),C1645&lt;=DATE(2026,12,1)),B1645*60,0)</f>
        <v/>
      </c>
      <c r="J1645" s="13">
        <f>IF(A1645="",0,B1645*(IF(C1645=DATE(2026,11,28),36,0)+IF(C1645=DATE(2026,12,1),36,0)+IF(C1645=DATE(2026,12,2),23,0)))</f>
        <v/>
      </c>
      <c r="K1645" s="13">
        <f>IF(C1645=Options!$B$9,B1645*12,0)</f>
        <v/>
      </c>
      <c r="L1645" s="13">
        <f>IF(C1645=Options!$B$9,B1645*Options!$Z$7,0)</f>
        <v/>
      </c>
      <c r="M1645" s="13" t="n">
        <v>0</v>
      </c>
      <c r="N1645" s="13">
        <f>SUM(E1645:M1645)</f>
        <v/>
      </c>
    </row>
    <row r="1646">
      <c r="A1646" s="5">
        <f>IF(AND(C1646&gt;=Options!$B$9,C1646&lt;=Options!$B$10),"Phoenix","")</f>
        <v/>
      </c>
      <c r="B1646" s="5">
        <f>IF(A1646="","",18)</f>
        <v/>
      </c>
      <c r="C1646" s="17" t="n">
        <v>46477</v>
      </c>
      <c r="D1646" s="5">
        <f>IF(A1646="","",IF(C1646=DATE(2026,11,29),"培训；注册午餐；早餐参数",IF(C1646=DATE(2026,11,30),"培训；注册午餐",IF(C1646=DATE(2026,12,1),"培训；注册午餐；机构晚餐",IF(C1646=Options!$B$9,"抵达；"&amp;IF(C1646=DATE(2026,11,28),"机构晚餐","无统一供餐"),IF(C1646=Options!$B$10,"返程；"&amp;IF(C1646=DATE(2026,12,2),"机构午餐","无统一供餐"),"差旅状态；无统一日程"))))))</f>
        <v/>
      </c>
      <c r="E1646" s="13">
        <f>IF(C1646=Options!$B$9,Options!$C$18,0)</f>
        <v/>
      </c>
      <c r="F1646" s="13">
        <f>IF(AND(A1646&lt;&gt;"",C1646&lt;Options!$B$10),B1646*Options!$X$7,0)</f>
        <v/>
      </c>
      <c r="G1646" s="13">
        <f>F1646*12%</f>
        <v/>
      </c>
      <c r="H1646" s="13">
        <f>IF(A1646="",0,B1646*(86*IF(OR(C1646=Options!$B$9,C1646=Options!$B$10),75%,100%)-IF(C1646=DATE(2026,11,29),23+IF(Options!$B$8="是",22,0),0)-IF(C1646=DATE(2026,11,30),23,0)-IF(C1646=DATE(2026,12,1),59,0)-IF(C1646=DATE(2026,11,28),36,0)-IF(C1646=DATE(2026,12,2),23,0)))</f>
        <v/>
      </c>
      <c r="I1646" s="13">
        <f>IF(AND(C1646&gt;=DATE(2026,11,29),C1646&lt;=DATE(2026,12,1)),B1646*60,0)</f>
        <v/>
      </c>
      <c r="J1646" s="13">
        <f>IF(A1646="",0,B1646*(IF(C1646=DATE(2026,11,28),36,0)+IF(C1646=DATE(2026,12,1),36,0)+IF(C1646=DATE(2026,12,2),23,0)))</f>
        <v/>
      </c>
      <c r="K1646" s="13">
        <f>IF(C1646=Options!$B$9,B1646*12,0)</f>
        <v/>
      </c>
      <c r="L1646" s="13">
        <f>IF(C1646=Options!$B$9,B1646*Options!$Z$7,0)</f>
        <v/>
      </c>
      <c r="M1646" s="13" t="n">
        <v>0</v>
      </c>
      <c r="N1646" s="13">
        <f>SUM(E1646:M1646)</f>
        <v/>
      </c>
    </row>
    <row r="1647">
      <c r="A1647" s="5">
        <f>IF(AND(C1647&gt;=Options!$B$9,C1647&lt;=Options!$B$10),"Phoenix","")</f>
        <v/>
      </c>
      <c r="B1647" s="5">
        <f>IF(A1647="","",18)</f>
        <v/>
      </c>
      <c r="C1647" s="17" t="n">
        <v>46478</v>
      </c>
      <c r="D1647" s="5">
        <f>IF(A1647="","",IF(C1647=DATE(2026,11,29),"培训；注册午餐；早餐参数",IF(C1647=DATE(2026,11,30),"培训；注册午餐",IF(C1647=DATE(2026,12,1),"培训；注册午餐；机构晚餐",IF(C1647=Options!$B$9,"抵达；"&amp;IF(C1647=DATE(2026,11,28),"机构晚餐","无统一供餐"),IF(C1647=Options!$B$10,"返程；"&amp;IF(C1647=DATE(2026,12,2),"机构午餐","无统一供餐"),"差旅状态；无统一日程"))))))</f>
        <v/>
      </c>
      <c r="E1647" s="13">
        <f>IF(C1647=Options!$B$9,Options!$C$18,0)</f>
        <v/>
      </c>
      <c r="F1647" s="13">
        <f>IF(AND(A1647&lt;&gt;"",C1647&lt;Options!$B$10),B1647*Options!$X$7,0)</f>
        <v/>
      </c>
      <c r="G1647" s="13">
        <f>F1647*12%</f>
        <v/>
      </c>
      <c r="H1647" s="13">
        <f>IF(A1647="",0,B1647*(86*IF(OR(C1647=Options!$B$9,C1647=Options!$B$10),75%,100%)-IF(C1647=DATE(2026,11,29),23+IF(Options!$B$8="是",22,0),0)-IF(C1647=DATE(2026,11,30),23,0)-IF(C1647=DATE(2026,12,1),59,0)-IF(C1647=DATE(2026,11,28),36,0)-IF(C1647=DATE(2026,12,2),23,0)))</f>
        <v/>
      </c>
      <c r="I1647" s="13">
        <f>IF(AND(C1647&gt;=DATE(2026,11,29),C1647&lt;=DATE(2026,12,1)),B1647*60,0)</f>
        <v/>
      </c>
      <c r="J1647" s="13">
        <f>IF(A1647="",0,B1647*(IF(C1647=DATE(2026,11,28),36,0)+IF(C1647=DATE(2026,12,1),36,0)+IF(C1647=DATE(2026,12,2),23,0)))</f>
        <v/>
      </c>
      <c r="K1647" s="13">
        <f>IF(C1647=Options!$B$9,B1647*12,0)</f>
        <v/>
      </c>
      <c r="L1647" s="13">
        <f>IF(C1647=Options!$B$9,B1647*Options!$Z$7,0)</f>
        <v/>
      </c>
      <c r="M1647" s="13" t="n">
        <v>0</v>
      </c>
      <c r="N1647" s="13">
        <f>SUM(E1647:M1647)</f>
        <v/>
      </c>
    </row>
    <row r="1648">
      <c r="A1648" s="5">
        <f>IF(AND(C1648&gt;=Options!$B$9,C1648&lt;=Options!$B$10),"Phoenix","")</f>
        <v/>
      </c>
      <c r="B1648" s="5">
        <f>IF(A1648="","",18)</f>
        <v/>
      </c>
      <c r="C1648" s="17" t="n">
        <v>46479</v>
      </c>
      <c r="D1648" s="5">
        <f>IF(A1648="","",IF(C1648=DATE(2026,11,29),"培训；注册午餐；早餐参数",IF(C1648=DATE(2026,11,30),"培训；注册午餐",IF(C1648=DATE(2026,12,1),"培训；注册午餐；机构晚餐",IF(C1648=Options!$B$9,"抵达；"&amp;IF(C1648=DATE(2026,11,28),"机构晚餐","无统一供餐"),IF(C1648=Options!$B$10,"返程；"&amp;IF(C1648=DATE(2026,12,2),"机构午餐","无统一供餐"),"差旅状态；无统一日程"))))))</f>
        <v/>
      </c>
      <c r="E1648" s="13">
        <f>IF(C1648=Options!$B$9,Options!$C$18,0)</f>
        <v/>
      </c>
      <c r="F1648" s="13">
        <f>IF(AND(A1648&lt;&gt;"",C1648&lt;Options!$B$10),B1648*Options!$X$7,0)</f>
        <v/>
      </c>
      <c r="G1648" s="13">
        <f>F1648*12%</f>
        <v/>
      </c>
      <c r="H1648" s="13">
        <f>IF(A1648="",0,B1648*(86*IF(OR(C1648=Options!$B$9,C1648=Options!$B$10),75%,100%)-IF(C1648=DATE(2026,11,29),23+IF(Options!$B$8="是",22,0),0)-IF(C1648=DATE(2026,11,30),23,0)-IF(C1648=DATE(2026,12,1),59,0)-IF(C1648=DATE(2026,11,28),36,0)-IF(C1648=DATE(2026,12,2),23,0)))</f>
        <v/>
      </c>
      <c r="I1648" s="13">
        <f>IF(AND(C1648&gt;=DATE(2026,11,29),C1648&lt;=DATE(2026,12,1)),B1648*60,0)</f>
        <v/>
      </c>
      <c r="J1648" s="13">
        <f>IF(A1648="",0,B1648*(IF(C1648=DATE(2026,11,28),36,0)+IF(C1648=DATE(2026,12,1),36,0)+IF(C1648=DATE(2026,12,2),23,0)))</f>
        <v/>
      </c>
      <c r="K1648" s="13">
        <f>IF(C1648=Options!$B$9,B1648*12,0)</f>
        <v/>
      </c>
      <c r="L1648" s="13">
        <f>IF(C1648=Options!$B$9,B1648*Options!$Z$7,0)</f>
        <v/>
      </c>
      <c r="M1648" s="13" t="n">
        <v>0</v>
      </c>
      <c r="N1648" s="13">
        <f>SUM(E1648:M1648)</f>
        <v/>
      </c>
    </row>
    <row r="1649">
      <c r="A1649" s="5">
        <f>IF(AND(C1649&gt;=Options!$B$9,C1649&lt;=Options!$B$10),"Phoenix","")</f>
        <v/>
      </c>
      <c r="B1649" s="5">
        <f>IF(A1649="","",18)</f>
        <v/>
      </c>
      <c r="C1649" s="17" t="n">
        <v>46480</v>
      </c>
      <c r="D1649" s="5">
        <f>IF(A1649="","",IF(C1649=DATE(2026,11,29),"培训；注册午餐；早餐参数",IF(C1649=DATE(2026,11,30),"培训；注册午餐",IF(C1649=DATE(2026,12,1),"培训；注册午餐；机构晚餐",IF(C1649=Options!$B$9,"抵达；"&amp;IF(C1649=DATE(2026,11,28),"机构晚餐","无统一供餐"),IF(C1649=Options!$B$10,"返程；"&amp;IF(C1649=DATE(2026,12,2),"机构午餐","无统一供餐"),"差旅状态；无统一日程"))))))</f>
        <v/>
      </c>
      <c r="E1649" s="13">
        <f>IF(C1649=Options!$B$9,Options!$C$18,0)</f>
        <v/>
      </c>
      <c r="F1649" s="13">
        <f>IF(AND(A1649&lt;&gt;"",C1649&lt;Options!$B$10),B1649*Options!$X$7,0)</f>
        <v/>
      </c>
      <c r="G1649" s="13">
        <f>F1649*12%</f>
        <v/>
      </c>
      <c r="H1649" s="13">
        <f>IF(A1649="",0,B1649*(86*IF(OR(C1649=Options!$B$9,C1649=Options!$B$10),75%,100%)-IF(C1649=DATE(2026,11,29),23+IF(Options!$B$8="是",22,0),0)-IF(C1649=DATE(2026,11,30),23,0)-IF(C1649=DATE(2026,12,1),59,0)-IF(C1649=DATE(2026,11,28),36,0)-IF(C1649=DATE(2026,12,2),23,0)))</f>
        <v/>
      </c>
      <c r="I1649" s="13">
        <f>IF(AND(C1649&gt;=DATE(2026,11,29),C1649&lt;=DATE(2026,12,1)),B1649*60,0)</f>
        <v/>
      </c>
      <c r="J1649" s="13">
        <f>IF(A1649="",0,B1649*(IF(C1649=DATE(2026,11,28),36,0)+IF(C1649=DATE(2026,12,1),36,0)+IF(C1649=DATE(2026,12,2),23,0)))</f>
        <v/>
      </c>
      <c r="K1649" s="13">
        <f>IF(C1649=Options!$B$9,B1649*12,0)</f>
        <v/>
      </c>
      <c r="L1649" s="13">
        <f>IF(C1649=Options!$B$9,B1649*Options!$Z$7,0)</f>
        <v/>
      </c>
      <c r="M1649" s="13" t="n">
        <v>0</v>
      </c>
      <c r="N1649" s="13">
        <f>SUM(E1649:M1649)</f>
        <v/>
      </c>
    </row>
    <row r="1650">
      <c r="A1650" s="5">
        <f>IF(AND(C1650&gt;=Options!$B$9,C1650&lt;=Options!$B$10),"Phoenix","")</f>
        <v/>
      </c>
      <c r="B1650" s="5">
        <f>IF(A1650="","",18)</f>
        <v/>
      </c>
      <c r="C1650" s="17" t="n">
        <v>46481</v>
      </c>
      <c r="D1650" s="5">
        <f>IF(A1650="","",IF(C1650=DATE(2026,11,29),"培训；注册午餐；早餐参数",IF(C1650=DATE(2026,11,30),"培训；注册午餐",IF(C1650=DATE(2026,12,1),"培训；注册午餐；机构晚餐",IF(C1650=Options!$B$9,"抵达；"&amp;IF(C1650=DATE(2026,11,28),"机构晚餐","无统一供餐"),IF(C1650=Options!$B$10,"返程；"&amp;IF(C1650=DATE(2026,12,2),"机构午餐","无统一供餐"),"差旅状态；无统一日程"))))))</f>
        <v/>
      </c>
      <c r="E1650" s="13">
        <f>IF(C1650=Options!$B$9,Options!$C$18,0)</f>
        <v/>
      </c>
      <c r="F1650" s="13">
        <f>IF(AND(A1650&lt;&gt;"",C1650&lt;Options!$B$10),B1650*Options!$X$7,0)</f>
        <v/>
      </c>
      <c r="G1650" s="13">
        <f>F1650*12%</f>
        <v/>
      </c>
      <c r="H1650" s="13">
        <f>IF(A1650="",0,B1650*(86*IF(OR(C1650=Options!$B$9,C1650=Options!$B$10),75%,100%)-IF(C1650=DATE(2026,11,29),23+IF(Options!$B$8="是",22,0),0)-IF(C1650=DATE(2026,11,30),23,0)-IF(C1650=DATE(2026,12,1),59,0)-IF(C1650=DATE(2026,11,28),36,0)-IF(C1650=DATE(2026,12,2),23,0)))</f>
        <v/>
      </c>
      <c r="I1650" s="13">
        <f>IF(AND(C1650&gt;=DATE(2026,11,29),C1650&lt;=DATE(2026,12,1)),B1650*60,0)</f>
        <v/>
      </c>
      <c r="J1650" s="13">
        <f>IF(A1650="",0,B1650*(IF(C1650=DATE(2026,11,28),36,0)+IF(C1650=DATE(2026,12,1),36,0)+IF(C1650=DATE(2026,12,2),23,0)))</f>
        <v/>
      </c>
      <c r="K1650" s="13">
        <f>IF(C1650=Options!$B$9,B1650*12,0)</f>
        <v/>
      </c>
      <c r="L1650" s="13">
        <f>IF(C1650=Options!$B$9,B1650*Options!$Z$7,0)</f>
        <v/>
      </c>
      <c r="M1650" s="13" t="n">
        <v>0</v>
      </c>
      <c r="N1650" s="13">
        <f>SUM(E1650:M1650)</f>
        <v/>
      </c>
    </row>
    <row r="1651">
      <c r="A1651" s="5">
        <f>IF(AND(C1651&gt;=Options!$B$9,C1651&lt;=Options!$B$10),"Phoenix","")</f>
        <v/>
      </c>
      <c r="B1651" s="5">
        <f>IF(A1651="","",18)</f>
        <v/>
      </c>
      <c r="C1651" s="17" t="n">
        <v>46482</v>
      </c>
      <c r="D1651" s="5">
        <f>IF(A1651="","",IF(C1651=DATE(2026,11,29),"培训；注册午餐；早餐参数",IF(C1651=DATE(2026,11,30),"培训；注册午餐",IF(C1651=DATE(2026,12,1),"培训；注册午餐；机构晚餐",IF(C1651=Options!$B$9,"抵达；"&amp;IF(C1651=DATE(2026,11,28),"机构晚餐","无统一供餐"),IF(C1651=Options!$B$10,"返程；"&amp;IF(C1651=DATE(2026,12,2),"机构午餐","无统一供餐"),"差旅状态；无统一日程"))))))</f>
        <v/>
      </c>
      <c r="E1651" s="13">
        <f>IF(C1651=Options!$B$9,Options!$C$18,0)</f>
        <v/>
      </c>
      <c r="F1651" s="13">
        <f>IF(AND(A1651&lt;&gt;"",C1651&lt;Options!$B$10),B1651*Options!$X$7,0)</f>
        <v/>
      </c>
      <c r="G1651" s="13">
        <f>F1651*12%</f>
        <v/>
      </c>
      <c r="H1651" s="13">
        <f>IF(A1651="",0,B1651*(86*IF(OR(C1651=Options!$B$9,C1651=Options!$B$10),75%,100%)-IF(C1651=DATE(2026,11,29),23+IF(Options!$B$8="是",22,0),0)-IF(C1651=DATE(2026,11,30),23,0)-IF(C1651=DATE(2026,12,1),59,0)-IF(C1651=DATE(2026,11,28),36,0)-IF(C1651=DATE(2026,12,2),23,0)))</f>
        <v/>
      </c>
      <c r="I1651" s="13">
        <f>IF(AND(C1651&gt;=DATE(2026,11,29),C1651&lt;=DATE(2026,12,1)),B1651*60,0)</f>
        <v/>
      </c>
      <c r="J1651" s="13">
        <f>IF(A1651="",0,B1651*(IF(C1651=DATE(2026,11,28),36,0)+IF(C1651=DATE(2026,12,1),36,0)+IF(C1651=DATE(2026,12,2),23,0)))</f>
        <v/>
      </c>
      <c r="K1651" s="13">
        <f>IF(C1651=Options!$B$9,B1651*12,0)</f>
        <v/>
      </c>
      <c r="L1651" s="13">
        <f>IF(C1651=Options!$B$9,B1651*Options!$Z$7,0)</f>
        <v/>
      </c>
      <c r="M1651" s="13" t="n">
        <v>0</v>
      </c>
      <c r="N1651" s="13">
        <f>SUM(E1651:M1651)</f>
        <v/>
      </c>
    </row>
    <row r="1652">
      <c r="A1652" s="5">
        <f>IF(AND(C1652&gt;=Options!$B$9,C1652&lt;=Options!$B$10),"Phoenix","")</f>
        <v/>
      </c>
      <c r="B1652" s="5">
        <f>IF(A1652="","",18)</f>
        <v/>
      </c>
      <c r="C1652" s="17" t="n">
        <v>46483</v>
      </c>
      <c r="D1652" s="5">
        <f>IF(A1652="","",IF(C1652=DATE(2026,11,29),"培训；注册午餐；早餐参数",IF(C1652=DATE(2026,11,30),"培训；注册午餐",IF(C1652=DATE(2026,12,1),"培训；注册午餐；机构晚餐",IF(C1652=Options!$B$9,"抵达；"&amp;IF(C1652=DATE(2026,11,28),"机构晚餐","无统一供餐"),IF(C1652=Options!$B$10,"返程；"&amp;IF(C1652=DATE(2026,12,2),"机构午餐","无统一供餐"),"差旅状态；无统一日程"))))))</f>
        <v/>
      </c>
      <c r="E1652" s="13">
        <f>IF(C1652=Options!$B$9,Options!$C$18,0)</f>
        <v/>
      </c>
      <c r="F1652" s="13">
        <f>IF(AND(A1652&lt;&gt;"",C1652&lt;Options!$B$10),B1652*Options!$X$7,0)</f>
        <v/>
      </c>
      <c r="G1652" s="13">
        <f>F1652*12%</f>
        <v/>
      </c>
      <c r="H1652" s="13">
        <f>IF(A1652="",0,B1652*(86*IF(OR(C1652=Options!$B$9,C1652=Options!$B$10),75%,100%)-IF(C1652=DATE(2026,11,29),23+IF(Options!$B$8="是",22,0),0)-IF(C1652=DATE(2026,11,30),23,0)-IF(C1652=DATE(2026,12,1),59,0)-IF(C1652=DATE(2026,11,28),36,0)-IF(C1652=DATE(2026,12,2),23,0)))</f>
        <v/>
      </c>
      <c r="I1652" s="13">
        <f>IF(AND(C1652&gt;=DATE(2026,11,29),C1652&lt;=DATE(2026,12,1)),B1652*60,0)</f>
        <v/>
      </c>
      <c r="J1652" s="13">
        <f>IF(A1652="",0,B1652*(IF(C1652=DATE(2026,11,28),36,0)+IF(C1652=DATE(2026,12,1),36,0)+IF(C1652=DATE(2026,12,2),23,0)))</f>
        <v/>
      </c>
      <c r="K1652" s="13">
        <f>IF(C1652=Options!$B$9,B1652*12,0)</f>
        <v/>
      </c>
      <c r="L1652" s="13">
        <f>IF(C1652=Options!$B$9,B1652*Options!$Z$7,0)</f>
        <v/>
      </c>
      <c r="M1652" s="13" t="n">
        <v>0</v>
      </c>
      <c r="N1652" s="13">
        <f>SUM(E1652:M1652)</f>
        <v/>
      </c>
    </row>
    <row r="1653">
      <c r="A1653" s="5">
        <f>IF(AND(C1653&gt;=Options!$B$9,C1653&lt;=Options!$B$10),"Phoenix","")</f>
        <v/>
      </c>
      <c r="B1653" s="5">
        <f>IF(A1653="","",18)</f>
        <v/>
      </c>
      <c r="C1653" s="17" t="n">
        <v>46484</v>
      </c>
      <c r="D1653" s="5">
        <f>IF(A1653="","",IF(C1653=DATE(2026,11,29),"培训；注册午餐；早餐参数",IF(C1653=DATE(2026,11,30),"培训；注册午餐",IF(C1653=DATE(2026,12,1),"培训；注册午餐；机构晚餐",IF(C1653=Options!$B$9,"抵达；"&amp;IF(C1653=DATE(2026,11,28),"机构晚餐","无统一供餐"),IF(C1653=Options!$B$10,"返程；"&amp;IF(C1653=DATE(2026,12,2),"机构午餐","无统一供餐"),"差旅状态；无统一日程"))))))</f>
        <v/>
      </c>
      <c r="E1653" s="13">
        <f>IF(C1653=Options!$B$9,Options!$C$18,0)</f>
        <v/>
      </c>
      <c r="F1653" s="13">
        <f>IF(AND(A1653&lt;&gt;"",C1653&lt;Options!$B$10),B1653*Options!$X$7,0)</f>
        <v/>
      </c>
      <c r="G1653" s="13">
        <f>F1653*12%</f>
        <v/>
      </c>
      <c r="H1653" s="13">
        <f>IF(A1653="",0,B1653*(86*IF(OR(C1653=Options!$B$9,C1653=Options!$B$10),75%,100%)-IF(C1653=DATE(2026,11,29),23+IF(Options!$B$8="是",22,0),0)-IF(C1653=DATE(2026,11,30),23,0)-IF(C1653=DATE(2026,12,1),59,0)-IF(C1653=DATE(2026,11,28),36,0)-IF(C1653=DATE(2026,12,2),23,0)))</f>
        <v/>
      </c>
      <c r="I1653" s="13">
        <f>IF(AND(C1653&gt;=DATE(2026,11,29),C1653&lt;=DATE(2026,12,1)),B1653*60,0)</f>
        <v/>
      </c>
      <c r="J1653" s="13">
        <f>IF(A1653="",0,B1653*(IF(C1653=DATE(2026,11,28),36,0)+IF(C1653=DATE(2026,12,1),36,0)+IF(C1653=DATE(2026,12,2),23,0)))</f>
        <v/>
      </c>
      <c r="K1653" s="13">
        <f>IF(C1653=Options!$B$9,B1653*12,0)</f>
        <v/>
      </c>
      <c r="L1653" s="13">
        <f>IF(C1653=Options!$B$9,B1653*Options!$Z$7,0)</f>
        <v/>
      </c>
      <c r="M1653" s="13" t="n">
        <v>0</v>
      </c>
      <c r="N1653" s="13">
        <f>SUM(E1653:M1653)</f>
        <v/>
      </c>
    </row>
    <row r="1654">
      <c r="A1654" s="5">
        <f>IF(AND(C1654&gt;=Options!$B$9,C1654&lt;=Options!$B$10),"Phoenix","")</f>
        <v/>
      </c>
      <c r="B1654" s="5">
        <f>IF(A1654="","",18)</f>
        <v/>
      </c>
      <c r="C1654" s="17" t="n">
        <v>46485</v>
      </c>
      <c r="D1654" s="5">
        <f>IF(A1654="","",IF(C1654=DATE(2026,11,29),"培训；注册午餐；早餐参数",IF(C1654=DATE(2026,11,30),"培训；注册午餐",IF(C1654=DATE(2026,12,1),"培训；注册午餐；机构晚餐",IF(C1654=Options!$B$9,"抵达；"&amp;IF(C1654=DATE(2026,11,28),"机构晚餐","无统一供餐"),IF(C1654=Options!$B$10,"返程；"&amp;IF(C1654=DATE(2026,12,2),"机构午餐","无统一供餐"),"差旅状态；无统一日程"))))))</f>
        <v/>
      </c>
      <c r="E1654" s="13">
        <f>IF(C1654=Options!$B$9,Options!$C$18,0)</f>
        <v/>
      </c>
      <c r="F1654" s="13">
        <f>IF(AND(A1654&lt;&gt;"",C1654&lt;Options!$B$10),B1654*Options!$X$7,0)</f>
        <v/>
      </c>
      <c r="G1654" s="13">
        <f>F1654*12%</f>
        <v/>
      </c>
      <c r="H1654" s="13">
        <f>IF(A1654="",0,B1654*(86*IF(OR(C1654=Options!$B$9,C1654=Options!$B$10),75%,100%)-IF(C1654=DATE(2026,11,29),23+IF(Options!$B$8="是",22,0),0)-IF(C1654=DATE(2026,11,30),23,0)-IF(C1654=DATE(2026,12,1),59,0)-IF(C1654=DATE(2026,11,28),36,0)-IF(C1654=DATE(2026,12,2),23,0)))</f>
        <v/>
      </c>
      <c r="I1654" s="13">
        <f>IF(AND(C1654&gt;=DATE(2026,11,29),C1654&lt;=DATE(2026,12,1)),B1654*60,0)</f>
        <v/>
      </c>
      <c r="J1654" s="13">
        <f>IF(A1654="",0,B1654*(IF(C1654=DATE(2026,11,28),36,0)+IF(C1654=DATE(2026,12,1),36,0)+IF(C1654=DATE(2026,12,2),23,0)))</f>
        <v/>
      </c>
      <c r="K1654" s="13">
        <f>IF(C1654=Options!$B$9,B1654*12,0)</f>
        <v/>
      </c>
      <c r="L1654" s="13">
        <f>IF(C1654=Options!$B$9,B1654*Options!$Z$7,0)</f>
        <v/>
      </c>
      <c r="M1654" s="13" t="n">
        <v>0</v>
      </c>
      <c r="N1654" s="13">
        <f>SUM(E1654:M1654)</f>
        <v/>
      </c>
    </row>
    <row r="1655">
      <c r="A1655" s="5">
        <f>IF(AND(C1655&gt;=Options!$B$9,C1655&lt;=Options!$B$10),"Phoenix","")</f>
        <v/>
      </c>
      <c r="B1655" s="5">
        <f>IF(A1655="","",18)</f>
        <v/>
      </c>
      <c r="C1655" s="17" t="n">
        <v>46486</v>
      </c>
      <c r="D1655" s="5">
        <f>IF(A1655="","",IF(C1655=DATE(2026,11,29),"培训；注册午餐；早餐参数",IF(C1655=DATE(2026,11,30),"培训；注册午餐",IF(C1655=DATE(2026,12,1),"培训；注册午餐；机构晚餐",IF(C1655=Options!$B$9,"抵达；"&amp;IF(C1655=DATE(2026,11,28),"机构晚餐","无统一供餐"),IF(C1655=Options!$B$10,"返程；"&amp;IF(C1655=DATE(2026,12,2),"机构午餐","无统一供餐"),"差旅状态；无统一日程"))))))</f>
        <v/>
      </c>
      <c r="E1655" s="13">
        <f>IF(C1655=Options!$B$9,Options!$C$18,0)</f>
        <v/>
      </c>
      <c r="F1655" s="13">
        <f>IF(AND(A1655&lt;&gt;"",C1655&lt;Options!$B$10),B1655*Options!$X$7,0)</f>
        <v/>
      </c>
      <c r="G1655" s="13">
        <f>F1655*12%</f>
        <v/>
      </c>
      <c r="H1655" s="13">
        <f>IF(A1655="",0,B1655*(86*IF(OR(C1655=Options!$B$9,C1655=Options!$B$10),75%,100%)-IF(C1655=DATE(2026,11,29),23+IF(Options!$B$8="是",22,0),0)-IF(C1655=DATE(2026,11,30),23,0)-IF(C1655=DATE(2026,12,1),59,0)-IF(C1655=DATE(2026,11,28),36,0)-IF(C1655=DATE(2026,12,2),23,0)))</f>
        <v/>
      </c>
      <c r="I1655" s="13">
        <f>IF(AND(C1655&gt;=DATE(2026,11,29),C1655&lt;=DATE(2026,12,1)),B1655*60,0)</f>
        <v/>
      </c>
      <c r="J1655" s="13">
        <f>IF(A1655="",0,B1655*(IF(C1655=DATE(2026,11,28),36,0)+IF(C1655=DATE(2026,12,1),36,0)+IF(C1655=DATE(2026,12,2),23,0)))</f>
        <v/>
      </c>
      <c r="K1655" s="13">
        <f>IF(C1655=Options!$B$9,B1655*12,0)</f>
        <v/>
      </c>
      <c r="L1655" s="13">
        <f>IF(C1655=Options!$B$9,B1655*Options!$Z$7,0)</f>
        <v/>
      </c>
      <c r="M1655" s="13" t="n">
        <v>0</v>
      </c>
      <c r="N1655" s="13">
        <f>SUM(E1655:M1655)</f>
        <v/>
      </c>
    </row>
    <row r="1656">
      <c r="A1656" s="5">
        <f>IF(AND(C1656&gt;=Options!$B$9,C1656&lt;=Options!$B$10),"Phoenix","")</f>
        <v/>
      </c>
      <c r="B1656" s="5">
        <f>IF(A1656="","",18)</f>
        <v/>
      </c>
      <c r="C1656" s="17" t="n">
        <v>46487</v>
      </c>
      <c r="D1656" s="5">
        <f>IF(A1656="","",IF(C1656=DATE(2026,11,29),"培训；注册午餐；早餐参数",IF(C1656=DATE(2026,11,30),"培训；注册午餐",IF(C1656=DATE(2026,12,1),"培训；注册午餐；机构晚餐",IF(C1656=Options!$B$9,"抵达；"&amp;IF(C1656=DATE(2026,11,28),"机构晚餐","无统一供餐"),IF(C1656=Options!$B$10,"返程；"&amp;IF(C1656=DATE(2026,12,2),"机构午餐","无统一供餐"),"差旅状态；无统一日程"))))))</f>
        <v/>
      </c>
      <c r="E1656" s="13">
        <f>IF(C1656=Options!$B$9,Options!$C$18,0)</f>
        <v/>
      </c>
      <c r="F1656" s="13">
        <f>IF(AND(A1656&lt;&gt;"",C1656&lt;Options!$B$10),B1656*Options!$X$7,0)</f>
        <v/>
      </c>
      <c r="G1656" s="13">
        <f>F1656*12%</f>
        <v/>
      </c>
      <c r="H1656" s="13">
        <f>IF(A1656="",0,B1656*(86*IF(OR(C1656=Options!$B$9,C1656=Options!$B$10),75%,100%)-IF(C1656=DATE(2026,11,29),23+IF(Options!$B$8="是",22,0),0)-IF(C1656=DATE(2026,11,30),23,0)-IF(C1656=DATE(2026,12,1),59,0)-IF(C1656=DATE(2026,11,28),36,0)-IF(C1656=DATE(2026,12,2),23,0)))</f>
        <v/>
      </c>
      <c r="I1656" s="13">
        <f>IF(AND(C1656&gt;=DATE(2026,11,29),C1656&lt;=DATE(2026,12,1)),B1656*60,0)</f>
        <v/>
      </c>
      <c r="J1656" s="13">
        <f>IF(A1656="",0,B1656*(IF(C1656=DATE(2026,11,28),36,0)+IF(C1656=DATE(2026,12,1),36,0)+IF(C1656=DATE(2026,12,2),23,0)))</f>
        <v/>
      </c>
      <c r="K1656" s="13">
        <f>IF(C1656=Options!$B$9,B1656*12,0)</f>
        <v/>
      </c>
      <c r="L1656" s="13">
        <f>IF(C1656=Options!$B$9,B1656*Options!$Z$7,0)</f>
        <v/>
      </c>
      <c r="M1656" s="13" t="n">
        <v>0</v>
      </c>
      <c r="N1656" s="13">
        <f>SUM(E1656:M1656)</f>
        <v/>
      </c>
    </row>
    <row r="1657">
      <c r="A1657" s="5">
        <f>IF(AND(C1657&gt;=Options!$B$9,C1657&lt;=Options!$B$10),"Phoenix","")</f>
        <v/>
      </c>
      <c r="B1657" s="5">
        <f>IF(A1657="","",18)</f>
        <v/>
      </c>
      <c r="C1657" s="17" t="n">
        <v>46488</v>
      </c>
      <c r="D1657" s="5">
        <f>IF(A1657="","",IF(C1657=DATE(2026,11,29),"培训；注册午餐；早餐参数",IF(C1657=DATE(2026,11,30),"培训；注册午餐",IF(C1657=DATE(2026,12,1),"培训；注册午餐；机构晚餐",IF(C1657=Options!$B$9,"抵达；"&amp;IF(C1657=DATE(2026,11,28),"机构晚餐","无统一供餐"),IF(C1657=Options!$B$10,"返程；"&amp;IF(C1657=DATE(2026,12,2),"机构午餐","无统一供餐"),"差旅状态；无统一日程"))))))</f>
        <v/>
      </c>
      <c r="E1657" s="13">
        <f>IF(C1657=Options!$B$9,Options!$C$18,0)</f>
        <v/>
      </c>
      <c r="F1657" s="13">
        <f>IF(AND(A1657&lt;&gt;"",C1657&lt;Options!$B$10),B1657*Options!$X$7,0)</f>
        <v/>
      </c>
      <c r="G1657" s="13">
        <f>F1657*12%</f>
        <v/>
      </c>
      <c r="H1657" s="13">
        <f>IF(A1657="",0,B1657*(86*IF(OR(C1657=Options!$B$9,C1657=Options!$B$10),75%,100%)-IF(C1657=DATE(2026,11,29),23+IF(Options!$B$8="是",22,0),0)-IF(C1657=DATE(2026,11,30),23,0)-IF(C1657=DATE(2026,12,1),59,0)-IF(C1657=DATE(2026,11,28),36,0)-IF(C1657=DATE(2026,12,2),23,0)))</f>
        <v/>
      </c>
      <c r="I1657" s="13">
        <f>IF(AND(C1657&gt;=DATE(2026,11,29),C1657&lt;=DATE(2026,12,1)),B1657*60,0)</f>
        <v/>
      </c>
      <c r="J1657" s="13">
        <f>IF(A1657="",0,B1657*(IF(C1657=DATE(2026,11,28),36,0)+IF(C1657=DATE(2026,12,1),36,0)+IF(C1657=DATE(2026,12,2),23,0)))</f>
        <v/>
      </c>
      <c r="K1657" s="13">
        <f>IF(C1657=Options!$B$9,B1657*12,0)</f>
        <v/>
      </c>
      <c r="L1657" s="13">
        <f>IF(C1657=Options!$B$9,B1657*Options!$Z$7,0)</f>
        <v/>
      </c>
      <c r="M1657" s="13" t="n">
        <v>0</v>
      </c>
      <c r="N1657" s="13">
        <f>SUM(E1657:M1657)</f>
        <v/>
      </c>
    </row>
    <row r="1658">
      <c r="A1658" s="5">
        <f>IF(AND(C1658&gt;=Options!$B$9,C1658&lt;=Options!$B$10),"Phoenix","")</f>
        <v/>
      </c>
      <c r="B1658" s="5">
        <f>IF(A1658="","",18)</f>
        <v/>
      </c>
      <c r="C1658" s="17" t="n">
        <v>46489</v>
      </c>
      <c r="D1658" s="5">
        <f>IF(A1658="","",IF(C1658=DATE(2026,11,29),"培训；注册午餐；早餐参数",IF(C1658=DATE(2026,11,30),"培训；注册午餐",IF(C1658=DATE(2026,12,1),"培训；注册午餐；机构晚餐",IF(C1658=Options!$B$9,"抵达；"&amp;IF(C1658=DATE(2026,11,28),"机构晚餐","无统一供餐"),IF(C1658=Options!$B$10,"返程；"&amp;IF(C1658=DATE(2026,12,2),"机构午餐","无统一供餐"),"差旅状态；无统一日程"))))))</f>
        <v/>
      </c>
      <c r="E1658" s="13">
        <f>IF(C1658=Options!$B$9,Options!$C$18,0)</f>
        <v/>
      </c>
      <c r="F1658" s="13">
        <f>IF(AND(A1658&lt;&gt;"",C1658&lt;Options!$B$10),B1658*Options!$X$7,0)</f>
        <v/>
      </c>
      <c r="G1658" s="13">
        <f>F1658*12%</f>
        <v/>
      </c>
      <c r="H1658" s="13">
        <f>IF(A1658="",0,B1658*(86*IF(OR(C1658=Options!$B$9,C1658=Options!$B$10),75%,100%)-IF(C1658=DATE(2026,11,29),23+IF(Options!$B$8="是",22,0),0)-IF(C1658=DATE(2026,11,30),23,0)-IF(C1658=DATE(2026,12,1),59,0)-IF(C1658=DATE(2026,11,28),36,0)-IF(C1658=DATE(2026,12,2),23,0)))</f>
        <v/>
      </c>
      <c r="I1658" s="13">
        <f>IF(AND(C1658&gt;=DATE(2026,11,29),C1658&lt;=DATE(2026,12,1)),B1658*60,0)</f>
        <v/>
      </c>
      <c r="J1658" s="13">
        <f>IF(A1658="",0,B1658*(IF(C1658=DATE(2026,11,28),36,0)+IF(C1658=DATE(2026,12,1),36,0)+IF(C1658=DATE(2026,12,2),23,0)))</f>
        <v/>
      </c>
      <c r="K1658" s="13">
        <f>IF(C1658=Options!$B$9,B1658*12,0)</f>
        <v/>
      </c>
      <c r="L1658" s="13">
        <f>IF(C1658=Options!$B$9,B1658*Options!$Z$7,0)</f>
        <v/>
      </c>
      <c r="M1658" s="13" t="n">
        <v>0</v>
      </c>
      <c r="N1658" s="13">
        <f>SUM(E1658:M1658)</f>
        <v/>
      </c>
    </row>
    <row r="1659">
      <c r="A1659" s="5">
        <f>IF(AND(C1659&gt;=Options!$B$9,C1659&lt;=Options!$B$10),"Phoenix","")</f>
        <v/>
      </c>
      <c r="B1659" s="5">
        <f>IF(A1659="","",18)</f>
        <v/>
      </c>
      <c r="C1659" s="17" t="n">
        <v>46490</v>
      </c>
      <c r="D1659" s="5">
        <f>IF(A1659="","",IF(C1659=DATE(2026,11,29),"培训；注册午餐；早餐参数",IF(C1659=DATE(2026,11,30),"培训；注册午餐",IF(C1659=DATE(2026,12,1),"培训；注册午餐；机构晚餐",IF(C1659=Options!$B$9,"抵达；"&amp;IF(C1659=DATE(2026,11,28),"机构晚餐","无统一供餐"),IF(C1659=Options!$B$10,"返程；"&amp;IF(C1659=DATE(2026,12,2),"机构午餐","无统一供餐"),"差旅状态；无统一日程"))))))</f>
        <v/>
      </c>
      <c r="E1659" s="13">
        <f>IF(C1659=Options!$B$9,Options!$C$18,0)</f>
        <v/>
      </c>
      <c r="F1659" s="13">
        <f>IF(AND(A1659&lt;&gt;"",C1659&lt;Options!$B$10),B1659*Options!$X$7,0)</f>
        <v/>
      </c>
      <c r="G1659" s="13">
        <f>F1659*12%</f>
        <v/>
      </c>
      <c r="H1659" s="13">
        <f>IF(A1659="",0,B1659*(86*IF(OR(C1659=Options!$B$9,C1659=Options!$B$10),75%,100%)-IF(C1659=DATE(2026,11,29),23+IF(Options!$B$8="是",22,0),0)-IF(C1659=DATE(2026,11,30),23,0)-IF(C1659=DATE(2026,12,1),59,0)-IF(C1659=DATE(2026,11,28),36,0)-IF(C1659=DATE(2026,12,2),23,0)))</f>
        <v/>
      </c>
      <c r="I1659" s="13">
        <f>IF(AND(C1659&gt;=DATE(2026,11,29),C1659&lt;=DATE(2026,12,1)),B1659*60,0)</f>
        <v/>
      </c>
      <c r="J1659" s="13">
        <f>IF(A1659="",0,B1659*(IF(C1659=DATE(2026,11,28),36,0)+IF(C1659=DATE(2026,12,1),36,0)+IF(C1659=DATE(2026,12,2),23,0)))</f>
        <v/>
      </c>
      <c r="K1659" s="13">
        <f>IF(C1659=Options!$B$9,B1659*12,0)</f>
        <v/>
      </c>
      <c r="L1659" s="13">
        <f>IF(C1659=Options!$B$9,B1659*Options!$Z$7,0)</f>
        <v/>
      </c>
      <c r="M1659" s="13" t="n">
        <v>0</v>
      </c>
      <c r="N1659" s="13">
        <f>SUM(E1659:M1659)</f>
        <v/>
      </c>
    </row>
    <row r="1660">
      <c r="A1660" s="5">
        <f>IF(AND(C1660&gt;=Options!$B$9,C1660&lt;=Options!$B$10),"Phoenix","")</f>
        <v/>
      </c>
      <c r="B1660" s="5">
        <f>IF(A1660="","",18)</f>
        <v/>
      </c>
      <c r="C1660" s="17" t="n">
        <v>46491</v>
      </c>
      <c r="D1660" s="5">
        <f>IF(A1660="","",IF(C1660=DATE(2026,11,29),"培训；注册午餐；早餐参数",IF(C1660=DATE(2026,11,30),"培训；注册午餐",IF(C1660=DATE(2026,12,1),"培训；注册午餐；机构晚餐",IF(C1660=Options!$B$9,"抵达；"&amp;IF(C1660=DATE(2026,11,28),"机构晚餐","无统一供餐"),IF(C1660=Options!$B$10,"返程；"&amp;IF(C1660=DATE(2026,12,2),"机构午餐","无统一供餐"),"差旅状态；无统一日程"))))))</f>
        <v/>
      </c>
      <c r="E1660" s="13">
        <f>IF(C1660=Options!$B$9,Options!$C$18,0)</f>
        <v/>
      </c>
      <c r="F1660" s="13">
        <f>IF(AND(A1660&lt;&gt;"",C1660&lt;Options!$B$10),B1660*Options!$X$7,0)</f>
        <v/>
      </c>
      <c r="G1660" s="13">
        <f>F1660*12%</f>
        <v/>
      </c>
      <c r="H1660" s="13">
        <f>IF(A1660="",0,B1660*(86*IF(OR(C1660=Options!$B$9,C1660=Options!$B$10),75%,100%)-IF(C1660=DATE(2026,11,29),23+IF(Options!$B$8="是",22,0),0)-IF(C1660=DATE(2026,11,30),23,0)-IF(C1660=DATE(2026,12,1),59,0)-IF(C1660=DATE(2026,11,28),36,0)-IF(C1660=DATE(2026,12,2),23,0)))</f>
        <v/>
      </c>
      <c r="I1660" s="13">
        <f>IF(AND(C1660&gt;=DATE(2026,11,29),C1660&lt;=DATE(2026,12,1)),B1660*60,0)</f>
        <v/>
      </c>
      <c r="J1660" s="13">
        <f>IF(A1660="",0,B1660*(IF(C1660=DATE(2026,11,28),36,0)+IF(C1660=DATE(2026,12,1),36,0)+IF(C1660=DATE(2026,12,2),23,0)))</f>
        <v/>
      </c>
      <c r="K1660" s="13">
        <f>IF(C1660=Options!$B$9,B1660*12,0)</f>
        <v/>
      </c>
      <c r="L1660" s="13">
        <f>IF(C1660=Options!$B$9,B1660*Options!$Z$7,0)</f>
        <v/>
      </c>
      <c r="M1660" s="13" t="n">
        <v>0</v>
      </c>
      <c r="N1660" s="13">
        <f>SUM(E1660:M1660)</f>
        <v/>
      </c>
    </row>
    <row r="1661">
      <c r="A1661" s="5">
        <f>IF(AND(C1661&gt;=Options!$B$9,C1661&lt;=Options!$B$10),"Phoenix","")</f>
        <v/>
      </c>
      <c r="B1661" s="5">
        <f>IF(A1661="","",18)</f>
        <v/>
      </c>
      <c r="C1661" s="17" t="n">
        <v>46492</v>
      </c>
      <c r="D1661" s="5">
        <f>IF(A1661="","",IF(C1661=DATE(2026,11,29),"培训；注册午餐；早餐参数",IF(C1661=DATE(2026,11,30),"培训；注册午餐",IF(C1661=DATE(2026,12,1),"培训；注册午餐；机构晚餐",IF(C1661=Options!$B$9,"抵达；"&amp;IF(C1661=DATE(2026,11,28),"机构晚餐","无统一供餐"),IF(C1661=Options!$B$10,"返程；"&amp;IF(C1661=DATE(2026,12,2),"机构午餐","无统一供餐"),"差旅状态；无统一日程"))))))</f>
        <v/>
      </c>
      <c r="E1661" s="13">
        <f>IF(C1661=Options!$B$9,Options!$C$18,0)</f>
        <v/>
      </c>
      <c r="F1661" s="13">
        <f>IF(AND(A1661&lt;&gt;"",C1661&lt;Options!$B$10),B1661*Options!$X$7,0)</f>
        <v/>
      </c>
      <c r="G1661" s="13">
        <f>F1661*12%</f>
        <v/>
      </c>
      <c r="H1661" s="13">
        <f>IF(A1661="",0,B1661*(86*IF(OR(C1661=Options!$B$9,C1661=Options!$B$10),75%,100%)-IF(C1661=DATE(2026,11,29),23+IF(Options!$B$8="是",22,0),0)-IF(C1661=DATE(2026,11,30),23,0)-IF(C1661=DATE(2026,12,1),59,0)-IF(C1661=DATE(2026,11,28),36,0)-IF(C1661=DATE(2026,12,2),23,0)))</f>
        <v/>
      </c>
      <c r="I1661" s="13">
        <f>IF(AND(C1661&gt;=DATE(2026,11,29),C1661&lt;=DATE(2026,12,1)),B1661*60,0)</f>
        <v/>
      </c>
      <c r="J1661" s="13">
        <f>IF(A1661="",0,B1661*(IF(C1661=DATE(2026,11,28),36,0)+IF(C1661=DATE(2026,12,1),36,0)+IF(C1661=DATE(2026,12,2),23,0)))</f>
        <v/>
      </c>
      <c r="K1661" s="13">
        <f>IF(C1661=Options!$B$9,B1661*12,0)</f>
        <v/>
      </c>
      <c r="L1661" s="13">
        <f>IF(C1661=Options!$B$9,B1661*Options!$Z$7,0)</f>
        <v/>
      </c>
      <c r="M1661" s="13" t="n">
        <v>0</v>
      </c>
      <c r="N1661" s="13">
        <f>SUM(E1661:M1661)</f>
        <v/>
      </c>
    </row>
    <row r="1662">
      <c r="A1662" s="5">
        <f>IF(AND(C1662&gt;=Options!$B$9,C1662&lt;=Options!$B$10),"Phoenix","")</f>
        <v/>
      </c>
      <c r="B1662" s="5">
        <f>IF(A1662="","",18)</f>
        <v/>
      </c>
      <c r="C1662" s="17" t="n">
        <v>46493</v>
      </c>
      <c r="D1662" s="5">
        <f>IF(A1662="","",IF(C1662=DATE(2026,11,29),"培训；注册午餐；早餐参数",IF(C1662=DATE(2026,11,30),"培训；注册午餐",IF(C1662=DATE(2026,12,1),"培训；注册午餐；机构晚餐",IF(C1662=Options!$B$9,"抵达；"&amp;IF(C1662=DATE(2026,11,28),"机构晚餐","无统一供餐"),IF(C1662=Options!$B$10,"返程；"&amp;IF(C1662=DATE(2026,12,2),"机构午餐","无统一供餐"),"差旅状态；无统一日程"))))))</f>
        <v/>
      </c>
      <c r="E1662" s="13">
        <f>IF(C1662=Options!$B$9,Options!$C$18,0)</f>
        <v/>
      </c>
      <c r="F1662" s="13">
        <f>IF(AND(A1662&lt;&gt;"",C1662&lt;Options!$B$10),B1662*Options!$X$7,0)</f>
        <v/>
      </c>
      <c r="G1662" s="13">
        <f>F1662*12%</f>
        <v/>
      </c>
      <c r="H1662" s="13">
        <f>IF(A1662="",0,B1662*(86*IF(OR(C1662=Options!$B$9,C1662=Options!$B$10),75%,100%)-IF(C1662=DATE(2026,11,29),23+IF(Options!$B$8="是",22,0),0)-IF(C1662=DATE(2026,11,30),23,0)-IF(C1662=DATE(2026,12,1),59,0)-IF(C1662=DATE(2026,11,28),36,0)-IF(C1662=DATE(2026,12,2),23,0)))</f>
        <v/>
      </c>
      <c r="I1662" s="13">
        <f>IF(AND(C1662&gt;=DATE(2026,11,29),C1662&lt;=DATE(2026,12,1)),B1662*60,0)</f>
        <v/>
      </c>
      <c r="J1662" s="13">
        <f>IF(A1662="",0,B1662*(IF(C1662=DATE(2026,11,28),36,0)+IF(C1662=DATE(2026,12,1),36,0)+IF(C1662=DATE(2026,12,2),23,0)))</f>
        <v/>
      </c>
      <c r="K1662" s="13">
        <f>IF(C1662=Options!$B$9,B1662*12,0)</f>
        <v/>
      </c>
      <c r="L1662" s="13">
        <f>IF(C1662=Options!$B$9,B1662*Options!$Z$7,0)</f>
        <v/>
      </c>
      <c r="M1662" s="13" t="n">
        <v>0</v>
      </c>
      <c r="N1662" s="13">
        <f>SUM(E1662:M1662)</f>
        <v/>
      </c>
    </row>
    <row r="1663">
      <c r="A1663" s="5">
        <f>IF(AND(C1663&gt;=Options!$B$9,C1663&lt;=Options!$B$10),"Phoenix","")</f>
        <v/>
      </c>
      <c r="B1663" s="5">
        <f>IF(A1663="","",18)</f>
        <v/>
      </c>
      <c r="C1663" s="17" t="n">
        <v>46494</v>
      </c>
      <c r="D1663" s="5">
        <f>IF(A1663="","",IF(C1663=DATE(2026,11,29),"培训；注册午餐；早餐参数",IF(C1663=DATE(2026,11,30),"培训；注册午餐",IF(C1663=DATE(2026,12,1),"培训；注册午餐；机构晚餐",IF(C1663=Options!$B$9,"抵达；"&amp;IF(C1663=DATE(2026,11,28),"机构晚餐","无统一供餐"),IF(C1663=Options!$B$10,"返程；"&amp;IF(C1663=DATE(2026,12,2),"机构午餐","无统一供餐"),"差旅状态；无统一日程"))))))</f>
        <v/>
      </c>
      <c r="E1663" s="13">
        <f>IF(C1663=Options!$B$9,Options!$C$18,0)</f>
        <v/>
      </c>
      <c r="F1663" s="13">
        <f>IF(AND(A1663&lt;&gt;"",C1663&lt;Options!$B$10),B1663*Options!$X$7,0)</f>
        <v/>
      </c>
      <c r="G1663" s="13">
        <f>F1663*12%</f>
        <v/>
      </c>
      <c r="H1663" s="13">
        <f>IF(A1663="",0,B1663*(86*IF(OR(C1663=Options!$B$9,C1663=Options!$B$10),75%,100%)-IF(C1663=DATE(2026,11,29),23+IF(Options!$B$8="是",22,0),0)-IF(C1663=DATE(2026,11,30),23,0)-IF(C1663=DATE(2026,12,1),59,0)-IF(C1663=DATE(2026,11,28),36,0)-IF(C1663=DATE(2026,12,2),23,0)))</f>
        <v/>
      </c>
      <c r="I1663" s="13">
        <f>IF(AND(C1663&gt;=DATE(2026,11,29),C1663&lt;=DATE(2026,12,1)),B1663*60,0)</f>
        <v/>
      </c>
      <c r="J1663" s="13">
        <f>IF(A1663="",0,B1663*(IF(C1663=DATE(2026,11,28),36,0)+IF(C1663=DATE(2026,12,1),36,0)+IF(C1663=DATE(2026,12,2),23,0)))</f>
        <v/>
      </c>
      <c r="K1663" s="13">
        <f>IF(C1663=Options!$B$9,B1663*12,0)</f>
        <v/>
      </c>
      <c r="L1663" s="13">
        <f>IF(C1663=Options!$B$9,B1663*Options!$Z$7,0)</f>
        <v/>
      </c>
      <c r="M1663" s="13" t="n">
        <v>0</v>
      </c>
      <c r="N1663" s="13">
        <f>SUM(E1663:M1663)</f>
        <v/>
      </c>
    </row>
    <row r="1664">
      <c r="A1664" s="5">
        <f>IF(AND(C1664&gt;=Options!$B$9,C1664&lt;=Options!$B$10),"Phoenix","")</f>
        <v/>
      </c>
      <c r="B1664" s="5">
        <f>IF(A1664="","",18)</f>
        <v/>
      </c>
      <c r="C1664" s="17" t="n">
        <v>46495</v>
      </c>
      <c r="D1664" s="5">
        <f>IF(A1664="","",IF(C1664=DATE(2026,11,29),"培训；注册午餐；早餐参数",IF(C1664=DATE(2026,11,30),"培训；注册午餐",IF(C1664=DATE(2026,12,1),"培训；注册午餐；机构晚餐",IF(C1664=Options!$B$9,"抵达；"&amp;IF(C1664=DATE(2026,11,28),"机构晚餐","无统一供餐"),IF(C1664=Options!$B$10,"返程；"&amp;IF(C1664=DATE(2026,12,2),"机构午餐","无统一供餐"),"差旅状态；无统一日程"))))))</f>
        <v/>
      </c>
      <c r="E1664" s="13">
        <f>IF(C1664=Options!$B$9,Options!$C$18,0)</f>
        <v/>
      </c>
      <c r="F1664" s="13">
        <f>IF(AND(A1664&lt;&gt;"",C1664&lt;Options!$B$10),B1664*Options!$X$7,0)</f>
        <v/>
      </c>
      <c r="G1664" s="13">
        <f>F1664*12%</f>
        <v/>
      </c>
      <c r="H1664" s="13">
        <f>IF(A1664="",0,B1664*(86*IF(OR(C1664=Options!$B$9,C1664=Options!$B$10),75%,100%)-IF(C1664=DATE(2026,11,29),23+IF(Options!$B$8="是",22,0),0)-IF(C1664=DATE(2026,11,30),23,0)-IF(C1664=DATE(2026,12,1),59,0)-IF(C1664=DATE(2026,11,28),36,0)-IF(C1664=DATE(2026,12,2),23,0)))</f>
        <v/>
      </c>
      <c r="I1664" s="13">
        <f>IF(AND(C1664&gt;=DATE(2026,11,29),C1664&lt;=DATE(2026,12,1)),B1664*60,0)</f>
        <v/>
      </c>
      <c r="J1664" s="13">
        <f>IF(A1664="",0,B1664*(IF(C1664=DATE(2026,11,28),36,0)+IF(C1664=DATE(2026,12,1),36,0)+IF(C1664=DATE(2026,12,2),23,0)))</f>
        <v/>
      </c>
      <c r="K1664" s="13">
        <f>IF(C1664=Options!$B$9,B1664*12,0)</f>
        <v/>
      </c>
      <c r="L1664" s="13">
        <f>IF(C1664=Options!$B$9,B1664*Options!$Z$7,0)</f>
        <v/>
      </c>
      <c r="M1664" s="13" t="n">
        <v>0</v>
      </c>
      <c r="N1664" s="13">
        <f>SUM(E1664:M1664)</f>
        <v/>
      </c>
    </row>
    <row r="1665">
      <c r="A1665" s="5">
        <f>IF(AND(C1665&gt;=Options!$B$9,C1665&lt;=Options!$B$10),"Phoenix","")</f>
        <v/>
      </c>
      <c r="B1665" s="5">
        <f>IF(A1665="","",18)</f>
        <v/>
      </c>
      <c r="C1665" s="17" t="n">
        <v>46496</v>
      </c>
      <c r="D1665" s="5">
        <f>IF(A1665="","",IF(C1665=DATE(2026,11,29),"培训；注册午餐；早餐参数",IF(C1665=DATE(2026,11,30),"培训；注册午餐",IF(C1665=DATE(2026,12,1),"培训；注册午餐；机构晚餐",IF(C1665=Options!$B$9,"抵达；"&amp;IF(C1665=DATE(2026,11,28),"机构晚餐","无统一供餐"),IF(C1665=Options!$B$10,"返程；"&amp;IF(C1665=DATE(2026,12,2),"机构午餐","无统一供餐"),"差旅状态；无统一日程"))))))</f>
        <v/>
      </c>
      <c r="E1665" s="13">
        <f>IF(C1665=Options!$B$9,Options!$C$18,0)</f>
        <v/>
      </c>
      <c r="F1665" s="13">
        <f>IF(AND(A1665&lt;&gt;"",C1665&lt;Options!$B$10),B1665*Options!$X$7,0)</f>
        <v/>
      </c>
      <c r="G1665" s="13">
        <f>F1665*12%</f>
        <v/>
      </c>
      <c r="H1665" s="13">
        <f>IF(A1665="",0,B1665*(86*IF(OR(C1665=Options!$B$9,C1665=Options!$B$10),75%,100%)-IF(C1665=DATE(2026,11,29),23+IF(Options!$B$8="是",22,0),0)-IF(C1665=DATE(2026,11,30),23,0)-IF(C1665=DATE(2026,12,1),59,0)-IF(C1665=DATE(2026,11,28),36,0)-IF(C1665=DATE(2026,12,2),23,0)))</f>
        <v/>
      </c>
      <c r="I1665" s="13">
        <f>IF(AND(C1665&gt;=DATE(2026,11,29),C1665&lt;=DATE(2026,12,1)),B1665*60,0)</f>
        <v/>
      </c>
      <c r="J1665" s="13">
        <f>IF(A1665="",0,B1665*(IF(C1665=DATE(2026,11,28),36,0)+IF(C1665=DATE(2026,12,1),36,0)+IF(C1665=DATE(2026,12,2),23,0)))</f>
        <v/>
      </c>
      <c r="K1665" s="13">
        <f>IF(C1665=Options!$B$9,B1665*12,0)</f>
        <v/>
      </c>
      <c r="L1665" s="13">
        <f>IF(C1665=Options!$B$9,B1665*Options!$Z$7,0)</f>
        <v/>
      </c>
      <c r="M1665" s="13" t="n">
        <v>0</v>
      </c>
      <c r="N1665" s="13">
        <f>SUM(E1665:M1665)</f>
        <v/>
      </c>
    </row>
    <row r="1666">
      <c r="A1666" s="5">
        <f>IF(AND(C1666&gt;=Options!$B$9,C1666&lt;=Options!$B$10),"Phoenix","")</f>
        <v/>
      </c>
      <c r="B1666" s="5">
        <f>IF(A1666="","",18)</f>
        <v/>
      </c>
      <c r="C1666" s="17" t="n">
        <v>46497</v>
      </c>
      <c r="D1666" s="5">
        <f>IF(A1666="","",IF(C1666=DATE(2026,11,29),"培训；注册午餐；早餐参数",IF(C1666=DATE(2026,11,30),"培训；注册午餐",IF(C1666=DATE(2026,12,1),"培训；注册午餐；机构晚餐",IF(C1666=Options!$B$9,"抵达；"&amp;IF(C1666=DATE(2026,11,28),"机构晚餐","无统一供餐"),IF(C1666=Options!$B$10,"返程；"&amp;IF(C1666=DATE(2026,12,2),"机构午餐","无统一供餐"),"差旅状态；无统一日程"))))))</f>
        <v/>
      </c>
      <c r="E1666" s="13">
        <f>IF(C1666=Options!$B$9,Options!$C$18,0)</f>
        <v/>
      </c>
      <c r="F1666" s="13">
        <f>IF(AND(A1666&lt;&gt;"",C1666&lt;Options!$B$10),B1666*Options!$X$7,0)</f>
        <v/>
      </c>
      <c r="G1666" s="13">
        <f>F1666*12%</f>
        <v/>
      </c>
      <c r="H1666" s="13">
        <f>IF(A1666="",0,B1666*(86*IF(OR(C1666=Options!$B$9,C1666=Options!$B$10),75%,100%)-IF(C1666=DATE(2026,11,29),23+IF(Options!$B$8="是",22,0),0)-IF(C1666=DATE(2026,11,30),23,0)-IF(C1666=DATE(2026,12,1),59,0)-IF(C1666=DATE(2026,11,28),36,0)-IF(C1666=DATE(2026,12,2),23,0)))</f>
        <v/>
      </c>
      <c r="I1666" s="13">
        <f>IF(AND(C1666&gt;=DATE(2026,11,29),C1666&lt;=DATE(2026,12,1)),B1666*60,0)</f>
        <v/>
      </c>
      <c r="J1666" s="13">
        <f>IF(A1666="",0,B1666*(IF(C1666=DATE(2026,11,28),36,0)+IF(C1666=DATE(2026,12,1),36,0)+IF(C1666=DATE(2026,12,2),23,0)))</f>
        <v/>
      </c>
      <c r="K1666" s="13">
        <f>IF(C1666=Options!$B$9,B1666*12,0)</f>
        <v/>
      </c>
      <c r="L1666" s="13">
        <f>IF(C1666=Options!$B$9,B1666*Options!$Z$7,0)</f>
        <v/>
      </c>
      <c r="M1666" s="13" t="n">
        <v>0</v>
      </c>
      <c r="N1666" s="13">
        <f>SUM(E1666:M1666)</f>
        <v/>
      </c>
    </row>
    <row r="1667">
      <c r="A1667" s="5">
        <f>IF(AND(C1667&gt;=Options!$B$9,C1667&lt;=Options!$B$10),"Phoenix","")</f>
        <v/>
      </c>
      <c r="B1667" s="5">
        <f>IF(A1667="","",18)</f>
        <v/>
      </c>
      <c r="C1667" s="17" t="n">
        <v>46498</v>
      </c>
      <c r="D1667" s="5">
        <f>IF(A1667="","",IF(C1667=DATE(2026,11,29),"培训；注册午餐；早餐参数",IF(C1667=DATE(2026,11,30),"培训；注册午餐",IF(C1667=DATE(2026,12,1),"培训；注册午餐；机构晚餐",IF(C1667=Options!$B$9,"抵达；"&amp;IF(C1667=DATE(2026,11,28),"机构晚餐","无统一供餐"),IF(C1667=Options!$B$10,"返程；"&amp;IF(C1667=DATE(2026,12,2),"机构午餐","无统一供餐"),"差旅状态；无统一日程"))))))</f>
        <v/>
      </c>
      <c r="E1667" s="13">
        <f>IF(C1667=Options!$B$9,Options!$C$18,0)</f>
        <v/>
      </c>
      <c r="F1667" s="13">
        <f>IF(AND(A1667&lt;&gt;"",C1667&lt;Options!$B$10),B1667*Options!$X$7,0)</f>
        <v/>
      </c>
      <c r="G1667" s="13">
        <f>F1667*12%</f>
        <v/>
      </c>
      <c r="H1667" s="13">
        <f>IF(A1667="",0,B1667*(86*IF(OR(C1667=Options!$B$9,C1667=Options!$B$10),75%,100%)-IF(C1667=DATE(2026,11,29),23+IF(Options!$B$8="是",22,0),0)-IF(C1667=DATE(2026,11,30),23,0)-IF(C1667=DATE(2026,12,1),59,0)-IF(C1667=DATE(2026,11,28),36,0)-IF(C1667=DATE(2026,12,2),23,0)))</f>
        <v/>
      </c>
      <c r="I1667" s="13">
        <f>IF(AND(C1667&gt;=DATE(2026,11,29),C1667&lt;=DATE(2026,12,1)),B1667*60,0)</f>
        <v/>
      </c>
      <c r="J1667" s="13">
        <f>IF(A1667="",0,B1667*(IF(C1667=DATE(2026,11,28),36,0)+IF(C1667=DATE(2026,12,1),36,0)+IF(C1667=DATE(2026,12,2),23,0)))</f>
        <v/>
      </c>
      <c r="K1667" s="13">
        <f>IF(C1667=Options!$B$9,B1667*12,0)</f>
        <v/>
      </c>
      <c r="L1667" s="13">
        <f>IF(C1667=Options!$B$9,B1667*Options!$Z$7,0)</f>
        <v/>
      </c>
      <c r="M1667" s="13" t="n">
        <v>0</v>
      </c>
      <c r="N1667" s="13">
        <f>SUM(E1667:M1667)</f>
        <v/>
      </c>
    </row>
    <row r="1668">
      <c r="A1668" s="5">
        <f>IF(AND(C1668&gt;=Options!$B$9,C1668&lt;=Options!$B$10),"Phoenix","")</f>
        <v/>
      </c>
      <c r="B1668" s="5">
        <f>IF(A1668="","",18)</f>
        <v/>
      </c>
      <c r="C1668" s="17" t="n">
        <v>46499</v>
      </c>
      <c r="D1668" s="5">
        <f>IF(A1668="","",IF(C1668=DATE(2026,11,29),"培训；注册午餐；早餐参数",IF(C1668=DATE(2026,11,30),"培训；注册午餐",IF(C1668=DATE(2026,12,1),"培训；注册午餐；机构晚餐",IF(C1668=Options!$B$9,"抵达；"&amp;IF(C1668=DATE(2026,11,28),"机构晚餐","无统一供餐"),IF(C1668=Options!$B$10,"返程；"&amp;IF(C1668=DATE(2026,12,2),"机构午餐","无统一供餐"),"差旅状态；无统一日程"))))))</f>
        <v/>
      </c>
      <c r="E1668" s="13">
        <f>IF(C1668=Options!$B$9,Options!$C$18,0)</f>
        <v/>
      </c>
      <c r="F1668" s="13">
        <f>IF(AND(A1668&lt;&gt;"",C1668&lt;Options!$B$10),B1668*Options!$X$7,0)</f>
        <v/>
      </c>
      <c r="G1668" s="13">
        <f>F1668*12%</f>
        <v/>
      </c>
      <c r="H1668" s="13">
        <f>IF(A1668="",0,B1668*(86*IF(OR(C1668=Options!$B$9,C1668=Options!$B$10),75%,100%)-IF(C1668=DATE(2026,11,29),23+IF(Options!$B$8="是",22,0),0)-IF(C1668=DATE(2026,11,30),23,0)-IF(C1668=DATE(2026,12,1),59,0)-IF(C1668=DATE(2026,11,28),36,0)-IF(C1668=DATE(2026,12,2),23,0)))</f>
        <v/>
      </c>
      <c r="I1668" s="13">
        <f>IF(AND(C1668&gt;=DATE(2026,11,29),C1668&lt;=DATE(2026,12,1)),B1668*60,0)</f>
        <v/>
      </c>
      <c r="J1668" s="13">
        <f>IF(A1668="",0,B1668*(IF(C1668=DATE(2026,11,28),36,0)+IF(C1668=DATE(2026,12,1),36,0)+IF(C1668=DATE(2026,12,2),23,0)))</f>
        <v/>
      </c>
      <c r="K1668" s="13">
        <f>IF(C1668=Options!$B$9,B1668*12,0)</f>
        <v/>
      </c>
      <c r="L1668" s="13">
        <f>IF(C1668=Options!$B$9,B1668*Options!$Z$7,0)</f>
        <v/>
      </c>
      <c r="M1668" s="13" t="n">
        <v>0</v>
      </c>
      <c r="N1668" s="13">
        <f>SUM(E1668:M1668)</f>
        <v/>
      </c>
    </row>
    <row r="1669">
      <c r="A1669" s="5">
        <f>IF(AND(C1669&gt;=Options!$B$9,C1669&lt;=Options!$B$10),"Phoenix","")</f>
        <v/>
      </c>
      <c r="B1669" s="5">
        <f>IF(A1669="","",18)</f>
        <v/>
      </c>
      <c r="C1669" s="17" t="n">
        <v>46500</v>
      </c>
      <c r="D1669" s="5">
        <f>IF(A1669="","",IF(C1669=DATE(2026,11,29),"培训；注册午餐；早餐参数",IF(C1669=DATE(2026,11,30),"培训；注册午餐",IF(C1669=DATE(2026,12,1),"培训；注册午餐；机构晚餐",IF(C1669=Options!$B$9,"抵达；"&amp;IF(C1669=DATE(2026,11,28),"机构晚餐","无统一供餐"),IF(C1669=Options!$B$10,"返程；"&amp;IF(C1669=DATE(2026,12,2),"机构午餐","无统一供餐"),"差旅状态；无统一日程"))))))</f>
        <v/>
      </c>
      <c r="E1669" s="13">
        <f>IF(C1669=Options!$B$9,Options!$C$18,0)</f>
        <v/>
      </c>
      <c r="F1669" s="13">
        <f>IF(AND(A1669&lt;&gt;"",C1669&lt;Options!$B$10),B1669*Options!$X$7,0)</f>
        <v/>
      </c>
      <c r="G1669" s="13">
        <f>F1669*12%</f>
        <v/>
      </c>
      <c r="H1669" s="13">
        <f>IF(A1669="",0,B1669*(86*IF(OR(C1669=Options!$B$9,C1669=Options!$B$10),75%,100%)-IF(C1669=DATE(2026,11,29),23+IF(Options!$B$8="是",22,0),0)-IF(C1669=DATE(2026,11,30),23,0)-IF(C1669=DATE(2026,12,1),59,0)-IF(C1669=DATE(2026,11,28),36,0)-IF(C1669=DATE(2026,12,2),23,0)))</f>
        <v/>
      </c>
      <c r="I1669" s="13">
        <f>IF(AND(C1669&gt;=DATE(2026,11,29),C1669&lt;=DATE(2026,12,1)),B1669*60,0)</f>
        <v/>
      </c>
      <c r="J1669" s="13">
        <f>IF(A1669="",0,B1669*(IF(C1669=DATE(2026,11,28),36,0)+IF(C1669=DATE(2026,12,1),36,0)+IF(C1669=DATE(2026,12,2),23,0)))</f>
        <v/>
      </c>
      <c r="K1669" s="13">
        <f>IF(C1669=Options!$B$9,B1669*12,0)</f>
        <v/>
      </c>
      <c r="L1669" s="13">
        <f>IF(C1669=Options!$B$9,B1669*Options!$Z$7,0)</f>
        <v/>
      </c>
      <c r="M1669" s="13" t="n">
        <v>0</v>
      </c>
      <c r="N1669" s="13">
        <f>SUM(E1669:M1669)</f>
        <v/>
      </c>
    </row>
    <row r="1670">
      <c r="A1670" s="5">
        <f>IF(AND(C1670&gt;=Options!$B$9,C1670&lt;=Options!$B$10),"Phoenix","")</f>
        <v/>
      </c>
      <c r="B1670" s="5">
        <f>IF(A1670="","",18)</f>
        <v/>
      </c>
      <c r="C1670" s="17" t="n">
        <v>46501</v>
      </c>
      <c r="D1670" s="5">
        <f>IF(A1670="","",IF(C1670=DATE(2026,11,29),"培训；注册午餐；早餐参数",IF(C1670=DATE(2026,11,30),"培训；注册午餐",IF(C1670=DATE(2026,12,1),"培训；注册午餐；机构晚餐",IF(C1670=Options!$B$9,"抵达；"&amp;IF(C1670=DATE(2026,11,28),"机构晚餐","无统一供餐"),IF(C1670=Options!$B$10,"返程；"&amp;IF(C1670=DATE(2026,12,2),"机构午餐","无统一供餐"),"差旅状态；无统一日程"))))))</f>
        <v/>
      </c>
      <c r="E1670" s="13">
        <f>IF(C1670=Options!$B$9,Options!$C$18,0)</f>
        <v/>
      </c>
      <c r="F1670" s="13">
        <f>IF(AND(A1670&lt;&gt;"",C1670&lt;Options!$B$10),B1670*Options!$X$7,0)</f>
        <v/>
      </c>
      <c r="G1670" s="13">
        <f>F1670*12%</f>
        <v/>
      </c>
      <c r="H1670" s="13">
        <f>IF(A1670="",0,B1670*(86*IF(OR(C1670=Options!$B$9,C1670=Options!$B$10),75%,100%)-IF(C1670=DATE(2026,11,29),23+IF(Options!$B$8="是",22,0),0)-IF(C1670=DATE(2026,11,30),23,0)-IF(C1670=DATE(2026,12,1),59,0)-IF(C1670=DATE(2026,11,28),36,0)-IF(C1670=DATE(2026,12,2),23,0)))</f>
        <v/>
      </c>
      <c r="I1670" s="13">
        <f>IF(AND(C1670&gt;=DATE(2026,11,29),C1670&lt;=DATE(2026,12,1)),B1670*60,0)</f>
        <v/>
      </c>
      <c r="J1670" s="13">
        <f>IF(A1670="",0,B1670*(IF(C1670=DATE(2026,11,28),36,0)+IF(C1670=DATE(2026,12,1),36,0)+IF(C1670=DATE(2026,12,2),23,0)))</f>
        <v/>
      </c>
      <c r="K1670" s="13">
        <f>IF(C1670=Options!$B$9,B1670*12,0)</f>
        <v/>
      </c>
      <c r="L1670" s="13">
        <f>IF(C1670=Options!$B$9,B1670*Options!$Z$7,0)</f>
        <v/>
      </c>
      <c r="M1670" s="13" t="n">
        <v>0</v>
      </c>
      <c r="N1670" s="13">
        <f>SUM(E1670:M1670)</f>
        <v/>
      </c>
    </row>
    <row r="1671">
      <c r="A1671" s="5">
        <f>IF(AND(C1671&gt;=Options!$B$9,C1671&lt;=Options!$B$10),"Phoenix","")</f>
        <v/>
      </c>
      <c r="B1671" s="5">
        <f>IF(A1671="","",18)</f>
        <v/>
      </c>
      <c r="C1671" s="17" t="n">
        <v>46502</v>
      </c>
      <c r="D1671" s="5">
        <f>IF(A1671="","",IF(C1671=DATE(2026,11,29),"培训；注册午餐；早餐参数",IF(C1671=DATE(2026,11,30),"培训；注册午餐",IF(C1671=DATE(2026,12,1),"培训；注册午餐；机构晚餐",IF(C1671=Options!$B$9,"抵达；"&amp;IF(C1671=DATE(2026,11,28),"机构晚餐","无统一供餐"),IF(C1671=Options!$B$10,"返程；"&amp;IF(C1671=DATE(2026,12,2),"机构午餐","无统一供餐"),"差旅状态；无统一日程"))))))</f>
        <v/>
      </c>
      <c r="E1671" s="13">
        <f>IF(C1671=Options!$B$9,Options!$C$18,0)</f>
        <v/>
      </c>
      <c r="F1671" s="13">
        <f>IF(AND(A1671&lt;&gt;"",C1671&lt;Options!$B$10),B1671*Options!$X$7,0)</f>
        <v/>
      </c>
      <c r="G1671" s="13">
        <f>F1671*12%</f>
        <v/>
      </c>
      <c r="H1671" s="13">
        <f>IF(A1671="",0,B1671*(86*IF(OR(C1671=Options!$B$9,C1671=Options!$B$10),75%,100%)-IF(C1671=DATE(2026,11,29),23+IF(Options!$B$8="是",22,0),0)-IF(C1671=DATE(2026,11,30),23,0)-IF(C1671=DATE(2026,12,1),59,0)-IF(C1671=DATE(2026,11,28),36,0)-IF(C1671=DATE(2026,12,2),23,0)))</f>
        <v/>
      </c>
      <c r="I1671" s="13">
        <f>IF(AND(C1671&gt;=DATE(2026,11,29),C1671&lt;=DATE(2026,12,1)),B1671*60,0)</f>
        <v/>
      </c>
      <c r="J1671" s="13">
        <f>IF(A1671="",0,B1671*(IF(C1671=DATE(2026,11,28),36,0)+IF(C1671=DATE(2026,12,1),36,0)+IF(C1671=DATE(2026,12,2),23,0)))</f>
        <v/>
      </c>
      <c r="K1671" s="13">
        <f>IF(C1671=Options!$B$9,B1671*12,0)</f>
        <v/>
      </c>
      <c r="L1671" s="13">
        <f>IF(C1671=Options!$B$9,B1671*Options!$Z$7,0)</f>
        <v/>
      </c>
      <c r="M1671" s="13" t="n">
        <v>0</v>
      </c>
      <c r="N1671" s="13">
        <f>SUM(E1671:M1671)</f>
        <v/>
      </c>
    </row>
    <row r="1672">
      <c r="A1672" s="5">
        <f>IF(AND(C1672&gt;=Options!$B$9,C1672&lt;=Options!$B$10),"Phoenix","")</f>
        <v/>
      </c>
      <c r="B1672" s="5">
        <f>IF(A1672="","",18)</f>
        <v/>
      </c>
      <c r="C1672" s="17" t="n">
        <v>46503</v>
      </c>
      <c r="D1672" s="5">
        <f>IF(A1672="","",IF(C1672=DATE(2026,11,29),"培训；注册午餐；早餐参数",IF(C1672=DATE(2026,11,30),"培训；注册午餐",IF(C1672=DATE(2026,12,1),"培训；注册午餐；机构晚餐",IF(C1672=Options!$B$9,"抵达；"&amp;IF(C1672=DATE(2026,11,28),"机构晚餐","无统一供餐"),IF(C1672=Options!$B$10,"返程；"&amp;IF(C1672=DATE(2026,12,2),"机构午餐","无统一供餐"),"差旅状态；无统一日程"))))))</f>
        <v/>
      </c>
      <c r="E1672" s="13">
        <f>IF(C1672=Options!$B$9,Options!$C$18,0)</f>
        <v/>
      </c>
      <c r="F1672" s="13">
        <f>IF(AND(A1672&lt;&gt;"",C1672&lt;Options!$B$10),B1672*Options!$X$7,0)</f>
        <v/>
      </c>
      <c r="G1672" s="13">
        <f>F1672*12%</f>
        <v/>
      </c>
      <c r="H1672" s="13">
        <f>IF(A1672="",0,B1672*(86*IF(OR(C1672=Options!$B$9,C1672=Options!$B$10),75%,100%)-IF(C1672=DATE(2026,11,29),23+IF(Options!$B$8="是",22,0),0)-IF(C1672=DATE(2026,11,30),23,0)-IF(C1672=DATE(2026,12,1),59,0)-IF(C1672=DATE(2026,11,28),36,0)-IF(C1672=DATE(2026,12,2),23,0)))</f>
        <v/>
      </c>
      <c r="I1672" s="13">
        <f>IF(AND(C1672&gt;=DATE(2026,11,29),C1672&lt;=DATE(2026,12,1)),B1672*60,0)</f>
        <v/>
      </c>
      <c r="J1672" s="13">
        <f>IF(A1672="",0,B1672*(IF(C1672=DATE(2026,11,28),36,0)+IF(C1672=DATE(2026,12,1),36,0)+IF(C1672=DATE(2026,12,2),23,0)))</f>
        <v/>
      </c>
      <c r="K1672" s="13">
        <f>IF(C1672=Options!$B$9,B1672*12,0)</f>
        <v/>
      </c>
      <c r="L1672" s="13">
        <f>IF(C1672=Options!$B$9,B1672*Options!$Z$7,0)</f>
        <v/>
      </c>
      <c r="M1672" s="13" t="n">
        <v>0</v>
      </c>
      <c r="N1672" s="13">
        <f>SUM(E1672:M1672)</f>
        <v/>
      </c>
    </row>
    <row r="1673">
      <c r="A1673" s="5">
        <f>IF(AND(C1673&gt;=Options!$B$9,C1673&lt;=Options!$B$10),"Phoenix","")</f>
        <v/>
      </c>
      <c r="B1673" s="5">
        <f>IF(A1673="","",18)</f>
        <v/>
      </c>
      <c r="C1673" s="17" t="n">
        <v>46504</v>
      </c>
      <c r="D1673" s="5">
        <f>IF(A1673="","",IF(C1673=DATE(2026,11,29),"培训；注册午餐；早餐参数",IF(C1673=DATE(2026,11,30),"培训；注册午餐",IF(C1673=DATE(2026,12,1),"培训；注册午餐；机构晚餐",IF(C1673=Options!$B$9,"抵达；"&amp;IF(C1673=DATE(2026,11,28),"机构晚餐","无统一供餐"),IF(C1673=Options!$B$10,"返程；"&amp;IF(C1673=DATE(2026,12,2),"机构午餐","无统一供餐"),"差旅状态；无统一日程"))))))</f>
        <v/>
      </c>
      <c r="E1673" s="13">
        <f>IF(C1673=Options!$B$9,Options!$C$18,0)</f>
        <v/>
      </c>
      <c r="F1673" s="13">
        <f>IF(AND(A1673&lt;&gt;"",C1673&lt;Options!$B$10),B1673*Options!$X$7,0)</f>
        <v/>
      </c>
      <c r="G1673" s="13">
        <f>F1673*12%</f>
        <v/>
      </c>
      <c r="H1673" s="13">
        <f>IF(A1673="",0,B1673*(86*IF(OR(C1673=Options!$B$9,C1673=Options!$B$10),75%,100%)-IF(C1673=DATE(2026,11,29),23+IF(Options!$B$8="是",22,0),0)-IF(C1673=DATE(2026,11,30),23,0)-IF(C1673=DATE(2026,12,1),59,0)-IF(C1673=DATE(2026,11,28),36,0)-IF(C1673=DATE(2026,12,2),23,0)))</f>
        <v/>
      </c>
      <c r="I1673" s="13">
        <f>IF(AND(C1673&gt;=DATE(2026,11,29),C1673&lt;=DATE(2026,12,1)),B1673*60,0)</f>
        <v/>
      </c>
      <c r="J1673" s="13">
        <f>IF(A1673="",0,B1673*(IF(C1673=DATE(2026,11,28),36,0)+IF(C1673=DATE(2026,12,1),36,0)+IF(C1673=DATE(2026,12,2),23,0)))</f>
        <v/>
      </c>
      <c r="K1673" s="13">
        <f>IF(C1673=Options!$B$9,B1673*12,0)</f>
        <v/>
      </c>
      <c r="L1673" s="13">
        <f>IF(C1673=Options!$B$9,B1673*Options!$Z$7,0)</f>
        <v/>
      </c>
      <c r="M1673" s="13" t="n">
        <v>0</v>
      </c>
      <c r="N1673" s="13">
        <f>SUM(E1673:M1673)</f>
        <v/>
      </c>
    </row>
    <row r="1674">
      <c r="A1674" s="5">
        <f>IF(AND(C1674&gt;=Options!$B$9,C1674&lt;=Options!$B$10),"Phoenix","")</f>
        <v/>
      </c>
      <c r="B1674" s="5">
        <f>IF(A1674="","",18)</f>
        <v/>
      </c>
      <c r="C1674" s="17" t="n">
        <v>46505</v>
      </c>
      <c r="D1674" s="5">
        <f>IF(A1674="","",IF(C1674=DATE(2026,11,29),"培训；注册午餐；早餐参数",IF(C1674=DATE(2026,11,30),"培训；注册午餐",IF(C1674=DATE(2026,12,1),"培训；注册午餐；机构晚餐",IF(C1674=Options!$B$9,"抵达；"&amp;IF(C1674=DATE(2026,11,28),"机构晚餐","无统一供餐"),IF(C1674=Options!$B$10,"返程；"&amp;IF(C1674=DATE(2026,12,2),"机构午餐","无统一供餐"),"差旅状态；无统一日程"))))))</f>
        <v/>
      </c>
      <c r="E1674" s="13">
        <f>IF(C1674=Options!$B$9,Options!$C$18,0)</f>
        <v/>
      </c>
      <c r="F1674" s="13">
        <f>IF(AND(A1674&lt;&gt;"",C1674&lt;Options!$B$10),B1674*Options!$X$7,0)</f>
        <v/>
      </c>
      <c r="G1674" s="13">
        <f>F1674*12%</f>
        <v/>
      </c>
      <c r="H1674" s="13">
        <f>IF(A1674="",0,B1674*(86*IF(OR(C1674=Options!$B$9,C1674=Options!$B$10),75%,100%)-IF(C1674=DATE(2026,11,29),23+IF(Options!$B$8="是",22,0),0)-IF(C1674=DATE(2026,11,30),23,0)-IF(C1674=DATE(2026,12,1),59,0)-IF(C1674=DATE(2026,11,28),36,0)-IF(C1674=DATE(2026,12,2),23,0)))</f>
        <v/>
      </c>
      <c r="I1674" s="13">
        <f>IF(AND(C1674&gt;=DATE(2026,11,29),C1674&lt;=DATE(2026,12,1)),B1674*60,0)</f>
        <v/>
      </c>
      <c r="J1674" s="13">
        <f>IF(A1674="",0,B1674*(IF(C1674=DATE(2026,11,28),36,0)+IF(C1674=DATE(2026,12,1),36,0)+IF(C1674=DATE(2026,12,2),23,0)))</f>
        <v/>
      </c>
      <c r="K1674" s="13">
        <f>IF(C1674=Options!$B$9,B1674*12,0)</f>
        <v/>
      </c>
      <c r="L1674" s="13">
        <f>IF(C1674=Options!$B$9,B1674*Options!$Z$7,0)</f>
        <v/>
      </c>
      <c r="M1674" s="13" t="n">
        <v>0</v>
      </c>
      <c r="N1674" s="13">
        <f>SUM(E1674:M1674)</f>
        <v/>
      </c>
    </row>
    <row r="1675">
      <c r="A1675" s="5">
        <f>IF(AND(C1675&gt;=Options!$B$9,C1675&lt;=Options!$B$10),"Phoenix","")</f>
        <v/>
      </c>
      <c r="B1675" s="5">
        <f>IF(A1675="","",18)</f>
        <v/>
      </c>
      <c r="C1675" s="17" t="n">
        <v>46506</v>
      </c>
      <c r="D1675" s="5">
        <f>IF(A1675="","",IF(C1675=DATE(2026,11,29),"培训；注册午餐；早餐参数",IF(C1675=DATE(2026,11,30),"培训；注册午餐",IF(C1675=DATE(2026,12,1),"培训；注册午餐；机构晚餐",IF(C1675=Options!$B$9,"抵达；"&amp;IF(C1675=DATE(2026,11,28),"机构晚餐","无统一供餐"),IF(C1675=Options!$B$10,"返程；"&amp;IF(C1675=DATE(2026,12,2),"机构午餐","无统一供餐"),"差旅状态；无统一日程"))))))</f>
        <v/>
      </c>
      <c r="E1675" s="13">
        <f>IF(C1675=Options!$B$9,Options!$C$18,0)</f>
        <v/>
      </c>
      <c r="F1675" s="13">
        <f>IF(AND(A1675&lt;&gt;"",C1675&lt;Options!$B$10),B1675*Options!$X$7,0)</f>
        <v/>
      </c>
      <c r="G1675" s="13">
        <f>F1675*12%</f>
        <v/>
      </c>
      <c r="H1675" s="13">
        <f>IF(A1675="",0,B1675*(86*IF(OR(C1675=Options!$B$9,C1675=Options!$B$10),75%,100%)-IF(C1675=DATE(2026,11,29),23+IF(Options!$B$8="是",22,0),0)-IF(C1675=DATE(2026,11,30),23,0)-IF(C1675=DATE(2026,12,1),59,0)-IF(C1675=DATE(2026,11,28),36,0)-IF(C1675=DATE(2026,12,2),23,0)))</f>
        <v/>
      </c>
      <c r="I1675" s="13">
        <f>IF(AND(C1675&gt;=DATE(2026,11,29),C1675&lt;=DATE(2026,12,1)),B1675*60,0)</f>
        <v/>
      </c>
      <c r="J1675" s="13">
        <f>IF(A1675="",0,B1675*(IF(C1675=DATE(2026,11,28),36,0)+IF(C1675=DATE(2026,12,1),36,0)+IF(C1675=DATE(2026,12,2),23,0)))</f>
        <v/>
      </c>
      <c r="K1675" s="13">
        <f>IF(C1675=Options!$B$9,B1675*12,0)</f>
        <v/>
      </c>
      <c r="L1675" s="13">
        <f>IF(C1675=Options!$B$9,B1675*Options!$Z$7,0)</f>
        <v/>
      </c>
      <c r="M1675" s="13" t="n">
        <v>0</v>
      </c>
      <c r="N1675" s="13">
        <f>SUM(E1675:M1675)</f>
        <v/>
      </c>
    </row>
    <row r="1676">
      <c r="A1676" s="5">
        <f>IF(AND(C1676&gt;=Options!$B$9,C1676&lt;=Options!$B$10),"Phoenix","")</f>
        <v/>
      </c>
      <c r="B1676" s="5">
        <f>IF(A1676="","",18)</f>
        <v/>
      </c>
      <c r="C1676" s="17" t="n">
        <v>46507</v>
      </c>
      <c r="D1676" s="5">
        <f>IF(A1676="","",IF(C1676=DATE(2026,11,29),"培训；注册午餐；早餐参数",IF(C1676=DATE(2026,11,30),"培训；注册午餐",IF(C1676=DATE(2026,12,1),"培训；注册午餐；机构晚餐",IF(C1676=Options!$B$9,"抵达；"&amp;IF(C1676=DATE(2026,11,28),"机构晚餐","无统一供餐"),IF(C1676=Options!$B$10,"返程；"&amp;IF(C1676=DATE(2026,12,2),"机构午餐","无统一供餐"),"差旅状态；无统一日程"))))))</f>
        <v/>
      </c>
      <c r="E1676" s="13">
        <f>IF(C1676=Options!$B$9,Options!$C$18,0)</f>
        <v/>
      </c>
      <c r="F1676" s="13">
        <f>IF(AND(A1676&lt;&gt;"",C1676&lt;Options!$B$10),B1676*Options!$X$7,0)</f>
        <v/>
      </c>
      <c r="G1676" s="13">
        <f>F1676*12%</f>
        <v/>
      </c>
      <c r="H1676" s="13">
        <f>IF(A1676="",0,B1676*(86*IF(OR(C1676=Options!$B$9,C1676=Options!$B$10),75%,100%)-IF(C1676=DATE(2026,11,29),23+IF(Options!$B$8="是",22,0),0)-IF(C1676=DATE(2026,11,30),23,0)-IF(C1676=DATE(2026,12,1),59,0)-IF(C1676=DATE(2026,11,28),36,0)-IF(C1676=DATE(2026,12,2),23,0)))</f>
        <v/>
      </c>
      <c r="I1676" s="13">
        <f>IF(AND(C1676&gt;=DATE(2026,11,29),C1676&lt;=DATE(2026,12,1)),B1676*60,0)</f>
        <v/>
      </c>
      <c r="J1676" s="13">
        <f>IF(A1676="",0,B1676*(IF(C1676=DATE(2026,11,28),36,0)+IF(C1676=DATE(2026,12,1),36,0)+IF(C1676=DATE(2026,12,2),23,0)))</f>
        <v/>
      </c>
      <c r="K1676" s="13">
        <f>IF(C1676=Options!$B$9,B1676*12,0)</f>
        <v/>
      </c>
      <c r="L1676" s="13">
        <f>IF(C1676=Options!$B$9,B1676*Options!$Z$7,0)</f>
        <v/>
      </c>
      <c r="M1676" s="13" t="n">
        <v>0</v>
      </c>
      <c r="N1676" s="13">
        <f>SUM(E1676:M1676)</f>
        <v/>
      </c>
    </row>
    <row r="1677">
      <c r="A1677" s="5">
        <f>IF(AND(C1677&gt;=Options!$B$9,C1677&lt;=Options!$B$10),"Phoenix","")</f>
        <v/>
      </c>
      <c r="B1677" s="5">
        <f>IF(A1677="","",18)</f>
        <v/>
      </c>
      <c r="C1677" s="17" t="n">
        <v>46508</v>
      </c>
      <c r="D1677" s="5">
        <f>IF(A1677="","",IF(C1677=DATE(2026,11,29),"培训；注册午餐；早餐参数",IF(C1677=DATE(2026,11,30),"培训；注册午餐",IF(C1677=DATE(2026,12,1),"培训；注册午餐；机构晚餐",IF(C1677=Options!$B$9,"抵达；"&amp;IF(C1677=DATE(2026,11,28),"机构晚餐","无统一供餐"),IF(C1677=Options!$B$10,"返程；"&amp;IF(C1677=DATE(2026,12,2),"机构午餐","无统一供餐"),"差旅状态；无统一日程"))))))</f>
        <v/>
      </c>
      <c r="E1677" s="13">
        <f>IF(C1677=Options!$B$9,Options!$C$18,0)</f>
        <v/>
      </c>
      <c r="F1677" s="13">
        <f>IF(AND(A1677&lt;&gt;"",C1677&lt;Options!$B$10),B1677*Options!$X$7,0)</f>
        <v/>
      </c>
      <c r="G1677" s="13">
        <f>F1677*12%</f>
        <v/>
      </c>
      <c r="H1677" s="13">
        <f>IF(A1677="",0,B1677*(86*IF(OR(C1677=Options!$B$9,C1677=Options!$B$10),75%,100%)-IF(C1677=DATE(2026,11,29),23+IF(Options!$B$8="是",22,0),0)-IF(C1677=DATE(2026,11,30),23,0)-IF(C1677=DATE(2026,12,1),59,0)-IF(C1677=DATE(2026,11,28),36,0)-IF(C1677=DATE(2026,12,2),23,0)))</f>
        <v/>
      </c>
      <c r="I1677" s="13">
        <f>IF(AND(C1677&gt;=DATE(2026,11,29),C1677&lt;=DATE(2026,12,1)),B1677*60,0)</f>
        <v/>
      </c>
      <c r="J1677" s="13">
        <f>IF(A1677="",0,B1677*(IF(C1677=DATE(2026,11,28),36,0)+IF(C1677=DATE(2026,12,1),36,0)+IF(C1677=DATE(2026,12,2),23,0)))</f>
        <v/>
      </c>
      <c r="K1677" s="13">
        <f>IF(C1677=Options!$B$9,B1677*12,0)</f>
        <v/>
      </c>
      <c r="L1677" s="13">
        <f>IF(C1677=Options!$B$9,B1677*Options!$Z$7,0)</f>
        <v/>
      </c>
      <c r="M1677" s="13" t="n">
        <v>0</v>
      </c>
      <c r="N1677" s="13">
        <f>SUM(E1677:M1677)</f>
        <v/>
      </c>
    </row>
    <row r="1678">
      <c r="A1678" s="5">
        <f>IF(AND(C1678&gt;=Options!$B$9,C1678&lt;=Options!$B$10),"Phoenix","")</f>
        <v/>
      </c>
      <c r="B1678" s="5">
        <f>IF(A1678="","",18)</f>
        <v/>
      </c>
      <c r="C1678" s="17" t="n">
        <v>46509</v>
      </c>
      <c r="D1678" s="5">
        <f>IF(A1678="","",IF(C1678=DATE(2026,11,29),"培训；注册午餐；早餐参数",IF(C1678=DATE(2026,11,30),"培训；注册午餐",IF(C1678=DATE(2026,12,1),"培训；注册午餐；机构晚餐",IF(C1678=Options!$B$9,"抵达；"&amp;IF(C1678=DATE(2026,11,28),"机构晚餐","无统一供餐"),IF(C1678=Options!$B$10,"返程；"&amp;IF(C1678=DATE(2026,12,2),"机构午餐","无统一供餐"),"差旅状态；无统一日程"))))))</f>
        <v/>
      </c>
      <c r="E1678" s="13">
        <f>IF(C1678=Options!$B$9,Options!$C$18,0)</f>
        <v/>
      </c>
      <c r="F1678" s="13">
        <f>IF(AND(A1678&lt;&gt;"",C1678&lt;Options!$B$10),B1678*Options!$X$7,0)</f>
        <v/>
      </c>
      <c r="G1678" s="13">
        <f>F1678*12%</f>
        <v/>
      </c>
      <c r="H1678" s="13">
        <f>IF(A1678="",0,B1678*(86*IF(OR(C1678=Options!$B$9,C1678=Options!$B$10),75%,100%)-IF(C1678=DATE(2026,11,29),23+IF(Options!$B$8="是",22,0),0)-IF(C1678=DATE(2026,11,30),23,0)-IF(C1678=DATE(2026,12,1),59,0)-IF(C1678=DATE(2026,11,28),36,0)-IF(C1678=DATE(2026,12,2),23,0)))</f>
        <v/>
      </c>
      <c r="I1678" s="13">
        <f>IF(AND(C1678&gt;=DATE(2026,11,29),C1678&lt;=DATE(2026,12,1)),B1678*60,0)</f>
        <v/>
      </c>
      <c r="J1678" s="13">
        <f>IF(A1678="",0,B1678*(IF(C1678=DATE(2026,11,28),36,0)+IF(C1678=DATE(2026,12,1),36,0)+IF(C1678=DATE(2026,12,2),23,0)))</f>
        <v/>
      </c>
      <c r="K1678" s="13">
        <f>IF(C1678=Options!$B$9,B1678*12,0)</f>
        <v/>
      </c>
      <c r="L1678" s="13">
        <f>IF(C1678=Options!$B$9,B1678*Options!$Z$7,0)</f>
        <v/>
      </c>
      <c r="M1678" s="13" t="n">
        <v>0</v>
      </c>
      <c r="N1678" s="13">
        <f>SUM(E1678:M1678)</f>
        <v/>
      </c>
    </row>
    <row r="1679">
      <c r="A1679" s="5">
        <f>IF(AND(C1679&gt;=Options!$B$9,C1679&lt;=Options!$B$10),"Phoenix","")</f>
        <v/>
      </c>
      <c r="B1679" s="5">
        <f>IF(A1679="","",18)</f>
        <v/>
      </c>
      <c r="C1679" s="17" t="n">
        <v>46510</v>
      </c>
      <c r="D1679" s="5">
        <f>IF(A1679="","",IF(C1679=DATE(2026,11,29),"培训；注册午餐；早餐参数",IF(C1679=DATE(2026,11,30),"培训；注册午餐",IF(C1679=DATE(2026,12,1),"培训；注册午餐；机构晚餐",IF(C1679=Options!$B$9,"抵达；"&amp;IF(C1679=DATE(2026,11,28),"机构晚餐","无统一供餐"),IF(C1679=Options!$B$10,"返程；"&amp;IF(C1679=DATE(2026,12,2),"机构午餐","无统一供餐"),"差旅状态；无统一日程"))))))</f>
        <v/>
      </c>
      <c r="E1679" s="13">
        <f>IF(C1679=Options!$B$9,Options!$C$18,0)</f>
        <v/>
      </c>
      <c r="F1679" s="13">
        <f>IF(AND(A1679&lt;&gt;"",C1679&lt;Options!$B$10),B1679*Options!$X$7,0)</f>
        <v/>
      </c>
      <c r="G1679" s="13">
        <f>F1679*12%</f>
        <v/>
      </c>
      <c r="H1679" s="13">
        <f>IF(A1679="",0,B1679*(86*IF(OR(C1679=Options!$B$9,C1679=Options!$B$10),75%,100%)-IF(C1679=DATE(2026,11,29),23+IF(Options!$B$8="是",22,0),0)-IF(C1679=DATE(2026,11,30),23,0)-IF(C1679=DATE(2026,12,1),59,0)-IF(C1679=DATE(2026,11,28),36,0)-IF(C1679=DATE(2026,12,2),23,0)))</f>
        <v/>
      </c>
      <c r="I1679" s="13">
        <f>IF(AND(C1679&gt;=DATE(2026,11,29),C1679&lt;=DATE(2026,12,1)),B1679*60,0)</f>
        <v/>
      </c>
      <c r="J1679" s="13">
        <f>IF(A1679="",0,B1679*(IF(C1679=DATE(2026,11,28),36,0)+IF(C1679=DATE(2026,12,1),36,0)+IF(C1679=DATE(2026,12,2),23,0)))</f>
        <v/>
      </c>
      <c r="K1679" s="13">
        <f>IF(C1679=Options!$B$9,B1679*12,0)</f>
        <v/>
      </c>
      <c r="L1679" s="13">
        <f>IF(C1679=Options!$B$9,B1679*Options!$Z$7,0)</f>
        <v/>
      </c>
      <c r="M1679" s="13" t="n">
        <v>0</v>
      </c>
      <c r="N1679" s="13">
        <f>SUM(E1679:M1679)</f>
        <v/>
      </c>
    </row>
    <row r="1680">
      <c r="A1680" s="5">
        <f>IF(AND(C1680&gt;=Options!$B$9,C1680&lt;=Options!$B$10),"Phoenix","")</f>
        <v/>
      </c>
      <c r="B1680" s="5">
        <f>IF(A1680="","",18)</f>
        <v/>
      </c>
      <c r="C1680" s="17" t="n">
        <v>46511</v>
      </c>
      <c r="D1680" s="5">
        <f>IF(A1680="","",IF(C1680=DATE(2026,11,29),"培训；注册午餐；早餐参数",IF(C1680=DATE(2026,11,30),"培训；注册午餐",IF(C1680=DATE(2026,12,1),"培训；注册午餐；机构晚餐",IF(C1680=Options!$B$9,"抵达；"&amp;IF(C1680=DATE(2026,11,28),"机构晚餐","无统一供餐"),IF(C1680=Options!$B$10,"返程；"&amp;IF(C1680=DATE(2026,12,2),"机构午餐","无统一供餐"),"差旅状态；无统一日程"))))))</f>
        <v/>
      </c>
      <c r="E1680" s="13">
        <f>IF(C1680=Options!$B$9,Options!$C$18,0)</f>
        <v/>
      </c>
      <c r="F1680" s="13">
        <f>IF(AND(A1680&lt;&gt;"",C1680&lt;Options!$B$10),B1680*Options!$X$7,0)</f>
        <v/>
      </c>
      <c r="G1680" s="13">
        <f>F1680*12%</f>
        <v/>
      </c>
      <c r="H1680" s="13">
        <f>IF(A1680="",0,B1680*(86*IF(OR(C1680=Options!$B$9,C1680=Options!$B$10),75%,100%)-IF(C1680=DATE(2026,11,29),23+IF(Options!$B$8="是",22,0),0)-IF(C1680=DATE(2026,11,30),23,0)-IF(C1680=DATE(2026,12,1),59,0)-IF(C1680=DATE(2026,11,28),36,0)-IF(C1680=DATE(2026,12,2),23,0)))</f>
        <v/>
      </c>
      <c r="I1680" s="13">
        <f>IF(AND(C1680&gt;=DATE(2026,11,29),C1680&lt;=DATE(2026,12,1)),B1680*60,0)</f>
        <v/>
      </c>
      <c r="J1680" s="13">
        <f>IF(A1680="",0,B1680*(IF(C1680=DATE(2026,11,28),36,0)+IF(C1680=DATE(2026,12,1),36,0)+IF(C1680=DATE(2026,12,2),23,0)))</f>
        <v/>
      </c>
      <c r="K1680" s="13">
        <f>IF(C1680=Options!$B$9,B1680*12,0)</f>
        <v/>
      </c>
      <c r="L1680" s="13">
        <f>IF(C1680=Options!$B$9,B1680*Options!$Z$7,0)</f>
        <v/>
      </c>
      <c r="M1680" s="13" t="n">
        <v>0</v>
      </c>
      <c r="N1680" s="13">
        <f>SUM(E1680:M1680)</f>
        <v/>
      </c>
    </row>
    <row r="1681">
      <c r="A1681" s="5">
        <f>IF(AND(C1681&gt;=Options!$B$9,C1681&lt;=Options!$B$10),"Phoenix","")</f>
        <v/>
      </c>
      <c r="B1681" s="5">
        <f>IF(A1681="","",18)</f>
        <v/>
      </c>
      <c r="C1681" s="17" t="n">
        <v>46512</v>
      </c>
      <c r="D1681" s="5">
        <f>IF(A1681="","",IF(C1681=DATE(2026,11,29),"培训；注册午餐；早餐参数",IF(C1681=DATE(2026,11,30),"培训；注册午餐",IF(C1681=DATE(2026,12,1),"培训；注册午餐；机构晚餐",IF(C1681=Options!$B$9,"抵达；"&amp;IF(C1681=DATE(2026,11,28),"机构晚餐","无统一供餐"),IF(C1681=Options!$B$10,"返程；"&amp;IF(C1681=DATE(2026,12,2),"机构午餐","无统一供餐"),"差旅状态；无统一日程"))))))</f>
        <v/>
      </c>
      <c r="E1681" s="13">
        <f>IF(C1681=Options!$B$9,Options!$C$18,0)</f>
        <v/>
      </c>
      <c r="F1681" s="13">
        <f>IF(AND(A1681&lt;&gt;"",C1681&lt;Options!$B$10),B1681*Options!$X$7,0)</f>
        <v/>
      </c>
      <c r="G1681" s="13">
        <f>F1681*12%</f>
        <v/>
      </c>
      <c r="H1681" s="13">
        <f>IF(A1681="",0,B1681*(86*IF(OR(C1681=Options!$B$9,C1681=Options!$B$10),75%,100%)-IF(C1681=DATE(2026,11,29),23+IF(Options!$B$8="是",22,0),0)-IF(C1681=DATE(2026,11,30),23,0)-IF(C1681=DATE(2026,12,1),59,0)-IF(C1681=DATE(2026,11,28),36,0)-IF(C1681=DATE(2026,12,2),23,0)))</f>
        <v/>
      </c>
      <c r="I1681" s="13">
        <f>IF(AND(C1681&gt;=DATE(2026,11,29),C1681&lt;=DATE(2026,12,1)),B1681*60,0)</f>
        <v/>
      </c>
      <c r="J1681" s="13">
        <f>IF(A1681="",0,B1681*(IF(C1681=DATE(2026,11,28),36,0)+IF(C1681=DATE(2026,12,1),36,0)+IF(C1681=DATE(2026,12,2),23,0)))</f>
        <v/>
      </c>
      <c r="K1681" s="13">
        <f>IF(C1681=Options!$B$9,B1681*12,0)</f>
        <v/>
      </c>
      <c r="L1681" s="13">
        <f>IF(C1681=Options!$B$9,B1681*Options!$Z$7,0)</f>
        <v/>
      </c>
      <c r="M1681" s="13" t="n">
        <v>0</v>
      </c>
      <c r="N1681" s="13">
        <f>SUM(E1681:M1681)</f>
        <v/>
      </c>
    </row>
    <row r="1682">
      <c r="A1682" s="5">
        <f>IF(AND(C1682&gt;=Options!$B$9,C1682&lt;=Options!$B$10),"Phoenix","")</f>
        <v/>
      </c>
      <c r="B1682" s="5">
        <f>IF(A1682="","",18)</f>
        <v/>
      </c>
      <c r="C1682" s="17" t="n">
        <v>46513</v>
      </c>
      <c r="D1682" s="5">
        <f>IF(A1682="","",IF(C1682=DATE(2026,11,29),"培训；注册午餐；早餐参数",IF(C1682=DATE(2026,11,30),"培训；注册午餐",IF(C1682=DATE(2026,12,1),"培训；注册午餐；机构晚餐",IF(C1682=Options!$B$9,"抵达；"&amp;IF(C1682=DATE(2026,11,28),"机构晚餐","无统一供餐"),IF(C1682=Options!$B$10,"返程；"&amp;IF(C1682=DATE(2026,12,2),"机构午餐","无统一供餐"),"差旅状态；无统一日程"))))))</f>
        <v/>
      </c>
      <c r="E1682" s="13">
        <f>IF(C1682=Options!$B$9,Options!$C$18,0)</f>
        <v/>
      </c>
      <c r="F1682" s="13">
        <f>IF(AND(A1682&lt;&gt;"",C1682&lt;Options!$B$10),B1682*Options!$X$7,0)</f>
        <v/>
      </c>
      <c r="G1682" s="13">
        <f>F1682*12%</f>
        <v/>
      </c>
      <c r="H1682" s="13">
        <f>IF(A1682="",0,B1682*(86*IF(OR(C1682=Options!$B$9,C1682=Options!$B$10),75%,100%)-IF(C1682=DATE(2026,11,29),23+IF(Options!$B$8="是",22,0),0)-IF(C1682=DATE(2026,11,30),23,0)-IF(C1682=DATE(2026,12,1),59,0)-IF(C1682=DATE(2026,11,28),36,0)-IF(C1682=DATE(2026,12,2),23,0)))</f>
        <v/>
      </c>
      <c r="I1682" s="13">
        <f>IF(AND(C1682&gt;=DATE(2026,11,29),C1682&lt;=DATE(2026,12,1)),B1682*60,0)</f>
        <v/>
      </c>
      <c r="J1682" s="13">
        <f>IF(A1682="",0,B1682*(IF(C1682=DATE(2026,11,28),36,0)+IF(C1682=DATE(2026,12,1),36,0)+IF(C1682=DATE(2026,12,2),23,0)))</f>
        <v/>
      </c>
      <c r="K1682" s="13">
        <f>IF(C1682=Options!$B$9,B1682*12,0)</f>
        <v/>
      </c>
      <c r="L1682" s="13">
        <f>IF(C1682=Options!$B$9,B1682*Options!$Z$7,0)</f>
        <v/>
      </c>
      <c r="M1682" s="13" t="n">
        <v>0</v>
      </c>
      <c r="N1682" s="13">
        <f>SUM(E1682:M1682)</f>
        <v/>
      </c>
    </row>
    <row r="1683">
      <c r="A1683" s="5">
        <f>IF(AND(C1683&gt;=Options!$B$9,C1683&lt;=Options!$B$10),"Phoenix","")</f>
        <v/>
      </c>
      <c r="B1683" s="5">
        <f>IF(A1683="","",18)</f>
        <v/>
      </c>
      <c r="C1683" s="17" t="n">
        <v>46514</v>
      </c>
      <c r="D1683" s="5">
        <f>IF(A1683="","",IF(C1683=DATE(2026,11,29),"培训；注册午餐；早餐参数",IF(C1683=DATE(2026,11,30),"培训；注册午餐",IF(C1683=DATE(2026,12,1),"培训；注册午餐；机构晚餐",IF(C1683=Options!$B$9,"抵达；"&amp;IF(C1683=DATE(2026,11,28),"机构晚餐","无统一供餐"),IF(C1683=Options!$B$10,"返程；"&amp;IF(C1683=DATE(2026,12,2),"机构午餐","无统一供餐"),"差旅状态；无统一日程"))))))</f>
        <v/>
      </c>
      <c r="E1683" s="13">
        <f>IF(C1683=Options!$B$9,Options!$C$18,0)</f>
        <v/>
      </c>
      <c r="F1683" s="13">
        <f>IF(AND(A1683&lt;&gt;"",C1683&lt;Options!$B$10),B1683*Options!$X$7,0)</f>
        <v/>
      </c>
      <c r="G1683" s="13">
        <f>F1683*12%</f>
        <v/>
      </c>
      <c r="H1683" s="13">
        <f>IF(A1683="",0,B1683*(86*IF(OR(C1683=Options!$B$9,C1683=Options!$B$10),75%,100%)-IF(C1683=DATE(2026,11,29),23+IF(Options!$B$8="是",22,0),0)-IF(C1683=DATE(2026,11,30),23,0)-IF(C1683=DATE(2026,12,1),59,0)-IF(C1683=DATE(2026,11,28),36,0)-IF(C1683=DATE(2026,12,2),23,0)))</f>
        <v/>
      </c>
      <c r="I1683" s="13">
        <f>IF(AND(C1683&gt;=DATE(2026,11,29),C1683&lt;=DATE(2026,12,1)),B1683*60,0)</f>
        <v/>
      </c>
      <c r="J1683" s="13">
        <f>IF(A1683="",0,B1683*(IF(C1683=DATE(2026,11,28),36,0)+IF(C1683=DATE(2026,12,1),36,0)+IF(C1683=DATE(2026,12,2),23,0)))</f>
        <v/>
      </c>
      <c r="K1683" s="13">
        <f>IF(C1683=Options!$B$9,B1683*12,0)</f>
        <v/>
      </c>
      <c r="L1683" s="13">
        <f>IF(C1683=Options!$B$9,B1683*Options!$Z$7,0)</f>
        <v/>
      </c>
      <c r="M1683" s="13" t="n">
        <v>0</v>
      </c>
      <c r="N1683" s="13">
        <f>SUM(E1683:M1683)</f>
        <v/>
      </c>
    </row>
    <row r="1684">
      <c r="A1684" s="5">
        <f>IF(AND(C1684&gt;=Options!$B$9,C1684&lt;=Options!$B$10),"Phoenix","")</f>
        <v/>
      </c>
      <c r="B1684" s="5">
        <f>IF(A1684="","",18)</f>
        <v/>
      </c>
      <c r="C1684" s="17" t="n">
        <v>46515</v>
      </c>
      <c r="D1684" s="5">
        <f>IF(A1684="","",IF(C1684=DATE(2026,11,29),"培训；注册午餐；早餐参数",IF(C1684=DATE(2026,11,30),"培训；注册午餐",IF(C1684=DATE(2026,12,1),"培训；注册午餐；机构晚餐",IF(C1684=Options!$B$9,"抵达；"&amp;IF(C1684=DATE(2026,11,28),"机构晚餐","无统一供餐"),IF(C1684=Options!$B$10,"返程；"&amp;IF(C1684=DATE(2026,12,2),"机构午餐","无统一供餐"),"差旅状态；无统一日程"))))))</f>
        <v/>
      </c>
      <c r="E1684" s="13">
        <f>IF(C1684=Options!$B$9,Options!$C$18,0)</f>
        <v/>
      </c>
      <c r="F1684" s="13">
        <f>IF(AND(A1684&lt;&gt;"",C1684&lt;Options!$B$10),B1684*Options!$X$7,0)</f>
        <v/>
      </c>
      <c r="G1684" s="13">
        <f>F1684*12%</f>
        <v/>
      </c>
      <c r="H1684" s="13">
        <f>IF(A1684="",0,B1684*(86*IF(OR(C1684=Options!$B$9,C1684=Options!$B$10),75%,100%)-IF(C1684=DATE(2026,11,29),23+IF(Options!$B$8="是",22,0),0)-IF(C1684=DATE(2026,11,30),23,0)-IF(C1684=DATE(2026,12,1),59,0)-IF(C1684=DATE(2026,11,28),36,0)-IF(C1684=DATE(2026,12,2),23,0)))</f>
        <v/>
      </c>
      <c r="I1684" s="13">
        <f>IF(AND(C1684&gt;=DATE(2026,11,29),C1684&lt;=DATE(2026,12,1)),B1684*60,0)</f>
        <v/>
      </c>
      <c r="J1684" s="13">
        <f>IF(A1684="",0,B1684*(IF(C1684=DATE(2026,11,28),36,0)+IF(C1684=DATE(2026,12,1),36,0)+IF(C1684=DATE(2026,12,2),23,0)))</f>
        <v/>
      </c>
      <c r="K1684" s="13">
        <f>IF(C1684=Options!$B$9,B1684*12,0)</f>
        <v/>
      </c>
      <c r="L1684" s="13">
        <f>IF(C1684=Options!$B$9,B1684*Options!$Z$7,0)</f>
        <v/>
      </c>
      <c r="M1684" s="13" t="n">
        <v>0</v>
      </c>
      <c r="N1684" s="13">
        <f>SUM(E1684:M1684)</f>
        <v/>
      </c>
    </row>
    <row r="1685">
      <c r="A1685" s="5">
        <f>IF(AND(C1685&gt;=Options!$B$9,C1685&lt;=Options!$B$10),"Phoenix","")</f>
        <v/>
      </c>
      <c r="B1685" s="5">
        <f>IF(A1685="","",18)</f>
        <v/>
      </c>
      <c r="C1685" s="17" t="n">
        <v>46516</v>
      </c>
      <c r="D1685" s="5">
        <f>IF(A1685="","",IF(C1685=DATE(2026,11,29),"培训；注册午餐；早餐参数",IF(C1685=DATE(2026,11,30),"培训；注册午餐",IF(C1685=DATE(2026,12,1),"培训；注册午餐；机构晚餐",IF(C1685=Options!$B$9,"抵达；"&amp;IF(C1685=DATE(2026,11,28),"机构晚餐","无统一供餐"),IF(C1685=Options!$B$10,"返程；"&amp;IF(C1685=DATE(2026,12,2),"机构午餐","无统一供餐"),"差旅状态；无统一日程"))))))</f>
        <v/>
      </c>
      <c r="E1685" s="13">
        <f>IF(C1685=Options!$B$9,Options!$C$18,0)</f>
        <v/>
      </c>
      <c r="F1685" s="13">
        <f>IF(AND(A1685&lt;&gt;"",C1685&lt;Options!$B$10),B1685*Options!$X$7,0)</f>
        <v/>
      </c>
      <c r="G1685" s="13">
        <f>F1685*12%</f>
        <v/>
      </c>
      <c r="H1685" s="13">
        <f>IF(A1685="",0,B1685*(86*IF(OR(C1685=Options!$B$9,C1685=Options!$B$10),75%,100%)-IF(C1685=DATE(2026,11,29),23+IF(Options!$B$8="是",22,0),0)-IF(C1685=DATE(2026,11,30),23,0)-IF(C1685=DATE(2026,12,1),59,0)-IF(C1685=DATE(2026,11,28),36,0)-IF(C1685=DATE(2026,12,2),23,0)))</f>
        <v/>
      </c>
      <c r="I1685" s="13">
        <f>IF(AND(C1685&gt;=DATE(2026,11,29),C1685&lt;=DATE(2026,12,1)),B1685*60,0)</f>
        <v/>
      </c>
      <c r="J1685" s="13">
        <f>IF(A1685="",0,B1685*(IF(C1685=DATE(2026,11,28),36,0)+IF(C1685=DATE(2026,12,1),36,0)+IF(C1685=DATE(2026,12,2),23,0)))</f>
        <v/>
      </c>
      <c r="K1685" s="13">
        <f>IF(C1685=Options!$B$9,B1685*12,0)</f>
        <v/>
      </c>
      <c r="L1685" s="13">
        <f>IF(C1685=Options!$B$9,B1685*Options!$Z$7,0)</f>
        <v/>
      </c>
      <c r="M1685" s="13" t="n">
        <v>0</v>
      </c>
      <c r="N1685" s="13">
        <f>SUM(E1685:M1685)</f>
        <v/>
      </c>
    </row>
    <row r="1686">
      <c r="A1686" s="5">
        <f>IF(AND(C1686&gt;=Options!$B$9,C1686&lt;=Options!$B$10),"Phoenix","")</f>
        <v/>
      </c>
      <c r="B1686" s="5">
        <f>IF(A1686="","",18)</f>
        <v/>
      </c>
      <c r="C1686" s="17" t="n">
        <v>46517</v>
      </c>
      <c r="D1686" s="5">
        <f>IF(A1686="","",IF(C1686=DATE(2026,11,29),"培训；注册午餐；早餐参数",IF(C1686=DATE(2026,11,30),"培训；注册午餐",IF(C1686=DATE(2026,12,1),"培训；注册午餐；机构晚餐",IF(C1686=Options!$B$9,"抵达；"&amp;IF(C1686=DATE(2026,11,28),"机构晚餐","无统一供餐"),IF(C1686=Options!$B$10,"返程；"&amp;IF(C1686=DATE(2026,12,2),"机构午餐","无统一供餐"),"差旅状态；无统一日程"))))))</f>
        <v/>
      </c>
      <c r="E1686" s="13">
        <f>IF(C1686=Options!$B$9,Options!$C$18,0)</f>
        <v/>
      </c>
      <c r="F1686" s="13">
        <f>IF(AND(A1686&lt;&gt;"",C1686&lt;Options!$B$10),B1686*Options!$X$7,0)</f>
        <v/>
      </c>
      <c r="G1686" s="13">
        <f>F1686*12%</f>
        <v/>
      </c>
      <c r="H1686" s="13">
        <f>IF(A1686="",0,B1686*(86*IF(OR(C1686=Options!$B$9,C1686=Options!$B$10),75%,100%)-IF(C1686=DATE(2026,11,29),23+IF(Options!$B$8="是",22,0),0)-IF(C1686=DATE(2026,11,30),23,0)-IF(C1686=DATE(2026,12,1),59,0)-IF(C1686=DATE(2026,11,28),36,0)-IF(C1686=DATE(2026,12,2),23,0)))</f>
        <v/>
      </c>
      <c r="I1686" s="13">
        <f>IF(AND(C1686&gt;=DATE(2026,11,29),C1686&lt;=DATE(2026,12,1)),B1686*60,0)</f>
        <v/>
      </c>
      <c r="J1686" s="13">
        <f>IF(A1686="",0,B1686*(IF(C1686=DATE(2026,11,28),36,0)+IF(C1686=DATE(2026,12,1),36,0)+IF(C1686=DATE(2026,12,2),23,0)))</f>
        <v/>
      </c>
      <c r="K1686" s="13">
        <f>IF(C1686=Options!$B$9,B1686*12,0)</f>
        <v/>
      </c>
      <c r="L1686" s="13">
        <f>IF(C1686=Options!$B$9,B1686*Options!$Z$7,0)</f>
        <v/>
      </c>
      <c r="M1686" s="13" t="n">
        <v>0</v>
      </c>
      <c r="N1686" s="13">
        <f>SUM(E1686:M1686)</f>
        <v/>
      </c>
    </row>
    <row r="1687">
      <c r="A1687" s="5">
        <f>IF(AND(C1687&gt;=Options!$B$9,C1687&lt;=Options!$B$10),"Phoenix","")</f>
        <v/>
      </c>
      <c r="B1687" s="5">
        <f>IF(A1687="","",18)</f>
        <v/>
      </c>
      <c r="C1687" s="17" t="n">
        <v>46518</v>
      </c>
      <c r="D1687" s="5">
        <f>IF(A1687="","",IF(C1687=DATE(2026,11,29),"培训；注册午餐；早餐参数",IF(C1687=DATE(2026,11,30),"培训；注册午餐",IF(C1687=DATE(2026,12,1),"培训；注册午餐；机构晚餐",IF(C1687=Options!$B$9,"抵达；"&amp;IF(C1687=DATE(2026,11,28),"机构晚餐","无统一供餐"),IF(C1687=Options!$B$10,"返程；"&amp;IF(C1687=DATE(2026,12,2),"机构午餐","无统一供餐"),"差旅状态；无统一日程"))))))</f>
        <v/>
      </c>
      <c r="E1687" s="13">
        <f>IF(C1687=Options!$B$9,Options!$C$18,0)</f>
        <v/>
      </c>
      <c r="F1687" s="13">
        <f>IF(AND(A1687&lt;&gt;"",C1687&lt;Options!$B$10),B1687*Options!$X$7,0)</f>
        <v/>
      </c>
      <c r="G1687" s="13">
        <f>F1687*12%</f>
        <v/>
      </c>
      <c r="H1687" s="13">
        <f>IF(A1687="",0,B1687*(86*IF(OR(C1687=Options!$B$9,C1687=Options!$B$10),75%,100%)-IF(C1687=DATE(2026,11,29),23+IF(Options!$B$8="是",22,0),0)-IF(C1687=DATE(2026,11,30),23,0)-IF(C1687=DATE(2026,12,1),59,0)-IF(C1687=DATE(2026,11,28),36,0)-IF(C1687=DATE(2026,12,2),23,0)))</f>
        <v/>
      </c>
      <c r="I1687" s="13">
        <f>IF(AND(C1687&gt;=DATE(2026,11,29),C1687&lt;=DATE(2026,12,1)),B1687*60,0)</f>
        <v/>
      </c>
      <c r="J1687" s="13">
        <f>IF(A1687="",0,B1687*(IF(C1687=DATE(2026,11,28),36,0)+IF(C1687=DATE(2026,12,1),36,0)+IF(C1687=DATE(2026,12,2),23,0)))</f>
        <v/>
      </c>
      <c r="K1687" s="13">
        <f>IF(C1687=Options!$B$9,B1687*12,0)</f>
        <v/>
      </c>
      <c r="L1687" s="13">
        <f>IF(C1687=Options!$B$9,B1687*Options!$Z$7,0)</f>
        <v/>
      </c>
      <c r="M1687" s="13" t="n">
        <v>0</v>
      </c>
      <c r="N1687" s="13">
        <f>SUM(E1687:M1687)</f>
        <v/>
      </c>
    </row>
    <row r="1688">
      <c r="A1688" s="5">
        <f>IF(AND(C1688&gt;=Options!$B$9,C1688&lt;=Options!$B$10),"Phoenix","")</f>
        <v/>
      </c>
      <c r="B1688" s="5">
        <f>IF(A1688="","",18)</f>
        <v/>
      </c>
      <c r="C1688" s="17" t="n">
        <v>46519</v>
      </c>
      <c r="D1688" s="5">
        <f>IF(A1688="","",IF(C1688=DATE(2026,11,29),"培训；注册午餐；早餐参数",IF(C1688=DATE(2026,11,30),"培训；注册午餐",IF(C1688=DATE(2026,12,1),"培训；注册午餐；机构晚餐",IF(C1688=Options!$B$9,"抵达；"&amp;IF(C1688=DATE(2026,11,28),"机构晚餐","无统一供餐"),IF(C1688=Options!$B$10,"返程；"&amp;IF(C1688=DATE(2026,12,2),"机构午餐","无统一供餐"),"差旅状态；无统一日程"))))))</f>
        <v/>
      </c>
      <c r="E1688" s="13">
        <f>IF(C1688=Options!$B$9,Options!$C$18,0)</f>
        <v/>
      </c>
      <c r="F1688" s="13">
        <f>IF(AND(A1688&lt;&gt;"",C1688&lt;Options!$B$10),B1688*Options!$X$7,0)</f>
        <v/>
      </c>
      <c r="G1688" s="13">
        <f>F1688*12%</f>
        <v/>
      </c>
      <c r="H1688" s="13">
        <f>IF(A1688="",0,B1688*(86*IF(OR(C1688=Options!$B$9,C1688=Options!$B$10),75%,100%)-IF(C1688=DATE(2026,11,29),23+IF(Options!$B$8="是",22,0),0)-IF(C1688=DATE(2026,11,30),23,0)-IF(C1688=DATE(2026,12,1),59,0)-IF(C1688=DATE(2026,11,28),36,0)-IF(C1688=DATE(2026,12,2),23,0)))</f>
        <v/>
      </c>
      <c r="I1688" s="13">
        <f>IF(AND(C1688&gt;=DATE(2026,11,29),C1688&lt;=DATE(2026,12,1)),B1688*60,0)</f>
        <v/>
      </c>
      <c r="J1688" s="13">
        <f>IF(A1688="",0,B1688*(IF(C1688=DATE(2026,11,28),36,0)+IF(C1688=DATE(2026,12,1),36,0)+IF(C1688=DATE(2026,12,2),23,0)))</f>
        <v/>
      </c>
      <c r="K1688" s="13">
        <f>IF(C1688=Options!$B$9,B1688*12,0)</f>
        <v/>
      </c>
      <c r="L1688" s="13">
        <f>IF(C1688=Options!$B$9,B1688*Options!$Z$7,0)</f>
        <v/>
      </c>
      <c r="M1688" s="13" t="n">
        <v>0</v>
      </c>
      <c r="N1688" s="13">
        <f>SUM(E1688:M1688)</f>
        <v/>
      </c>
    </row>
    <row r="1689">
      <c r="A1689" s="5">
        <f>IF(AND(C1689&gt;=Options!$B$9,C1689&lt;=Options!$B$10),"Phoenix","")</f>
        <v/>
      </c>
      <c r="B1689" s="5">
        <f>IF(A1689="","",18)</f>
        <v/>
      </c>
      <c r="C1689" s="17" t="n">
        <v>46520</v>
      </c>
      <c r="D1689" s="5">
        <f>IF(A1689="","",IF(C1689=DATE(2026,11,29),"培训；注册午餐；早餐参数",IF(C1689=DATE(2026,11,30),"培训；注册午餐",IF(C1689=DATE(2026,12,1),"培训；注册午餐；机构晚餐",IF(C1689=Options!$B$9,"抵达；"&amp;IF(C1689=DATE(2026,11,28),"机构晚餐","无统一供餐"),IF(C1689=Options!$B$10,"返程；"&amp;IF(C1689=DATE(2026,12,2),"机构午餐","无统一供餐"),"差旅状态；无统一日程"))))))</f>
        <v/>
      </c>
      <c r="E1689" s="13">
        <f>IF(C1689=Options!$B$9,Options!$C$18,0)</f>
        <v/>
      </c>
      <c r="F1689" s="13">
        <f>IF(AND(A1689&lt;&gt;"",C1689&lt;Options!$B$10),B1689*Options!$X$7,0)</f>
        <v/>
      </c>
      <c r="G1689" s="13">
        <f>F1689*12%</f>
        <v/>
      </c>
      <c r="H1689" s="13">
        <f>IF(A1689="",0,B1689*(86*IF(OR(C1689=Options!$B$9,C1689=Options!$B$10),75%,100%)-IF(C1689=DATE(2026,11,29),23+IF(Options!$B$8="是",22,0),0)-IF(C1689=DATE(2026,11,30),23,0)-IF(C1689=DATE(2026,12,1),59,0)-IF(C1689=DATE(2026,11,28),36,0)-IF(C1689=DATE(2026,12,2),23,0)))</f>
        <v/>
      </c>
      <c r="I1689" s="13">
        <f>IF(AND(C1689&gt;=DATE(2026,11,29),C1689&lt;=DATE(2026,12,1)),B1689*60,0)</f>
        <v/>
      </c>
      <c r="J1689" s="13">
        <f>IF(A1689="",0,B1689*(IF(C1689=DATE(2026,11,28),36,0)+IF(C1689=DATE(2026,12,1),36,0)+IF(C1689=DATE(2026,12,2),23,0)))</f>
        <v/>
      </c>
      <c r="K1689" s="13">
        <f>IF(C1689=Options!$B$9,B1689*12,0)</f>
        <v/>
      </c>
      <c r="L1689" s="13">
        <f>IF(C1689=Options!$B$9,B1689*Options!$Z$7,0)</f>
        <v/>
      </c>
      <c r="M1689" s="13" t="n">
        <v>0</v>
      </c>
      <c r="N1689" s="13">
        <f>SUM(E1689:M1689)</f>
        <v/>
      </c>
    </row>
    <row r="1690">
      <c r="A1690" s="5">
        <f>IF(AND(C1690&gt;=Options!$B$9,C1690&lt;=Options!$B$10),"Phoenix","")</f>
        <v/>
      </c>
      <c r="B1690" s="5">
        <f>IF(A1690="","",18)</f>
        <v/>
      </c>
      <c r="C1690" s="17" t="n">
        <v>46521</v>
      </c>
      <c r="D1690" s="5">
        <f>IF(A1690="","",IF(C1690=DATE(2026,11,29),"培训；注册午餐；早餐参数",IF(C1690=DATE(2026,11,30),"培训；注册午餐",IF(C1690=DATE(2026,12,1),"培训；注册午餐；机构晚餐",IF(C1690=Options!$B$9,"抵达；"&amp;IF(C1690=DATE(2026,11,28),"机构晚餐","无统一供餐"),IF(C1690=Options!$B$10,"返程；"&amp;IF(C1690=DATE(2026,12,2),"机构午餐","无统一供餐"),"差旅状态；无统一日程"))))))</f>
        <v/>
      </c>
      <c r="E1690" s="13">
        <f>IF(C1690=Options!$B$9,Options!$C$18,0)</f>
        <v/>
      </c>
      <c r="F1690" s="13">
        <f>IF(AND(A1690&lt;&gt;"",C1690&lt;Options!$B$10),B1690*Options!$X$7,0)</f>
        <v/>
      </c>
      <c r="G1690" s="13">
        <f>F1690*12%</f>
        <v/>
      </c>
      <c r="H1690" s="13">
        <f>IF(A1690="",0,B1690*(86*IF(OR(C1690=Options!$B$9,C1690=Options!$B$10),75%,100%)-IF(C1690=DATE(2026,11,29),23+IF(Options!$B$8="是",22,0),0)-IF(C1690=DATE(2026,11,30),23,0)-IF(C1690=DATE(2026,12,1),59,0)-IF(C1690=DATE(2026,11,28),36,0)-IF(C1690=DATE(2026,12,2),23,0)))</f>
        <v/>
      </c>
      <c r="I1690" s="13">
        <f>IF(AND(C1690&gt;=DATE(2026,11,29),C1690&lt;=DATE(2026,12,1)),B1690*60,0)</f>
        <v/>
      </c>
      <c r="J1690" s="13">
        <f>IF(A1690="",0,B1690*(IF(C1690=DATE(2026,11,28),36,0)+IF(C1690=DATE(2026,12,1),36,0)+IF(C1690=DATE(2026,12,2),23,0)))</f>
        <v/>
      </c>
      <c r="K1690" s="13">
        <f>IF(C1690=Options!$B$9,B1690*12,0)</f>
        <v/>
      </c>
      <c r="L1690" s="13">
        <f>IF(C1690=Options!$B$9,B1690*Options!$Z$7,0)</f>
        <v/>
      </c>
      <c r="M1690" s="13" t="n">
        <v>0</v>
      </c>
      <c r="N1690" s="13">
        <f>SUM(E1690:M1690)</f>
        <v/>
      </c>
    </row>
    <row r="1691">
      <c r="A1691" s="5">
        <f>IF(AND(C1691&gt;=Options!$B$9,C1691&lt;=Options!$B$10),"Phoenix","")</f>
        <v/>
      </c>
      <c r="B1691" s="5">
        <f>IF(A1691="","",18)</f>
        <v/>
      </c>
      <c r="C1691" s="17" t="n">
        <v>46522</v>
      </c>
      <c r="D1691" s="5">
        <f>IF(A1691="","",IF(C1691=DATE(2026,11,29),"培训；注册午餐；早餐参数",IF(C1691=DATE(2026,11,30),"培训；注册午餐",IF(C1691=DATE(2026,12,1),"培训；注册午餐；机构晚餐",IF(C1691=Options!$B$9,"抵达；"&amp;IF(C1691=DATE(2026,11,28),"机构晚餐","无统一供餐"),IF(C1691=Options!$B$10,"返程；"&amp;IF(C1691=DATE(2026,12,2),"机构午餐","无统一供餐"),"差旅状态；无统一日程"))))))</f>
        <v/>
      </c>
      <c r="E1691" s="13">
        <f>IF(C1691=Options!$B$9,Options!$C$18,0)</f>
        <v/>
      </c>
      <c r="F1691" s="13">
        <f>IF(AND(A1691&lt;&gt;"",C1691&lt;Options!$B$10),B1691*Options!$X$7,0)</f>
        <v/>
      </c>
      <c r="G1691" s="13">
        <f>F1691*12%</f>
        <v/>
      </c>
      <c r="H1691" s="13">
        <f>IF(A1691="",0,B1691*(86*IF(OR(C1691=Options!$B$9,C1691=Options!$B$10),75%,100%)-IF(C1691=DATE(2026,11,29),23+IF(Options!$B$8="是",22,0),0)-IF(C1691=DATE(2026,11,30),23,0)-IF(C1691=DATE(2026,12,1),59,0)-IF(C1691=DATE(2026,11,28),36,0)-IF(C1691=DATE(2026,12,2),23,0)))</f>
        <v/>
      </c>
      <c r="I1691" s="13">
        <f>IF(AND(C1691&gt;=DATE(2026,11,29),C1691&lt;=DATE(2026,12,1)),B1691*60,0)</f>
        <v/>
      </c>
      <c r="J1691" s="13">
        <f>IF(A1691="",0,B1691*(IF(C1691=DATE(2026,11,28),36,0)+IF(C1691=DATE(2026,12,1),36,0)+IF(C1691=DATE(2026,12,2),23,0)))</f>
        <v/>
      </c>
      <c r="K1691" s="13">
        <f>IF(C1691=Options!$B$9,B1691*12,0)</f>
        <v/>
      </c>
      <c r="L1691" s="13">
        <f>IF(C1691=Options!$B$9,B1691*Options!$Z$7,0)</f>
        <v/>
      </c>
      <c r="M1691" s="13" t="n">
        <v>0</v>
      </c>
      <c r="N1691" s="13">
        <f>SUM(E1691:M1691)</f>
        <v/>
      </c>
    </row>
    <row r="1692">
      <c r="A1692" s="5">
        <f>IF(AND(C1692&gt;=Options!$B$9,C1692&lt;=Options!$B$10),"Phoenix","")</f>
        <v/>
      </c>
      <c r="B1692" s="5">
        <f>IF(A1692="","",18)</f>
        <v/>
      </c>
      <c r="C1692" s="17" t="n">
        <v>46523</v>
      </c>
      <c r="D1692" s="5">
        <f>IF(A1692="","",IF(C1692=DATE(2026,11,29),"培训；注册午餐；早餐参数",IF(C1692=DATE(2026,11,30),"培训；注册午餐",IF(C1692=DATE(2026,12,1),"培训；注册午餐；机构晚餐",IF(C1692=Options!$B$9,"抵达；"&amp;IF(C1692=DATE(2026,11,28),"机构晚餐","无统一供餐"),IF(C1692=Options!$B$10,"返程；"&amp;IF(C1692=DATE(2026,12,2),"机构午餐","无统一供餐"),"差旅状态；无统一日程"))))))</f>
        <v/>
      </c>
      <c r="E1692" s="13">
        <f>IF(C1692=Options!$B$9,Options!$C$18,0)</f>
        <v/>
      </c>
      <c r="F1692" s="13">
        <f>IF(AND(A1692&lt;&gt;"",C1692&lt;Options!$B$10),B1692*Options!$X$7,0)</f>
        <v/>
      </c>
      <c r="G1692" s="13">
        <f>F1692*12%</f>
        <v/>
      </c>
      <c r="H1692" s="13">
        <f>IF(A1692="",0,B1692*(86*IF(OR(C1692=Options!$B$9,C1692=Options!$B$10),75%,100%)-IF(C1692=DATE(2026,11,29),23+IF(Options!$B$8="是",22,0),0)-IF(C1692=DATE(2026,11,30),23,0)-IF(C1692=DATE(2026,12,1),59,0)-IF(C1692=DATE(2026,11,28),36,0)-IF(C1692=DATE(2026,12,2),23,0)))</f>
        <v/>
      </c>
      <c r="I1692" s="13">
        <f>IF(AND(C1692&gt;=DATE(2026,11,29),C1692&lt;=DATE(2026,12,1)),B1692*60,0)</f>
        <v/>
      </c>
      <c r="J1692" s="13">
        <f>IF(A1692="",0,B1692*(IF(C1692=DATE(2026,11,28),36,0)+IF(C1692=DATE(2026,12,1),36,0)+IF(C1692=DATE(2026,12,2),23,0)))</f>
        <v/>
      </c>
      <c r="K1692" s="13">
        <f>IF(C1692=Options!$B$9,B1692*12,0)</f>
        <v/>
      </c>
      <c r="L1692" s="13">
        <f>IF(C1692=Options!$B$9,B1692*Options!$Z$7,0)</f>
        <v/>
      </c>
      <c r="M1692" s="13" t="n">
        <v>0</v>
      </c>
      <c r="N1692" s="13">
        <f>SUM(E1692:M1692)</f>
        <v/>
      </c>
    </row>
    <row r="1693">
      <c r="A1693" s="5">
        <f>IF(AND(C1693&gt;=Options!$B$9,C1693&lt;=Options!$B$10),"Phoenix","")</f>
        <v/>
      </c>
      <c r="B1693" s="5">
        <f>IF(A1693="","",18)</f>
        <v/>
      </c>
      <c r="C1693" s="17" t="n">
        <v>46524</v>
      </c>
      <c r="D1693" s="5">
        <f>IF(A1693="","",IF(C1693=DATE(2026,11,29),"培训；注册午餐；早餐参数",IF(C1693=DATE(2026,11,30),"培训；注册午餐",IF(C1693=DATE(2026,12,1),"培训；注册午餐；机构晚餐",IF(C1693=Options!$B$9,"抵达；"&amp;IF(C1693=DATE(2026,11,28),"机构晚餐","无统一供餐"),IF(C1693=Options!$B$10,"返程；"&amp;IF(C1693=DATE(2026,12,2),"机构午餐","无统一供餐"),"差旅状态；无统一日程"))))))</f>
        <v/>
      </c>
      <c r="E1693" s="13">
        <f>IF(C1693=Options!$B$9,Options!$C$18,0)</f>
        <v/>
      </c>
      <c r="F1693" s="13">
        <f>IF(AND(A1693&lt;&gt;"",C1693&lt;Options!$B$10),B1693*Options!$X$7,0)</f>
        <v/>
      </c>
      <c r="G1693" s="13">
        <f>F1693*12%</f>
        <v/>
      </c>
      <c r="H1693" s="13">
        <f>IF(A1693="",0,B1693*(86*IF(OR(C1693=Options!$B$9,C1693=Options!$B$10),75%,100%)-IF(C1693=DATE(2026,11,29),23+IF(Options!$B$8="是",22,0),0)-IF(C1693=DATE(2026,11,30),23,0)-IF(C1693=DATE(2026,12,1),59,0)-IF(C1693=DATE(2026,11,28),36,0)-IF(C1693=DATE(2026,12,2),23,0)))</f>
        <v/>
      </c>
      <c r="I1693" s="13">
        <f>IF(AND(C1693&gt;=DATE(2026,11,29),C1693&lt;=DATE(2026,12,1)),B1693*60,0)</f>
        <v/>
      </c>
      <c r="J1693" s="13">
        <f>IF(A1693="",0,B1693*(IF(C1693=DATE(2026,11,28),36,0)+IF(C1693=DATE(2026,12,1),36,0)+IF(C1693=DATE(2026,12,2),23,0)))</f>
        <v/>
      </c>
      <c r="K1693" s="13">
        <f>IF(C1693=Options!$B$9,B1693*12,0)</f>
        <v/>
      </c>
      <c r="L1693" s="13">
        <f>IF(C1693=Options!$B$9,B1693*Options!$Z$7,0)</f>
        <v/>
      </c>
      <c r="M1693" s="13" t="n">
        <v>0</v>
      </c>
      <c r="N1693" s="13">
        <f>SUM(E1693:M1693)</f>
        <v/>
      </c>
    </row>
    <row r="1694">
      <c r="A1694" s="5">
        <f>IF(AND(C1694&gt;=Options!$B$9,C1694&lt;=Options!$B$10),"Phoenix","")</f>
        <v/>
      </c>
      <c r="B1694" s="5">
        <f>IF(A1694="","",18)</f>
        <v/>
      </c>
      <c r="C1694" s="17" t="n">
        <v>46525</v>
      </c>
      <c r="D1694" s="5">
        <f>IF(A1694="","",IF(C1694=DATE(2026,11,29),"培训；注册午餐；早餐参数",IF(C1694=DATE(2026,11,30),"培训；注册午餐",IF(C1694=DATE(2026,12,1),"培训；注册午餐；机构晚餐",IF(C1694=Options!$B$9,"抵达；"&amp;IF(C1694=DATE(2026,11,28),"机构晚餐","无统一供餐"),IF(C1694=Options!$B$10,"返程；"&amp;IF(C1694=DATE(2026,12,2),"机构午餐","无统一供餐"),"差旅状态；无统一日程"))))))</f>
        <v/>
      </c>
      <c r="E1694" s="13">
        <f>IF(C1694=Options!$B$9,Options!$C$18,0)</f>
        <v/>
      </c>
      <c r="F1694" s="13">
        <f>IF(AND(A1694&lt;&gt;"",C1694&lt;Options!$B$10),B1694*Options!$X$7,0)</f>
        <v/>
      </c>
      <c r="G1694" s="13">
        <f>F1694*12%</f>
        <v/>
      </c>
      <c r="H1694" s="13">
        <f>IF(A1694="",0,B1694*(86*IF(OR(C1694=Options!$B$9,C1694=Options!$B$10),75%,100%)-IF(C1694=DATE(2026,11,29),23+IF(Options!$B$8="是",22,0),0)-IF(C1694=DATE(2026,11,30),23,0)-IF(C1694=DATE(2026,12,1),59,0)-IF(C1694=DATE(2026,11,28),36,0)-IF(C1694=DATE(2026,12,2),23,0)))</f>
        <v/>
      </c>
      <c r="I1694" s="13">
        <f>IF(AND(C1694&gt;=DATE(2026,11,29),C1694&lt;=DATE(2026,12,1)),B1694*60,0)</f>
        <v/>
      </c>
      <c r="J1694" s="13">
        <f>IF(A1694="",0,B1694*(IF(C1694=DATE(2026,11,28),36,0)+IF(C1694=DATE(2026,12,1),36,0)+IF(C1694=DATE(2026,12,2),23,0)))</f>
        <v/>
      </c>
      <c r="K1694" s="13">
        <f>IF(C1694=Options!$B$9,B1694*12,0)</f>
        <v/>
      </c>
      <c r="L1694" s="13">
        <f>IF(C1694=Options!$B$9,B1694*Options!$Z$7,0)</f>
        <v/>
      </c>
      <c r="M1694" s="13" t="n">
        <v>0</v>
      </c>
      <c r="N1694" s="13">
        <f>SUM(E1694:M1694)</f>
        <v/>
      </c>
    </row>
    <row r="1695">
      <c r="A1695" s="5">
        <f>IF(AND(C1695&gt;=Options!$B$9,C1695&lt;=Options!$B$10),"Phoenix","")</f>
        <v/>
      </c>
      <c r="B1695" s="5">
        <f>IF(A1695="","",18)</f>
        <v/>
      </c>
      <c r="C1695" s="17" t="n">
        <v>46526</v>
      </c>
      <c r="D1695" s="5">
        <f>IF(A1695="","",IF(C1695=DATE(2026,11,29),"培训；注册午餐；早餐参数",IF(C1695=DATE(2026,11,30),"培训；注册午餐",IF(C1695=DATE(2026,12,1),"培训；注册午餐；机构晚餐",IF(C1695=Options!$B$9,"抵达；"&amp;IF(C1695=DATE(2026,11,28),"机构晚餐","无统一供餐"),IF(C1695=Options!$B$10,"返程；"&amp;IF(C1695=DATE(2026,12,2),"机构午餐","无统一供餐"),"差旅状态；无统一日程"))))))</f>
        <v/>
      </c>
      <c r="E1695" s="13">
        <f>IF(C1695=Options!$B$9,Options!$C$18,0)</f>
        <v/>
      </c>
      <c r="F1695" s="13">
        <f>IF(AND(A1695&lt;&gt;"",C1695&lt;Options!$B$10),B1695*Options!$X$7,0)</f>
        <v/>
      </c>
      <c r="G1695" s="13">
        <f>F1695*12%</f>
        <v/>
      </c>
      <c r="H1695" s="13">
        <f>IF(A1695="",0,B1695*(86*IF(OR(C1695=Options!$B$9,C1695=Options!$B$10),75%,100%)-IF(C1695=DATE(2026,11,29),23+IF(Options!$B$8="是",22,0),0)-IF(C1695=DATE(2026,11,30),23,0)-IF(C1695=DATE(2026,12,1),59,0)-IF(C1695=DATE(2026,11,28),36,0)-IF(C1695=DATE(2026,12,2),23,0)))</f>
        <v/>
      </c>
      <c r="I1695" s="13">
        <f>IF(AND(C1695&gt;=DATE(2026,11,29),C1695&lt;=DATE(2026,12,1)),B1695*60,0)</f>
        <v/>
      </c>
      <c r="J1695" s="13">
        <f>IF(A1695="",0,B1695*(IF(C1695=DATE(2026,11,28),36,0)+IF(C1695=DATE(2026,12,1),36,0)+IF(C1695=DATE(2026,12,2),23,0)))</f>
        <v/>
      </c>
      <c r="K1695" s="13">
        <f>IF(C1695=Options!$B$9,B1695*12,0)</f>
        <v/>
      </c>
      <c r="L1695" s="13">
        <f>IF(C1695=Options!$B$9,B1695*Options!$Z$7,0)</f>
        <v/>
      </c>
      <c r="M1695" s="13" t="n">
        <v>0</v>
      </c>
      <c r="N1695" s="13">
        <f>SUM(E1695:M1695)</f>
        <v/>
      </c>
    </row>
    <row r="1696">
      <c r="A1696" s="5">
        <f>IF(AND(C1696&gt;=Options!$B$9,C1696&lt;=Options!$B$10),"Phoenix","")</f>
        <v/>
      </c>
      <c r="B1696" s="5">
        <f>IF(A1696="","",18)</f>
        <v/>
      </c>
      <c r="C1696" s="17" t="n">
        <v>46527</v>
      </c>
      <c r="D1696" s="5">
        <f>IF(A1696="","",IF(C1696=DATE(2026,11,29),"培训；注册午餐；早餐参数",IF(C1696=DATE(2026,11,30),"培训；注册午餐",IF(C1696=DATE(2026,12,1),"培训；注册午餐；机构晚餐",IF(C1696=Options!$B$9,"抵达；"&amp;IF(C1696=DATE(2026,11,28),"机构晚餐","无统一供餐"),IF(C1696=Options!$B$10,"返程；"&amp;IF(C1696=DATE(2026,12,2),"机构午餐","无统一供餐"),"差旅状态；无统一日程"))))))</f>
        <v/>
      </c>
      <c r="E1696" s="13">
        <f>IF(C1696=Options!$B$9,Options!$C$18,0)</f>
        <v/>
      </c>
      <c r="F1696" s="13">
        <f>IF(AND(A1696&lt;&gt;"",C1696&lt;Options!$B$10),B1696*Options!$X$7,0)</f>
        <v/>
      </c>
      <c r="G1696" s="13">
        <f>F1696*12%</f>
        <v/>
      </c>
      <c r="H1696" s="13">
        <f>IF(A1696="",0,B1696*(86*IF(OR(C1696=Options!$B$9,C1696=Options!$B$10),75%,100%)-IF(C1696=DATE(2026,11,29),23+IF(Options!$B$8="是",22,0),0)-IF(C1696=DATE(2026,11,30),23,0)-IF(C1696=DATE(2026,12,1),59,0)-IF(C1696=DATE(2026,11,28),36,0)-IF(C1696=DATE(2026,12,2),23,0)))</f>
        <v/>
      </c>
      <c r="I1696" s="13">
        <f>IF(AND(C1696&gt;=DATE(2026,11,29),C1696&lt;=DATE(2026,12,1)),B1696*60,0)</f>
        <v/>
      </c>
      <c r="J1696" s="13">
        <f>IF(A1696="",0,B1696*(IF(C1696=DATE(2026,11,28),36,0)+IF(C1696=DATE(2026,12,1),36,0)+IF(C1696=DATE(2026,12,2),23,0)))</f>
        <v/>
      </c>
      <c r="K1696" s="13">
        <f>IF(C1696=Options!$B$9,B1696*12,0)</f>
        <v/>
      </c>
      <c r="L1696" s="13">
        <f>IF(C1696=Options!$B$9,B1696*Options!$Z$7,0)</f>
        <v/>
      </c>
      <c r="M1696" s="13" t="n">
        <v>0</v>
      </c>
      <c r="N1696" s="13">
        <f>SUM(E1696:M1696)</f>
        <v/>
      </c>
    </row>
    <row r="1697">
      <c r="A1697" s="5">
        <f>IF(AND(C1697&gt;=Options!$B$9,C1697&lt;=Options!$B$10),"Phoenix","")</f>
        <v/>
      </c>
      <c r="B1697" s="5">
        <f>IF(A1697="","",18)</f>
        <v/>
      </c>
      <c r="C1697" s="17" t="n">
        <v>46528</v>
      </c>
      <c r="D1697" s="5">
        <f>IF(A1697="","",IF(C1697=DATE(2026,11,29),"培训；注册午餐；早餐参数",IF(C1697=DATE(2026,11,30),"培训；注册午餐",IF(C1697=DATE(2026,12,1),"培训；注册午餐；机构晚餐",IF(C1697=Options!$B$9,"抵达；"&amp;IF(C1697=DATE(2026,11,28),"机构晚餐","无统一供餐"),IF(C1697=Options!$B$10,"返程；"&amp;IF(C1697=DATE(2026,12,2),"机构午餐","无统一供餐"),"差旅状态；无统一日程"))))))</f>
        <v/>
      </c>
      <c r="E1697" s="13">
        <f>IF(C1697=Options!$B$9,Options!$C$18,0)</f>
        <v/>
      </c>
      <c r="F1697" s="13">
        <f>IF(AND(A1697&lt;&gt;"",C1697&lt;Options!$B$10),B1697*Options!$X$7,0)</f>
        <v/>
      </c>
      <c r="G1697" s="13">
        <f>F1697*12%</f>
        <v/>
      </c>
      <c r="H1697" s="13">
        <f>IF(A1697="",0,B1697*(86*IF(OR(C1697=Options!$B$9,C1697=Options!$B$10),75%,100%)-IF(C1697=DATE(2026,11,29),23+IF(Options!$B$8="是",22,0),0)-IF(C1697=DATE(2026,11,30),23,0)-IF(C1697=DATE(2026,12,1),59,0)-IF(C1697=DATE(2026,11,28),36,0)-IF(C1697=DATE(2026,12,2),23,0)))</f>
        <v/>
      </c>
      <c r="I1697" s="13">
        <f>IF(AND(C1697&gt;=DATE(2026,11,29),C1697&lt;=DATE(2026,12,1)),B1697*60,0)</f>
        <v/>
      </c>
      <c r="J1697" s="13">
        <f>IF(A1697="",0,B1697*(IF(C1697=DATE(2026,11,28),36,0)+IF(C1697=DATE(2026,12,1),36,0)+IF(C1697=DATE(2026,12,2),23,0)))</f>
        <v/>
      </c>
      <c r="K1697" s="13">
        <f>IF(C1697=Options!$B$9,B1697*12,0)</f>
        <v/>
      </c>
      <c r="L1697" s="13">
        <f>IF(C1697=Options!$B$9,B1697*Options!$Z$7,0)</f>
        <v/>
      </c>
      <c r="M1697" s="13" t="n">
        <v>0</v>
      </c>
      <c r="N1697" s="13">
        <f>SUM(E1697:M1697)</f>
        <v/>
      </c>
    </row>
    <row r="1698">
      <c r="A1698" s="5">
        <f>IF(AND(C1698&gt;=Options!$B$9,C1698&lt;=Options!$B$10),"Phoenix","")</f>
        <v/>
      </c>
      <c r="B1698" s="5">
        <f>IF(A1698="","",18)</f>
        <v/>
      </c>
      <c r="C1698" s="17" t="n">
        <v>46529</v>
      </c>
      <c r="D1698" s="5">
        <f>IF(A1698="","",IF(C1698=DATE(2026,11,29),"培训；注册午餐；早餐参数",IF(C1698=DATE(2026,11,30),"培训；注册午餐",IF(C1698=DATE(2026,12,1),"培训；注册午餐；机构晚餐",IF(C1698=Options!$B$9,"抵达；"&amp;IF(C1698=DATE(2026,11,28),"机构晚餐","无统一供餐"),IF(C1698=Options!$B$10,"返程；"&amp;IF(C1698=DATE(2026,12,2),"机构午餐","无统一供餐"),"差旅状态；无统一日程"))))))</f>
        <v/>
      </c>
      <c r="E1698" s="13">
        <f>IF(C1698=Options!$B$9,Options!$C$18,0)</f>
        <v/>
      </c>
      <c r="F1698" s="13">
        <f>IF(AND(A1698&lt;&gt;"",C1698&lt;Options!$B$10),B1698*Options!$X$7,0)</f>
        <v/>
      </c>
      <c r="G1698" s="13">
        <f>F1698*12%</f>
        <v/>
      </c>
      <c r="H1698" s="13">
        <f>IF(A1698="",0,B1698*(86*IF(OR(C1698=Options!$B$9,C1698=Options!$B$10),75%,100%)-IF(C1698=DATE(2026,11,29),23+IF(Options!$B$8="是",22,0),0)-IF(C1698=DATE(2026,11,30),23,0)-IF(C1698=DATE(2026,12,1),59,0)-IF(C1698=DATE(2026,11,28),36,0)-IF(C1698=DATE(2026,12,2),23,0)))</f>
        <v/>
      </c>
      <c r="I1698" s="13">
        <f>IF(AND(C1698&gt;=DATE(2026,11,29),C1698&lt;=DATE(2026,12,1)),B1698*60,0)</f>
        <v/>
      </c>
      <c r="J1698" s="13">
        <f>IF(A1698="",0,B1698*(IF(C1698=DATE(2026,11,28),36,0)+IF(C1698=DATE(2026,12,1),36,0)+IF(C1698=DATE(2026,12,2),23,0)))</f>
        <v/>
      </c>
      <c r="K1698" s="13">
        <f>IF(C1698=Options!$B$9,B1698*12,0)</f>
        <v/>
      </c>
      <c r="L1698" s="13">
        <f>IF(C1698=Options!$B$9,B1698*Options!$Z$7,0)</f>
        <v/>
      </c>
      <c r="M1698" s="13" t="n">
        <v>0</v>
      </c>
      <c r="N1698" s="13">
        <f>SUM(E1698:M1698)</f>
        <v/>
      </c>
    </row>
    <row r="1699">
      <c r="A1699" s="5">
        <f>IF(AND(C1699&gt;=Options!$B$9,C1699&lt;=Options!$B$10),"Phoenix","")</f>
        <v/>
      </c>
      <c r="B1699" s="5">
        <f>IF(A1699="","",18)</f>
        <v/>
      </c>
      <c r="C1699" s="17" t="n">
        <v>46530</v>
      </c>
      <c r="D1699" s="5">
        <f>IF(A1699="","",IF(C1699=DATE(2026,11,29),"培训；注册午餐；早餐参数",IF(C1699=DATE(2026,11,30),"培训；注册午餐",IF(C1699=DATE(2026,12,1),"培训；注册午餐；机构晚餐",IF(C1699=Options!$B$9,"抵达；"&amp;IF(C1699=DATE(2026,11,28),"机构晚餐","无统一供餐"),IF(C1699=Options!$B$10,"返程；"&amp;IF(C1699=DATE(2026,12,2),"机构午餐","无统一供餐"),"差旅状态；无统一日程"))))))</f>
        <v/>
      </c>
      <c r="E1699" s="13">
        <f>IF(C1699=Options!$B$9,Options!$C$18,0)</f>
        <v/>
      </c>
      <c r="F1699" s="13">
        <f>IF(AND(A1699&lt;&gt;"",C1699&lt;Options!$B$10),B1699*Options!$X$7,0)</f>
        <v/>
      </c>
      <c r="G1699" s="13">
        <f>F1699*12%</f>
        <v/>
      </c>
      <c r="H1699" s="13">
        <f>IF(A1699="",0,B1699*(86*IF(OR(C1699=Options!$B$9,C1699=Options!$B$10),75%,100%)-IF(C1699=DATE(2026,11,29),23+IF(Options!$B$8="是",22,0),0)-IF(C1699=DATE(2026,11,30),23,0)-IF(C1699=DATE(2026,12,1),59,0)-IF(C1699=DATE(2026,11,28),36,0)-IF(C1699=DATE(2026,12,2),23,0)))</f>
        <v/>
      </c>
      <c r="I1699" s="13">
        <f>IF(AND(C1699&gt;=DATE(2026,11,29),C1699&lt;=DATE(2026,12,1)),B1699*60,0)</f>
        <v/>
      </c>
      <c r="J1699" s="13">
        <f>IF(A1699="",0,B1699*(IF(C1699=DATE(2026,11,28),36,0)+IF(C1699=DATE(2026,12,1),36,0)+IF(C1699=DATE(2026,12,2),23,0)))</f>
        <v/>
      </c>
      <c r="K1699" s="13">
        <f>IF(C1699=Options!$B$9,B1699*12,0)</f>
        <v/>
      </c>
      <c r="L1699" s="13">
        <f>IF(C1699=Options!$B$9,B1699*Options!$Z$7,0)</f>
        <v/>
      </c>
      <c r="M1699" s="13" t="n">
        <v>0</v>
      </c>
      <c r="N1699" s="13">
        <f>SUM(E1699:M1699)</f>
        <v/>
      </c>
    </row>
    <row r="1700">
      <c r="A1700" s="5">
        <f>IF(AND(C1700&gt;=Options!$B$9,C1700&lt;=Options!$B$10),"Phoenix","")</f>
        <v/>
      </c>
      <c r="B1700" s="5">
        <f>IF(A1700="","",18)</f>
        <v/>
      </c>
      <c r="C1700" s="17" t="n">
        <v>46531</v>
      </c>
      <c r="D1700" s="5">
        <f>IF(A1700="","",IF(C1700=DATE(2026,11,29),"培训；注册午餐；早餐参数",IF(C1700=DATE(2026,11,30),"培训；注册午餐",IF(C1700=DATE(2026,12,1),"培训；注册午餐；机构晚餐",IF(C1700=Options!$B$9,"抵达；"&amp;IF(C1700=DATE(2026,11,28),"机构晚餐","无统一供餐"),IF(C1700=Options!$B$10,"返程；"&amp;IF(C1700=DATE(2026,12,2),"机构午餐","无统一供餐"),"差旅状态；无统一日程"))))))</f>
        <v/>
      </c>
      <c r="E1700" s="13">
        <f>IF(C1700=Options!$B$9,Options!$C$18,0)</f>
        <v/>
      </c>
      <c r="F1700" s="13">
        <f>IF(AND(A1700&lt;&gt;"",C1700&lt;Options!$B$10),B1700*Options!$X$7,0)</f>
        <v/>
      </c>
      <c r="G1700" s="13">
        <f>F1700*12%</f>
        <v/>
      </c>
      <c r="H1700" s="13">
        <f>IF(A1700="",0,B1700*(86*IF(OR(C1700=Options!$B$9,C1700=Options!$B$10),75%,100%)-IF(C1700=DATE(2026,11,29),23+IF(Options!$B$8="是",22,0),0)-IF(C1700=DATE(2026,11,30),23,0)-IF(C1700=DATE(2026,12,1),59,0)-IF(C1700=DATE(2026,11,28),36,0)-IF(C1700=DATE(2026,12,2),23,0)))</f>
        <v/>
      </c>
      <c r="I1700" s="13">
        <f>IF(AND(C1700&gt;=DATE(2026,11,29),C1700&lt;=DATE(2026,12,1)),B1700*60,0)</f>
        <v/>
      </c>
      <c r="J1700" s="13">
        <f>IF(A1700="",0,B1700*(IF(C1700=DATE(2026,11,28),36,0)+IF(C1700=DATE(2026,12,1),36,0)+IF(C1700=DATE(2026,12,2),23,0)))</f>
        <v/>
      </c>
      <c r="K1700" s="13">
        <f>IF(C1700=Options!$B$9,B1700*12,0)</f>
        <v/>
      </c>
      <c r="L1700" s="13">
        <f>IF(C1700=Options!$B$9,B1700*Options!$Z$7,0)</f>
        <v/>
      </c>
      <c r="M1700" s="13" t="n">
        <v>0</v>
      </c>
      <c r="N1700" s="13">
        <f>SUM(E1700:M1700)</f>
        <v/>
      </c>
    </row>
    <row r="1701">
      <c r="A1701" s="5">
        <f>IF(AND(C1701&gt;=Options!$B$9,C1701&lt;=Options!$B$10),"Phoenix","")</f>
        <v/>
      </c>
      <c r="B1701" s="5">
        <f>IF(A1701="","",18)</f>
        <v/>
      </c>
      <c r="C1701" s="17" t="n">
        <v>46532</v>
      </c>
      <c r="D1701" s="5">
        <f>IF(A1701="","",IF(C1701=DATE(2026,11,29),"培训；注册午餐；早餐参数",IF(C1701=DATE(2026,11,30),"培训；注册午餐",IF(C1701=DATE(2026,12,1),"培训；注册午餐；机构晚餐",IF(C1701=Options!$B$9,"抵达；"&amp;IF(C1701=DATE(2026,11,28),"机构晚餐","无统一供餐"),IF(C1701=Options!$B$10,"返程；"&amp;IF(C1701=DATE(2026,12,2),"机构午餐","无统一供餐"),"差旅状态；无统一日程"))))))</f>
        <v/>
      </c>
      <c r="E1701" s="13">
        <f>IF(C1701=Options!$B$9,Options!$C$18,0)</f>
        <v/>
      </c>
      <c r="F1701" s="13">
        <f>IF(AND(A1701&lt;&gt;"",C1701&lt;Options!$B$10),B1701*Options!$X$7,0)</f>
        <v/>
      </c>
      <c r="G1701" s="13">
        <f>F1701*12%</f>
        <v/>
      </c>
      <c r="H1701" s="13">
        <f>IF(A1701="",0,B1701*(86*IF(OR(C1701=Options!$B$9,C1701=Options!$B$10),75%,100%)-IF(C1701=DATE(2026,11,29),23+IF(Options!$B$8="是",22,0),0)-IF(C1701=DATE(2026,11,30),23,0)-IF(C1701=DATE(2026,12,1),59,0)-IF(C1701=DATE(2026,11,28),36,0)-IF(C1701=DATE(2026,12,2),23,0)))</f>
        <v/>
      </c>
      <c r="I1701" s="13">
        <f>IF(AND(C1701&gt;=DATE(2026,11,29),C1701&lt;=DATE(2026,12,1)),B1701*60,0)</f>
        <v/>
      </c>
      <c r="J1701" s="13">
        <f>IF(A1701="",0,B1701*(IF(C1701=DATE(2026,11,28),36,0)+IF(C1701=DATE(2026,12,1),36,0)+IF(C1701=DATE(2026,12,2),23,0)))</f>
        <v/>
      </c>
      <c r="K1701" s="13">
        <f>IF(C1701=Options!$B$9,B1701*12,0)</f>
        <v/>
      </c>
      <c r="L1701" s="13">
        <f>IF(C1701=Options!$B$9,B1701*Options!$Z$7,0)</f>
        <v/>
      </c>
      <c r="M1701" s="13" t="n">
        <v>0</v>
      </c>
      <c r="N1701" s="13">
        <f>SUM(E1701:M1701)</f>
        <v/>
      </c>
    </row>
    <row r="1702">
      <c r="A1702" s="5">
        <f>IF(AND(C1702&gt;=Options!$B$9,C1702&lt;=Options!$B$10),"Phoenix","")</f>
        <v/>
      </c>
      <c r="B1702" s="5">
        <f>IF(A1702="","",18)</f>
        <v/>
      </c>
      <c r="C1702" s="17" t="n">
        <v>46533</v>
      </c>
      <c r="D1702" s="5">
        <f>IF(A1702="","",IF(C1702=DATE(2026,11,29),"培训；注册午餐；早餐参数",IF(C1702=DATE(2026,11,30),"培训；注册午餐",IF(C1702=DATE(2026,12,1),"培训；注册午餐；机构晚餐",IF(C1702=Options!$B$9,"抵达；"&amp;IF(C1702=DATE(2026,11,28),"机构晚餐","无统一供餐"),IF(C1702=Options!$B$10,"返程；"&amp;IF(C1702=DATE(2026,12,2),"机构午餐","无统一供餐"),"差旅状态；无统一日程"))))))</f>
        <v/>
      </c>
      <c r="E1702" s="13">
        <f>IF(C1702=Options!$B$9,Options!$C$18,0)</f>
        <v/>
      </c>
      <c r="F1702" s="13">
        <f>IF(AND(A1702&lt;&gt;"",C1702&lt;Options!$B$10),B1702*Options!$X$7,0)</f>
        <v/>
      </c>
      <c r="G1702" s="13">
        <f>F1702*12%</f>
        <v/>
      </c>
      <c r="H1702" s="13">
        <f>IF(A1702="",0,B1702*(86*IF(OR(C1702=Options!$B$9,C1702=Options!$B$10),75%,100%)-IF(C1702=DATE(2026,11,29),23+IF(Options!$B$8="是",22,0),0)-IF(C1702=DATE(2026,11,30),23,0)-IF(C1702=DATE(2026,12,1),59,0)-IF(C1702=DATE(2026,11,28),36,0)-IF(C1702=DATE(2026,12,2),23,0)))</f>
        <v/>
      </c>
      <c r="I1702" s="13">
        <f>IF(AND(C1702&gt;=DATE(2026,11,29),C1702&lt;=DATE(2026,12,1)),B1702*60,0)</f>
        <v/>
      </c>
      <c r="J1702" s="13">
        <f>IF(A1702="",0,B1702*(IF(C1702=DATE(2026,11,28),36,0)+IF(C1702=DATE(2026,12,1),36,0)+IF(C1702=DATE(2026,12,2),23,0)))</f>
        <v/>
      </c>
      <c r="K1702" s="13">
        <f>IF(C1702=Options!$B$9,B1702*12,0)</f>
        <v/>
      </c>
      <c r="L1702" s="13">
        <f>IF(C1702=Options!$B$9,B1702*Options!$Z$7,0)</f>
        <v/>
      </c>
      <c r="M1702" s="13" t="n">
        <v>0</v>
      </c>
      <c r="N1702" s="13">
        <f>SUM(E1702:M1702)</f>
        <v/>
      </c>
    </row>
    <row r="1703">
      <c r="A1703" s="5">
        <f>IF(AND(C1703&gt;=Options!$B$9,C1703&lt;=Options!$B$10),"Phoenix","")</f>
        <v/>
      </c>
      <c r="B1703" s="5">
        <f>IF(A1703="","",18)</f>
        <v/>
      </c>
      <c r="C1703" s="17" t="n">
        <v>46534</v>
      </c>
      <c r="D1703" s="5">
        <f>IF(A1703="","",IF(C1703=DATE(2026,11,29),"培训；注册午餐；早餐参数",IF(C1703=DATE(2026,11,30),"培训；注册午餐",IF(C1703=DATE(2026,12,1),"培训；注册午餐；机构晚餐",IF(C1703=Options!$B$9,"抵达；"&amp;IF(C1703=DATE(2026,11,28),"机构晚餐","无统一供餐"),IF(C1703=Options!$B$10,"返程；"&amp;IF(C1703=DATE(2026,12,2),"机构午餐","无统一供餐"),"差旅状态；无统一日程"))))))</f>
        <v/>
      </c>
      <c r="E1703" s="13">
        <f>IF(C1703=Options!$B$9,Options!$C$18,0)</f>
        <v/>
      </c>
      <c r="F1703" s="13">
        <f>IF(AND(A1703&lt;&gt;"",C1703&lt;Options!$B$10),B1703*Options!$X$7,0)</f>
        <v/>
      </c>
      <c r="G1703" s="13">
        <f>F1703*12%</f>
        <v/>
      </c>
      <c r="H1703" s="13">
        <f>IF(A1703="",0,B1703*(86*IF(OR(C1703=Options!$B$9,C1703=Options!$B$10),75%,100%)-IF(C1703=DATE(2026,11,29),23+IF(Options!$B$8="是",22,0),0)-IF(C1703=DATE(2026,11,30),23,0)-IF(C1703=DATE(2026,12,1),59,0)-IF(C1703=DATE(2026,11,28),36,0)-IF(C1703=DATE(2026,12,2),23,0)))</f>
        <v/>
      </c>
      <c r="I1703" s="13">
        <f>IF(AND(C1703&gt;=DATE(2026,11,29),C1703&lt;=DATE(2026,12,1)),B1703*60,0)</f>
        <v/>
      </c>
      <c r="J1703" s="13">
        <f>IF(A1703="",0,B1703*(IF(C1703=DATE(2026,11,28),36,0)+IF(C1703=DATE(2026,12,1),36,0)+IF(C1703=DATE(2026,12,2),23,0)))</f>
        <v/>
      </c>
      <c r="K1703" s="13">
        <f>IF(C1703=Options!$B$9,B1703*12,0)</f>
        <v/>
      </c>
      <c r="L1703" s="13">
        <f>IF(C1703=Options!$B$9,B1703*Options!$Z$7,0)</f>
        <v/>
      </c>
      <c r="M1703" s="13" t="n">
        <v>0</v>
      </c>
      <c r="N1703" s="13">
        <f>SUM(E1703:M1703)</f>
        <v/>
      </c>
    </row>
    <row r="1704">
      <c r="A1704" s="5">
        <f>IF(AND(C1704&gt;=Options!$B$9,C1704&lt;=Options!$B$10),"Phoenix","")</f>
        <v/>
      </c>
      <c r="B1704" s="5">
        <f>IF(A1704="","",18)</f>
        <v/>
      </c>
      <c r="C1704" s="17" t="n">
        <v>46535</v>
      </c>
      <c r="D1704" s="5">
        <f>IF(A1704="","",IF(C1704=DATE(2026,11,29),"培训；注册午餐；早餐参数",IF(C1704=DATE(2026,11,30),"培训；注册午餐",IF(C1704=DATE(2026,12,1),"培训；注册午餐；机构晚餐",IF(C1704=Options!$B$9,"抵达；"&amp;IF(C1704=DATE(2026,11,28),"机构晚餐","无统一供餐"),IF(C1704=Options!$B$10,"返程；"&amp;IF(C1704=DATE(2026,12,2),"机构午餐","无统一供餐"),"差旅状态；无统一日程"))))))</f>
        <v/>
      </c>
      <c r="E1704" s="13">
        <f>IF(C1704=Options!$B$9,Options!$C$18,0)</f>
        <v/>
      </c>
      <c r="F1704" s="13">
        <f>IF(AND(A1704&lt;&gt;"",C1704&lt;Options!$B$10),B1704*Options!$X$7,0)</f>
        <v/>
      </c>
      <c r="G1704" s="13">
        <f>F1704*12%</f>
        <v/>
      </c>
      <c r="H1704" s="13">
        <f>IF(A1704="",0,B1704*(86*IF(OR(C1704=Options!$B$9,C1704=Options!$B$10),75%,100%)-IF(C1704=DATE(2026,11,29),23+IF(Options!$B$8="是",22,0),0)-IF(C1704=DATE(2026,11,30),23,0)-IF(C1704=DATE(2026,12,1),59,0)-IF(C1704=DATE(2026,11,28),36,0)-IF(C1704=DATE(2026,12,2),23,0)))</f>
        <v/>
      </c>
      <c r="I1704" s="13">
        <f>IF(AND(C1704&gt;=DATE(2026,11,29),C1704&lt;=DATE(2026,12,1)),B1704*60,0)</f>
        <v/>
      </c>
      <c r="J1704" s="13">
        <f>IF(A1704="",0,B1704*(IF(C1704=DATE(2026,11,28),36,0)+IF(C1704=DATE(2026,12,1),36,0)+IF(C1704=DATE(2026,12,2),23,0)))</f>
        <v/>
      </c>
      <c r="K1704" s="13">
        <f>IF(C1704=Options!$B$9,B1704*12,0)</f>
        <v/>
      </c>
      <c r="L1704" s="13">
        <f>IF(C1704=Options!$B$9,B1704*Options!$Z$7,0)</f>
        <v/>
      </c>
      <c r="M1704" s="13" t="n">
        <v>0</v>
      </c>
      <c r="N1704" s="13">
        <f>SUM(E1704:M1704)</f>
        <v/>
      </c>
    </row>
    <row r="1705">
      <c r="A1705" s="5">
        <f>IF(AND(C1705&gt;=Options!$B$9,C1705&lt;=Options!$B$10),"Phoenix","")</f>
        <v/>
      </c>
      <c r="B1705" s="5">
        <f>IF(A1705="","",18)</f>
        <v/>
      </c>
      <c r="C1705" s="17" t="n">
        <v>46536</v>
      </c>
      <c r="D1705" s="5">
        <f>IF(A1705="","",IF(C1705=DATE(2026,11,29),"培训；注册午餐；早餐参数",IF(C1705=DATE(2026,11,30),"培训；注册午餐",IF(C1705=DATE(2026,12,1),"培训；注册午餐；机构晚餐",IF(C1705=Options!$B$9,"抵达；"&amp;IF(C1705=DATE(2026,11,28),"机构晚餐","无统一供餐"),IF(C1705=Options!$B$10,"返程；"&amp;IF(C1705=DATE(2026,12,2),"机构午餐","无统一供餐"),"差旅状态；无统一日程"))))))</f>
        <v/>
      </c>
      <c r="E1705" s="13">
        <f>IF(C1705=Options!$B$9,Options!$C$18,0)</f>
        <v/>
      </c>
      <c r="F1705" s="13">
        <f>IF(AND(A1705&lt;&gt;"",C1705&lt;Options!$B$10),B1705*Options!$X$7,0)</f>
        <v/>
      </c>
      <c r="G1705" s="13">
        <f>F1705*12%</f>
        <v/>
      </c>
      <c r="H1705" s="13">
        <f>IF(A1705="",0,B1705*(86*IF(OR(C1705=Options!$B$9,C1705=Options!$B$10),75%,100%)-IF(C1705=DATE(2026,11,29),23+IF(Options!$B$8="是",22,0),0)-IF(C1705=DATE(2026,11,30),23,0)-IF(C1705=DATE(2026,12,1),59,0)-IF(C1705=DATE(2026,11,28),36,0)-IF(C1705=DATE(2026,12,2),23,0)))</f>
        <v/>
      </c>
      <c r="I1705" s="13">
        <f>IF(AND(C1705&gt;=DATE(2026,11,29),C1705&lt;=DATE(2026,12,1)),B1705*60,0)</f>
        <v/>
      </c>
      <c r="J1705" s="13">
        <f>IF(A1705="",0,B1705*(IF(C1705=DATE(2026,11,28),36,0)+IF(C1705=DATE(2026,12,1),36,0)+IF(C1705=DATE(2026,12,2),23,0)))</f>
        <v/>
      </c>
      <c r="K1705" s="13">
        <f>IF(C1705=Options!$B$9,B1705*12,0)</f>
        <v/>
      </c>
      <c r="L1705" s="13">
        <f>IF(C1705=Options!$B$9,B1705*Options!$Z$7,0)</f>
        <v/>
      </c>
      <c r="M1705" s="13" t="n">
        <v>0</v>
      </c>
      <c r="N1705" s="13">
        <f>SUM(E1705:M1705)</f>
        <v/>
      </c>
    </row>
    <row r="1706">
      <c r="A1706" s="5">
        <f>IF(AND(C1706&gt;=Options!$B$9,C1706&lt;=Options!$B$10),"Phoenix","")</f>
        <v/>
      </c>
      <c r="B1706" s="5">
        <f>IF(A1706="","",18)</f>
        <v/>
      </c>
      <c r="C1706" s="17" t="n">
        <v>46537</v>
      </c>
      <c r="D1706" s="5">
        <f>IF(A1706="","",IF(C1706=DATE(2026,11,29),"培训；注册午餐；早餐参数",IF(C1706=DATE(2026,11,30),"培训；注册午餐",IF(C1706=DATE(2026,12,1),"培训；注册午餐；机构晚餐",IF(C1706=Options!$B$9,"抵达；"&amp;IF(C1706=DATE(2026,11,28),"机构晚餐","无统一供餐"),IF(C1706=Options!$B$10,"返程；"&amp;IF(C1706=DATE(2026,12,2),"机构午餐","无统一供餐"),"差旅状态；无统一日程"))))))</f>
        <v/>
      </c>
      <c r="E1706" s="13">
        <f>IF(C1706=Options!$B$9,Options!$C$18,0)</f>
        <v/>
      </c>
      <c r="F1706" s="13">
        <f>IF(AND(A1706&lt;&gt;"",C1706&lt;Options!$B$10),B1706*Options!$X$7,0)</f>
        <v/>
      </c>
      <c r="G1706" s="13">
        <f>F1706*12%</f>
        <v/>
      </c>
      <c r="H1706" s="13">
        <f>IF(A1706="",0,B1706*(86*IF(OR(C1706=Options!$B$9,C1706=Options!$B$10),75%,100%)-IF(C1706=DATE(2026,11,29),23+IF(Options!$B$8="是",22,0),0)-IF(C1706=DATE(2026,11,30),23,0)-IF(C1706=DATE(2026,12,1),59,0)-IF(C1706=DATE(2026,11,28),36,0)-IF(C1706=DATE(2026,12,2),23,0)))</f>
        <v/>
      </c>
      <c r="I1706" s="13">
        <f>IF(AND(C1706&gt;=DATE(2026,11,29),C1706&lt;=DATE(2026,12,1)),B1706*60,0)</f>
        <v/>
      </c>
      <c r="J1706" s="13">
        <f>IF(A1706="",0,B1706*(IF(C1706=DATE(2026,11,28),36,0)+IF(C1706=DATE(2026,12,1),36,0)+IF(C1706=DATE(2026,12,2),23,0)))</f>
        <v/>
      </c>
      <c r="K1706" s="13">
        <f>IF(C1706=Options!$B$9,B1706*12,0)</f>
        <v/>
      </c>
      <c r="L1706" s="13">
        <f>IF(C1706=Options!$B$9,B1706*Options!$Z$7,0)</f>
        <v/>
      </c>
      <c r="M1706" s="13" t="n">
        <v>0</v>
      </c>
      <c r="N1706" s="13">
        <f>SUM(E1706:M1706)</f>
        <v/>
      </c>
    </row>
    <row r="1707">
      <c r="A1707" s="5">
        <f>IF(AND(C1707&gt;=Options!$B$9,C1707&lt;=Options!$B$10),"Phoenix","")</f>
        <v/>
      </c>
      <c r="B1707" s="5">
        <f>IF(A1707="","",18)</f>
        <v/>
      </c>
      <c r="C1707" s="17" t="n">
        <v>46538</v>
      </c>
      <c r="D1707" s="5">
        <f>IF(A1707="","",IF(C1707=DATE(2026,11,29),"培训；注册午餐；早餐参数",IF(C1707=DATE(2026,11,30),"培训；注册午餐",IF(C1707=DATE(2026,12,1),"培训；注册午餐；机构晚餐",IF(C1707=Options!$B$9,"抵达；"&amp;IF(C1707=DATE(2026,11,28),"机构晚餐","无统一供餐"),IF(C1707=Options!$B$10,"返程；"&amp;IF(C1707=DATE(2026,12,2),"机构午餐","无统一供餐"),"差旅状态；无统一日程"))))))</f>
        <v/>
      </c>
      <c r="E1707" s="13">
        <f>IF(C1707=Options!$B$9,Options!$C$18,0)</f>
        <v/>
      </c>
      <c r="F1707" s="13">
        <f>IF(AND(A1707&lt;&gt;"",C1707&lt;Options!$B$10),B1707*Options!$X$7,0)</f>
        <v/>
      </c>
      <c r="G1707" s="13">
        <f>F1707*12%</f>
        <v/>
      </c>
      <c r="H1707" s="13">
        <f>IF(A1707="",0,B1707*(86*IF(OR(C1707=Options!$B$9,C1707=Options!$B$10),75%,100%)-IF(C1707=DATE(2026,11,29),23+IF(Options!$B$8="是",22,0),0)-IF(C1707=DATE(2026,11,30),23,0)-IF(C1707=DATE(2026,12,1),59,0)-IF(C1707=DATE(2026,11,28),36,0)-IF(C1707=DATE(2026,12,2),23,0)))</f>
        <v/>
      </c>
      <c r="I1707" s="13">
        <f>IF(AND(C1707&gt;=DATE(2026,11,29),C1707&lt;=DATE(2026,12,1)),B1707*60,0)</f>
        <v/>
      </c>
      <c r="J1707" s="13">
        <f>IF(A1707="",0,B1707*(IF(C1707=DATE(2026,11,28),36,0)+IF(C1707=DATE(2026,12,1),36,0)+IF(C1707=DATE(2026,12,2),23,0)))</f>
        <v/>
      </c>
      <c r="K1707" s="13">
        <f>IF(C1707=Options!$B$9,B1707*12,0)</f>
        <v/>
      </c>
      <c r="L1707" s="13">
        <f>IF(C1707=Options!$B$9,B1707*Options!$Z$7,0)</f>
        <v/>
      </c>
      <c r="M1707" s="13" t="n">
        <v>0</v>
      </c>
      <c r="N1707" s="13">
        <f>SUM(E1707:M1707)</f>
        <v/>
      </c>
    </row>
    <row r="1708">
      <c r="A1708" s="5">
        <f>IF(AND(C1708&gt;=Options!$B$9,C1708&lt;=Options!$B$10),"Phoenix","")</f>
        <v/>
      </c>
      <c r="B1708" s="5">
        <f>IF(A1708="","",18)</f>
        <v/>
      </c>
      <c r="C1708" s="17" t="n">
        <v>46539</v>
      </c>
      <c r="D1708" s="5">
        <f>IF(A1708="","",IF(C1708=DATE(2026,11,29),"培训；注册午餐；早餐参数",IF(C1708=DATE(2026,11,30),"培训；注册午餐",IF(C1708=DATE(2026,12,1),"培训；注册午餐；机构晚餐",IF(C1708=Options!$B$9,"抵达；"&amp;IF(C1708=DATE(2026,11,28),"机构晚餐","无统一供餐"),IF(C1708=Options!$B$10,"返程；"&amp;IF(C1708=DATE(2026,12,2),"机构午餐","无统一供餐"),"差旅状态；无统一日程"))))))</f>
        <v/>
      </c>
      <c r="E1708" s="13">
        <f>IF(C1708=Options!$B$9,Options!$C$18,0)</f>
        <v/>
      </c>
      <c r="F1708" s="13">
        <f>IF(AND(A1708&lt;&gt;"",C1708&lt;Options!$B$10),B1708*Options!$X$7,0)</f>
        <v/>
      </c>
      <c r="G1708" s="13">
        <f>F1708*12%</f>
        <v/>
      </c>
      <c r="H1708" s="13">
        <f>IF(A1708="",0,B1708*(86*IF(OR(C1708=Options!$B$9,C1708=Options!$B$10),75%,100%)-IF(C1708=DATE(2026,11,29),23+IF(Options!$B$8="是",22,0),0)-IF(C1708=DATE(2026,11,30),23,0)-IF(C1708=DATE(2026,12,1),59,0)-IF(C1708=DATE(2026,11,28),36,0)-IF(C1708=DATE(2026,12,2),23,0)))</f>
        <v/>
      </c>
      <c r="I1708" s="13">
        <f>IF(AND(C1708&gt;=DATE(2026,11,29),C1708&lt;=DATE(2026,12,1)),B1708*60,0)</f>
        <v/>
      </c>
      <c r="J1708" s="13">
        <f>IF(A1708="",0,B1708*(IF(C1708=DATE(2026,11,28),36,0)+IF(C1708=DATE(2026,12,1),36,0)+IF(C1708=DATE(2026,12,2),23,0)))</f>
        <v/>
      </c>
      <c r="K1708" s="13">
        <f>IF(C1708=Options!$B$9,B1708*12,0)</f>
        <v/>
      </c>
      <c r="L1708" s="13">
        <f>IF(C1708=Options!$B$9,B1708*Options!$Z$7,0)</f>
        <v/>
      </c>
      <c r="M1708" s="13" t="n">
        <v>0</v>
      </c>
      <c r="N1708" s="13">
        <f>SUM(E1708:M1708)</f>
        <v/>
      </c>
    </row>
    <row r="1709">
      <c r="A1709" s="5">
        <f>IF(AND(C1709&gt;=Options!$B$9,C1709&lt;=Options!$B$10),"Phoenix","")</f>
        <v/>
      </c>
      <c r="B1709" s="5">
        <f>IF(A1709="","",18)</f>
        <v/>
      </c>
      <c r="C1709" s="17" t="n">
        <v>46540</v>
      </c>
      <c r="D1709" s="5">
        <f>IF(A1709="","",IF(C1709=DATE(2026,11,29),"培训；注册午餐；早餐参数",IF(C1709=DATE(2026,11,30),"培训；注册午餐",IF(C1709=DATE(2026,12,1),"培训；注册午餐；机构晚餐",IF(C1709=Options!$B$9,"抵达；"&amp;IF(C1709=DATE(2026,11,28),"机构晚餐","无统一供餐"),IF(C1709=Options!$B$10,"返程；"&amp;IF(C1709=DATE(2026,12,2),"机构午餐","无统一供餐"),"差旅状态；无统一日程"))))))</f>
        <v/>
      </c>
      <c r="E1709" s="13">
        <f>IF(C1709=Options!$B$9,Options!$C$18,0)</f>
        <v/>
      </c>
      <c r="F1709" s="13">
        <f>IF(AND(A1709&lt;&gt;"",C1709&lt;Options!$B$10),B1709*Options!$X$7,0)</f>
        <v/>
      </c>
      <c r="G1709" s="13">
        <f>F1709*12%</f>
        <v/>
      </c>
      <c r="H1709" s="13">
        <f>IF(A1709="",0,B1709*(86*IF(OR(C1709=Options!$B$9,C1709=Options!$B$10),75%,100%)-IF(C1709=DATE(2026,11,29),23+IF(Options!$B$8="是",22,0),0)-IF(C1709=DATE(2026,11,30),23,0)-IF(C1709=DATE(2026,12,1),59,0)-IF(C1709=DATE(2026,11,28),36,0)-IF(C1709=DATE(2026,12,2),23,0)))</f>
        <v/>
      </c>
      <c r="I1709" s="13">
        <f>IF(AND(C1709&gt;=DATE(2026,11,29),C1709&lt;=DATE(2026,12,1)),B1709*60,0)</f>
        <v/>
      </c>
      <c r="J1709" s="13">
        <f>IF(A1709="",0,B1709*(IF(C1709=DATE(2026,11,28),36,0)+IF(C1709=DATE(2026,12,1),36,0)+IF(C1709=DATE(2026,12,2),23,0)))</f>
        <v/>
      </c>
      <c r="K1709" s="13">
        <f>IF(C1709=Options!$B$9,B1709*12,0)</f>
        <v/>
      </c>
      <c r="L1709" s="13">
        <f>IF(C1709=Options!$B$9,B1709*Options!$Z$7,0)</f>
        <v/>
      </c>
      <c r="M1709" s="13" t="n">
        <v>0</v>
      </c>
      <c r="N1709" s="13">
        <f>SUM(E1709:M1709)</f>
        <v/>
      </c>
    </row>
    <row r="1710">
      <c r="A1710" s="5">
        <f>IF(AND(C1710&gt;=Options!$B$9,C1710&lt;=Options!$B$10),"Phoenix","")</f>
        <v/>
      </c>
      <c r="B1710" s="5">
        <f>IF(A1710="","",18)</f>
        <v/>
      </c>
      <c r="C1710" s="17" t="n">
        <v>46541</v>
      </c>
      <c r="D1710" s="5">
        <f>IF(A1710="","",IF(C1710=DATE(2026,11,29),"培训；注册午餐；早餐参数",IF(C1710=DATE(2026,11,30),"培训；注册午餐",IF(C1710=DATE(2026,12,1),"培训；注册午餐；机构晚餐",IF(C1710=Options!$B$9,"抵达；"&amp;IF(C1710=DATE(2026,11,28),"机构晚餐","无统一供餐"),IF(C1710=Options!$B$10,"返程；"&amp;IF(C1710=DATE(2026,12,2),"机构午餐","无统一供餐"),"差旅状态；无统一日程"))))))</f>
        <v/>
      </c>
      <c r="E1710" s="13">
        <f>IF(C1710=Options!$B$9,Options!$C$18,0)</f>
        <v/>
      </c>
      <c r="F1710" s="13">
        <f>IF(AND(A1710&lt;&gt;"",C1710&lt;Options!$B$10),B1710*Options!$X$7,0)</f>
        <v/>
      </c>
      <c r="G1710" s="13">
        <f>F1710*12%</f>
        <v/>
      </c>
      <c r="H1710" s="13">
        <f>IF(A1710="",0,B1710*(86*IF(OR(C1710=Options!$B$9,C1710=Options!$B$10),75%,100%)-IF(C1710=DATE(2026,11,29),23+IF(Options!$B$8="是",22,0),0)-IF(C1710=DATE(2026,11,30),23,0)-IF(C1710=DATE(2026,12,1),59,0)-IF(C1710=DATE(2026,11,28),36,0)-IF(C1710=DATE(2026,12,2),23,0)))</f>
        <v/>
      </c>
      <c r="I1710" s="13">
        <f>IF(AND(C1710&gt;=DATE(2026,11,29),C1710&lt;=DATE(2026,12,1)),B1710*60,0)</f>
        <v/>
      </c>
      <c r="J1710" s="13">
        <f>IF(A1710="",0,B1710*(IF(C1710=DATE(2026,11,28),36,0)+IF(C1710=DATE(2026,12,1),36,0)+IF(C1710=DATE(2026,12,2),23,0)))</f>
        <v/>
      </c>
      <c r="K1710" s="13">
        <f>IF(C1710=Options!$B$9,B1710*12,0)</f>
        <v/>
      </c>
      <c r="L1710" s="13">
        <f>IF(C1710=Options!$B$9,B1710*Options!$Z$7,0)</f>
        <v/>
      </c>
      <c r="M1710" s="13" t="n">
        <v>0</v>
      </c>
      <c r="N1710" s="13">
        <f>SUM(E1710:M1710)</f>
        <v/>
      </c>
    </row>
    <row r="1711">
      <c r="A1711" s="5">
        <f>IF(AND(C1711&gt;=Options!$B$9,C1711&lt;=Options!$B$10),"Phoenix","")</f>
        <v/>
      </c>
      <c r="B1711" s="5">
        <f>IF(A1711="","",18)</f>
        <v/>
      </c>
      <c r="C1711" s="17" t="n">
        <v>46542</v>
      </c>
      <c r="D1711" s="5">
        <f>IF(A1711="","",IF(C1711=DATE(2026,11,29),"培训；注册午餐；早餐参数",IF(C1711=DATE(2026,11,30),"培训；注册午餐",IF(C1711=DATE(2026,12,1),"培训；注册午餐；机构晚餐",IF(C1711=Options!$B$9,"抵达；"&amp;IF(C1711=DATE(2026,11,28),"机构晚餐","无统一供餐"),IF(C1711=Options!$B$10,"返程；"&amp;IF(C1711=DATE(2026,12,2),"机构午餐","无统一供餐"),"差旅状态；无统一日程"))))))</f>
        <v/>
      </c>
      <c r="E1711" s="13">
        <f>IF(C1711=Options!$B$9,Options!$C$18,0)</f>
        <v/>
      </c>
      <c r="F1711" s="13">
        <f>IF(AND(A1711&lt;&gt;"",C1711&lt;Options!$B$10),B1711*Options!$X$7,0)</f>
        <v/>
      </c>
      <c r="G1711" s="13">
        <f>F1711*12%</f>
        <v/>
      </c>
      <c r="H1711" s="13">
        <f>IF(A1711="",0,B1711*(86*IF(OR(C1711=Options!$B$9,C1711=Options!$B$10),75%,100%)-IF(C1711=DATE(2026,11,29),23+IF(Options!$B$8="是",22,0),0)-IF(C1711=DATE(2026,11,30),23,0)-IF(C1711=DATE(2026,12,1),59,0)-IF(C1711=DATE(2026,11,28),36,0)-IF(C1711=DATE(2026,12,2),23,0)))</f>
        <v/>
      </c>
      <c r="I1711" s="13">
        <f>IF(AND(C1711&gt;=DATE(2026,11,29),C1711&lt;=DATE(2026,12,1)),B1711*60,0)</f>
        <v/>
      </c>
      <c r="J1711" s="13">
        <f>IF(A1711="",0,B1711*(IF(C1711=DATE(2026,11,28),36,0)+IF(C1711=DATE(2026,12,1),36,0)+IF(C1711=DATE(2026,12,2),23,0)))</f>
        <v/>
      </c>
      <c r="K1711" s="13">
        <f>IF(C1711=Options!$B$9,B1711*12,0)</f>
        <v/>
      </c>
      <c r="L1711" s="13">
        <f>IF(C1711=Options!$B$9,B1711*Options!$Z$7,0)</f>
        <v/>
      </c>
      <c r="M1711" s="13" t="n">
        <v>0</v>
      </c>
      <c r="N1711" s="13">
        <f>SUM(E1711:M1711)</f>
        <v/>
      </c>
    </row>
    <row r="1712">
      <c r="A1712" s="5">
        <f>IF(AND(C1712&gt;=Options!$B$9,C1712&lt;=Options!$B$10),"Phoenix","")</f>
        <v/>
      </c>
      <c r="B1712" s="5">
        <f>IF(A1712="","",18)</f>
        <v/>
      </c>
      <c r="C1712" s="17" t="n">
        <v>46543</v>
      </c>
      <c r="D1712" s="5">
        <f>IF(A1712="","",IF(C1712=DATE(2026,11,29),"培训；注册午餐；早餐参数",IF(C1712=DATE(2026,11,30),"培训；注册午餐",IF(C1712=DATE(2026,12,1),"培训；注册午餐；机构晚餐",IF(C1712=Options!$B$9,"抵达；"&amp;IF(C1712=DATE(2026,11,28),"机构晚餐","无统一供餐"),IF(C1712=Options!$B$10,"返程；"&amp;IF(C1712=DATE(2026,12,2),"机构午餐","无统一供餐"),"差旅状态；无统一日程"))))))</f>
        <v/>
      </c>
      <c r="E1712" s="13">
        <f>IF(C1712=Options!$B$9,Options!$C$18,0)</f>
        <v/>
      </c>
      <c r="F1712" s="13">
        <f>IF(AND(A1712&lt;&gt;"",C1712&lt;Options!$B$10),B1712*Options!$X$7,0)</f>
        <v/>
      </c>
      <c r="G1712" s="13">
        <f>F1712*12%</f>
        <v/>
      </c>
      <c r="H1712" s="13">
        <f>IF(A1712="",0,B1712*(86*IF(OR(C1712=Options!$B$9,C1712=Options!$B$10),75%,100%)-IF(C1712=DATE(2026,11,29),23+IF(Options!$B$8="是",22,0),0)-IF(C1712=DATE(2026,11,30),23,0)-IF(C1712=DATE(2026,12,1),59,0)-IF(C1712=DATE(2026,11,28),36,0)-IF(C1712=DATE(2026,12,2),23,0)))</f>
        <v/>
      </c>
      <c r="I1712" s="13">
        <f>IF(AND(C1712&gt;=DATE(2026,11,29),C1712&lt;=DATE(2026,12,1)),B1712*60,0)</f>
        <v/>
      </c>
      <c r="J1712" s="13">
        <f>IF(A1712="",0,B1712*(IF(C1712=DATE(2026,11,28),36,0)+IF(C1712=DATE(2026,12,1),36,0)+IF(C1712=DATE(2026,12,2),23,0)))</f>
        <v/>
      </c>
      <c r="K1712" s="13">
        <f>IF(C1712=Options!$B$9,B1712*12,0)</f>
        <v/>
      </c>
      <c r="L1712" s="13">
        <f>IF(C1712=Options!$B$9,B1712*Options!$Z$7,0)</f>
        <v/>
      </c>
      <c r="M1712" s="13" t="n">
        <v>0</v>
      </c>
      <c r="N1712" s="13">
        <f>SUM(E1712:M1712)</f>
        <v/>
      </c>
    </row>
    <row r="1713">
      <c r="A1713" s="5">
        <f>IF(AND(C1713&gt;=Options!$B$9,C1713&lt;=Options!$B$10),"Phoenix","")</f>
        <v/>
      </c>
      <c r="B1713" s="5">
        <f>IF(A1713="","",18)</f>
        <v/>
      </c>
      <c r="C1713" s="17" t="n">
        <v>46544</v>
      </c>
      <c r="D1713" s="5">
        <f>IF(A1713="","",IF(C1713=DATE(2026,11,29),"培训；注册午餐；早餐参数",IF(C1713=DATE(2026,11,30),"培训；注册午餐",IF(C1713=DATE(2026,12,1),"培训；注册午餐；机构晚餐",IF(C1713=Options!$B$9,"抵达；"&amp;IF(C1713=DATE(2026,11,28),"机构晚餐","无统一供餐"),IF(C1713=Options!$B$10,"返程；"&amp;IF(C1713=DATE(2026,12,2),"机构午餐","无统一供餐"),"差旅状态；无统一日程"))))))</f>
        <v/>
      </c>
      <c r="E1713" s="13">
        <f>IF(C1713=Options!$B$9,Options!$C$18,0)</f>
        <v/>
      </c>
      <c r="F1713" s="13">
        <f>IF(AND(A1713&lt;&gt;"",C1713&lt;Options!$B$10),B1713*Options!$X$7,0)</f>
        <v/>
      </c>
      <c r="G1713" s="13">
        <f>F1713*12%</f>
        <v/>
      </c>
      <c r="H1713" s="13">
        <f>IF(A1713="",0,B1713*(86*IF(OR(C1713=Options!$B$9,C1713=Options!$B$10),75%,100%)-IF(C1713=DATE(2026,11,29),23+IF(Options!$B$8="是",22,0),0)-IF(C1713=DATE(2026,11,30),23,0)-IF(C1713=DATE(2026,12,1),59,0)-IF(C1713=DATE(2026,11,28),36,0)-IF(C1713=DATE(2026,12,2),23,0)))</f>
        <v/>
      </c>
      <c r="I1713" s="13">
        <f>IF(AND(C1713&gt;=DATE(2026,11,29),C1713&lt;=DATE(2026,12,1)),B1713*60,0)</f>
        <v/>
      </c>
      <c r="J1713" s="13">
        <f>IF(A1713="",0,B1713*(IF(C1713=DATE(2026,11,28),36,0)+IF(C1713=DATE(2026,12,1),36,0)+IF(C1713=DATE(2026,12,2),23,0)))</f>
        <v/>
      </c>
      <c r="K1713" s="13">
        <f>IF(C1713=Options!$B$9,B1713*12,0)</f>
        <v/>
      </c>
      <c r="L1713" s="13">
        <f>IF(C1713=Options!$B$9,B1713*Options!$Z$7,0)</f>
        <v/>
      </c>
      <c r="M1713" s="13" t="n">
        <v>0</v>
      </c>
      <c r="N1713" s="13">
        <f>SUM(E1713:M1713)</f>
        <v/>
      </c>
    </row>
    <row r="1714">
      <c r="A1714" s="5">
        <f>IF(AND(C1714&gt;=Options!$B$9,C1714&lt;=Options!$B$10),"Phoenix","")</f>
        <v/>
      </c>
      <c r="B1714" s="5">
        <f>IF(A1714="","",18)</f>
        <v/>
      </c>
      <c r="C1714" s="17" t="n">
        <v>46545</v>
      </c>
      <c r="D1714" s="5">
        <f>IF(A1714="","",IF(C1714=DATE(2026,11,29),"培训；注册午餐；早餐参数",IF(C1714=DATE(2026,11,30),"培训；注册午餐",IF(C1714=DATE(2026,12,1),"培训；注册午餐；机构晚餐",IF(C1714=Options!$B$9,"抵达；"&amp;IF(C1714=DATE(2026,11,28),"机构晚餐","无统一供餐"),IF(C1714=Options!$B$10,"返程；"&amp;IF(C1714=DATE(2026,12,2),"机构午餐","无统一供餐"),"差旅状态；无统一日程"))))))</f>
        <v/>
      </c>
      <c r="E1714" s="13">
        <f>IF(C1714=Options!$B$9,Options!$C$18,0)</f>
        <v/>
      </c>
      <c r="F1714" s="13">
        <f>IF(AND(A1714&lt;&gt;"",C1714&lt;Options!$B$10),B1714*Options!$X$7,0)</f>
        <v/>
      </c>
      <c r="G1714" s="13">
        <f>F1714*12%</f>
        <v/>
      </c>
      <c r="H1714" s="13">
        <f>IF(A1714="",0,B1714*(86*IF(OR(C1714=Options!$B$9,C1714=Options!$B$10),75%,100%)-IF(C1714=DATE(2026,11,29),23+IF(Options!$B$8="是",22,0),0)-IF(C1714=DATE(2026,11,30),23,0)-IF(C1714=DATE(2026,12,1),59,0)-IF(C1714=DATE(2026,11,28),36,0)-IF(C1714=DATE(2026,12,2),23,0)))</f>
        <v/>
      </c>
      <c r="I1714" s="13">
        <f>IF(AND(C1714&gt;=DATE(2026,11,29),C1714&lt;=DATE(2026,12,1)),B1714*60,0)</f>
        <v/>
      </c>
      <c r="J1714" s="13">
        <f>IF(A1714="",0,B1714*(IF(C1714=DATE(2026,11,28),36,0)+IF(C1714=DATE(2026,12,1),36,0)+IF(C1714=DATE(2026,12,2),23,0)))</f>
        <v/>
      </c>
      <c r="K1714" s="13">
        <f>IF(C1714=Options!$B$9,B1714*12,0)</f>
        <v/>
      </c>
      <c r="L1714" s="13">
        <f>IF(C1714=Options!$B$9,B1714*Options!$Z$7,0)</f>
        <v/>
      </c>
      <c r="M1714" s="13" t="n">
        <v>0</v>
      </c>
      <c r="N1714" s="13">
        <f>SUM(E1714:M1714)</f>
        <v/>
      </c>
    </row>
    <row r="1715">
      <c r="A1715" s="5">
        <f>IF(AND(C1715&gt;=Options!$B$9,C1715&lt;=Options!$B$10),"Phoenix","")</f>
        <v/>
      </c>
      <c r="B1715" s="5">
        <f>IF(A1715="","",18)</f>
        <v/>
      </c>
      <c r="C1715" s="17" t="n">
        <v>46546</v>
      </c>
      <c r="D1715" s="5">
        <f>IF(A1715="","",IF(C1715=DATE(2026,11,29),"培训；注册午餐；早餐参数",IF(C1715=DATE(2026,11,30),"培训；注册午餐",IF(C1715=DATE(2026,12,1),"培训；注册午餐；机构晚餐",IF(C1715=Options!$B$9,"抵达；"&amp;IF(C1715=DATE(2026,11,28),"机构晚餐","无统一供餐"),IF(C1715=Options!$B$10,"返程；"&amp;IF(C1715=DATE(2026,12,2),"机构午餐","无统一供餐"),"差旅状态；无统一日程"))))))</f>
        <v/>
      </c>
      <c r="E1715" s="13">
        <f>IF(C1715=Options!$B$9,Options!$C$18,0)</f>
        <v/>
      </c>
      <c r="F1715" s="13">
        <f>IF(AND(A1715&lt;&gt;"",C1715&lt;Options!$B$10),B1715*Options!$X$7,0)</f>
        <v/>
      </c>
      <c r="G1715" s="13">
        <f>F1715*12%</f>
        <v/>
      </c>
      <c r="H1715" s="13">
        <f>IF(A1715="",0,B1715*(86*IF(OR(C1715=Options!$B$9,C1715=Options!$B$10),75%,100%)-IF(C1715=DATE(2026,11,29),23+IF(Options!$B$8="是",22,0),0)-IF(C1715=DATE(2026,11,30),23,0)-IF(C1715=DATE(2026,12,1),59,0)-IF(C1715=DATE(2026,11,28),36,0)-IF(C1715=DATE(2026,12,2),23,0)))</f>
        <v/>
      </c>
      <c r="I1715" s="13">
        <f>IF(AND(C1715&gt;=DATE(2026,11,29),C1715&lt;=DATE(2026,12,1)),B1715*60,0)</f>
        <v/>
      </c>
      <c r="J1715" s="13">
        <f>IF(A1715="",0,B1715*(IF(C1715=DATE(2026,11,28),36,0)+IF(C1715=DATE(2026,12,1),36,0)+IF(C1715=DATE(2026,12,2),23,0)))</f>
        <v/>
      </c>
      <c r="K1715" s="13">
        <f>IF(C1715=Options!$B$9,B1715*12,0)</f>
        <v/>
      </c>
      <c r="L1715" s="13">
        <f>IF(C1715=Options!$B$9,B1715*Options!$Z$7,0)</f>
        <v/>
      </c>
      <c r="M1715" s="13" t="n">
        <v>0</v>
      </c>
      <c r="N1715" s="13">
        <f>SUM(E1715:M1715)</f>
        <v/>
      </c>
    </row>
    <row r="1716">
      <c r="A1716" s="5">
        <f>IF(AND(C1716&gt;=Options!$B$9,C1716&lt;=Options!$B$10),"Phoenix","")</f>
        <v/>
      </c>
      <c r="B1716" s="5">
        <f>IF(A1716="","",18)</f>
        <v/>
      </c>
      <c r="C1716" s="17" t="n">
        <v>46547</v>
      </c>
      <c r="D1716" s="5">
        <f>IF(A1716="","",IF(C1716=DATE(2026,11,29),"培训；注册午餐；早餐参数",IF(C1716=DATE(2026,11,30),"培训；注册午餐",IF(C1716=DATE(2026,12,1),"培训；注册午餐；机构晚餐",IF(C1716=Options!$B$9,"抵达；"&amp;IF(C1716=DATE(2026,11,28),"机构晚餐","无统一供餐"),IF(C1716=Options!$B$10,"返程；"&amp;IF(C1716=DATE(2026,12,2),"机构午餐","无统一供餐"),"差旅状态；无统一日程"))))))</f>
        <v/>
      </c>
      <c r="E1716" s="13">
        <f>IF(C1716=Options!$B$9,Options!$C$18,0)</f>
        <v/>
      </c>
      <c r="F1716" s="13">
        <f>IF(AND(A1716&lt;&gt;"",C1716&lt;Options!$B$10),B1716*Options!$X$7,0)</f>
        <v/>
      </c>
      <c r="G1716" s="13">
        <f>F1716*12%</f>
        <v/>
      </c>
      <c r="H1716" s="13">
        <f>IF(A1716="",0,B1716*(86*IF(OR(C1716=Options!$B$9,C1716=Options!$B$10),75%,100%)-IF(C1716=DATE(2026,11,29),23+IF(Options!$B$8="是",22,0),0)-IF(C1716=DATE(2026,11,30),23,0)-IF(C1716=DATE(2026,12,1),59,0)-IF(C1716=DATE(2026,11,28),36,0)-IF(C1716=DATE(2026,12,2),23,0)))</f>
        <v/>
      </c>
      <c r="I1716" s="13">
        <f>IF(AND(C1716&gt;=DATE(2026,11,29),C1716&lt;=DATE(2026,12,1)),B1716*60,0)</f>
        <v/>
      </c>
      <c r="J1716" s="13">
        <f>IF(A1716="",0,B1716*(IF(C1716=DATE(2026,11,28),36,0)+IF(C1716=DATE(2026,12,1),36,0)+IF(C1716=DATE(2026,12,2),23,0)))</f>
        <v/>
      </c>
      <c r="K1716" s="13">
        <f>IF(C1716=Options!$B$9,B1716*12,0)</f>
        <v/>
      </c>
      <c r="L1716" s="13">
        <f>IF(C1716=Options!$B$9,B1716*Options!$Z$7,0)</f>
        <v/>
      </c>
      <c r="M1716" s="13" t="n">
        <v>0</v>
      </c>
      <c r="N1716" s="13">
        <f>SUM(E1716:M1716)</f>
        <v/>
      </c>
    </row>
    <row r="1717">
      <c r="A1717" s="5">
        <f>IF(AND(C1717&gt;=Options!$B$9,C1717&lt;=Options!$B$10),"Phoenix","")</f>
        <v/>
      </c>
      <c r="B1717" s="5">
        <f>IF(A1717="","",18)</f>
        <v/>
      </c>
      <c r="C1717" s="17" t="n">
        <v>46548</v>
      </c>
      <c r="D1717" s="5">
        <f>IF(A1717="","",IF(C1717=DATE(2026,11,29),"培训；注册午餐；早餐参数",IF(C1717=DATE(2026,11,30),"培训；注册午餐",IF(C1717=DATE(2026,12,1),"培训；注册午餐；机构晚餐",IF(C1717=Options!$B$9,"抵达；"&amp;IF(C1717=DATE(2026,11,28),"机构晚餐","无统一供餐"),IF(C1717=Options!$B$10,"返程；"&amp;IF(C1717=DATE(2026,12,2),"机构午餐","无统一供餐"),"差旅状态；无统一日程"))))))</f>
        <v/>
      </c>
      <c r="E1717" s="13">
        <f>IF(C1717=Options!$B$9,Options!$C$18,0)</f>
        <v/>
      </c>
      <c r="F1717" s="13">
        <f>IF(AND(A1717&lt;&gt;"",C1717&lt;Options!$B$10),B1717*Options!$X$7,0)</f>
        <v/>
      </c>
      <c r="G1717" s="13">
        <f>F1717*12%</f>
        <v/>
      </c>
      <c r="H1717" s="13">
        <f>IF(A1717="",0,B1717*(86*IF(OR(C1717=Options!$B$9,C1717=Options!$B$10),75%,100%)-IF(C1717=DATE(2026,11,29),23+IF(Options!$B$8="是",22,0),0)-IF(C1717=DATE(2026,11,30),23,0)-IF(C1717=DATE(2026,12,1),59,0)-IF(C1717=DATE(2026,11,28),36,0)-IF(C1717=DATE(2026,12,2),23,0)))</f>
        <v/>
      </c>
      <c r="I1717" s="13">
        <f>IF(AND(C1717&gt;=DATE(2026,11,29),C1717&lt;=DATE(2026,12,1)),B1717*60,0)</f>
        <v/>
      </c>
      <c r="J1717" s="13">
        <f>IF(A1717="",0,B1717*(IF(C1717=DATE(2026,11,28),36,0)+IF(C1717=DATE(2026,12,1),36,0)+IF(C1717=DATE(2026,12,2),23,0)))</f>
        <v/>
      </c>
      <c r="K1717" s="13">
        <f>IF(C1717=Options!$B$9,B1717*12,0)</f>
        <v/>
      </c>
      <c r="L1717" s="13">
        <f>IF(C1717=Options!$B$9,B1717*Options!$Z$7,0)</f>
        <v/>
      </c>
      <c r="M1717" s="13" t="n">
        <v>0</v>
      </c>
      <c r="N1717" s="13">
        <f>SUM(E1717:M1717)</f>
        <v/>
      </c>
    </row>
    <row r="1718">
      <c r="A1718" s="5">
        <f>IF(AND(C1718&gt;=Options!$B$9,C1718&lt;=Options!$B$10),"Phoenix","")</f>
        <v/>
      </c>
      <c r="B1718" s="5">
        <f>IF(A1718="","",18)</f>
        <v/>
      </c>
      <c r="C1718" s="17" t="n">
        <v>46549</v>
      </c>
      <c r="D1718" s="5">
        <f>IF(A1718="","",IF(C1718=DATE(2026,11,29),"培训；注册午餐；早餐参数",IF(C1718=DATE(2026,11,30),"培训；注册午餐",IF(C1718=DATE(2026,12,1),"培训；注册午餐；机构晚餐",IF(C1718=Options!$B$9,"抵达；"&amp;IF(C1718=DATE(2026,11,28),"机构晚餐","无统一供餐"),IF(C1718=Options!$B$10,"返程；"&amp;IF(C1718=DATE(2026,12,2),"机构午餐","无统一供餐"),"差旅状态；无统一日程"))))))</f>
        <v/>
      </c>
      <c r="E1718" s="13">
        <f>IF(C1718=Options!$B$9,Options!$C$18,0)</f>
        <v/>
      </c>
      <c r="F1718" s="13">
        <f>IF(AND(A1718&lt;&gt;"",C1718&lt;Options!$B$10),B1718*Options!$X$7,0)</f>
        <v/>
      </c>
      <c r="G1718" s="13">
        <f>F1718*12%</f>
        <v/>
      </c>
      <c r="H1718" s="13">
        <f>IF(A1718="",0,B1718*(86*IF(OR(C1718=Options!$B$9,C1718=Options!$B$10),75%,100%)-IF(C1718=DATE(2026,11,29),23+IF(Options!$B$8="是",22,0),0)-IF(C1718=DATE(2026,11,30),23,0)-IF(C1718=DATE(2026,12,1),59,0)-IF(C1718=DATE(2026,11,28),36,0)-IF(C1718=DATE(2026,12,2),23,0)))</f>
        <v/>
      </c>
      <c r="I1718" s="13">
        <f>IF(AND(C1718&gt;=DATE(2026,11,29),C1718&lt;=DATE(2026,12,1)),B1718*60,0)</f>
        <v/>
      </c>
      <c r="J1718" s="13">
        <f>IF(A1718="",0,B1718*(IF(C1718=DATE(2026,11,28),36,0)+IF(C1718=DATE(2026,12,1),36,0)+IF(C1718=DATE(2026,12,2),23,0)))</f>
        <v/>
      </c>
      <c r="K1718" s="13">
        <f>IF(C1718=Options!$B$9,B1718*12,0)</f>
        <v/>
      </c>
      <c r="L1718" s="13">
        <f>IF(C1718=Options!$B$9,B1718*Options!$Z$7,0)</f>
        <v/>
      </c>
      <c r="M1718" s="13" t="n">
        <v>0</v>
      </c>
      <c r="N1718" s="13">
        <f>SUM(E1718:M1718)</f>
        <v/>
      </c>
    </row>
    <row r="1719">
      <c r="A1719" s="5">
        <f>IF(AND(C1719&gt;=Options!$B$9,C1719&lt;=Options!$B$10),"Phoenix","")</f>
        <v/>
      </c>
      <c r="B1719" s="5">
        <f>IF(A1719="","",18)</f>
        <v/>
      </c>
      <c r="C1719" s="17" t="n">
        <v>46550</v>
      </c>
      <c r="D1719" s="5">
        <f>IF(A1719="","",IF(C1719=DATE(2026,11,29),"培训；注册午餐；早餐参数",IF(C1719=DATE(2026,11,30),"培训；注册午餐",IF(C1719=DATE(2026,12,1),"培训；注册午餐；机构晚餐",IF(C1719=Options!$B$9,"抵达；"&amp;IF(C1719=DATE(2026,11,28),"机构晚餐","无统一供餐"),IF(C1719=Options!$B$10,"返程；"&amp;IF(C1719=DATE(2026,12,2),"机构午餐","无统一供餐"),"差旅状态；无统一日程"))))))</f>
        <v/>
      </c>
      <c r="E1719" s="13">
        <f>IF(C1719=Options!$B$9,Options!$C$18,0)</f>
        <v/>
      </c>
      <c r="F1719" s="13">
        <f>IF(AND(A1719&lt;&gt;"",C1719&lt;Options!$B$10),B1719*Options!$X$7,0)</f>
        <v/>
      </c>
      <c r="G1719" s="13">
        <f>F1719*12%</f>
        <v/>
      </c>
      <c r="H1719" s="13">
        <f>IF(A1719="",0,B1719*(86*IF(OR(C1719=Options!$B$9,C1719=Options!$B$10),75%,100%)-IF(C1719=DATE(2026,11,29),23+IF(Options!$B$8="是",22,0),0)-IF(C1719=DATE(2026,11,30),23,0)-IF(C1719=DATE(2026,12,1),59,0)-IF(C1719=DATE(2026,11,28),36,0)-IF(C1719=DATE(2026,12,2),23,0)))</f>
        <v/>
      </c>
      <c r="I1719" s="13">
        <f>IF(AND(C1719&gt;=DATE(2026,11,29),C1719&lt;=DATE(2026,12,1)),B1719*60,0)</f>
        <v/>
      </c>
      <c r="J1719" s="13">
        <f>IF(A1719="",0,B1719*(IF(C1719=DATE(2026,11,28),36,0)+IF(C1719=DATE(2026,12,1),36,0)+IF(C1719=DATE(2026,12,2),23,0)))</f>
        <v/>
      </c>
      <c r="K1719" s="13">
        <f>IF(C1719=Options!$B$9,B1719*12,0)</f>
        <v/>
      </c>
      <c r="L1719" s="13">
        <f>IF(C1719=Options!$B$9,B1719*Options!$Z$7,0)</f>
        <v/>
      </c>
      <c r="M1719" s="13" t="n">
        <v>0</v>
      </c>
      <c r="N1719" s="13">
        <f>SUM(E1719:M1719)</f>
        <v/>
      </c>
    </row>
    <row r="1720">
      <c r="A1720" s="5">
        <f>IF(AND(C1720&gt;=Options!$B$9,C1720&lt;=Options!$B$10),"Phoenix","")</f>
        <v/>
      </c>
      <c r="B1720" s="5">
        <f>IF(A1720="","",18)</f>
        <v/>
      </c>
      <c r="C1720" s="17" t="n">
        <v>46551</v>
      </c>
      <c r="D1720" s="5">
        <f>IF(A1720="","",IF(C1720=DATE(2026,11,29),"培训；注册午餐；早餐参数",IF(C1720=DATE(2026,11,30),"培训；注册午餐",IF(C1720=DATE(2026,12,1),"培训；注册午餐；机构晚餐",IF(C1720=Options!$B$9,"抵达；"&amp;IF(C1720=DATE(2026,11,28),"机构晚餐","无统一供餐"),IF(C1720=Options!$B$10,"返程；"&amp;IF(C1720=DATE(2026,12,2),"机构午餐","无统一供餐"),"差旅状态；无统一日程"))))))</f>
        <v/>
      </c>
      <c r="E1720" s="13">
        <f>IF(C1720=Options!$B$9,Options!$C$18,0)</f>
        <v/>
      </c>
      <c r="F1720" s="13">
        <f>IF(AND(A1720&lt;&gt;"",C1720&lt;Options!$B$10),B1720*Options!$X$7,0)</f>
        <v/>
      </c>
      <c r="G1720" s="13">
        <f>F1720*12%</f>
        <v/>
      </c>
      <c r="H1720" s="13">
        <f>IF(A1720="",0,B1720*(86*IF(OR(C1720=Options!$B$9,C1720=Options!$B$10),75%,100%)-IF(C1720=DATE(2026,11,29),23+IF(Options!$B$8="是",22,0),0)-IF(C1720=DATE(2026,11,30),23,0)-IF(C1720=DATE(2026,12,1),59,0)-IF(C1720=DATE(2026,11,28),36,0)-IF(C1720=DATE(2026,12,2),23,0)))</f>
        <v/>
      </c>
      <c r="I1720" s="13">
        <f>IF(AND(C1720&gt;=DATE(2026,11,29),C1720&lt;=DATE(2026,12,1)),B1720*60,0)</f>
        <v/>
      </c>
      <c r="J1720" s="13">
        <f>IF(A1720="",0,B1720*(IF(C1720=DATE(2026,11,28),36,0)+IF(C1720=DATE(2026,12,1),36,0)+IF(C1720=DATE(2026,12,2),23,0)))</f>
        <v/>
      </c>
      <c r="K1720" s="13">
        <f>IF(C1720=Options!$B$9,B1720*12,0)</f>
        <v/>
      </c>
      <c r="L1720" s="13">
        <f>IF(C1720=Options!$B$9,B1720*Options!$Z$7,0)</f>
        <v/>
      </c>
      <c r="M1720" s="13" t="n">
        <v>0</v>
      </c>
      <c r="N1720" s="13">
        <f>SUM(E1720:M1720)</f>
        <v/>
      </c>
    </row>
    <row r="1721">
      <c r="A1721" s="5">
        <f>IF(AND(C1721&gt;=Options!$B$9,C1721&lt;=Options!$B$10),"Phoenix","")</f>
        <v/>
      </c>
      <c r="B1721" s="5">
        <f>IF(A1721="","",18)</f>
        <v/>
      </c>
      <c r="C1721" s="17" t="n">
        <v>46552</v>
      </c>
      <c r="D1721" s="5">
        <f>IF(A1721="","",IF(C1721=DATE(2026,11,29),"培训；注册午餐；早餐参数",IF(C1721=DATE(2026,11,30),"培训；注册午餐",IF(C1721=DATE(2026,12,1),"培训；注册午餐；机构晚餐",IF(C1721=Options!$B$9,"抵达；"&amp;IF(C1721=DATE(2026,11,28),"机构晚餐","无统一供餐"),IF(C1721=Options!$B$10,"返程；"&amp;IF(C1721=DATE(2026,12,2),"机构午餐","无统一供餐"),"差旅状态；无统一日程"))))))</f>
        <v/>
      </c>
      <c r="E1721" s="13">
        <f>IF(C1721=Options!$B$9,Options!$C$18,0)</f>
        <v/>
      </c>
      <c r="F1721" s="13">
        <f>IF(AND(A1721&lt;&gt;"",C1721&lt;Options!$B$10),B1721*Options!$X$7,0)</f>
        <v/>
      </c>
      <c r="G1721" s="13">
        <f>F1721*12%</f>
        <v/>
      </c>
      <c r="H1721" s="13">
        <f>IF(A1721="",0,B1721*(86*IF(OR(C1721=Options!$B$9,C1721=Options!$B$10),75%,100%)-IF(C1721=DATE(2026,11,29),23+IF(Options!$B$8="是",22,0),0)-IF(C1721=DATE(2026,11,30),23,0)-IF(C1721=DATE(2026,12,1),59,0)-IF(C1721=DATE(2026,11,28),36,0)-IF(C1721=DATE(2026,12,2),23,0)))</f>
        <v/>
      </c>
      <c r="I1721" s="13">
        <f>IF(AND(C1721&gt;=DATE(2026,11,29),C1721&lt;=DATE(2026,12,1)),B1721*60,0)</f>
        <v/>
      </c>
      <c r="J1721" s="13">
        <f>IF(A1721="",0,B1721*(IF(C1721=DATE(2026,11,28),36,0)+IF(C1721=DATE(2026,12,1),36,0)+IF(C1721=DATE(2026,12,2),23,0)))</f>
        <v/>
      </c>
      <c r="K1721" s="13">
        <f>IF(C1721=Options!$B$9,B1721*12,0)</f>
        <v/>
      </c>
      <c r="L1721" s="13">
        <f>IF(C1721=Options!$B$9,B1721*Options!$Z$7,0)</f>
        <v/>
      </c>
      <c r="M1721" s="13" t="n">
        <v>0</v>
      </c>
      <c r="N1721" s="13">
        <f>SUM(E1721:M1721)</f>
        <v/>
      </c>
    </row>
    <row r="1722">
      <c r="A1722" s="5">
        <f>IF(AND(C1722&gt;=Options!$B$9,C1722&lt;=Options!$B$10),"Phoenix","")</f>
        <v/>
      </c>
      <c r="B1722" s="5">
        <f>IF(A1722="","",18)</f>
        <v/>
      </c>
      <c r="C1722" s="17" t="n">
        <v>46553</v>
      </c>
      <c r="D1722" s="5">
        <f>IF(A1722="","",IF(C1722=DATE(2026,11,29),"培训；注册午餐；早餐参数",IF(C1722=DATE(2026,11,30),"培训；注册午餐",IF(C1722=DATE(2026,12,1),"培训；注册午餐；机构晚餐",IF(C1722=Options!$B$9,"抵达；"&amp;IF(C1722=DATE(2026,11,28),"机构晚餐","无统一供餐"),IF(C1722=Options!$B$10,"返程；"&amp;IF(C1722=DATE(2026,12,2),"机构午餐","无统一供餐"),"差旅状态；无统一日程"))))))</f>
        <v/>
      </c>
      <c r="E1722" s="13">
        <f>IF(C1722=Options!$B$9,Options!$C$18,0)</f>
        <v/>
      </c>
      <c r="F1722" s="13">
        <f>IF(AND(A1722&lt;&gt;"",C1722&lt;Options!$B$10),B1722*Options!$X$7,0)</f>
        <v/>
      </c>
      <c r="G1722" s="13">
        <f>F1722*12%</f>
        <v/>
      </c>
      <c r="H1722" s="13">
        <f>IF(A1722="",0,B1722*(86*IF(OR(C1722=Options!$B$9,C1722=Options!$B$10),75%,100%)-IF(C1722=DATE(2026,11,29),23+IF(Options!$B$8="是",22,0),0)-IF(C1722=DATE(2026,11,30),23,0)-IF(C1722=DATE(2026,12,1),59,0)-IF(C1722=DATE(2026,11,28),36,0)-IF(C1722=DATE(2026,12,2),23,0)))</f>
        <v/>
      </c>
      <c r="I1722" s="13">
        <f>IF(AND(C1722&gt;=DATE(2026,11,29),C1722&lt;=DATE(2026,12,1)),B1722*60,0)</f>
        <v/>
      </c>
      <c r="J1722" s="13">
        <f>IF(A1722="",0,B1722*(IF(C1722=DATE(2026,11,28),36,0)+IF(C1722=DATE(2026,12,1),36,0)+IF(C1722=DATE(2026,12,2),23,0)))</f>
        <v/>
      </c>
      <c r="K1722" s="13">
        <f>IF(C1722=Options!$B$9,B1722*12,0)</f>
        <v/>
      </c>
      <c r="L1722" s="13">
        <f>IF(C1722=Options!$B$9,B1722*Options!$Z$7,0)</f>
        <v/>
      </c>
      <c r="M1722" s="13" t="n">
        <v>0</v>
      </c>
      <c r="N1722" s="13">
        <f>SUM(E1722:M1722)</f>
        <v/>
      </c>
    </row>
    <row r="1723">
      <c r="A1723" s="5">
        <f>IF(AND(C1723&gt;=Options!$B$9,C1723&lt;=Options!$B$10),"Phoenix","")</f>
        <v/>
      </c>
      <c r="B1723" s="5">
        <f>IF(A1723="","",18)</f>
        <v/>
      </c>
      <c r="C1723" s="17" t="n">
        <v>46554</v>
      </c>
      <c r="D1723" s="5">
        <f>IF(A1723="","",IF(C1723=DATE(2026,11,29),"培训；注册午餐；早餐参数",IF(C1723=DATE(2026,11,30),"培训；注册午餐",IF(C1723=DATE(2026,12,1),"培训；注册午餐；机构晚餐",IF(C1723=Options!$B$9,"抵达；"&amp;IF(C1723=DATE(2026,11,28),"机构晚餐","无统一供餐"),IF(C1723=Options!$B$10,"返程；"&amp;IF(C1723=DATE(2026,12,2),"机构午餐","无统一供餐"),"差旅状态；无统一日程"))))))</f>
        <v/>
      </c>
      <c r="E1723" s="13">
        <f>IF(C1723=Options!$B$9,Options!$C$18,0)</f>
        <v/>
      </c>
      <c r="F1723" s="13">
        <f>IF(AND(A1723&lt;&gt;"",C1723&lt;Options!$B$10),B1723*Options!$X$7,0)</f>
        <v/>
      </c>
      <c r="G1723" s="13">
        <f>F1723*12%</f>
        <v/>
      </c>
      <c r="H1723" s="13">
        <f>IF(A1723="",0,B1723*(86*IF(OR(C1723=Options!$B$9,C1723=Options!$B$10),75%,100%)-IF(C1723=DATE(2026,11,29),23+IF(Options!$B$8="是",22,0),0)-IF(C1723=DATE(2026,11,30),23,0)-IF(C1723=DATE(2026,12,1),59,0)-IF(C1723=DATE(2026,11,28),36,0)-IF(C1723=DATE(2026,12,2),23,0)))</f>
        <v/>
      </c>
      <c r="I1723" s="13">
        <f>IF(AND(C1723&gt;=DATE(2026,11,29),C1723&lt;=DATE(2026,12,1)),B1723*60,0)</f>
        <v/>
      </c>
      <c r="J1723" s="13">
        <f>IF(A1723="",0,B1723*(IF(C1723=DATE(2026,11,28),36,0)+IF(C1723=DATE(2026,12,1),36,0)+IF(C1723=DATE(2026,12,2),23,0)))</f>
        <v/>
      </c>
      <c r="K1723" s="13">
        <f>IF(C1723=Options!$B$9,B1723*12,0)</f>
        <v/>
      </c>
      <c r="L1723" s="13">
        <f>IF(C1723=Options!$B$9,B1723*Options!$Z$7,0)</f>
        <v/>
      </c>
      <c r="M1723" s="13" t="n">
        <v>0</v>
      </c>
      <c r="N1723" s="13">
        <f>SUM(E1723:M1723)</f>
        <v/>
      </c>
    </row>
    <row r="1724">
      <c r="A1724" s="5">
        <f>IF(AND(C1724&gt;=Options!$B$9,C1724&lt;=Options!$B$10),"Phoenix","")</f>
        <v/>
      </c>
      <c r="B1724" s="5">
        <f>IF(A1724="","",18)</f>
        <v/>
      </c>
      <c r="C1724" s="17" t="n">
        <v>46555</v>
      </c>
      <c r="D1724" s="5">
        <f>IF(A1724="","",IF(C1724=DATE(2026,11,29),"培训；注册午餐；早餐参数",IF(C1724=DATE(2026,11,30),"培训；注册午餐",IF(C1724=DATE(2026,12,1),"培训；注册午餐；机构晚餐",IF(C1724=Options!$B$9,"抵达；"&amp;IF(C1724=DATE(2026,11,28),"机构晚餐","无统一供餐"),IF(C1724=Options!$B$10,"返程；"&amp;IF(C1724=DATE(2026,12,2),"机构午餐","无统一供餐"),"差旅状态；无统一日程"))))))</f>
        <v/>
      </c>
      <c r="E1724" s="13">
        <f>IF(C1724=Options!$B$9,Options!$C$18,0)</f>
        <v/>
      </c>
      <c r="F1724" s="13">
        <f>IF(AND(A1724&lt;&gt;"",C1724&lt;Options!$B$10),B1724*Options!$X$7,0)</f>
        <v/>
      </c>
      <c r="G1724" s="13">
        <f>F1724*12%</f>
        <v/>
      </c>
      <c r="H1724" s="13">
        <f>IF(A1724="",0,B1724*(86*IF(OR(C1724=Options!$B$9,C1724=Options!$B$10),75%,100%)-IF(C1724=DATE(2026,11,29),23+IF(Options!$B$8="是",22,0),0)-IF(C1724=DATE(2026,11,30),23,0)-IF(C1724=DATE(2026,12,1),59,0)-IF(C1724=DATE(2026,11,28),36,0)-IF(C1724=DATE(2026,12,2),23,0)))</f>
        <v/>
      </c>
      <c r="I1724" s="13">
        <f>IF(AND(C1724&gt;=DATE(2026,11,29),C1724&lt;=DATE(2026,12,1)),B1724*60,0)</f>
        <v/>
      </c>
      <c r="J1724" s="13">
        <f>IF(A1724="",0,B1724*(IF(C1724=DATE(2026,11,28),36,0)+IF(C1724=DATE(2026,12,1),36,0)+IF(C1724=DATE(2026,12,2),23,0)))</f>
        <v/>
      </c>
      <c r="K1724" s="13">
        <f>IF(C1724=Options!$B$9,B1724*12,0)</f>
        <v/>
      </c>
      <c r="L1724" s="13">
        <f>IF(C1724=Options!$B$9,B1724*Options!$Z$7,0)</f>
        <v/>
      </c>
      <c r="M1724" s="13" t="n">
        <v>0</v>
      </c>
      <c r="N1724" s="13">
        <f>SUM(E1724:M1724)</f>
        <v/>
      </c>
    </row>
    <row r="1725">
      <c r="A1725" s="5">
        <f>IF(AND(C1725&gt;=Options!$B$9,C1725&lt;=Options!$B$10),"Phoenix","")</f>
        <v/>
      </c>
      <c r="B1725" s="5">
        <f>IF(A1725="","",18)</f>
        <v/>
      </c>
      <c r="C1725" s="17" t="n">
        <v>46556</v>
      </c>
      <c r="D1725" s="5">
        <f>IF(A1725="","",IF(C1725=DATE(2026,11,29),"培训；注册午餐；早餐参数",IF(C1725=DATE(2026,11,30),"培训；注册午餐",IF(C1725=DATE(2026,12,1),"培训；注册午餐；机构晚餐",IF(C1725=Options!$B$9,"抵达；"&amp;IF(C1725=DATE(2026,11,28),"机构晚餐","无统一供餐"),IF(C1725=Options!$B$10,"返程；"&amp;IF(C1725=DATE(2026,12,2),"机构午餐","无统一供餐"),"差旅状态；无统一日程"))))))</f>
        <v/>
      </c>
      <c r="E1725" s="13">
        <f>IF(C1725=Options!$B$9,Options!$C$18,0)</f>
        <v/>
      </c>
      <c r="F1725" s="13">
        <f>IF(AND(A1725&lt;&gt;"",C1725&lt;Options!$B$10),B1725*Options!$X$7,0)</f>
        <v/>
      </c>
      <c r="G1725" s="13">
        <f>F1725*12%</f>
        <v/>
      </c>
      <c r="H1725" s="13">
        <f>IF(A1725="",0,B1725*(86*IF(OR(C1725=Options!$B$9,C1725=Options!$B$10),75%,100%)-IF(C1725=DATE(2026,11,29),23+IF(Options!$B$8="是",22,0),0)-IF(C1725=DATE(2026,11,30),23,0)-IF(C1725=DATE(2026,12,1),59,0)-IF(C1725=DATE(2026,11,28),36,0)-IF(C1725=DATE(2026,12,2),23,0)))</f>
        <v/>
      </c>
      <c r="I1725" s="13">
        <f>IF(AND(C1725&gt;=DATE(2026,11,29),C1725&lt;=DATE(2026,12,1)),B1725*60,0)</f>
        <v/>
      </c>
      <c r="J1725" s="13">
        <f>IF(A1725="",0,B1725*(IF(C1725=DATE(2026,11,28),36,0)+IF(C1725=DATE(2026,12,1),36,0)+IF(C1725=DATE(2026,12,2),23,0)))</f>
        <v/>
      </c>
      <c r="K1725" s="13">
        <f>IF(C1725=Options!$B$9,B1725*12,0)</f>
        <v/>
      </c>
      <c r="L1725" s="13">
        <f>IF(C1725=Options!$B$9,B1725*Options!$Z$7,0)</f>
        <v/>
      </c>
      <c r="M1725" s="13" t="n">
        <v>0</v>
      </c>
      <c r="N1725" s="13">
        <f>SUM(E1725:M1725)</f>
        <v/>
      </c>
    </row>
    <row r="1726">
      <c r="A1726" s="5">
        <f>IF(AND(C1726&gt;=Options!$B$9,C1726&lt;=Options!$B$10),"Phoenix","")</f>
        <v/>
      </c>
      <c r="B1726" s="5">
        <f>IF(A1726="","",18)</f>
        <v/>
      </c>
      <c r="C1726" s="17" t="n">
        <v>46557</v>
      </c>
      <c r="D1726" s="5">
        <f>IF(A1726="","",IF(C1726=DATE(2026,11,29),"培训；注册午餐；早餐参数",IF(C1726=DATE(2026,11,30),"培训；注册午餐",IF(C1726=DATE(2026,12,1),"培训；注册午餐；机构晚餐",IF(C1726=Options!$B$9,"抵达；"&amp;IF(C1726=DATE(2026,11,28),"机构晚餐","无统一供餐"),IF(C1726=Options!$B$10,"返程；"&amp;IF(C1726=DATE(2026,12,2),"机构午餐","无统一供餐"),"差旅状态；无统一日程"))))))</f>
        <v/>
      </c>
      <c r="E1726" s="13">
        <f>IF(C1726=Options!$B$9,Options!$C$18,0)</f>
        <v/>
      </c>
      <c r="F1726" s="13">
        <f>IF(AND(A1726&lt;&gt;"",C1726&lt;Options!$B$10),B1726*Options!$X$7,0)</f>
        <v/>
      </c>
      <c r="G1726" s="13">
        <f>F1726*12%</f>
        <v/>
      </c>
      <c r="H1726" s="13">
        <f>IF(A1726="",0,B1726*(86*IF(OR(C1726=Options!$B$9,C1726=Options!$B$10),75%,100%)-IF(C1726=DATE(2026,11,29),23+IF(Options!$B$8="是",22,0),0)-IF(C1726=DATE(2026,11,30),23,0)-IF(C1726=DATE(2026,12,1),59,0)-IF(C1726=DATE(2026,11,28),36,0)-IF(C1726=DATE(2026,12,2),23,0)))</f>
        <v/>
      </c>
      <c r="I1726" s="13">
        <f>IF(AND(C1726&gt;=DATE(2026,11,29),C1726&lt;=DATE(2026,12,1)),B1726*60,0)</f>
        <v/>
      </c>
      <c r="J1726" s="13">
        <f>IF(A1726="",0,B1726*(IF(C1726=DATE(2026,11,28),36,0)+IF(C1726=DATE(2026,12,1),36,0)+IF(C1726=DATE(2026,12,2),23,0)))</f>
        <v/>
      </c>
      <c r="K1726" s="13">
        <f>IF(C1726=Options!$B$9,B1726*12,0)</f>
        <v/>
      </c>
      <c r="L1726" s="13">
        <f>IF(C1726=Options!$B$9,B1726*Options!$Z$7,0)</f>
        <v/>
      </c>
      <c r="M1726" s="13" t="n">
        <v>0</v>
      </c>
      <c r="N1726" s="13">
        <f>SUM(E1726:M1726)</f>
        <v/>
      </c>
    </row>
    <row r="1727">
      <c r="A1727" s="5">
        <f>IF(AND(C1727&gt;=Options!$B$9,C1727&lt;=Options!$B$10),"Phoenix","")</f>
        <v/>
      </c>
      <c r="B1727" s="5">
        <f>IF(A1727="","",18)</f>
        <v/>
      </c>
      <c r="C1727" s="17" t="n">
        <v>46558</v>
      </c>
      <c r="D1727" s="5">
        <f>IF(A1727="","",IF(C1727=DATE(2026,11,29),"培训；注册午餐；早餐参数",IF(C1727=DATE(2026,11,30),"培训；注册午餐",IF(C1727=DATE(2026,12,1),"培训；注册午餐；机构晚餐",IF(C1727=Options!$B$9,"抵达；"&amp;IF(C1727=DATE(2026,11,28),"机构晚餐","无统一供餐"),IF(C1727=Options!$B$10,"返程；"&amp;IF(C1727=DATE(2026,12,2),"机构午餐","无统一供餐"),"差旅状态；无统一日程"))))))</f>
        <v/>
      </c>
      <c r="E1727" s="13">
        <f>IF(C1727=Options!$B$9,Options!$C$18,0)</f>
        <v/>
      </c>
      <c r="F1727" s="13">
        <f>IF(AND(A1727&lt;&gt;"",C1727&lt;Options!$B$10),B1727*Options!$X$7,0)</f>
        <v/>
      </c>
      <c r="G1727" s="13">
        <f>F1727*12%</f>
        <v/>
      </c>
      <c r="H1727" s="13">
        <f>IF(A1727="",0,B1727*(86*IF(OR(C1727=Options!$B$9,C1727=Options!$B$10),75%,100%)-IF(C1727=DATE(2026,11,29),23+IF(Options!$B$8="是",22,0),0)-IF(C1727=DATE(2026,11,30),23,0)-IF(C1727=DATE(2026,12,1),59,0)-IF(C1727=DATE(2026,11,28),36,0)-IF(C1727=DATE(2026,12,2),23,0)))</f>
        <v/>
      </c>
      <c r="I1727" s="13">
        <f>IF(AND(C1727&gt;=DATE(2026,11,29),C1727&lt;=DATE(2026,12,1)),B1727*60,0)</f>
        <v/>
      </c>
      <c r="J1727" s="13">
        <f>IF(A1727="",0,B1727*(IF(C1727=DATE(2026,11,28),36,0)+IF(C1727=DATE(2026,12,1),36,0)+IF(C1727=DATE(2026,12,2),23,0)))</f>
        <v/>
      </c>
      <c r="K1727" s="13">
        <f>IF(C1727=Options!$B$9,B1727*12,0)</f>
        <v/>
      </c>
      <c r="L1727" s="13">
        <f>IF(C1727=Options!$B$9,B1727*Options!$Z$7,0)</f>
        <v/>
      </c>
      <c r="M1727" s="13" t="n">
        <v>0</v>
      </c>
      <c r="N1727" s="13">
        <f>SUM(E1727:M1727)</f>
        <v/>
      </c>
    </row>
    <row r="1728">
      <c r="A1728" s="5">
        <f>IF(AND(C1728&gt;=Options!$B$9,C1728&lt;=Options!$B$10),"Phoenix","")</f>
        <v/>
      </c>
      <c r="B1728" s="5">
        <f>IF(A1728="","",18)</f>
        <v/>
      </c>
      <c r="C1728" s="17" t="n">
        <v>46559</v>
      </c>
      <c r="D1728" s="5">
        <f>IF(A1728="","",IF(C1728=DATE(2026,11,29),"培训；注册午餐；早餐参数",IF(C1728=DATE(2026,11,30),"培训；注册午餐",IF(C1728=DATE(2026,12,1),"培训；注册午餐；机构晚餐",IF(C1728=Options!$B$9,"抵达；"&amp;IF(C1728=DATE(2026,11,28),"机构晚餐","无统一供餐"),IF(C1728=Options!$B$10,"返程；"&amp;IF(C1728=DATE(2026,12,2),"机构午餐","无统一供餐"),"差旅状态；无统一日程"))))))</f>
        <v/>
      </c>
      <c r="E1728" s="13">
        <f>IF(C1728=Options!$B$9,Options!$C$18,0)</f>
        <v/>
      </c>
      <c r="F1728" s="13">
        <f>IF(AND(A1728&lt;&gt;"",C1728&lt;Options!$B$10),B1728*Options!$X$7,0)</f>
        <v/>
      </c>
      <c r="G1728" s="13">
        <f>F1728*12%</f>
        <v/>
      </c>
      <c r="H1728" s="13">
        <f>IF(A1728="",0,B1728*(86*IF(OR(C1728=Options!$B$9,C1728=Options!$B$10),75%,100%)-IF(C1728=DATE(2026,11,29),23+IF(Options!$B$8="是",22,0),0)-IF(C1728=DATE(2026,11,30),23,0)-IF(C1728=DATE(2026,12,1),59,0)-IF(C1728=DATE(2026,11,28),36,0)-IF(C1728=DATE(2026,12,2),23,0)))</f>
        <v/>
      </c>
      <c r="I1728" s="13">
        <f>IF(AND(C1728&gt;=DATE(2026,11,29),C1728&lt;=DATE(2026,12,1)),B1728*60,0)</f>
        <v/>
      </c>
      <c r="J1728" s="13">
        <f>IF(A1728="",0,B1728*(IF(C1728=DATE(2026,11,28),36,0)+IF(C1728=DATE(2026,12,1),36,0)+IF(C1728=DATE(2026,12,2),23,0)))</f>
        <v/>
      </c>
      <c r="K1728" s="13">
        <f>IF(C1728=Options!$B$9,B1728*12,0)</f>
        <v/>
      </c>
      <c r="L1728" s="13">
        <f>IF(C1728=Options!$B$9,B1728*Options!$Z$7,0)</f>
        <v/>
      </c>
      <c r="M1728" s="13" t="n">
        <v>0</v>
      </c>
      <c r="N1728" s="13">
        <f>SUM(E1728:M1728)</f>
        <v/>
      </c>
    </row>
    <row r="1729">
      <c r="A1729" s="5">
        <f>IF(AND(C1729&gt;=Options!$B$9,C1729&lt;=Options!$B$10),"Phoenix","")</f>
        <v/>
      </c>
      <c r="B1729" s="5">
        <f>IF(A1729="","",18)</f>
        <v/>
      </c>
      <c r="C1729" s="17" t="n">
        <v>46560</v>
      </c>
      <c r="D1729" s="5">
        <f>IF(A1729="","",IF(C1729=DATE(2026,11,29),"培训；注册午餐；早餐参数",IF(C1729=DATE(2026,11,30),"培训；注册午餐",IF(C1729=DATE(2026,12,1),"培训；注册午餐；机构晚餐",IF(C1729=Options!$B$9,"抵达；"&amp;IF(C1729=DATE(2026,11,28),"机构晚餐","无统一供餐"),IF(C1729=Options!$B$10,"返程；"&amp;IF(C1729=DATE(2026,12,2),"机构午餐","无统一供餐"),"差旅状态；无统一日程"))))))</f>
        <v/>
      </c>
      <c r="E1729" s="13">
        <f>IF(C1729=Options!$B$9,Options!$C$18,0)</f>
        <v/>
      </c>
      <c r="F1729" s="13">
        <f>IF(AND(A1729&lt;&gt;"",C1729&lt;Options!$B$10),B1729*Options!$X$7,0)</f>
        <v/>
      </c>
      <c r="G1729" s="13">
        <f>F1729*12%</f>
        <v/>
      </c>
      <c r="H1729" s="13">
        <f>IF(A1729="",0,B1729*(86*IF(OR(C1729=Options!$B$9,C1729=Options!$B$10),75%,100%)-IF(C1729=DATE(2026,11,29),23+IF(Options!$B$8="是",22,0),0)-IF(C1729=DATE(2026,11,30),23,0)-IF(C1729=DATE(2026,12,1),59,0)-IF(C1729=DATE(2026,11,28),36,0)-IF(C1729=DATE(2026,12,2),23,0)))</f>
        <v/>
      </c>
      <c r="I1729" s="13">
        <f>IF(AND(C1729&gt;=DATE(2026,11,29),C1729&lt;=DATE(2026,12,1)),B1729*60,0)</f>
        <v/>
      </c>
      <c r="J1729" s="13">
        <f>IF(A1729="",0,B1729*(IF(C1729=DATE(2026,11,28),36,0)+IF(C1729=DATE(2026,12,1),36,0)+IF(C1729=DATE(2026,12,2),23,0)))</f>
        <v/>
      </c>
      <c r="K1729" s="13">
        <f>IF(C1729=Options!$B$9,B1729*12,0)</f>
        <v/>
      </c>
      <c r="L1729" s="13">
        <f>IF(C1729=Options!$B$9,B1729*Options!$Z$7,0)</f>
        <v/>
      </c>
      <c r="M1729" s="13" t="n">
        <v>0</v>
      </c>
      <c r="N1729" s="13">
        <f>SUM(E1729:M1729)</f>
        <v/>
      </c>
    </row>
    <row r="1730">
      <c r="A1730" s="5">
        <f>IF(AND(C1730&gt;=Options!$B$9,C1730&lt;=Options!$B$10),"Phoenix","")</f>
        <v/>
      </c>
      <c r="B1730" s="5">
        <f>IF(A1730="","",18)</f>
        <v/>
      </c>
      <c r="C1730" s="17" t="n">
        <v>46561</v>
      </c>
      <c r="D1730" s="5">
        <f>IF(A1730="","",IF(C1730=DATE(2026,11,29),"培训；注册午餐；早餐参数",IF(C1730=DATE(2026,11,30),"培训；注册午餐",IF(C1730=DATE(2026,12,1),"培训；注册午餐；机构晚餐",IF(C1730=Options!$B$9,"抵达；"&amp;IF(C1730=DATE(2026,11,28),"机构晚餐","无统一供餐"),IF(C1730=Options!$B$10,"返程；"&amp;IF(C1730=DATE(2026,12,2),"机构午餐","无统一供餐"),"差旅状态；无统一日程"))))))</f>
        <v/>
      </c>
      <c r="E1730" s="13">
        <f>IF(C1730=Options!$B$9,Options!$C$18,0)</f>
        <v/>
      </c>
      <c r="F1730" s="13">
        <f>IF(AND(A1730&lt;&gt;"",C1730&lt;Options!$B$10),B1730*Options!$X$7,0)</f>
        <v/>
      </c>
      <c r="G1730" s="13">
        <f>F1730*12%</f>
        <v/>
      </c>
      <c r="H1730" s="13">
        <f>IF(A1730="",0,B1730*(86*IF(OR(C1730=Options!$B$9,C1730=Options!$B$10),75%,100%)-IF(C1730=DATE(2026,11,29),23+IF(Options!$B$8="是",22,0),0)-IF(C1730=DATE(2026,11,30),23,0)-IF(C1730=DATE(2026,12,1),59,0)-IF(C1730=DATE(2026,11,28),36,0)-IF(C1730=DATE(2026,12,2),23,0)))</f>
        <v/>
      </c>
      <c r="I1730" s="13">
        <f>IF(AND(C1730&gt;=DATE(2026,11,29),C1730&lt;=DATE(2026,12,1)),B1730*60,0)</f>
        <v/>
      </c>
      <c r="J1730" s="13">
        <f>IF(A1730="",0,B1730*(IF(C1730=DATE(2026,11,28),36,0)+IF(C1730=DATE(2026,12,1),36,0)+IF(C1730=DATE(2026,12,2),23,0)))</f>
        <v/>
      </c>
      <c r="K1730" s="13">
        <f>IF(C1730=Options!$B$9,B1730*12,0)</f>
        <v/>
      </c>
      <c r="L1730" s="13">
        <f>IF(C1730=Options!$B$9,B1730*Options!$Z$7,0)</f>
        <v/>
      </c>
      <c r="M1730" s="13" t="n">
        <v>0</v>
      </c>
      <c r="N1730" s="13">
        <f>SUM(E1730:M1730)</f>
        <v/>
      </c>
    </row>
    <row r="1731">
      <c r="A1731" s="5">
        <f>IF(AND(C1731&gt;=Options!$B$9,C1731&lt;=Options!$B$10),"Phoenix","")</f>
        <v/>
      </c>
      <c r="B1731" s="5">
        <f>IF(A1731="","",18)</f>
        <v/>
      </c>
      <c r="C1731" s="17" t="n">
        <v>46562</v>
      </c>
      <c r="D1731" s="5">
        <f>IF(A1731="","",IF(C1731=DATE(2026,11,29),"培训；注册午餐；早餐参数",IF(C1731=DATE(2026,11,30),"培训；注册午餐",IF(C1731=DATE(2026,12,1),"培训；注册午餐；机构晚餐",IF(C1731=Options!$B$9,"抵达；"&amp;IF(C1731=DATE(2026,11,28),"机构晚餐","无统一供餐"),IF(C1731=Options!$B$10,"返程；"&amp;IF(C1731=DATE(2026,12,2),"机构午餐","无统一供餐"),"差旅状态；无统一日程"))))))</f>
        <v/>
      </c>
      <c r="E1731" s="13">
        <f>IF(C1731=Options!$B$9,Options!$C$18,0)</f>
        <v/>
      </c>
      <c r="F1731" s="13">
        <f>IF(AND(A1731&lt;&gt;"",C1731&lt;Options!$B$10),B1731*Options!$X$7,0)</f>
        <v/>
      </c>
      <c r="G1731" s="13">
        <f>F1731*12%</f>
        <v/>
      </c>
      <c r="H1731" s="13">
        <f>IF(A1731="",0,B1731*(86*IF(OR(C1731=Options!$B$9,C1731=Options!$B$10),75%,100%)-IF(C1731=DATE(2026,11,29),23+IF(Options!$B$8="是",22,0),0)-IF(C1731=DATE(2026,11,30),23,0)-IF(C1731=DATE(2026,12,1),59,0)-IF(C1731=DATE(2026,11,28),36,0)-IF(C1731=DATE(2026,12,2),23,0)))</f>
        <v/>
      </c>
      <c r="I1731" s="13">
        <f>IF(AND(C1731&gt;=DATE(2026,11,29),C1731&lt;=DATE(2026,12,1)),B1731*60,0)</f>
        <v/>
      </c>
      <c r="J1731" s="13">
        <f>IF(A1731="",0,B1731*(IF(C1731=DATE(2026,11,28),36,0)+IF(C1731=DATE(2026,12,1),36,0)+IF(C1731=DATE(2026,12,2),23,0)))</f>
        <v/>
      </c>
      <c r="K1731" s="13">
        <f>IF(C1731=Options!$B$9,B1731*12,0)</f>
        <v/>
      </c>
      <c r="L1731" s="13">
        <f>IF(C1731=Options!$B$9,B1731*Options!$Z$7,0)</f>
        <v/>
      </c>
      <c r="M1731" s="13" t="n">
        <v>0</v>
      </c>
      <c r="N1731" s="13">
        <f>SUM(E1731:M1731)</f>
        <v/>
      </c>
    </row>
    <row r="1732">
      <c r="A1732" s="5">
        <f>IF(AND(C1732&gt;=Options!$B$9,C1732&lt;=Options!$B$10),"Phoenix","")</f>
        <v/>
      </c>
      <c r="B1732" s="5">
        <f>IF(A1732="","",18)</f>
        <v/>
      </c>
      <c r="C1732" s="17" t="n">
        <v>46563</v>
      </c>
      <c r="D1732" s="5">
        <f>IF(A1732="","",IF(C1732=DATE(2026,11,29),"培训；注册午餐；早餐参数",IF(C1732=DATE(2026,11,30),"培训；注册午餐",IF(C1732=DATE(2026,12,1),"培训；注册午餐；机构晚餐",IF(C1732=Options!$B$9,"抵达；"&amp;IF(C1732=DATE(2026,11,28),"机构晚餐","无统一供餐"),IF(C1732=Options!$B$10,"返程；"&amp;IF(C1732=DATE(2026,12,2),"机构午餐","无统一供餐"),"差旅状态；无统一日程"))))))</f>
        <v/>
      </c>
      <c r="E1732" s="13">
        <f>IF(C1732=Options!$B$9,Options!$C$18,0)</f>
        <v/>
      </c>
      <c r="F1732" s="13">
        <f>IF(AND(A1732&lt;&gt;"",C1732&lt;Options!$B$10),B1732*Options!$X$7,0)</f>
        <v/>
      </c>
      <c r="G1732" s="13">
        <f>F1732*12%</f>
        <v/>
      </c>
      <c r="H1732" s="13">
        <f>IF(A1732="",0,B1732*(86*IF(OR(C1732=Options!$B$9,C1732=Options!$B$10),75%,100%)-IF(C1732=DATE(2026,11,29),23+IF(Options!$B$8="是",22,0),0)-IF(C1732=DATE(2026,11,30),23,0)-IF(C1732=DATE(2026,12,1),59,0)-IF(C1732=DATE(2026,11,28),36,0)-IF(C1732=DATE(2026,12,2),23,0)))</f>
        <v/>
      </c>
      <c r="I1732" s="13">
        <f>IF(AND(C1732&gt;=DATE(2026,11,29),C1732&lt;=DATE(2026,12,1)),B1732*60,0)</f>
        <v/>
      </c>
      <c r="J1732" s="13">
        <f>IF(A1732="",0,B1732*(IF(C1732=DATE(2026,11,28),36,0)+IF(C1732=DATE(2026,12,1),36,0)+IF(C1732=DATE(2026,12,2),23,0)))</f>
        <v/>
      </c>
      <c r="K1732" s="13">
        <f>IF(C1732=Options!$B$9,B1732*12,0)</f>
        <v/>
      </c>
      <c r="L1732" s="13">
        <f>IF(C1732=Options!$B$9,B1732*Options!$Z$7,0)</f>
        <v/>
      </c>
      <c r="M1732" s="13" t="n">
        <v>0</v>
      </c>
      <c r="N1732" s="13">
        <f>SUM(E1732:M1732)</f>
        <v/>
      </c>
    </row>
    <row r="1733">
      <c r="A1733" s="5">
        <f>IF(AND(C1733&gt;=Options!$B$9,C1733&lt;=Options!$B$10),"Phoenix","")</f>
        <v/>
      </c>
      <c r="B1733" s="5">
        <f>IF(A1733="","",18)</f>
        <v/>
      </c>
      <c r="C1733" s="17" t="n">
        <v>46564</v>
      </c>
      <c r="D1733" s="5">
        <f>IF(A1733="","",IF(C1733=DATE(2026,11,29),"培训；注册午餐；早餐参数",IF(C1733=DATE(2026,11,30),"培训；注册午餐",IF(C1733=DATE(2026,12,1),"培训；注册午餐；机构晚餐",IF(C1733=Options!$B$9,"抵达；"&amp;IF(C1733=DATE(2026,11,28),"机构晚餐","无统一供餐"),IF(C1733=Options!$B$10,"返程；"&amp;IF(C1733=DATE(2026,12,2),"机构午餐","无统一供餐"),"差旅状态；无统一日程"))))))</f>
        <v/>
      </c>
      <c r="E1733" s="13">
        <f>IF(C1733=Options!$B$9,Options!$C$18,0)</f>
        <v/>
      </c>
      <c r="F1733" s="13">
        <f>IF(AND(A1733&lt;&gt;"",C1733&lt;Options!$B$10),B1733*Options!$X$7,0)</f>
        <v/>
      </c>
      <c r="G1733" s="13">
        <f>F1733*12%</f>
        <v/>
      </c>
      <c r="H1733" s="13">
        <f>IF(A1733="",0,B1733*(86*IF(OR(C1733=Options!$B$9,C1733=Options!$B$10),75%,100%)-IF(C1733=DATE(2026,11,29),23+IF(Options!$B$8="是",22,0),0)-IF(C1733=DATE(2026,11,30),23,0)-IF(C1733=DATE(2026,12,1),59,0)-IF(C1733=DATE(2026,11,28),36,0)-IF(C1733=DATE(2026,12,2),23,0)))</f>
        <v/>
      </c>
      <c r="I1733" s="13">
        <f>IF(AND(C1733&gt;=DATE(2026,11,29),C1733&lt;=DATE(2026,12,1)),B1733*60,0)</f>
        <v/>
      </c>
      <c r="J1733" s="13">
        <f>IF(A1733="",0,B1733*(IF(C1733=DATE(2026,11,28),36,0)+IF(C1733=DATE(2026,12,1),36,0)+IF(C1733=DATE(2026,12,2),23,0)))</f>
        <v/>
      </c>
      <c r="K1733" s="13">
        <f>IF(C1733=Options!$B$9,B1733*12,0)</f>
        <v/>
      </c>
      <c r="L1733" s="13">
        <f>IF(C1733=Options!$B$9,B1733*Options!$Z$7,0)</f>
        <v/>
      </c>
      <c r="M1733" s="13" t="n">
        <v>0</v>
      </c>
      <c r="N1733" s="13">
        <f>SUM(E1733:M1733)</f>
        <v/>
      </c>
    </row>
    <row r="1734">
      <c r="A1734" s="5">
        <f>IF(AND(C1734&gt;=Options!$B$9,C1734&lt;=Options!$B$10),"Phoenix","")</f>
        <v/>
      </c>
      <c r="B1734" s="5">
        <f>IF(A1734="","",18)</f>
        <v/>
      </c>
      <c r="C1734" s="17" t="n">
        <v>46565</v>
      </c>
      <c r="D1734" s="5">
        <f>IF(A1734="","",IF(C1734=DATE(2026,11,29),"培训；注册午餐；早餐参数",IF(C1734=DATE(2026,11,30),"培训；注册午餐",IF(C1734=DATE(2026,12,1),"培训；注册午餐；机构晚餐",IF(C1734=Options!$B$9,"抵达；"&amp;IF(C1734=DATE(2026,11,28),"机构晚餐","无统一供餐"),IF(C1734=Options!$B$10,"返程；"&amp;IF(C1734=DATE(2026,12,2),"机构午餐","无统一供餐"),"差旅状态；无统一日程"))))))</f>
        <v/>
      </c>
      <c r="E1734" s="13">
        <f>IF(C1734=Options!$B$9,Options!$C$18,0)</f>
        <v/>
      </c>
      <c r="F1734" s="13">
        <f>IF(AND(A1734&lt;&gt;"",C1734&lt;Options!$B$10),B1734*Options!$X$7,0)</f>
        <v/>
      </c>
      <c r="G1734" s="13">
        <f>F1734*12%</f>
        <v/>
      </c>
      <c r="H1734" s="13">
        <f>IF(A1734="",0,B1734*(86*IF(OR(C1734=Options!$B$9,C1734=Options!$B$10),75%,100%)-IF(C1734=DATE(2026,11,29),23+IF(Options!$B$8="是",22,0),0)-IF(C1734=DATE(2026,11,30),23,0)-IF(C1734=DATE(2026,12,1),59,0)-IF(C1734=DATE(2026,11,28),36,0)-IF(C1734=DATE(2026,12,2),23,0)))</f>
        <v/>
      </c>
      <c r="I1734" s="13">
        <f>IF(AND(C1734&gt;=DATE(2026,11,29),C1734&lt;=DATE(2026,12,1)),B1734*60,0)</f>
        <v/>
      </c>
      <c r="J1734" s="13">
        <f>IF(A1734="",0,B1734*(IF(C1734=DATE(2026,11,28),36,0)+IF(C1734=DATE(2026,12,1),36,0)+IF(C1734=DATE(2026,12,2),23,0)))</f>
        <v/>
      </c>
      <c r="K1734" s="13">
        <f>IF(C1734=Options!$B$9,B1734*12,0)</f>
        <v/>
      </c>
      <c r="L1734" s="13">
        <f>IF(C1734=Options!$B$9,B1734*Options!$Z$7,0)</f>
        <v/>
      </c>
      <c r="M1734" s="13" t="n">
        <v>0</v>
      </c>
      <c r="N1734" s="13">
        <f>SUM(E1734:M1734)</f>
        <v/>
      </c>
    </row>
    <row r="1735">
      <c r="A1735" s="5">
        <f>IF(AND(C1735&gt;=Options!$B$9,C1735&lt;=Options!$B$10),"Phoenix","")</f>
        <v/>
      </c>
      <c r="B1735" s="5">
        <f>IF(A1735="","",18)</f>
        <v/>
      </c>
      <c r="C1735" s="17" t="n">
        <v>46566</v>
      </c>
      <c r="D1735" s="5">
        <f>IF(A1735="","",IF(C1735=DATE(2026,11,29),"培训；注册午餐；早餐参数",IF(C1735=DATE(2026,11,30),"培训；注册午餐",IF(C1735=DATE(2026,12,1),"培训；注册午餐；机构晚餐",IF(C1735=Options!$B$9,"抵达；"&amp;IF(C1735=DATE(2026,11,28),"机构晚餐","无统一供餐"),IF(C1735=Options!$B$10,"返程；"&amp;IF(C1735=DATE(2026,12,2),"机构午餐","无统一供餐"),"差旅状态；无统一日程"))))))</f>
        <v/>
      </c>
      <c r="E1735" s="13">
        <f>IF(C1735=Options!$B$9,Options!$C$18,0)</f>
        <v/>
      </c>
      <c r="F1735" s="13">
        <f>IF(AND(A1735&lt;&gt;"",C1735&lt;Options!$B$10),B1735*Options!$X$7,0)</f>
        <v/>
      </c>
      <c r="G1735" s="13">
        <f>F1735*12%</f>
        <v/>
      </c>
      <c r="H1735" s="13">
        <f>IF(A1735="",0,B1735*(86*IF(OR(C1735=Options!$B$9,C1735=Options!$B$10),75%,100%)-IF(C1735=DATE(2026,11,29),23+IF(Options!$B$8="是",22,0),0)-IF(C1735=DATE(2026,11,30),23,0)-IF(C1735=DATE(2026,12,1),59,0)-IF(C1735=DATE(2026,11,28),36,0)-IF(C1735=DATE(2026,12,2),23,0)))</f>
        <v/>
      </c>
      <c r="I1735" s="13">
        <f>IF(AND(C1735&gt;=DATE(2026,11,29),C1735&lt;=DATE(2026,12,1)),B1735*60,0)</f>
        <v/>
      </c>
      <c r="J1735" s="13">
        <f>IF(A1735="",0,B1735*(IF(C1735=DATE(2026,11,28),36,0)+IF(C1735=DATE(2026,12,1),36,0)+IF(C1735=DATE(2026,12,2),23,0)))</f>
        <v/>
      </c>
      <c r="K1735" s="13">
        <f>IF(C1735=Options!$B$9,B1735*12,0)</f>
        <v/>
      </c>
      <c r="L1735" s="13">
        <f>IF(C1735=Options!$B$9,B1735*Options!$Z$7,0)</f>
        <v/>
      </c>
      <c r="M1735" s="13" t="n">
        <v>0</v>
      </c>
      <c r="N1735" s="13">
        <f>SUM(E1735:M1735)</f>
        <v/>
      </c>
    </row>
    <row r="1736">
      <c r="A1736" s="5">
        <f>IF(AND(C1736&gt;=Options!$B$9,C1736&lt;=Options!$B$10),"Phoenix","")</f>
        <v/>
      </c>
      <c r="B1736" s="5">
        <f>IF(A1736="","",18)</f>
        <v/>
      </c>
      <c r="C1736" s="17" t="n">
        <v>46567</v>
      </c>
      <c r="D1736" s="5">
        <f>IF(A1736="","",IF(C1736=DATE(2026,11,29),"培训；注册午餐；早餐参数",IF(C1736=DATE(2026,11,30),"培训；注册午餐",IF(C1736=DATE(2026,12,1),"培训；注册午餐；机构晚餐",IF(C1736=Options!$B$9,"抵达；"&amp;IF(C1736=DATE(2026,11,28),"机构晚餐","无统一供餐"),IF(C1736=Options!$B$10,"返程；"&amp;IF(C1736=DATE(2026,12,2),"机构午餐","无统一供餐"),"差旅状态；无统一日程"))))))</f>
        <v/>
      </c>
      <c r="E1736" s="13">
        <f>IF(C1736=Options!$B$9,Options!$C$18,0)</f>
        <v/>
      </c>
      <c r="F1736" s="13">
        <f>IF(AND(A1736&lt;&gt;"",C1736&lt;Options!$B$10),B1736*Options!$X$7,0)</f>
        <v/>
      </c>
      <c r="G1736" s="13">
        <f>F1736*12%</f>
        <v/>
      </c>
      <c r="H1736" s="13">
        <f>IF(A1736="",0,B1736*(86*IF(OR(C1736=Options!$B$9,C1736=Options!$B$10),75%,100%)-IF(C1736=DATE(2026,11,29),23+IF(Options!$B$8="是",22,0),0)-IF(C1736=DATE(2026,11,30),23,0)-IF(C1736=DATE(2026,12,1),59,0)-IF(C1736=DATE(2026,11,28),36,0)-IF(C1736=DATE(2026,12,2),23,0)))</f>
        <v/>
      </c>
      <c r="I1736" s="13">
        <f>IF(AND(C1736&gt;=DATE(2026,11,29),C1736&lt;=DATE(2026,12,1)),B1736*60,0)</f>
        <v/>
      </c>
      <c r="J1736" s="13">
        <f>IF(A1736="",0,B1736*(IF(C1736=DATE(2026,11,28),36,0)+IF(C1736=DATE(2026,12,1),36,0)+IF(C1736=DATE(2026,12,2),23,0)))</f>
        <v/>
      </c>
      <c r="K1736" s="13">
        <f>IF(C1736=Options!$B$9,B1736*12,0)</f>
        <v/>
      </c>
      <c r="L1736" s="13">
        <f>IF(C1736=Options!$B$9,B1736*Options!$Z$7,0)</f>
        <v/>
      </c>
      <c r="M1736" s="13" t="n">
        <v>0</v>
      </c>
      <c r="N1736" s="13">
        <f>SUM(E1736:M1736)</f>
        <v/>
      </c>
    </row>
    <row r="1737">
      <c r="A1737" s="5">
        <f>IF(AND(C1737&gt;=Options!$B$9,C1737&lt;=Options!$B$10),"Phoenix","")</f>
        <v/>
      </c>
      <c r="B1737" s="5">
        <f>IF(A1737="","",18)</f>
        <v/>
      </c>
      <c r="C1737" s="17" t="n">
        <v>46568</v>
      </c>
      <c r="D1737" s="5">
        <f>IF(A1737="","",IF(C1737=DATE(2026,11,29),"培训；注册午餐；早餐参数",IF(C1737=DATE(2026,11,30),"培训；注册午餐",IF(C1737=DATE(2026,12,1),"培训；注册午餐；机构晚餐",IF(C1737=Options!$B$9,"抵达；"&amp;IF(C1737=DATE(2026,11,28),"机构晚餐","无统一供餐"),IF(C1737=Options!$B$10,"返程；"&amp;IF(C1737=DATE(2026,12,2),"机构午餐","无统一供餐"),"差旅状态；无统一日程"))))))</f>
        <v/>
      </c>
      <c r="E1737" s="13">
        <f>IF(C1737=Options!$B$9,Options!$C$18,0)</f>
        <v/>
      </c>
      <c r="F1737" s="13">
        <f>IF(AND(A1737&lt;&gt;"",C1737&lt;Options!$B$10),B1737*Options!$X$7,0)</f>
        <v/>
      </c>
      <c r="G1737" s="13">
        <f>F1737*12%</f>
        <v/>
      </c>
      <c r="H1737" s="13">
        <f>IF(A1737="",0,B1737*(86*IF(OR(C1737=Options!$B$9,C1737=Options!$B$10),75%,100%)-IF(C1737=DATE(2026,11,29),23+IF(Options!$B$8="是",22,0),0)-IF(C1737=DATE(2026,11,30),23,0)-IF(C1737=DATE(2026,12,1),59,0)-IF(C1737=DATE(2026,11,28),36,0)-IF(C1737=DATE(2026,12,2),23,0)))</f>
        <v/>
      </c>
      <c r="I1737" s="13">
        <f>IF(AND(C1737&gt;=DATE(2026,11,29),C1737&lt;=DATE(2026,12,1)),B1737*60,0)</f>
        <v/>
      </c>
      <c r="J1737" s="13">
        <f>IF(A1737="",0,B1737*(IF(C1737=DATE(2026,11,28),36,0)+IF(C1737=DATE(2026,12,1),36,0)+IF(C1737=DATE(2026,12,2),23,0)))</f>
        <v/>
      </c>
      <c r="K1737" s="13">
        <f>IF(C1737=Options!$B$9,B1737*12,0)</f>
        <v/>
      </c>
      <c r="L1737" s="13">
        <f>IF(C1737=Options!$B$9,B1737*Options!$Z$7,0)</f>
        <v/>
      </c>
      <c r="M1737" s="13" t="n">
        <v>0</v>
      </c>
      <c r="N1737" s="13">
        <f>SUM(E1737:M1737)</f>
        <v/>
      </c>
    </row>
    <row r="1738">
      <c r="A1738" s="5">
        <f>IF(AND(C1738&gt;=Options!$B$9,C1738&lt;=Options!$B$10),"Phoenix","")</f>
        <v/>
      </c>
      <c r="B1738" s="5">
        <f>IF(A1738="","",18)</f>
        <v/>
      </c>
      <c r="C1738" s="17" t="n">
        <v>46569</v>
      </c>
      <c r="D1738" s="5">
        <f>IF(A1738="","",IF(C1738=DATE(2026,11,29),"培训；注册午餐；早餐参数",IF(C1738=DATE(2026,11,30),"培训；注册午餐",IF(C1738=DATE(2026,12,1),"培训；注册午餐；机构晚餐",IF(C1738=Options!$B$9,"抵达；"&amp;IF(C1738=DATE(2026,11,28),"机构晚餐","无统一供餐"),IF(C1738=Options!$B$10,"返程；"&amp;IF(C1738=DATE(2026,12,2),"机构午餐","无统一供餐"),"差旅状态；无统一日程"))))))</f>
        <v/>
      </c>
      <c r="E1738" s="13">
        <f>IF(C1738=Options!$B$9,Options!$C$18,0)</f>
        <v/>
      </c>
      <c r="F1738" s="13">
        <f>IF(AND(A1738&lt;&gt;"",C1738&lt;Options!$B$10),B1738*Options!$X$7,0)</f>
        <v/>
      </c>
      <c r="G1738" s="13">
        <f>F1738*12%</f>
        <v/>
      </c>
      <c r="H1738" s="13">
        <f>IF(A1738="",0,B1738*(86*IF(OR(C1738=Options!$B$9,C1738=Options!$B$10),75%,100%)-IF(C1738=DATE(2026,11,29),23+IF(Options!$B$8="是",22,0),0)-IF(C1738=DATE(2026,11,30),23,0)-IF(C1738=DATE(2026,12,1),59,0)-IF(C1738=DATE(2026,11,28),36,0)-IF(C1738=DATE(2026,12,2),23,0)))</f>
        <v/>
      </c>
      <c r="I1738" s="13">
        <f>IF(AND(C1738&gt;=DATE(2026,11,29),C1738&lt;=DATE(2026,12,1)),B1738*60,0)</f>
        <v/>
      </c>
      <c r="J1738" s="13">
        <f>IF(A1738="",0,B1738*(IF(C1738=DATE(2026,11,28),36,0)+IF(C1738=DATE(2026,12,1),36,0)+IF(C1738=DATE(2026,12,2),23,0)))</f>
        <v/>
      </c>
      <c r="K1738" s="13">
        <f>IF(C1738=Options!$B$9,B1738*12,0)</f>
        <v/>
      </c>
      <c r="L1738" s="13">
        <f>IF(C1738=Options!$B$9,B1738*Options!$Z$7,0)</f>
        <v/>
      </c>
      <c r="M1738" s="13" t="n">
        <v>0</v>
      </c>
      <c r="N1738" s="13">
        <f>SUM(E1738:M1738)</f>
        <v/>
      </c>
    </row>
    <row r="1739">
      <c r="A1739" s="5">
        <f>IF(AND(C1739&gt;=Options!$B$9,C1739&lt;=Options!$B$10),"Phoenix","")</f>
        <v/>
      </c>
      <c r="B1739" s="5">
        <f>IF(A1739="","",18)</f>
        <v/>
      </c>
      <c r="C1739" s="17" t="n">
        <v>46570</v>
      </c>
      <c r="D1739" s="5">
        <f>IF(A1739="","",IF(C1739=DATE(2026,11,29),"培训；注册午餐；早餐参数",IF(C1739=DATE(2026,11,30),"培训；注册午餐",IF(C1739=DATE(2026,12,1),"培训；注册午餐；机构晚餐",IF(C1739=Options!$B$9,"抵达；"&amp;IF(C1739=DATE(2026,11,28),"机构晚餐","无统一供餐"),IF(C1739=Options!$B$10,"返程；"&amp;IF(C1739=DATE(2026,12,2),"机构午餐","无统一供餐"),"差旅状态；无统一日程"))))))</f>
        <v/>
      </c>
      <c r="E1739" s="13">
        <f>IF(C1739=Options!$B$9,Options!$C$18,0)</f>
        <v/>
      </c>
      <c r="F1739" s="13">
        <f>IF(AND(A1739&lt;&gt;"",C1739&lt;Options!$B$10),B1739*Options!$X$7,0)</f>
        <v/>
      </c>
      <c r="G1739" s="13">
        <f>F1739*12%</f>
        <v/>
      </c>
      <c r="H1739" s="13">
        <f>IF(A1739="",0,B1739*(86*IF(OR(C1739=Options!$B$9,C1739=Options!$B$10),75%,100%)-IF(C1739=DATE(2026,11,29),23+IF(Options!$B$8="是",22,0),0)-IF(C1739=DATE(2026,11,30),23,0)-IF(C1739=DATE(2026,12,1),59,0)-IF(C1739=DATE(2026,11,28),36,0)-IF(C1739=DATE(2026,12,2),23,0)))</f>
        <v/>
      </c>
      <c r="I1739" s="13">
        <f>IF(AND(C1739&gt;=DATE(2026,11,29),C1739&lt;=DATE(2026,12,1)),B1739*60,0)</f>
        <v/>
      </c>
      <c r="J1739" s="13">
        <f>IF(A1739="",0,B1739*(IF(C1739=DATE(2026,11,28),36,0)+IF(C1739=DATE(2026,12,1),36,0)+IF(C1739=DATE(2026,12,2),23,0)))</f>
        <v/>
      </c>
      <c r="K1739" s="13">
        <f>IF(C1739=Options!$B$9,B1739*12,0)</f>
        <v/>
      </c>
      <c r="L1739" s="13">
        <f>IF(C1739=Options!$B$9,B1739*Options!$Z$7,0)</f>
        <v/>
      </c>
      <c r="M1739" s="13" t="n">
        <v>0</v>
      </c>
      <c r="N1739" s="13">
        <f>SUM(E1739:M1739)</f>
        <v/>
      </c>
    </row>
    <row r="1740">
      <c r="A1740" s="5">
        <f>IF(AND(C1740&gt;=Options!$B$9,C1740&lt;=Options!$B$10),"Phoenix","")</f>
        <v/>
      </c>
      <c r="B1740" s="5">
        <f>IF(A1740="","",18)</f>
        <v/>
      </c>
      <c r="C1740" s="17" t="n">
        <v>46571</v>
      </c>
      <c r="D1740" s="5">
        <f>IF(A1740="","",IF(C1740=DATE(2026,11,29),"培训；注册午餐；早餐参数",IF(C1740=DATE(2026,11,30),"培训；注册午餐",IF(C1740=DATE(2026,12,1),"培训；注册午餐；机构晚餐",IF(C1740=Options!$B$9,"抵达；"&amp;IF(C1740=DATE(2026,11,28),"机构晚餐","无统一供餐"),IF(C1740=Options!$B$10,"返程；"&amp;IF(C1740=DATE(2026,12,2),"机构午餐","无统一供餐"),"差旅状态；无统一日程"))))))</f>
        <v/>
      </c>
      <c r="E1740" s="13">
        <f>IF(C1740=Options!$B$9,Options!$C$18,0)</f>
        <v/>
      </c>
      <c r="F1740" s="13">
        <f>IF(AND(A1740&lt;&gt;"",C1740&lt;Options!$B$10),B1740*Options!$X$7,0)</f>
        <v/>
      </c>
      <c r="G1740" s="13">
        <f>F1740*12%</f>
        <v/>
      </c>
      <c r="H1740" s="13">
        <f>IF(A1740="",0,B1740*(86*IF(OR(C1740=Options!$B$9,C1740=Options!$B$10),75%,100%)-IF(C1740=DATE(2026,11,29),23+IF(Options!$B$8="是",22,0),0)-IF(C1740=DATE(2026,11,30),23,0)-IF(C1740=DATE(2026,12,1),59,0)-IF(C1740=DATE(2026,11,28),36,0)-IF(C1740=DATE(2026,12,2),23,0)))</f>
        <v/>
      </c>
      <c r="I1740" s="13">
        <f>IF(AND(C1740&gt;=DATE(2026,11,29),C1740&lt;=DATE(2026,12,1)),B1740*60,0)</f>
        <v/>
      </c>
      <c r="J1740" s="13">
        <f>IF(A1740="",0,B1740*(IF(C1740=DATE(2026,11,28),36,0)+IF(C1740=DATE(2026,12,1),36,0)+IF(C1740=DATE(2026,12,2),23,0)))</f>
        <v/>
      </c>
      <c r="K1740" s="13">
        <f>IF(C1740=Options!$B$9,B1740*12,0)</f>
        <v/>
      </c>
      <c r="L1740" s="13">
        <f>IF(C1740=Options!$B$9,B1740*Options!$Z$7,0)</f>
        <v/>
      </c>
      <c r="M1740" s="13" t="n">
        <v>0</v>
      </c>
      <c r="N1740" s="13">
        <f>SUM(E1740:M1740)</f>
        <v/>
      </c>
    </row>
    <row r="1741">
      <c r="A1741" s="5">
        <f>IF(AND(C1741&gt;=Options!$B$9,C1741&lt;=Options!$B$10),"Phoenix","")</f>
        <v/>
      </c>
      <c r="B1741" s="5">
        <f>IF(A1741="","",18)</f>
        <v/>
      </c>
      <c r="C1741" s="17" t="n">
        <v>46572</v>
      </c>
      <c r="D1741" s="5">
        <f>IF(A1741="","",IF(C1741=DATE(2026,11,29),"培训；注册午餐；早餐参数",IF(C1741=DATE(2026,11,30),"培训；注册午餐",IF(C1741=DATE(2026,12,1),"培训；注册午餐；机构晚餐",IF(C1741=Options!$B$9,"抵达；"&amp;IF(C1741=DATE(2026,11,28),"机构晚餐","无统一供餐"),IF(C1741=Options!$B$10,"返程；"&amp;IF(C1741=DATE(2026,12,2),"机构午餐","无统一供餐"),"差旅状态；无统一日程"))))))</f>
        <v/>
      </c>
      <c r="E1741" s="13">
        <f>IF(C1741=Options!$B$9,Options!$C$18,0)</f>
        <v/>
      </c>
      <c r="F1741" s="13">
        <f>IF(AND(A1741&lt;&gt;"",C1741&lt;Options!$B$10),B1741*Options!$X$7,0)</f>
        <v/>
      </c>
      <c r="G1741" s="13">
        <f>F1741*12%</f>
        <v/>
      </c>
      <c r="H1741" s="13">
        <f>IF(A1741="",0,B1741*(86*IF(OR(C1741=Options!$B$9,C1741=Options!$B$10),75%,100%)-IF(C1741=DATE(2026,11,29),23+IF(Options!$B$8="是",22,0),0)-IF(C1741=DATE(2026,11,30),23,0)-IF(C1741=DATE(2026,12,1),59,0)-IF(C1741=DATE(2026,11,28),36,0)-IF(C1741=DATE(2026,12,2),23,0)))</f>
        <v/>
      </c>
      <c r="I1741" s="13">
        <f>IF(AND(C1741&gt;=DATE(2026,11,29),C1741&lt;=DATE(2026,12,1)),B1741*60,0)</f>
        <v/>
      </c>
      <c r="J1741" s="13">
        <f>IF(A1741="",0,B1741*(IF(C1741=DATE(2026,11,28),36,0)+IF(C1741=DATE(2026,12,1),36,0)+IF(C1741=DATE(2026,12,2),23,0)))</f>
        <v/>
      </c>
      <c r="K1741" s="13">
        <f>IF(C1741=Options!$B$9,B1741*12,0)</f>
        <v/>
      </c>
      <c r="L1741" s="13">
        <f>IF(C1741=Options!$B$9,B1741*Options!$Z$7,0)</f>
        <v/>
      </c>
      <c r="M1741" s="13" t="n">
        <v>0</v>
      </c>
      <c r="N1741" s="13">
        <f>SUM(E1741:M1741)</f>
        <v/>
      </c>
    </row>
    <row r="1742">
      <c r="A1742" s="5">
        <f>IF(AND(C1742&gt;=Options!$B$9,C1742&lt;=Options!$B$10),"Phoenix","")</f>
        <v/>
      </c>
      <c r="B1742" s="5">
        <f>IF(A1742="","",18)</f>
        <v/>
      </c>
      <c r="C1742" s="17" t="n">
        <v>46573</v>
      </c>
      <c r="D1742" s="5">
        <f>IF(A1742="","",IF(C1742=DATE(2026,11,29),"培训；注册午餐；早餐参数",IF(C1742=DATE(2026,11,30),"培训；注册午餐",IF(C1742=DATE(2026,12,1),"培训；注册午餐；机构晚餐",IF(C1742=Options!$B$9,"抵达；"&amp;IF(C1742=DATE(2026,11,28),"机构晚餐","无统一供餐"),IF(C1742=Options!$B$10,"返程；"&amp;IF(C1742=DATE(2026,12,2),"机构午餐","无统一供餐"),"差旅状态；无统一日程"))))))</f>
        <v/>
      </c>
      <c r="E1742" s="13">
        <f>IF(C1742=Options!$B$9,Options!$C$18,0)</f>
        <v/>
      </c>
      <c r="F1742" s="13">
        <f>IF(AND(A1742&lt;&gt;"",C1742&lt;Options!$B$10),B1742*Options!$X$7,0)</f>
        <v/>
      </c>
      <c r="G1742" s="13">
        <f>F1742*12%</f>
        <v/>
      </c>
      <c r="H1742" s="13">
        <f>IF(A1742="",0,B1742*(86*IF(OR(C1742=Options!$B$9,C1742=Options!$B$10),75%,100%)-IF(C1742=DATE(2026,11,29),23+IF(Options!$B$8="是",22,0),0)-IF(C1742=DATE(2026,11,30),23,0)-IF(C1742=DATE(2026,12,1),59,0)-IF(C1742=DATE(2026,11,28),36,0)-IF(C1742=DATE(2026,12,2),23,0)))</f>
        <v/>
      </c>
      <c r="I1742" s="13">
        <f>IF(AND(C1742&gt;=DATE(2026,11,29),C1742&lt;=DATE(2026,12,1)),B1742*60,0)</f>
        <v/>
      </c>
      <c r="J1742" s="13">
        <f>IF(A1742="",0,B1742*(IF(C1742=DATE(2026,11,28),36,0)+IF(C1742=DATE(2026,12,1),36,0)+IF(C1742=DATE(2026,12,2),23,0)))</f>
        <v/>
      </c>
      <c r="K1742" s="13">
        <f>IF(C1742=Options!$B$9,B1742*12,0)</f>
        <v/>
      </c>
      <c r="L1742" s="13">
        <f>IF(C1742=Options!$B$9,B1742*Options!$Z$7,0)</f>
        <v/>
      </c>
      <c r="M1742" s="13" t="n">
        <v>0</v>
      </c>
      <c r="N1742" s="13">
        <f>SUM(E1742:M1742)</f>
        <v/>
      </c>
    </row>
    <row r="1743">
      <c r="A1743" s="5">
        <f>IF(AND(C1743&gt;=Options!$B$9,C1743&lt;=Options!$B$10),"Phoenix","")</f>
        <v/>
      </c>
      <c r="B1743" s="5">
        <f>IF(A1743="","",18)</f>
        <v/>
      </c>
      <c r="C1743" s="17" t="n">
        <v>46574</v>
      </c>
      <c r="D1743" s="5">
        <f>IF(A1743="","",IF(C1743=DATE(2026,11,29),"培训；注册午餐；早餐参数",IF(C1743=DATE(2026,11,30),"培训；注册午餐",IF(C1743=DATE(2026,12,1),"培训；注册午餐；机构晚餐",IF(C1743=Options!$B$9,"抵达；"&amp;IF(C1743=DATE(2026,11,28),"机构晚餐","无统一供餐"),IF(C1743=Options!$B$10,"返程；"&amp;IF(C1743=DATE(2026,12,2),"机构午餐","无统一供餐"),"差旅状态；无统一日程"))))))</f>
        <v/>
      </c>
      <c r="E1743" s="13">
        <f>IF(C1743=Options!$B$9,Options!$C$18,0)</f>
        <v/>
      </c>
      <c r="F1743" s="13">
        <f>IF(AND(A1743&lt;&gt;"",C1743&lt;Options!$B$10),B1743*Options!$X$7,0)</f>
        <v/>
      </c>
      <c r="G1743" s="13">
        <f>F1743*12%</f>
        <v/>
      </c>
      <c r="H1743" s="13">
        <f>IF(A1743="",0,B1743*(86*IF(OR(C1743=Options!$B$9,C1743=Options!$B$10),75%,100%)-IF(C1743=DATE(2026,11,29),23+IF(Options!$B$8="是",22,0),0)-IF(C1743=DATE(2026,11,30),23,0)-IF(C1743=DATE(2026,12,1),59,0)-IF(C1743=DATE(2026,11,28),36,0)-IF(C1743=DATE(2026,12,2),23,0)))</f>
        <v/>
      </c>
      <c r="I1743" s="13">
        <f>IF(AND(C1743&gt;=DATE(2026,11,29),C1743&lt;=DATE(2026,12,1)),B1743*60,0)</f>
        <v/>
      </c>
      <c r="J1743" s="13">
        <f>IF(A1743="",0,B1743*(IF(C1743=DATE(2026,11,28),36,0)+IF(C1743=DATE(2026,12,1),36,0)+IF(C1743=DATE(2026,12,2),23,0)))</f>
        <v/>
      </c>
      <c r="K1743" s="13">
        <f>IF(C1743=Options!$B$9,B1743*12,0)</f>
        <v/>
      </c>
      <c r="L1743" s="13">
        <f>IF(C1743=Options!$B$9,B1743*Options!$Z$7,0)</f>
        <v/>
      </c>
      <c r="M1743" s="13" t="n">
        <v>0</v>
      </c>
      <c r="N1743" s="13">
        <f>SUM(E1743:M1743)</f>
        <v/>
      </c>
    </row>
    <row r="1744">
      <c r="A1744" s="5">
        <f>IF(AND(C1744&gt;=Options!$B$9,C1744&lt;=Options!$B$10),"Phoenix","")</f>
        <v/>
      </c>
      <c r="B1744" s="5">
        <f>IF(A1744="","",18)</f>
        <v/>
      </c>
      <c r="C1744" s="17" t="n">
        <v>46575</v>
      </c>
      <c r="D1744" s="5">
        <f>IF(A1744="","",IF(C1744=DATE(2026,11,29),"培训；注册午餐；早餐参数",IF(C1744=DATE(2026,11,30),"培训；注册午餐",IF(C1744=DATE(2026,12,1),"培训；注册午餐；机构晚餐",IF(C1744=Options!$B$9,"抵达；"&amp;IF(C1744=DATE(2026,11,28),"机构晚餐","无统一供餐"),IF(C1744=Options!$B$10,"返程；"&amp;IF(C1744=DATE(2026,12,2),"机构午餐","无统一供餐"),"差旅状态；无统一日程"))))))</f>
        <v/>
      </c>
      <c r="E1744" s="13">
        <f>IF(C1744=Options!$B$9,Options!$C$18,0)</f>
        <v/>
      </c>
      <c r="F1744" s="13">
        <f>IF(AND(A1744&lt;&gt;"",C1744&lt;Options!$B$10),B1744*Options!$X$7,0)</f>
        <v/>
      </c>
      <c r="G1744" s="13">
        <f>F1744*12%</f>
        <v/>
      </c>
      <c r="H1744" s="13">
        <f>IF(A1744="",0,B1744*(86*IF(OR(C1744=Options!$B$9,C1744=Options!$B$10),75%,100%)-IF(C1744=DATE(2026,11,29),23+IF(Options!$B$8="是",22,0),0)-IF(C1744=DATE(2026,11,30),23,0)-IF(C1744=DATE(2026,12,1),59,0)-IF(C1744=DATE(2026,11,28),36,0)-IF(C1744=DATE(2026,12,2),23,0)))</f>
        <v/>
      </c>
      <c r="I1744" s="13">
        <f>IF(AND(C1744&gt;=DATE(2026,11,29),C1744&lt;=DATE(2026,12,1)),B1744*60,0)</f>
        <v/>
      </c>
      <c r="J1744" s="13">
        <f>IF(A1744="",0,B1744*(IF(C1744=DATE(2026,11,28),36,0)+IF(C1744=DATE(2026,12,1),36,0)+IF(C1744=DATE(2026,12,2),23,0)))</f>
        <v/>
      </c>
      <c r="K1744" s="13">
        <f>IF(C1744=Options!$B$9,B1744*12,0)</f>
        <v/>
      </c>
      <c r="L1744" s="13">
        <f>IF(C1744=Options!$B$9,B1744*Options!$Z$7,0)</f>
        <v/>
      </c>
      <c r="M1744" s="13" t="n">
        <v>0</v>
      </c>
      <c r="N1744" s="13">
        <f>SUM(E1744:M1744)</f>
        <v/>
      </c>
    </row>
    <row r="1745">
      <c r="A1745" s="5">
        <f>IF(AND(C1745&gt;=Options!$B$9,C1745&lt;=Options!$B$10),"Phoenix","")</f>
        <v/>
      </c>
      <c r="B1745" s="5">
        <f>IF(A1745="","",18)</f>
        <v/>
      </c>
      <c r="C1745" s="17" t="n">
        <v>46576</v>
      </c>
      <c r="D1745" s="5">
        <f>IF(A1745="","",IF(C1745=DATE(2026,11,29),"培训；注册午餐；早餐参数",IF(C1745=DATE(2026,11,30),"培训；注册午餐",IF(C1745=DATE(2026,12,1),"培训；注册午餐；机构晚餐",IF(C1745=Options!$B$9,"抵达；"&amp;IF(C1745=DATE(2026,11,28),"机构晚餐","无统一供餐"),IF(C1745=Options!$B$10,"返程；"&amp;IF(C1745=DATE(2026,12,2),"机构午餐","无统一供餐"),"差旅状态；无统一日程"))))))</f>
        <v/>
      </c>
      <c r="E1745" s="13">
        <f>IF(C1745=Options!$B$9,Options!$C$18,0)</f>
        <v/>
      </c>
      <c r="F1745" s="13">
        <f>IF(AND(A1745&lt;&gt;"",C1745&lt;Options!$B$10),B1745*Options!$X$7,0)</f>
        <v/>
      </c>
      <c r="G1745" s="13">
        <f>F1745*12%</f>
        <v/>
      </c>
      <c r="H1745" s="13">
        <f>IF(A1745="",0,B1745*(86*IF(OR(C1745=Options!$B$9,C1745=Options!$B$10),75%,100%)-IF(C1745=DATE(2026,11,29),23+IF(Options!$B$8="是",22,0),0)-IF(C1745=DATE(2026,11,30),23,0)-IF(C1745=DATE(2026,12,1),59,0)-IF(C1745=DATE(2026,11,28),36,0)-IF(C1745=DATE(2026,12,2),23,0)))</f>
        <v/>
      </c>
      <c r="I1745" s="13">
        <f>IF(AND(C1745&gt;=DATE(2026,11,29),C1745&lt;=DATE(2026,12,1)),B1745*60,0)</f>
        <v/>
      </c>
      <c r="J1745" s="13">
        <f>IF(A1745="",0,B1745*(IF(C1745=DATE(2026,11,28),36,0)+IF(C1745=DATE(2026,12,1),36,0)+IF(C1745=DATE(2026,12,2),23,0)))</f>
        <v/>
      </c>
      <c r="K1745" s="13">
        <f>IF(C1745=Options!$B$9,B1745*12,0)</f>
        <v/>
      </c>
      <c r="L1745" s="13">
        <f>IF(C1745=Options!$B$9,B1745*Options!$Z$7,0)</f>
        <v/>
      </c>
      <c r="M1745" s="13" t="n">
        <v>0</v>
      </c>
      <c r="N1745" s="13">
        <f>SUM(E1745:M1745)</f>
        <v/>
      </c>
    </row>
    <row r="1746">
      <c r="A1746" s="5">
        <f>IF(AND(C1746&gt;=Options!$B$9,C1746&lt;=Options!$B$10),"Phoenix","")</f>
        <v/>
      </c>
      <c r="B1746" s="5">
        <f>IF(A1746="","",18)</f>
        <v/>
      </c>
      <c r="C1746" s="17" t="n">
        <v>46577</v>
      </c>
      <c r="D1746" s="5">
        <f>IF(A1746="","",IF(C1746=DATE(2026,11,29),"培训；注册午餐；早餐参数",IF(C1746=DATE(2026,11,30),"培训；注册午餐",IF(C1746=DATE(2026,12,1),"培训；注册午餐；机构晚餐",IF(C1746=Options!$B$9,"抵达；"&amp;IF(C1746=DATE(2026,11,28),"机构晚餐","无统一供餐"),IF(C1746=Options!$B$10,"返程；"&amp;IF(C1746=DATE(2026,12,2),"机构午餐","无统一供餐"),"差旅状态；无统一日程"))))))</f>
        <v/>
      </c>
      <c r="E1746" s="13">
        <f>IF(C1746=Options!$B$9,Options!$C$18,0)</f>
        <v/>
      </c>
      <c r="F1746" s="13">
        <f>IF(AND(A1746&lt;&gt;"",C1746&lt;Options!$B$10),B1746*Options!$X$7,0)</f>
        <v/>
      </c>
      <c r="G1746" s="13">
        <f>F1746*12%</f>
        <v/>
      </c>
      <c r="H1746" s="13">
        <f>IF(A1746="",0,B1746*(86*IF(OR(C1746=Options!$B$9,C1746=Options!$B$10),75%,100%)-IF(C1746=DATE(2026,11,29),23+IF(Options!$B$8="是",22,0),0)-IF(C1746=DATE(2026,11,30),23,0)-IF(C1746=DATE(2026,12,1),59,0)-IF(C1746=DATE(2026,11,28),36,0)-IF(C1746=DATE(2026,12,2),23,0)))</f>
        <v/>
      </c>
      <c r="I1746" s="13">
        <f>IF(AND(C1746&gt;=DATE(2026,11,29),C1746&lt;=DATE(2026,12,1)),B1746*60,0)</f>
        <v/>
      </c>
      <c r="J1746" s="13">
        <f>IF(A1746="",0,B1746*(IF(C1746=DATE(2026,11,28),36,0)+IF(C1746=DATE(2026,12,1),36,0)+IF(C1746=DATE(2026,12,2),23,0)))</f>
        <v/>
      </c>
      <c r="K1746" s="13">
        <f>IF(C1746=Options!$B$9,B1746*12,0)</f>
        <v/>
      </c>
      <c r="L1746" s="13">
        <f>IF(C1746=Options!$B$9,B1746*Options!$Z$7,0)</f>
        <v/>
      </c>
      <c r="M1746" s="13" t="n">
        <v>0</v>
      </c>
      <c r="N1746" s="13">
        <f>SUM(E1746:M1746)</f>
        <v/>
      </c>
    </row>
    <row r="1747">
      <c r="A1747" s="5">
        <f>IF(AND(C1747&gt;=Options!$B$9,C1747&lt;=Options!$B$10),"Phoenix","")</f>
        <v/>
      </c>
      <c r="B1747" s="5">
        <f>IF(A1747="","",18)</f>
        <v/>
      </c>
      <c r="C1747" s="17" t="n">
        <v>46578</v>
      </c>
      <c r="D1747" s="5">
        <f>IF(A1747="","",IF(C1747=DATE(2026,11,29),"培训；注册午餐；早餐参数",IF(C1747=DATE(2026,11,30),"培训；注册午餐",IF(C1747=DATE(2026,12,1),"培训；注册午餐；机构晚餐",IF(C1747=Options!$B$9,"抵达；"&amp;IF(C1747=DATE(2026,11,28),"机构晚餐","无统一供餐"),IF(C1747=Options!$B$10,"返程；"&amp;IF(C1747=DATE(2026,12,2),"机构午餐","无统一供餐"),"差旅状态；无统一日程"))))))</f>
        <v/>
      </c>
      <c r="E1747" s="13">
        <f>IF(C1747=Options!$B$9,Options!$C$18,0)</f>
        <v/>
      </c>
      <c r="F1747" s="13">
        <f>IF(AND(A1747&lt;&gt;"",C1747&lt;Options!$B$10),B1747*Options!$X$7,0)</f>
        <v/>
      </c>
      <c r="G1747" s="13">
        <f>F1747*12%</f>
        <v/>
      </c>
      <c r="H1747" s="13">
        <f>IF(A1747="",0,B1747*(86*IF(OR(C1747=Options!$B$9,C1747=Options!$B$10),75%,100%)-IF(C1747=DATE(2026,11,29),23+IF(Options!$B$8="是",22,0),0)-IF(C1747=DATE(2026,11,30),23,0)-IF(C1747=DATE(2026,12,1),59,0)-IF(C1747=DATE(2026,11,28),36,0)-IF(C1747=DATE(2026,12,2),23,0)))</f>
        <v/>
      </c>
      <c r="I1747" s="13">
        <f>IF(AND(C1747&gt;=DATE(2026,11,29),C1747&lt;=DATE(2026,12,1)),B1747*60,0)</f>
        <v/>
      </c>
      <c r="J1747" s="13">
        <f>IF(A1747="",0,B1747*(IF(C1747=DATE(2026,11,28),36,0)+IF(C1747=DATE(2026,12,1),36,0)+IF(C1747=DATE(2026,12,2),23,0)))</f>
        <v/>
      </c>
      <c r="K1747" s="13">
        <f>IF(C1747=Options!$B$9,B1747*12,0)</f>
        <v/>
      </c>
      <c r="L1747" s="13">
        <f>IF(C1747=Options!$B$9,B1747*Options!$Z$7,0)</f>
        <v/>
      </c>
      <c r="M1747" s="13" t="n">
        <v>0</v>
      </c>
      <c r="N1747" s="13">
        <f>SUM(E1747:M1747)</f>
        <v/>
      </c>
    </row>
    <row r="1748">
      <c r="A1748" s="5">
        <f>IF(AND(C1748&gt;=Options!$B$9,C1748&lt;=Options!$B$10),"Phoenix","")</f>
        <v/>
      </c>
      <c r="B1748" s="5">
        <f>IF(A1748="","",18)</f>
        <v/>
      </c>
      <c r="C1748" s="17" t="n">
        <v>46579</v>
      </c>
      <c r="D1748" s="5">
        <f>IF(A1748="","",IF(C1748=DATE(2026,11,29),"培训；注册午餐；早餐参数",IF(C1748=DATE(2026,11,30),"培训；注册午餐",IF(C1748=DATE(2026,12,1),"培训；注册午餐；机构晚餐",IF(C1748=Options!$B$9,"抵达；"&amp;IF(C1748=DATE(2026,11,28),"机构晚餐","无统一供餐"),IF(C1748=Options!$B$10,"返程；"&amp;IF(C1748=DATE(2026,12,2),"机构午餐","无统一供餐"),"差旅状态；无统一日程"))))))</f>
        <v/>
      </c>
      <c r="E1748" s="13">
        <f>IF(C1748=Options!$B$9,Options!$C$18,0)</f>
        <v/>
      </c>
      <c r="F1748" s="13">
        <f>IF(AND(A1748&lt;&gt;"",C1748&lt;Options!$B$10),B1748*Options!$X$7,0)</f>
        <v/>
      </c>
      <c r="G1748" s="13">
        <f>F1748*12%</f>
        <v/>
      </c>
      <c r="H1748" s="13">
        <f>IF(A1748="",0,B1748*(86*IF(OR(C1748=Options!$B$9,C1748=Options!$B$10),75%,100%)-IF(C1748=DATE(2026,11,29),23+IF(Options!$B$8="是",22,0),0)-IF(C1748=DATE(2026,11,30),23,0)-IF(C1748=DATE(2026,12,1),59,0)-IF(C1748=DATE(2026,11,28),36,0)-IF(C1748=DATE(2026,12,2),23,0)))</f>
        <v/>
      </c>
      <c r="I1748" s="13">
        <f>IF(AND(C1748&gt;=DATE(2026,11,29),C1748&lt;=DATE(2026,12,1)),B1748*60,0)</f>
        <v/>
      </c>
      <c r="J1748" s="13">
        <f>IF(A1748="",0,B1748*(IF(C1748=DATE(2026,11,28),36,0)+IF(C1748=DATE(2026,12,1),36,0)+IF(C1748=DATE(2026,12,2),23,0)))</f>
        <v/>
      </c>
      <c r="K1748" s="13">
        <f>IF(C1748=Options!$B$9,B1748*12,0)</f>
        <v/>
      </c>
      <c r="L1748" s="13">
        <f>IF(C1748=Options!$B$9,B1748*Options!$Z$7,0)</f>
        <v/>
      </c>
      <c r="M1748" s="13" t="n">
        <v>0</v>
      </c>
      <c r="N1748" s="13">
        <f>SUM(E1748:M1748)</f>
        <v/>
      </c>
    </row>
    <row r="1749">
      <c r="A1749" s="5">
        <f>IF(AND(C1749&gt;=Options!$B$9,C1749&lt;=Options!$B$10),"Phoenix","")</f>
        <v/>
      </c>
      <c r="B1749" s="5">
        <f>IF(A1749="","",18)</f>
        <v/>
      </c>
      <c r="C1749" s="17" t="n">
        <v>46580</v>
      </c>
      <c r="D1749" s="5">
        <f>IF(A1749="","",IF(C1749=DATE(2026,11,29),"培训；注册午餐；早餐参数",IF(C1749=DATE(2026,11,30),"培训；注册午餐",IF(C1749=DATE(2026,12,1),"培训；注册午餐；机构晚餐",IF(C1749=Options!$B$9,"抵达；"&amp;IF(C1749=DATE(2026,11,28),"机构晚餐","无统一供餐"),IF(C1749=Options!$B$10,"返程；"&amp;IF(C1749=DATE(2026,12,2),"机构午餐","无统一供餐"),"差旅状态；无统一日程"))))))</f>
        <v/>
      </c>
      <c r="E1749" s="13">
        <f>IF(C1749=Options!$B$9,Options!$C$18,0)</f>
        <v/>
      </c>
      <c r="F1749" s="13">
        <f>IF(AND(A1749&lt;&gt;"",C1749&lt;Options!$B$10),B1749*Options!$X$7,0)</f>
        <v/>
      </c>
      <c r="G1749" s="13">
        <f>F1749*12%</f>
        <v/>
      </c>
      <c r="H1749" s="13">
        <f>IF(A1749="",0,B1749*(86*IF(OR(C1749=Options!$B$9,C1749=Options!$B$10),75%,100%)-IF(C1749=DATE(2026,11,29),23+IF(Options!$B$8="是",22,0),0)-IF(C1749=DATE(2026,11,30),23,0)-IF(C1749=DATE(2026,12,1),59,0)-IF(C1749=DATE(2026,11,28),36,0)-IF(C1749=DATE(2026,12,2),23,0)))</f>
        <v/>
      </c>
      <c r="I1749" s="13">
        <f>IF(AND(C1749&gt;=DATE(2026,11,29),C1749&lt;=DATE(2026,12,1)),B1749*60,0)</f>
        <v/>
      </c>
      <c r="J1749" s="13">
        <f>IF(A1749="",0,B1749*(IF(C1749=DATE(2026,11,28),36,0)+IF(C1749=DATE(2026,12,1),36,0)+IF(C1749=DATE(2026,12,2),23,0)))</f>
        <v/>
      </c>
      <c r="K1749" s="13">
        <f>IF(C1749=Options!$B$9,B1749*12,0)</f>
        <v/>
      </c>
      <c r="L1749" s="13">
        <f>IF(C1749=Options!$B$9,B1749*Options!$Z$7,0)</f>
        <v/>
      </c>
      <c r="M1749" s="13" t="n">
        <v>0</v>
      </c>
      <c r="N1749" s="13">
        <f>SUM(E1749:M1749)</f>
        <v/>
      </c>
    </row>
    <row r="1750">
      <c r="A1750" s="5">
        <f>IF(AND(C1750&gt;=Options!$B$9,C1750&lt;=Options!$B$10),"Phoenix","")</f>
        <v/>
      </c>
      <c r="B1750" s="5">
        <f>IF(A1750="","",18)</f>
        <v/>
      </c>
      <c r="C1750" s="17" t="n">
        <v>46581</v>
      </c>
      <c r="D1750" s="5">
        <f>IF(A1750="","",IF(C1750=DATE(2026,11,29),"培训；注册午餐；早餐参数",IF(C1750=DATE(2026,11,30),"培训；注册午餐",IF(C1750=DATE(2026,12,1),"培训；注册午餐；机构晚餐",IF(C1750=Options!$B$9,"抵达；"&amp;IF(C1750=DATE(2026,11,28),"机构晚餐","无统一供餐"),IF(C1750=Options!$B$10,"返程；"&amp;IF(C1750=DATE(2026,12,2),"机构午餐","无统一供餐"),"差旅状态；无统一日程"))))))</f>
        <v/>
      </c>
      <c r="E1750" s="13">
        <f>IF(C1750=Options!$B$9,Options!$C$18,0)</f>
        <v/>
      </c>
      <c r="F1750" s="13">
        <f>IF(AND(A1750&lt;&gt;"",C1750&lt;Options!$B$10),B1750*Options!$X$7,0)</f>
        <v/>
      </c>
      <c r="G1750" s="13">
        <f>F1750*12%</f>
        <v/>
      </c>
      <c r="H1750" s="13">
        <f>IF(A1750="",0,B1750*(86*IF(OR(C1750=Options!$B$9,C1750=Options!$B$10),75%,100%)-IF(C1750=DATE(2026,11,29),23+IF(Options!$B$8="是",22,0),0)-IF(C1750=DATE(2026,11,30),23,0)-IF(C1750=DATE(2026,12,1),59,0)-IF(C1750=DATE(2026,11,28),36,0)-IF(C1750=DATE(2026,12,2),23,0)))</f>
        <v/>
      </c>
      <c r="I1750" s="13">
        <f>IF(AND(C1750&gt;=DATE(2026,11,29),C1750&lt;=DATE(2026,12,1)),B1750*60,0)</f>
        <v/>
      </c>
      <c r="J1750" s="13">
        <f>IF(A1750="",0,B1750*(IF(C1750=DATE(2026,11,28),36,0)+IF(C1750=DATE(2026,12,1),36,0)+IF(C1750=DATE(2026,12,2),23,0)))</f>
        <v/>
      </c>
      <c r="K1750" s="13">
        <f>IF(C1750=Options!$B$9,B1750*12,0)</f>
        <v/>
      </c>
      <c r="L1750" s="13">
        <f>IF(C1750=Options!$B$9,B1750*Options!$Z$7,0)</f>
        <v/>
      </c>
      <c r="M1750" s="13" t="n">
        <v>0</v>
      </c>
      <c r="N1750" s="13">
        <f>SUM(E1750:M1750)</f>
        <v/>
      </c>
    </row>
    <row r="1751">
      <c r="A1751" s="5">
        <f>IF(AND(C1751&gt;=Options!$B$9,C1751&lt;=Options!$B$10),"Phoenix","")</f>
        <v/>
      </c>
      <c r="B1751" s="5">
        <f>IF(A1751="","",18)</f>
        <v/>
      </c>
      <c r="C1751" s="17" t="n">
        <v>46582</v>
      </c>
      <c r="D1751" s="5">
        <f>IF(A1751="","",IF(C1751=DATE(2026,11,29),"培训；注册午餐；早餐参数",IF(C1751=DATE(2026,11,30),"培训；注册午餐",IF(C1751=DATE(2026,12,1),"培训；注册午餐；机构晚餐",IF(C1751=Options!$B$9,"抵达；"&amp;IF(C1751=DATE(2026,11,28),"机构晚餐","无统一供餐"),IF(C1751=Options!$B$10,"返程；"&amp;IF(C1751=DATE(2026,12,2),"机构午餐","无统一供餐"),"差旅状态；无统一日程"))))))</f>
        <v/>
      </c>
      <c r="E1751" s="13">
        <f>IF(C1751=Options!$B$9,Options!$C$18,0)</f>
        <v/>
      </c>
      <c r="F1751" s="13">
        <f>IF(AND(A1751&lt;&gt;"",C1751&lt;Options!$B$10),B1751*Options!$X$7,0)</f>
        <v/>
      </c>
      <c r="G1751" s="13">
        <f>F1751*12%</f>
        <v/>
      </c>
      <c r="H1751" s="13">
        <f>IF(A1751="",0,B1751*(86*IF(OR(C1751=Options!$B$9,C1751=Options!$B$10),75%,100%)-IF(C1751=DATE(2026,11,29),23+IF(Options!$B$8="是",22,0),0)-IF(C1751=DATE(2026,11,30),23,0)-IF(C1751=DATE(2026,12,1),59,0)-IF(C1751=DATE(2026,11,28),36,0)-IF(C1751=DATE(2026,12,2),23,0)))</f>
        <v/>
      </c>
      <c r="I1751" s="13">
        <f>IF(AND(C1751&gt;=DATE(2026,11,29),C1751&lt;=DATE(2026,12,1)),B1751*60,0)</f>
        <v/>
      </c>
      <c r="J1751" s="13">
        <f>IF(A1751="",0,B1751*(IF(C1751=DATE(2026,11,28),36,0)+IF(C1751=DATE(2026,12,1),36,0)+IF(C1751=DATE(2026,12,2),23,0)))</f>
        <v/>
      </c>
      <c r="K1751" s="13">
        <f>IF(C1751=Options!$B$9,B1751*12,0)</f>
        <v/>
      </c>
      <c r="L1751" s="13">
        <f>IF(C1751=Options!$B$9,B1751*Options!$Z$7,0)</f>
        <v/>
      </c>
      <c r="M1751" s="13" t="n">
        <v>0</v>
      </c>
      <c r="N1751" s="13">
        <f>SUM(E1751:M1751)</f>
        <v/>
      </c>
    </row>
    <row r="1752">
      <c r="A1752" s="5">
        <f>IF(AND(C1752&gt;=Options!$B$9,C1752&lt;=Options!$B$10),"Phoenix","")</f>
        <v/>
      </c>
      <c r="B1752" s="5">
        <f>IF(A1752="","",18)</f>
        <v/>
      </c>
      <c r="C1752" s="17" t="n">
        <v>46583</v>
      </c>
      <c r="D1752" s="5">
        <f>IF(A1752="","",IF(C1752=DATE(2026,11,29),"培训；注册午餐；早餐参数",IF(C1752=DATE(2026,11,30),"培训；注册午餐",IF(C1752=DATE(2026,12,1),"培训；注册午餐；机构晚餐",IF(C1752=Options!$B$9,"抵达；"&amp;IF(C1752=DATE(2026,11,28),"机构晚餐","无统一供餐"),IF(C1752=Options!$B$10,"返程；"&amp;IF(C1752=DATE(2026,12,2),"机构午餐","无统一供餐"),"差旅状态；无统一日程"))))))</f>
        <v/>
      </c>
      <c r="E1752" s="13">
        <f>IF(C1752=Options!$B$9,Options!$C$18,0)</f>
        <v/>
      </c>
      <c r="F1752" s="13">
        <f>IF(AND(A1752&lt;&gt;"",C1752&lt;Options!$B$10),B1752*Options!$X$7,0)</f>
        <v/>
      </c>
      <c r="G1752" s="13">
        <f>F1752*12%</f>
        <v/>
      </c>
      <c r="H1752" s="13">
        <f>IF(A1752="",0,B1752*(86*IF(OR(C1752=Options!$B$9,C1752=Options!$B$10),75%,100%)-IF(C1752=DATE(2026,11,29),23+IF(Options!$B$8="是",22,0),0)-IF(C1752=DATE(2026,11,30),23,0)-IF(C1752=DATE(2026,12,1),59,0)-IF(C1752=DATE(2026,11,28),36,0)-IF(C1752=DATE(2026,12,2),23,0)))</f>
        <v/>
      </c>
      <c r="I1752" s="13">
        <f>IF(AND(C1752&gt;=DATE(2026,11,29),C1752&lt;=DATE(2026,12,1)),B1752*60,0)</f>
        <v/>
      </c>
      <c r="J1752" s="13">
        <f>IF(A1752="",0,B1752*(IF(C1752=DATE(2026,11,28),36,0)+IF(C1752=DATE(2026,12,1),36,0)+IF(C1752=DATE(2026,12,2),23,0)))</f>
        <v/>
      </c>
      <c r="K1752" s="13">
        <f>IF(C1752=Options!$B$9,B1752*12,0)</f>
        <v/>
      </c>
      <c r="L1752" s="13">
        <f>IF(C1752=Options!$B$9,B1752*Options!$Z$7,0)</f>
        <v/>
      </c>
      <c r="M1752" s="13" t="n">
        <v>0</v>
      </c>
      <c r="N1752" s="13">
        <f>SUM(E1752:M1752)</f>
        <v/>
      </c>
    </row>
    <row r="1753">
      <c r="A1753" s="5">
        <f>IF(AND(C1753&gt;=Options!$B$9,C1753&lt;=Options!$B$10),"Phoenix","")</f>
        <v/>
      </c>
      <c r="B1753" s="5">
        <f>IF(A1753="","",18)</f>
        <v/>
      </c>
      <c r="C1753" s="17" t="n">
        <v>46584</v>
      </c>
      <c r="D1753" s="5">
        <f>IF(A1753="","",IF(C1753=DATE(2026,11,29),"培训；注册午餐；早餐参数",IF(C1753=DATE(2026,11,30),"培训；注册午餐",IF(C1753=DATE(2026,12,1),"培训；注册午餐；机构晚餐",IF(C1753=Options!$B$9,"抵达；"&amp;IF(C1753=DATE(2026,11,28),"机构晚餐","无统一供餐"),IF(C1753=Options!$B$10,"返程；"&amp;IF(C1753=DATE(2026,12,2),"机构午餐","无统一供餐"),"差旅状态；无统一日程"))))))</f>
        <v/>
      </c>
      <c r="E1753" s="13">
        <f>IF(C1753=Options!$B$9,Options!$C$18,0)</f>
        <v/>
      </c>
      <c r="F1753" s="13">
        <f>IF(AND(A1753&lt;&gt;"",C1753&lt;Options!$B$10),B1753*Options!$X$7,0)</f>
        <v/>
      </c>
      <c r="G1753" s="13">
        <f>F1753*12%</f>
        <v/>
      </c>
      <c r="H1753" s="13">
        <f>IF(A1753="",0,B1753*(86*IF(OR(C1753=Options!$B$9,C1753=Options!$B$10),75%,100%)-IF(C1753=DATE(2026,11,29),23+IF(Options!$B$8="是",22,0),0)-IF(C1753=DATE(2026,11,30),23,0)-IF(C1753=DATE(2026,12,1),59,0)-IF(C1753=DATE(2026,11,28),36,0)-IF(C1753=DATE(2026,12,2),23,0)))</f>
        <v/>
      </c>
      <c r="I1753" s="13">
        <f>IF(AND(C1753&gt;=DATE(2026,11,29),C1753&lt;=DATE(2026,12,1)),B1753*60,0)</f>
        <v/>
      </c>
      <c r="J1753" s="13">
        <f>IF(A1753="",0,B1753*(IF(C1753=DATE(2026,11,28),36,0)+IF(C1753=DATE(2026,12,1),36,0)+IF(C1753=DATE(2026,12,2),23,0)))</f>
        <v/>
      </c>
      <c r="K1753" s="13">
        <f>IF(C1753=Options!$B$9,B1753*12,0)</f>
        <v/>
      </c>
      <c r="L1753" s="13">
        <f>IF(C1753=Options!$B$9,B1753*Options!$Z$7,0)</f>
        <v/>
      </c>
      <c r="M1753" s="13" t="n">
        <v>0</v>
      </c>
      <c r="N1753" s="13">
        <f>SUM(E1753:M1753)</f>
        <v/>
      </c>
    </row>
    <row r="1754">
      <c r="A1754" s="5">
        <f>IF(AND(C1754&gt;=Options!$B$9,C1754&lt;=Options!$B$10),"Phoenix","")</f>
        <v/>
      </c>
      <c r="B1754" s="5">
        <f>IF(A1754="","",18)</f>
        <v/>
      </c>
      <c r="C1754" s="17" t="n">
        <v>46585</v>
      </c>
      <c r="D1754" s="5">
        <f>IF(A1754="","",IF(C1754=DATE(2026,11,29),"培训；注册午餐；早餐参数",IF(C1754=DATE(2026,11,30),"培训；注册午餐",IF(C1754=DATE(2026,12,1),"培训；注册午餐；机构晚餐",IF(C1754=Options!$B$9,"抵达；"&amp;IF(C1754=DATE(2026,11,28),"机构晚餐","无统一供餐"),IF(C1754=Options!$B$10,"返程；"&amp;IF(C1754=DATE(2026,12,2),"机构午餐","无统一供餐"),"差旅状态；无统一日程"))))))</f>
        <v/>
      </c>
      <c r="E1754" s="13">
        <f>IF(C1754=Options!$B$9,Options!$C$18,0)</f>
        <v/>
      </c>
      <c r="F1754" s="13">
        <f>IF(AND(A1754&lt;&gt;"",C1754&lt;Options!$B$10),B1754*Options!$X$7,0)</f>
        <v/>
      </c>
      <c r="G1754" s="13">
        <f>F1754*12%</f>
        <v/>
      </c>
      <c r="H1754" s="13">
        <f>IF(A1754="",0,B1754*(86*IF(OR(C1754=Options!$B$9,C1754=Options!$B$10),75%,100%)-IF(C1754=DATE(2026,11,29),23+IF(Options!$B$8="是",22,0),0)-IF(C1754=DATE(2026,11,30),23,0)-IF(C1754=DATE(2026,12,1),59,0)-IF(C1754=DATE(2026,11,28),36,0)-IF(C1754=DATE(2026,12,2),23,0)))</f>
        <v/>
      </c>
      <c r="I1754" s="13">
        <f>IF(AND(C1754&gt;=DATE(2026,11,29),C1754&lt;=DATE(2026,12,1)),B1754*60,0)</f>
        <v/>
      </c>
      <c r="J1754" s="13">
        <f>IF(A1754="",0,B1754*(IF(C1754=DATE(2026,11,28),36,0)+IF(C1754=DATE(2026,12,1),36,0)+IF(C1754=DATE(2026,12,2),23,0)))</f>
        <v/>
      </c>
      <c r="K1754" s="13">
        <f>IF(C1754=Options!$B$9,B1754*12,0)</f>
        <v/>
      </c>
      <c r="L1754" s="13">
        <f>IF(C1754=Options!$B$9,B1754*Options!$Z$7,0)</f>
        <v/>
      </c>
      <c r="M1754" s="13" t="n">
        <v>0</v>
      </c>
      <c r="N1754" s="13">
        <f>SUM(E1754:M1754)</f>
        <v/>
      </c>
    </row>
    <row r="1755">
      <c r="A1755" s="5">
        <f>IF(AND(C1755&gt;=Options!$B$9,C1755&lt;=Options!$B$10),"Phoenix","")</f>
        <v/>
      </c>
      <c r="B1755" s="5">
        <f>IF(A1755="","",18)</f>
        <v/>
      </c>
      <c r="C1755" s="17" t="n">
        <v>46586</v>
      </c>
      <c r="D1755" s="5">
        <f>IF(A1755="","",IF(C1755=DATE(2026,11,29),"培训；注册午餐；早餐参数",IF(C1755=DATE(2026,11,30),"培训；注册午餐",IF(C1755=DATE(2026,12,1),"培训；注册午餐；机构晚餐",IF(C1755=Options!$B$9,"抵达；"&amp;IF(C1755=DATE(2026,11,28),"机构晚餐","无统一供餐"),IF(C1755=Options!$B$10,"返程；"&amp;IF(C1755=DATE(2026,12,2),"机构午餐","无统一供餐"),"差旅状态；无统一日程"))))))</f>
        <v/>
      </c>
      <c r="E1755" s="13">
        <f>IF(C1755=Options!$B$9,Options!$C$18,0)</f>
        <v/>
      </c>
      <c r="F1755" s="13">
        <f>IF(AND(A1755&lt;&gt;"",C1755&lt;Options!$B$10),B1755*Options!$X$7,0)</f>
        <v/>
      </c>
      <c r="G1755" s="13">
        <f>F1755*12%</f>
        <v/>
      </c>
      <c r="H1755" s="13">
        <f>IF(A1755="",0,B1755*(86*IF(OR(C1755=Options!$B$9,C1755=Options!$B$10),75%,100%)-IF(C1755=DATE(2026,11,29),23+IF(Options!$B$8="是",22,0),0)-IF(C1755=DATE(2026,11,30),23,0)-IF(C1755=DATE(2026,12,1),59,0)-IF(C1755=DATE(2026,11,28),36,0)-IF(C1755=DATE(2026,12,2),23,0)))</f>
        <v/>
      </c>
      <c r="I1755" s="13">
        <f>IF(AND(C1755&gt;=DATE(2026,11,29),C1755&lt;=DATE(2026,12,1)),B1755*60,0)</f>
        <v/>
      </c>
      <c r="J1755" s="13">
        <f>IF(A1755="",0,B1755*(IF(C1755=DATE(2026,11,28),36,0)+IF(C1755=DATE(2026,12,1),36,0)+IF(C1755=DATE(2026,12,2),23,0)))</f>
        <v/>
      </c>
      <c r="K1755" s="13">
        <f>IF(C1755=Options!$B$9,B1755*12,0)</f>
        <v/>
      </c>
      <c r="L1755" s="13">
        <f>IF(C1755=Options!$B$9,B1755*Options!$Z$7,0)</f>
        <v/>
      </c>
      <c r="M1755" s="13" t="n">
        <v>0</v>
      </c>
      <c r="N1755" s="13">
        <f>SUM(E1755:M1755)</f>
        <v/>
      </c>
    </row>
    <row r="1756">
      <c r="A1756" s="5">
        <f>IF(AND(C1756&gt;=Options!$B$9,C1756&lt;=Options!$B$10),"Phoenix","")</f>
        <v/>
      </c>
      <c r="B1756" s="5">
        <f>IF(A1756="","",18)</f>
        <v/>
      </c>
      <c r="C1756" s="17" t="n">
        <v>46587</v>
      </c>
      <c r="D1756" s="5">
        <f>IF(A1756="","",IF(C1756=DATE(2026,11,29),"培训；注册午餐；早餐参数",IF(C1756=DATE(2026,11,30),"培训；注册午餐",IF(C1756=DATE(2026,12,1),"培训；注册午餐；机构晚餐",IF(C1756=Options!$B$9,"抵达；"&amp;IF(C1756=DATE(2026,11,28),"机构晚餐","无统一供餐"),IF(C1756=Options!$B$10,"返程；"&amp;IF(C1756=DATE(2026,12,2),"机构午餐","无统一供餐"),"差旅状态；无统一日程"))))))</f>
        <v/>
      </c>
      <c r="E1756" s="13">
        <f>IF(C1756=Options!$B$9,Options!$C$18,0)</f>
        <v/>
      </c>
      <c r="F1756" s="13">
        <f>IF(AND(A1756&lt;&gt;"",C1756&lt;Options!$B$10),B1756*Options!$X$7,0)</f>
        <v/>
      </c>
      <c r="G1756" s="13">
        <f>F1756*12%</f>
        <v/>
      </c>
      <c r="H1756" s="13">
        <f>IF(A1756="",0,B1756*(86*IF(OR(C1756=Options!$B$9,C1756=Options!$B$10),75%,100%)-IF(C1756=DATE(2026,11,29),23+IF(Options!$B$8="是",22,0),0)-IF(C1756=DATE(2026,11,30),23,0)-IF(C1756=DATE(2026,12,1),59,0)-IF(C1756=DATE(2026,11,28),36,0)-IF(C1756=DATE(2026,12,2),23,0)))</f>
        <v/>
      </c>
      <c r="I1756" s="13">
        <f>IF(AND(C1756&gt;=DATE(2026,11,29),C1756&lt;=DATE(2026,12,1)),B1756*60,0)</f>
        <v/>
      </c>
      <c r="J1756" s="13">
        <f>IF(A1756="",0,B1756*(IF(C1756=DATE(2026,11,28),36,0)+IF(C1756=DATE(2026,12,1),36,0)+IF(C1756=DATE(2026,12,2),23,0)))</f>
        <v/>
      </c>
      <c r="K1756" s="13">
        <f>IF(C1756=Options!$B$9,B1756*12,0)</f>
        <v/>
      </c>
      <c r="L1756" s="13">
        <f>IF(C1756=Options!$B$9,B1756*Options!$Z$7,0)</f>
        <v/>
      </c>
      <c r="M1756" s="13" t="n">
        <v>0</v>
      </c>
      <c r="N1756" s="13">
        <f>SUM(E1756:M1756)</f>
        <v/>
      </c>
    </row>
    <row r="1757">
      <c r="A1757" s="5">
        <f>IF(AND(C1757&gt;=Options!$B$9,C1757&lt;=Options!$B$10),"Phoenix","")</f>
        <v/>
      </c>
      <c r="B1757" s="5">
        <f>IF(A1757="","",18)</f>
        <v/>
      </c>
      <c r="C1757" s="17" t="n">
        <v>46588</v>
      </c>
      <c r="D1757" s="5">
        <f>IF(A1757="","",IF(C1757=DATE(2026,11,29),"培训；注册午餐；早餐参数",IF(C1757=DATE(2026,11,30),"培训；注册午餐",IF(C1757=DATE(2026,12,1),"培训；注册午餐；机构晚餐",IF(C1757=Options!$B$9,"抵达；"&amp;IF(C1757=DATE(2026,11,28),"机构晚餐","无统一供餐"),IF(C1757=Options!$B$10,"返程；"&amp;IF(C1757=DATE(2026,12,2),"机构午餐","无统一供餐"),"差旅状态；无统一日程"))))))</f>
        <v/>
      </c>
      <c r="E1757" s="13">
        <f>IF(C1757=Options!$B$9,Options!$C$18,0)</f>
        <v/>
      </c>
      <c r="F1757" s="13">
        <f>IF(AND(A1757&lt;&gt;"",C1757&lt;Options!$B$10),B1757*Options!$X$7,0)</f>
        <v/>
      </c>
      <c r="G1757" s="13">
        <f>F1757*12%</f>
        <v/>
      </c>
      <c r="H1757" s="13">
        <f>IF(A1757="",0,B1757*(86*IF(OR(C1757=Options!$B$9,C1757=Options!$B$10),75%,100%)-IF(C1757=DATE(2026,11,29),23+IF(Options!$B$8="是",22,0),0)-IF(C1757=DATE(2026,11,30),23,0)-IF(C1757=DATE(2026,12,1),59,0)-IF(C1757=DATE(2026,11,28),36,0)-IF(C1757=DATE(2026,12,2),23,0)))</f>
        <v/>
      </c>
      <c r="I1757" s="13">
        <f>IF(AND(C1757&gt;=DATE(2026,11,29),C1757&lt;=DATE(2026,12,1)),B1757*60,0)</f>
        <v/>
      </c>
      <c r="J1757" s="13">
        <f>IF(A1757="",0,B1757*(IF(C1757=DATE(2026,11,28),36,0)+IF(C1757=DATE(2026,12,1),36,0)+IF(C1757=DATE(2026,12,2),23,0)))</f>
        <v/>
      </c>
      <c r="K1757" s="13">
        <f>IF(C1757=Options!$B$9,B1757*12,0)</f>
        <v/>
      </c>
      <c r="L1757" s="13">
        <f>IF(C1757=Options!$B$9,B1757*Options!$Z$7,0)</f>
        <v/>
      </c>
      <c r="M1757" s="13" t="n">
        <v>0</v>
      </c>
      <c r="N1757" s="13">
        <f>SUM(E1757:M1757)</f>
        <v/>
      </c>
    </row>
    <row r="1758">
      <c r="A1758" s="5">
        <f>IF(AND(C1758&gt;=Options!$B$9,C1758&lt;=Options!$B$10),"Phoenix","")</f>
        <v/>
      </c>
      <c r="B1758" s="5">
        <f>IF(A1758="","",18)</f>
        <v/>
      </c>
      <c r="C1758" s="17" t="n">
        <v>46589</v>
      </c>
      <c r="D1758" s="5">
        <f>IF(A1758="","",IF(C1758=DATE(2026,11,29),"培训；注册午餐；早餐参数",IF(C1758=DATE(2026,11,30),"培训；注册午餐",IF(C1758=DATE(2026,12,1),"培训；注册午餐；机构晚餐",IF(C1758=Options!$B$9,"抵达；"&amp;IF(C1758=DATE(2026,11,28),"机构晚餐","无统一供餐"),IF(C1758=Options!$B$10,"返程；"&amp;IF(C1758=DATE(2026,12,2),"机构午餐","无统一供餐"),"差旅状态；无统一日程"))))))</f>
        <v/>
      </c>
      <c r="E1758" s="13">
        <f>IF(C1758=Options!$B$9,Options!$C$18,0)</f>
        <v/>
      </c>
      <c r="F1758" s="13">
        <f>IF(AND(A1758&lt;&gt;"",C1758&lt;Options!$B$10),B1758*Options!$X$7,0)</f>
        <v/>
      </c>
      <c r="G1758" s="13">
        <f>F1758*12%</f>
        <v/>
      </c>
      <c r="H1758" s="13">
        <f>IF(A1758="",0,B1758*(86*IF(OR(C1758=Options!$B$9,C1758=Options!$B$10),75%,100%)-IF(C1758=DATE(2026,11,29),23+IF(Options!$B$8="是",22,0),0)-IF(C1758=DATE(2026,11,30),23,0)-IF(C1758=DATE(2026,12,1),59,0)-IF(C1758=DATE(2026,11,28),36,0)-IF(C1758=DATE(2026,12,2),23,0)))</f>
        <v/>
      </c>
      <c r="I1758" s="13">
        <f>IF(AND(C1758&gt;=DATE(2026,11,29),C1758&lt;=DATE(2026,12,1)),B1758*60,0)</f>
        <v/>
      </c>
      <c r="J1758" s="13">
        <f>IF(A1758="",0,B1758*(IF(C1758=DATE(2026,11,28),36,0)+IF(C1758=DATE(2026,12,1),36,0)+IF(C1758=DATE(2026,12,2),23,0)))</f>
        <v/>
      </c>
      <c r="K1758" s="13">
        <f>IF(C1758=Options!$B$9,B1758*12,0)</f>
        <v/>
      </c>
      <c r="L1758" s="13">
        <f>IF(C1758=Options!$B$9,B1758*Options!$Z$7,0)</f>
        <v/>
      </c>
      <c r="M1758" s="13" t="n">
        <v>0</v>
      </c>
      <c r="N1758" s="13">
        <f>SUM(E1758:M1758)</f>
        <v/>
      </c>
    </row>
    <row r="1759">
      <c r="A1759" s="5">
        <f>IF(AND(C1759&gt;=Options!$B$9,C1759&lt;=Options!$B$10),"Phoenix","")</f>
        <v/>
      </c>
      <c r="B1759" s="5">
        <f>IF(A1759="","",18)</f>
        <v/>
      </c>
      <c r="C1759" s="17" t="n">
        <v>46590</v>
      </c>
      <c r="D1759" s="5">
        <f>IF(A1759="","",IF(C1759=DATE(2026,11,29),"培训；注册午餐；早餐参数",IF(C1759=DATE(2026,11,30),"培训；注册午餐",IF(C1759=DATE(2026,12,1),"培训；注册午餐；机构晚餐",IF(C1759=Options!$B$9,"抵达；"&amp;IF(C1759=DATE(2026,11,28),"机构晚餐","无统一供餐"),IF(C1759=Options!$B$10,"返程；"&amp;IF(C1759=DATE(2026,12,2),"机构午餐","无统一供餐"),"差旅状态；无统一日程"))))))</f>
        <v/>
      </c>
      <c r="E1759" s="13">
        <f>IF(C1759=Options!$B$9,Options!$C$18,0)</f>
        <v/>
      </c>
      <c r="F1759" s="13">
        <f>IF(AND(A1759&lt;&gt;"",C1759&lt;Options!$B$10),B1759*Options!$X$7,0)</f>
        <v/>
      </c>
      <c r="G1759" s="13">
        <f>F1759*12%</f>
        <v/>
      </c>
      <c r="H1759" s="13">
        <f>IF(A1759="",0,B1759*(86*IF(OR(C1759=Options!$B$9,C1759=Options!$B$10),75%,100%)-IF(C1759=DATE(2026,11,29),23+IF(Options!$B$8="是",22,0),0)-IF(C1759=DATE(2026,11,30),23,0)-IF(C1759=DATE(2026,12,1),59,0)-IF(C1759=DATE(2026,11,28),36,0)-IF(C1759=DATE(2026,12,2),23,0)))</f>
        <v/>
      </c>
      <c r="I1759" s="13">
        <f>IF(AND(C1759&gt;=DATE(2026,11,29),C1759&lt;=DATE(2026,12,1)),B1759*60,0)</f>
        <v/>
      </c>
      <c r="J1759" s="13">
        <f>IF(A1759="",0,B1759*(IF(C1759=DATE(2026,11,28),36,0)+IF(C1759=DATE(2026,12,1),36,0)+IF(C1759=DATE(2026,12,2),23,0)))</f>
        <v/>
      </c>
      <c r="K1759" s="13">
        <f>IF(C1759=Options!$B$9,B1759*12,0)</f>
        <v/>
      </c>
      <c r="L1759" s="13">
        <f>IF(C1759=Options!$B$9,B1759*Options!$Z$7,0)</f>
        <v/>
      </c>
      <c r="M1759" s="13" t="n">
        <v>0</v>
      </c>
      <c r="N1759" s="13">
        <f>SUM(E1759:M1759)</f>
        <v/>
      </c>
    </row>
    <row r="1760">
      <c r="A1760" s="5">
        <f>IF(AND(C1760&gt;=Options!$B$9,C1760&lt;=Options!$B$10),"Phoenix","")</f>
        <v/>
      </c>
      <c r="B1760" s="5">
        <f>IF(A1760="","",18)</f>
        <v/>
      </c>
      <c r="C1760" s="17" t="n">
        <v>46591</v>
      </c>
      <c r="D1760" s="5">
        <f>IF(A1760="","",IF(C1760=DATE(2026,11,29),"培训；注册午餐；早餐参数",IF(C1760=DATE(2026,11,30),"培训；注册午餐",IF(C1760=DATE(2026,12,1),"培训；注册午餐；机构晚餐",IF(C1760=Options!$B$9,"抵达；"&amp;IF(C1760=DATE(2026,11,28),"机构晚餐","无统一供餐"),IF(C1760=Options!$B$10,"返程；"&amp;IF(C1760=DATE(2026,12,2),"机构午餐","无统一供餐"),"差旅状态；无统一日程"))))))</f>
        <v/>
      </c>
      <c r="E1760" s="13">
        <f>IF(C1760=Options!$B$9,Options!$C$18,0)</f>
        <v/>
      </c>
      <c r="F1760" s="13">
        <f>IF(AND(A1760&lt;&gt;"",C1760&lt;Options!$B$10),B1760*Options!$X$7,0)</f>
        <v/>
      </c>
      <c r="G1760" s="13">
        <f>F1760*12%</f>
        <v/>
      </c>
      <c r="H1760" s="13">
        <f>IF(A1760="",0,B1760*(86*IF(OR(C1760=Options!$B$9,C1760=Options!$B$10),75%,100%)-IF(C1760=DATE(2026,11,29),23+IF(Options!$B$8="是",22,0),0)-IF(C1760=DATE(2026,11,30),23,0)-IF(C1760=DATE(2026,12,1),59,0)-IF(C1760=DATE(2026,11,28),36,0)-IF(C1760=DATE(2026,12,2),23,0)))</f>
        <v/>
      </c>
      <c r="I1760" s="13">
        <f>IF(AND(C1760&gt;=DATE(2026,11,29),C1760&lt;=DATE(2026,12,1)),B1760*60,0)</f>
        <v/>
      </c>
      <c r="J1760" s="13">
        <f>IF(A1760="",0,B1760*(IF(C1760=DATE(2026,11,28),36,0)+IF(C1760=DATE(2026,12,1),36,0)+IF(C1760=DATE(2026,12,2),23,0)))</f>
        <v/>
      </c>
      <c r="K1760" s="13">
        <f>IF(C1760=Options!$B$9,B1760*12,0)</f>
        <v/>
      </c>
      <c r="L1760" s="13">
        <f>IF(C1760=Options!$B$9,B1760*Options!$Z$7,0)</f>
        <v/>
      </c>
      <c r="M1760" s="13" t="n">
        <v>0</v>
      </c>
      <c r="N1760" s="13">
        <f>SUM(E1760:M1760)</f>
        <v/>
      </c>
    </row>
    <row r="1761">
      <c r="A1761" s="5">
        <f>IF(AND(C1761&gt;=Options!$B$9,C1761&lt;=Options!$B$10),"Phoenix","")</f>
        <v/>
      </c>
      <c r="B1761" s="5">
        <f>IF(A1761="","",18)</f>
        <v/>
      </c>
      <c r="C1761" s="17" t="n">
        <v>46592</v>
      </c>
      <c r="D1761" s="5">
        <f>IF(A1761="","",IF(C1761=DATE(2026,11,29),"培训；注册午餐；早餐参数",IF(C1761=DATE(2026,11,30),"培训；注册午餐",IF(C1761=DATE(2026,12,1),"培训；注册午餐；机构晚餐",IF(C1761=Options!$B$9,"抵达；"&amp;IF(C1761=DATE(2026,11,28),"机构晚餐","无统一供餐"),IF(C1761=Options!$B$10,"返程；"&amp;IF(C1761=DATE(2026,12,2),"机构午餐","无统一供餐"),"差旅状态；无统一日程"))))))</f>
        <v/>
      </c>
      <c r="E1761" s="13">
        <f>IF(C1761=Options!$B$9,Options!$C$18,0)</f>
        <v/>
      </c>
      <c r="F1761" s="13">
        <f>IF(AND(A1761&lt;&gt;"",C1761&lt;Options!$B$10),B1761*Options!$X$7,0)</f>
        <v/>
      </c>
      <c r="G1761" s="13">
        <f>F1761*12%</f>
        <v/>
      </c>
      <c r="H1761" s="13">
        <f>IF(A1761="",0,B1761*(86*IF(OR(C1761=Options!$B$9,C1761=Options!$B$10),75%,100%)-IF(C1761=DATE(2026,11,29),23+IF(Options!$B$8="是",22,0),0)-IF(C1761=DATE(2026,11,30),23,0)-IF(C1761=DATE(2026,12,1),59,0)-IF(C1761=DATE(2026,11,28),36,0)-IF(C1761=DATE(2026,12,2),23,0)))</f>
        <v/>
      </c>
      <c r="I1761" s="13">
        <f>IF(AND(C1761&gt;=DATE(2026,11,29),C1761&lt;=DATE(2026,12,1)),B1761*60,0)</f>
        <v/>
      </c>
      <c r="J1761" s="13">
        <f>IF(A1761="",0,B1761*(IF(C1761=DATE(2026,11,28),36,0)+IF(C1761=DATE(2026,12,1),36,0)+IF(C1761=DATE(2026,12,2),23,0)))</f>
        <v/>
      </c>
      <c r="K1761" s="13">
        <f>IF(C1761=Options!$B$9,B1761*12,0)</f>
        <v/>
      </c>
      <c r="L1761" s="13">
        <f>IF(C1761=Options!$B$9,B1761*Options!$Z$7,0)</f>
        <v/>
      </c>
      <c r="M1761" s="13" t="n">
        <v>0</v>
      </c>
      <c r="N1761" s="13">
        <f>SUM(E1761:M1761)</f>
        <v/>
      </c>
    </row>
    <row r="1762">
      <c r="A1762" s="5">
        <f>IF(AND(C1762&gt;=Options!$B$9,C1762&lt;=Options!$B$10),"Phoenix","")</f>
        <v/>
      </c>
      <c r="B1762" s="5">
        <f>IF(A1762="","",18)</f>
        <v/>
      </c>
      <c r="C1762" s="17" t="n">
        <v>46593</v>
      </c>
      <c r="D1762" s="5">
        <f>IF(A1762="","",IF(C1762=DATE(2026,11,29),"培训；注册午餐；早餐参数",IF(C1762=DATE(2026,11,30),"培训；注册午餐",IF(C1762=DATE(2026,12,1),"培训；注册午餐；机构晚餐",IF(C1762=Options!$B$9,"抵达；"&amp;IF(C1762=DATE(2026,11,28),"机构晚餐","无统一供餐"),IF(C1762=Options!$B$10,"返程；"&amp;IF(C1762=DATE(2026,12,2),"机构午餐","无统一供餐"),"差旅状态；无统一日程"))))))</f>
        <v/>
      </c>
      <c r="E1762" s="13">
        <f>IF(C1762=Options!$B$9,Options!$C$18,0)</f>
        <v/>
      </c>
      <c r="F1762" s="13">
        <f>IF(AND(A1762&lt;&gt;"",C1762&lt;Options!$B$10),B1762*Options!$X$7,0)</f>
        <v/>
      </c>
      <c r="G1762" s="13">
        <f>F1762*12%</f>
        <v/>
      </c>
      <c r="H1762" s="13">
        <f>IF(A1762="",0,B1762*(86*IF(OR(C1762=Options!$B$9,C1762=Options!$B$10),75%,100%)-IF(C1762=DATE(2026,11,29),23+IF(Options!$B$8="是",22,0),0)-IF(C1762=DATE(2026,11,30),23,0)-IF(C1762=DATE(2026,12,1),59,0)-IF(C1762=DATE(2026,11,28),36,0)-IF(C1762=DATE(2026,12,2),23,0)))</f>
        <v/>
      </c>
      <c r="I1762" s="13">
        <f>IF(AND(C1762&gt;=DATE(2026,11,29),C1762&lt;=DATE(2026,12,1)),B1762*60,0)</f>
        <v/>
      </c>
      <c r="J1762" s="13">
        <f>IF(A1762="",0,B1762*(IF(C1762=DATE(2026,11,28),36,0)+IF(C1762=DATE(2026,12,1),36,0)+IF(C1762=DATE(2026,12,2),23,0)))</f>
        <v/>
      </c>
      <c r="K1762" s="13">
        <f>IF(C1762=Options!$B$9,B1762*12,0)</f>
        <v/>
      </c>
      <c r="L1762" s="13">
        <f>IF(C1762=Options!$B$9,B1762*Options!$Z$7,0)</f>
        <v/>
      </c>
      <c r="M1762" s="13" t="n">
        <v>0</v>
      </c>
      <c r="N1762" s="13">
        <f>SUM(E1762:M1762)</f>
        <v/>
      </c>
    </row>
    <row r="1763">
      <c r="A1763" s="5">
        <f>IF(AND(C1763&gt;=Options!$B$9,C1763&lt;=Options!$B$10),"Phoenix","")</f>
        <v/>
      </c>
      <c r="B1763" s="5">
        <f>IF(A1763="","",18)</f>
        <v/>
      </c>
      <c r="C1763" s="17" t="n">
        <v>46594</v>
      </c>
      <c r="D1763" s="5">
        <f>IF(A1763="","",IF(C1763=DATE(2026,11,29),"培训；注册午餐；早餐参数",IF(C1763=DATE(2026,11,30),"培训；注册午餐",IF(C1763=DATE(2026,12,1),"培训；注册午餐；机构晚餐",IF(C1763=Options!$B$9,"抵达；"&amp;IF(C1763=DATE(2026,11,28),"机构晚餐","无统一供餐"),IF(C1763=Options!$B$10,"返程；"&amp;IF(C1763=DATE(2026,12,2),"机构午餐","无统一供餐"),"差旅状态；无统一日程"))))))</f>
        <v/>
      </c>
      <c r="E1763" s="13">
        <f>IF(C1763=Options!$B$9,Options!$C$18,0)</f>
        <v/>
      </c>
      <c r="F1763" s="13">
        <f>IF(AND(A1763&lt;&gt;"",C1763&lt;Options!$B$10),B1763*Options!$X$7,0)</f>
        <v/>
      </c>
      <c r="G1763" s="13">
        <f>F1763*12%</f>
        <v/>
      </c>
      <c r="H1763" s="13">
        <f>IF(A1763="",0,B1763*(86*IF(OR(C1763=Options!$B$9,C1763=Options!$B$10),75%,100%)-IF(C1763=DATE(2026,11,29),23+IF(Options!$B$8="是",22,0),0)-IF(C1763=DATE(2026,11,30),23,0)-IF(C1763=DATE(2026,12,1),59,0)-IF(C1763=DATE(2026,11,28),36,0)-IF(C1763=DATE(2026,12,2),23,0)))</f>
        <v/>
      </c>
      <c r="I1763" s="13">
        <f>IF(AND(C1763&gt;=DATE(2026,11,29),C1763&lt;=DATE(2026,12,1)),B1763*60,0)</f>
        <v/>
      </c>
      <c r="J1763" s="13">
        <f>IF(A1763="",0,B1763*(IF(C1763=DATE(2026,11,28),36,0)+IF(C1763=DATE(2026,12,1),36,0)+IF(C1763=DATE(2026,12,2),23,0)))</f>
        <v/>
      </c>
      <c r="K1763" s="13">
        <f>IF(C1763=Options!$B$9,B1763*12,0)</f>
        <v/>
      </c>
      <c r="L1763" s="13">
        <f>IF(C1763=Options!$B$9,B1763*Options!$Z$7,0)</f>
        <v/>
      </c>
      <c r="M1763" s="13" t="n">
        <v>0</v>
      </c>
      <c r="N1763" s="13">
        <f>SUM(E1763:M1763)</f>
        <v/>
      </c>
    </row>
    <row r="1764">
      <c r="A1764" s="5">
        <f>IF(AND(C1764&gt;=Options!$B$9,C1764&lt;=Options!$B$10),"Phoenix","")</f>
        <v/>
      </c>
      <c r="B1764" s="5">
        <f>IF(A1764="","",18)</f>
        <v/>
      </c>
      <c r="C1764" s="17" t="n">
        <v>46595</v>
      </c>
      <c r="D1764" s="5">
        <f>IF(A1764="","",IF(C1764=DATE(2026,11,29),"培训；注册午餐；早餐参数",IF(C1764=DATE(2026,11,30),"培训；注册午餐",IF(C1764=DATE(2026,12,1),"培训；注册午餐；机构晚餐",IF(C1764=Options!$B$9,"抵达；"&amp;IF(C1764=DATE(2026,11,28),"机构晚餐","无统一供餐"),IF(C1764=Options!$B$10,"返程；"&amp;IF(C1764=DATE(2026,12,2),"机构午餐","无统一供餐"),"差旅状态；无统一日程"))))))</f>
        <v/>
      </c>
      <c r="E1764" s="13">
        <f>IF(C1764=Options!$B$9,Options!$C$18,0)</f>
        <v/>
      </c>
      <c r="F1764" s="13">
        <f>IF(AND(A1764&lt;&gt;"",C1764&lt;Options!$B$10),B1764*Options!$X$7,0)</f>
        <v/>
      </c>
      <c r="G1764" s="13">
        <f>F1764*12%</f>
        <v/>
      </c>
      <c r="H1764" s="13">
        <f>IF(A1764="",0,B1764*(86*IF(OR(C1764=Options!$B$9,C1764=Options!$B$10),75%,100%)-IF(C1764=DATE(2026,11,29),23+IF(Options!$B$8="是",22,0),0)-IF(C1764=DATE(2026,11,30),23,0)-IF(C1764=DATE(2026,12,1),59,0)-IF(C1764=DATE(2026,11,28),36,0)-IF(C1764=DATE(2026,12,2),23,0)))</f>
        <v/>
      </c>
      <c r="I1764" s="13">
        <f>IF(AND(C1764&gt;=DATE(2026,11,29),C1764&lt;=DATE(2026,12,1)),B1764*60,0)</f>
        <v/>
      </c>
      <c r="J1764" s="13">
        <f>IF(A1764="",0,B1764*(IF(C1764=DATE(2026,11,28),36,0)+IF(C1764=DATE(2026,12,1),36,0)+IF(C1764=DATE(2026,12,2),23,0)))</f>
        <v/>
      </c>
      <c r="K1764" s="13">
        <f>IF(C1764=Options!$B$9,B1764*12,0)</f>
        <v/>
      </c>
      <c r="L1764" s="13">
        <f>IF(C1764=Options!$B$9,B1764*Options!$Z$7,0)</f>
        <v/>
      </c>
      <c r="M1764" s="13" t="n">
        <v>0</v>
      </c>
      <c r="N1764" s="13">
        <f>SUM(E1764:M1764)</f>
        <v/>
      </c>
    </row>
    <row r="1765">
      <c r="A1765" s="5">
        <f>IF(AND(C1765&gt;=Options!$B$9,C1765&lt;=Options!$B$10),"Phoenix","")</f>
        <v/>
      </c>
      <c r="B1765" s="5">
        <f>IF(A1765="","",18)</f>
        <v/>
      </c>
      <c r="C1765" s="17" t="n">
        <v>46596</v>
      </c>
      <c r="D1765" s="5">
        <f>IF(A1765="","",IF(C1765=DATE(2026,11,29),"培训；注册午餐；早餐参数",IF(C1765=DATE(2026,11,30),"培训；注册午餐",IF(C1765=DATE(2026,12,1),"培训；注册午餐；机构晚餐",IF(C1765=Options!$B$9,"抵达；"&amp;IF(C1765=DATE(2026,11,28),"机构晚餐","无统一供餐"),IF(C1765=Options!$B$10,"返程；"&amp;IF(C1765=DATE(2026,12,2),"机构午餐","无统一供餐"),"差旅状态；无统一日程"))))))</f>
        <v/>
      </c>
      <c r="E1765" s="13">
        <f>IF(C1765=Options!$B$9,Options!$C$18,0)</f>
        <v/>
      </c>
      <c r="F1765" s="13">
        <f>IF(AND(A1765&lt;&gt;"",C1765&lt;Options!$B$10),B1765*Options!$X$7,0)</f>
        <v/>
      </c>
      <c r="G1765" s="13">
        <f>F1765*12%</f>
        <v/>
      </c>
      <c r="H1765" s="13">
        <f>IF(A1765="",0,B1765*(86*IF(OR(C1765=Options!$B$9,C1765=Options!$B$10),75%,100%)-IF(C1765=DATE(2026,11,29),23+IF(Options!$B$8="是",22,0),0)-IF(C1765=DATE(2026,11,30),23,0)-IF(C1765=DATE(2026,12,1),59,0)-IF(C1765=DATE(2026,11,28),36,0)-IF(C1765=DATE(2026,12,2),23,0)))</f>
        <v/>
      </c>
      <c r="I1765" s="13">
        <f>IF(AND(C1765&gt;=DATE(2026,11,29),C1765&lt;=DATE(2026,12,1)),B1765*60,0)</f>
        <v/>
      </c>
      <c r="J1765" s="13">
        <f>IF(A1765="",0,B1765*(IF(C1765=DATE(2026,11,28),36,0)+IF(C1765=DATE(2026,12,1),36,0)+IF(C1765=DATE(2026,12,2),23,0)))</f>
        <v/>
      </c>
      <c r="K1765" s="13">
        <f>IF(C1765=Options!$B$9,B1765*12,0)</f>
        <v/>
      </c>
      <c r="L1765" s="13">
        <f>IF(C1765=Options!$B$9,B1765*Options!$Z$7,0)</f>
        <v/>
      </c>
      <c r="M1765" s="13" t="n">
        <v>0</v>
      </c>
      <c r="N1765" s="13">
        <f>SUM(E1765:M1765)</f>
        <v/>
      </c>
    </row>
    <row r="1766">
      <c r="A1766" s="5">
        <f>IF(AND(C1766&gt;=Options!$B$9,C1766&lt;=Options!$B$10),"Phoenix","")</f>
        <v/>
      </c>
      <c r="B1766" s="5">
        <f>IF(A1766="","",18)</f>
        <v/>
      </c>
      <c r="C1766" s="17" t="n">
        <v>46597</v>
      </c>
      <c r="D1766" s="5">
        <f>IF(A1766="","",IF(C1766=DATE(2026,11,29),"培训；注册午餐；早餐参数",IF(C1766=DATE(2026,11,30),"培训；注册午餐",IF(C1766=DATE(2026,12,1),"培训；注册午餐；机构晚餐",IF(C1766=Options!$B$9,"抵达；"&amp;IF(C1766=DATE(2026,11,28),"机构晚餐","无统一供餐"),IF(C1766=Options!$B$10,"返程；"&amp;IF(C1766=DATE(2026,12,2),"机构午餐","无统一供餐"),"差旅状态；无统一日程"))))))</f>
        <v/>
      </c>
      <c r="E1766" s="13">
        <f>IF(C1766=Options!$B$9,Options!$C$18,0)</f>
        <v/>
      </c>
      <c r="F1766" s="13">
        <f>IF(AND(A1766&lt;&gt;"",C1766&lt;Options!$B$10),B1766*Options!$X$7,0)</f>
        <v/>
      </c>
      <c r="G1766" s="13">
        <f>F1766*12%</f>
        <v/>
      </c>
      <c r="H1766" s="13">
        <f>IF(A1766="",0,B1766*(86*IF(OR(C1766=Options!$B$9,C1766=Options!$B$10),75%,100%)-IF(C1766=DATE(2026,11,29),23+IF(Options!$B$8="是",22,0),0)-IF(C1766=DATE(2026,11,30),23,0)-IF(C1766=DATE(2026,12,1),59,0)-IF(C1766=DATE(2026,11,28),36,0)-IF(C1766=DATE(2026,12,2),23,0)))</f>
        <v/>
      </c>
      <c r="I1766" s="13">
        <f>IF(AND(C1766&gt;=DATE(2026,11,29),C1766&lt;=DATE(2026,12,1)),B1766*60,0)</f>
        <v/>
      </c>
      <c r="J1766" s="13">
        <f>IF(A1766="",0,B1766*(IF(C1766=DATE(2026,11,28),36,0)+IF(C1766=DATE(2026,12,1),36,0)+IF(C1766=DATE(2026,12,2),23,0)))</f>
        <v/>
      </c>
      <c r="K1766" s="13">
        <f>IF(C1766=Options!$B$9,B1766*12,0)</f>
        <v/>
      </c>
      <c r="L1766" s="13">
        <f>IF(C1766=Options!$B$9,B1766*Options!$Z$7,0)</f>
        <v/>
      </c>
      <c r="M1766" s="13" t="n">
        <v>0</v>
      </c>
      <c r="N1766" s="13">
        <f>SUM(E1766:M1766)</f>
        <v/>
      </c>
    </row>
    <row r="1767">
      <c r="A1767" s="5">
        <f>IF(AND(C1767&gt;=Options!$B$9,C1767&lt;=Options!$B$10),"Phoenix","")</f>
        <v/>
      </c>
      <c r="B1767" s="5">
        <f>IF(A1767="","",18)</f>
        <v/>
      </c>
      <c r="C1767" s="17" t="n">
        <v>46598</v>
      </c>
      <c r="D1767" s="5">
        <f>IF(A1767="","",IF(C1767=DATE(2026,11,29),"培训；注册午餐；早餐参数",IF(C1767=DATE(2026,11,30),"培训；注册午餐",IF(C1767=DATE(2026,12,1),"培训；注册午餐；机构晚餐",IF(C1767=Options!$B$9,"抵达；"&amp;IF(C1767=DATE(2026,11,28),"机构晚餐","无统一供餐"),IF(C1767=Options!$B$10,"返程；"&amp;IF(C1767=DATE(2026,12,2),"机构午餐","无统一供餐"),"差旅状态；无统一日程"))))))</f>
        <v/>
      </c>
      <c r="E1767" s="13">
        <f>IF(C1767=Options!$B$9,Options!$C$18,0)</f>
        <v/>
      </c>
      <c r="F1767" s="13">
        <f>IF(AND(A1767&lt;&gt;"",C1767&lt;Options!$B$10),B1767*Options!$X$7,0)</f>
        <v/>
      </c>
      <c r="G1767" s="13">
        <f>F1767*12%</f>
        <v/>
      </c>
      <c r="H1767" s="13">
        <f>IF(A1767="",0,B1767*(86*IF(OR(C1767=Options!$B$9,C1767=Options!$B$10),75%,100%)-IF(C1767=DATE(2026,11,29),23+IF(Options!$B$8="是",22,0),0)-IF(C1767=DATE(2026,11,30),23,0)-IF(C1767=DATE(2026,12,1),59,0)-IF(C1767=DATE(2026,11,28),36,0)-IF(C1767=DATE(2026,12,2),23,0)))</f>
        <v/>
      </c>
      <c r="I1767" s="13">
        <f>IF(AND(C1767&gt;=DATE(2026,11,29),C1767&lt;=DATE(2026,12,1)),B1767*60,0)</f>
        <v/>
      </c>
      <c r="J1767" s="13">
        <f>IF(A1767="",0,B1767*(IF(C1767=DATE(2026,11,28),36,0)+IF(C1767=DATE(2026,12,1),36,0)+IF(C1767=DATE(2026,12,2),23,0)))</f>
        <v/>
      </c>
      <c r="K1767" s="13">
        <f>IF(C1767=Options!$B$9,B1767*12,0)</f>
        <v/>
      </c>
      <c r="L1767" s="13">
        <f>IF(C1767=Options!$B$9,B1767*Options!$Z$7,0)</f>
        <v/>
      </c>
      <c r="M1767" s="13" t="n">
        <v>0</v>
      </c>
      <c r="N1767" s="13">
        <f>SUM(E1767:M1767)</f>
        <v/>
      </c>
    </row>
    <row r="1768">
      <c r="A1768" s="5">
        <f>IF(AND(C1768&gt;=Options!$B$9,C1768&lt;=Options!$B$10),"Phoenix","")</f>
        <v/>
      </c>
      <c r="B1768" s="5">
        <f>IF(A1768="","",18)</f>
        <v/>
      </c>
      <c r="C1768" s="17" t="n">
        <v>46599</v>
      </c>
      <c r="D1768" s="5">
        <f>IF(A1768="","",IF(C1768=DATE(2026,11,29),"培训；注册午餐；早餐参数",IF(C1768=DATE(2026,11,30),"培训；注册午餐",IF(C1768=DATE(2026,12,1),"培训；注册午餐；机构晚餐",IF(C1768=Options!$B$9,"抵达；"&amp;IF(C1768=DATE(2026,11,28),"机构晚餐","无统一供餐"),IF(C1768=Options!$B$10,"返程；"&amp;IF(C1768=DATE(2026,12,2),"机构午餐","无统一供餐"),"差旅状态；无统一日程"))))))</f>
        <v/>
      </c>
      <c r="E1768" s="13">
        <f>IF(C1768=Options!$B$9,Options!$C$18,0)</f>
        <v/>
      </c>
      <c r="F1768" s="13">
        <f>IF(AND(A1768&lt;&gt;"",C1768&lt;Options!$B$10),B1768*Options!$X$7,0)</f>
        <v/>
      </c>
      <c r="G1768" s="13">
        <f>F1768*12%</f>
        <v/>
      </c>
      <c r="H1768" s="13">
        <f>IF(A1768="",0,B1768*(86*IF(OR(C1768=Options!$B$9,C1768=Options!$B$10),75%,100%)-IF(C1768=DATE(2026,11,29),23+IF(Options!$B$8="是",22,0),0)-IF(C1768=DATE(2026,11,30),23,0)-IF(C1768=DATE(2026,12,1),59,0)-IF(C1768=DATE(2026,11,28),36,0)-IF(C1768=DATE(2026,12,2),23,0)))</f>
        <v/>
      </c>
      <c r="I1768" s="13">
        <f>IF(AND(C1768&gt;=DATE(2026,11,29),C1768&lt;=DATE(2026,12,1)),B1768*60,0)</f>
        <v/>
      </c>
      <c r="J1768" s="13">
        <f>IF(A1768="",0,B1768*(IF(C1768=DATE(2026,11,28),36,0)+IF(C1768=DATE(2026,12,1),36,0)+IF(C1768=DATE(2026,12,2),23,0)))</f>
        <v/>
      </c>
      <c r="K1768" s="13">
        <f>IF(C1768=Options!$B$9,B1768*12,0)</f>
        <v/>
      </c>
      <c r="L1768" s="13">
        <f>IF(C1768=Options!$B$9,B1768*Options!$Z$7,0)</f>
        <v/>
      </c>
      <c r="M1768" s="13" t="n">
        <v>0</v>
      </c>
      <c r="N1768" s="13">
        <f>SUM(E1768:M1768)</f>
        <v/>
      </c>
    </row>
    <row r="1769">
      <c r="A1769" s="5">
        <f>IF(AND(C1769&gt;=Options!$B$9,C1769&lt;=Options!$B$10),"Phoenix","")</f>
        <v/>
      </c>
      <c r="B1769" s="5">
        <f>IF(A1769="","",18)</f>
        <v/>
      </c>
      <c r="C1769" s="17" t="n">
        <v>46600</v>
      </c>
      <c r="D1769" s="5">
        <f>IF(A1769="","",IF(C1769=DATE(2026,11,29),"培训；注册午餐；早餐参数",IF(C1769=DATE(2026,11,30),"培训；注册午餐",IF(C1769=DATE(2026,12,1),"培训；注册午餐；机构晚餐",IF(C1769=Options!$B$9,"抵达；"&amp;IF(C1769=DATE(2026,11,28),"机构晚餐","无统一供餐"),IF(C1769=Options!$B$10,"返程；"&amp;IF(C1769=DATE(2026,12,2),"机构午餐","无统一供餐"),"差旅状态；无统一日程"))))))</f>
        <v/>
      </c>
      <c r="E1769" s="13">
        <f>IF(C1769=Options!$B$9,Options!$C$18,0)</f>
        <v/>
      </c>
      <c r="F1769" s="13">
        <f>IF(AND(A1769&lt;&gt;"",C1769&lt;Options!$B$10),B1769*Options!$X$7,0)</f>
        <v/>
      </c>
      <c r="G1769" s="13">
        <f>F1769*12%</f>
        <v/>
      </c>
      <c r="H1769" s="13">
        <f>IF(A1769="",0,B1769*(86*IF(OR(C1769=Options!$B$9,C1769=Options!$B$10),75%,100%)-IF(C1769=DATE(2026,11,29),23+IF(Options!$B$8="是",22,0),0)-IF(C1769=DATE(2026,11,30),23,0)-IF(C1769=DATE(2026,12,1),59,0)-IF(C1769=DATE(2026,11,28),36,0)-IF(C1769=DATE(2026,12,2),23,0)))</f>
        <v/>
      </c>
      <c r="I1769" s="13">
        <f>IF(AND(C1769&gt;=DATE(2026,11,29),C1769&lt;=DATE(2026,12,1)),B1769*60,0)</f>
        <v/>
      </c>
      <c r="J1769" s="13">
        <f>IF(A1769="",0,B1769*(IF(C1769=DATE(2026,11,28),36,0)+IF(C1769=DATE(2026,12,1),36,0)+IF(C1769=DATE(2026,12,2),23,0)))</f>
        <v/>
      </c>
      <c r="K1769" s="13">
        <f>IF(C1769=Options!$B$9,B1769*12,0)</f>
        <v/>
      </c>
      <c r="L1769" s="13">
        <f>IF(C1769=Options!$B$9,B1769*Options!$Z$7,0)</f>
        <v/>
      </c>
      <c r="M1769" s="13" t="n">
        <v>0</v>
      </c>
      <c r="N1769" s="13">
        <f>SUM(E1769:M1769)</f>
        <v/>
      </c>
    </row>
    <row r="1770">
      <c r="A1770" s="5">
        <f>IF(AND(C1770&gt;=Options!$B$9,C1770&lt;=Options!$B$10),"Phoenix","")</f>
        <v/>
      </c>
      <c r="B1770" s="5">
        <f>IF(A1770="","",18)</f>
        <v/>
      </c>
      <c r="C1770" s="17" t="n">
        <v>46601</v>
      </c>
      <c r="D1770" s="5">
        <f>IF(A1770="","",IF(C1770=DATE(2026,11,29),"培训；注册午餐；早餐参数",IF(C1770=DATE(2026,11,30),"培训；注册午餐",IF(C1770=DATE(2026,12,1),"培训；注册午餐；机构晚餐",IF(C1770=Options!$B$9,"抵达；"&amp;IF(C1770=DATE(2026,11,28),"机构晚餐","无统一供餐"),IF(C1770=Options!$B$10,"返程；"&amp;IF(C1770=DATE(2026,12,2),"机构午餐","无统一供餐"),"差旅状态；无统一日程"))))))</f>
        <v/>
      </c>
      <c r="E1770" s="13">
        <f>IF(C1770=Options!$B$9,Options!$C$18,0)</f>
        <v/>
      </c>
      <c r="F1770" s="13">
        <f>IF(AND(A1770&lt;&gt;"",C1770&lt;Options!$B$10),B1770*Options!$X$7,0)</f>
        <v/>
      </c>
      <c r="G1770" s="13">
        <f>F1770*12%</f>
        <v/>
      </c>
      <c r="H1770" s="13">
        <f>IF(A1770="",0,B1770*(86*IF(OR(C1770=Options!$B$9,C1770=Options!$B$10),75%,100%)-IF(C1770=DATE(2026,11,29),23+IF(Options!$B$8="是",22,0),0)-IF(C1770=DATE(2026,11,30),23,0)-IF(C1770=DATE(2026,12,1),59,0)-IF(C1770=DATE(2026,11,28),36,0)-IF(C1770=DATE(2026,12,2),23,0)))</f>
        <v/>
      </c>
      <c r="I1770" s="13">
        <f>IF(AND(C1770&gt;=DATE(2026,11,29),C1770&lt;=DATE(2026,12,1)),B1770*60,0)</f>
        <v/>
      </c>
      <c r="J1770" s="13">
        <f>IF(A1770="",0,B1770*(IF(C1770=DATE(2026,11,28),36,0)+IF(C1770=DATE(2026,12,1),36,0)+IF(C1770=DATE(2026,12,2),23,0)))</f>
        <v/>
      </c>
      <c r="K1770" s="13">
        <f>IF(C1770=Options!$B$9,B1770*12,0)</f>
        <v/>
      </c>
      <c r="L1770" s="13">
        <f>IF(C1770=Options!$B$9,B1770*Options!$Z$7,0)</f>
        <v/>
      </c>
      <c r="M1770" s="13" t="n">
        <v>0</v>
      </c>
      <c r="N1770" s="13">
        <f>SUM(E1770:M1770)</f>
        <v/>
      </c>
    </row>
    <row r="1771">
      <c r="A1771" s="5">
        <f>IF(AND(C1771&gt;=Options!$B$9,C1771&lt;=Options!$B$10),"Phoenix","")</f>
        <v/>
      </c>
      <c r="B1771" s="5">
        <f>IF(A1771="","",18)</f>
        <v/>
      </c>
      <c r="C1771" s="17" t="n">
        <v>46602</v>
      </c>
      <c r="D1771" s="5">
        <f>IF(A1771="","",IF(C1771=DATE(2026,11,29),"培训；注册午餐；早餐参数",IF(C1771=DATE(2026,11,30),"培训；注册午餐",IF(C1771=DATE(2026,12,1),"培训；注册午餐；机构晚餐",IF(C1771=Options!$B$9,"抵达；"&amp;IF(C1771=DATE(2026,11,28),"机构晚餐","无统一供餐"),IF(C1771=Options!$B$10,"返程；"&amp;IF(C1771=DATE(2026,12,2),"机构午餐","无统一供餐"),"差旅状态；无统一日程"))))))</f>
        <v/>
      </c>
      <c r="E1771" s="13">
        <f>IF(C1771=Options!$B$9,Options!$C$18,0)</f>
        <v/>
      </c>
      <c r="F1771" s="13">
        <f>IF(AND(A1771&lt;&gt;"",C1771&lt;Options!$B$10),B1771*Options!$X$7,0)</f>
        <v/>
      </c>
      <c r="G1771" s="13">
        <f>F1771*12%</f>
        <v/>
      </c>
      <c r="H1771" s="13">
        <f>IF(A1771="",0,B1771*(86*IF(OR(C1771=Options!$B$9,C1771=Options!$B$10),75%,100%)-IF(C1771=DATE(2026,11,29),23+IF(Options!$B$8="是",22,0),0)-IF(C1771=DATE(2026,11,30),23,0)-IF(C1771=DATE(2026,12,1),59,0)-IF(C1771=DATE(2026,11,28),36,0)-IF(C1771=DATE(2026,12,2),23,0)))</f>
        <v/>
      </c>
      <c r="I1771" s="13">
        <f>IF(AND(C1771&gt;=DATE(2026,11,29),C1771&lt;=DATE(2026,12,1)),B1771*60,0)</f>
        <v/>
      </c>
      <c r="J1771" s="13">
        <f>IF(A1771="",0,B1771*(IF(C1771=DATE(2026,11,28),36,0)+IF(C1771=DATE(2026,12,1),36,0)+IF(C1771=DATE(2026,12,2),23,0)))</f>
        <v/>
      </c>
      <c r="K1771" s="13">
        <f>IF(C1771=Options!$B$9,B1771*12,0)</f>
        <v/>
      </c>
      <c r="L1771" s="13">
        <f>IF(C1771=Options!$B$9,B1771*Options!$Z$7,0)</f>
        <v/>
      </c>
      <c r="M1771" s="13" t="n">
        <v>0</v>
      </c>
      <c r="N1771" s="13">
        <f>SUM(E1771:M1771)</f>
        <v/>
      </c>
    </row>
    <row r="1772">
      <c r="A1772" s="5">
        <f>IF(AND(C1772&gt;=Options!$B$9,C1772&lt;=Options!$B$10),"Phoenix","")</f>
        <v/>
      </c>
      <c r="B1772" s="5">
        <f>IF(A1772="","",18)</f>
        <v/>
      </c>
      <c r="C1772" s="17" t="n">
        <v>46603</v>
      </c>
      <c r="D1772" s="5">
        <f>IF(A1772="","",IF(C1772=DATE(2026,11,29),"培训；注册午餐；早餐参数",IF(C1772=DATE(2026,11,30),"培训；注册午餐",IF(C1772=DATE(2026,12,1),"培训；注册午餐；机构晚餐",IF(C1772=Options!$B$9,"抵达；"&amp;IF(C1772=DATE(2026,11,28),"机构晚餐","无统一供餐"),IF(C1772=Options!$B$10,"返程；"&amp;IF(C1772=DATE(2026,12,2),"机构午餐","无统一供餐"),"差旅状态；无统一日程"))))))</f>
        <v/>
      </c>
      <c r="E1772" s="13">
        <f>IF(C1772=Options!$B$9,Options!$C$18,0)</f>
        <v/>
      </c>
      <c r="F1772" s="13">
        <f>IF(AND(A1772&lt;&gt;"",C1772&lt;Options!$B$10),B1772*Options!$X$7,0)</f>
        <v/>
      </c>
      <c r="G1772" s="13">
        <f>F1772*12%</f>
        <v/>
      </c>
      <c r="H1772" s="13">
        <f>IF(A1772="",0,B1772*(86*IF(OR(C1772=Options!$B$9,C1772=Options!$B$10),75%,100%)-IF(C1772=DATE(2026,11,29),23+IF(Options!$B$8="是",22,0),0)-IF(C1772=DATE(2026,11,30),23,0)-IF(C1772=DATE(2026,12,1),59,0)-IF(C1772=DATE(2026,11,28),36,0)-IF(C1772=DATE(2026,12,2),23,0)))</f>
        <v/>
      </c>
      <c r="I1772" s="13">
        <f>IF(AND(C1772&gt;=DATE(2026,11,29),C1772&lt;=DATE(2026,12,1)),B1772*60,0)</f>
        <v/>
      </c>
      <c r="J1772" s="13">
        <f>IF(A1772="",0,B1772*(IF(C1772=DATE(2026,11,28),36,0)+IF(C1772=DATE(2026,12,1),36,0)+IF(C1772=DATE(2026,12,2),23,0)))</f>
        <v/>
      </c>
      <c r="K1772" s="13">
        <f>IF(C1772=Options!$B$9,B1772*12,0)</f>
        <v/>
      </c>
      <c r="L1772" s="13">
        <f>IF(C1772=Options!$B$9,B1772*Options!$Z$7,0)</f>
        <v/>
      </c>
      <c r="M1772" s="13" t="n">
        <v>0</v>
      </c>
      <c r="N1772" s="13">
        <f>SUM(E1772:M1772)</f>
        <v/>
      </c>
    </row>
    <row r="1773">
      <c r="A1773" s="5">
        <f>IF(AND(C1773&gt;=Options!$B$9,C1773&lt;=Options!$B$10),"Phoenix","")</f>
        <v/>
      </c>
      <c r="B1773" s="5">
        <f>IF(A1773="","",18)</f>
        <v/>
      </c>
      <c r="C1773" s="17" t="n">
        <v>46604</v>
      </c>
      <c r="D1773" s="5">
        <f>IF(A1773="","",IF(C1773=DATE(2026,11,29),"培训；注册午餐；早餐参数",IF(C1773=DATE(2026,11,30),"培训；注册午餐",IF(C1773=DATE(2026,12,1),"培训；注册午餐；机构晚餐",IF(C1773=Options!$B$9,"抵达；"&amp;IF(C1773=DATE(2026,11,28),"机构晚餐","无统一供餐"),IF(C1773=Options!$B$10,"返程；"&amp;IF(C1773=DATE(2026,12,2),"机构午餐","无统一供餐"),"差旅状态；无统一日程"))))))</f>
        <v/>
      </c>
      <c r="E1773" s="13">
        <f>IF(C1773=Options!$B$9,Options!$C$18,0)</f>
        <v/>
      </c>
      <c r="F1773" s="13">
        <f>IF(AND(A1773&lt;&gt;"",C1773&lt;Options!$B$10),B1773*Options!$X$7,0)</f>
        <v/>
      </c>
      <c r="G1773" s="13">
        <f>F1773*12%</f>
        <v/>
      </c>
      <c r="H1773" s="13">
        <f>IF(A1773="",0,B1773*(86*IF(OR(C1773=Options!$B$9,C1773=Options!$B$10),75%,100%)-IF(C1773=DATE(2026,11,29),23+IF(Options!$B$8="是",22,0),0)-IF(C1773=DATE(2026,11,30),23,0)-IF(C1773=DATE(2026,12,1),59,0)-IF(C1773=DATE(2026,11,28),36,0)-IF(C1773=DATE(2026,12,2),23,0)))</f>
        <v/>
      </c>
      <c r="I1773" s="13">
        <f>IF(AND(C1773&gt;=DATE(2026,11,29),C1773&lt;=DATE(2026,12,1)),B1773*60,0)</f>
        <v/>
      </c>
      <c r="J1773" s="13">
        <f>IF(A1773="",0,B1773*(IF(C1773=DATE(2026,11,28),36,0)+IF(C1773=DATE(2026,12,1),36,0)+IF(C1773=DATE(2026,12,2),23,0)))</f>
        <v/>
      </c>
      <c r="K1773" s="13">
        <f>IF(C1773=Options!$B$9,B1773*12,0)</f>
        <v/>
      </c>
      <c r="L1773" s="13">
        <f>IF(C1773=Options!$B$9,B1773*Options!$Z$7,0)</f>
        <v/>
      </c>
      <c r="M1773" s="13" t="n">
        <v>0</v>
      </c>
      <c r="N1773" s="13">
        <f>SUM(E1773:M1773)</f>
        <v/>
      </c>
    </row>
    <row r="1774">
      <c r="A1774" s="5">
        <f>IF(AND(C1774&gt;=Options!$B$9,C1774&lt;=Options!$B$10),"Phoenix","")</f>
        <v/>
      </c>
      <c r="B1774" s="5">
        <f>IF(A1774="","",18)</f>
        <v/>
      </c>
      <c r="C1774" s="17" t="n">
        <v>46605</v>
      </c>
      <c r="D1774" s="5">
        <f>IF(A1774="","",IF(C1774=DATE(2026,11,29),"培训；注册午餐；早餐参数",IF(C1774=DATE(2026,11,30),"培训；注册午餐",IF(C1774=DATE(2026,12,1),"培训；注册午餐；机构晚餐",IF(C1774=Options!$B$9,"抵达；"&amp;IF(C1774=DATE(2026,11,28),"机构晚餐","无统一供餐"),IF(C1774=Options!$B$10,"返程；"&amp;IF(C1774=DATE(2026,12,2),"机构午餐","无统一供餐"),"差旅状态；无统一日程"))))))</f>
        <v/>
      </c>
      <c r="E1774" s="13">
        <f>IF(C1774=Options!$B$9,Options!$C$18,0)</f>
        <v/>
      </c>
      <c r="F1774" s="13">
        <f>IF(AND(A1774&lt;&gt;"",C1774&lt;Options!$B$10),B1774*Options!$X$7,0)</f>
        <v/>
      </c>
      <c r="G1774" s="13">
        <f>F1774*12%</f>
        <v/>
      </c>
      <c r="H1774" s="13">
        <f>IF(A1774="",0,B1774*(86*IF(OR(C1774=Options!$B$9,C1774=Options!$B$10),75%,100%)-IF(C1774=DATE(2026,11,29),23+IF(Options!$B$8="是",22,0),0)-IF(C1774=DATE(2026,11,30),23,0)-IF(C1774=DATE(2026,12,1),59,0)-IF(C1774=DATE(2026,11,28),36,0)-IF(C1774=DATE(2026,12,2),23,0)))</f>
        <v/>
      </c>
      <c r="I1774" s="13">
        <f>IF(AND(C1774&gt;=DATE(2026,11,29),C1774&lt;=DATE(2026,12,1)),B1774*60,0)</f>
        <v/>
      </c>
      <c r="J1774" s="13">
        <f>IF(A1774="",0,B1774*(IF(C1774=DATE(2026,11,28),36,0)+IF(C1774=DATE(2026,12,1),36,0)+IF(C1774=DATE(2026,12,2),23,0)))</f>
        <v/>
      </c>
      <c r="K1774" s="13">
        <f>IF(C1774=Options!$B$9,B1774*12,0)</f>
        <v/>
      </c>
      <c r="L1774" s="13">
        <f>IF(C1774=Options!$B$9,B1774*Options!$Z$7,0)</f>
        <v/>
      </c>
      <c r="M1774" s="13" t="n">
        <v>0</v>
      </c>
      <c r="N1774" s="13">
        <f>SUM(E1774:M1774)</f>
        <v/>
      </c>
    </row>
    <row r="1775">
      <c r="A1775" s="5">
        <f>IF(AND(C1775&gt;=Options!$B$9,C1775&lt;=Options!$B$10),"Phoenix","")</f>
        <v/>
      </c>
      <c r="B1775" s="5">
        <f>IF(A1775="","",18)</f>
        <v/>
      </c>
      <c r="C1775" s="17" t="n">
        <v>46606</v>
      </c>
      <c r="D1775" s="5">
        <f>IF(A1775="","",IF(C1775=DATE(2026,11,29),"培训；注册午餐；早餐参数",IF(C1775=DATE(2026,11,30),"培训；注册午餐",IF(C1775=DATE(2026,12,1),"培训；注册午餐；机构晚餐",IF(C1775=Options!$B$9,"抵达；"&amp;IF(C1775=DATE(2026,11,28),"机构晚餐","无统一供餐"),IF(C1775=Options!$B$10,"返程；"&amp;IF(C1775=DATE(2026,12,2),"机构午餐","无统一供餐"),"差旅状态；无统一日程"))))))</f>
        <v/>
      </c>
      <c r="E1775" s="13">
        <f>IF(C1775=Options!$B$9,Options!$C$18,0)</f>
        <v/>
      </c>
      <c r="F1775" s="13">
        <f>IF(AND(A1775&lt;&gt;"",C1775&lt;Options!$B$10),B1775*Options!$X$7,0)</f>
        <v/>
      </c>
      <c r="G1775" s="13">
        <f>F1775*12%</f>
        <v/>
      </c>
      <c r="H1775" s="13">
        <f>IF(A1775="",0,B1775*(86*IF(OR(C1775=Options!$B$9,C1775=Options!$B$10),75%,100%)-IF(C1775=DATE(2026,11,29),23+IF(Options!$B$8="是",22,0),0)-IF(C1775=DATE(2026,11,30),23,0)-IF(C1775=DATE(2026,12,1),59,0)-IF(C1775=DATE(2026,11,28),36,0)-IF(C1775=DATE(2026,12,2),23,0)))</f>
        <v/>
      </c>
      <c r="I1775" s="13">
        <f>IF(AND(C1775&gt;=DATE(2026,11,29),C1775&lt;=DATE(2026,12,1)),B1775*60,0)</f>
        <v/>
      </c>
      <c r="J1775" s="13">
        <f>IF(A1775="",0,B1775*(IF(C1775=DATE(2026,11,28),36,0)+IF(C1775=DATE(2026,12,1),36,0)+IF(C1775=DATE(2026,12,2),23,0)))</f>
        <v/>
      </c>
      <c r="K1775" s="13">
        <f>IF(C1775=Options!$B$9,B1775*12,0)</f>
        <v/>
      </c>
      <c r="L1775" s="13">
        <f>IF(C1775=Options!$B$9,B1775*Options!$Z$7,0)</f>
        <v/>
      </c>
      <c r="M1775" s="13" t="n">
        <v>0</v>
      </c>
      <c r="N1775" s="13">
        <f>SUM(E1775:M1775)</f>
        <v/>
      </c>
    </row>
    <row r="1776">
      <c r="A1776" s="5">
        <f>IF(AND(C1776&gt;=Options!$B$9,C1776&lt;=Options!$B$10),"Phoenix","")</f>
        <v/>
      </c>
      <c r="B1776" s="5">
        <f>IF(A1776="","",18)</f>
        <v/>
      </c>
      <c r="C1776" s="17" t="n">
        <v>46607</v>
      </c>
      <c r="D1776" s="5">
        <f>IF(A1776="","",IF(C1776=DATE(2026,11,29),"培训；注册午餐；早餐参数",IF(C1776=DATE(2026,11,30),"培训；注册午餐",IF(C1776=DATE(2026,12,1),"培训；注册午餐；机构晚餐",IF(C1776=Options!$B$9,"抵达；"&amp;IF(C1776=DATE(2026,11,28),"机构晚餐","无统一供餐"),IF(C1776=Options!$B$10,"返程；"&amp;IF(C1776=DATE(2026,12,2),"机构午餐","无统一供餐"),"差旅状态；无统一日程"))))))</f>
        <v/>
      </c>
      <c r="E1776" s="13">
        <f>IF(C1776=Options!$B$9,Options!$C$18,0)</f>
        <v/>
      </c>
      <c r="F1776" s="13">
        <f>IF(AND(A1776&lt;&gt;"",C1776&lt;Options!$B$10),B1776*Options!$X$7,0)</f>
        <v/>
      </c>
      <c r="G1776" s="13">
        <f>F1776*12%</f>
        <v/>
      </c>
      <c r="H1776" s="13">
        <f>IF(A1776="",0,B1776*(86*IF(OR(C1776=Options!$B$9,C1776=Options!$B$10),75%,100%)-IF(C1776=DATE(2026,11,29),23+IF(Options!$B$8="是",22,0),0)-IF(C1776=DATE(2026,11,30),23,0)-IF(C1776=DATE(2026,12,1),59,0)-IF(C1776=DATE(2026,11,28),36,0)-IF(C1776=DATE(2026,12,2),23,0)))</f>
        <v/>
      </c>
      <c r="I1776" s="13">
        <f>IF(AND(C1776&gt;=DATE(2026,11,29),C1776&lt;=DATE(2026,12,1)),B1776*60,0)</f>
        <v/>
      </c>
      <c r="J1776" s="13">
        <f>IF(A1776="",0,B1776*(IF(C1776=DATE(2026,11,28),36,0)+IF(C1776=DATE(2026,12,1),36,0)+IF(C1776=DATE(2026,12,2),23,0)))</f>
        <v/>
      </c>
      <c r="K1776" s="13">
        <f>IF(C1776=Options!$B$9,B1776*12,0)</f>
        <v/>
      </c>
      <c r="L1776" s="13">
        <f>IF(C1776=Options!$B$9,B1776*Options!$Z$7,0)</f>
        <v/>
      </c>
      <c r="M1776" s="13" t="n">
        <v>0</v>
      </c>
      <c r="N1776" s="13">
        <f>SUM(E1776:M1776)</f>
        <v/>
      </c>
    </row>
    <row r="1777">
      <c r="A1777" s="5">
        <f>IF(AND(C1777&gt;=Options!$B$9,C1777&lt;=Options!$B$10),"Phoenix","")</f>
        <v/>
      </c>
      <c r="B1777" s="5">
        <f>IF(A1777="","",18)</f>
        <v/>
      </c>
      <c r="C1777" s="17" t="n">
        <v>46608</v>
      </c>
      <c r="D1777" s="5">
        <f>IF(A1777="","",IF(C1777=DATE(2026,11,29),"培训；注册午餐；早餐参数",IF(C1777=DATE(2026,11,30),"培训；注册午餐",IF(C1777=DATE(2026,12,1),"培训；注册午餐；机构晚餐",IF(C1777=Options!$B$9,"抵达；"&amp;IF(C1777=DATE(2026,11,28),"机构晚餐","无统一供餐"),IF(C1777=Options!$B$10,"返程；"&amp;IF(C1777=DATE(2026,12,2),"机构午餐","无统一供餐"),"差旅状态；无统一日程"))))))</f>
        <v/>
      </c>
      <c r="E1777" s="13">
        <f>IF(C1777=Options!$B$9,Options!$C$18,0)</f>
        <v/>
      </c>
      <c r="F1777" s="13">
        <f>IF(AND(A1777&lt;&gt;"",C1777&lt;Options!$B$10),B1777*Options!$X$7,0)</f>
        <v/>
      </c>
      <c r="G1777" s="13">
        <f>F1777*12%</f>
        <v/>
      </c>
      <c r="H1777" s="13">
        <f>IF(A1777="",0,B1777*(86*IF(OR(C1777=Options!$B$9,C1777=Options!$B$10),75%,100%)-IF(C1777=DATE(2026,11,29),23+IF(Options!$B$8="是",22,0),0)-IF(C1777=DATE(2026,11,30),23,0)-IF(C1777=DATE(2026,12,1),59,0)-IF(C1777=DATE(2026,11,28),36,0)-IF(C1777=DATE(2026,12,2),23,0)))</f>
        <v/>
      </c>
      <c r="I1777" s="13">
        <f>IF(AND(C1777&gt;=DATE(2026,11,29),C1777&lt;=DATE(2026,12,1)),B1777*60,0)</f>
        <v/>
      </c>
      <c r="J1777" s="13">
        <f>IF(A1777="",0,B1777*(IF(C1777=DATE(2026,11,28),36,0)+IF(C1777=DATE(2026,12,1),36,0)+IF(C1777=DATE(2026,12,2),23,0)))</f>
        <v/>
      </c>
      <c r="K1777" s="13">
        <f>IF(C1777=Options!$B$9,B1777*12,0)</f>
        <v/>
      </c>
      <c r="L1777" s="13">
        <f>IF(C1777=Options!$B$9,B1777*Options!$Z$7,0)</f>
        <v/>
      </c>
      <c r="M1777" s="13" t="n">
        <v>0</v>
      </c>
      <c r="N1777" s="13">
        <f>SUM(E1777:M1777)</f>
        <v/>
      </c>
    </row>
    <row r="1778">
      <c r="A1778" s="5">
        <f>IF(AND(C1778&gt;=Options!$B$9,C1778&lt;=Options!$B$10),"Phoenix","")</f>
        <v/>
      </c>
      <c r="B1778" s="5">
        <f>IF(A1778="","",18)</f>
        <v/>
      </c>
      <c r="C1778" s="17" t="n">
        <v>46609</v>
      </c>
      <c r="D1778" s="5">
        <f>IF(A1778="","",IF(C1778=DATE(2026,11,29),"培训；注册午餐；早餐参数",IF(C1778=DATE(2026,11,30),"培训；注册午餐",IF(C1778=DATE(2026,12,1),"培训；注册午餐；机构晚餐",IF(C1778=Options!$B$9,"抵达；"&amp;IF(C1778=DATE(2026,11,28),"机构晚餐","无统一供餐"),IF(C1778=Options!$B$10,"返程；"&amp;IF(C1778=DATE(2026,12,2),"机构午餐","无统一供餐"),"差旅状态；无统一日程"))))))</f>
        <v/>
      </c>
      <c r="E1778" s="13">
        <f>IF(C1778=Options!$B$9,Options!$C$18,0)</f>
        <v/>
      </c>
      <c r="F1778" s="13">
        <f>IF(AND(A1778&lt;&gt;"",C1778&lt;Options!$B$10),B1778*Options!$X$7,0)</f>
        <v/>
      </c>
      <c r="G1778" s="13">
        <f>F1778*12%</f>
        <v/>
      </c>
      <c r="H1778" s="13">
        <f>IF(A1778="",0,B1778*(86*IF(OR(C1778=Options!$B$9,C1778=Options!$B$10),75%,100%)-IF(C1778=DATE(2026,11,29),23+IF(Options!$B$8="是",22,0),0)-IF(C1778=DATE(2026,11,30),23,0)-IF(C1778=DATE(2026,12,1),59,0)-IF(C1778=DATE(2026,11,28),36,0)-IF(C1778=DATE(2026,12,2),23,0)))</f>
        <v/>
      </c>
      <c r="I1778" s="13">
        <f>IF(AND(C1778&gt;=DATE(2026,11,29),C1778&lt;=DATE(2026,12,1)),B1778*60,0)</f>
        <v/>
      </c>
      <c r="J1778" s="13">
        <f>IF(A1778="",0,B1778*(IF(C1778=DATE(2026,11,28),36,0)+IF(C1778=DATE(2026,12,1),36,0)+IF(C1778=DATE(2026,12,2),23,0)))</f>
        <v/>
      </c>
      <c r="K1778" s="13">
        <f>IF(C1778=Options!$B$9,B1778*12,0)</f>
        <v/>
      </c>
      <c r="L1778" s="13">
        <f>IF(C1778=Options!$B$9,B1778*Options!$Z$7,0)</f>
        <v/>
      </c>
      <c r="M1778" s="13" t="n">
        <v>0</v>
      </c>
      <c r="N1778" s="13">
        <f>SUM(E1778:M1778)</f>
        <v/>
      </c>
    </row>
    <row r="1779">
      <c r="A1779" s="5">
        <f>IF(AND(C1779&gt;=Options!$B$9,C1779&lt;=Options!$B$10),"Phoenix","")</f>
        <v/>
      </c>
      <c r="B1779" s="5">
        <f>IF(A1779="","",18)</f>
        <v/>
      </c>
      <c r="C1779" s="17" t="n">
        <v>46610</v>
      </c>
      <c r="D1779" s="5">
        <f>IF(A1779="","",IF(C1779=DATE(2026,11,29),"培训；注册午餐；早餐参数",IF(C1779=DATE(2026,11,30),"培训；注册午餐",IF(C1779=DATE(2026,12,1),"培训；注册午餐；机构晚餐",IF(C1779=Options!$B$9,"抵达；"&amp;IF(C1779=DATE(2026,11,28),"机构晚餐","无统一供餐"),IF(C1779=Options!$B$10,"返程；"&amp;IF(C1779=DATE(2026,12,2),"机构午餐","无统一供餐"),"差旅状态；无统一日程"))))))</f>
        <v/>
      </c>
      <c r="E1779" s="13">
        <f>IF(C1779=Options!$B$9,Options!$C$18,0)</f>
        <v/>
      </c>
      <c r="F1779" s="13">
        <f>IF(AND(A1779&lt;&gt;"",C1779&lt;Options!$B$10),B1779*Options!$X$7,0)</f>
        <v/>
      </c>
      <c r="G1779" s="13">
        <f>F1779*12%</f>
        <v/>
      </c>
      <c r="H1779" s="13">
        <f>IF(A1779="",0,B1779*(86*IF(OR(C1779=Options!$B$9,C1779=Options!$B$10),75%,100%)-IF(C1779=DATE(2026,11,29),23+IF(Options!$B$8="是",22,0),0)-IF(C1779=DATE(2026,11,30),23,0)-IF(C1779=DATE(2026,12,1),59,0)-IF(C1779=DATE(2026,11,28),36,0)-IF(C1779=DATE(2026,12,2),23,0)))</f>
        <v/>
      </c>
      <c r="I1779" s="13">
        <f>IF(AND(C1779&gt;=DATE(2026,11,29),C1779&lt;=DATE(2026,12,1)),B1779*60,0)</f>
        <v/>
      </c>
      <c r="J1779" s="13">
        <f>IF(A1779="",0,B1779*(IF(C1779=DATE(2026,11,28),36,0)+IF(C1779=DATE(2026,12,1),36,0)+IF(C1779=DATE(2026,12,2),23,0)))</f>
        <v/>
      </c>
      <c r="K1779" s="13">
        <f>IF(C1779=Options!$B$9,B1779*12,0)</f>
        <v/>
      </c>
      <c r="L1779" s="13">
        <f>IF(C1779=Options!$B$9,B1779*Options!$Z$7,0)</f>
        <v/>
      </c>
      <c r="M1779" s="13" t="n">
        <v>0</v>
      </c>
      <c r="N1779" s="13">
        <f>SUM(E1779:M1779)</f>
        <v/>
      </c>
    </row>
    <row r="1780">
      <c r="A1780" s="5">
        <f>IF(AND(C1780&gt;=Options!$B$9,C1780&lt;=Options!$B$10),"Phoenix","")</f>
        <v/>
      </c>
      <c r="B1780" s="5">
        <f>IF(A1780="","",18)</f>
        <v/>
      </c>
      <c r="C1780" s="17" t="n">
        <v>46611</v>
      </c>
      <c r="D1780" s="5">
        <f>IF(A1780="","",IF(C1780=DATE(2026,11,29),"培训；注册午餐；早餐参数",IF(C1780=DATE(2026,11,30),"培训；注册午餐",IF(C1780=DATE(2026,12,1),"培训；注册午餐；机构晚餐",IF(C1780=Options!$B$9,"抵达；"&amp;IF(C1780=DATE(2026,11,28),"机构晚餐","无统一供餐"),IF(C1780=Options!$B$10,"返程；"&amp;IF(C1780=DATE(2026,12,2),"机构午餐","无统一供餐"),"差旅状态；无统一日程"))))))</f>
        <v/>
      </c>
      <c r="E1780" s="13">
        <f>IF(C1780=Options!$B$9,Options!$C$18,0)</f>
        <v/>
      </c>
      <c r="F1780" s="13">
        <f>IF(AND(A1780&lt;&gt;"",C1780&lt;Options!$B$10),B1780*Options!$X$7,0)</f>
        <v/>
      </c>
      <c r="G1780" s="13">
        <f>F1780*12%</f>
        <v/>
      </c>
      <c r="H1780" s="13">
        <f>IF(A1780="",0,B1780*(86*IF(OR(C1780=Options!$B$9,C1780=Options!$B$10),75%,100%)-IF(C1780=DATE(2026,11,29),23+IF(Options!$B$8="是",22,0),0)-IF(C1780=DATE(2026,11,30),23,0)-IF(C1780=DATE(2026,12,1),59,0)-IF(C1780=DATE(2026,11,28),36,0)-IF(C1780=DATE(2026,12,2),23,0)))</f>
        <v/>
      </c>
      <c r="I1780" s="13">
        <f>IF(AND(C1780&gt;=DATE(2026,11,29),C1780&lt;=DATE(2026,12,1)),B1780*60,0)</f>
        <v/>
      </c>
      <c r="J1780" s="13">
        <f>IF(A1780="",0,B1780*(IF(C1780=DATE(2026,11,28),36,0)+IF(C1780=DATE(2026,12,1),36,0)+IF(C1780=DATE(2026,12,2),23,0)))</f>
        <v/>
      </c>
      <c r="K1780" s="13">
        <f>IF(C1780=Options!$B$9,B1780*12,0)</f>
        <v/>
      </c>
      <c r="L1780" s="13">
        <f>IF(C1780=Options!$B$9,B1780*Options!$Z$7,0)</f>
        <v/>
      </c>
      <c r="M1780" s="13" t="n">
        <v>0</v>
      </c>
      <c r="N1780" s="13">
        <f>SUM(E1780:M1780)</f>
        <v/>
      </c>
    </row>
    <row r="1781">
      <c r="A1781" s="5">
        <f>IF(AND(C1781&gt;=Options!$B$9,C1781&lt;=Options!$B$10),"Phoenix","")</f>
        <v/>
      </c>
      <c r="B1781" s="5">
        <f>IF(A1781="","",18)</f>
        <v/>
      </c>
      <c r="C1781" s="17" t="n">
        <v>46612</v>
      </c>
      <c r="D1781" s="5">
        <f>IF(A1781="","",IF(C1781=DATE(2026,11,29),"培训；注册午餐；早餐参数",IF(C1781=DATE(2026,11,30),"培训；注册午餐",IF(C1781=DATE(2026,12,1),"培训；注册午餐；机构晚餐",IF(C1781=Options!$B$9,"抵达；"&amp;IF(C1781=DATE(2026,11,28),"机构晚餐","无统一供餐"),IF(C1781=Options!$B$10,"返程；"&amp;IF(C1781=DATE(2026,12,2),"机构午餐","无统一供餐"),"差旅状态；无统一日程"))))))</f>
        <v/>
      </c>
      <c r="E1781" s="13">
        <f>IF(C1781=Options!$B$9,Options!$C$18,0)</f>
        <v/>
      </c>
      <c r="F1781" s="13">
        <f>IF(AND(A1781&lt;&gt;"",C1781&lt;Options!$B$10),B1781*Options!$X$7,0)</f>
        <v/>
      </c>
      <c r="G1781" s="13">
        <f>F1781*12%</f>
        <v/>
      </c>
      <c r="H1781" s="13">
        <f>IF(A1781="",0,B1781*(86*IF(OR(C1781=Options!$B$9,C1781=Options!$B$10),75%,100%)-IF(C1781=DATE(2026,11,29),23+IF(Options!$B$8="是",22,0),0)-IF(C1781=DATE(2026,11,30),23,0)-IF(C1781=DATE(2026,12,1),59,0)-IF(C1781=DATE(2026,11,28),36,0)-IF(C1781=DATE(2026,12,2),23,0)))</f>
        <v/>
      </c>
      <c r="I1781" s="13">
        <f>IF(AND(C1781&gt;=DATE(2026,11,29),C1781&lt;=DATE(2026,12,1)),B1781*60,0)</f>
        <v/>
      </c>
      <c r="J1781" s="13">
        <f>IF(A1781="",0,B1781*(IF(C1781=DATE(2026,11,28),36,0)+IF(C1781=DATE(2026,12,1),36,0)+IF(C1781=DATE(2026,12,2),23,0)))</f>
        <v/>
      </c>
      <c r="K1781" s="13">
        <f>IF(C1781=Options!$B$9,B1781*12,0)</f>
        <v/>
      </c>
      <c r="L1781" s="13">
        <f>IF(C1781=Options!$B$9,B1781*Options!$Z$7,0)</f>
        <v/>
      </c>
      <c r="M1781" s="13" t="n">
        <v>0</v>
      </c>
      <c r="N1781" s="13">
        <f>SUM(E1781:M1781)</f>
        <v/>
      </c>
    </row>
    <row r="1782">
      <c r="A1782" s="5">
        <f>IF(AND(C1782&gt;=Options!$B$9,C1782&lt;=Options!$B$10),"Phoenix","")</f>
        <v/>
      </c>
      <c r="B1782" s="5">
        <f>IF(A1782="","",18)</f>
        <v/>
      </c>
      <c r="C1782" s="17" t="n">
        <v>46613</v>
      </c>
      <c r="D1782" s="5">
        <f>IF(A1782="","",IF(C1782=DATE(2026,11,29),"培训；注册午餐；早餐参数",IF(C1782=DATE(2026,11,30),"培训；注册午餐",IF(C1782=DATE(2026,12,1),"培训；注册午餐；机构晚餐",IF(C1782=Options!$B$9,"抵达；"&amp;IF(C1782=DATE(2026,11,28),"机构晚餐","无统一供餐"),IF(C1782=Options!$B$10,"返程；"&amp;IF(C1782=DATE(2026,12,2),"机构午餐","无统一供餐"),"差旅状态；无统一日程"))))))</f>
        <v/>
      </c>
      <c r="E1782" s="13">
        <f>IF(C1782=Options!$B$9,Options!$C$18,0)</f>
        <v/>
      </c>
      <c r="F1782" s="13">
        <f>IF(AND(A1782&lt;&gt;"",C1782&lt;Options!$B$10),B1782*Options!$X$7,0)</f>
        <v/>
      </c>
      <c r="G1782" s="13">
        <f>F1782*12%</f>
        <v/>
      </c>
      <c r="H1782" s="13">
        <f>IF(A1782="",0,B1782*(86*IF(OR(C1782=Options!$B$9,C1782=Options!$B$10),75%,100%)-IF(C1782=DATE(2026,11,29),23+IF(Options!$B$8="是",22,0),0)-IF(C1782=DATE(2026,11,30),23,0)-IF(C1782=DATE(2026,12,1),59,0)-IF(C1782=DATE(2026,11,28),36,0)-IF(C1782=DATE(2026,12,2),23,0)))</f>
        <v/>
      </c>
      <c r="I1782" s="13">
        <f>IF(AND(C1782&gt;=DATE(2026,11,29),C1782&lt;=DATE(2026,12,1)),B1782*60,0)</f>
        <v/>
      </c>
      <c r="J1782" s="13">
        <f>IF(A1782="",0,B1782*(IF(C1782=DATE(2026,11,28),36,0)+IF(C1782=DATE(2026,12,1),36,0)+IF(C1782=DATE(2026,12,2),23,0)))</f>
        <v/>
      </c>
      <c r="K1782" s="13">
        <f>IF(C1782=Options!$B$9,B1782*12,0)</f>
        <v/>
      </c>
      <c r="L1782" s="13">
        <f>IF(C1782=Options!$B$9,B1782*Options!$Z$7,0)</f>
        <v/>
      </c>
      <c r="M1782" s="13" t="n">
        <v>0</v>
      </c>
      <c r="N1782" s="13">
        <f>SUM(E1782:M1782)</f>
        <v/>
      </c>
    </row>
    <row r="1783">
      <c r="A1783" s="5">
        <f>IF(AND(C1783&gt;=Options!$B$9,C1783&lt;=Options!$B$10),"Phoenix","")</f>
        <v/>
      </c>
      <c r="B1783" s="5">
        <f>IF(A1783="","",18)</f>
        <v/>
      </c>
      <c r="C1783" s="17" t="n">
        <v>46614</v>
      </c>
      <c r="D1783" s="5">
        <f>IF(A1783="","",IF(C1783=DATE(2026,11,29),"培训；注册午餐；早餐参数",IF(C1783=DATE(2026,11,30),"培训；注册午餐",IF(C1783=DATE(2026,12,1),"培训；注册午餐；机构晚餐",IF(C1783=Options!$B$9,"抵达；"&amp;IF(C1783=DATE(2026,11,28),"机构晚餐","无统一供餐"),IF(C1783=Options!$B$10,"返程；"&amp;IF(C1783=DATE(2026,12,2),"机构午餐","无统一供餐"),"差旅状态；无统一日程"))))))</f>
        <v/>
      </c>
      <c r="E1783" s="13">
        <f>IF(C1783=Options!$B$9,Options!$C$18,0)</f>
        <v/>
      </c>
      <c r="F1783" s="13">
        <f>IF(AND(A1783&lt;&gt;"",C1783&lt;Options!$B$10),B1783*Options!$X$7,0)</f>
        <v/>
      </c>
      <c r="G1783" s="13">
        <f>F1783*12%</f>
        <v/>
      </c>
      <c r="H1783" s="13">
        <f>IF(A1783="",0,B1783*(86*IF(OR(C1783=Options!$B$9,C1783=Options!$B$10),75%,100%)-IF(C1783=DATE(2026,11,29),23+IF(Options!$B$8="是",22,0),0)-IF(C1783=DATE(2026,11,30),23,0)-IF(C1783=DATE(2026,12,1),59,0)-IF(C1783=DATE(2026,11,28),36,0)-IF(C1783=DATE(2026,12,2),23,0)))</f>
        <v/>
      </c>
      <c r="I1783" s="13">
        <f>IF(AND(C1783&gt;=DATE(2026,11,29),C1783&lt;=DATE(2026,12,1)),B1783*60,0)</f>
        <v/>
      </c>
      <c r="J1783" s="13">
        <f>IF(A1783="",0,B1783*(IF(C1783=DATE(2026,11,28),36,0)+IF(C1783=DATE(2026,12,1),36,0)+IF(C1783=DATE(2026,12,2),23,0)))</f>
        <v/>
      </c>
      <c r="K1783" s="13">
        <f>IF(C1783=Options!$B$9,B1783*12,0)</f>
        <v/>
      </c>
      <c r="L1783" s="13">
        <f>IF(C1783=Options!$B$9,B1783*Options!$Z$7,0)</f>
        <v/>
      </c>
      <c r="M1783" s="13" t="n">
        <v>0</v>
      </c>
      <c r="N1783" s="13">
        <f>SUM(E1783:M1783)</f>
        <v/>
      </c>
    </row>
    <row r="1784">
      <c r="A1784" s="5">
        <f>IF(AND(C1784&gt;=Options!$B$9,C1784&lt;=Options!$B$10),"Phoenix","")</f>
        <v/>
      </c>
      <c r="B1784" s="5">
        <f>IF(A1784="","",18)</f>
        <v/>
      </c>
      <c r="C1784" s="17" t="n">
        <v>46615</v>
      </c>
      <c r="D1784" s="5">
        <f>IF(A1784="","",IF(C1784=DATE(2026,11,29),"培训；注册午餐；早餐参数",IF(C1784=DATE(2026,11,30),"培训；注册午餐",IF(C1784=DATE(2026,12,1),"培训；注册午餐；机构晚餐",IF(C1784=Options!$B$9,"抵达；"&amp;IF(C1784=DATE(2026,11,28),"机构晚餐","无统一供餐"),IF(C1784=Options!$B$10,"返程；"&amp;IF(C1784=DATE(2026,12,2),"机构午餐","无统一供餐"),"差旅状态；无统一日程"))))))</f>
        <v/>
      </c>
      <c r="E1784" s="13">
        <f>IF(C1784=Options!$B$9,Options!$C$18,0)</f>
        <v/>
      </c>
      <c r="F1784" s="13">
        <f>IF(AND(A1784&lt;&gt;"",C1784&lt;Options!$B$10),B1784*Options!$X$7,0)</f>
        <v/>
      </c>
      <c r="G1784" s="13">
        <f>F1784*12%</f>
        <v/>
      </c>
      <c r="H1784" s="13">
        <f>IF(A1784="",0,B1784*(86*IF(OR(C1784=Options!$B$9,C1784=Options!$B$10),75%,100%)-IF(C1784=DATE(2026,11,29),23+IF(Options!$B$8="是",22,0),0)-IF(C1784=DATE(2026,11,30),23,0)-IF(C1784=DATE(2026,12,1),59,0)-IF(C1784=DATE(2026,11,28),36,0)-IF(C1784=DATE(2026,12,2),23,0)))</f>
        <v/>
      </c>
      <c r="I1784" s="13">
        <f>IF(AND(C1784&gt;=DATE(2026,11,29),C1784&lt;=DATE(2026,12,1)),B1784*60,0)</f>
        <v/>
      </c>
      <c r="J1784" s="13">
        <f>IF(A1784="",0,B1784*(IF(C1784=DATE(2026,11,28),36,0)+IF(C1784=DATE(2026,12,1),36,0)+IF(C1784=DATE(2026,12,2),23,0)))</f>
        <v/>
      </c>
      <c r="K1784" s="13">
        <f>IF(C1784=Options!$B$9,B1784*12,0)</f>
        <v/>
      </c>
      <c r="L1784" s="13">
        <f>IF(C1784=Options!$B$9,B1784*Options!$Z$7,0)</f>
        <v/>
      </c>
      <c r="M1784" s="13" t="n">
        <v>0</v>
      </c>
      <c r="N1784" s="13">
        <f>SUM(E1784:M1784)</f>
        <v/>
      </c>
    </row>
    <row r="1785">
      <c r="A1785" s="5">
        <f>IF(AND(C1785&gt;=Options!$B$9,C1785&lt;=Options!$B$10),"Phoenix","")</f>
        <v/>
      </c>
      <c r="B1785" s="5">
        <f>IF(A1785="","",18)</f>
        <v/>
      </c>
      <c r="C1785" s="17" t="n">
        <v>46616</v>
      </c>
      <c r="D1785" s="5">
        <f>IF(A1785="","",IF(C1785=DATE(2026,11,29),"培训；注册午餐；早餐参数",IF(C1785=DATE(2026,11,30),"培训；注册午餐",IF(C1785=DATE(2026,12,1),"培训；注册午餐；机构晚餐",IF(C1785=Options!$B$9,"抵达；"&amp;IF(C1785=DATE(2026,11,28),"机构晚餐","无统一供餐"),IF(C1785=Options!$B$10,"返程；"&amp;IF(C1785=DATE(2026,12,2),"机构午餐","无统一供餐"),"差旅状态；无统一日程"))))))</f>
        <v/>
      </c>
      <c r="E1785" s="13">
        <f>IF(C1785=Options!$B$9,Options!$C$18,0)</f>
        <v/>
      </c>
      <c r="F1785" s="13">
        <f>IF(AND(A1785&lt;&gt;"",C1785&lt;Options!$B$10),B1785*Options!$X$7,0)</f>
        <v/>
      </c>
      <c r="G1785" s="13">
        <f>F1785*12%</f>
        <v/>
      </c>
      <c r="H1785" s="13">
        <f>IF(A1785="",0,B1785*(86*IF(OR(C1785=Options!$B$9,C1785=Options!$B$10),75%,100%)-IF(C1785=DATE(2026,11,29),23+IF(Options!$B$8="是",22,0),0)-IF(C1785=DATE(2026,11,30),23,0)-IF(C1785=DATE(2026,12,1),59,0)-IF(C1785=DATE(2026,11,28),36,0)-IF(C1785=DATE(2026,12,2),23,0)))</f>
        <v/>
      </c>
      <c r="I1785" s="13">
        <f>IF(AND(C1785&gt;=DATE(2026,11,29),C1785&lt;=DATE(2026,12,1)),B1785*60,0)</f>
        <v/>
      </c>
      <c r="J1785" s="13">
        <f>IF(A1785="",0,B1785*(IF(C1785=DATE(2026,11,28),36,0)+IF(C1785=DATE(2026,12,1),36,0)+IF(C1785=DATE(2026,12,2),23,0)))</f>
        <v/>
      </c>
      <c r="K1785" s="13">
        <f>IF(C1785=Options!$B$9,B1785*12,0)</f>
        <v/>
      </c>
      <c r="L1785" s="13">
        <f>IF(C1785=Options!$B$9,B1785*Options!$Z$7,0)</f>
        <v/>
      </c>
      <c r="M1785" s="13" t="n">
        <v>0</v>
      </c>
      <c r="N1785" s="13">
        <f>SUM(E1785:M1785)</f>
        <v/>
      </c>
    </row>
    <row r="1786">
      <c r="A1786" s="5">
        <f>IF(AND(C1786&gt;=Options!$B$9,C1786&lt;=Options!$B$10),"Phoenix","")</f>
        <v/>
      </c>
      <c r="B1786" s="5">
        <f>IF(A1786="","",18)</f>
        <v/>
      </c>
      <c r="C1786" s="17" t="n">
        <v>46617</v>
      </c>
      <c r="D1786" s="5">
        <f>IF(A1786="","",IF(C1786=DATE(2026,11,29),"培训；注册午餐；早餐参数",IF(C1786=DATE(2026,11,30),"培训；注册午餐",IF(C1786=DATE(2026,12,1),"培训；注册午餐；机构晚餐",IF(C1786=Options!$B$9,"抵达；"&amp;IF(C1786=DATE(2026,11,28),"机构晚餐","无统一供餐"),IF(C1786=Options!$B$10,"返程；"&amp;IF(C1786=DATE(2026,12,2),"机构午餐","无统一供餐"),"差旅状态；无统一日程"))))))</f>
        <v/>
      </c>
      <c r="E1786" s="13">
        <f>IF(C1786=Options!$B$9,Options!$C$18,0)</f>
        <v/>
      </c>
      <c r="F1786" s="13">
        <f>IF(AND(A1786&lt;&gt;"",C1786&lt;Options!$B$10),B1786*Options!$X$7,0)</f>
        <v/>
      </c>
      <c r="G1786" s="13">
        <f>F1786*12%</f>
        <v/>
      </c>
      <c r="H1786" s="13">
        <f>IF(A1786="",0,B1786*(86*IF(OR(C1786=Options!$B$9,C1786=Options!$B$10),75%,100%)-IF(C1786=DATE(2026,11,29),23+IF(Options!$B$8="是",22,0),0)-IF(C1786=DATE(2026,11,30),23,0)-IF(C1786=DATE(2026,12,1),59,0)-IF(C1786=DATE(2026,11,28),36,0)-IF(C1786=DATE(2026,12,2),23,0)))</f>
        <v/>
      </c>
      <c r="I1786" s="13">
        <f>IF(AND(C1786&gt;=DATE(2026,11,29),C1786&lt;=DATE(2026,12,1)),B1786*60,0)</f>
        <v/>
      </c>
      <c r="J1786" s="13">
        <f>IF(A1786="",0,B1786*(IF(C1786=DATE(2026,11,28),36,0)+IF(C1786=DATE(2026,12,1),36,0)+IF(C1786=DATE(2026,12,2),23,0)))</f>
        <v/>
      </c>
      <c r="K1786" s="13">
        <f>IF(C1786=Options!$B$9,B1786*12,0)</f>
        <v/>
      </c>
      <c r="L1786" s="13">
        <f>IF(C1786=Options!$B$9,B1786*Options!$Z$7,0)</f>
        <v/>
      </c>
      <c r="M1786" s="13" t="n">
        <v>0</v>
      </c>
      <c r="N1786" s="13">
        <f>SUM(E1786:M1786)</f>
        <v/>
      </c>
    </row>
    <row r="1787">
      <c r="A1787" s="5">
        <f>IF(AND(C1787&gt;=Options!$B$9,C1787&lt;=Options!$B$10),"Phoenix","")</f>
        <v/>
      </c>
      <c r="B1787" s="5">
        <f>IF(A1787="","",18)</f>
        <v/>
      </c>
      <c r="C1787" s="17" t="n">
        <v>46618</v>
      </c>
      <c r="D1787" s="5">
        <f>IF(A1787="","",IF(C1787=DATE(2026,11,29),"培训；注册午餐；早餐参数",IF(C1787=DATE(2026,11,30),"培训；注册午餐",IF(C1787=DATE(2026,12,1),"培训；注册午餐；机构晚餐",IF(C1787=Options!$B$9,"抵达；"&amp;IF(C1787=DATE(2026,11,28),"机构晚餐","无统一供餐"),IF(C1787=Options!$B$10,"返程；"&amp;IF(C1787=DATE(2026,12,2),"机构午餐","无统一供餐"),"差旅状态；无统一日程"))))))</f>
        <v/>
      </c>
      <c r="E1787" s="13">
        <f>IF(C1787=Options!$B$9,Options!$C$18,0)</f>
        <v/>
      </c>
      <c r="F1787" s="13">
        <f>IF(AND(A1787&lt;&gt;"",C1787&lt;Options!$B$10),B1787*Options!$X$7,0)</f>
        <v/>
      </c>
      <c r="G1787" s="13">
        <f>F1787*12%</f>
        <v/>
      </c>
      <c r="H1787" s="13">
        <f>IF(A1787="",0,B1787*(86*IF(OR(C1787=Options!$B$9,C1787=Options!$B$10),75%,100%)-IF(C1787=DATE(2026,11,29),23+IF(Options!$B$8="是",22,0),0)-IF(C1787=DATE(2026,11,30),23,0)-IF(C1787=DATE(2026,12,1),59,0)-IF(C1787=DATE(2026,11,28),36,0)-IF(C1787=DATE(2026,12,2),23,0)))</f>
        <v/>
      </c>
      <c r="I1787" s="13">
        <f>IF(AND(C1787&gt;=DATE(2026,11,29),C1787&lt;=DATE(2026,12,1)),B1787*60,0)</f>
        <v/>
      </c>
      <c r="J1787" s="13">
        <f>IF(A1787="",0,B1787*(IF(C1787=DATE(2026,11,28),36,0)+IF(C1787=DATE(2026,12,1),36,0)+IF(C1787=DATE(2026,12,2),23,0)))</f>
        <v/>
      </c>
      <c r="K1787" s="13">
        <f>IF(C1787=Options!$B$9,B1787*12,0)</f>
        <v/>
      </c>
      <c r="L1787" s="13">
        <f>IF(C1787=Options!$B$9,B1787*Options!$Z$7,0)</f>
        <v/>
      </c>
      <c r="M1787" s="13" t="n">
        <v>0</v>
      </c>
      <c r="N1787" s="13">
        <f>SUM(E1787:M1787)</f>
        <v/>
      </c>
    </row>
    <row r="1788">
      <c r="A1788" s="5">
        <f>IF(AND(C1788&gt;=Options!$B$9,C1788&lt;=Options!$B$10),"Phoenix","")</f>
        <v/>
      </c>
      <c r="B1788" s="5">
        <f>IF(A1788="","",18)</f>
        <v/>
      </c>
      <c r="C1788" s="17" t="n">
        <v>46619</v>
      </c>
      <c r="D1788" s="5">
        <f>IF(A1788="","",IF(C1788=DATE(2026,11,29),"培训；注册午餐；早餐参数",IF(C1788=DATE(2026,11,30),"培训；注册午餐",IF(C1788=DATE(2026,12,1),"培训；注册午餐；机构晚餐",IF(C1788=Options!$B$9,"抵达；"&amp;IF(C1788=DATE(2026,11,28),"机构晚餐","无统一供餐"),IF(C1788=Options!$B$10,"返程；"&amp;IF(C1788=DATE(2026,12,2),"机构午餐","无统一供餐"),"差旅状态；无统一日程"))))))</f>
        <v/>
      </c>
      <c r="E1788" s="13">
        <f>IF(C1788=Options!$B$9,Options!$C$18,0)</f>
        <v/>
      </c>
      <c r="F1788" s="13">
        <f>IF(AND(A1788&lt;&gt;"",C1788&lt;Options!$B$10),B1788*Options!$X$7,0)</f>
        <v/>
      </c>
      <c r="G1788" s="13">
        <f>F1788*12%</f>
        <v/>
      </c>
      <c r="H1788" s="13">
        <f>IF(A1788="",0,B1788*(86*IF(OR(C1788=Options!$B$9,C1788=Options!$B$10),75%,100%)-IF(C1788=DATE(2026,11,29),23+IF(Options!$B$8="是",22,0),0)-IF(C1788=DATE(2026,11,30),23,0)-IF(C1788=DATE(2026,12,1),59,0)-IF(C1788=DATE(2026,11,28),36,0)-IF(C1788=DATE(2026,12,2),23,0)))</f>
        <v/>
      </c>
      <c r="I1788" s="13">
        <f>IF(AND(C1788&gt;=DATE(2026,11,29),C1788&lt;=DATE(2026,12,1)),B1788*60,0)</f>
        <v/>
      </c>
      <c r="J1788" s="13">
        <f>IF(A1788="",0,B1788*(IF(C1788=DATE(2026,11,28),36,0)+IF(C1788=DATE(2026,12,1),36,0)+IF(C1788=DATE(2026,12,2),23,0)))</f>
        <v/>
      </c>
      <c r="K1788" s="13">
        <f>IF(C1788=Options!$B$9,B1788*12,0)</f>
        <v/>
      </c>
      <c r="L1788" s="13">
        <f>IF(C1788=Options!$B$9,B1788*Options!$Z$7,0)</f>
        <v/>
      </c>
      <c r="M1788" s="13" t="n">
        <v>0</v>
      </c>
      <c r="N1788" s="13">
        <f>SUM(E1788:M1788)</f>
        <v/>
      </c>
    </row>
    <row r="1789">
      <c r="A1789" s="5">
        <f>IF(AND(C1789&gt;=Options!$B$9,C1789&lt;=Options!$B$10),"Phoenix","")</f>
        <v/>
      </c>
      <c r="B1789" s="5">
        <f>IF(A1789="","",18)</f>
        <v/>
      </c>
      <c r="C1789" s="17" t="n">
        <v>46620</v>
      </c>
      <c r="D1789" s="5">
        <f>IF(A1789="","",IF(C1789=DATE(2026,11,29),"培训；注册午餐；早餐参数",IF(C1789=DATE(2026,11,30),"培训；注册午餐",IF(C1789=DATE(2026,12,1),"培训；注册午餐；机构晚餐",IF(C1789=Options!$B$9,"抵达；"&amp;IF(C1789=DATE(2026,11,28),"机构晚餐","无统一供餐"),IF(C1789=Options!$B$10,"返程；"&amp;IF(C1789=DATE(2026,12,2),"机构午餐","无统一供餐"),"差旅状态；无统一日程"))))))</f>
        <v/>
      </c>
      <c r="E1789" s="13">
        <f>IF(C1789=Options!$B$9,Options!$C$18,0)</f>
        <v/>
      </c>
      <c r="F1789" s="13">
        <f>IF(AND(A1789&lt;&gt;"",C1789&lt;Options!$B$10),B1789*Options!$X$7,0)</f>
        <v/>
      </c>
      <c r="G1789" s="13">
        <f>F1789*12%</f>
        <v/>
      </c>
      <c r="H1789" s="13">
        <f>IF(A1789="",0,B1789*(86*IF(OR(C1789=Options!$B$9,C1789=Options!$B$10),75%,100%)-IF(C1789=DATE(2026,11,29),23+IF(Options!$B$8="是",22,0),0)-IF(C1789=DATE(2026,11,30),23,0)-IF(C1789=DATE(2026,12,1),59,0)-IF(C1789=DATE(2026,11,28),36,0)-IF(C1789=DATE(2026,12,2),23,0)))</f>
        <v/>
      </c>
      <c r="I1789" s="13">
        <f>IF(AND(C1789&gt;=DATE(2026,11,29),C1789&lt;=DATE(2026,12,1)),B1789*60,0)</f>
        <v/>
      </c>
      <c r="J1789" s="13">
        <f>IF(A1789="",0,B1789*(IF(C1789=DATE(2026,11,28),36,0)+IF(C1789=DATE(2026,12,1),36,0)+IF(C1789=DATE(2026,12,2),23,0)))</f>
        <v/>
      </c>
      <c r="K1789" s="13">
        <f>IF(C1789=Options!$B$9,B1789*12,0)</f>
        <v/>
      </c>
      <c r="L1789" s="13">
        <f>IF(C1789=Options!$B$9,B1789*Options!$Z$7,0)</f>
        <v/>
      </c>
      <c r="M1789" s="13" t="n">
        <v>0</v>
      </c>
      <c r="N1789" s="13">
        <f>SUM(E1789:M1789)</f>
        <v/>
      </c>
    </row>
    <row r="1790">
      <c r="A1790" s="5">
        <f>IF(AND(C1790&gt;=Options!$B$9,C1790&lt;=Options!$B$10),"Phoenix","")</f>
        <v/>
      </c>
      <c r="B1790" s="5">
        <f>IF(A1790="","",18)</f>
        <v/>
      </c>
      <c r="C1790" s="17" t="n">
        <v>46621</v>
      </c>
      <c r="D1790" s="5">
        <f>IF(A1790="","",IF(C1790=DATE(2026,11,29),"培训；注册午餐；早餐参数",IF(C1790=DATE(2026,11,30),"培训；注册午餐",IF(C1790=DATE(2026,12,1),"培训；注册午餐；机构晚餐",IF(C1790=Options!$B$9,"抵达；"&amp;IF(C1790=DATE(2026,11,28),"机构晚餐","无统一供餐"),IF(C1790=Options!$B$10,"返程；"&amp;IF(C1790=DATE(2026,12,2),"机构午餐","无统一供餐"),"差旅状态；无统一日程"))))))</f>
        <v/>
      </c>
      <c r="E1790" s="13">
        <f>IF(C1790=Options!$B$9,Options!$C$18,0)</f>
        <v/>
      </c>
      <c r="F1790" s="13">
        <f>IF(AND(A1790&lt;&gt;"",C1790&lt;Options!$B$10),B1790*Options!$X$7,0)</f>
        <v/>
      </c>
      <c r="G1790" s="13">
        <f>F1790*12%</f>
        <v/>
      </c>
      <c r="H1790" s="13">
        <f>IF(A1790="",0,B1790*(86*IF(OR(C1790=Options!$B$9,C1790=Options!$B$10),75%,100%)-IF(C1790=DATE(2026,11,29),23+IF(Options!$B$8="是",22,0),0)-IF(C1790=DATE(2026,11,30),23,0)-IF(C1790=DATE(2026,12,1),59,0)-IF(C1790=DATE(2026,11,28),36,0)-IF(C1790=DATE(2026,12,2),23,0)))</f>
        <v/>
      </c>
      <c r="I1790" s="13">
        <f>IF(AND(C1790&gt;=DATE(2026,11,29),C1790&lt;=DATE(2026,12,1)),B1790*60,0)</f>
        <v/>
      </c>
      <c r="J1790" s="13">
        <f>IF(A1790="",0,B1790*(IF(C1790=DATE(2026,11,28),36,0)+IF(C1790=DATE(2026,12,1),36,0)+IF(C1790=DATE(2026,12,2),23,0)))</f>
        <v/>
      </c>
      <c r="K1790" s="13">
        <f>IF(C1790=Options!$B$9,B1790*12,0)</f>
        <v/>
      </c>
      <c r="L1790" s="13">
        <f>IF(C1790=Options!$B$9,B1790*Options!$Z$7,0)</f>
        <v/>
      </c>
      <c r="M1790" s="13" t="n">
        <v>0</v>
      </c>
      <c r="N1790" s="13">
        <f>SUM(E1790:M1790)</f>
        <v/>
      </c>
    </row>
    <row r="1791">
      <c r="A1791" s="5">
        <f>IF(AND(C1791&gt;=Options!$B$9,C1791&lt;=Options!$B$10),"Phoenix","")</f>
        <v/>
      </c>
      <c r="B1791" s="5">
        <f>IF(A1791="","",18)</f>
        <v/>
      </c>
      <c r="C1791" s="17" t="n">
        <v>46622</v>
      </c>
      <c r="D1791" s="5">
        <f>IF(A1791="","",IF(C1791=DATE(2026,11,29),"培训；注册午餐；早餐参数",IF(C1791=DATE(2026,11,30),"培训；注册午餐",IF(C1791=DATE(2026,12,1),"培训；注册午餐；机构晚餐",IF(C1791=Options!$B$9,"抵达；"&amp;IF(C1791=DATE(2026,11,28),"机构晚餐","无统一供餐"),IF(C1791=Options!$B$10,"返程；"&amp;IF(C1791=DATE(2026,12,2),"机构午餐","无统一供餐"),"差旅状态；无统一日程"))))))</f>
        <v/>
      </c>
      <c r="E1791" s="13">
        <f>IF(C1791=Options!$B$9,Options!$C$18,0)</f>
        <v/>
      </c>
      <c r="F1791" s="13">
        <f>IF(AND(A1791&lt;&gt;"",C1791&lt;Options!$B$10),B1791*Options!$X$7,0)</f>
        <v/>
      </c>
      <c r="G1791" s="13">
        <f>F1791*12%</f>
        <v/>
      </c>
      <c r="H1791" s="13">
        <f>IF(A1791="",0,B1791*(86*IF(OR(C1791=Options!$B$9,C1791=Options!$B$10),75%,100%)-IF(C1791=DATE(2026,11,29),23+IF(Options!$B$8="是",22,0),0)-IF(C1791=DATE(2026,11,30),23,0)-IF(C1791=DATE(2026,12,1),59,0)-IF(C1791=DATE(2026,11,28),36,0)-IF(C1791=DATE(2026,12,2),23,0)))</f>
        <v/>
      </c>
      <c r="I1791" s="13">
        <f>IF(AND(C1791&gt;=DATE(2026,11,29),C1791&lt;=DATE(2026,12,1)),B1791*60,0)</f>
        <v/>
      </c>
      <c r="J1791" s="13">
        <f>IF(A1791="",0,B1791*(IF(C1791=DATE(2026,11,28),36,0)+IF(C1791=DATE(2026,12,1),36,0)+IF(C1791=DATE(2026,12,2),23,0)))</f>
        <v/>
      </c>
      <c r="K1791" s="13">
        <f>IF(C1791=Options!$B$9,B1791*12,0)</f>
        <v/>
      </c>
      <c r="L1791" s="13">
        <f>IF(C1791=Options!$B$9,B1791*Options!$Z$7,0)</f>
        <v/>
      </c>
      <c r="M1791" s="13" t="n">
        <v>0</v>
      </c>
      <c r="N1791" s="13">
        <f>SUM(E1791:M1791)</f>
        <v/>
      </c>
    </row>
    <row r="1792">
      <c r="A1792" s="5">
        <f>IF(AND(C1792&gt;=Options!$B$9,C1792&lt;=Options!$B$10),"Phoenix","")</f>
        <v/>
      </c>
      <c r="B1792" s="5">
        <f>IF(A1792="","",18)</f>
        <v/>
      </c>
      <c r="C1792" s="17" t="n">
        <v>46623</v>
      </c>
      <c r="D1792" s="5">
        <f>IF(A1792="","",IF(C1792=DATE(2026,11,29),"培训；注册午餐；早餐参数",IF(C1792=DATE(2026,11,30),"培训；注册午餐",IF(C1792=DATE(2026,12,1),"培训；注册午餐；机构晚餐",IF(C1792=Options!$B$9,"抵达；"&amp;IF(C1792=DATE(2026,11,28),"机构晚餐","无统一供餐"),IF(C1792=Options!$B$10,"返程；"&amp;IF(C1792=DATE(2026,12,2),"机构午餐","无统一供餐"),"差旅状态；无统一日程"))))))</f>
        <v/>
      </c>
      <c r="E1792" s="13">
        <f>IF(C1792=Options!$B$9,Options!$C$18,0)</f>
        <v/>
      </c>
      <c r="F1792" s="13">
        <f>IF(AND(A1792&lt;&gt;"",C1792&lt;Options!$B$10),B1792*Options!$X$7,0)</f>
        <v/>
      </c>
      <c r="G1792" s="13">
        <f>F1792*12%</f>
        <v/>
      </c>
      <c r="H1792" s="13">
        <f>IF(A1792="",0,B1792*(86*IF(OR(C1792=Options!$B$9,C1792=Options!$B$10),75%,100%)-IF(C1792=DATE(2026,11,29),23+IF(Options!$B$8="是",22,0),0)-IF(C1792=DATE(2026,11,30),23,0)-IF(C1792=DATE(2026,12,1),59,0)-IF(C1792=DATE(2026,11,28),36,0)-IF(C1792=DATE(2026,12,2),23,0)))</f>
        <v/>
      </c>
      <c r="I1792" s="13">
        <f>IF(AND(C1792&gt;=DATE(2026,11,29),C1792&lt;=DATE(2026,12,1)),B1792*60,0)</f>
        <v/>
      </c>
      <c r="J1792" s="13">
        <f>IF(A1792="",0,B1792*(IF(C1792=DATE(2026,11,28),36,0)+IF(C1792=DATE(2026,12,1),36,0)+IF(C1792=DATE(2026,12,2),23,0)))</f>
        <v/>
      </c>
      <c r="K1792" s="13">
        <f>IF(C1792=Options!$B$9,B1792*12,0)</f>
        <v/>
      </c>
      <c r="L1792" s="13">
        <f>IF(C1792=Options!$B$9,B1792*Options!$Z$7,0)</f>
        <v/>
      </c>
      <c r="M1792" s="13" t="n">
        <v>0</v>
      </c>
      <c r="N1792" s="13">
        <f>SUM(E1792:M1792)</f>
        <v/>
      </c>
    </row>
    <row r="1793">
      <c r="A1793" s="5">
        <f>IF(AND(C1793&gt;=Options!$B$9,C1793&lt;=Options!$B$10),"Phoenix","")</f>
        <v/>
      </c>
      <c r="B1793" s="5">
        <f>IF(A1793="","",18)</f>
        <v/>
      </c>
      <c r="C1793" s="17" t="n">
        <v>46624</v>
      </c>
      <c r="D1793" s="5">
        <f>IF(A1793="","",IF(C1793=DATE(2026,11,29),"培训；注册午餐；早餐参数",IF(C1793=DATE(2026,11,30),"培训；注册午餐",IF(C1793=DATE(2026,12,1),"培训；注册午餐；机构晚餐",IF(C1793=Options!$B$9,"抵达；"&amp;IF(C1793=DATE(2026,11,28),"机构晚餐","无统一供餐"),IF(C1793=Options!$B$10,"返程；"&amp;IF(C1793=DATE(2026,12,2),"机构午餐","无统一供餐"),"差旅状态；无统一日程"))))))</f>
        <v/>
      </c>
      <c r="E1793" s="13">
        <f>IF(C1793=Options!$B$9,Options!$C$18,0)</f>
        <v/>
      </c>
      <c r="F1793" s="13">
        <f>IF(AND(A1793&lt;&gt;"",C1793&lt;Options!$B$10),B1793*Options!$X$7,0)</f>
        <v/>
      </c>
      <c r="G1793" s="13">
        <f>F1793*12%</f>
        <v/>
      </c>
      <c r="H1793" s="13">
        <f>IF(A1793="",0,B1793*(86*IF(OR(C1793=Options!$B$9,C1793=Options!$B$10),75%,100%)-IF(C1793=DATE(2026,11,29),23+IF(Options!$B$8="是",22,0),0)-IF(C1793=DATE(2026,11,30),23,0)-IF(C1793=DATE(2026,12,1),59,0)-IF(C1793=DATE(2026,11,28),36,0)-IF(C1793=DATE(2026,12,2),23,0)))</f>
        <v/>
      </c>
      <c r="I1793" s="13">
        <f>IF(AND(C1793&gt;=DATE(2026,11,29),C1793&lt;=DATE(2026,12,1)),B1793*60,0)</f>
        <v/>
      </c>
      <c r="J1793" s="13">
        <f>IF(A1793="",0,B1793*(IF(C1793=DATE(2026,11,28),36,0)+IF(C1793=DATE(2026,12,1),36,0)+IF(C1793=DATE(2026,12,2),23,0)))</f>
        <v/>
      </c>
      <c r="K1793" s="13">
        <f>IF(C1793=Options!$B$9,B1793*12,0)</f>
        <v/>
      </c>
      <c r="L1793" s="13">
        <f>IF(C1793=Options!$B$9,B1793*Options!$Z$7,0)</f>
        <v/>
      </c>
      <c r="M1793" s="13" t="n">
        <v>0</v>
      </c>
      <c r="N1793" s="13">
        <f>SUM(E1793:M1793)</f>
        <v/>
      </c>
    </row>
    <row r="1794">
      <c r="A1794" s="5">
        <f>IF(AND(C1794&gt;=Options!$B$9,C1794&lt;=Options!$B$10),"Phoenix","")</f>
        <v/>
      </c>
      <c r="B1794" s="5">
        <f>IF(A1794="","",18)</f>
        <v/>
      </c>
      <c r="C1794" s="17" t="n">
        <v>46625</v>
      </c>
      <c r="D1794" s="5">
        <f>IF(A1794="","",IF(C1794=DATE(2026,11,29),"培训；注册午餐；早餐参数",IF(C1794=DATE(2026,11,30),"培训；注册午餐",IF(C1794=DATE(2026,12,1),"培训；注册午餐；机构晚餐",IF(C1794=Options!$B$9,"抵达；"&amp;IF(C1794=DATE(2026,11,28),"机构晚餐","无统一供餐"),IF(C1794=Options!$B$10,"返程；"&amp;IF(C1794=DATE(2026,12,2),"机构午餐","无统一供餐"),"差旅状态；无统一日程"))))))</f>
        <v/>
      </c>
      <c r="E1794" s="13">
        <f>IF(C1794=Options!$B$9,Options!$C$18,0)</f>
        <v/>
      </c>
      <c r="F1794" s="13">
        <f>IF(AND(A1794&lt;&gt;"",C1794&lt;Options!$B$10),B1794*Options!$X$7,0)</f>
        <v/>
      </c>
      <c r="G1794" s="13">
        <f>F1794*12%</f>
        <v/>
      </c>
      <c r="H1794" s="13">
        <f>IF(A1794="",0,B1794*(86*IF(OR(C1794=Options!$B$9,C1794=Options!$B$10),75%,100%)-IF(C1794=DATE(2026,11,29),23+IF(Options!$B$8="是",22,0),0)-IF(C1794=DATE(2026,11,30),23,0)-IF(C1794=DATE(2026,12,1),59,0)-IF(C1794=DATE(2026,11,28),36,0)-IF(C1794=DATE(2026,12,2),23,0)))</f>
        <v/>
      </c>
      <c r="I1794" s="13">
        <f>IF(AND(C1794&gt;=DATE(2026,11,29),C1794&lt;=DATE(2026,12,1)),B1794*60,0)</f>
        <v/>
      </c>
      <c r="J1794" s="13">
        <f>IF(A1794="",0,B1794*(IF(C1794=DATE(2026,11,28),36,0)+IF(C1794=DATE(2026,12,1),36,0)+IF(C1794=DATE(2026,12,2),23,0)))</f>
        <v/>
      </c>
      <c r="K1794" s="13">
        <f>IF(C1794=Options!$B$9,B1794*12,0)</f>
        <v/>
      </c>
      <c r="L1794" s="13">
        <f>IF(C1794=Options!$B$9,B1794*Options!$Z$7,0)</f>
        <v/>
      </c>
      <c r="M1794" s="13" t="n">
        <v>0</v>
      </c>
      <c r="N1794" s="13">
        <f>SUM(E1794:M1794)</f>
        <v/>
      </c>
    </row>
    <row r="1795">
      <c r="A1795" s="5">
        <f>IF(AND(C1795&gt;=Options!$B$9,C1795&lt;=Options!$B$10),"Phoenix","")</f>
        <v/>
      </c>
      <c r="B1795" s="5">
        <f>IF(A1795="","",18)</f>
        <v/>
      </c>
      <c r="C1795" s="17" t="n">
        <v>46626</v>
      </c>
      <c r="D1795" s="5">
        <f>IF(A1795="","",IF(C1795=DATE(2026,11,29),"培训；注册午餐；早餐参数",IF(C1795=DATE(2026,11,30),"培训；注册午餐",IF(C1795=DATE(2026,12,1),"培训；注册午餐；机构晚餐",IF(C1795=Options!$B$9,"抵达；"&amp;IF(C1795=DATE(2026,11,28),"机构晚餐","无统一供餐"),IF(C1795=Options!$B$10,"返程；"&amp;IF(C1795=DATE(2026,12,2),"机构午餐","无统一供餐"),"差旅状态；无统一日程"))))))</f>
        <v/>
      </c>
      <c r="E1795" s="13">
        <f>IF(C1795=Options!$B$9,Options!$C$18,0)</f>
        <v/>
      </c>
      <c r="F1795" s="13">
        <f>IF(AND(A1795&lt;&gt;"",C1795&lt;Options!$B$10),B1795*Options!$X$7,0)</f>
        <v/>
      </c>
      <c r="G1795" s="13">
        <f>F1795*12%</f>
        <v/>
      </c>
      <c r="H1795" s="13">
        <f>IF(A1795="",0,B1795*(86*IF(OR(C1795=Options!$B$9,C1795=Options!$B$10),75%,100%)-IF(C1795=DATE(2026,11,29),23+IF(Options!$B$8="是",22,0),0)-IF(C1795=DATE(2026,11,30),23,0)-IF(C1795=DATE(2026,12,1),59,0)-IF(C1795=DATE(2026,11,28),36,0)-IF(C1795=DATE(2026,12,2),23,0)))</f>
        <v/>
      </c>
      <c r="I1795" s="13">
        <f>IF(AND(C1795&gt;=DATE(2026,11,29),C1795&lt;=DATE(2026,12,1)),B1795*60,0)</f>
        <v/>
      </c>
      <c r="J1795" s="13">
        <f>IF(A1795="",0,B1795*(IF(C1795=DATE(2026,11,28),36,0)+IF(C1795=DATE(2026,12,1),36,0)+IF(C1795=DATE(2026,12,2),23,0)))</f>
        <v/>
      </c>
      <c r="K1795" s="13">
        <f>IF(C1795=Options!$B$9,B1795*12,0)</f>
        <v/>
      </c>
      <c r="L1795" s="13">
        <f>IF(C1795=Options!$B$9,B1795*Options!$Z$7,0)</f>
        <v/>
      </c>
      <c r="M1795" s="13" t="n">
        <v>0</v>
      </c>
      <c r="N1795" s="13">
        <f>SUM(E1795:M1795)</f>
        <v/>
      </c>
    </row>
    <row r="1796">
      <c r="A1796" s="5">
        <f>IF(AND(C1796&gt;=Options!$B$9,C1796&lt;=Options!$B$10),"Phoenix","")</f>
        <v/>
      </c>
      <c r="B1796" s="5">
        <f>IF(A1796="","",18)</f>
        <v/>
      </c>
      <c r="C1796" s="17" t="n">
        <v>46627</v>
      </c>
      <c r="D1796" s="5">
        <f>IF(A1796="","",IF(C1796=DATE(2026,11,29),"培训；注册午餐；早餐参数",IF(C1796=DATE(2026,11,30),"培训；注册午餐",IF(C1796=DATE(2026,12,1),"培训；注册午餐；机构晚餐",IF(C1796=Options!$B$9,"抵达；"&amp;IF(C1796=DATE(2026,11,28),"机构晚餐","无统一供餐"),IF(C1796=Options!$B$10,"返程；"&amp;IF(C1796=DATE(2026,12,2),"机构午餐","无统一供餐"),"差旅状态；无统一日程"))))))</f>
        <v/>
      </c>
      <c r="E1796" s="13">
        <f>IF(C1796=Options!$B$9,Options!$C$18,0)</f>
        <v/>
      </c>
      <c r="F1796" s="13">
        <f>IF(AND(A1796&lt;&gt;"",C1796&lt;Options!$B$10),B1796*Options!$X$7,0)</f>
        <v/>
      </c>
      <c r="G1796" s="13">
        <f>F1796*12%</f>
        <v/>
      </c>
      <c r="H1796" s="13">
        <f>IF(A1796="",0,B1796*(86*IF(OR(C1796=Options!$B$9,C1796=Options!$B$10),75%,100%)-IF(C1796=DATE(2026,11,29),23+IF(Options!$B$8="是",22,0),0)-IF(C1796=DATE(2026,11,30),23,0)-IF(C1796=DATE(2026,12,1),59,0)-IF(C1796=DATE(2026,11,28),36,0)-IF(C1796=DATE(2026,12,2),23,0)))</f>
        <v/>
      </c>
      <c r="I1796" s="13">
        <f>IF(AND(C1796&gt;=DATE(2026,11,29),C1796&lt;=DATE(2026,12,1)),B1796*60,0)</f>
        <v/>
      </c>
      <c r="J1796" s="13">
        <f>IF(A1796="",0,B1796*(IF(C1796=DATE(2026,11,28),36,0)+IF(C1796=DATE(2026,12,1),36,0)+IF(C1796=DATE(2026,12,2),23,0)))</f>
        <v/>
      </c>
      <c r="K1796" s="13">
        <f>IF(C1796=Options!$B$9,B1796*12,0)</f>
        <v/>
      </c>
      <c r="L1796" s="13">
        <f>IF(C1796=Options!$B$9,B1796*Options!$Z$7,0)</f>
        <v/>
      </c>
      <c r="M1796" s="13" t="n">
        <v>0</v>
      </c>
      <c r="N1796" s="13">
        <f>SUM(E1796:M1796)</f>
        <v/>
      </c>
    </row>
    <row r="1797">
      <c r="A1797" s="5">
        <f>IF(AND(C1797&gt;=Options!$B$9,C1797&lt;=Options!$B$10),"Phoenix","")</f>
        <v/>
      </c>
      <c r="B1797" s="5">
        <f>IF(A1797="","",18)</f>
        <v/>
      </c>
      <c r="C1797" s="17" t="n">
        <v>46628</v>
      </c>
      <c r="D1797" s="5">
        <f>IF(A1797="","",IF(C1797=DATE(2026,11,29),"培训；注册午餐；早餐参数",IF(C1797=DATE(2026,11,30),"培训；注册午餐",IF(C1797=DATE(2026,12,1),"培训；注册午餐；机构晚餐",IF(C1797=Options!$B$9,"抵达；"&amp;IF(C1797=DATE(2026,11,28),"机构晚餐","无统一供餐"),IF(C1797=Options!$B$10,"返程；"&amp;IF(C1797=DATE(2026,12,2),"机构午餐","无统一供餐"),"差旅状态；无统一日程"))))))</f>
        <v/>
      </c>
      <c r="E1797" s="13">
        <f>IF(C1797=Options!$B$9,Options!$C$18,0)</f>
        <v/>
      </c>
      <c r="F1797" s="13">
        <f>IF(AND(A1797&lt;&gt;"",C1797&lt;Options!$B$10),B1797*Options!$X$7,0)</f>
        <v/>
      </c>
      <c r="G1797" s="13">
        <f>F1797*12%</f>
        <v/>
      </c>
      <c r="H1797" s="13">
        <f>IF(A1797="",0,B1797*(86*IF(OR(C1797=Options!$B$9,C1797=Options!$B$10),75%,100%)-IF(C1797=DATE(2026,11,29),23+IF(Options!$B$8="是",22,0),0)-IF(C1797=DATE(2026,11,30),23,0)-IF(C1797=DATE(2026,12,1),59,0)-IF(C1797=DATE(2026,11,28),36,0)-IF(C1797=DATE(2026,12,2),23,0)))</f>
        <v/>
      </c>
      <c r="I1797" s="13">
        <f>IF(AND(C1797&gt;=DATE(2026,11,29),C1797&lt;=DATE(2026,12,1)),B1797*60,0)</f>
        <v/>
      </c>
      <c r="J1797" s="13">
        <f>IF(A1797="",0,B1797*(IF(C1797=DATE(2026,11,28),36,0)+IF(C1797=DATE(2026,12,1),36,0)+IF(C1797=DATE(2026,12,2),23,0)))</f>
        <v/>
      </c>
      <c r="K1797" s="13">
        <f>IF(C1797=Options!$B$9,B1797*12,0)</f>
        <v/>
      </c>
      <c r="L1797" s="13">
        <f>IF(C1797=Options!$B$9,B1797*Options!$Z$7,0)</f>
        <v/>
      </c>
      <c r="M1797" s="13" t="n">
        <v>0</v>
      </c>
      <c r="N1797" s="13">
        <f>SUM(E1797:M1797)</f>
        <v/>
      </c>
    </row>
    <row r="1798">
      <c r="A1798" s="5">
        <f>IF(AND(C1798&gt;=Options!$B$9,C1798&lt;=Options!$B$10),"Phoenix","")</f>
        <v/>
      </c>
      <c r="B1798" s="5">
        <f>IF(A1798="","",18)</f>
        <v/>
      </c>
      <c r="C1798" s="17" t="n">
        <v>46629</v>
      </c>
      <c r="D1798" s="5">
        <f>IF(A1798="","",IF(C1798=DATE(2026,11,29),"培训；注册午餐；早餐参数",IF(C1798=DATE(2026,11,30),"培训；注册午餐",IF(C1798=DATE(2026,12,1),"培训；注册午餐；机构晚餐",IF(C1798=Options!$B$9,"抵达；"&amp;IF(C1798=DATE(2026,11,28),"机构晚餐","无统一供餐"),IF(C1798=Options!$B$10,"返程；"&amp;IF(C1798=DATE(2026,12,2),"机构午餐","无统一供餐"),"差旅状态；无统一日程"))))))</f>
        <v/>
      </c>
      <c r="E1798" s="13">
        <f>IF(C1798=Options!$B$9,Options!$C$18,0)</f>
        <v/>
      </c>
      <c r="F1798" s="13">
        <f>IF(AND(A1798&lt;&gt;"",C1798&lt;Options!$B$10),B1798*Options!$X$7,0)</f>
        <v/>
      </c>
      <c r="G1798" s="13">
        <f>F1798*12%</f>
        <v/>
      </c>
      <c r="H1798" s="13">
        <f>IF(A1798="",0,B1798*(86*IF(OR(C1798=Options!$B$9,C1798=Options!$B$10),75%,100%)-IF(C1798=DATE(2026,11,29),23+IF(Options!$B$8="是",22,0),0)-IF(C1798=DATE(2026,11,30),23,0)-IF(C1798=DATE(2026,12,1),59,0)-IF(C1798=DATE(2026,11,28),36,0)-IF(C1798=DATE(2026,12,2),23,0)))</f>
        <v/>
      </c>
      <c r="I1798" s="13">
        <f>IF(AND(C1798&gt;=DATE(2026,11,29),C1798&lt;=DATE(2026,12,1)),B1798*60,0)</f>
        <v/>
      </c>
      <c r="J1798" s="13">
        <f>IF(A1798="",0,B1798*(IF(C1798=DATE(2026,11,28),36,0)+IF(C1798=DATE(2026,12,1),36,0)+IF(C1798=DATE(2026,12,2),23,0)))</f>
        <v/>
      </c>
      <c r="K1798" s="13">
        <f>IF(C1798=Options!$B$9,B1798*12,0)</f>
        <v/>
      </c>
      <c r="L1798" s="13">
        <f>IF(C1798=Options!$B$9,B1798*Options!$Z$7,0)</f>
        <v/>
      </c>
      <c r="M1798" s="13" t="n">
        <v>0</v>
      </c>
      <c r="N1798" s="13">
        <f>SUM(E1798:M1798)</f>
        <v/>
      </c>
    </row>
    <row r="1799">
      <c r="A1799" s="5">
        <f>IF(AND(C1799&gt;=Options!$B$9,C1799&lt;=Options!$B$10),"Phoenix","")</f>
        <v/>
      </c>
      <c r="B1799" s="5">
        <f>IF(A1799="","",18)</f>
        <v/>
      </c>
      <c r="C1799" s="17" t="n">
        <v>46630</v>
      </c>
      <c r="D1799" s="5">
        <f>IF(A1799="","",IF(C1799=DATE(2026,11,29),"培训；注册午餐；早餐参数",IF(C1799=DATE(2026,11,30),"培训；注册午餐",IF(C1799=DATE(2026,12,1),"培训；注册午餐；机构晚餐",IF(C1799=Options!$B$9,"抵达；"&amp;IF(C1799=DATE(2026,11,28),"机构晚餐","无统一供餐"),IF(C1799=Options!$B$10,"返程；"&amp;IF(C1799=DATE(2026,12,2),"机构午餐","无统一供餐"),"差旅状态；无统一日程"))))))</f>
        <v/>
      </c>
      <c r="E1799" s="13">
        <f>IF(C1799=Options!$B$9,Options!$C$18,0)</f>
        <v/>
      </c>
      <c r="F1799" s="13">
        <f>IF(AND(A1799&lt;&gt;"",C1799&lt;Options!$B$10),B1799*Options!$X$7,0)</f>
        <v/>
      </c>
      <c r="G1799" s="13">
        <f>F1799*12%</f>
        <v/>
      </c>
      <c r="H1799" s="13">
        <f>IF(A1799="",0,B1799*(86*IF(OR(C1799=Options!$B$9,C1799=Options!$B$10),75%,100%)-IF(C1799=DATE(2026,11,29),23+IF(Options!$B$8="是",22,0),0)-IF(C1799=DATE(2026,11,30),23,0)-IF(C1799=DATE(2026,12,1),59,0)-IF(C1799=DATE(2026,11,28),36,0)-IF(C1799=DATE(2026,12,2),23,0)))</f>
        <v/>
      </c>
      <c r="I1799" s="13">
        <f>IF(AND(C1799&gt;=DATE(2026,11,29),C1799&lt;=DATE(2026,12,1)),B1799*60,0)</f>
        <v/>
      </c>
      <c r="J1799" s="13">
        <f>IF(A1799="",0,B1799*(IF(C1799=DATE(2026,11,28),36,0)+IF(C1799=DATE(2026,12,1),36,0)+IF(C1799=DATE(2026,12,2),23,0)))</f>
        <v/>
      </c>
      <c r="K1799" s="13">
        <f>IF(C1799=Options!$B$9,B1799*12,0)</f>
        <v/>
      </c>
      <c r="L1799" s="13">
        <f>IF(C1799=Options!$B$9,B1799*Options!$Z$7,0)</f>
        <v/>
      </c>
      <c r="M1799" s="13" t="n">
        <v>0</v>
      </c>
      <c r="N1799" s="13">
        <f>SUM(E1799:M1799)</f>
        <v/>
      </c>
    </row>
    <row r="1800">
      <c r="A1800" s="5">
        <f>IF(AND(C1800&gt;=Options!$B$9,C1800&lt;=Options!$B$10),"Phoenix","")</f>
        <v/>
      </c>
      <c r="B1800" s="5">
        <f>IF(A1800="","",18)</f>
        <v/>
      </c>
      <c r="C1800" s="17" t="n">
        <v>46631</v>
      </c>
      <c r="D1800" s="5">
        <f>IF(A1800="","",IF(C1800=DATE(2026,11,29),"培训；注册午餐；早餐参数",IF(C1800=DATE(2026,11,30),"培训；注册午餐",IF(C1800=DATE(2026,12,1),"培训；注册午餐；机构晚餐",IF(C1800=Options!$B$9,"抵达；"&amp;IF(C1800=DATE(2026,11,28),"机构晚餐","无统一供餐"),IF(C1800=Options!$B$10,"返程；"&amp;IF(C1800=DATE(2026,12,2),"机构午餐","无统一供餐"),"差旅状态；无统一日程"))))))</f>
        <v/>
      </c>
      <c r="E1800" s="13">
        <f>IF(C1800=Options!$B$9,Options!$C$18,0)</f>
        <v/>
      </c>
      <c r="F1800" s="13">
        <f>IF(AND(A1800&lt;&gt;"",C1800&lt;Options!$B$10),B1800*Options!$X$7,0)</f>
        <v/>
      </c>
      <c r="G1800" s="13">
        <f>F1800*12%</f>
        <v/>
      </c>
      <c r="H1800" s="13">
        <f>IF(A1800="",0,B1800*(86*IF(OR(C1800=Options!$B$9,C1800=Options!$B$10),75%,100%)-IF(C1800=DATE(2026,11,29),23+IF(Options!$B$8="是",22,0),0)-IF(C1800=DATE(2026,11,30),23,0)-IF(C1800=DATE(2026,12,1),59,0)-IF(C1800=DATE(2026,11,28),36,0)-IF(C1800=DATE(2026,12,2),23,0)))</f>
        <v/>
      </c>
      <c r="I1800" s="13">
        <f>IF(AND(C1800&gt;=DATE(2026,11,29),C1800&lt;=DATE(2026,12,1)),B1800*60,0)</f>
        <v/>
      </c>
      <c r="J1800" s="13">
        <f>IF(A1800="",0,B1800*(IF(C1800=DATE(2026,11,28),36,0)+IF(C1800=DATE(2026,12,1),36,0)+IF(C1800=DATE(2026,12,2),23,0)))</f>
        <v/>
      </c>
      <c r="K1800" s="13">
        <f>IF(C1800=Options!$B$9,B1800*12,0)</f>
        <v/>
      </c>
      <c r="L1800" s="13">
        <f>IF(C1800=Options!$B$9,B1800*Options!$Z$7,0)</f>
        <v/>
      </c>
      <c r="M1800" s="13" t="n">
        <v>0</v>
      </c>
      <c r="N1800" s="13">
        <f>SUM(E1800:M1800)</f>
        <v/>
      </c>
    </row>
    <row r="1801">
      <c r="A1801" s="5">
        <f>IF(AND(C1801&gt;=Options!$B$9,C1801&lt;=Options!$B$10),"Phoenix","")</f>
        <v/>
      </c>
      <c r="B1801" s="5">
        <f>IF(A1801="","",18)</f>
        <v/>
      </c>
      <c r="C1801" s="17" t="n">
        <v>46632</v>
      </c>
      <c r="D1801" s="5">
        <f>IF(A1801="","",IF(C1801=DATE(2026,11,29),"培训；注册午餐；早餐参数",IF(C1801=DATE(2026,11,30),"培训；注册午餐",IF(C1801=DATE(2026,12,1),"培训；注册午餐；机构晚餐",IF(C1801=Options!$B$9,"抵达；"&amp;IF(C1801=DATE(2026,11,28),"机构晚餐","无统一供餐"),IF(C1801=Options!$B$10,"返程；"&amp;IF(C1801=DATE(2026,12,2),"机构午餐","无统一供餐"),"差旅状态；无统一日程"))))))</f>
        <v/>
      </c>
      <c r="E1801" s="13">
        <f>IF(C1801=Options!$B$9,Options!$C$18,0)</f>
        <v/>
      </c>
      <c r="F1801" s="13">
        <f>IF(AND(A1801&lt;&gt;"",C1801&lt;Options!$B$10),B1801*Options!$X$7,0)</f>
        <v/>
      </c>
      <c r="G1801" s="13">
        <f>F1801*12%</f>
        <v/>
      </c>
      <c r="H1801" s="13">
        <f>IF(A1801="",0,B1801*(86*IF(OR(C1801=Options!$B$9,C1801=Options!$B$10),75%,100%)-IF(C1801=DATE(2026,11,29),23+IF(Options!$B$8="是",22,0),0)-IF(C1801=DATE(2026,11,30),23,0)-IF(C1801=DATE(2026,12,1),59,0)-IF(C1801=DATE(2026,11,28),36,0)-IF(C1801=DATE(2026,12,2),23,0)))</f>
        <v/>
      </c>
      <c r="I1801" s="13">
        <f>IF(AND(C1801&gt;=DATE(2026,11,29),C1801&lt;=DATE(2026,12,1)),B1801*60,0)</f>
        <v/>
      </c>
      <c r="J1801" s="13">
        <f>IF(A1801="",0,B1801*(IF(C1801=DATE(2026,11,28),36,0)+IF(C1801=DATE(2026,12,1),36,0)+IF(C1801=DATE(2026,12,2),23,0)))</f>
        <v/>
      </c>
      <c r="K1801" s="13">
        <f>IF(C1801=Options!$B$9,B1801*12,0)</f>
        <v/>
      </c>
      <c r="L1801" s="13">
        <f>IF(C1801=Options!$B$9,B1801*Options!$Z$7,0)</f>
        <v/>
      </c>
      <c r="M1801" s="13" t="n">
        <v>0</v>
      </c>
      <c r="N1801" s="13">
        <f>SUM(E1801:M1801)</f>
        <v/>
      </c>
    </row>
    <row r="1802">
      <c r="A1802" s="5">
        <f>IF(AND(C1802&gt;=Options!$B$9,C1802&lt;=Options!$B$10),"Phoenix","")</f>
        <v/>
      </c>
      <c r="B1802" s="5">
        <f>IF(A1802="","",18)</f>
        <v/>
      </c>
      <c r="C1802" s="17" t="n">
        <v>46633</v>
      </c>
      <c r="D1802" s="5">
        <f>IF(A1802="","",IF(C1802=DATE(2026,11,29),"培训；注册午餐；早餐参数",IF(C1802=DATE(2026,11,30),"培训；注册午餐",IF(C1802=DATE(2026,12,1),"培训；注册午餐；机构晚餐",IF(C1802=Options!$B$9,"抵达；"&amp;IF(C1802=DATE(2026,11,28),"机构晚餐","无统一供餐"),IF(C1802=Options!$B$10,"返程；"&amp;IF(C1802=DATE(2026,12,2),"机构午餐","无统一供餐"),"差旅状态；无统一日程"))))))</f>
        <v/>
      </c>
      <c r="E1802" s="13">
        <f>IF(C1802=Options!$B$9,Options!$C$18,0)</f>
        <v/>
      </c>
      <c r="F1802" s="13">
        <f>IF(AND(A1802&lt;&gt;"",C1802&lt;Options!$B$10),B1802*Options!$X$7,0)</f>
        <v/>
      </c>
      <c r="G1802" s="13">
        <f>F1802*12%</f>
        <v/>
      </c>
      <c r="H1802" s="13">
        <f>IF(A1802="",0,B1802*(86*IF(OR(C1802=Options!$B$9,C1802=Options!$B$10),75%,100%)-IF(C1802=DATE(2026,11,29),23+IF(Options!$B$8="是",22,0),0)-IF(C1802=DATE(2026,11,30),23,0)-IF(C1802=DATE(2026,12,1),59,0)-IF(C1802=DATE(2026,11,28),36,0)-IF(C1802=DATE(2026,12,2),23,0)))</f>
        <v/>
      </c>
      <c r="I1802" s="13">
        <f>IF(AND(C1802&gt;=DATE(2026,11,29),C1802&lt;=DATE(2026,12,1)),B1802*60,0)</f>
        <v/>
      </c>
      <c r="J1802" s="13">
        <f>IF(A1802="",0,B1802*(IF(C1802=DATE(2026,11,28),36,0)+IF(C1802=DATE(2026,12,1),36,0)+IF(C1802=DATE(2026,12,2),23,0)))</f>
        <v/>
      </c>
      <c r="K1802" s="13">
        <f>IF(C1802=Options!$B$9,B1802*12,0)</f>
        <v/>
      </c>
      <c r="L1802" s="13">
        <f>IF(C1802=Options!$B$9,B1802*Options!$Z$7,0)</f>
        <v/>
      </c>
      <c r="M1802" s="13" t="n">
        <v>0</v>
      </c>
      <c r="N1802" s="13">
        <f>SUM(E1802:M1802)</f>
        <v/>
      </c>
    </row>
    <row r="1803">
      <c r="A1803" s="5">
        <f>IF(AND(C1803&gt;=Options!$B$9,C1803&lt;=Options!$B$10),"Phoenix","")</f>
        <v/>
      </c>
      <c r="B1803" s="5">
        <f>IF(A1803="","",18)</f>
        <v/>
      </c>
      <c r="C1803" s="17" t="n">
        <v>46634</v>
      </c>
      <c r="D1803" s="5">
        <f>IF(A1803="","",IF(C1803=DATE(2026,11,29),"培训；注册午餐；早餐参数",IF(C1803=DATE(2026,11,30),"培训；注册午餐",IF(C1803=DATE(2026,12,1),"培训；注册午餐；机构晚餐",IF(C1803=Options!$B$9,"抵达；"&amp;IF(C1803=DATE(2026,11,28),"机构晚餐","无统一供餐"),IF(C1803=Options!$B$10,"返程；"&amp;IF(C1803=DATE(2026,12,2),"机构午餐","无统一供餐"),"差旅状态；无统一日程"))))))</f>
        <v/>
      </c>
      <c r="E1803" s="13">
        <f>IF(C1803=Options!$B$9,Options!$C$18,0)</f>
        <v/>
      </c>
      <c r="F1803" s="13">
        <f>IF(AND(A1803&lt;&gt;"",C1803&lt;Options!$B$10),B1803*Options!$X$7,0)</f>
        <v/>
      </c>
      <c r="G1803" s="13">
        <f>F1803*12%</f>
        <v/>
      </c>
      <c r="H1803" s="13">
        <f>IF(A1803="",0,B1803*(86*IF(OR(C1803=Options!$B$9,C1803=Options!$B$10),75%,100%)-IF(C1803=DATE(2026,11,29),23+IF(Options!$B$8="是",22,0),0)-IF(C1803=DATE(2026,11,30),23,0)-IF(C1803=DATE(2026,12,1),59,0)-IF(C1803=DATE(2026,11,28),36,0)-IF(C1803=DATE(2026,12,2),23,0)))</f>
        <v/>
      </c>
      <c r="I1803" s="13">
        <f>IF(AND(C1803&gt;=DATE(2026,11,29),C1803&lt;=DATE(2026,12,1)),B1803*60,0)</f>
        <v/>
      </c>
      <c r="J1803" s="13">
        <f>IF(A1803="",0,B1803*(IF(C1803=DATE(2026,11,28),36,0)+IF(C1803=DATE(2026,12,1),36,0)+IF(C1803=DATE(2026,12,2),23,0)))</f>
        <v/>
      </c>
      <c r="K1803" s="13">
        <f>IF(C1803=Options!$B$9,B1803*12,0)</f>
        <v/>
      </c>
      <c r="L1803" s="13">
        <f>IF(C1803=Options!$B$9,B1803*Options!$Z$7,0)</f>
        <v/>
      </c>
      <c r="M1803" s="13" t="n">
        <v>0</v>
      </c>
      <c r="N1803" s="13">
        <f>SUM(E1803:M1803)</f>
        <v/>
      </c>
    </row>
    <row r="1804">
      <c r="A1804" s="5">
        <f>IF(AND(C1804&gt;=Options!$B$9,C1804&lt;=Options!$B$10),"Phoenix","")</f>
        <v/>
      </c>
      <c r="B1804" s="5">
        <f>IF(A1804="","",18)</f>
        <v/>
      </c>
      <c r="C1804" s="17" t="n">
        <v>46635</v>
      </c>
      <c r="D1804" s="5">
        <f>IF(A1804="","",IF(C1804=DATE(2026,11,29),"培训；注册午餐；早餐参数",IF(C1804=DATE(2026,11,30),"培训；注册午餐",IF(C1804=DATE(2026,12,1),"培训；注册午餐；机构晚餐",IF(C1804=Options!$B$9,"抵达；"&amp;IF(C1804=DATE(2026,11,28),"机构晚餐","无统一供餐"),IF(C1804=Options!$B$10,"返程；"&amp;IF(C1804=DATE(2026,12,2),"机构午餐","无统一供餐"),"差旅状态；无统一日程"))))))</f>
        <v/>
      </c>
      <c r="E1804" s="13">
        <f>IF(C1804=Options!$B$9,Options!$C$18,0)</f>
        <v/>
      </c>
      <c r="F1804" s="13">
        <f>IF(AND(A1804&lt;&gt;"",C1804&lt;Options!$B$10),B1804*Options!$X$7,0)</f>
        <v/>
      </c>
      <c r="G1804" s="13">
        <f>F1804*12%</f>
        <v/>
      </c>
      <c r="H1804" s="13">
        <f>IF(A1804="",0,B1804*(86*IF(OR(C1804=Options!$B$9,C1804=Options!$B$10),75%,100%)-IF(C1804=DATE(2026,11,29),23+IF(Options!$B$8="是",22,0),0)-IF(C1804=DATE(2026,11,30),23,0)-IF(C1804=DATE(2026,12,1),59,0)-IF(C1804=DATE(2026,11,28),36,0)-IF(C1804=DATE(2026,12,2),23,0)))</f>
        <v/>
      </c>
      <c r="I1804" s="13">
        <f>IF(AND(C1804&gt;=DATE(2026,11,29),C1804&lt;=DATE(2026,12,1)),B1804*60,0)</f>
        <v/>
      </c>
      <c r="J1804" s="13">
        <f>IF(A1804="",0,B1804*(IF(C1804=DATE(2026,11,28),36,0)+IF(C1804=DATE(2026,12,1),36,0)+IF(C1804=DATE(2026,12,2),23,0)))</f>
        <v/>
      </c>
      <c r="K1804" s="13">
        <f>IF(C1804=Options!$B$9,B1804*12,0)</f>
        <v/>
      </c>
      <c r="L1804" s="13">
        <f>IF(C1804=Options!$B$9,B1804*Options!$Z$7,0)</f>
        <v/>
      </c>
      <c r="M1804" s="13" t="n">
        <v>0</v>
      </c>
      <c r="N1804" s="13">
        <f>SUM(E1804:M1804)</f>
        <v/>
      </c>
    </row>
    <row r="1805">
      <c r="A1805" s="5">
        <f>IF(AND(C1805&gt;=Options!$B$9,C1805&lt;=Options!$B$10),"Phoenix","")</f>
        <v/>
      </c>
      <c r="B1805" s="5">
        <f>IF(A1805="","",18)</f>
        <v/>
      </c>
      <c r="C1805" s="17" t="n">
        <v>46636</v>
      </c>
      <c r="D1805" s="5">
        <f>IF(A1805="","",IF(C1805=DATE(2026,11,29),"培训；注册午餐；早餐参数",IF(C1805=DATE(2026,11,30),"培训；注册午餐",IF(C1805=DATE(2026,12,1),"培训；注册午餐；机构晚餐",IF(C1805=Options!$B$9,"抵达；"&amp;IF(C1805=DATE(2026,11,28),"机构晚餐","无统一供餐"),IF(C1805=Options!$B$10,"返程；"&amp;IF(C1805=DATE(2026,12,2),"机构午餐","无统一供餐"),"差旅状态；无统一日程"))))))</f>
        <v/>
      </c>
      <c r="E1805" s="13">
        <f>IF(C1805=Options!$B$9,Options!$C$18,0)</f>
        <v/>
      </c>
      <c r="F1805" s="13">
        <f>IF(AND(A1805&lt;&gt;"",C1805&lt;Options!$B$10),B1805*Options!$X$7,0)</f>
        <v/>
      </c>
      <c r="G1805" s="13">
        <f>F1805*12%</f>
        <v/>
      </c>
      <c r="H1805" s="13">
        <f>IF(A1805="",0,B1805*(86*IF(OR(C1805=Options!$B$9,C1805=Options!$B$10),75%,100%)-IF(C1805=DATE(2026,11,29),23+IF(Options!$B$8="是",22,0),0)-IF(C1805=DATE(2026,11,30),23,0)-IF(C1805=DATE(2026,12,1),59,0)-IF(C1805=DATE(2026,11,28),36,0)-IF(C1805=DATE(2026,12,2),23,0)))</f>
        <v/>
      </c>
      <c r="I1805" s="13">
        <f>IF(AND(C1805&gt;=DATE(2026,11,29),C1805&lt;=DATE(2026,12,1)),B1805*60,0)</f>
        <v/>
      </c>
      <c r="J1805" s="13">
        <f>IF(A1805="",0,B1805*(IF(C1805=DATE(2026,11,28),36,0)+IF(C1805=DATE(2026,12,1),36,0)+IF(C1805=DATE(2026,12,2),23,0)))</f>
        <v/>
      </c>
      <c r="K1805" s="13">
        <f>IF(C1805=Options!$B$9,B1805*12,0)</f>
        <v/>
      </c>
      <c r="L1805" s="13">
        <f>IF(C1805=Options!$B$9,B1805*Options!$Z$7,0)</f>
        <v/>
      </c>
      <c r="M1805" s="13" t="n">
        <v>0</v>
      </c>
      <c r="N1805" s="13">
        <f>SUM(E1805:M1805)</f>
        <v/>
      </c>
    </row>
    <row r="1806">
      <c r="A1806" s="5">
        <f>IF(AND(C1806&gt;=Options!$B$9,C1806&lt;=Options!$B$10),"Phoenix","")</f>
        <v/>
      </c>
      <c r="B1806" s="5">
        <f>IF(A1806="","",18)</f>
        <v/>
      </c>
      <c r="C1806" s="17" t="n">
        <v>46637</v>
      </c>
      <c r="D1806" s="5">
        <f>IF(A1806="","",IF(C1806=DATE(2026,11,29),"培训；注册午餐；早餐参数",IF(C1806=DATE(2026,11,30),"培训；注册午餐",IF(C1806=DATE(2026,12,1),"培训；注册午餐；机构晚餐",IF(C1806=Options!$B$9,"抵达；"&amp;IF(C1806=DATE(2026,11,28),"机构晚餐","无统一供餐"),IF(C1806=Options!$B$10,"返程；"&amp;IF(C1806=DATE(2026,12,2),"机构午餐","无统一供餐"),"差旅状态；无统一日程"))))))</f>
        <v/>
      </c>
      <c r="E1806" s="13">
        <f>IF(C1806=Options!$B$9,Options!$C$18,0)</f>
        <v/>
      </c>
      <c r="F1806" s="13">
        <f>IF(AND(A1806&lt;&gt;"",C1806&lt;Options!$B$10),B1806*Options!$X$7,0)</f>
        <v/>
      </c>
      <c r="G1806" s="13">
        <f>F1806*12%</f>
        <v/>
      </c>
      <c r="H1806" s="13">
        <f>IF(A1806="",0,B1806*(86*IF(OR(C1806=Options!$B$9,C1806=Options!$B$10),75%,100%)-IF(C1806=DATE(2026,11,29),23+IF(Options!$B$8="是",22,0),0)-IF(C1806=DATE(2026,11,30),23,0)-IF(C1806=DATE(2026,12,1),59,0)-IF(C1806=DATE(2026,11,28),36,0)-IF(C1806=DATE(2026,12,2),23,0)))</f>
        <v/>
      </c>
      <c r="I1806" s="13">
        <f>IF(AND(C1806&gt;=DATE(2026,11,29),C1806&lt;=DATE(2026,12,1)),B1806*60,0)</f>
        <v/>
      </c>
      <c r="J1806" s="13">
        <f>IF(A1806="",0,B1806*(IF(C1806=DATE(2026,11,28),36,0)+IF(C1806=DATE(2026,12,1),36,0)+IF(C1806=DATE(2026,12,2),23,0)))</f>
        <v/>
      </c>
      <c r="K1806" s="13">
        <f>IF(C1806=Options!$B$9,B1806*12,0)</f>
        <v/>
      </c>
      <c r="L1806" s="13">
        <f>IF(C1806=Options!$B$9,B1806*Options!$Z$7,0)</f>
        <v/>
      </c>
      <c r="M1806" s="13" t="n">
        <v>0</v>
      </c>
      <c r="N1806" s="13">
        <f>SUM(E1806:M1806)</f>
        <v/>
      </c>
    </row>
    <row r="1807">
      <c r="A1807" s="5">
        <f>IF(AND(C1807&gt;=Options!$B$9,C1807&lt;=Options!$B$10),"Phoenix","")</f>
        <v/>
      </c>
      <c r="B1807" s="5">
        <f>IF(A1807="","",18)</f>
        <v/>
      </c>
      <c r="C1807" s="17" t="n">
        <v>46638</v>
      </c>
      <c r="D1807" s="5">
        <f>IF(A1807="","",IF(C1807=DATE(2026,11,29),"培训；注册午餐；早餐参数",IF(C1807=DATE(2026,11,30),"培训；注册午餐",IF(C1807=DATE(2026,12,1),"培训；注册午餐；机构晚餐",IF(C1807=Options!$B$9,"抵达；"&amp;IF(C1807=DATE(2026,11,28),"机构晚餐","无统一供餐"),IF(C1807=Options!$B$10,"返程；"&amp;IF(C1807=DATE(2026,12,2),"机构午餐","无统一供餐"),"差旅状态；无统一日程"))))))</f>
        <v/>
      </c>
      <c r="E1807" s="13">
        <f>IF(C1807=Options!$B$9,Options!$C$18,0)</f>
        <v/>
      </c>
      <c r="F1807" s="13">
        <f>IF(AND(A1807&lt;&gt;"",C1807&lt;Options!$B$10),B1807*Options!$X$7,0)</f>
        <v/>
      </c>
      <c r="G1807" s="13">
        <f>F1807*12%</f>
        <v/>
      </c>
      <c r="H1807" s="13">
        <f>IF(A1807="",0,B1807*(86*IF(OR(C1807=Options!$B$9,C1807=Options!$B$10),75%,100%)-IF(C1807=DATE(2026,11,29),23+IF(Options!$B$8="是",22,0),0)-IF(C1807=DATE(2026,11,30),23,0)-IF(C1807=DATE(2026,12,1),59,0)-IF(C1807=DATE(2026,11,28),36,0)-IF(C1807=DATE(2026,12,2),23,0)))</f>
        <v/>
      </c>
      <c r="I1807" s="13">
        <f>IF(AND(C1807&gt;=DATE(2026,11,29),C1807&lt;=DATE(2026,12,1)),B1807*60,0)</f>
        <v/>
      </c>
      <c r="J1807" s="13">
        <f>IF(A1807="",0,B1807*(IF(C1807=DATE(2026,11,28),36,0)+IF(C1807=DATE(2026,12,1),36,0)+IF(C1807=DATE(2026,12,2),23,0)))</f>
        <v/>
      </c>
      <c r="K1807" s="13">
        <f>IF(C1807=Options!$B$9,B1807*12,0)</f>
        <v/>
      </c>
      <c r="L1807" s="13">
        <f>IF(C1807=Options!$B$9,B1807*Options!$Z$7,0)</f>
        <v/>
      </c>
      <c r="M1807" s="13" t="n">
        <v>0</v>
      </c>
      <c r="N1807" s="13">
        <f>SUM(E1807:M1807)</f>
        <v/>
      </c>
    </row>
    <row r="1808">
      <c r="A1808" s="5">
        <f>IF(AND(C1808&gt;=Options!$B$9,C1808&lt;=Options!$B$10),"Phoenix","")</f>
        <v/>
      </c>
      <c r="B1808" s="5">
        <f>IF(A1808="","",18)</f>
        <v/>
      </c>
      <c r="C1808" s="17" t="n">
        <v>46639</v>
      </c>
      <c r="D1808" s="5">
        <f>IF(A1808="","",IF(C1808=DATE(2026,11,29),"培训；注册午餐；早餐参数",IF(C1808=DATE(2026,11,30),"培训；注册午餐",IF(C1808=DATE(2026,12,1),"培训；注册午餐；机构晚餐",IF(C1808=Options!$B$9,"抵达；"&amp;IF(C1808=DATE(2026,11,28),"机构晚餐","无统一供餐"),IF(C1808=Options!$B$10,"返程；"&amp;IF(C1808=DATE(2026,12,2),"机构午餐","无统一供餐"),"差旅状态；无统一日程"))))))</f>
        <v/>
      </c>
      <c r="E1808" s="13">
        <f>IF(C1808=Options!$B$9,Options!$C$18,0)</f>
        <v/>
      </c>
      <c r="F1808" s="13">
        <f>IF(AND(A1808&lt;&gt;"",C1808&lt;Options!$B$10),B1808*Options!$X$7,0)</f>
        <v/>
      </c>
      <c r="G1808" s="13">
        <f>F1808*12%</f>
        <v/>
      </c>
      <c r="H1808" s="13">
        <f>IF(A1808="",0,B1808*(86*IF(OR(C1808=Options!$B$9,C1808=Options!$B$10),75%,100%)-IF(C1808=DATE(2026,11,29),23+IF(Options!$B$8="是",22,0),0)-IF(C1808=DATE(2026,11,30),23,0)-IF(C1808=DATE(2026,12,1),59,0)-IF(C1808=DATE(2026,11,28),36,0)-IF(C1808=DATE(2026,12,2),23,0)))</f>
        <v/>
      </c>
      <c r="I1808" s="13">
        <f>IF(AND(C1808&gt;=DATE(2026,11,29),C1808&lt;=DATE(2026,12,1)),B1808*60,0)</f>
        <v/>
      </c>
      <c r="J1808" s="13">
        <f>IF(A1808="",0,B1808*(IF(C1808=DATE(2026,11,28),36,0)+IF(C1808=DATE(2026,12,1),36,0)+IF(C1808=DATE(2026,12,2),23,0)))</f>
        <v/>
      </c>
      <c r="K1808" s="13">
        <f>IF(C1808=Options!$B$9,B1808*12,0)</f>
        <v/>
      </c>
      <c r="L1808" s="13">
        <f>IF(C1808=Options!$B$9,B1808*Options!$Z$7,0)</f>
        <v/>
      </c>
      <c r="M1808" s="13" t="n">
        <v>0</v>
      </c>
      <c r="N1808" s="13">
        <f>SUM(E1808:M1808)</f>
        <v/>
      </c>
    </row>
    <row r="1809">
      <c r="A1809" s="5">
        <f>IF(AND(C1809&gt;=Options!$B$9,C1809&lt;=Options!$B$10),"Phoenix","")</f>
        <v/>
      </c>
      <c r="B1809" s="5">
        <f>IF(A1809="","",18)</f>
        <v/>
      </c>
      <c r="C1809" s="17" t="n">
        <v>46640</v>
      </c>
      <c r="D1809" s="5">
        <f>IF(A1809="","",IF(C1809=DATE(2026,11,29),"培训；注册午餐；早餐参数",IF(C1809=DATE(2026,11,30),"培训；注册午餐",IF(C1809=DATE(2026,12,1),"培训；注册午餐；机构晚餐",IF(C1809=Options!$B$9,"抵达；"&amp;IF(C1809=DATE(2026,11,28),"机构晚餐","无统一供餐"),IF(C1809=Options!$B$10,"返程；"&amp;IF(C1809=DATE(2026,12,2),"机构午餐","无统一供餐"),"差旅状态；无统一日程"))))))</f>
        <v/>
      </c>
      <c r="E1809" s="13">
        <f>IF(C1809=Options!$B$9,Options!$C$18,0)</f>
        <v/>
      </c>
      <c r="F1809" s="13">
        <f>IF(AND(A1809&lt;&gt;"",C1809&lt;Options!$B$10),B1809*Options!$X$7,0)</f>
        <v/>
      </c>
      <c r="G1809" s="13">
        <f>F1809*12%</f>
        <v/>
      </c>
      <c r="H1809" s="13">
        <f>IF(A1809="",0,B1809*(86*IF(OR(C1809=Options!$B$9,C1809=Options!$B$10),75%,100%)-IF(C1809=DATE(2026,11,29),23+IF(Options!$B$8="是",22,0),0)-IF(C1809=DATE(2026,11,30),23,0)-IF(C1809=DATE(2026,12,1),59,0)-IF(C1809=DATE(2026,11,28),36,0)-IF(C1809=DATE(2026,12,2),23,0)))</f>
        <v/>
      </c>
      <c r="I1809" s="13">
        <f>IF(AND(C1809&gt;=DATE(2026,11,29),C1809&lt;=DATE(2026,12,1)),B1809*60,0)</f>
        <v/>
      </c>
      <c r="J1809" s="13">
        <f>IF(A1809="",0,B1809*(IF(C1809=DATE(2026,11,28),36,0)+IF(C1809=DATE(2026,12,1),36,0)+IF(C1809=DATE(2026,12,2),23,0)))</f>
        <v/>
      </c>
      <c r="K1809" s="13">
        <f>IF(C1809=Options!$B$9,B1809*12,0)</f>
        <v/>
      </c>
      <c r="L1809" s="13">
        <f>IF(C1809=Options!$B$9,B1809*Options!$Z$7,0)</f>
        <v/>
      </c>
      <c r="M1809" s="13" t="n">
        <v>0</v>
      </c>
      <c r="N1809" s="13">
        <f>SUM(E1809:M1809)</f>
        <v/>
      </c>
    </row>
    <row r="1810">
      <c r="A1810" s="5">
        <f>IF(AND(C1810&gt;=Options!$B$9,C1810&lt;=Options!$B$10),"Phoenix","")</f>
        <v/>
      </c>
      <c r="B1810" s="5">
        <f>IF(A1810="","",18)</f>
        <v/>
      </c>
      <c r="C1810" s="17" t="n">
        <v>46641</v>
      </c>
      <c r="D1810" s="5">
        <f>IF(A1810="","",IF(C1810=DATE(2026,11,29),"培训；注册午餐；早餐参数",IF(C1810=DATE(2026,11,30),"培训；注册午餐",IF(C1810=DATE(2026,12,1),"培训；注册午餐；机构晚餐",IF(C1810=Options!$B$9,"抵达；"&amp;IF(C1810=DATE(2026,11,28),"机构晚餐","无统一供餐"),IF(C1810=Options!$B$10,"返程；"&amp;IF(C1810=DATE(2026,12,2),"机构午餐","无统一供餐"),"差旅状态；无统一日程"))))))</f>
        <v/>
      </c>
      <c r="E1810" s="13">
        <f>IF(C1810=Options!$B$9,Options!$C$18,0)</f>
        <v/>
      </c>
      <c r="F1810" s="13">
        <f>IF(AND(A1810&lt;&gt;"",C1810&lt;Options!$B$10),B1810*Options!$X$7,0)</f>
        <v/>
      </c>
      <c r="G1810" s="13">
        <f>F1810*12%</f>
        <v/>
      </c>
      <c r="H1810" s="13">
        <f>IF(A1810="",0,B1810*(86*IF(OR(C1810=Options!$B$9,C1810=Options!$B$10),75%,100%)-IF(C1810=DATE(2026,11,29),23+IF(Options!$B$8="是",22,0),0)-IF(C1810=DATE(2026,11,30),23,0)-IF(C1810=DATE(2026,12,1),59,0)-IF(C1810=DATE(2026,11,28),36,0)-IF(C1810=DATE(2026,12,2),23,0)))</f>
        <v/>
      </c>
      <c r="I1810" s="13">
        <f>IF(AND(C1810&gt;=DATE(2026,11,29),C1810&lt;=DATE(2026,12,1)),B1810*60,0)</f>
        <v/>
      </c>
      <c r="J1810" s="13">
        <f>IF(A1810="",0,B1810*(IF(C1810=DATE(2026,11,28),36,0)+IF(C1810=DATE(2026,12,1),36,0)+IF(C1810=DATE(2026,12,2),23,0)))</f>
        <v/>
      </c>
      <c r="K1810" s="13">
        <f>IF(C1810=Options!$B$9,B1810*12,0)</f>
        <v/>
      </c>
      <c r="L1810" s="13">
        <f>IF(C1810=Options!$B$9,B1810*Options!$Z$7,0)</f>
        <v/>
      </c>
      <c r="M1810" s="13" t="n">
        <v>0</v>
      </c>
      <c r="N1810" s="13">
        <f>SUM(E1810:M1810)</f>
        <v/>
      </c>
    </row>
    <row r="1811">
      <c r="A1811" s="5">
        <f>IF(AND(C1811&gt;=Options!$B$9,C1811&lt;=Options!$B$10),"Phoenix","")</f>
        <v/>
      </c>
      <c r="B1811" s="5">
        <f>IF(A1811="","",18)</f>
        <v/>
      </c>
      <c r="C1811" s="17" t="n">
        <v>46642</v>
      </c>
      <c r="D1811" s="5">
        <f>IF(A1811="","",IF(C1811=DATE(2026,11,29),"培训；注册午餐；早餐参数",IF(C1811=DATE(2026,11,30),"培训；注册午餐",IF(C1811=DATE(2026,12,1),"培训；注册午餐；机构晚餐",IF(C1811=Options!$B$9,"抵达；"&amp;IF(C1811=DATE(2026,11,28),"机构晚餐","无统一供餐"),IF(C1811=Options!$B$10,"返程；"&amp;IF(C1811=DATE(2026,12,2),"机构午餐","无统一供餐"),"差旅状态；无统一日程"))))))</f>
        <v/>
      </c>
      <c r="E1811" s="13">
        <f>IF(C1811=Options!$B$9,Options!$C$18,0)</f>
        <v/>
      </c>
      <c r="F1811" s="13">
        <f>IF(AND(A1811&lt;&gt;"",C1811&lt;Options!$B$10),B1811*Options!$X$7,0)</f>
        <v/>
      </c>
      <c r="G1811" s="13">
        <f>F1811*12%</f>
        <v/>
      </c>
      <c r="H1811" s="13">
        <f>IF(A1811="",0,B1811*(86*IF(OR(C1811=Options!$B$9,C1811=Options!$B$10),75%,100%)-IF(C1811=DATE(2026,11,29),23+IF(Options!$B$8="是",22,0),0)-IF(C1811=DATE(2026,11,30),23,0)-IF(C1811=DATE(2026,12,1),59,0)-IF(C1811=DATE(2026,11,28),36,0)-IF(C1811=DATE(2026,12,2),23,0)))</f>
        <v/>
      </c>
      <c r="I1811" s="13">
        <f>IF(AND(C1811&gt;=DATE(2026,11,29),C1811&lt;=DATE(2026,12,1)),B1811*60,0)</f>
        <v/>
      </c>
      <c r="J1811" s="13">
        <f>IF(A1811="",0,B1811*(IF(C1811=DATE(2026,11,28),36,0)+IF(C1811=DATE(2026,12,1),36,0)+IF(C1811=DATE(2026,12,2),23,0)))</f>
        <v/>
      </c>
      <c r="K1811" s="13">
        <f>IF(C1811=Options!$B$9,B1811*12,0)</f>
        <v/>
      </c>
      <c r="L1811" s="13">
        <f>IF(C1811=Options!$B$9,B1811*Options!$Z$7,0)</f>
        <v/>
      </c>
      <c r="M1811" s="13" t="n">
        <v>0</v>
      </c>
      <c r="N1811" s="13">
        <f>SUM(E1811:M1811)</f>
        <v/>
      </c>
    </row>
    <row r="1812">
      <c r="A1812" s="5">
        <f>IF(AND(C1812&gt;=Options!$B$9,C1812&lt;=Options!$B$10),"Phoenix","")</f>
        <v/>
      </c>
      <c r="B1812" s="5">
        <f>IF(A1812="","",18)</f>
        <v/>
      </c>
      <c r="C1812" s="17" t="n">
        <v>46643</v>
      </c>
      <c r="D1812" s="5">
        <f>IF(A1812="","",IF(C1812=DATE(2026,11,29),"培训；注册午餐；早餐参数",IF(C1812=DATE(2026,11,30),"培训；注册午餐",IF(C1812=DATE(2026,12,1),"培训；注册午餐；机构晚餐",IF(C1812=Options!$B$9,"抵达；"&amp;IF(C1812=DATE(2026,11,28),"机构晚餐","无统一供餐"),IF(C1812=Options!$B$10,"返程；"&amp;IF(C1812=DATE(2026,12,2),"机构午餐","无统一供餐"),"差旅状态；无统一日程"))))))</f>
        <v/>
      </c>
      <c r="E1812" s="13">
        <f>IF(C1812=Options!$B$9,Options!$C$18,0)</f>
        <v/>
      </c>
      <c r="F1812" s="13">
        <f>IF(AND(A1812&lt;&gt;"",C1812&lt;Options!$B$10),B1812*Options!$X$7,0)</f>
        <v/>
      </c>
      <c r="G1812" s="13">
        <f>F1812*12%</f>
        <v/>
      </c>
      <c r="H1812" s="13">
        <f>IF(A1812="",0,B1812*(86*IF(OR(C1812=Options!$B$9,C1812=Options!$B$10),75%,100%)-IF(C1812=DATE(2026,11,29),23+IF(Options!$B$8="是",22,0),0)-IF(C1812=DATE(2026,11,30),23,0)-IF(C1812=DATE(2026,12,1),59,0)-IF(C1812=DATE(2026,11,28),36,0)-IF(C1812=DATE(2026,12,2),23,0)))</f>
        <v/>
      </c>
      <c r="I1812" s="13">
        <f>IF(AND(C1812&gt;=DATE(2026,11,29),C1812&lt;=DATE(2026,12,1)),B1812*60,0)</f>
        <v/>
      </c>
      <c r="J1812" s="13">
        <f>IF(A1812="",0,B1812*(IF(C1812=DATE(2026,11,28),36,0)+IF(C1812=DATE(2026,12,1),36,0)+IF(C1812=DATE(2026,12,2),23,0)))</f>
        <v/>
      </c>
      <c r="K1812" s="13">
        <f>IF(C1812=Options!$B$9,B1812*12,0)</f>
        <v/>
      </c>
      <c r="L1812" s="13">
        <f>IF(C1812=Options!$B$9,B1812*Options!$Z$7,0)</f>
        <v/>
      </c>
      <c r="M1812" s="13" t="n">
        <v>0</v>
      </c>
      <c r="N1812" s="13">
        <f>SUM(E1812:M1812)</f>
        <v/>
      </c>
    </row>
    <row r="1813">
      <c r="A1813" s="5">
        <f>IF(AND(C1813&gt;=Options!$B$9,C1813&lt;=Options!$B$10),"Phoenix","")</f>
        <v/>
      </c>
      <c r="B1813" s="5">
        <f>IF(A1813="","",18)</f>
        <v/>
      </c>
      <c r="C1813" s="17" t="n">
        <v>46644</v>
      </c>
      <c r="D1813" s="5">
        <f>IF(A1813="","",IF(C1813=DATE(2026,11,29),"培训；注册午餐；早餐参数",IF(C1813=DATE(2026,11,30),"培训；注册午餐",IF(C1813=DATE(2026,12,1),"培训；注册午餐；机构晚餐",IF(C1813=Options!$B$9,"抵达；"&amp;IF(C1813=DATE(2026,11,28),"机构晚餐","无统一供餐"),IF(C1813=Options!$B$10,"返程；"&amp;IF(C1813=DATE(2026,12,2),"机构午餐","无统一供餐"),"差旅状态；无统一日程"))))))</f>
        <v/>
      </c>
      <c r="E1813" s="13">
        <f>IF(C1813=Options!$B$9,Options!$C$18,0)</f>
        <v/>
      </c>
      <c r="F1813" s="13">
        <f>IF(AND(A1813&lt;&gt;"",C1813&lt;Options!$B$10),B1813*Options!$X$7,0)</f>
        <v/>
      </c>
      <c r="G1813" s="13">
        <f>F1813*12%</f>
        <v/>
      </c>
      <c r="H1813" s="13">
        <f>IF(A1813="",0,B1813*(86*IF(OR(C1813=Options!$B$9,C1813=Options!$B$10),75%,100%)-IF(C1813=DATE(2026,11,29),23+IF(Options!$B$8="是",22,0),0)-IF(C1813=DATE(2026,11,30),23,0)-IF(C1813=DATE(2026,12,1),59,0)-IF(C1813=DATE(2026,11,28),36,0)-IF(C1813=DATE(2026,12,2),23,0)))</f>
        <v/>
      </c>
      <c r="I1813" s="13">
        <f>IF(AND(C1813&gt;=DATE(2026,11,29),C1813&lt;=DATE(2026,12,1)),B1813*60,0)</f>
        <v/>
      </c>
      <c r="J1813" s="13">
        <f>IF(A1813="",0,B1813*(IF(C1813=DATE(2026,11,28),36,0)+IF(C1813=DATE(2026,12,1),36,0)+IF(C1813=DATE(2026,12,2),23,0)))</f>
        <v/>
      </c>
      <c r="K1813" s="13">
        <f>IF(C1813=Options!$B$9,B1813*12,0)</f>
        <v/>
      </c>
      <c r="L1813" s="13">
        <f>IF(C1813=Options!$B$9,B1813*Options!$Z$7,0)</f>
        <v/>
      </c>
      <c r="M1813" s="13" t="n">
        <v>0</v>
      </c>
      <c r="N1813" s="13">
        <f>SUM(E1813:M1813)</f>
        <v/>
      </c>
    </row>
    <row r="1814">
      <c r="A1814" s="5">
        <f>IF(AND(C1814&gt;=Options!$B$9,C1814&lt;=Options!$B$10),"Phoenix","")</f>
        <v/>
      </c>
      <c r="B1814" s="5">
        <f>IF(A1814="","",18)</f>
        <v/>
      </c>
      <c r="C1814" s="17" t="n">
        <v>46645</v>
      </c>
      <c r="D1814" s="5">
        <f>IF(A1814="","",IF(C1814=DATE(2026,11,29),"培训；注册午餐；早餐参数",IF(C1814=DATE(2026,11,30),"培训；注册午餐",IF(C1814=DATE(2026,12,1),"培训；注册午餐；机构晚餐",IF(C1814=Options!$B$9,"抵达；"&amp;IF(C1814=DATE(2026,11,28),"机构晚餐","无统一供餐"),IF(C1814=Options!$B$10,"返程；"&amp;IF(C1814=DATE(2026,12,2),"机构午餐","无统一供餐"),"差旅状态；无统一日程"))))))</f>
        <v/>
      </c>
      <c r="E1814" s="13">
        <f>IF(C1814=Options!$B$9,Options!$C$18,0)</f>
        <v/>
      </c>
      <c r="F1814" s="13">
        <f>IF(AND(A1814&lt;&gt;"",C1814&lt;Options!$B$10),B1814*Options!$X$7,0)</f>
        <v/>
      </c>
      <c r="G1814" s="13">
        <f>F1814*12%</f>
        <v/>
      </c>
      <c r="H1814" s="13">
        <f>IF(A1814="",0,B1814*(86*IF(OR(C1814=Options!$B$9,C1814=Options!$B$10),75%,100%)-IF(C1814=DATE(2026,11,29),23+IF(Options!$B$8="是",22,0),0)-IF(C1814=DATE(2026,11,30),23,0)-IF(C1814=DATE(2026,12,1),59,0)-IF(C1814=DATE(2026,11,28),36,0)-IF(C1814=DATE(2026,12,2),23,0)))</f>
        <v/>
      </c>
      <c r="I1814" s="13">
        <f>IF(AND(C1814&gt;=DATE(2026,11,29),C1814&lt;=DATE(2026,12,1)),B1814*60,0)</f>
        <v/>
      </c>
      <c r="J1814" s="13">
        <f>IF(A1814="",0,B1814*(IF(C1814=DATE(2026,11,28),36,0)+IF(C1814=DATE(2026,12,1),36,0)+IF(C1814=DATE(2026,12,2),23,0)))</f>
        <v/>
      </c>
      <c r="K1814" s="13">
        <f>IF(C1814=Options!$B$9,B1814*12,0)</f>
        <v/>
      </c>
      <c r="L1814" s="13">
        <f>IF(C1814=Options!$B$9,B1814*Options!$Z$7,0)</f>
        <v/>
      </c>
      <c r="M1814" s="13" t="n">
        <v>0</v>
      </c>
      <c r="N1814" s="13">
        <f>SUM(E1814:M1814)</f>
        <v/>
      </c>
    </row>
    <row r="1815">
      <c r="A1815" s="5">
        <f>IF(AND(C1815&gt;=Options!$B$9,C1815&lt;=Options!$B$10),"Phoenix","")</f>
        <v/>
      </c>
      <c r="B1815" s="5">
        <f>IF(A1815="","",18)</f>
        <v/>
      </c>
      <c r="C1815" s="17" t="n">
        <v>46646</v>
      </c>
      <c r="D1815" s="5">
        <f>IF(A1815="","",IF(C1815=DATE(2026,11,29),"培训；注册午餐；早餐参数",IF(C1815=DATE(2026,11,30),"培训；注册午餐",IF(C1815=DATE(2026,12,1),"培训；注册午餐；机构晚餐",IF(C1815=Options!$B$9,"抵达；"&amp;IF(C1815=DATE(2026,11,28),"机构晚餐","无统一供餐"),IF(C1815=Options!$B$10,"返程；"&amp;IF(C1815=DATE(2026,12,2),"机构午餐","无统一供餐"),"差旅状态；无统一日程"))))))</f>
        <v/>
      </c>
      <c r="E1815" s="13">
        <f>IF(C1815=Options!$B$9,Options!$C$18,0)</f>
        <v/>
      </c>
      <c r="F1815" s="13">
        <f>IF(AND(A1815&lt;&gt;"",C1815&lt;Options!$B$10),B1815*Options!$X$7,0)</f>
        <v/>
      </c>
      <c r="G1815" s="13">
        <f>F1815*12%</f>
        <v/>
      </c>
      <c r="H1815" s="13">
        <f>IF(A1815="",0,B1815*(86*IF(OR(C1815=Options!$B$9,C1815=Options!$B$10),75%,100%)-IF(C1815=DATE(2026,11,29),23+IF(Options!$B$8="是",22,0),0)-IF(C1815=DATE(2026,11,30),23,0)-IF(C1815=DATE(2026,12,1),59,0)-IF(C1815=DATE(2026,11,28),36,0)-IF(C1815=DATE(2026,12,2),23,0)))</f>
        <v/>
      </c>
      <c r="I1815" s="13">
        <f>IF(AND(C1815&gt;=DATE(2026,11,29),C1815&lt;=DATE(2026,12,1)),B1815*60,0)</f>
        <v/>
      </c>
      <c r="J1815" s="13">
        <f>IF(A1815="",0,B1815*(IF(C1815=DATE(2026,11,28),36,0)+IF(C1815=DATE(2026,12,1),36,0)+IF(C1815=DATE(2026,12,2),23,0)))</f>
        <v/>
      </c>
      <c r="K1815" s="13">
        <f>IF(C1815=Options!$B$9,B1815*12,0)</f>
        <v/>
      </c>
      <c r="L1815" s="13">
        <f>IF(C1815=Options!$B$9,B1815*Options!$Z$7,0)</f>
        <v/>
      </c>
      <c r="M1815" s="13" t="n">
        <v>0</v>
      </c>
      <c r="N1815" s="13">
        <f>SUM(E1815:M1815)</f>
        <v/>
      </c>
    </row>
    <row r="1816">
      <c r="A1816" s="5">
        <f>IF(AND(C1816&gt;=Options!$B$9,C1816&lt;=Options!$B$10),"Phoenix","")</f>
        <v/>
      </c>
      <c r="B1816" s="5">
        <f>IF(A1816="","",18)</f>
        <v/>
      </c>
      <c r="C1816" s="17" t="n">
        <v>46647</v>
      </c>
      <c r="D1816" s="5">
        <f>IF(A1816="","",IF(C1816=DATE(2026,11,29),"培训；注册午餐；早餐参数",IF(C1816=DATE(2026,11,30),"培训；注册午餐",IF(C1816=DATE(2026,12,1),"培训；注册午餐；机构晚餐",IF(C1816=Options!$B$9,"抵达；"&amp;IF(C1816=DATE(2026,11,28),"机构晚餐","无统一供餐"),IF(C1816=Options!$B$10,"返程；"&amp;IF(C1816=DATE(2026,12,2),"机构午餐","无统一供餐"),"差旅状态；无统一日程"))))))</f>
        <v/>
      </c>
      <c r="E1816" s="13">
        <f>IF(C1816=Options!$B$9,Options!$C$18,0)</f>
        <v/>
      </c>
      <c r="F1816" s="13">
        <f>IF(AND(A1816&lt;&gt;"",C1816&lt;Options!$B$10),B1816*Options!$X$7,0)</f>
        <v/>
      </c>
      <c r="G1816" s="13">
        <f>F1816*12%</f>
        <v/>
      </c>
      <c r="H1816" s="13">
        <f>IF(A1816="",0,B1816*(86*IF(OR(C1816=Options!$B$9,C1816=Options!$B$10),75%,100%)-IF(C1816=DATE(2026,11,29),23+IF(Options!$B$8="是",22,0),0)-IF(C1816=DATE(2026,11,30),23,0)-IF(C1816=DATE(2026,12,1),59,0)-IF(C1816=DATE(2026,11,28),36,0)-IF(C1816=DATE(2026,12,2),23,0)))</f>
        <v/>
      </c>
      <c r="I1816" s="13">
        <f>IF(AND(C1816&gt;=DATE(2026,11,29),C1816&lt;=DATE(2026,12,1)),B1816*60,0)</f>
        <v/>
      </c>
      <c r="J1816" s="13">
        <f>IF(A1816="",0,B1816*(IF(C1816=DATE(2026,11,28),36,0)+IF(C1816=DATE(2026,12,1),36,0)+IF(C1816=DATE(2026,12,2),23,0)))</f>
        <v/>
      </c>
      <c r="K1816" s="13">
        <f>IF(C1816=Options!$B$9,B1816*12,0)</f>
        <v/>
      </c>
      <c r="L1816" s="13">
        <f>IF(C1816=Options!$B$9,B1816*Options!$Z$7,0)</f>
        <v/>
      </c>
      <c r="M1816" s="13" t="n">
        <v>0</v>
      </c>
      <c r="N1816" s="13">
        <f>SUM(E1816:M1816)</f>
        <v/>
      </c>
    </row>
    <row r="1817">
      <c r="A1817" s="5">
        <f>IF(AND(C1817&gt;=Options!$B$9,C1817&lt;=Options!$B$10),"Phoenix","")</f>
        <v/>
      </c>
      <c r="B1817" s="5">
        <f>IF(A1817="","",18)</f>
        <v/>
      </c>
      <c r="C1817" s="17" t="n">
        <v>46648</v>
      </c>
      <c r="D1817" s="5">
        <f>IF(A1817="","",IF(C1817=DATE(2026,11,29),"培训；注册午餐；早餐参数",IF(C1817=DATE(2026,11,30),"培训；注册午餐",IF(C1817=DATE(2026,12,1),"培训；注册午餐；机构晚餐",IF(C1817=Options!$B$9,"抵达；"&amp;IF(C1817=DATE(2026,11,28),"机构晚餐","无统一供餐"),IF(C1817=Options!$B$10,"返程；"&amp;IF(C1817=DATE(2026,12,2),"机构午餐","无统一供餐"),"差旅状态；无统一日程"))))))</f>
        <v/>
      </c>
      <c r="E1817" s="13">
        <f>IF(C1817=Options!$B$9,Options!$C$18,0)</f>
        <v/>
      </c>
      <c r="F1817" s="13">
        <f>IF(AND(A1817&lt;&gt;"",C1817&lt;Options!$B$10),B1817*Options!$X$7,0)</f>
        <v/>
      </c>
      <c r="G1817" s="13">
        <f>F1817*12%</f>
        <v/>
      </c>
      <c r="H1817" s="13">
        <f>IF(A1817="",0,B1817*(86*IF(OR(C1817=Options!$B$9,C1817=Options!$B$10),75%,100%)-IF(C1817=DATE(2026,11,29),23+IF(Options!$B$8="是",22,0),0)-IF(C1817=DATE(2026,11,30),23,0)-IF(C1817=DATE(2026,12,1),59,0)-IF(C1817=DATE(2026,11,28),36,0)-IF(C1817=DATE(2026,12,2),23,0)))</f>
        <v/>
      </c>
      <c r="I1817" s="13">
        <f>IF(AND(C1817&gt;=DATE(2026,11,29),C1817&lt;=DATE(2026,12,1)),B1817*60,0)</f>
        <v/>
      </c>
      <c r="J1817" s="13">
        <f>IF(A1817="",0,B1817*(IF(C1817=DATE(2026,11,28),36,0)+IF(C1817=DATE(2026,12,1),36,0)+IF(C1817=DATE(2026,12,2),23,0)))</f>
        <v/>
      </c>
      <c r="K1817" s="13">
        <f>IF(C1817=Options!$B$9,B1817*12,0)</f>
        <v/>
      </c>
      <c r="L1817" s="13">
        <f>IF(C1817=Options!$B$9,B1817*Options!$Z$7,0)</f>
        <v/>
      </c>
      <c r="M1817" s="13" t="n">
        <v>0</v>
      </c>
      <c r="N1817" s="13">
        <f>SUM(E1817:M1817)</f>
        <v/>
      </c>
    </row>
    <row r="1818">
      <c r="A1818" s="5">
        <f>IF(AND(C1818&gt;=Options!$B$9,C1818&lt;=Options!$B$10),"Phoenix","")</f>
        <v/>
      </c>
      <c r="B1818" s="5">
        <f>IF(A1818="","",18)</f>
        <v/>
      </c>
      <c r="C1818" s="17" t="n">
        <v>46649</v>
      </c>
      <c r="D1818" s="5">
        <f>IF(A1818="","",IF(C1818=DATE(2026,11,29),"培训；注册午餐；早餐参数",IF(C1818=DATE(2026,11,30),"培训；注册午餐",IF(C1818=DATE(2026,12,1),"培训；注册午餐；机构晚餐",IF(C1818=Options!$B$9,"抵达；"&amp;IF(C1818=DATE(2026,11,28),"机构晚餐","无统一供餐"),IF(C1818=Options!$B$10,"返程；"&amp;IF(C1818=DATE(2026,12,2),"机构午餐","无统一供餐"),"差旅状态；无统一日程"))))))</f>
        <v/>
      </c>
      <c r="E1818" s="13">
        <f>IF(C1818=Options!$B$9,Options!$C$18,0)</f>
        <v/>
      </c>
      <c r="F1818" s="13">
        <f>IF(AND(A1818&lt;&gt;"",C1818&lt;Options!$B$10),B1818*Options!$X$7,0)</f>
        <v/>
      </c>
      <c r="G1818" s="13">
        <f>F1818*12%</f>
        <v/>
      </c>
      <c r="H1818" s="13">
        <f>IF(A1818="",0,B1818*(86*IF(OR(C1818=Options!$B$9,C1818=Options!$B$10),75%,100%)-IF(C1818=DATE(2026,11,29),23+IF(Options!$B$8="是",22,0),0)-IF(C1818=DATE(2026,11,30),23,0)-IF(C1818=DATE(2026,12,1),59,0)-IF(C1818=DATE(2026,11,28),36,0)-IF(C1818=DATE(2026,12,2),23,0)))</f>
        <v/>
      </c>
      <c r="I1818" s="13">
        <f>IF(AND(C1818&gt;=DATE(2026,11,29),C1818&lt;=DATE(2026,12,1)),B1818*60,0)</f>
        <v/>
      </c>
      <c r="J1818" s="13">
        <f>IF(A1818="",0,B1818*(IF(C1818=DATE(2026,11,28),36,0)+IF(C1818=DATE(2026,12,1),36,0)+IF(C1818=DATE(2026,12,2),23,0)))</f>
        <v/>
      </c>
      <c r="K1818" s="13">
        <f>IF(C1818=Options!$B$9,B1818*12,0)</f>
        <v/>
      </c>
      <c r="L1818" s="13">
        <f>IF(C1818=Options!$B$9,B1818*Options!$Z$7,0)</f>
        <v/>
      </c>
      <c r="M1818" s="13" t="n">
        <v>0</v>
      </c>
      <c r="N1818" s="13">
        <f>SUM(E1818:M1818)</f>
        <v/>
      </c>
    </row>
    <row r="1819">
      <c r="A1819" s="5">
        <f>IF(AND(C1819&gt;=Options!$B$9,C1819&lt;=Options!$B$10),"Phoenix","")</f>
        <v/>
      </c>
      <c r="B1819" s="5">
        <f>IF(A1819="","",18)</f>
        <v/>
      </c>
      <c r="C1819" s="17" t="n">
        <v>46650</v>
      </c>
      <c r="D1819" s="5">
        <f>IF(A1819="","",IF(C1819=DATE(2026,11,29),"培训；注册午餐；早餐参数",IF(C1819=DATE(2026,11,30),"培训；注册午餐",IF(C1819=DATE(2026,12,1),"培训；注册午餐；机构晚餐",IF(C1819=Options!$B$9,"抵达；"&amp;IF(C1819=DATE(2026,11,28),"机构晚餐","无统一供餐"),IF(C1819=Options!$B$10,"返程；"&amp;IF(C1819=DATE(2026,12,2),"机构午餐","无统一供餐"),"差旅状态；无统一日程"))))))</f>
        <v/>
      </c>
      <c r="E1819" s="13">
        <f>IF(C1819=Options!$B$9,Options!$C$18,0)</f>
        <v/>
      </c>
      <c r="F1819" s="13">
        <f>IF(AND(A1819&lt;&gt;"",C1819&lt;Options!$B$10),B1819*Options!$X$7,0)</f>
        <v/>
      </c>
      <c r="G1819" s="13">
        <f>F1819*12%</f>
        <v/>
      </c>
      <c r="H1819" s="13">
        <f>IF(A1819="",0,B1819*(86*IF(OR(C1819=Options!$B$9,C1819=Options!$B$10),75%,100%)-IF(C1819=DATE(2026,11,29),23+IF(Options!$B$8="是",22,0),0)-IF(C1819=DATE(2026,11,30),23,0)-IF(C1819=DATE(2026,12,1),59,0)-IF(C1819=DATE(2026,11,28),36,0)-IF(C1819=DATE(2026,12,2),23,0)))</f>
        <v/>
      </c>
      <c r="I1819" s="13">
        <f>IF(AND(C1819&gt;=DATE(2026,11,29),C1819&lt;=DATE(2026,12,1)),B1819*60,0)</f>
        <v/>
      </c>
      <c r="J1819" s="13">
        <f>IF(A1819="",0,B1819*(IF(C1819=DATE(2026,11,28),36,0)+IF(C1819=DATE(2026,12,1),36,0)+IF(C1819=DATE(2026,12,2),23,0)))</f>
        <v/>
      </c>
      <c r="K1819" s="13">
        <f>IF(C1819=Options!$B$9,B1819*12,0)</f>
        <v/>
      </c>
      <c r="L1819" s="13">
        <f>IF(C1819=Options!$B$9,B1819*Options!$Z$7,0)</f>
        <v/>
      </c>
      <c r="M1819" s="13" t="n">
        <v>0</v>
      </c>
      <c r="N1819" s="13">
        <f>SUM(E1819:M1819)</f>
        <v/>
      </c>
    </row>
    <row r="1820">
      <c r="A1820" s="5">
        <f>IF(AND(C1820&gt;=Options!$B$9,C1820&lt;=Options!$B$10),"Phoenix","")</f>
        <v/>
      </c>
      <c r="B1820" s="5">
        <f>IF(A1820="","",18)</f>
        <v/>
      </c>
      <c r="C1820" s="17" t="n">
        <v>46651</v>
      </c>
      <c r="D1820" s="5">
        <f>IF(A1820="","",IF(C1820=DATE(2026,11,29),"培训；注册午餐；早餐参数",IF(C1820=DATE(2026,11,30),"培训；注册午餐",IF(C1820=DATE(2026,12,1),"培训；注册午餐；机构晚餐",IF(C1820=Options!$B$9,"抵达；"&amp;IF(C1820=DATE(2026,11,28),"机构晚餐","无统一供餐"),IF(C1820=Options!$B$10,"返程；"&amp;IF(C1820=DATE(2026,12,2),"机构午餐","无统一供餐"),"差旅状态；无统一日程"))))))</f>
        <v/>
      </c>
      <c r="E1820" s="13">
        <f>IF(C1820=Options!$B$9,Options!$C$18,0)</f>
        <v/>
      </c>
      <c r="F1820" s="13">
        <f>IF(AND(A1820&lt;&gt;"",C1820&lt;Options!$B$10),B1820*Options!$X$7,0)</f>
        <v/>
      </c>
      <c r="G1820" s="13">
        <f>F1820*12%</f>
        <v/>
      </c>
      <c r="H1820" s="13">
        <f>IF(A1820="",0,B1820*(86*IF(OR(C1820=Options!$B$9,C1820=Options!$B$10),75%,100%)-IF(C1820=DATE(2026,11,29),23+IF(Options!$B$8="是",22,0),0)-IF(C1820=DATE(2026,11,30),23,0)-IF(C1820=DATE(2026,12,1),59,0)-IF(C1820=DATE(2026,11,28),36,0)-IF(C1820=DATE(2026,12,2),23,0)))</f>
        <v/>
      </c>
      <c r="I1820" s="13">
        <f>IF(AND(C1820&gt;=DATE(2026,11,29),C1820&lt;=DATE(2026,12,1)),B1820*60,0)</f>
        <v/>
      </c>
      <c r="J1820" s="13">
        <f>IF(A1820="",0,B1820*(IF(C1820=DATE(2026,11,28),36,0)+IF(C1820=DATE(2026,12,1),36,0)+IF(C1820=DATE(2026,12,2),23,0)))</f>
        <v/>
      </c>
      <c r="K1820" s="13">
        <f>IF(C1820=Options!$B$9,B1820*12,0)</f>
        <v/>
      </c>
      <c r="L1820" s="13">
        <f>IF(C1820=Options!$B$9,B1820*Options!$Z$7,0)</f>
        <v/>
      </c>
      <c r="M1820" s="13" t="n">
        <v>0</v>
      </c>
      <c r="N1820" s="13">
        <f>SUM(E1820:M1820)</f>
        <v/>
      </c>
    </row>
    <row r="1821">
      <c r="A1821" s="5">
        <f>IF(AND(C1821&gt;=Options!$B$9,C1821&lt;=Options!$B$10),"Phoenix","")</f>
        <v/>
      </c>
      <c r="B1821" s="5">
        <f>IF(A1821="","",18)</f>
        <v/>
      </c>
      <c r="C1821" s="17" t="n">
        <v>46652</v>
      </c>
      <c r="D1821" s="5">
        <f>IF(A1821="","",IF(C1821=DATE(2026,11,29),"培训；注册午餐；早餐参数",IF(C1821=DATE(2026,11,30),"培训；注册午餐",IF(C1821=DATE(2026,12,1),"培训；注册午餐；机构晚餐",IF(C1821=Options!$B$9,"抵达；"&amp;IF(C1821=DATE(2026,11,28),"机构晚餐","无统一供餐"),IF(C1821=Options!$B$10,"返程；"&amp;IF(C1821=DATE(2026,12,2),"机构午餐","无统一供餐"),"差旅状态；无统一日程"))))))</f>
        <v/>
      </c>
      <c r="E1821" s="13">
        <f>IF(C1821=Options!$B$9,Options!$C$18,0)</f>
        <v/>
      </c>
      <c r="F1821" s="13">
        <f>IF(AND(A1821&lt;&gt;"",C1821&lt;Options!$B$10),B1821*Options!$X$7,0)</f>
        <v/>
      </c>
      <c r="G1821" s="13">
        <f>F1821*12%</f>
        <v/>
      </c>
      <c r="H1821" s="13">
        <f>IF(A1821="",0,B1821*(86*IF(OR(C1821=Options!$B$9,C1821=Options!$B$10),75%,100%)-IF(C1821=DATE(2026,11,29),23+IF(Options!$B$8="是",22,0),0)-IF(C1821=DATE(2026,11,30),23,0)-IF(C1821=DATE(2026,12,1),59,0)-IF(C1821=DATE(2026,11,28),36,0)-IF(C1821=DATE(2026,12,2),23,0)))</f>
        <v/>
      </c>
      <c r="I1821" s="13">
        <f>IF(AND(C1821&gt;=DATE(2026,11,29),C1821&lt;=DATE(2026,12,1)),B1821*60,0)</f>
        <v/>
      </c>
      <c r="J1821" s="13">
        <f>IF(A1821="",0,B1821*(IF(C1821=DATE(2026,11,28),36,0)+IF(C1821=DATE(2026,12,1),36,0)+IF(C1821=DATE(2026,12,2),23,0)))</f>
        <v/>
      </c>
      <c r="K1821" s="13">
        <f>IF(C1821=Options!$B$9,B1821*12,0)</f>
        <v/>
      </c>
      <c r="L1821" s="13">
        <f>IF(C1821=Options!$B$9,B1821*Options!$Z$7,0)</f>
        <v/>
      </c>
      <c r="M1821" s="13" t="n">
        <v>0</v>
      </c>
      <c r="N1821" s="13">
        <f>SUM(E1821:M1821)</f>
        <v/>
      </c>
    </row>
    <row r="1822">
      <c r="A1822" s="5">
        <f>IF(AND(C1822&gt;=Options!$B$9,C1822&lt;=Options!$B$10),"Phoenix","")</f>
        <v/>
      </c>
      <c r="B1822" s="5">
        <f>IF(A1822="","",18)</f>
        <v/>
      </c>
      <c r="C1822" s="17" t="n">
        <v>46653</v>
      </c>
      <c r="D1822" s="5">
        <f>IF(A1822="","",IF(C1822=DATE(2026,11,29),"培训；注册午餐；早餐参数",IF(C1822=DATE(2026,11,30),"培训；注册午餐",IF(C1822=DATE(2026,12,1),"培训；注册午餐；机构晚餐",IF(C1822=Options!$B$9,"抵达；"&amp;IF(C1822=DATE(2026,11,28),"机构晚餐","无统一供餐"),IF(C1822=Options!$B$10,"返程；"&amp;IF(C1822=DATE(2026,12,2),"机构午餐","无统一供餐"),"差旅状态；无统一日程"))))))</f>
        <v/>
      </c>
      <c r="E1822" s="13">
        <f>IF(C1822=Options!$B$9,Options!$C$18,0)</f>
        <v/>
      </c>
      <c r="F1822" s="13">
        <f>IF(AND(A1822&lt;&gt;"",C1822&lt;Options!$B$10),B1822*Options!$X$7,0)</f>
        <v/>
      </c>
      <c r="G1822" s="13">
        <f>F1822*12%</f>
        <v/>
      </c>
      <c r="H1822" s="13">
        <f>IF(A1822="",0,B1822*(86*IF(OR(C1822=Options!$B$9,C1822=Options!$B$10),75%,100%)-IF(C1822=DATE(2026,11,29),23+IF(Options!$B$8="是",22,0),0)-IF(C1822=DATE(2026,11,30),23,0)-IF(C1822=DATE(2026,12,1),59,0)-IF(C1822=DATE(2026,11,28),36,0)-IF(C1822=DATE(2026,12,2),23,0)))</f>
        <v/>
      </c>
      <c r="I1822" s="13">
        <f>IF(AND(C1822&gt;=DATE(2026,11,29),C1822&lt;=DATE(2026,12,1)),B1822*60,0)</f>
        <v/>
      </c>
      <c r="J1822" s="13">
        <f>IF(A1822="",0,B1822*(IF(C1822=DATE(2026,11,28),36,0)+IF(C1822=DATE(2026,12,1),36,0)+IF(C1822=DATE(2026,12,2),23,0)))</f>
        <v/>
      </c>
      <c r="K1822" s="13">
        <f>IF(C1822=Options!$B$9,B1822*12,0)</f>
        <v/>
      </c>
      <c r="L1822" s="13">
        <f>IF(C1822=Options!$B$9,B1822*Options!$Z$7,0)</f>
        <v/>
      </c>
      <c r="M1822" s="13" t="n">
        <v>0</v>
      </c>
      <c r="N1822" s="13">
        <f>SUM(E1822:M1822)</f>
        <v/>
      </c>
    </row>
    <row r="1823">
      <c r="A1823" s="5">
        <f>IF(AND(C1823&gt;=Options!$B$9,C1823&lt;=Options!$B$10),"Phoenix","")</f>
        <v/>
      </c>
      <c r="B1823" s="5">
        <f>IF(A1823="","",18)</f>
        <v/>
      </c>
      <c r="C1823" s="17" t="n">
        <v>46654</v>
      </c>
      <c r="D1823" s="5">
        <f>IF(A1823="","",IF(C1823=DATE(2026,11,29),"培训；注册午餐；早餐参数",IF(C1823=DATE(2026,11,30),"培训；注册午餐",IF(C1823=DATE(2026,12,1),"培训；注册午餐；机构晚餐",IF(C1823=Options!$B$9,"抵达；"&amp;IF(C1823=DATE(2026,11,28),"机构晚餐","无统一供餐"),IF(C1823=Options!$B$10,"返程；"&amp;IF(C1823=DATE(2026,12,2),"机构午餐","无统一供餐"),"差旅状态；无统一日程"))))))</f>
        <v/>
      </c>
      <c r="E1823" s="13">
        <f>IF(C1823=Options!$B$9,Options!$C$18,0)</f>
        <v/>
      </c>
      <c r="F1823" s="13">
        <f>IF(AND(A1823&lt;&gt;"",C1823&lt;Options!$B$10),B1823*Options!$X$7,0)</f>
        <v/>
      </c>
      <c r="G1823" s="13">
        <f>F1823*12%</f>
        <v/>
      </c>
      <c r="H1823" s="13">
        <f>IF(A1823="",0,B1823*(86*IF(OR(C1823=Options!$B$9,C1823=Options!$B$10),75%,100%)-IF(C1823=DATE(2026,11,29),23+IF(Options!$B$8="是",22,0),0)-IF(C1823=DATE(2026,11,30),23,0)-IF(C1823=DATE(2026,12,1),59,0)-IF(C1823=DATE(2026,11,28),36,0)-IF(C1823=DATE(2026,12,2),23,0)))</f>
        <v/>
      </c>
      <c r="I1823" s="13">
        <f>IF(AND(C1823&gt;=DATE(2026,11,29),C1823&lt;=DATE(2026,12,1)),B1823*60,0)</f>
        <v/>
      </c>
      <c r="J1823" s="13">
        <f>IF(A1823="",0,B1823*(IF(C1823=DATE(2026,11,28),36,0)+IF(C1823=DATE(2026,12,1),36,0)+IF(C1823=DATE(2026,12,2),23,0)))</f>
        <v/>
      </c>
      <c r="K1823" s="13">
        <f>IF(C1823=Options!$B$9,B1823*12,0)</f>
        <v/>
      </c>
      <c r="L1823" s="13">
        <f>IF(C1823=Options!$B$9,B1823*Options!$Z$7,0)</f>
        <v/>
      </c>
      <c r="M1823" s="13" t="n">
        <v>0</v>
      </c>
      <c r="N1823" s="13">
        <f>SUM(E1823:M1823)</f>
        <v/>
      </c>
    </row>
    <row r="1824">
      <c r="A1824" s="5">
        <f>IF(AND(C1824&gt;=Options!$B$9,C1824&lt;=Options!$B$10),"Phoenix","")</f>
        <v/>
      </c>
      <c r="B1824" s="5">
        <f>IF(A1824="","",18)</f>
        <v/>
      </c>
      <c r="C1824" s="17" t="n">
        <v>46655</v>
      </c>
      <c r="D1824" s="5">
        <f>IF(A1824="","",IF(C1824=DATE(2026,11,29),"培训；注册午餐；早餐参数",IF(C1824=DATE(2026,11,30),"培训；注册午餐",IF(C1824=DATE(2026,12,1),"培训；注册午餐；机构晚餐",IF(C1824=Options!$B$9,"抵达；"&amp;IF(C1824=DATE(2026,11,28),"机构晚餐","无统一供餐"),IF(C1824=Options!$B$10,"返程；"&amp;IF(C1824=DATE(2026,12,2),"机构午餐","无统一供餐"),"差旅状态；无统一日程"))))))</f>
        <v/>
      </c>
      <c r="E1824" s="13">
        <f>IF(C1824=Options!$B$9,Options!$C$18,0)</f>
        <v/>
      </c>
      <c r="F1824" s="13">
        <f>IF(AND(A1824&lt;&gt;"",C1824&lt;Options!$B$10),B1824*Options!$X$7,0)</f>
        <v/>
      </c>
      <c r="G1824" s="13">
        <f>F1824*12%</f>
        <v/>
      </c>
      <c r="H1824" s="13">
        <f>IF(A1824="",0,B1824*(86*IF(OR(C1824=Options!$B$9,C1824=Options!$B$10),75%,100%)-IF(C1824=DATE(2026,11,29),23+IF(Options!$B$8="是",22,0),0)-IF(C1824=DATE(2026,11,30),23,0)-IF(C1824=DATE(2026,12,1),59,0)-IF(C1824=DATE(2026,11,28),36,0)-IF(C1824=DATE(2026,12,2),23,0)))</f>
        <v/>
      </c>
      <c r="I1824" s="13">
        <f>IF(AND(C1824&gt;=DATE(2026,11,29),C1824&lt;=DATE(2026,12,1)),B1824*60,0)</f>
        <v/>
      </c>
      <c r="J1824" s="13">
        <f>IF(A1824="",0,B1824*(IF(C1824=DATE(2026,11,28),36,0)+IF(C1824=DATE(2026,12,1),36,0)+IF(C1824=DATE(2026,12,2),23,0)))</f>
        <v/>
      </c>
      <c r="K1824" s="13">
        <f>IF(C1824=Options!$B$9,B1824*12,0)</f>
        <v/>
      </c>
      <c r="L1824" s="13">
        <f>IF(C1824=Options!$B$9,B1824*Options!$Z$7,0)</f>
        <v/>
      </c>
      <c r="M1824" s="13" t="n">
        <v>0</v>
      </c>
      <c r="N1824" s="13">
        <f>SUM(E1824:M1824)</f>
        <v/>
      </c>
    </row>
    <row r="1825">
      <c r="A1825" s="5">
        <f>IF(AND(C1825&gt;=Options!$B$9,C1825&lt;=Options!$B$10),"Phoenix","")</f>
        <v/>
      </c>
      <c r="B1825" s="5">
        <f>IF(A1825="","",18)</f>
        <v/>
      </c>
      <c r="C1825" s="17" t="n">
        <v>46656</v>
      </c>
      <c r="D1825" s="5">
        <f>IF(A1825="","",IF(C1825=DATE(2026,11,29),"培训；注册午餐；早餐参数",IF(C1825=DATE(2026,11,30),"培训；注册午餐",IF(C1825=DATE(2026,12,1),"培训；注册午餐；机构晚餐",IF(C1825=Options!$B$9,"抵达；"&amp;IF(C1825=DATE(2026,11,28),"机构晚餐","无统一供餐"),IF(C1825=Options!$B$10,"返程；"&amp;IF(C1825=DATE(2026,12,2),"机构午餐","无统一供餐"),"差旅状态；无统一日程"))))))</f>
        <v/>
      </c>
      <c r="E1825" s="13">
        <f>IF(C1825=Options!$B$9,Options!$C$18,0)</f>
        <v/>
      </c>
      <c r="F1825" s="13">
        <f>IF(AND(A1825&lt;&gt;"",C1825&lt;Options!$B$10),B1825*Options!$X$7,0)</f>
        <v/>
      </c>
      <c r="G1825" s="13">
        <f>F1825*12%</f>
        <v/>
      </c>
      <c r="H1825" s="13">
        <f>IF(A1825="",0,B1825*(86*IF(OR(C1825=Options!$B$9,C1825=Options!$B$10),75%,100%)-IF(C1825=DATE(2026,11,29),23+IF(Options!$B$8="是",22,0),0)-IF(C1825=DATE(2026,11,30),23,0)-IF(C1825=DATE(2026,12,1),59,0)-IF(C1825=DATE(2026,11,28),36,0)-IF(C1825=DATE(2026,12,2),23,0)))</f>
        <v/>
      </c>
      <c r="I1825" s="13">
        <f>IF(AND(C1825&gt;=DATE(2026,11,29),C1825&lt;=DATE(2026,12,1)),B1825*60,0)</f>
        <v/>
      </c>
      <c r="J1825" s="13">
        <f>IF(A1825="",0,B1825*(IF(C1825=DATE(2026,11,28),36,0)+IF(C1825=DATE(2026,12,1),36,0)+IF(C1825=DATE(2026,12,2),23,0)))</f>
        <v/>
      </c>
      <c r="K1825" s="13">
        <f>IF(C1825=Options!$B$9,B1825*12,0)</f>
        <v/>
      </c>
      <c r="L1825" s="13">
        <f>IF(C1825=Options!$B$9,B1825*Options!$Z$7,0)</f>
        <v/>
      </c>
      <c r="M1825" s="13" t="n">
        <v>0</v>
      </c>
      <c r="N1825" s="13">
        <f>SUM(E1825:M1825)</f>
        <v/>
      </c>
    </row>
    <row r="1826">
      <c r="A1826" s="5">
        <f>IF(AND(C1826&gt;=Options!$B$9,C1826&lt;=Options!$B$10),"Phoenix","")</f>
        <v/>
      </c>
      <c r="B1826" s="5">
        <f>IF(A1826="","",18)</f>
        <v/>
      </c>
      <c r="C1826" s="17" t="n">
        <v>46657</v>
      </c>
      <c r="D1826" s="5">
        <f>IF(A1826="","",IF(C1826=DATE(2026,11,29),"培训；注册午餐；早餐参数",IF(C1826=DATE(2026,11,30),"培训；注册午餐",IF(C1826=DATE(2026,12,1),"培训；注册午餐；机构晚餐",IF(C1826=Options!$B$9,"抵达；"&amp;IF(C1826=DATE(2026,11,28),"机构晚餐","无统一供餐"),IF(C1826=Options!$B$10,"返程；"&amp;IF(C1826=DATE(2026,12,2),"机构午餐","无统一供餐"),"差旅状态；无统一日程"))))))</f>
        <v/>
      </c>
      <c r="E1826" s="13">
        <f>IF(C1826=Options!$B$9,Options!$C$18,0)</f>
        <v/>
      </c>
      <c r="F1826" s="13">
        <f>IF(AND(A1826&lt;&gt;"",C1826&lt;Options!$B$10),B1826*Options!$X$7,0)</f>
        <v/>
      </c>
      <c r="G1826" s="13">
        <f>F1826*12%</f>
        <v/>
      </c>
      <c r="H1826" s="13">
        <f>IF(A1826="",0,B1826*(86*IF(OR(C1826=Options!$B$9,C1826=Options!$B$10),75%,100%)-IF(C1826=DATE(2026,11,29),23+IF(Options!$B$8="是",22,0),0)-IF(C1826=DATE(2026,11,30),23,0)-IF(C1826=DATE(2026,12,1),59,0)-IF(C1826=DATE(2026,11,28),36,0)-IF(C1826=DATE(2026,12,2),23,0)))</f>
        <v/>
      </c>
      <c r="I1826" s="13">
        <f>IF(AND(C1826&gt;=DATE(2026,11,29),C1826&lt;=DATE(2026,12,1)),B1826*60,0)</f>
        <v/>
      </c>
      <c r="J1826" s="13">
        <f>IF(A1826="",0,B1826*(IF(C1826=DATE(2026,11,28),36,0)+IF(C1826=DATE(2026,12,1),36,0)+IF(C1826=DATE(2026,12,2),23,0)))</f>
        <v/>
      </c>
      <c r="K1826" s="13">
        <f>IF(C1826=Options!$B$9,B1826*12,0)</f>
        <v/>
      </c>
      <c r="L1826" s="13">
        <f>IF(C1826=Options!$B$9,B1826*Options!$Z$7,0)</f>
        <v/>
      </c>
      <c r="M1826" s="13" t="n">
        <v>0</v>
      </c>
      <c r="N1826" s="13">
        <f>SUM(E1826:M1826)</f>
        <v/>
      </c>
    </row>
    <row r="1827">
      <c r="A1827" s="5">
        <f>IF(AND(C1827&gt;=Options!$B$9,C1827&lt;=Options!$B$10),"Phoenix","")</f>
        <v/>
      </c>
      <c r="B1827" s="5">
        <f>IF(A1827="","",18)</f>
        <v/>
      </c>
      <c r="C1827" s="17" t="n">
        <v>46658</v>
      </c>
      <c r="D1827" s="5">
        <f>IF(A1827="","",IF(C1827=DATE(2026,11,29),"培训；注册午餐；早餐参数",IF(C1827=DATE(2026,11,30),"培训；注册午餐",IF(C1827=DATE(2026,12,1),"培训；注册午餐；机构晚餐",IF(C1827=Options!$B$9,"抵达；"&amp;IF(C1827=DATE(2026,11,28),"机构晚餐","无统一供餐"),IF(C1827=Options!$B$10,"返程；"&amp;IF(C1827=DATE(2026,12,2),"机构午餐","无统一供餐"),"差旅状态；无统一日程"))))))</f>
        <v/>
      </c>
      <c r="E1827" s="13">
        <f>IF(C1827=Options!$B$9,Options!$C$18,0)</f>
        <v/>
      </c>
      <c r="F1827" s="13">
        <f>IF(AND(A1827&lt;&gt;"",C1827&lt;Options!$B$10),B1827*Options!$X$7,0)</f>
        <v/>
      </c>
      <c r="G1827" s="13">
        <f>F1827*12%</f>
        <v/>
      </c>
      <c r="H1827" s="13">
        <f>IF(A1827="",0,B1827*(86*IF(OR(C1827=Options!$B$9,C1827=Options!$B$10),75%,100%)-IF(C1827=DATE(2026,11,29),23+IF(Options!$B$8="是",22,0),0)-IF(C1827=DATE(2026,11,30),23,0)-IF(C1827=DATE(2026,12,1),59,0)-IF(C1827=DATE(2026,11,28),36,0)-IF(C1827=DATE(2026,12,2),23,0)))</f>
        <v/>
      </c>
      <c r="I1827" s="13">
        <f>IF(AND(C1827&gt;=DATE(2026,11,29),C1827&lt;=DATE(2026,12,1)),B1827*60,0)</f>
        <v/>
      </c>
      <c r="J1827" s="13">
        <f>IF(A1827="",0,B1827*(IF(C1827=DATE(2026,11,28),36,0)+IF(C1827=DATE(2026,12,1),36,0)+IF(C1827=DATE(2026,12,2),23,0)))</f>
        <v/>
      </c>
      <c r="K1827" s="13">
        <f>IF(C1827=Options!$B$9,B1827*12,0)</f>
        <v/>
      </c>
      <c r="L1827" s="13">
        <f>IF(C1827=Options!$B$9,B1827*Options!$Z$7,0)</f>
        <v/>
      </c>
      <c r="M1827" s="13" t="n">
        <v>0</v>
      </c>
      <c r="N1827" s="13">
        <f>SUM(E1827:M1827)</f>
        <v/>
      </c>
    </row>
    <row r="1828">
      <c r="A1828" s="5">
        <f>IF(AND(C1828&gt;=Options!$B$9,C1828&lt;=Options!$B$10),"Phoenix","")</f>
        <v/>
      </c>
      <c r="B1828" s="5">
        <f>IF(A1828="","",18)</f>
        <v/>
      </c>
      <c r="C1828" s="17" t="n">
        <v>46659</v>
      </c>
      <c r="D1828" s="5">
        <f>IF(A1828="","",IF(C1828=DATE(2026,11,29),"培训；注册午餐；早餐参数",IF(C1828=DATE(2026,11,30),"培训；注册午餐",IF(C1828=DATE(2026,12,1),"培训；注册午餐；机构晚餐",IF(C1828=Options!$B$9,"抵达；"&amp;IF(C1828=DATE(2026,11,28),"机构晚餐","无统一供餐"),IF(C1828=Options!$B$10,"返程；"&amp;IF(C1828=DATE(2026,12,2),"机构午餐","无统一供餐"),"差旅状态；无统一日程"))))))</f>
        <v/>
      </c>
      <c r="E1828" s="13">
        <f>IF(C1828=Options!$B$9,Options!$C$18,0)</f>
        <v/>
      </c>
      <c r="F1828" s="13">
        <f>IF(AND(A1828&lt;&gt;"",C1828&lt;Options!$B$10),B1828*Options!$X$7,0)</f>
        <v/>
      </c>
      <c r="G1828" s="13">
        <f>F1828*12%</f>
        <v/>
      </c>
      <c r="H1828" s="13">
        <f>IF(A1828="",0,B1828*(86*IF(OR(C1828=Options!$B$9,C1828=Options!$B$10),75%,100%)-IF(C1828=DATE(2026,11,29),23+IF(Options!$B$8="是",22,0),0)-IF(C1828=DATE(2026,11,30),23,0)-IF(C1828=DATE(2026,12,1),59,0)-IF(C1828=DATE(2026,11,28),36,0)-IF(C1828=DATE(2026,12,2),23,0)))</f>
        <v/>
      </c>
      <c r="I1828" s="13">
        <f>IF(AND(C1828&gt;=DATE(2026,11,29),C1828&lt;=DATE(2026,12,1)),B1828*60,0)</f>
        <v/>
      </c>
      <c r="J1828" s="13">
        <f>IF(A1828="",0,B1828*(IF(C1828=DATE(2026,11,28),36,0)+IF(C1828=DATE(2026,12,1),36,0)+IF(C1828=DATE(2026,12,2),23,0)))</f>
        <v/>
      </c>
      <c r="K1828" s="13">
        <f>IF(C1828=Options!$B$9,B1828*12,0)</f>
        <v/>
      </c>
      <c r="L1828" s="13">
        <f>IF(C1828=Options!$B$9,B1828*Options!$Z$7,0)</f>
        <v/>
      </c>
      <c r="M1828" s="13" t="n">
        <v>0</v>
      </c>
      <c r="N1828" s="13">
        <f>SUM(E1828:M1828)</f>
        <v/>
      </c>
    </row>
    <row r="1829">
      <c r="A1829" s="5">
        <f>IF(AND(C1829&gt;=Options!$B$9,C1829&lt;=Options!$B$10),"Phoenix","")</f>
        <v/>
      </c>
      <c r="B1829" s="5">
        <f>IF(A1829="","",18)</f>
        <v/>
      </c>
      <c r="C1829" s="17" t="n">
        <v>46660</v>
      </c>
      <c r="D1829" s="5">
        <f>IF(A1829="","",IF(C1829=DATE(2026,11,29),"培训；注册午餐；早餐参数",IF(C1829=DATE(2026,11,30),"培训；注册午餐",IF(C1829=DATE(2026,12,1),"培训；注册午餐；机构晚餐",IF(C1829=Options!$B$9,"抵达；"&amp;IF(C1829=DATE(2026,11,28),"机构晚餐","无统一供餐"),IF(C1829=Options!$B$10,"返程；"&amp;IF(C1829=DATE(2026,12,2),"机构午餐","无统一供餐"),"差旅状态；无统一日程"))))))</f>
        <v/>
      </c>
      <c r="E1829" s="13">
        <f>IF(C1829=Options!$B$9,Options!$C$18,0)</f>
        <v/>
      </c>
      <c r="F1829" s="13">
        <f>IF(AND(A1829&lt;&gt;"",C1829&lt;Options!$B$10),B1829*Options!$X$7,0)</f>
        <v/>
      </c>
      <c r="G1829" s="13">
        <f>F1829*12%</f>
        <v/>
      </c>
      <c r="H1829" s="13">
        <f>IF(A1829="",0,B1829*(86*IF(OR(C1829=Options!$B$9,C1829=Options!$B$10),75%,100%)-IF(C1829=DATE(2026,11,29),23+IF(Options!$B$8="是",22,0),0)-IF(C1829=DATE(2026,11,30),23,0)-IF(C1829=DATE(2026,12,1),59,0)-IF(C1829=DATE(2026,11,28),36,0)-IF(C1829=DATE(2026,12,2),23,0)))</f>
        <v/>
      </c>
      <c r="I1829" s="13">
        <f>IF(AND(C1829&gt;=DATE(2026,11,29),C1829&lt;=DATE(2026,12,1)),B1829*60,0)</f>
        <v/>
      </c>
      <c r="J1829" s="13">
        <f>IF(A1829="",0,B1829*(IF(C1829=DATE(2026,11,28),36,0)+IF(C1829=DATE(2026,12,1),36,0)+IF(C1829=DATE(2026,12,2),23,0)))</f>
        <v/>
      </c>
      <c r="K1829" s="13">
        <f>IF(C1829=Options!$B$9,B1829*12,0)</f>
        <v/>
      </c>
      <c r="L1829" s="13">
        <f>IF(C1829=Options!$B$9,B1829*Options!$Z$7,0)</f>
        <v/>
      </c>
      <c r="M1829" s="13" t="n">
        <v>0</v>
      </c>
      <c r="N1829" s="13">
        <f>SUM(E1829:M1829)</f>
        <v/>
      </c>
    </row>
    <row r="1830">
      <c r="A1830" s="5">
        <f>IF(AND(C1830&gt;=Options!$B$9,C1830&lt;=Options!$B$10),"Phoenix","")</f>
        <v/>
      </c>
      <c r="B1830" s="5">
        <f>IF(A1830="","",24)</f>
        <v/>
      </c>
      <c r="C1830" s="17" t="n">
        <v>46296</v>
      </c>
      <c r="D1830" s="5">
        <f>IF(A1830="","",IF(C1830=DATE(2026,11,29),"培训；注册午餐；早餐参数",IF(C1830=DATE(2026,11,30),"培训；注册午餐",IF(C1830=DATE(2026,12,1),"培训；注册午餐；机构晚餐",IF(C1830=Options!$B$9,"抵达；"&amp;IF(C1830=DATE(2026,11,28),"机构晚餐","无统一供餐"),IF(C1830=Options!$B$10,"返程；"&amp;IF(C1830=DATE(2026,12,2),"机构午餐","无统一供餐"),"差旅状态；无统一日程"))))))</f>
        <v/>
      </c>
      <c r="E1830" s="13">
        <f>IF(C1830=Options!$B$9,Options!$C$19,0)</f>
        <v/>
      </c>
      <c r="F1830" s="13">
        <f>IF(AND(A1830&lt;&gt;"",C1830&lt;Options!$B$10),B1830*Options!$X$7,0)</f>
        <v/>
      </c>
      <c r="G1830" s="13">
        <f>F1830*12%</f>
        <v/>
      </c>
      <c r="H1830" s="13">
        <f>IF(A1830="",0,B1830*(86*IF(OR(C1830=Options!$B$9,C1830=Options!$B$10),75%,100%)-IF(C1830=DATE(2026,11,29),23+IF(Options!$B$8="是",22,0),0)-IF(C1830=DATE(2026,11,30),23,0)-IF(C1830=DATE(2026,12,1),59,0)-IF(C1830=DATE(2026,11,28),36,0)-IF(C1830=DATE(2026,12,2),23,0)))</f>
        <v/>
      </c>
      <c r="I1830" s="13">
        <f>IF(AND(C1830&gt;=DATE(2026,11,29),C1830&lt;=DATE(2026,12,1)),B1830*60,0)</f>
        <v/>
      </c>
      <c r="J1830" s="13">
        <f>IF(A1830="",0,B1830*(IF(C1830=DATE(2026,11,28),36,0)+IF(C1830=DATE(2026,12,1),36,0)+IF(C1830=DATE(2026,12,2),23,0)))</f>
        <v/>
      </c>
      <c r="K1830" s="13">
        <f>IF(C1830=Options!$B$9,B1830*12,0)</f>
        <v/>
      </c>
      <c r="L1830" s="13">
        <f>IF(C1830=Options!$B$9,B1830*Options!$Z$7,0)</f>
        <v/>
      </c>
      <c r="M1830" s="13" t="n">
        <v>0</v>
      </c>
      <c r="N1830" s="13">
        <f>SUM(E1830:M1830)</f>
        <v/>
      </c>
    </row>
    <row r="1831">
      <c r="A1831" s="5">
        <f>IF(AND(C1831&gt;=Options!$B$9,C1831&lt;=Options!$B$10),"Phoenix","")</f>
        <v/>
      </c>
      <c r="B1831" s="5">
        <f>IF(A1831="","",24)</f>
        <v/>
      </c>
      <c r="C1831" s="17" t="n">
        <v>46297</v>
      </c>
      <c r="D1831" s="5">
        <f>IF(A1831="","",IF(C1831=DATE(2026,11,29),"培训；注册午餐；早餐参数",IF(C1831=DATE(2026,11,30),"培训；注册午餐",IF(C1831=DATE(2026,12,1),"培训；注册午餐；机构晚餐",IF(C1831=Options!$B$9,"抵达；"&amp;IF(C1831=DATE(2026,11,28),"机构晚餐","无统一供餐"),IF(C1831=Options!$B$10,"返程；"&amp;IF(C1831=DATE(2026,12,2),"机构午餐","无统一供餐"),"差旅状态；无统一日程"))))))</f>
        <v/>
      </c>
      <c r="E1831" s="13">
        <f>IF(C1831=Options!$B$9,Options!$C$19,0)</f>
        <v/>
      </c>
      <c r="F1831" s="13">
        <f>IF(AND(A1831&lt;&gt;"",C1831&lt;Options!$B$10),B1831*Options!$X$7,0)</f>
        <v/>
      </c>
      <c r="G1831" s="13">
        <f>F1831*12%</f>
        <v/>
      </c>
      <c r="H1831" s="13">
        <f>IF(A1831="",0,B1831*(86*IF(OR(C1831=Options!$B$9,C1831=Options!$B$10),75%,100%)-IF(C1831=DATE(2026,11,29),23+IF(Options!$B$8="是",22,0),0)-IF(C1831=DATE(2026,11,30),23,0)-IF(C1831=DATE(2026,12,1),59,0)-IF(C1831=DATE(2026,11,28),36,0)-IF(C1831=DATE(2026,12,2),23,0)))</f>
        <v/>
      </c>
      <c r="I1831" s="13">
        <f>IF(AND(C1831&gt;=DATE(2026,11,29),C1831&lt;=DATE(2026,12,1)),B1831*60,0)</f>
        <v/>
      </c>
      <c r="J1831" s="13">
        <f>IF(A1831="",0,B1831*(IF(C1831=DATE(2026,11,28),36,0)+IF(C1831=DATE(2026,12,1),36,0)+IF(C1831=DATE(2026,12,2),23,0)))</f>
        <v/>
      </c>
      <c r="K1831" s="13">
        <f>IF(C1831=Options!$B$9,B1831*12,0)</f>
        <v/>
      </c>
      <c r="L1831" s="13">
        <f>IF(C1831=Options!$B$9,B1831*Options!$Z$7,0)</f>
        <v/>
      </c>
      <c r="M1831" s="13" t="n">
        <v>0</v>
      </c>
      <c r="N1831" s="13">
        <f>SUM(E1831:M1831)</f>
        <v/>
      </c>
    </row>
    <row r="1832">
      <c r="A1832" s="5">
        <f>IF(AND(C1832&gt;=Options!$B$9,C1832&lt;=Options!$B$10),"Phoenix","")</f>
        <v/>
      </c>
      <c r="B1832" s="5">
        <f>IF(A1832="","",24)</f>
        <v/>
      </c>
      <c r="C1832" s="17" t="n">
        <v>46298</v>
      </c>
      <c r="D1832" s="5">
        <f>IF(A1832="","",IF(C1832=DATE(2026,11,29),"培训；注册午餐；早餐参数",IF(C1832=DATE(2026,11,30),"培训；注册午餐",IF(C1832=DATE(2026,12,1),"培训；注册午餐；机构晚餐",IF(C1832=Options!$B$9,"抵达；"&amp;IF(C1832=DATE(2026,11,28),"机构晚餐","无统一供餐"),IF(C1832=Options!$B$10,"返程；"&amp;IF(C1832=DATE(2026,12,2),"机构午餐","无统一供餐"),"差旅状态；无统一日程"))))))</f>
        <v/>
      </c>
      <c r="E1832" s="13">
        <f>IF(C1832=Options!$B$9,Options!$C$19,0)</f>
        <v/>
      </c>
      <c r="F1832" s="13">
        <f>IF(AND(A1832&lt;&gt;"",C1832&lt;Options!$B$10),B1832*Options!$X$7,0)</f>
        <v/>
      </c>
      <c r="G1832" s="13">
        <f>F1832*12%</f>
        <v/>
      </c>
      <c r="H1832" s="13">
        <f>IF(A1832="",0,B1832*(86*IF(OR(C1832=Options!$B$9,C1832=Options!$B$10),75%,100%)-IF(C1832=DATE(2026,11,29),23+IF(Options!$B$8="是",22,0),0)-IF(C1832=DATE(2026,11,30),23,0)-IF(C1832=DATE(2026,12,1),59,0)-IF(C1832=DATE(2026,11,28),36,0)-IF(C1832=DATE(2026,12,2),23,0)))</f>
        <v/>
      </c>
      <c r="I1832" s="13">
        <f>IF(AND(C1832&gt;=DATE(2026,11,29),C1832&lt;=DATE(2026,12,1)),B1832*60,0)</f>
        <v/>
      </c>
      <c r="J1832" s="13">
        <f>IF(A1832="",0,B1832*(IF(C1832=DATE(2026,11,28),36,0)+IF(C1832=DATE(2026,12,1),36,0)+IF(C1832=DATE(2026,12,2),23,0)))</f>
        <v/>
      </c>
      <c r="K1832" s="13">
        <f>IF(C1832=Options!$B$9,B1832*12,0)</f>
        <v/>
      </c>
      <c r="L1832" s="13">
        <f>IF(C1832=Options!$B$9,B1832*Options!$Z$7,0)</f>
        <v/>
      </c>
      <c r="M1832" s="13" t="n">
        <v>0</v>
      </c>
      <c r="N1832" s="13">
        <f>SUM(E1832:M1832)</f>
        <v/>
      </c>
    </row>
    <row r="1833">
      <c r="A1833" s="5">
        <f>IF(AND(C1833&gt;=Options!$B$9,C1833&lt;=Options!$B$10),"Phoenix","")</f>
        <v/>
      </c>
      <c r="B1833" s="5">
        <f>IF(A1833="","",24)</f>
        <v/>
      </c>
      <c r="C1833" s="17" t="n">
        <v>46299</v>
      </c>
      <c r="D1833" s="5">
        <f>IF(A1833="","",IF(C1833=DATE(2026,11,29),"培训；注册午餐；早餐参数",IF(C1833=DATE(2026,11,30),"培训；注册午餐",IF(C1833=DATE(2026,12,1),"培训；注册午餐；机构晚餐",IF(C1833=Options!$B$9,"抵达；"&amp;IF(C1833=DATE(2026,11,28),"机构晚餐","无统一供餐"),IF(C1833=Options!$B$10,"返程；"&amp;IF(C1833=DATE(2026,12,2),"机构午餐","无统一供餐"),"差旅状态；无统一日程"))))))</f>
        <v/>
      </c>
      <c r="E1833" s="13">
        <f>IF(C1833=Options!$B$9,Options!$C$19,0)</f>
        <v/>
      </c>
      <c r="F1833" s="13">
        <f>IF(AND(A1833&lt;&gt;"",C1833&lt;Options!$B$10),B1833*Options!$X$7,0)</f>
        <v/>
      </c>
      <c r="G1833" s="13">
        <f>F1833*12%</f>
        <v/>
      </c>
      <c r="H1833" s="13">
        <f>IF(A1833="",0,B1833*(86*IF(OR(C1833=Options!$B$9,C1833=Options!$B$10),75%,100%)-IF(C1833=DATE(2026,11,29),23+IF(Options!$B$8="是",22,0),0)-IF(C1833=DATE(2026,11,30),23,0)-IF(C1833=DATE(2026,12,1),59,0)-IF(C1833=DATE(2026,11,28),36,0)-IF(C1833=DATE(2026,12,2),23,0)))</f>
        <v/>
      </c>
      <c r="I1833" s="13">
        <f>IF(AND(C1833&gt;=DATE(2026,11,29),C1833&lt;=DATE(2026,12,1)),B1833*60,0)</f>
        <v/>
      </c>
      <c r="J1833" s="13">
        <f>IF(A1833="",0,B1833*(IF(C1833=DATE(2026,11,28),36,0)+IF(C1833=DATE(2026,12,1),36,0)+IF(C1833=DATE(2026,12,2),23,0)))</f>
        <v/>
      </c>
      <c r="K1833" s="13">
        <f>IF(C1833=Options!$B$9,B1833*12,0)</f>
        <v/>
      </c>
      <c r="L1833" s="13">
        <f>IF(C1833=Options!$B$9,B1833*Options!$Z$7,0)</f>
        <v/>
      </c>
      <c r="M1833" s="13" t="n">
        <v>0</v>
      </c>
      <c r="N1833" s="13">
        <f>SUM(E1833:M1833)</f>
        <v/>
      </c>
    </row>
    <row r="1834">
      <c r="A1834" s="5">
        <f>IF(AND(C1834&gt;=Options!$B$9,C1834&lt;=Options!$B$10),"Phoenix","")</f>
        <v/>
      </c>
      <c r="B1834" s="5">
        <f>IF(A1834="","",24)</f>
        <v/>
      </c>
      <c r="C1834" s="17" t="n">
        <v>46300</v>
      </c>
      <c r="D1834" s="5">
        <f>IF(A1834="","",IF(C1834=DATE(2026,11,29),"培训；注册午餐；早餐参数",IF(C1834=DATE(2026,11,30),"培训；注册午餐",IF(C1834=DATE(2026,12,1),"培训；注册午餐；机构晚餐",IF(C1834=Options!$B$9,"抵达；"&amp;IF(C1834=DATE(2026,11,28),"机构晚餐","无统一供餐"),IF(C1834=Options!$B$10,"返程；"&amp;IF(C1834=DATE(2026,12,2),"机构午餐","无统一供餐"),"差旅状态；无统一日程"))))))</f>
        <v/>
      </c>
      <c r="E1834" s="13">
        <f>IF(C1834=Options!$B$9,Options!$C$19,0)</f>
        <v/>
      </c>
      <c r="F1834" s="13">
        <f>IF(AND(A1834&lt;&gt;"",C1834&lt;Options!$B$10),B1834*Options!$X$7,0)</f>
        <v/>
      </c>
      <c r="G1834" s="13">
        <f>F1834*12%</f>
        <v/>
      </c>
      <c r="H1834" s="13">
        <f>IF(A1834="",0,B1834*(86*IF(OR(C1834=Options!$B$9,C1834=Options!$B$10),75%,100%)-IF(C1834=DATE(2026,11,29),23+IF(Options!$B$8="是",22,0),0)-IF(C1834=DATE(2026,11,30),23,0)-IF(C1834=DATE(2026,12,1),59,0)-IF(C1834=DATE(2026,11,28),36,0)-IF(C1834=DATE(2026,12,2),23,0)))</f>
        <v/>
      </c>
      <c r="I1834" s="13">
        <f>IF(AND(C1834&gt;=DATE(2026,11,29),C1834&lt;=DATE(2026,12,1)),B1834*60,0)</f>
        <v/>
      </c>
      <c r="J1834" s="13">
        <f>IF(A1834="",0,B1834*(IF(C1834=DATE(2026,11,28),36,0)+IF(C1834=DATE(2026,12,1),36,0)+IF(C1834=DATE(2026,12,2),23,0)))</f>
        <v/>
      </c>
      <c r="K1834" s="13">
        <f>IF(C1834=Options!$B$9,B1834*12,0)</f>
        <v/>
      </c>
      <c r="L1834" s="13">
        <f>IF(C1834=Options!$B$9,B1834*Options!$Z$7,0)</f>
        <v/>
      </c>
      <c r="M1834" s="13" t="n">
        <v>0</v>
      </c>
      <c r="N1834" s="13">
        <f>SUM(E1834:M1834)</f>
        <v/>
      </c>
    </row>
    <row r="1835">
      <c r="A1835" s="5">
        <f>IF(AND(C1835&gt;=Options!$B$9,C1835&lt;=Options!$B$10),"Phoenix","")</f>
        <v/>
      </c>
      <c r="B1835" s="5">
        <f>IF(A1835="","",24)</f>
        <v/>
      </c>
      <c r="C1835" s="17" t="n">
        <v>46301</v>
      </c>
      <c r="D1835" s="5">
        <f>IF(A1835="","",IF(C1835=DATE(2026,11,29),"培训；注册午餐；早餐参数",IF(C1835=DATE(2026,11,30),"培训；注册午餐",IF(C1835=DATE(2026,12,1),"培训；注册午餐；机构晚餐",IF(C1835=Options!$B$9,"抵达；"&amp;IF(C1835=DATE(2026,11,28),"机构晚餐","无统一供餐"),IF(C1835=Options!$B$10,"返程；"&amp;IF(C1835=DATE(2026,12,2),"机构午餐","无统一供餐"),"差旅状态；无统一日程"))))))</f>
        <v/>
      </c>
      <c r="E1835" s="13">
        <f>IF(C1835=Options!$B$9,Options!$C$19,0)</f>
        <v/>
      </c>
      <c r="F1835" s="13">
        <f>IF(AND(A1835&lt;&gt;"",C1835&lt;Options!$B$10),B1835*Options!$X$7,0)</f>
        <v/>
      </c>
      <c r="G1835" s="13">
        <f>F1835*12%</f>
        <v/>
      </c>
      <c r="H1835" s="13">
        <f>IF(A1835="",0,B1835*(86*IF(OR(C1835=Options!$B$9,C1835=Options!$B$10),75%,100%)-IF(C1835=DATE(2026,11,29),23+IF(Options!$B$8="是",22,0),0)-IF(C1835=DATE(2026,11,30),23,0)-IF(C1835=DATE(2026,12,1),59,0)-IF(C1835=DATE(2026,11,28),36,0)-IF(C1835=DATE(2026,12,2),23,0)))</f>
        <v/>
      </c>
      <c r="I1835" s="13">
        <f>IF(AND(C1835&gt;=DATE(2026,11,29),C1835&lt;=DATE(2026,12,1)),B1835*60,0)</f>
        <v/>
      </c>
      <c r="J1835" s="13">
        <f>IF(A1835="",0,B1835*(IF(C1835=DATE(2026,11,28),36,0)+IF(C1835=DATE(2026,12,1),36,0)+IF(C1835=DATE(2026,12,2),23,0)))</f>
        <v/>
      </c>
      <c r="K1835" s="13">
        <f>IF(C1835=Options!$B$9,B1835*12,0)</f>
        <v/>
      </c>
      <c r="L1835" s="13">
        <f>IF(C1835=Options!$B$9,B1835*Options!$Z$7,0)</f>
        <v/>
      </c>
      <c r="M1835" s="13" t="n">
        <v>0</v>
      </c>
      <c r="N1835" s="13">
        <f>SUM(E1835:M1835)</f>
        <v/>
      </c>
    </row>
    <row r="1836">
      <c r="A1836" s="5">
        <f>IF(AND(C1836&gt;=Options!$B$9,C1836&lt;=Options!$B$10),"Phoenix","")</f>
        <v/>
      </c>
      <c r="B1836" s="5">
        <f>IF(A1836="","",24)</f>
        <v/>
      </c>
      <c r="C1836" s="17" t="n">
        <v>46302</v>
      </c>
      <c r="D1836" s="5">
        <f>IF(A1836="","",IF(C1836=DATE(2026,11,29),"培训；注册午餐；早餐参数",IF(C1836=DATE(2026,11,30),"培训；注册午餐",IF(C1836=DATE(2026,12,1),"培训；注册午餐；机构晚餐",IF(C1836=Options!$B$9,"抵达；"&amp;IF(C1836=DATE(2026,11,28),"机构晚餐","无统一供餐"),IF(C1836=Options!$B$10,"返程；"&amp;IF(C1836=DATE(2026,12,2),"机构午餐","无统一供餐"),"差旅状态；无统一日程"))))))</f>
        <v/>
      </c>
      <c r="E1836" s="13">
        <f>IF(C1836=Options!$B$9,Options!$C$19,0)</f>
        <v/>
      </c>
      <c r="F1836" s="13">
        <f>IF(AND(A1836&lt;&gt;"",C1836&lt;Options!$B$10),B1836*Options!$X$7,0)</f>
        <v/>
      </c>
      <c r="G1836" s="13">
        <f>F1836*12%</f>
        <v/>
      </c>
      <c r="H1836" s="13">
        <f>IF(A1836="",0,B1836*(86*IF(OR(C1836=Options!$B$9,C1836=Options!$B$10),75%,100%)-IF(C1836=DATE(2026,11,29),23+IF(Options!$B$8="是",22,0),0)-IF(C1836=DATE(2026,11,30),23,0)-IF(C1836=DATE(2026,12,1),59,0)-IF(C1836=DATE(2026,11,28),36,0)-IF(C1836=DATE(2026,12,2),23,0)))</f>
        <v/>
      </c>
      <c r="I1836" s="13">
        <f>IF(AND(C1836&gt;=DATE(2026,11,29),C1836&lt;=DATE(2026,12,1)),B1836*60,0)</f>
        <v/>
      </c>
      <c r="J1836" s="13">
        <f>IF(A1836="",0,B1836*(IF(C1836=DATE(2026,11,28),36,0)+IF(C1836=DATE(2026,12,1),36,0)+IF(C1836=DATE(2026,12,2),23,0)))</f>
        <v/>
      </c>
      <c r="K1836" s="13">
        <f>IF(C1836=Options!$B$9,B1836*12,0)</f>
        <v/>
      </c>
      <c r="L1836" s="13">
        <f>IF(C1836=Options!$B$9,B1836*Options!$Z$7,0)</f>
        <v/>
      </c>
      <c r="M1836" s="13" t="n">
        <v>0</v>
      </c>
      <c r="N1836" s="13">
        <f>SUM(E1836:M1836)</f>
        <v/>
      </c>
    </row>
    <row r="1837">
      <c r="A1837" s="5">
        <f>IF(AND(C1837&gt;=Options!$B$9,C1837&lt;=Options!$B$10),"Phoenix","")</f>
        <v/>
      </c>
      <c r="B1837" s="5">
        <f>IF(A1837="","",24)</f>
        <v/>
      </c>
      <c r="C1837" s="17" t="n">
        <v>46303</v>
      </c>
      <c r="D1837" s="5">
        <f>IF(A1837="","",IF(C1837=DATE(2026,11,29),"培训；注册午餐；早餐参数",IF(C1837=DATE(2026,11,30),"培训；注册午餐",IF(C1837=DATE(2026,12,1),"培训；注册午餐；机构晚餐",IF(C1837=Options!$B$9,"抵达；"&amp;IF(C1837=DATE(2026,11,28),"机构晚餐","无统一供餐"),IF(C1837=Options!$B$10,"返程；"&amp;IF(C1837=DATE(2026,12,2),"机构午餐","无统一供餐"),"差旅状态；无统一日程"))))))</f>
        <v/>
      </c>
      <c r="E1837" s="13">
        <f>IF(C1837=Options!$B$9,Options!$C$19,0)</f>
        <v/>
      </c>
      <c r="F1837" s="13">
        <f>IF(AND(A1837&lt;&gt;"",C1837&lt;Options!$B$10),B1837*Options!$X$7,0)</f>
        <v/>
      </c>
      <c r="G1837" s="13">
        <f>F1837*12%</f>
        <v/>
      </c>
      <c r="H1837" s="13">
        <f>IF(A1837="",0,B1837*(86*IF(OR(C1837=Options!$B$9,C1837=Options!$B$10),75%,100%)-IF(C1837=DATE(2026,11,29),23+IF(Options!$B$8="是",22,0),0)-IF(C1837=DATE(2026,11,30),23,0)-IF(C1837=DATE(2026,12,1),59,0)-IF(C1837=DATE(2026,11,28),36,0)-IF(C1837=DATE(2026,12,2),23,0)))</f>
        <v/>
      </c>
      <c r="I1837" s="13">
        <f>IF(AND(C1837&gt;=DATE(2026,11,29),C1837&lt;=DATE(2026,12,1)),B1837*60,0)</f>
        <v/>
      </c>
      <c r="J1837" s="13">
        <f>IF(A1837="",0,B1837*(IF(C1837=DATE(2026,11,28),36,0)+IF(C1837=DATE(2026,12,1),36,0)+IF(C1837=DATE(2026,12,2),23,0)))</f>
        <v/>
      </c>
      <c r="K1837" s="13">
        <f>IF(C1837=Options!$B$9,B1837*12,0)</f>
        <v/>
      </c>
      <c r="L1837" s="13">
        <f>IF(C1837=Options!$B$9,B1837*Options!$Z$7,0)</f>
        <v/>
      </c>
      <c r="M1837" s="13" t="n">
        <v>0</v>
      </c>
      <c r="N1837" s="13">
        <f>SUM(E1837:M1837)</f>
        <v/>
      </c>
    </row>
    <row r="1838">
      <c r="A1838" s="5">
        <f>IF(AND(C1838&gt;=Options!$B$9,C1838&lt;=Options!$B$10),"Phoenix","")</f>
        <v/>
      </c>
      <c r="B1838" s="5">
        <f>IF(A1838="","",24)</f>
        <v/>
      </c>
      <c r="C1838" s="17" t="n">
        <v>46304</v>
      </c>
      <c r="D1838" s="5">
        <f>IF(A1838="","",IF(C1838=DATE(2026,11,29),"培训；注册午餐；早餐参数",IF(C1838=DATE(2026,11,30),"培训；注册午餐",IF(C1838=DATE(2026,12,1),"培训；注册午餐；机构晚餐",IF(C1838=Options!$B$9,"抵达；"&amp;IF(C1838=DATE(2026,11,28),"机构晚餐","无统一供餐"),IF(C1838=Options!$B$10,"返程；"&amp;IF(C1838=DATE(2026,12,2),"机构午餐","无统一供餐"),"差旅状态；无统一日程"))))))</f>
        <v/>
      </c>
      <c r="E1838" s="13">
        <f>IF(C1838=Options!$B$9,Options!$C$19,0)</f>
        <v/>
      </c>
      <c r="F1838" s="13">
        <f>IF(AND(A1838&lt;&gt;"",C1838&lt;Options!$B$10),B1838*Options!$X$7,0)</f>
        <v/>
      </c>
      <c r="G1838" s="13">
        <f>F1838*12%</f>
        <v/>
      </c>
      <c r="H1838" s="13">
        <f>IF(A1838="",0,B1838*(86*IF(OR(C1838=Options!$B$9,C1838=Options!$B$10),75%,100%)-IF(C1838=DATE(2026,11,29),23+IF(Options!$B$8="是",22,0),0)-IF(C1838=DATE(2026,11,30),23,0)-IF(C1838=DATE(2026,12,1),59,0)-IF(C1838=DATE(2026,11,28),36,0)-IF(C1838=DATE(2026,12,2),23,0)))</f>
        <v/>
      </c>
      <c r="I1838" s="13">
        <f>IF(AND(C1838&gt;=DATE(2026,11,29),C1838&lt;=DATE(2026,12,1)),B1838*60,0)</f>
        <v/>
      </c>
      <c r="J1838" s="13">
        <f>IF(A1838="",0,B1838*(IF(C1838=DATE(2026,11,28),36,0)+IF(C1838=DATE(2026,12,1),36,0)+IF(C1838=DATE(2026,12,2),23,0)))</f>
        <v/>
      </c>
      <c r="K1838" s="13">
        <f>IF(C1838=Options!$B$9,B1838*12,0)</f>
        <v/>
      </c>
      <c r="L1838" s="13">
        <f>IF(C1838=Options!$B$9,B1838*Options!$Z$7,0)</f>
        <v/>
      </c>
      <c r="M1838" s="13" t="n">
        <v>0</v>
      </c>
      <c r="N1838" s="13">
        <f>SUM(E1838:M1838)</f>
        <v/>
      </c>
    </row>
    <row r="1839">
      <c r="A1839" s="5">
        <f>IF(AND(C1839&gt;=Options!$B$9,C1839&lt;=Options!$B$10),"Phoenix","")</f>
        <v/>
      </c>
      <c r="B1839" s="5">
        <f>IF(A1839="","",24)</f>
        <v/>
      </c>
      <c r="C1839" s="17" t="n">
        <v>46305</v>
      </c>
      <c r="D1839" s="5">
        <f>IF(A1839="","",IF(C1839=DATE(2026,11,29),"培训；注册午餐；早餐参数",IF(C1839=DATE(2026,11,30),"培训；注册午餐",IF(C1839=DATE(2026,12,1),"培训；注册午餐；机构晚餐",IF(C1839=Options!$B$9,"抵达；"&amp;IF(C1839=DATE(2026,11,28),"机构晚餐","无统一供餐"),IF(C1839=Options!$B$10,"返程；"&amp;IF(C1839=DATE(2026,12,2),"机构午餐","无统一供餐"),"差旅状态；无统一日程"))))))</f>
        <v/>
      </c>
      <c r="E1839" s="13">
        <f>IF(C1839=Options!$B$9,Options!$C$19,0)</f>
        <v/>
      </c>
      <c r="F1839" s="13">
        <f>IF(AND(A1839&lt;&gt;"",C1839&lt;Options!$B$10),B1839*Options!$X$7,0)</f>
        <v/>
      </c>
      <c r="G1839" s="13">
        <f>F1839*12%</f>
        <v/>
      </c>
      <c r="H1839" s="13">
        <f>IF(A1839="",0,B1839*(86*IF(OR(C1839=Options!$B$9,C1839=Options!$B$10),75%,100%)-IF(C1839=DATE(2026,11,29),23+IF(Options!$B$8="是",22,0),0)-IF(C1839=DATE(2026,11,30),23,0)-IF(C1839=DATE(2026,12,1),59,0)-IF(C1839=DATE(2026,11,28),36,0)-IF(C1839=DATE(2026,12,2),23,0)))</f>
        <v/>
      </c>
      <c r="I1839" s="13">
        <f>IF(AND(C1839&gt;=DATE(2026,11,29),C1839&lt;=DATE(2026,12,1)),B1839*60,0)</f>
        <v/>
      </c>
      <c r="J1839" s="13">
        <f>IF(A1839="",0,B1839*(IF(C1839=DATE(2026,11,28),36,0)+IF(C1839=DATE(2026,12,1),36,0)+IF(C1839=DATE(2026,12,2),23,0)))</f>
        <v/>
      </c>
      <c r="K1839" s="13">
        <f>IF(C1839=Options!$B$9,B1839*12,0)</f>
        <v/>
      </c>
      <c r="L1839" s="13">
        <f>IF(C1839=Options!$B$9,B1839*Options!$Z$7,0)</f>
        <v/>
      </c>
      <c r="M1839" s="13" t="n">
        <v>0</v>
      </c>
      <c r="N1839" s="13">
        <f>SUM(E1839:M1839)</f>
        <v/>
      </c>
    </row>
    <row r="1840">
      <c r="A1840" s="5">
        <f>IF(AND(C1840&gt;=Options!$B$9,C1840&lt;=Options!$B$10),"Phoenix","")</f>
        <v/>
      </c>
      <c r="B1840" s="5">
        <f>IF(A1840="","",24)</f>
        <v/>
      </c>
      <c r="C1840" s="17" t="n">
        <v>46306</v>
      </c>
      <c r="D1840" s="5">
        <f>IF(A1840="","",IF(C1840=DATE(2026,11,29),"培训；注册午餐；早餐参数",IF(C1840=DATE(2026,11,30),"培训；注册午餐",IF(C1840=DATE(2026,12,1),"培训；注册午餐；机构晚餐",IF(C1840=Options!$B$9,"抵达；"&amp;IF(C1840=DATE(2026,11,28),"机构晚餐","无统一供餐"),IF(C1840=Options!$B$10,"返程；"&amp;IF(C1840=DATE(2026,12,2),"机构午餐","无统一供餐"),"差旅状态；无统一日程"))))))</f>
        <v/>
      </c>
      <c r="E1840" s="13">
        <f>IF(C1840=Options!$B$9,Options!$C$19,0)</f>
        <v/>
      </c>
      <c r="F1840" s="13">
        <f>IF(AND(A1840&lt;&gt;"",C1840&lt;Options!$B$10),B1840*Options!$X$7,0)</f>
        <v/>
      </c>
      <c r="G1840" s="13">
        <f>F1840*12%</f>
        <v/>
      </c>
      <c r="H1840" s="13">
        <f>IF(A1840="",0,B1840*(86*IF(OR(C1840=Options!$B$9,C1840=Options!$B$10),75%,100%)-IF(C1840=DATE(2026,11,29),23+IF(Options!$B$8="是",22,0),0)-IF(C1840=DATE(2026,11,30),23,0)-IF(C1840=DATE(2026,12,1),59,0)-IF(C1840=DATE(2026,11,28),36,0)-IF(C1840=DATE(2026,12,2),23,0)))</f>
        <v/>
      </c>
      <c r="I1840" s="13">
        <f>IF(AND(C1840&gt;=DATE(2026,11,29),C1840&lt;=DATE(2026,12,1)),B1840*60,0)</f>
        <v/>
      </c>
      <c r="J1840" s="13">
        <f>IF(A1840="",0,B1840*(IF(C1840=DATE(2026,11,28),36,0)+IF(C1840=DATE(2026,12,1),36,0)+IF(C1840=DATE(2026,12,2),23,0)))</f>
        <v/>
      </c>
      <c r="K1840" s="13">
        <f>IF(C1840=Options!$B$9,B1840*12,0)</f>
        <v/>
      </c>
      <c r="L1840" s="13">
        <f>IF(C1840=Options!$B$9,B1840*Options!$Z$7,0)</f>
        <v/>
      </c>
      <c r="M1840" s="13" t="n">
        <v>0</v>
      </c>
      <c r="N1840" s="13">
        <f>SUM(E1840:M1840)</f>
        <v/>
      </c>
    </row>
    <row r="1841">
      <c r="A1841" s="5">
        <f>IF(AND(C1841&gt;=Options!$B$9,C1841&lt;=Options!$B$10),"Phoenix","")</f>
        <v/>
      </c>
      <c r="B1841" s="5">
        <f>IF(A1841="","",24)</f>
        <v/>
      </c>
      <c r="C1841" s="17" t="n">
        <v>46307</v>
      </c>
      <c r="D1841" s="5">
        <f>IF(A1841="","",IF(C1841=DATE(2026,11,29),"培训；注册午餐；早餐参数",IF(C1841=DATE(2026,11,30),"培训；注册午餐",IF(C1841=DATE(2026,12,1),"培训；注册午餐；机构晚餐",IF(C1841=Options!$B$9,"抵达；"&amp;IF(C1841=DATE(2026,11,28),"机构晚餐","无统一供餐"),IF(C1841=Options!$B$10,"返程；"&amp;IF(C1841=DATE(2026,12,2),"机构午餐","无统一供餐"),"差旅状态；无统一日程"))))))</f>
        <v/>
      </c>
      <c r="E1841" s="13">
        <f>IF(C1841=Options!$B$9,Options!$C$19,0)</f>
        <v/>
      </c>
      <c r="F1841" s="13">
        <f>IF(AND(A1841&lt;&gt;"",C1841&lt;Options!$B$10),B1841*Options!$X$7,0)</f>
        <v/>
      </c>
      <c r="G1841" s="13">
        <f>F1841*12%</f>
        <v/>
      </c>
      <c r="H1841" s="13">
        <f>IF(A1841="",0,B1841*(86*IF(OR(C1841=Options!$B$9,C1841=Options!$B$10),75%,100%)-IF(C1841=DATE(2026,11,29),23+IF(Options!$B$8="是",22,0),0)-IF(C1841=DATE(2026,11,30),23,0)-IF(C1841=DATE(2026,12,1),59,0)-IF(C1841=DATE(2026,11,28),36,0)-IF(C1841=DATE(2026,12,2),23,0)))</f>
        <v/>
      </c>
      <c r="I1841" s="13">
        <f>IF(AND(C1841&gt;=DATE(2026,11,29),C1841&lt;=DATE(2026,12,1)),B1841*60,0)</f>
        <v/>
      </c>
      <c r="J1841" s="13">
        <f>IF(A1841="",0,B1841*(IF(C1841=DATE(2026,11,28),36,0)+IF(C1841=DATE(2026,12,1),36,0)+IF(C1841=DATE(2026,12,2),23,0)))</f>
        <v/>
      </c>
      <c r="K1841" s="13">
        <f>IF(C1841=Options!$B$9,B1841*12,0)</f>
        <v/>
      </c>
      <c r="L1841" s="13">
        <f>IF(C1841=Options!$B$9,B1841*Options!$Z$7,0)</f>
        <v/>
      </c>
      <c r="M1841" s="13" t="n">
        <v>0</v>
      </c>
      <c r="N1841" s="13">
        <f>SUM(E1841:M1841)</f>
        <v/>
      </c>
    </row>
    <row r="1842">
      <c r="A1842" s="5">
        <f>IF(AND(C1842&gt;=Options!$B$9,C1842&lt;=Options!$B$10),"Phoenix","")</f>
        <v/>
      </c>
      <c r="B1842" s="5">
        <f>IF(A1842="","",24)</f>
        <v/>
      </c>
      <c r="C1842" s="17" t="n">
        <v>46308</v>
      </c>
      <c r="D1842" s="5">
        <f>IF(A1842="","",IF(C1842=DATE(2026,11,29),"培训；注册午餐；早餐参数",IF(C1842=DATE(2026,11,30),"培训；注册午餐",IF(C1842=DATE(2026,12,1),"培训；注册午餐；机构晚餐",IF(C1842=Options!$B$9,"抵达；"&amp;IF(C1842=DATE(2026,11,28),"机构晚餐","无统一供餐"),IF(C1842=Options!$B$10,"返程；"&amp;IF(C1842=DATE(2026,12,2),"机构午餐","无统一供餐"),"差旅状态；无统一日程"))))))</f>
        <v/>
      </c>
      <c r="E1842" s="13">
        <f>IF(C1842=Options!$B$9,Options!$C$19,0)</f>
        <v/>
      </c>
      <c r="F1842" s="13">
        <f>IF(AND(A1842&lt;&gt;"",C1842&lt;Options!$B$10),B1842*Options!$X$7,0)</f>
        <v/>
      </c>
      <c r="G1842" s="13">
        <f>F1842*12%</f>
        <v/>
      </c>
      <c r="H1842" s="13">
        <f>IF(A1842="",0,B1842*(86*IF(OR(C1842=Options!$B$9,C1842=Options!$B$10),75%,100%)-IF(C1842=DATE(2026,11,29),23+IF(Options!$B$8="是",22,0),0)-IF(C1842=DATE(2026,11,30),23,0)-IF(C1842=DATE(2026,12,1),59,0)-IF(C1842=DATE(2026,11,28),36,0)-IF(C1842=DATE(2026,12,2),23,0)))</f>
        <v/>
      </c>
      <c r="I1842" s="13">
        <f>IF(AND(C1842&gt;=DATE(2026,11,29),C1842&lt;=DATE(2026,12,1)),B1842*60,0)</f>
        <v/>
      </c>
      <c r="J1842" s="13">
        <f>IF(A1842="",0,B1842*(IF(C1842=DATE(2026,11,28),36,0)+IF(C1842=DATE(2026,12,1),36,0)+IF(C1842=DATE(2026,12,2),23,0)))</f>
        <v/>
      </c>
      <c r="K1842" s="13">
        <f>IF(C1842=Options!$B$9,B1842*12,0)</f>
        <v/>
      </c>
      <c r="L1842" s="13">
        <f>IF(C1842=Options!$B$9,B1842*Options!$Z$7,0)</f>
        <v/>
      </c>
      <c r="M1842" s="13" t="n">
        <v>0</v>
      </c>
      <c r="N1842" s="13">
        <f>SUM(E1842:M1842)</f>
        <v/>
      </c>
    </row>
    <row r="1843">
      <c r="A1843" s="5">
        <f>IF(AND(C1843&gt;=Options!$B$9,C1843&lt;=Options!$B$10),"Phoenix","")</f>
        <v/>
      </c>
      <c r="B1843" s="5">
        <f>IF(A1843="","",24)</f>
        <v/>
      </c>
      <c r="C1843" s="17" t="n">
        <v>46309</v>
      </c>
      <c r="D1843" s="5">
        <f>IF(A1843="","",IF(C1843=DATE(2026,11,29),"培训；注册午餐；早餐参数",IF(C1843=DATE(2026,11,30),"培训；注册午餐",IF(C1843=DATE(2026,12,1),"培训；注册午餐；机构晚餐",IF(C1843=Options!$B$9,"抵达；"&amp;IF(C1843=DATE(2026,11,28),"机构晚餐","无统一供餐"),IF(C1843=Options!$B$10,"返程；"&amp;IF(C1843=DATE(2026,12,2),"机构午餐","无统一供餐"),"差旅状态；无统一日程"))))))</f>
        <v/>
      </c>
      <c r="E1843" s="13">
        <f>IF(C1843=Options!$B$9,Options!$C$19,0)</f>
        <v/>
      </c>
      <c r="F1843" s="13">
        <f>IF(AND(A1843&lt;&gt;"",C1843&lt;Options!$B$10),B1843*Options!$X$7,0)</f>
        <v/>
      </c>
      <c r="G1843" s="13">
        <f>F1843*12%</f>
        <v/>
      </c>
      <c r="H1843" s="13">
        <f>IF(A1843="",0,B1843*(86*IF(OR(C1843=Options!$B$9,C1843=Options!$B$10),75%,100%)-IF(C1843=DATE(2026,11,29),23+IF(Options!$B$8="是",22,0),0)-IF(C1843=DATE(2026,11,30),23,0)-IF(C1843=DATE(2026,12,1),59,0)-IF(C1843=DATE(2026,11,28),36,0)-IF(C1843=DATE(2026,12,2),23,0)))</f>
        <v/>
      </c>
      <c r="I1843" s="13">
        <f>IF(AND(C1843&gt;=DATE(2026,11,29),C1843&lt;=DATE(2026,12,1)),B1843*60,0)</f>
        <v/>
      </c>
      <c r="J1843" s="13">
        <f>IF(A1843="",0,B1843*(IF(C1843=DATE(2026,11,28),36,0)+IF(C1843=DATE(2026,12,1),36,0)+IF(C1843=DATE(2026,12,2),23,0)))</f>
        <v/>
      </c>
      <c r="K1843" s="13">
        <f>IF(C1843=Options!$B$9,B1843*12,0)</f>
        <v/>
      </c>
      <c r="L1843" s="13">
        <f>IF(C1843=Options!$B$9,B1843*Options!$Z$7,0)</f>
        <v/>
      </c>
      <c r="M1843" s="13" t="n">
        <v>0</v>
      </c>
      <c r="N1843" s="13">
        <f>SUM(E1843:M1843)</f>
        <v/>
      </c>
    </row>
    <row r="1844">
      <c r="A1844" s="5">
        <f>IF(AND(C1844&gt;=Options!$B$9,C1844&lt;=Options!$B$10),"Phoenix","")</f>
        <v/>
      </c>
      <c r="B1844" s="5">
        <f>IF(A1844="","",24)</f>
        <v/>
      </c>
      <c r="C1844" s="17" t="n">
        <v>46310</v>
      </c>
      <c r="D1844" s="5">
        <f>IF(A1844="","",IF(C1844=DATE(2026,11,29),"培训；注册午餐；早餐参数",IF(C1844=DATE(2026,11,30),"培训；注册午餐",IF(C1844=DATE(2026,12,1),"培训；注册午餐；机构晚餐",IF(C1844=Options!$B$9,"抵达；"&amp;IF(C1844=DATE(2026,11,28),"机构晚餐","无统一供餐"),IF(C1844=Options!$B$10,"返程；"&amp;IF(C1844=DATE(2026,12,2),"机构午餐","无统一供餐"),"差旅状态；无统一日程"))))))</f>
        <v/>
      </c>
      <c r="E1844" s="13">
        <f>IF(C1844=Options!$B$9,Options!$C$19,0)</f>
        <v/>
      </c>
      <c r="F1844" s="13">
        <f>IF(AND(A1844&lt;&gt;"",C1844&lt;Options!$B$10),B1844*Options!$X$7,0)</f>
        <v/>
      </c>
      <c r="G1844" s="13">
        <f>F1844*12%</f>
        <v/>
      </c>
      <c r="H1844" s="13">
        <f>IF(A1844="",0,B1844*(86*IF(OR(C1844=Options!$B$9,C1844=Options!$B$10),75%,100%)-IF(C1844=DATE(2026,11,29),23+IF(Options!$B$8="是",22,0),0)-IF(C1844=DATE(2026,11,30),23,0)-IF(C1844=DATE(2026,12,1),59,0)-IF(C1844=DATE(2026,11,28),36,0)-IF(C1844=DATE(2026,12,2),23,0)))</f>
        <v/>
      </c>
      <c r="I1844" s="13">
        <f>IF(AND(C1844&gt;=DATE(2026,11,29),C1844&lt;=DATE(2026,12,1)),B1844*60,0)</f>
        <v/>
      </c>
      <c r="J1844" s="13">
        <f>IF(A1844="",0,B1844*(IF(C1844=DATE(2026,11,28),36,0)+IF(C1844=DATE(2026,12,1),36,0)+IF(C1844=DATE(2026,12,2),23,0)))</f>
        <v/>
      </c>
      <c r="K1844" s="13">
        <f>IF(C1844=Options!$B$9,B1844*12,0)</f>
        <v/>
      </c>
      <c r="L1844" s="13">
        <f>IF(C1844=Options!$B$9,B1844*Options!$Z$7,0)</f>
        <v/>
      </c>
      <c r="M1844" s="13" t="n">
        <v>0</v>
      </c>
      <c r="N1844" s="13">
        <f>SUM(E1844:M1844)</f>
        <v/>
      </c>
    </row>
    <row r="1845">
      <c r="A1845" s="5">
        <f>IF(AND(C1845&gt;=Options!$B$9,C1845&lt;=Options!$B$10),"Phoenix","")</f>
        <v/>
      </c>
      <c r="B1845" s="5">
        <f>IF(A1845="","",24)</f>
        <v/>
      </c>
      <c r="C1845" s="17" t="n">
        <v>46311</v>
      </c>
      <c r="D1845" s="5">
        <f>IF(A1845="","",IF(C1845=DATE(2026,11,29),"培训；注册午餐；早餐参数",IF(C1845=DATE(2026,11,30),"培训；注册午餐",IF(C1845=DATE(2026,12,1),"培训；注册午餐；机构晚餐",IF(C1845=Options!$B$9,"抵达；"&amp;IF(C1845=DATE(2026,11,28),"机构晚餐","无统一供餐"),IF(C1845=Options!$B$10,"返程；"&amp;IF(C1845=DATE(2026,12,2),"机构午餐","无统一供餐"),"差旅状态；无统一日程"))))))</f>
        <v/>
      </c>
      <c r="E1845" s="13">
        <f>IF(C1845=Options!$B$9,Options!$C$19,0)</f>
        <v/>
      </c>
      <c r="F1845" s="13">
        <f>IF(AND(A1845&lt;&gt;"",C1845&lt;Options!$B$10),B1845*Options!$X$7,0)</f>
        <v/>
      </c>
      <c r="G1845" s="13">
        <f>F1845*12%</f>
        <v/>
      </c>
      <c r="H1845" s="13">
        <f>IF(A1845="",0,B1845*(86*IF(OR(C1845=Options!$B$9,C1845=Options!$B$10),75%,100%)-IF(C1845=DATE(2026,11,29),23+IF(Options!$B$8="是",22,0),0)-IF(C1845=DATE(2026,11,30),23,0)-IF(C1845=DATE(2026,12,1),59,0)-IF(C1845=DATE(2026,11,28),36,0)-IF(C1845=DATE(2026,12,2),23,0)))</f>
        <v/>
      </c>
      <c r="I1845" s="13">
        <f>IF(AND(C1845&gt;=DATE(2026,11,29),C1845&lt;=DATE(2026,12,1)),B1845*60,0)</f>
        <v/>
      </c>
      <c r="J1845" s="13">
        <f>IF(A1845="",0,B1845*(IF(C1845=DATE(2026,11,28),36,0)+IF(C1845=DATE(2026,12,1),36,0)+IF(C1845=DATE(2026,12,2),23,0)))</f>
        <v/>
      </c>
      <c r="K1845" s="13">
        <f>IF(C1845=Options!$B$9,B1845*12,0)</f>
        <v/>
      </c>
      <c r="L1845" s="13">
        <f>IF(C1845=Options!$B$9,B1845*Options!$Z$7,0)</f>
        <v/>
      </c>
      <c r="M1845" s="13" t="n">
        <v>0</v>
      </c>
      <c r="N1845" s="13">
        <f>SUM(E1845:M1845)</f>
        <v/>
      </c>
    </row>
    <row r="1846">
      <c r="A1846" s="5">
        <f>IF(AND(C1846&gt;=Options!$B$9,C1846&lt;=Options!$B$10),"Phoenix","")</f>
        <v/>
      </c>
      <c r="B1846" s="5">
        <f>IF(A1846="","",24)</f>
        <v/>
      </c>
      <c r="C1846" s="17" t="n">
        <v>46312</v>
      </c>
      <c r="D1846" s="5">
        <f>IF(A1846="","",IF(C1846=DATE(2026,11,29),"培训；注册午餐；早餐参数",IF(C1846=DATE(2026,11,30),"培训；注册午餐",IF(C1846=DATE(2026,12,1),"培训；注册午餐；机构晚餐",IF(C1846=Options!$B$9,"抵达；"&amp;IF(C1846=DATE(2026,11,28),"机构晚餐","无统一供餐"),IF(C1846=Options!$B$10,"返程；"&amp;IF(C1846=DATE(2026,12,2),"机构午餐","无统一供餐"),"差旅状态；无统一日程"))))))</f>
        <v/>
      </c>
      <c r="E1846" s="13">
        <f>IF(C1846=Options!$B$9,Options!$C$19,0)</f>
        <v/>
      </c>
      <c r="F1846" s="13">
        <f>IF(AND(A1846&lt;&gt;"",C1846&lt;Options!$B$10),B1846*Options!$X$7,0)</f>
        <v/>
      </c>
      <c r="G1846" s="13">
        <f>F1846*12%</f>
        <v/>
      </c>
      <c r="H1846" s="13">
        <f>IF(A1846="",0,B1846*(86*IF(OR(C1846=Options!$B$9,C1846=Options!$B$10),75%,100%)-IF(C1846=DATE(2026,11,29),23+IF(Options!$B$8="是",22,0),0)-IF(C1846=DATE(2026,11,30),23,0)-IF(C1846=DATE(2026,12,1),59,0)-IF(C1846=DATE(2026,11,28),36,0)-IF(C1846=DATE(2026,12,2),23,0)))</f>
        <v/>
      </c>
      <c r="I1846" s="13">
        <f>IF(AND(C1846&gt;=DATE(2026,11,29),C1846&lt;=DATE(2026,12,1)),B1846*60,0)</f>
        <v/>
      </c>
      <c r="J1846" s="13">
        <f>IF(A1846="",0,B1846*(IF(C1846=DATE(2026,11,28),36,0)+IF(C1846=DATE(2026,12,1),36,0)+IF(C1846=DATE(2026,12,2),23,0)))</f>
        <v/>
      </c>
      <c r="K1846" s="13">
        <f>IF(C1846=Options!$B$9,B1846*12,0)</f>
        <v/>
      </c>
      <c r="L1846" s="13">
        <f>IF(C1846=Options!$B$9,B1846*Options!$Z$7,0)</f>
        <v/>
      </c>
      <c r="M1846" s="13" t="n">
        <v>0</v>
      </c>
      <c r="N1846" s="13">
        <f>SUM(E1846:M1846)</f>
        <v/>
      </c>
    </row>
    <row r="1847">
      <c r="A1847" s="5">
        <f>IF(AND(C1847&gt;=Options!$B$9,C1847&lt;=Options!$B$10),"Phoenix","")</f>
        <v/>
      </c>
      <c r="B1847" s="5">
        <f>IF(A1847="","",24)</f>
        <v/>
      </c>
      <c r="C1847" s="17" t="n">
        <v>46313</v>
      </c>
      <c r="D1847" s="5">
        <f>IF(A1847="","",IF(C1847=DATE(2026,11,29),"培训；注册午餐；早餐参数",IF(C1847=DATE(2026,11,30),"培训；注册午餐",IF(C1847=DATE(2026,12,1),"培训；注册午餐；机构晚餐",IF(C1847=Options!$B$9,"抵达；"&amp;IF(C1847=DATE(2026,11,28),"机构晚餐","无统一供餐"),IF(C1847=Options!$B$10,"返程；"&amp;IF(C1847=DATE(2026,12,2),"机构午餐","无统一供餐"),"差旅状态；无统一日程"))))))</f>
        <v/>
      </c>
      <c r="E1847" s="13">
        <f>IF(C1847=Options!$B$9,Options!$C$19,0)</f>
        <v/>
      </c>
      <c r="F1847" s="13">
        <f>IF(AND(A1847&lt;&gt;"",C1847&lt;Options!$B$10),B1847*Options!$X$7,0)</f>
        <v/>
      </c>
      <c r="G1847" s="13">
        <f>F1847*12%</f>
        <v/>
      </c>
      <c r="H1847" s="13">
        <f>IF(A1847="",0,B1847*(86*IF(OR(C1847=Options!$B$9,C1847=Options!$B$10),75%,100%)-IF(C1847=DATE(2026,11,29),23+IF(Options!$B$8="是",22,0),0)-IF(C1847=DATE(2026,11,30),23,0)-IF(C1847=DATE(2026,12,1),59,0)-IF(C1847=DATE(2026,11,28),36,0)-IF(C1847=DATE(2026,12,2),23,0)))</f>
        <v/>
      </c>
      <c r="I1847" s="13">
        <f>IF(AND(C1847&gt;=DATE(2026,11,29),C1847&lt;=DATE(2026,12,1)),B1847*60,0)</f>
        <v/>
      </c>
      <c r="J1847" s="13">
        <f>IF(A1847="",0,B1847*(IF(C1847=DATE(2026,11,28),36,0)+IF(C1847=DATE(2026,12,1),36,0)+IF(C1847=DATE(2026,12,2),23,0)))</f>
        <v/>
      </c>
      <c r="K1847" s="13">
        <f>IF(C1847=Options!$B$9,B1847*12,0)</f>
        <v/>
      </c>
      <c r="L1847" s="13">
        <f>IF(C1847=Options!$B$9,B1847*Options!$Z$7,0)</f>
        <v/>
      </c>
      <c r="M1847" s="13" t="n">
        <v>0</v>
      </c>
      <c r="N1847" s="13">
        <f>SUM(E1847:M1847)</f>
        <v/>
      </c>
    </row>
    <row r="1848">
      <c r="A1848" s="5">
        <f>IF(AND(C1848&gt;=Options!$B$9,C1848&lt;=Options!$B$10),"Phoenix","")</f>
        <v/>
      </c>
      <c r="B1848" s="5">
        <f>IF(A1848="","",24)</f>
        <v/>
      </c>
      <c r="C1848" s="17" t="n">
        <v>46314</v>
      </c>
      <c r="D1848" s="5">
        <f>IF(A1848="","",IF(C1848=DATE(2026,11,29),"培训；注册午餐；早餐参数",IF(C1848=DATE(2026,11,30),"培训；注册午餐",IF(C1848=DATE(2026,12,1),"培训；注册午餐；机构晚餐",IF(C1848=Options!$B$9,"抵达；"&amp;IF(C1848=DATE(2026,11,28),"机构晚餐","无统一供餐"),IF(C1848=Options!$B$10,"返程；"&amp;IF(C1848=DATE(2026,12,2),"机构午餐","无统一供餐"),"差旅状态；无统一日程"))))))</f>
        <v/>
      </c>
      <c r="E1848" s="13">
        <f>IF(C1848=Options!$B$9,Options!$C$19,0)</f>
        <v/>
      </c>
      <c r="F1848" s="13">
        <f>IF(AND(A1848&lt;&gt;"",C1848&lt;Options!$B$10),B1848*Options!$X$7,0)</f>
        <v/>
      </c>
      <c r="G1848" s="13">
        <f>F1848*12%</f>
        <v/>
      </c>
      <c r="H1848" s="13">
        <f>IF(A1848="",0,B1848*(86*IF(OR(C1848=Options!$B$9,C1848=Options!$B$10),75%,100%)-IF(C1848=DATE(2026,11,29),23+IF(Options!$B$8="是",22,0),0)-IF(C1848=DATE(2026,11,30),23,0)-IF(C1848=DATE(2026,12,1),59,0)-IF(C1848=DATE(2026,11,28),36,0)-IF(C1848=DATE(2026,12,2),23,0)))</f>
        <v/>
      </c>
      <c r="I1848" s="13">
        <f>IF(AND(C1848&gt;=DATE(2026,11,29),C1848&lt;=DATE(2026,12,1)),B1848*60,0)</f>
        <v/>
      </c>
      <c r="J1848" s="13">
        <f>IF(A1848="",0,B1848*(IF(C1848=DATE(2026,11,28),36,0)+IF(C1848=DATE(2026,12,1),36,0)+IF(C1848=DATE(2026,12,2),23,0)))</f>
        <v/>
      </c>
      <c r="K1848" s="13">
        <f>IF(C1848=Options!$B$9,B1848*12,0)</f>
        <v/>
      </c>
      <c r="L1848" s="13">
        <f>IF(C1848=Options!$B$9,B1848*Options!$Z$7,0)</f>
        <v/>
      </c>
      <c r="M1848" s="13" t="n">
        <v>0</v>
      </c>
      <c r="N1848" s="13">
        <f>SUM(E1848:M1848)</f>
        <v/>
      </c>
    </row>
    <row r="1849">
      <c r="A1849" s="5">
        <f>IF(AND(C1849&gt;=Options!$B$9,C1849&lt;=Options!$B$10),"Phoenix","")</f>
        <v/>
      </c>
      <c r="B1849" s="5">
        <f>IF(A1849="","",24)</f>
        <v/>
      </c>
      <c r="C1849" s="17" t="n">
        <v>46315</v>
      </c>
      <c r="D1849" s="5">
        <f>IF(A1849="","",IF(C1849=DATE(2026,11,29),"培训；注册午餐；早餐参数",IF(C1849=DATE(2026,11,30),"培训；注册午餐",IF(C1849=DATE(2026,12,1),"培训；注册午餐；机构晚餐",IF(C1849=Options!$B$9,"抵达；"&amp;IF(C1849=DATE(2026,11,28),"机构晚餐","无统一供餐"),IF(C1849=Options!$B$10,"返程；"&amp;IF(C1849=DATE(2026,12,2),"机构午餐","无统一供餐"),"差旅状态；无统一日程"))))))</f>
        <v/>
      </c>
      <c r="E1849" s="13">
        <f>IF(C1849=Options!$B$9,Options!$C$19,0)</f>
        <v/>
      </c>
      <c r="F1849" s="13">
        <f>IF(AND(A1849&lt;&gt;"",C1849&lt;Options!$B$10),B1849*Options!$X$7,0)</f>
        <v/>
      </c>
      <c r="G1849" s="13">
        <f>F1849*12%</f>
        <v/>
      </c>
      <c r="H1849" s="13">
        <f>IF(A1849="",0,B1849*(86*IF(OR(C1849=Options!$B$9,C1849=Options!$B$10),75%,100%)-IF(C1849=DATE(2026,11,29),23+IF(Options!$B$8="是",22,0),0)-IF(C1849=DATE(2026,11,30),23,0)-IF(C1849=DATE(2026,12,1),59,0)-IF(C1849=DATE(2026,11,28),36,0)-IF(C1849=DATE(2026,12,2),23,0)))</f>
        <v/>
      </c>
      <c r="I1849" s="13">
        <f>IF(AND(C1849&gt;=DATE(2026,11,29),C1849&lt;=DATE(2026,12,1)),B1849*60,0)</f>
        <v/>
      </c>
      <c r="J1849" s="13">
        <f>IF(A1849="",0,B1849*(IF(C1849=DATE(2026,11,28),36,0)+IF(C1849=DATE(2026,12,1),36,0)+IF(C1849=DATE(2026,12,2),23,0)))</f>
        <v/>
      </c>
      <c r="K1849" s="13">
        <f>IF(C1849=Options!$B$9,B1849*12,0)</f>
        <v/>
      </c>
      <c r="L1849" s="13">
        <f>IF(C1849=Options!$B$9,B1849*Options!$Z$7,0)</f>
        <v/>
      </c>
      <c r="M1849" s="13" t="n">
        <v>0</v>
      </c>
      <c r="N1849" s="13">
        <f>SUM(E1849:M1849)</f>
        <v/>
      </c>
    </row>
    <row r="1850">
      <c r="A1850" s="5">
        <f>IF(AND(C1850&gt;=Options!$B$9,C1850&lt;=Options!$B$10),"Phoenix","")</f>
        <v/>
      </c>
      <c r="B1850" s="5">
        <f>IF(A1850="","",24)</f>
        <v/>
      </c>
      <c r="C1850" s="17" t="n">
        <v>46316</v>
      </c>
      <c r="D1850" s="5">
        <f>IF(A1850="","",IF(C1850=DATE(2026,11,29),"培训；注册午餐；早餐参数",IF(C1850=DATE(2026,11,30),"培训；注册午餐",IF(C1850=DATE(2026,12,1),"培训；注册午餐；机构晚餐",IF(C1850=Options!$B$9,"抵达；"&amp;IF(C1850=DATE(2026,11,28),"机构晚餐","无统一供餐"),IF(C1850=Options!$B$10,"返程；"&amp;IF(C1850=DATE(2026,12,2),"机构午餐","无统一供餐"),"差旅状态；无统一日程"))))))</f>
        <v/>
      </c>
      <c r="E1850" s="13">
        <f>IF(C1850=Options!$B$9,Options!$C$19,0)</f>
        <v/>
      </c>
      <c r="F1850" s="13">
        <f>IF(AND(A1850&lt;&gt;"",C1850&lt;Options!$B$10),B1850*Options!$X$7,0)</f>
        <v/>
      </c>
      <c r="G1850" s="13">
        <f>F1850*12%</f>
        <v/>
      </c>
      <c r="H1850" s="13">
        <f>IF(A1850="",0,B1850*(86*IF(OR(C1850=Options!$B$9,C1850=Options!$B$10),75%,100%)-IF(C1850=DATE(2026,11,29),23+IF(Options!$B$8="是",22,0),0)-IF(C1850=DATE(2026,11,30),23,0)-IF(C1850=DATE(2026,12,1),59,0)-IF(C1850=DATE(2026,11,28),36,0)-IF(C1850=DATE(2026,12,2),23,0)))</f>
        <v/>
      </c>
      <c r="I1850" s="13">
        <f>IF(AND(C1850&gt;=DATE(2026,11,29),C1850&lt;=DATE(2026,12,1)),B1850*60,0)</f>
        <v/>
      </c>
      <c r="J1850" s="13">
        <f>IF(A1850="",0,B1850*(IF(C1850=DATE(2026,11,28),36,0)+IF(C1850=DATE(2026,12,1),36,0)+IF(C1850=DATE(2026,12,2),23,0)))</f>
        <v/>
      </c>
      <c r="K1850" s="13">
        <f>IF(C1850=Options!$B$9,B1850*12,0)</f>
        <v/>
      </c>
      <c r="L1850" s="13">
        <f>IF(C1850=Options!$B$9,B1850*Options!$Z$7,0)</f>
        <v/>
      </c>
      <c r="M1850" s="13" t="n">
        <v>0</v>
      </c>
      <c r="N1850" s="13">
        <f>SUM(E1850:M1850)</f>
        <v/>
      </c>
    </row>
    <row r="1851">
      <c r="A1851" s="5">
        <f>IF(AND(C1851&gt;=Options!$B$9,C1851&lt;=Options!$B$10),"Phoenix","")</f>
        <v/>
      </c>
      <c r="B1851" s="5">
        <f>IF(A1851="","",24)</f>
        <v/>
      </c>
      <c r="C1851" s="17" t="n">
        <v>46317</v>
      </c>
      <c r="D1851" s="5">
        <f>IF(A1851="","",IF(C1851=DATE(2026,11,29),"培训；注册午餐；早餐参数",IF(C1851=DATE(2026,11,30),"培训；注册午餐",IF(C1851=DATE(2026,12,1),"培训；注册午餐；机构晚餐",IF(C1851=Options!$B$9,"抵达；"&amp;IF(C1851=DATE(2026,11,28),"机构晚餐","无统一供餐"),IF(C1851=Options!$B$10,"返程；"&amp;IF(C1851=DATE(2026,12,2),"机构午餐","无统一供餐"),"差旅状态；无统一日程"))))))</f>
        <v/>
      </c>
      <c r="E1851" s="13">
        <f>IF(C1851=Options!$B$9,Options!$C$19,0)</f>
        <v/>
      </c>
      <c r="F1851" s="13">
        <f>IF(AND(A1851&lt;&gt;"",C1851&lt;Options!$B$10),B1851*Options!$X$7,0)</f>
        <v/>
      </c>
      <c r="G1851" s="13">
        <f>F1851*12%</f>
        <v/>
      </c>
      <c r="H1851" s="13">
        <f>IF(A1851="",0,B1851*(86*IF(OR(C1851=Options!$B$9,C1851=Options!$B$10),75%,100%)-IF(C1851=DATE(2026,11,29),23+IF(Options!$B$8="是",22,0),0)-IF(C1851=DATE(2026,11,30),23,0)-IF(C1851=DATE(2026,12,1),59,0)-IF(C1851=DATE(2026,11,28),36,0)-IF(C1851=DATE(2026,12,2),23,0)))</f>
        <v/>
      </c>
      <c r="I1851" s="13">
        <f>IF(AND(C1851&gt;=DATE(2026,11,29),C1851&lt;=DATE(2026,12,1)),B1851*60,0)</f>
        <v/>
      </c>
      <c r="J1851" s="13">
        <f>IF(A1851="",0,B1851*(IF(C1851=DATE(2026,11,28),36,0)+IF(C1851=DATE(2026,12,1),36,0)+IF(C1851=DATE(2026,12,2),23,0)))</f>
        <v/>
      </c>
      <c r="K1851" s="13">
        <f>IF(C1851=Options!$B$9,B1851*12,0)</f>
        <v/>
      </c>
      <c r="L1851" s="13">
        <f>IF(C1851=Options!$B$9,B1851*Options!$Z$7,0)</f>
        <v/>
      </c>
      <c r="M1851" s="13" t="n">
        <v>0</v>
      </c>
      <c r="N1851" s="13">
        <f>SUM(E1851:M1851)</f>
        <v/>
      </c>
    </row>
    <row r="1852">
      <c r="A1852" s="5">
        <f>IF(AND(C1852&gt;=Options!$B$9,C1852&lt;=Options!$B$10),"Phoenix","")</f>
        <v/>
      </c>
      <c r="B1852" s="5">
        <f>IF(A1852="","",24)</f>
        <v/>
      </c>
      <c r="C1852" s="17" t="n">
        <v>46318</v>
      </c>
      <c r="D1852" s="5">
        <f>IF(A1852="","",IF(C1852=DATE(2026,11,29),"培训；注册午餐；早餐参数",IF(C1852=DATE(2026,11,30),"培训；注册午餐",IF(C1852=DATE(2026,12,1),"培训；注册午餐；机构晚餐",IF(C1852=Options!$B$9,"抵达；"&amp;IF(C1852=DATE(2026,11,28),"机构晚餐","无统一供餐"),IF(C1852=Options!$B$10,"返程；"&amp;IF(C1852=DATE(2026,12,2),"机构午餐","无统一供餐"),"差旅状态；无统一日程"))))))</f>
        <v/>
      </c>
      <c r="E1852" s="13">
        <f>IF(C1852=Options!$B$9,Options!$C$19,0)</f>
        <v/>
      </c>
      <c r="F1852" s="13">
        <f>IF(AND(A1852&lt;&gt;"",C1852&lt;Options!$B$10),B1852*Options!$X$7,0)</f>
        <v/>
      </c>
      <c r="G1852" s="13">
        <f>F1852*12%</f>
        <v/>
      </c>
      <c r="H1852" s="13">
        <f>IF(A1852="",0,B1852*(86*IF(OR(C1852=Options!$B$9,C1852=Options!$B$10),75%,100%)-IF(C1852=DATE(2026,11,29),23+IF(Options!$B$8="是",22,0),0)-IF(C1852=DATE(2026,11,30),23,0)-IF(C1852=DATE(2026,12,1),59,0)-IF(C1852=DATE(2026,11,28),36,0)-IF(C1852=DATE(2026,12,2),23,0)))</f>
        <v/>
      </c>
      <c r="I1852" s="13">
        <f>IF(AND(C1852&gt;=DATE(2026,11,29),C1852&lt;=DATE(2026,12,1)),B1852*60,0)</f>
        <v/>
      </c>
      <c r="J1852" s="13">
        <f>IF(A1852="",0,B1852*(IF(C1852=DATE(2026,11,28),36,0)+IF(C1852=DATE(2026,12,1),36,0)+IF(C1852=DATE(2026,12,2),23,0)))</f>
        <v/>
      </c>
      <c r="K1852" s="13">
        <f>IF(C1852=Options!$B$9,B1852*12,0)</f>
        <v/>
      </c>
      <c r="L1852" s="13">
        <f>IF(C1852=Options!$B$9,B1852*Options!$Z$7,0)</f>
        <v/>
      </c>
      <c r="M1852" s="13" t="n">
        <v>0</v>
      </c>
      <c r="N1852" s="13">
        <f>SUM(E1852:M1852)</f>
        <v/>
      </c>
    </row>
    <row r="1853">
      <c r="A1853" s="5">
        <f>IF(AND(C1853&gt;=Options!$B$9,C1853&lt;=Options!$B$10),"Phoenix","")</f>
        <v/>
      </c>
      <c r="B1853" s="5">
        <f>IF(A1853="","",24)</f>
        <v/>
      </c>
      <c r="C1853" s="17" t="n">
        <v>46319</v>
      </c>
      <c r="D1853" s="5">
        <f>IF(A1853="","",IF(C1853=DATE(2026,11,29),"培训；注册午餐；早餐参数",IF(C1853=DATE(2026,11,30),"培训；注册午餐",IF(C1853=DATE(2026,12,1),"培训；注册午餐；机构晚餐",IF(C1853=Options!$B$9,"抵达；"&amp;IF(C1853=DATE(2026,11,28),"机构晚餐","无统一供餐"),IF(C1853=Options!$B$10,"返程；"&amp;IF(C1853=DATE(2026,12,2),"机构午餐","无统一供餐"),"差旅状态；无统一日程"))))))</f>
        <v/>
      </c>
      <c r="E1853" s="13">
        <f>IF(C1853=Options!$B$9,Options!$C$19,0)</f>
        <v/>
      </c>
      <c r="F1853" s="13">
        <f>IF(AND(A1853&lt;&gt;"",C1853&lt;Options!$B$10),B1853*Options!$X$7,0)</f>
        <v/>
      </c>
      <c r="G1853" s="13">
        <f>F1853*12%</f>
        <v/>
      </c>
      <c r="H1853" s="13">
        <f>IF(A1853="",0,B1853*(86*IF(OR(C1853=Options!$B$9,C1853=Options!$B$10),75%,100%)-IF(C1853=DATE(2026,11,29),23+IF(Options!$B$8="是",22,0),0)-IF(C1853=DATE(2026,11,30),23,0)-IF(C1853=DATE(2026,12,1),59,0)-IF(C1853=DATE(2026,11,28),36,0)-IF(C1853=DATE(2026,12,2),23,0)))</f>
        <v/>
      </c>
      <c r="I1853" s="13">
        <f>IF(AND(C1853&gt;=DATE(2026,11,29),C1853&lt;=DATE(2026,12,1)),B1853*60,0)</f>
        <v/>
      </c>
      <c r="J1853" s="13">
        <f>IF(A1853="",0,B1853*(IF(C1853=DATE(2026,11,28),36,0)+IF(C1853=DATE(2026,12,1),36,0)+IF(C1853=DATE(2026,12,2),23,0)))</f>
        <v/>
      </c>
      <c r="K1853" s="13">
        <f>IF(C1853=Options!$B$9,B1853*12,0)</f>
        <v/>
      </c>
      <c r="L1853" s="13">
        <f>IF(C1853=Options!$B$9,B1853*Options!$Z$7,0)</f>
        <v/>
      </c>
      <c r="M1853" s="13" t="n">
        <v>0</v>
      </c>
      <c r="N1853" s="13">
        <f>SUM(E1853:M1853)</f>
        <v/>
      </c>
    </row>
    <row r="1854">
      <c r="A1854" s="5">
        <f>IF(AND(C1854&gt;=Options!$B$9,C1854&lt;=Options!$B$10),"Phoenix","")</f>
        <v/>
      </c>
      <c r="B1854" s="5">
        <f>IF(A1854="","",24)</f>
        <v/>
      </c>
      <c r="C1854" s="17" t="n">
        <v>46320</v>
      </c>
      <c r="D1854" s="5">
        <f>IF(A1854="","",IF(C1854=DATE(2026,11,29),"培训；注册午餐；早餐参数",IF(C1854=DATE(2026,11,30),"培训；注册午餐",IF(C1854=DATE(2026,12,1),"培训；注册午餐；机构晚餐",IF(C1854=Options!$B$9,"抵达；"&amp;IF(C1854=DATE(2026,11,28),"机构晚餐","无统一供餐"),IF(C1854=Options!$B$10,"返程；"&amp;IF(C1854=DATE(2026,12,2),"机构午餐","无统一供餐"),"差旅状态；无统一日程"))))))</f>
        <v/>
      </c>
      <c r="E1854" s="13">
        <f>IF(C1854=Options!$B$9,Options!$C$19,0)</f>
        <v/>
      </c>
      <c r="F1854" s="13">
        <f>IF(AND(A1854&lt;&gt;"",C1854&lt;Options!$B$10),B1854*Options!$X$7,0)</f>
        <v/>
      </c>
      <c r="G1854" s="13">
        <f>F1854*12%</f>
        <v/>
      </c>
      <c r="H1854" s="13">
        <f>IF(A1854="",0,B1854*(86*IF(OR(C1854=Options!$B$9,C1854=Options!$B$10),75%,100%)-IF(C1854=DATE(2026,11,29),23+IF(Options!$B$8="是",22,0),0)-IF(C1854=DATE(2026,11,30),23,0)-IF(C1854=DATE(2026,12,1),59,0)-IF(C1854=DATE(2026,11,28),36,0)-IF(C1854=DATE(2026,12,2),23,0)))</f>
        <v/>
      </c>
      <c r="I1854" s="13">
        <f>IF(AND(C1854&gt;=DATE(2026,11,29),C1854&lt;=DATE(2026,12,1)),B1854*60,0)</f>
        <v/>
      </c>
      <c r="J1854" s="13">
        <f>IF(A1854="",0,B1854*(IF(C1854=DATE(2026,11,28),36,0)+IF(C1854=DATE(2026,12,1),36,0)+IF(C1854=DATE(2026,12,2),23,0)))</f>
        <v/>
      </c>
      <c r="K1854" s="13">
        <f>IF(C1854=Options!$B$9,B1854*12,0)</f>
        <v/>
      </c>
      <c r="L1854" s="13">
        <f>IF(C1854=Options!$B$9,B1854*Options!$Z$7,0)</f>
        <v/>
      </c>
      <c r="M1854" s="13" t="n">
        <v>0</v>
      </c>
      <c r="N1854" s="13">
        <f>SUM(E1854:M1854)</f>
        <v/>
      </c>
    </row>
    <row r="1855">
      <c r="A1855" s="5">
        <f>IF(AND(C1855&gt;=Options!$B$9,C1855&lt;=Options!$B$10),"Phoenix","")</f>
        <v/>
      </c>
      <c r="B1855" s="5">
        <f>IF(A1855="","",24)</f>
        <v/>
      </c>
      <c r="C1855" s="17" t="n">
        <v>46321</v>
      </c>
      <c r="D1855" s="5">
        <f>IF(A1855="","",IF(C1855=DATE(2026,11,29),"培训；注册午餐；早餐参数",IF(C1855=DATE(2026,11,30),"培训；注册午餐",IF(C1855=DATE(2026,12,1),"培训；注册午餐；机构晚餐",IF(C1855=Options!$B$9,"抵达；"&amp;IF(C1855=DATE(2026,11,28),"机构晚餐","无统一供餐"),IF(C1855=Options!$B$10,"返程；"&amp;IF(C1855=DATE(2026,12,2),"机构午餐","无统一供餐"),"差旅状态；无统一日程"))))))</f>
        <v/>
      </c>
      <c r="E1855" s="13">
        <f>IF(C1855=Options!$B$9,Options!$C$19,0)</f>
        <v/>
      </c>
      <c r="F1855" s="13">
        <f>IF(AND(A1855&lt;&gt;"",C1855&lt;Options!$B$10),B1855*Options!$X$7,0)</f>
        <v/>
      </c>
      <c r="G1855" s="13">
        <f>F1855*12%</f>
        <v/>
      </c>
      <c r="H1855" s="13">
        <f>IF(A1855="",0,B1855*(86*IF(OR(C1855=Options!$B$9,C1855=Options!$B$10),75%,100%)-IF(C1855=DATE(2026,11,29),23+IF(Options!$B$8="是",22,0),0)-IF(C1855=DATE(2026,11,30),23,0)-IF(C1855=DATE(2026,12,1),59,0)-IF(C1855=DATE(2026,11,28),36,0)-IF(C1855=DATE(2026,12,2),23,0)))</f>
        <v/>
      </c>
      <c r="I1855" s="13">
        <f>IF(AND(C1855&gt;=DATE(2026,11,29),C1855&lt;=DATE(2026,12,1)),B1855*60,0)</f>
        <v/>
      </c>
      <c r="J1855" s="13">
        <f>IF(A1855="",0,B1855*(IF(C1855=DATE(2026,11,28),36,0)+IF(C1855=DATE(2026,12,1),36,0)+IF(C1855=DATE(2026,12,2),23,0)))</f>
        <v/>
      </c>
      <c r="K1855" s="13">
        <f>IF(C1855=Options!$B$9,B1855*12,0)</f>
        <v/>
      </c>
      <c r="L1855" s="13">
        <f>IF(C1855=Options!$B$9,B1855*Options!$Z$7,0)</f>
        <v/>
      </c>
      <c r="M1855" s="13" t="n">
        <v>0</v>
      </c>
      <c r="N1855" s="13">
        <f>SUM(E1855:M1855)</f>
        <v/>
      </c>
    </row>
    <row r="1856">
      <c r="A1856" s="5">
        <f>IF(AND(C1856&gt;=Options!$B$9,C1856&lt;=Options!$B$10),"Phoenix","")</f>
        <v/>
      </c>
      <c r="B1856" s="5">
        <f>IF(A1856="","",24)</f>
        <v/>
      </c>
      <c r="C1856" s="17" t="n">
        <v>46322</v>
      </c>
      <c r="D1856" s="5">
        <f>IF(A1856="","",IF(C1856=DATE(2026,11,29),"培训；注册午餐；早餐参数",IF(C1856=DATE(2026,11,30),"培训；注册午餐",IF(C1856=DATE(2026,12,1),"培训；注册午餐；机构晚餐",IF(C1856=Options!$B$9,"抵达；"&amp;IF(C1856=DATE(2026,11,28),"机构晚餐","无统一供餐"),IF(C1856=Options!$B$10,"返程；"&amp;IF(C1856=DATE(2026,12,2),"机构午餐","无统一供餐"),"差旅状态；无统一日程"))))))</f>
        <v/>
      </c>
      <c r="E1856" s="13">
        <f>IF(C1856=Options!$B$9,Options!$C$19,0)</f>
        <v/>
      </c>
      <c r="F1856" s="13">
        <f>IF(AND(A1856&lt;&gt;"",C1856&lt;Options!$B$10),B1856*Options!$X$7,0)</f>
        <v/>
      </c>
      <c r="G1856" s="13">
        <f>F1856*12%</f>
        <v/>
      </c>
      <c r="H1856" s="13">
        <f>IF(A1856="",0,B1856*(86*IF(OR(C1856=Options!$B$9,C1856=Options!$B$10),75%,100%)-IF(C1856=DATE(2026,11,29),23+IF(Options!$B$8="是",22,0),0)-IF(C1856=DATE(2026,11,30),23,0)-IF(C1856=DATE(2026,12,1),59,0)-IF(C1856=DATE(2026,11,28),36,0)-IF(C1856=DATE(2026,12,2),23,0)))</f>
        <v/>
      </c>
      <c r="I1856" s="13">
        <f>IF(AND(C1856&gt;=DATE(2026,11,29),C1856&lt;=DATE(2026,12,1)),B1856*60,0)</f>
        <v/>
      </c>
      <c r="J1856" s="13">
        <f>IF(A1856="",0,B1856*(IF(C1856=DATE(2026,11,28),36,0)+IF(C1856=DATE(2026,12,1),36,0)+IF(C1856=DATE(2026,12,2),23,0)))</f>
        <v/>
      </c>
      <c r="K1856" s="13">
        <f>IF(C1856=Options!$B$9,B1856*12,0)</f>
        <v/>
      </c>
      <c r="L1856" s="13">
        <f>IF(C1856=Options!$B$9,B1856*Options!$Z$7,0)</f>
        <v/>
      </c>
      <c r="M1856" s="13" t="n">
        <v>0</v>
      </c>
      <c r="N1856" s="13">
        <f>SUM(E1856:M1856)</f>
        <v/>
      </c>
    </row>
    <row r="1857">
      <c r="A1857" s="5">
        <f>IF(AND(C1857&gt;=Options!$B$9,C1857&lt;=Options!$B$10),"Phoenix","")</f>
        <v/>
      </c>
      <c r="B1857" s="5">
        <f>IF(A1857="","",24)</f>
        <v/>
      </c>
      <c r="C1857" s="17" t="n">
        <v>46323</v>
      </c>
      <c r="D1857" s="5">
        <f>IF(A1857="","",IF(C1857=DATE(2026,11,29),"培训；注册午餐；早餐参数",IF(C1857=DATE(2026,11,30),"培训；注册午餐",IF(C1857=DATE(2026,12,1),"培训；注册午餐；机构晚餐",IF(C1857=Options!$B$9,"抵达；"&amp;IF(C1857=DATE(2026,11,28),"机构晚餐","无统一供餐"),IF(C1857=Options!$B$10,"返程；"&amp;IF(C1857=DATE(2026,12,2),"机构午餐","无统一供餐"),"差旅状态；无统一日程"))))))</f>
        <v/>
      </c>
      <c r="E1857" s="13">
        <f>IF(C1857=Options!$B$9,Options!$C$19,0)</f>
        <v/>
      </c>
      <c r="F1857" s="13">
        <f>IF(AND(A1857&lt;&gt;"",C1857&lt;Options!$B$10),B1857*Options!$X$7,0)</f>
        <v/>
      </c>
      <c r="G1857" s="13">
        <f>F1857*12%</f>
        <v/>
      </c>
      <c r="H1857" s="13">
        <f>IF(A1857="",0,B1857*(86*IF(OR(C1857=Options!$B$9,C1857=Options!$B$10),75%,100%)-IF(C1857=DATE(2026,11,29),23+IF(Options!$B$8="是",22,0),0)-IF(C1857=DATE(2026,11,30),23,0)-IF(C1857=DATE(2026,12,1),59,0)-IF(C1857=DATE(2026,11,28),36,0)-IF(C1857=DATE(2026,12,2),23,0)))</f>
        <v/>
      </c>
      <c r="I1857" s="13">
        <f>IF(AND(C1857&gt;=DATE(2026,11,29),C1857&lt;=DATE(2026,12,1)),B1857*60,0)</f>
        <v/>
      </c>
      <c r="J1857" s="13">
        <f>IF(A1857="",0,B1857*(IF(C1857=DATE(2026,11,28),36,0)+IF(C1857=DATE(2026,12,1),36,0)+IF(C1857=DATE(2026,12,2),23,0)))</f>
        <v/>
      </c>
      <c r="K1857" s="13">
        <f>IF(C1857=Options!$B$9,B1857*12,0)</f>
        <v/>
      </c>
      <c r="L1857" s="13">
        <f>IF(C1857=Options!$B$9,B1857*Options!$Z$7,0)</f>
        <v/>
      </c>
      <c r="M1857" s="13" t="n">
        <v>0</v>
      </c>
      <c r="N1857" s="13">
        <f>SUM(E1857:M1857)</f>
        <v/>
      </c>
    </row>
    <row r="1858">
      <c r="A1858" s="5">
        <f>IF(AND(C1858&gt;=Options!$B$9,C1858&lt;=Options!$B$10),"Phoenix","")</f>
        <v/>
      </c>
      <c r="B1858" s="5">
        <f>IF(A1858="","",24)</f>
        <v/>
      </c>
      <c r="C1858" s="17" t="n">
        <v>46324</v>
      </c>
      <c r="D1858" s="5">
        <f>IF(A1858="","",IF(C1858=DATE(2026,11,29),"培训；注册午餐；早餐参数",IF(C1858=DATE(2026,11,30),"培训；注册午餐",IF(C1858=DATE(2026,12,1),"培训；注册午餐；机构晚餐",IF(C1858=Options!$B$9,"抵达；"&amp;IF(C1858=DATE(2026,11,28),"机构晚餐","无统一供餐"),IF(C1858=Options!$B$10,"返程；"&amp;IF(C1858=DATE(2026,12,2),"机构午餐","无统一供餐"),"差旅状态；无统一日程"))))))</f>
        <v/>
      </c>
      <c r="E1858" s="13">
        <f>IF(C1858=Options!$B$9,Options!$C$19,0)</f>
        <v/>
      </c>
      <c r="F1858" s="13">
        <f>IF(AND(A1858&lt;&gt;"",C1858&lt;Options!$B$10),B1858*Options!$X$7,0)</f>
        <v/>
      </c>
      <c r="G1858" s="13">
        <f>F1858*12%</f>
        <v/>
      </c>
      <c r="H1858" s="13">
        <f>IF(A1858="",0,B1858*(86*IF(OR(C1858=Options!$B$9,C1858=Options!$B$10),75%,100%)-IF(C1858=DATE(2026,11,29),23+IF(Options!$B$8="是",22,0),0)-IF(C1858=DATE(2026,11,30),23,0)-IF(C1858=DATE(2026,12,1),59,0)-IF(C1858=DATE(2026,11,28),36,0)-IF(C1858=DATE(2026,12,2),23,0)))</f>
        <v/>
      </c>
      <c r="I1858" s="13">
        <f>IF(AND(C1858&gt;=DATE(2026,11,29),C1858&lt;=DATE(2026,12,1)),B1858*60,0)</f>
        <v/>
      </c>
      <c r="J1858" s="13">
        <f>IF(A1858="",0,B1858*(IF(C1858=DATE(2026,11,28),36,0)+IF(C1858=DATE(2026,12,1),36,0)+IF(C1858=DATE(2026,12,2),23,0)))</f>
        <v/>
      </c>
      <c r="K1858" s="13">
        <f>IF(C1858=Options!$B$9,B1858*12,0)</f>
        <v/>
      </c>
      <c r="L1858" s="13">
        <f>IF(C1858=Options!$B$9,B1858*Options!$Z$7,0)</f>
        <v/>
      </c>
      <c r="M1858" s="13" t="n">
        <v>0</v>
      </c>
      <c r="N1858" s="13">
        <f>SUM(E1858:M1858)</f>
        <v/>
      </c>
    </row>
    <row r="1859">
      <c r="A1859" s="5">
        <f>IF(AND(C1859&gt;=Options!$B$9,C1859&lt;=Options!$B$10),"Phoenix","")</f>
        <v/>
      </c>
      <c r="B1859" s="5">
        <f>IF(A1859="","",24)</f>
        <v/>
      </c>
      <c r="C1859" s="17" t="n">
        <v>46325</v>
      </c>
      <c r="D1859" s="5">
        <f>IF(A1859="","",IF(C1859=DATE(2026,11,29),"培训；注册午餐；早餐参数",IF(C1859=DATE(2026,11,30),"培训；注册午餐",IF(C1859=DATE(2026,12,1),"培训；注册午餐；机构晚餐",IF(C1859=Options!$B$9,"抵达；"&amp;IF(C1859=DATE(2026,11,28),"机构晚餐","无统一供餐"),IF(C1859=Options!$B$10,"返程；"&amp;IF(C1859=DATE(2026,12,2),"机构午餐","无统一供餐"),"差旅状态；无统一日程"))))))</f>
        <v/>
      </c>
      <c r="E1859" s="13">
        <f>IF(C1859=Options!$B$9,Options!$C$19,0)</f>
        <v/>
      </c>
      <c r="F1859" s="13">
        <f>IF(AND(A1859&lt;&gt;"",C1859&lt;Options!$B$10),B1859*Options!$X$7,0)</f>
        <v/>
      </c>
      <c r="G1859" s="13">
        <f>F1859*12%</f>
        <v/>
      </c>
      <c r="H1859" s="13">
        <f>IF(A1859="",0,B1859*(86*IF(OR(C1859=Options!$B$9,C1859=Options!$B$10),75%,100%)-IF(C1859=DATE(2026,11,29),23+IF(Options!$B$8="是",22,0),0)-IF(C1859=DATE(2026,11,30),23,0)-IF(C1859=DATE(2026,12,1),59,0)-IF(C1859=DATE(2026,11,28),36,0)-IF(C1859=DATE(2026,12,2),23,0)))</f>
        <v/>
      </c>
      <c r="I1859" s="13">
        <f>IF(AND(C1859&gt;=DATE(2026,11,29),C1859&lt;=DATE(2026,12,1)),B1859*60,0)</f>
        <v/>
      </c>
      <c r="J1859" s="13">
        <f>IF(A1859="",0,B1859*(IF(C1859=DATE(2026,11,28),36,0)+IF(C1859=DATE(2026,12,1),36,0)+IF(C1859=DATE(2026,12,2),23,0)))</f>
        <v/>
      </c>
      <c r="K1859" s="13">
        <f>IF(C1859=Options!$B$9,B1859*12,0)</f>
        <v/>
      </c>
      <c r="L1859" s="13">
        <f>IF(C1859=Options!$B$9,B1859*Options!$Z$7,0)</f>
        <v/>
      </c>
      <c r="M1859" s="13" t="n">
        <v>0</v>
      </c>
      <c r="N1859" s="13">
        <f>SUM(E1859:M1859)</f>
        <v/>
      </c>
    </row>
    <row r="1860">
      <c r="A1860" s="5">
        <f>IF(AND(C1860&gt;=Options!$B$9,C1860&lt;=Options!$B$10),"Phoenix","")</f>
        <v/>
      </c>
      <c r="B1860" s="5">
        <f>IF(A1860="","",24)</f>
        <v/>
      </c>
      <c r="C1860" s="17" t="n">
        <v>46326</v>
      </c>
      <c r="D1860" s="5">
        <f>IF(A1860="","",IF(C1860=DATE(2026,11,29),"培训；注册午餐；早餐参数",IF(C1860=DATE(2026,11,30),"培训；注册午餐",IF(C1860=DATE(2026,12,1),"培训；注册午餐；机构晚餐",IF(C1860=Options!$B$9,"抵达；"&amp;IF(C1860=DATE(2026,11,28),"机构晚餐","无统一供餐"),IF(C1860=Options!$B$10,"返程；"&amp;IF(C1860=DATE(2026,12,2),"机构午餐","无统一供餐"),"差旅状态；无统一日程"))))))</f>
        <v/>
      </c>
      <c r="E1860" s="13">
        <f>IF(C1860=Options!$B$9,Options!$C$19,0)</f>
        <v/>
      </c>
      <c r="F1860" s="13">
        <f>IF(AND(A1860&lt;&gt;"",C1860&lt;Options!$B$10),B1860*Options!$X$7,0)</f>
        <v/>
      </c>
      <c r="G1860" s="13">
        <f>F1860*12%</f>
        <v/>
      </c>
      <c r="H1860" s="13">
        <f>IF(A1860="",0,B1860*(86*IF(OR(C1860=Options!$B$9,C1860=Options!$B$10),75%,100%)-IF(C1860=DATE(2026,11,29),23+IF(Options!$B$8="是",22,0),0)-IF(C1860=DATE(2026,11,30),23,0)-IF(C1860=DATE(2026,12,1),59,0)-IF(C1860=DATE(2026,11,28),36,0)-IF(C1860=DATE(2026,12,2),23,0)))</f>
        <v/>
      </c>
      <c r="I1860" s="13">
        <f>IF(AND(C1860&gt;=DATE(2026,11,29),C1860&lt;=DATE(2026,12,1)),B1860*60,0)</f>
        <v/>
      </c>
      <c r="J1860" s="13">
        <f>IF(A1860="",0,B1860*(IF(C1860=DATE(2026,11,28),36,0)+IF(C1860=DATE(2026,12,1),36,0)+IF(C1860=DATE(2026,12,2),23,0)))</f>
        <v/>
      </c>
      <c r="K1860" s="13">
        <f>IF(C1860=Options!$B$9,B1860*12,0)</f>
        <v/>
      </c>
      <c r="L1860" s="13">
        <f>IF(C1860=Options!$B$9,B1860*Options!$Z$7,0)</f>
        <v/>
      </c>
      <c r="M1860" s="13" t="n">
        <v>0</v>
      </c>
      <c r="N1860" s="13">
        <f>SUM(E1860:M1860)</f>
        <v/>
      </c>
    </row>
    <row r="1861">
      <c r="A1861" s="5">
        <f>IF(AND(C1861&gt;=Options!$B$9,C1861&lt;=Options!$B$10),"Phoenix","")</f>
        <v/>
      </c>
      <c r="B1861" s="5">
        <f>IF(A1861="","",24)</f>
        <v/>
      </c>
      <c r="C1861" s="17" t="n">
        <v>46327</v>
      </c>
      <c r="D1861" s="5">
        <f>IF(A1861="","",IF(C1861=DATE(2026,11,29),"培训；注册午餐；早餐参数",IF(C1861=DATE(2026,11,30),"培训；注册午餐",IF(C1861=DATE(2026,12,1),"培训；注册午餐；机构晚餐",IF(C1861=Options!$B$9,"抵达；"&amp;IF(C1861=DATE(2026,11,28),"机构晚餐","无统一供餐"),IF(C1861=Options!$B$10,"返程；"&amp;IF(C1861=DATE(2026,12,2),"机构午餐","无统一供餐"),"差旅状态；无统一日程"))))))</f>
        <v/>
      </c>
      <c r="E1861" s="13">
        <f>IF(C1861=Options!$B$9,Options!$C$19,0)</f>
        <v/>
      </c>
      <c r="F1861" s="13">
        <f>IF(AND(A1861&lt;&gt;"",C1861&lt;Options!$B$10),B1861*Options!$X$7,0)</f>
        <v/>
      </c>
      <c r="G1861" s="13">
        <f>F1861*12%</f>
        <v/>
      </c>
      <c r="H1861" s="13">
        <f>IF(A1861="",0,B1861*(86*IF(OR(C1861=Options!$B$9,C1861=Options!$B$10),75%,100%)-IF(C1861=DATE(2026,11,29),23+IF(Options!$B$8="是",22,0),0)-IF(C1861=DATE(2026,11,30),23,0)-IF(C1861=DATE(2026,12,1),59,0)-IF(C1861=DATE(2026,11,28),36,0)-IF(C1861=DATE(2026,12,2),23,0)))</f>
        <v/>
      </c>
      <c r="I1861" s="13">
        <f>IF(AND(C1861&gt;=DATE(2026,11,29),C1861&lt;=DATE(2026,12,1)),B1861*60,0)</f>
        <v/>
      </c>
      <c r="J1861" s="13">
        <f>IF(A1861="",0,B1861*(IF(C1861=DATE(2026,11,28),36,0)+IF(C1861=DATE(2026,12,1),36,0)+IF(C1861=DATE(2026,12,2),23,0)))</f>
        <v/>
      </c>
      <c r="K1861" s="13">
        <f>IF(C1861=Options!$B$9,B1861*12,0)</f>
        <v/>
      </c>
      <c r="L1861" s="13">
        <f>IF(C1861=Options!$B$9,B1861*Options!$Z$7,0)</f>
        <v/>
      </c>
      <c r="M1861" s="13" t="n">
        <v>0</v>
      </c>
      <c r="N1861" s="13">
        <f>SUM(E1861:M1861)</f>
        <v/>
      </c>
    </row>
    <row r="1862">
      <c r="A1862" s="5">
        <f>IF(AND(C1862&gt;=Options!$B$9,C1862&lt;=Options!$B$10),"Phoenix","")</f>
        <v/>
      </c>
      <c r="B1862" s="5">
        <f>IF(A1862="","",24)</f>
        <v/>
      </c>
      <c r="C1862" s="17" t="n">
        <v>46328</v>
      </c>
      <c r="D1862" s="5">
        <f>IF(A1862="","",IF(C1862=DATE(2026,11,29),"培训；注册午餐；早餐参数",IF(C1862=DATE(2026,11,30),"培训；注册午餐",IF(C1862=DATE(2026,12,1),"培训；注册午餐；机构晚餐",IF(C1862=Options!$B$9,"抵达；"&amp;IF(C1862=DATE(2026,11,28),"机构晚餐","无统一供餐"),IF(C1862=Options!$B$10,"返程；"&amp;IF(C1862=DATE(2026,12,2),"机构午餐","无统一供餐"),"差旅状态；无统一日程"))))))</f>
        <v/>
      </c>
      <c r="E1862" s="13">
        <f>IF(C1862=Options!$B$9,Options!$C$19,0)</f>
        <v/>
      </c>
      <c r="F1862" s="13">
        <f>IF(AND(A1862&lt;&gt;"",C1862&lt;Options!$B$10),B1862*Options!$X$7,0)</f>
        <v/>
      </c>
      <c r="G1862" s="13">
        <f>F1862*12%</f>
        <v/>
      </c>
      <c r="H1862" s="13">
        <f>IF(A1862="",0,B1862*(86*IF(OR(C1862=Options!$B$9,C1862=Options!$B$10),75%,100%)-IF(C1862=DATE(2026,11,29),23+IF(Options!$B$8="是",22,0),0)-IF(C1862=DATE(2026,11,30),23,0)-IF(C1862=DATE(2026,12,1),59,0)-IF(C1862=DATE(2026,11,28),36,0)-IF(C1862=DATE(2026,12,2),23,0)))</f>
        <v/>
      </c>
      <c r="I1862" s="13">
        <f>IF(AND(C1862&gt;=DATE(2026,11,29),C1862&lt;=DATE(2026,12,1)),B1862*60,0)</f>
        <v/>
      </c>
      <c r="J1862" s="13">
        <f>IF(A1862="",0,B1862*(IF(C1862=DATE(2026,11,28),36,0)+IF(C1862=DATE(2026,12,1),36,0)+IF(C1862=DATE(2026,12,2),23,0)))</f>
        <v/>
      </c>
      <c r="K1862" s="13">
        <f>IF(C1862=Options!$B$9,B1862*12,0)</f>
        <v/>
      </c>
      <c r="L1862" s="13">
        <f>IF(C1862=Options!$B$9,B1862*Options!$Z$7,0)</f>
        <v/>
      </c>
      <c r="M1862" s="13" t="n">
        <v>0</v>
      </c>
      <c r="N1862" s="13">
        <f>SUM(E1862:M1862)</f>
        <v/>
      </c>
    </row>
    <row r="1863">
      <c r="A1863" s="5">
        <f>IF(AND(C1863&gt;=Options!$B$9,C1863&lt;=Options!$B$10),"Phoenix","")</f>
        <v/>
      </c>
      <c r="B1863" s="5">
        <f>IF(A1863="","",24)</f>
        <v/>
      </c>
      <c r="C1863" s="17" t="n">
        <v>46329</v>
      </c>
      <c r="D1863" s="5">
        <f>IF(A1863="","",IF(C1863=DATE(2026,11,29),"培训；注册午餐；早餐参数",IF(C1863=DATE(2026,11,30),"培训；注册午餐",IF(C1863=DATE(2026,12,1),"培训；注册午餐；机构晚餐",IF(C1863=Options!$B$9,"抵达；"&amp;IF(C1863=DATE(2026,11,28),"机构晚餐","无统一供餐"),IF(C1863=Options!$B$10,"返程；"&amp;IF(C1863=DATE(2026,12,2),"机构午餐","无统一供餐"),"差旅状态；无统一日程"))))))</f>
        <v/>
      </c>
      <c r="E1863" s="13">
        <f>IF(C1863=Options!$B$9,Options!$C$19,0)</f>
        <v/>
      </c>
      <c r="F1863" s="13">
        <f>IF(AND(A1863&lt;&gt;"",C1863&lt;Options!$B$10),B1863*Options!$X$7,0)</f>
        <v/>
      </c>
      <c r="G1863" s="13">
        <f>F1863*12%</f>
        <v/>
      </c>
      <c r="H1863" s="13">
        <f>IF(A1863="",0,B1863*(86*IF(OR(C1863=Options!$B$9,C1863=Options!$B$10),75%,100%)-IF(C1863=DATE(2026,11,29),23+IF(Options!$B$8="是",22,0),0)-IF(C1863=DATE(2026,11,30),23,0)-IF(C1863=DATE(2026,12,1),59,0)-IF(C1863=DATE(2026,11,28),36,0)-IF(C1863=DATE(2026,12,2),23,0)))</f>
        <v/>
      </c>
      <c r="I1863" s="13">
        <f>IF(AND(C1863&gt;=DATE(2026,11,29),C1863&lt;=DATE(2026,12,1)),B1863*60,0)</f>
        <v/>
      </c>
      <c r="J1863" s="13">
        <f>IF(A1863="",0,B1863*(IF(C1863=DATE(2026,11,28),36,0)+IF(C1863=DATE(2026,12,1),36,0)+IF(C1863=DATE(2026,12,2),23,0)))</f>
        <v/>
      </c>
      <c r="K1863" s="13">
        <f>IF(C1863=Options!$B$9,B1863*12,0)</f>
        <v/>
      </c>
      <c r="L1863" s="13">
        <f>IF(C1863=Options!$B$9,B1863*Options!$Z$7,0)</f>
        <v/>
      </c>
      <c r="M1863" s="13" t="n">
        <v>0</v>
      </c>
      <c r="N1863" s="13">
        <f>SUM(E1863:M1863)</f>
        <v/>
      </c>
    </row>
    <row r="1864">
      <c r="A1864" s="5">
        <f>IF(AND(C1864&gt;=Options!$B$9,C1864&lt;=Options!$B$10),"Phoenix","")</f>
        <v/>
      </c>
      <c r="B1864" s="5">
        <f>IF(A1864="","",24)</f>
        <v/>
      </c>
      <c r="C1864" s="17" t="n">
        <v>46330</v>
      </c>
      <c r="D1864" s="5">
        <f>IF(A1864="","",IF(C1864=DATE(2026,11,29),"培训；注册午餐；早餐参数",IF(C1864=DATE(2026,11,30),"培训；注册午餐",IF(C1864=DATE(2026,12,1),"培训；注册午餐；机构晚餐",IF(C1864=Options!$B$9,"抵达；"&amp;IF(C1864=DATE(2026,11,28),"机构晚餐","无统一供餐"),IF(C1864=Options!$B$10,"返程；"&amp;IF(C1864=DATE(2026,12,2),"机构午餐","无统一供餐"),"差旅状态；无统一日程"))))))</f>
        <v/>
      </c>
      <c r="E1864" s="13">
        <f>IF(C1864=Options!$B$9,Options!$C$19,0)</f>
        <v/>
      </c>
      <c r="F1864" s="13">
        <f>IF(AND(A1864&lt;&gt;"",C1864&lt;Options!$B$10),B1864*Options!$X$7,0)</f>
        <v/>
      </c>
      <c r="G1864" s="13">
        <f>F1864*12%</f>
        <v/>
      </c>
      <c r="H1864" s="13">
        <f>IF(A1864="",0,B1864*(86*IF(OR(C1864=Options!$B$9,C1864=Options!$B$10),75%,100%)-IF(C1864=DATE(2026,11,29),23+IF(Options!$B$8="是",22,0),0)-IF(C1864=DATE(2026,11,30),23,0)-IF(C1864=DATE(2026,12,1),59,0)-IF(C1864=DATE(2026,11,28),36,0)-IF(C1864=DATE(2026,12,2),23,0)))</f>
        <v/>
      </c>
      <c r="I1864" s="13">
        <f>IF(AND(C1864&gt;=DATE(2026,11,29),C1864&lt;=DATE(2026,12,1)),B1864*60,0)</f>
        <v/>
      </c>
      <c r="J1864" s="13">
        <f>IF(A1864="",0,B1864*(IF(C1864=DATE(2026,11,28),36,0)+IF(C1864=DATE(2026,12,1),36,0)+IF(C1864=DATE(2026,12,2),23,0)))</f>
        <v/>
      </c>
      <c r="K1864" s="13">
        <f>IF(C1864=Options!$B$9,B1864*12,0)</f>
        <v/>
      </c>
      <c r="L1864" s="13">
        <f>IF(C1864=Options!$B$9,B1864*Options!$Z$7,0)</f>
        <v/>
      </c>
      <c r="M1864" s="13" t="n">
        <v>0</v>
      </c>
      <c r="N1864" s="13">
        <f>SUM(E1864:M1864)</f>
        <v/>
      </c>
    </row>
    <row r="1865">
      <c r="A1865" s="5">
        <f>IF(AND(C1865&gt;=Options!$B$9,C1865&lt;=Options!$B$10),"Phoenix","")</f>
        <v/>
      </c>
      <c r="B1865" s="5">
        <f>IF(A1865="","",24)</f>
        <v/>
      </c>
      <c r="C1865" s="17" t="n">
        <v>46331</v>
      </c>
      <c r="D1865" s="5">
        <f>IF(A1865="","",IF(C1865=DATE(2026,11,29),"培训；注册午餐；早餐参数",IF(C1865=DATE(2026,11,30),"培训；注册午餐",IF(C1865=DATE(2026,12,1),"培训；注册午餐；机构晚餐",IF(C1865=Options!$B$9,"抵达；"&amp;IF(C1865=DATE(2026,11,28),"机构晚餐","无统一供餐"),IF(C1865=Options!$B$10,"返程；"&amp;IF(C1865=DATE(2026,12,2),"机构午餐","无统一供餐"),"差旅状态；无统一日程"))))))</f>
        <v/>
      </c>
      <c r="E1865" s="13">
        <f>IF(C1865=Options!$B$9,Options!$C$19,0)</f>
        <v/>
      </c>
      <c r="F1865" s="13">
        <f>IF(AND(A1865&lt;&gt;"",C1865&lt;Options!$B$10),B1865*Options!$X$7,0)</f>
        <v/>
      </c>
      <c r="G1865" s="13">
        <f>F1865*12%</f>
        <v/>
      </c>
      <c r="H1865" s="13">
        <f>IF(A1865="",0,B1865*(86*IF(OR(C1865=Options!$B$9,C1865=Options!$B$10),75%,100%)-IF(C1865=DATE(2026,11,29),23+IF(Options!$B$8="是",22,0),0)-IF(C1865=DATE(2026,11,30),23,0)-IF(C1865=DATE(2026,12,1),59,0)-IF(C1865=DATE(2026,11,28),36,0)-IF(C1865=DATE(2026,12,2),23,0)))</f>
        <v/>
      </c>
      <c r="I1865" s="13">
        <f>IF(AND(C1865&gt;=DATE(2026,11,29),C1865&lt;=DATE(2026,12,1)),B1865*60,0)</f>
        <v/>
      </c>
      <c r="J1865" s="13">
        <f>IF(A1865="",0,B1865*(IF(C1865=DATE(2026,11,28),36,0)+IF(C1865=DATE(2026,12,1),36,0)+IF(C1865=DATE(2026,12,2),23,0)))</f>
        <v/>
      </c>
      <c r="K1865" s="13">
        <f>IF(C1865=Options!$B$9,B1865*12,0)</f>
        <v/>
      </c>
      <c r="L1865" s="13">
        <f>IF(C1865=Options!$B$9,B1865*Options!$Z$7,0)</f>
        <v/>
      </c>
      <c r="M1865" s="13" t="n">
        <v>0</v>
      </c>
      <c r="N1865" s="13">
        <f>SUM(E1865:M1865)</f>
        <v/>
      </c>
    </row>
    <row r="1866">
      <c r="A1866" s="5">
        <f>IF(AND(C1866&gt;=Options!$B$9,C1866&lt;=Options!$B$10),"Phoenix","")</f>
        <v/>
      </c>
      <c r="B1866" s="5">
        <f>IF(A1866="","",24)</f>
        <v/>
      </c>
      <c r="C1866" s="17" t="n">
        <v>46332</v>
      </c>
      <c r="D1866" s="5">
        <f>IF(A1866="","",IF(C1866=DATE(2026,11,29),"培训；注册午餐；早餐参数",IF(C1866=DATE(2026,11,30),"培训；注册午餐",IF(C1866=DATE(2026,12,1),"培训；注册午餐；机构晚餐",IF(C1866=Options!$B$9,"抵达；"&amp;IF(C1866=DATE(2026,11,28),"机构晚餐","无统一供餐"),IF(C1866=Options!$B$10,"返程；"&amp;IF(C1866=DATE(2026,12,2),"机构午餐","无统一供餐"),"差旅状态；无统一日程"))))))</f>
        <v/>
      </c>
      <c r="E1866" s="13">
        <f>IF(C1866=Options!$B$9,Options!$C$19,0)</f>
        <v/>
      </c>
      <c r="F1866" s="13">
        <f>IF(AND(A1866&lt;&gt;"",C1866&lt;Options!$B$10),B1866*Options!$X$7,0)</f>
        <v/>
      </c>
      <c r="G1866" s="13">
        <f>F1866*12%</f>
        <v/>
      </c>
      <c r="H1866" s="13">
        <f>IF(A1866="",0,B1866*(86*IF(OR(C1866=Options!$B$9,C1866=Options!$B$10),75%,100%)-IF(C1866=DATE(2026,11,29),23+IF(Options!$B$8="是",22,0),0)-IF(C1866=DATE(2026,11,30),23,0)-IF(C1866=DATE(2026,12,1),59,0)-IF(C1866=DATE(2026,11,28),36,0)-IF(C1866=DATE(2026,12,2),23,0)))</f>
        <v/>
      </c>
      <c r="I1866" s="13">
        <f>IF(AND(C1866&gt;=DATE(2026,11,29),C1866&lt;=DATE(2026,12,1)),B1866*60,0)</f>
        <v/>
      </c>
      <c r="J1866" s="13">
        <f>IF(A1866="",0,B1866*(IF(C1866=DATE(2026,11,28),36,0)+IF(C1866=DATE(2026,12,1),36,0)+IF(C1866=DATE(2026,12,2),23,0)))</f>
        <v/>
      </c>
      <c r="K1866" s="13">
        <f>IF(C1866=Options!$B$9,B1866*12,0)</f>
        <v/>
      </c>
      <c r="L1866" s="13">
        <f>IF(C1866=Options!$B$9,B1866*Options!$Z$7,0)</f>
        <v/>
      </c>
      <c r="M1866" s="13" t="n">
        <v>0</v>
      </c>
      <c r="N1866" s="13">
        <f>SUM(E1866:M1866)</f>
        <v/>
      </c>
    </row>
    <row r="1867">
      <c r="A1867" s="5">
        <f>IF(AND(C1867&gt;=Options!$B$9,C1867&lt;=Options!$B$10),"Phoenix","")</f>
        <v/>
      </c>
      <c r="B1867" s="5">
        <f>IF(A1867="","",24)</f>
        <v/>
      </c>
      <c r="C1867" s="17" t="n">
        <v>46333</v>
      </c>
      <c r="D1867" s="5">
        <f>IF(A1867="","",IF(C1867=DATE(2026,11,29),"培训；注册午餐；早餐参数",IF(C1867=DATE(2026,11,30),"培训；注册午餐",IF(C1867=DATE(2026,12,1),"培训；注册午餐；机构晚餐",IF(C1867=Options!$B$9,"抵达；"&amp;IF(C1867=DATE(2026,11,28),"机构晚餐","无统一供餐"),IF(C1867=Options!$B$10,"返程；"&amp;IF(C1867=DATE(2026,12,2),"机构午餐","无统一供餐"),"差旅状态；无统一日程"))))))</f>
        <v/>
      </c>
      <c r="E1867" s="13">
        <f>IF(C1867=Options!$B$9,Options!$C$19,0)</f>
        <v/>
      </c>
      <c r="F1867" s="13">
        <f>IF(AND(A1867&lt;&gt;"",C1867&lt;Options!$B$10),B1867*Options!$X$7,0)</f>
        <v/>
      </c>
      <c r="G1867" s="13">
        <f>F1867*12%</f>
        <v/>
      </c>
      <c r="H1867" s="13">
        <f>IF(A1867="",0,B1867*(86*IF(OR(C1867=Options!$B$9,C1867=Options!$B$10),75%,100%)-IF(C1867=DATE(2026,11,29),23+IF(Options!$B$8="是",22,0),0)-IF(C1867=DATE(2026,11,30),23,0)-IF(C1867=DATE(2026,12,1),59,0)-IF(C1867=DATE(2026,11,28),36,0)-IF(C1867=DATE(2026,12,2),23,0)))</f>
        <v/>
      </c>
      <c r="I1867" s="13">
        <f>IF(AND(C1867&gt;=DATE(2026,11,29),C1867&lt;=DATE(2026,12,1)),B1867*60,0)</f>
        <v/>
      </c>
      <c r="J1867" s="13">
        <f>IF(A1867="",0,B1867*(IF(C1867=DATE(2026,11,28),36,0)+IF(C1867=DATE(2026,12,1),36,0)+IF(C1867=DATE(2026,12,2),23,0)))</f>
        <v/>
      </c>
      <c r="K1867" s="13">
        <f>IF(C1867=Options!$B$9,B1867*12,0)</f>
        <v/>
      </c>
      <c r="L1867" s="13">
        <f>IF(C1867=Options!$B$9,B1867*Options!$Z$7,0)</f>
        <v/>
      </c>
      <c r="M1867" s="13" t="n">
        <v>0</v>
      </c>
      <c r="N1867" s="13">
        <f>SUM(E1867:M1867)</f>
        <v/>
      </c>
    </row>
    <row r="1868">
      <c r="A1868" s="5">
        <f>IF(AND(C1868&gt;=Options!$B$9,C1868&lt;=Options!$B$10),"Phoenix","")</f>
        <v/>
      </c>
      <c r="B1868" s="5">
        <f>IF(A1868="","",24)</f>
        <v/>
      </c>
      <c r="C1868" s="17" t="n">
        <v>46334</v>
      </c>
      <c r="D1868" s="5">
        <f>IF(A1868="","",IF(C1868=DATE(2026,11,29),"培训；注册午餐；早餐参数",IF(C1868=DATE(2026,11,30),"培训；注册午餐",IF(C1868=DATE(2026,12,1),"培训；注册午餐；机构晚餐",IF(C1868=Options!$B$9,"抵达；"&amp;IF(C1868=DATE(2026,11,28),"机构晚餐","无统一供餐"),IF(C1868=Options!$B$10,"返程；"&amp;IF(C1868=DATE(2026,12,2),"机构午餐","无统一供餐"),"差旅状态；无统一日程"))))))</f>
        <v/>
      </c>
      <c r="E1868" s="13">
        <f>IF(C1868=Options!$B$9,Options!$C$19,0)</f>
        <v/>
      </c>
      <c r="F1868" s="13">
        <f>IF(AND(A1868&lt;&gt;"",C1868&lt;Options!$B$10),B1868*Options!$X$7,0)</f>
        <v/>
      </c>
      <c r="G1868" s="13">
        <f>F1868*12%</f>
        <v/>
      </c>
      <c r="H1868" s="13">
        <f>IF(A1868="",0,B1868*(86*IF(OR(C1868=Options!$B$9,C1868=Options!$B$10),75%,100%)-IF(C1868=DATE(2026,11,29),23+IF(Options!$B$8="是",22,0),0)-IF(C1868=DATE(2026,11,30),23,0)-IF(C1868=DATE(2026,12,1),59,0)-IF(C1868=DATE(2026,11,28),36,0)-IF(C1868=DATE(2026,12,2),23,0)))</f>
        <v/>
      </c>
      <c r="I1868" s="13">
        <f>IF(AND(C1868&gt;=DATE(2026,11,29),C1868&lt;=DATE(2026,12,1)),B1868*60,0)</f>
        <v/>
      </c>
      <c r="J1868" s="13">
        <f>IF(A1868="",0,B1868*(IF(C1868=DATE(2026,11,28),36,0)+IF(C1868=DATE(2026,12,1),36,0)+IF(C1868=DATE(2026,12,2),23,0)))</f>
        <v/>
      </c>
      <c r="K1868" s="13">
        <f>IF(C1868=Options!$B$9,B1868*12,0)</f>
        <v/>
      </c>
      <c r="L1868" s="13">
        <f>IF(C1868=Options!$B$9,B1868*Options!$Z$7,0)</f>
        <v/>
      </c>
      <c r="M1868" s="13" t="n">
        <v>0</v>
      </c>
      <c r="N1868" s="13">
        <f>SUM(E1868:M1868)</f>
        <v/>
      </c>
    </row>
    <row r="1869">
      <c r="A1869" s="5">
        <f>IF(AND(C1869&gt;=Options!$B$9,C1869&lt;=Options!$B$10),"Phoenix","")</f>
        <v/>
      </c>
      <c r="B1869" s="5">
        <f>IF(A1869="","",24)</f>
        <v/>
      </c>
      <c r="C1869" s="17" t="n">
        <v>46335</v>
      </c>
      <c r="D1869" s="5">
        <f>IF(A1869="","",IF(C1869=DATE(2026,11,29),"培训；注册午餐；早餐参数",IF(C1869=DATE(2026,11,30),"培训；注册午餐",IF(C1869=DATE(2026,12,1),"培训；注册午餐；机构晚餐",IF(C1869=Options!$B$9,"抵达；"&amp;IF(C1869=DATE(2026,11,28),"机构晚餐","无统一供餐"),IF(C1869=Options!$B$10,"返程；"&amp;IF(C1869=DATE(2026,12,2),"机构午餐","无统一供餐"),"差旅状态；无统一日程"))))))</f>
        <v/>
      </c>
      <c r="E1869" s="13">
        <f>IF(C1869=Options!$B$9,Options!$C$19,0)</f>
        <v/>
      </c>
      <c r="F1869" s="13">
        <f>IF(AND(A1869&lt;&gt;"",C1869&lt;Options!$B$10),B1869*Options!$X$7,0)</f>
        <v/>
      </c>
      <c r="G1869" s="13">
        <f>F1869*12%</f>
        <v/>
      </c>
      <c r="H1869" s="13">
        <f>IF(A1869="",0,B1869*(86*IF(OR(C1869=Options!$B$9,C1869=Options!$B$10),75%,100%)-IF(C1869=DATE(2026,11,29),23+IF(Options!$B$8="是",22,0),0)-IF(C1869=DATE(2026,11,30),23,0)-IF(C1869=DATE(2026,12,1),59,0)-IF(C1869=DATE(2026,11,28),36,0)-IF(C1869=DATE(2026,12,2),23,0)))</f>
        <v/>
      </c>
      <c r="I1869" s="13">
        <f>IF(AND(C1869&gt;=DATE(2026,11,29),C1869&lt;=DATE(2026,12,1)),B1869*60,0)</f>
        <v/>
      </c>
      <c r="J1869" s="13">
        <f>IF(A1869="",0,B1869*(IF(C1869=DATE(2026,11,28),36,0)+IF(C1869=DATE(2026,12,1),36,0)+IF(C1869=DATE(2026,12,2),23,0)))</f>
        <v/>
      </c>
      <c r="K1869" s="13">
        <f>IF(C1869=Options!$B$9,B1869*12,0)</f>
        <v/>
      </c>
      <c r="L1869" s="13">
        <f>IF(C1869=Options!$B$9,B1869*Options!$Z$7,0)</f>
        <v/>
      </c>
      <c r="M1869" s="13" t="n">
        <v>0</v>
      </c>
      <c r="N1869" s="13">
        <f>SUM(E1869:M1869)</f>
        <v/>
      </c>
    </row>
    <row r="1870">
      <c r="A1870" s="5">
        <f>IF(AND(C1870&gt;=Options!$B$9,C1870&lt;=Options!$B$10),"Phoenix","")</f>
        <v/>
      </c>
      <c r="B1870" s="5">
        <f>IF(A1870="","",24)</f>
        <v/>
      </c>
      <c r="C1870" s="17" t="n">
        <v>46336</v>
      </c>
      <c r="D1870" s="5">
        <f>IF(A1870="","",IF(C1870=DATE(2026,11,29),"培训；注册午餐；早餐参数",IF(C1870=DATE(2026,11,30),"培训；注册午餐",IF(C1870=DATE(2026,12,1),"培训；注册午餐；机构晚餐",IF(C1870=Options!$B$9,"抵达；"&amp;IF(C1870=DATE(2026,11,28),"机构晚餐","无统一供餐"),IF(C1870=Options!$B$10,"返程；"&amp;IF(C1870=DATE(2026,12,2),"机构午餐","无统一供餐"),"差旅状态；无统一日程"))))))</f>
        <v/>
      </c>
      <c r="E1870" s="13">
        <f>IF(C1870=Options!$B$9,Options!$C$19,0)</f>
        <v/>
      </c>
      <c r="F1870" s="13">
        <f>IF(AND(A1870&lt;&gt;"",C1870&lt;Options!$B$10),B1870*Options!$X$7,0)</f>
        <v/>
      </c>
      <c r="G1870" s="13">
        <f>F1870*12%</f>
        <v/>
      </c>
      <c r="H1870" s="13">
        <f>IF(A1870="",0,B1870*(86*IF(OR(C1870=Options!$B$9,C1870=Options!$B$10),75%,100%)-IF(C1870=DATE(2026,11,29),23+IF(Options!$B$8="是",22,0),0)-IF(C1870=DATE(2026,11,30),23,0)-IF(C1870=DATE(2026,12,1),59,0)-IF(C1870=DATE(2026,11,28),36,0)-IF(C1870=DATE(2026,12,2),23,0)))</f>
        <v/>
      </c>
      <c r="I1870" s="13">
        <f>IF(AND(C1870&gt;=DATE(2026,11,29),C1870&lt;=DATE(2026,12,1)),B1870*60,0)</f>
        <v/>
      </c>
      <c r="J1870" s="13">
        <f>IF(A1870="",0,B1870*(IF(C1870=DATE(2026,11,28),36,0)+IF(C1870=DATE(2026,12,1),36,0)+IF(C1870=DATE(2026,12,2),23,0)))</f>
        <v/>
      </c>
      <c r="K1870" s="13">
        <f>IF(C1870=Options!$B$9,B1870*12,0)</f>
        <v/>
      </c>
      <c r="L1870" s="13">
        <f>IF(C1870=Options!$B$9,B1870*Options!$Z$7,0)</f>
        <v/>
      </c>
      <c r="M1870" s="13" t="n">
        <v>0</v>
      </c>
      <c r="N1870" s="13">
        <f>SUM(E1870:M1870)</f>
        <v/>
      </c>
    </row>
    <row r="1871">
      <c r="A1871" s="5">
        <f>IF(AND(C1871&gt;=Options!$B$9,C1871&lt;=Options!$B$10),"Phoenix","")</f>
        <v/>
      </c>
      <c r="B1871" s="5">
        <f>IF(A1871="","",24)</f>
        <v/>
      </c>
      <c r="C1871" s="17" t="n">
        <v>46337</v>
      </c>
      <c r="D1871" s="5">
        <f>IF(A1871="","",IF(C1871=DATE(2026,11,29),"培训；注册午餐；早餐参数",IF(C1871=DATE(2026,11,30),"培训；注册午餐",IF(C1871=DATE(2026,12,1),"培训；注册午餐；机构晚餐",IF(C1871=Options!$B$9,"抵达；"&amp;IF(C1871=DATE(2026,11,28),"机构晚餐","无统一供餐"),IF(C1871=Options!$B$10,"返程；"&amp;IF(C1871=DATE(2026,12,2),"机构午餐","无统一供餐"),"差旅状态；无统一日程"))))))</f>
        <v/>
      </c>
      <c r="E1871" s="13">
        <f>IF(C1871=Options!$B$9,Options!$C$19,0)</f>
        <v/>
      </c>
      <c r="F1871" s="13">
        <f>IF(AND(A1871&lt;&gt;"",C1871&lt;Options!$B$10),B1871*Options!$X$7,0)</f>
        <v/>
      </c>
      <c r="G1871" s="13">
        <f>F1871*12%</f>
        <v/>
      </c>
      <c r="H1871" s="13">
        <f>IF(A1871="",0,B1871*(86*IF(OR(C1871=Options!$B$9,C1871=Options!$B$10),75%,100%)-IF(C1871=DATE(2026,11,29),23+IF(Options!$B$8="是",22,0),0)-IF(C1871=DATE(2026,11,30),23,0)-IF(C1871=DATE(2026,12,1),59,0)-IF(C1871=DATE(2026,11,28),36,0)-IF(C1871=DATE(2026,12,2),23,0)))</f>
        <v/>
      </c>
      <c r="I1871" s="13">
        <f>IF(AND(C1871&gt;=DATE(2026,11,29),C1871&lt;=DATE(2026,12,1)),B1871*60,0)</f>
        <v/>
      </c>
      <c r="J1871" s="13">
        <f>IF(A1871="",0,B1871*(IF(C1871=DATE(2026,11,28),36,0)+IF(C1871=DATE(2026,12,1),36,0)+IF(C1871=DATE(2026,12,2),23,0)))</f>
        <v/>
      </c>
      <c r="K1871" s="13">
        <f>IF(C1871=Options!$B$9,B1871*12,0)</f>
        <v/>
      </c>
      <c r="L1871" s="13">
        <f>IF(C1871=Options!$B$9,B1871*Options!$Z$7,0)</f>
        <v/>
      </c>
      <c r="M1871" s="13" t="n">
        <v>0</v>
      </c>
      <c r="N1871" s="13">
        <f>SUM(E1871:M1871)</f>
        <v/>
      </c>
    </row>
    <row r="1872">
      <c r="A1872" s="5">
        <f>IF(AND(C1872&gt;=Options!$B$9,C1872&lt;=Options!$B$10),"Phoenix","")</f>
        <v/>
      </c>
      <c r="B1872" s="5">
        <f>IF(A1872="","",24)</f>
        <v/>
      </c>
      <c r="C1872" s="17" t="n">
        <v>46338</v>
      </c>
      <c r="D1872" s="5">
        <f>IF(A1872="","",IF(C1872=DATE(2026,11,29),"培训；注册午餐；早餐参数",IF(C1872=DATE(2026,11,30),"培训；注册午餐",IF(C1872=DATE(2026,12,1),"培训；注册午餐；机构晚餐",IF(C1872=Options!$B$9,"抵达；"&amp;IF(C1872=DATE(2026,11,28),"机构晚餐","无统一供餐"),IF(C1872=Options!$B$10,"返程；"&amp;IF(C1872=DATE(2026,12,2),"机构午餐","无统一供餐"),"差旅状态；无统一日程"))))))</f>
        <v/>
      </c>
      <c r="E1872" s="13">
        <f>IF(C1872=Options!$B$9,Options!$C$19,0)</f>
        <v/>
      </c>
      <c r="F1872" s="13">
        <f>IF(AND(A1872&lt;&gt;"",C1872&lt;Options!$B$10),B1872*Options!$X$7,0)</f>
        <v/>
      </c>
      <c r="G1872" s="13">
        <f>F1872*12%</f>
        <v/>
      </c>
      <c r="H1872" s="13">
        <f>IF(A1872="",0,B1872*(86*IF(OR(C1872=Options!$B$9,C1872=Options!$B$10),75%,100%)-IF(C1872=DATE(2026,11,29),23+IF(Options!$B$8="是",22,0),0)-IF(C1872=DATE(2026,11,30),23,0)-IF(C1872=DATE(2026,12,1),59,0)-IF(C1872=DATE(2026,11,28),36,0)-IF(C1872=DATE(2026,12,2),23,0)))</f>
        <v/>
      </c>
      <c r="I1872" s="13">
        <f>IF(AND(C1872&gt;=DATE(2026,11,29),C1872&lt;=DATE(2026,12,1)),B1872*60,0)</f>
        <v/>
      </c>
      <c r="J1872" s="13">
        <f>IF(A1872="",0,B1872*(IF(C1872=DATE(2026,11,28),36,0)+IF(C1872=DATE(2026,12,1),36,0)+IF(C1872=DATE(2026,12,2),23,0)))</f>
        <v/>
      </c>
      <c r="K1872" s="13">
        <f>IF(C1872=Options!$B$9,B1872*12,0)</f>
        <v/>
      </c>
      <c r="L1872" s="13">
        <f>IF(C1872=Options!$B$9,B1872*Options!$Z$7,0)</f>
        <v/>
      </c>
      <c r="M1872" s="13" t="n">
        <v>0</v>
      </c>
      <c r="N1872" s="13">
        <f>SUM(E1872:M1872)</f>
        <v/>
      </c>
    </row>
    <row r="1873">
      <c r="A1873" s="5">
        <f>IF(AND(C1873&gt;=Options!$B$9,C1873&lt;=Options!$B$10),"Phoenix","")</f>
        <v/>
      </c>
      <c r="B1873" s="5">
        <f>IF(A1873="","",24)</f>
        <v/>
      </c>
      <c r="C1873" s="17" t="n">
        <v>46339</v>
      </c>
      <c r="D1873" s="5">
        <f>IF(A1873="","",IF(C1873=DATE(2026,11,29),"培训；注册午餐；早餐参数",IF(C1873=DATE(2026,11,30),"培训；注册午餐",IF(C1873=DATE(2026,12,1),"培训；注册午餐；机构晚餐",IF(C1873=Options!$B$9,"抵达；"&amp;IF(C1873=DATE(2026,11,28),"机构晚餐","无统一供餐"),IF(C1873=Options!$B$10,"返程；"&amp;IF(C1873=DATE(2026,12,2),"机构午餐","无统一供餐"),"差旅状态；无统一日程"))))))</f>
        <v/>
      </c>
      <c r="E1873" s="13">
        <f>IF(C1873=Options!$B$9,Options!$C$19,0)</f>
        <v/>
      </c>
      <c r="F1873" s="13">
        <f>IF(AND(A1873&lt;&gt;"",C1873&lt;Options!$B$10),B1873*Options!$X$7,0)</f>
        <v/>
      </c>
      <c r="G1873" s="13">
        <f>F1873*12%</f>
        <v/>
      </c>
      <c r="H1873" s="13">
        <f>IF(A1873="",0,B1873*(86*IF(OR(C1873=Options!$B$9,C1873=Options!$B$10),75%,100%)-IF(C1873=DATE(2026,11,29),23+IF(Options!$B$8="是",22,0),0)-IF(C1873=DATE(2026,11,30),23,0)-IF(C1873=DATE(2026,12,1),59,0)-IF(C1873=DATE(2026,11,28),36,0)-IF(C1873=DATE(2026,12,2),23,0)))</f>
        <v/>
      </c>
      <c r="I1873" s="13">
        <f>IF(AND(C1873&gt;=DATE(2026,11,29),C1873&lt;=DATE(2026,12,1)),B1873*60,0)</f>
        <v/>
      </c>
      <c r="J1873" s="13">
        <f>IF(A1873="",0,B1873*(IF(C1873=DATE(2026,11,28),36,0)+IF(C1873=DATE(2026,12,1),36,0)+IF(C1873=DATE(2026,12,2),23,0)))</f>
        <v/>
      </c>
      <c r="K1873" s="13">
        <f>IF(C1873=Options!$B$9,B1873*12,0)</f>
        <v/>
      </c>
      <c r="L1873" s="13">
        <f>IF(C1873=Options!$B$9,B1873*Options!$Z$7,0)</f>
        <v/>
      </c>
      <c r="M1873" s="13" t="n">
        <v>0</v>
      </c>
      <c r="N1873" s="13">
        <f>SUM(E1873:M1873)</f>
        <v/>
      </c>
    </row>
    <row r="1874">
      <c r="A1874" s="5">
        <f>IF(AND(C1874&gt;=Options!$B$9,C1874&lt;=Options!$B$10),"Phoenix","")</f>
        <v/>
      </c>
      <c r="B1874" s="5">
        <f>IF(A1874="","",24)</f>
        <v/>
      </c>
      <c r="C1874" s="17" t="n">
        <v>46340</v>
      </c>
      <c r="D1874" s="5">
        <f>IF(A1874="","",IF(C1874=DATE(2026,11,29),"培训；注册午餐；早餐参数",IF(C1874=DATE(2026,11,30),"培训；注册午餐",IF(C1874=DATE(2026,12,1),"培训；注册午餐；机构晚餐",IF(C1874=Options!$B$9,"抵达；"&amp;IF(C1874=DATE(2026,11,28),"机构晚餐","无统一供餐"),IF(C1874=Options!$B$10,"返程；"&amp;IF(C1874=DATE(2026,12,2),"机构午餐","无统一供餐"),"差旅状态；无统一日程"))))))</f>
        <v/>
      </c>
      <c r="E1874" s="13">
        <f>IF(C1874=Options!$B$9,Options!$C$19,0)</f>
        <v/>
      </c>
      <c r="F1874" s="13">
        <f>IF(AND(A1874&lt;&gt;"",C1874&lt;Options!$B$10),B1874*Options!$X$7,0)</f>
        <v/>
      </c>
      <c r="G1874" s="13">
        <f>F1874*12%</f>
        <v/>
      </c>
      <c r="H1874" s="13">
        <f>IF(A1874="",0,B1874*(86*IF(OR(C1874=Options!$B$9,C1874=Options!$B$10),75%,100%)-IF(C1874=DATE(2026,11,29),23+IF(Options!$B$8="是",22,0),0)-IF(C1874=DATE(2026,11,30),23,0)-IF(C1874=DATE(2026,12,1),59,0)-IF(C1874=DATE(2026,11,28),36,0)-IF(C1874=DATE(2026,12,2),23,0)))</f>
        <v/>
      </c>
      <c r="I1874" s="13">
        <f>IF(AND(C1874&gt;=DATE(2026,11,29),C1874&lt;=DATE(2026,12,1)),B1874*60,0)</f>
        <v/>
      </c>
      <c r="J1874" s="13">
        <f>IF(A1874="",0,B1874*(IF(C1874=DATE(2026,11,28),36,0)+IF(C1874=DATE(2026,12,1),36,0)+IF(C1874=DATE(2026,12,2),23,0)))</f>
        <v/>
      </c>
      <c r="K1874" s="13">
        <f>IF(C1874=Options!$B$9,B1874*12,0)</f>
        <v/>
      </c>
      <c r="L1874" s="13">
        <f>IF(C1874=Options!$B$9,B1874*Options!$Z$7,0)</f>
        <v/>
      </c>
      <c r="M1874" s="13" t="n">
        <v>0</v>
      </c>
      <c r="N1874" s="13">
        <f>SUM(E1874:M1874)</f>
        <v/>
      </c>
    </row>
    <row r="1875">
      <c r="A1875" s="5">
        <f>IF(AND(C1875&gt;=Options!$B$9,C1875&lt;=Options!$B$10),"Phoenix","")</f>
        <v/>
      </c>
      <c r="B1875" s="5">
        <f>IF(A1875="","",24)</f>
        <v/>
      </c>
      <c r="C1875" s="17" t="n">
        <v>46341</v>
      </c>
      <c r="D1875" s="5">
        <f>IF(A1875="","",IF(C1875=DATE(2026,11,29),"培训；注册午餐；早餐参数",IF(C1875=DATE(2026,11,30),"培训；注册午餐",IF(C1875=DATE(2026,12,1),"培训；注册午餐；机构晚餐",IF(C1875=Options!$B$9,"抵达；"&amp;IF(C1875=DATE(2026,11,28),"机构晚餐","无统一供餐"),IF(C1875=Options!$B$10,"返程；"&amp;IF(C1875=DATE(2026,12,2),"机构午餐","无统一供餐"),"差旅状态；无统一日程"))))))</f>
        <v/>
      </c>
      <c r="E1875" s="13">
        <f>IF(C1875=Options!$B$9,Options!$C$19,0)</f>
        <v/>
      </c>
      <c r="F1875" s="13">
        <f>IF(AND(A1875&lt;&gt;"",C1875&lt;Options!$B$10),B1875*Options!$X$7,0)</f>
        <v/>
      </c>
      <c r="G1875" s="13">
        <f>F1875*12%</f>
        <v/>
      </c>
      <c r="H1875" s="13">
        <f>IF(A1875="",0,B1875*(86*IF(OR(C1875=Options!$B$9,C1875=Options!$B$10),75%,100%)-IF(C1875=DATE(2026,11,29),23+IF(Options!$B$8="是",22,0),0)-IF(C1875=DATE(2026,11,30),23,0)-IF(C1875=DATE(2026,12,1),59,0)-IF(C1875=DATE(2026,11,28),36,0)-IF(C1875=DATE(2026,12,2),23,0)))</f>
        <v/>
      </c>
      <c r="I1875" s="13">
        <f>IF(AND(C1875&gt;=DATE(2026,11,29),C1875&lt;=DATE(2026,12,1)),B1875*60,0)</f>
        <v/>
      </c>
      <c r="J1875" s="13">
        <f>IF(A1875="",0,B1875*(IF(C1875=DATE(2026,11,28),36,0)+IF(C1875=DATE(2026,12,1),36,0)+IF(C1875=DATE(2026,12,2),23,0)))</f>
        <v/>
      </c>
      <c r="K1875" s="13">
        <f>IF(C1875=Options!$B$9,B1875*12,0)</f>
        <v/>
      </c>
      <c r="L1875" s="13">
        <f>IF(C1875=Options!$B$9,B1875*Options!$Z$7,0)</f>
        <v/>
      </c>
      <c r="M1875" s="13" t="n">
        <v>0</v>
      </c>
      <c r="N1875" s="13">
        <f>SUM(E1875:M1875)</f>
        <v/>
      </c>
    </row>
    <row r="1876">
      <c r="A1876" s="5">
        <f>IF(AND(C1876&gt;=Options!$B$9,C1876&lt;=Options!$B$10),"Phoenix","")</f>
        <v/>
      </c>
      <c r="B1876" s="5">
        <f>IF(A1876="","",24)</f>
        <v/>
      </c>
      <c r="C1876" s="17" t="n">
        <v>46342</v>
      </c>
      <c r="D1876" s="5">
        <f>IF(A1876="","",IF(C1876=DATE(2026,11,29),"培训；注册午餐；早餐参数",IF(C1876=DATE(2026,11,30),"培训；注册午餐",IF(C1876=DATE(2026,12,1),"培训；注册午餐；机构晚餐",IF(C1876=Options!$B$9,"抵达；"&amp;IF(C1876=DATE(2026,11,28),"机构晚餐","无统一供餐"),IF(C1876=Options!$B$10,"返程；"&amp;IF(C1876=DATE(2026,12,2),"机构午餐","无统一供餐"),"差旅状态；无统一日程"))))))</f>
        <v/>
      </c>
      <c r="E1876" s="13">
        <f>IF(C1876=Options!$B$9,Options!$C$19,0)</f>
        <v/>
      </c>
      <c r="F1876" s="13">
        <f>IF(AND(A1876&lt;&gt;"",C1876&lt;Options!$B$10),B1876*Options!$X$7,0)</f>
        <v/>
      </c>
      <c r="G1876" s="13">
        <f>F1876*12%</f>
        <v/>
      </c>
      <c r="H1876" s="13">
        <f>IF(A1876="",0,B1876*(86*IF(OR(C1876=Options!$B$9,C1876=Options!$B$10),75%,100%)-IF(C1876=DATE(2026,11,29),23+IF(Options!$B$8="是",22,0),0)-IF(C1876=DATE(2026,11,30),23,0)-IF(C1876=DATE(2026,12,1),59,0)-IF(C1876=DATE(2026,11,28),36,0)-IF(C1876=DATE(2026,12,2),23,0)))</f>
        <v/>
      </c>
      <c r="I1876" s="13">
        <f>IF(AND(C1876&gt;=DATE(2026,11,29),C1876&lt;=DATE(2026,12,1)),B1876*60,0)</f>
        <v/>
      </c>
      <c r="J1876" s="13">
        <f>IF(A1876="",0,B1876*(IF(C1876=DATE(2026,11,28),36,0)+IF(C1876=DATE(2026,12,1),36,0)+IF(C1876=DATE(2026,12,2),23,0)))</f>
        <v/>
      </c>
      <c r="K1876" s="13">
        <f>IF(C1876=Options!$B$9,B1876*12,0)</f>
        <v/>
      </c>
      <c r="L1876" s="13">
        <f>IF(C1876=Options!$B$9,B1876*Options!$Z$7,0)</f>
        <v/>
      </c>
      <c r="M1876" s="13" t="n">
        <v>0</v>
      </c>
      <c r="N1876" s="13">
        <f>SUM(E1876:M1876)</f>
        <v/>
      </c>
    </row>
    <row r="1877">
      <c r="A1877" s="5">
        <f>IF(AND(C1877&gt;=Options!$B$9,C1877&lt;=Options!$B$10),"Phoenix","")</f>
        <v/>
      </c>
      <c r="B1877" s="5">
        <f>IF(A1877="","",24)</f>
        <v/>
      </c>
      <c r="C1877" s="17" t="n">
        <v>46343</v>
      </c>
      <c r="D1877" s="5">
        <f>IF(A1877="","",IF(C1877=DATE(2026,11,29),"培训；注册午餐；早餐参数",IF(C1877=DATE(2026,11,30),"培训；注册午餐",IF(C1877=DATE(2026,12,1),"培训；注册午餐；机构晚餐",IF(C1877=Options!$B$9,"抵达；"&amp;IF(C1877=DATE(2026,11,28),"机构晚餐","无统一供餐"),IF(C1877=Options!$B$10,"返程；"&amp;IF(C1877=DATE(2026,12,2),"机构午餐","无统一供餐"),"差旅状态；无统一日程"))))))</f>
        <v/>
      </c>
      <c r="E1877" s="13">
        <f>IF(C1877=Options!$B$9,Options!$C$19,0)</f>
        <v/>
      </c>
      <c r="F1877" s="13">
        <f>IF(AND(A1877&lt;&gt;"",C1877&lt;Options!$B$10),B1877*Options!$X$7,0)</f>
        <v/>
      </c>
      <c r="G1877" s="13">
        <f>F1877*12%</f>
        <v/>
      </c>
      <c r="H1877" s="13">
        <f>IF(A1877="",0,B1877*(86*IF(OR(C1877=Options!$B$9,C1877=Options!$B$10),75%,100%)-IF(C1877=DATE(2026,11,29),23+IF(Options!$B$8="是",22,0),0)-IF(C1877=DATE(2026,11,30),23,0)-IF(C1877=DATE(2026,12,1),59,0)-IF(C1877=DATE(2026,11,28),36,0)-IF(C1877=DATE(2026,12,2),23,0)))</f>
        <v/>
      </c>
      <c r="I1877" s="13">
        <f>IF(AND(C1877&gt;=DATE(2026,11,29),C1877&lt;=DATE(2026,12,1)),B1877*60,0)</f>
        <v/>
      </c>
      <c r="J1877" s="13">
        <f>IF(A1877="",0,B1877*(IF(C1877=DATE(2026,11,28),36,0)+IF(C1877=DATE(2026,12,1),36,0)+IF(C1877=DATE(2026,12,2),23,0)))</f>
        <v/>
      </c>
      <c r="K1877" s="13">
        <f>IF(C1877=Options!$B$9,B1877*12,0)</f>
        <v/>
      </c>
      <c r="L1877" s="13">
        <f>IF(C1877=Options!$B$9,B1877*Options!$Z$7,0)</f>
        <v/>
      </c>
      <c r="M1877" s="13" t="n">
        <v>0</v>
      </c>
      <c r="N1877" s="13">
        <f>SUM(E1877:M1877)</f>
        <v/>
      </c>
    </row>
    <row r="1878">
      <c r="A1878" s="5">
        <f>IF(AND(C1878&gt;=Options!$B$9,C1878&lt;=Options!$B$10),"Phoenix","")</f>
        <v/>
      </c>
      <c r="B1878" s="5">
        <f>IF(A1878="","",24)</f>
        <v/>
      </c>
      <c r="C1878" s="17" t="n">
        <v>46344</v>
      </c>
      <c r="D1878" s="5">
        <f>IF(A1878="","",IF(C1878=DATE(2026,11,29),"培训；注册午餐；早餐参数",IF(C1878=DATE(2026,11,30),"培训；注册午餐",IF(C1878=DATE(2026,12,1),"培训；注册午餐；机构晚餐",IF(C1878=Options!$B$9,"抵达；"&amp;IF(C1878=DATE(2026,11,28),"机构晚餐","无统一供餐"),IF(C1878=Options!$B$10,"返程；"&amp;IF(C1878=DATE(2026,12,2),"机构午餐","无统一供餐"),"差旅状态；无统一日程"))))))</f>
        <v/>
      </c>
      <c r="E1878" s="13">
        <f>IF(C1878=Options!$B$9,Options!$C$19,0)</f>
        <v/>
      </c>
      <c r="F1878" s="13">
        <f>IF(AND(A1878&lt;&gt;"",C1878&lt;Options!$B$10),B1878*Options!$X$7,0)</f>
        <v/>
      </c>
      <c r="G1878" s="13">
        <f>F1878*12%</f>
        <v/>
      </c>
      <c r="H1878" s="13">
        <f>IF(A1878="",0,B1878*(86*IF(OR(C1878=Options!$B$9,C1878=Options!$B$10),75%,100%)-IF(C1878=DATE(2026,11,29),23+IF(Options!$B$8="是",22,0),0)-IF(C1878=DATE(2026,11,30),23,0)-IF(C1878=DATE(2026,12,1),59,0)-IF(C1878=DATE(2026,11,28),36,0)-IF(C1878=DATE(2026,12,2),23,0)))</f>
        <v/>
      </c>
      <c r="I1878" s="13">
        <f>IF(AND(C1878&gt;=DATE(2026,11,29),C1878&lt;=DATE(2026,12,1)),B1878*60,0)</f>
        <v/>
      </c>
      <c r="J1878" s="13">
        <f>IF(A1878="",0,B1878*(IF(C1878=DATE(2026,11,28),36,0)+IF(C1878=DATE(2026,12,1),36,0)+IF(C1878=DATE(2026,12,2),23,0)))</f>
        <v/>
      </c>
      <c r="K1878" s="13">
        <f>IF(C1878=Options!$B$9,B1878*12,0)</f>
        <v/>
      </c>
      <c r="L1878" s="13">
        <f>IF(C1878=Options!$B$9,B1878*Options!$Z$7,0)</f>
        <v/>
      </c>
      <c r="M1878" s="13" t="n">
        <v>0</v>
      </c>
      <c r="N1878" s="13">
        <f>SUM(E1878:M1878)</f>
        <v/>
      </c>
    </row>
    <row r="1879">
      <c r="A1879" s="5">
        <f>IF(AND(C1879&gt;=Options!$B$9,C1879&lt;=Options!$B$10),"Phoenix","")</f>
        <v/>
      </c>
      <c r="B1879" s="5">
        <f>IF(A1879="","",24)</f>
        <v/>
      </c>
      <c r="C1879" s="17" t="n">
        <v>46345</v>
      </c>
      <c r="D1879" s="5">
        <f>IF(A1879="","",IF(C1879=DATE(2026,11,29),"培训；注册午餐；早餐参数",IF(C1879=DATE(2026,11,30),"培训；注册午餐",IF(C1879=DATE(2026,12,1),"培训；注册午餐；机构晚餐",IF(C1879=Options!$B$9,"抵达；"&amp;IF(C1879=DATE(2026,11,28),"机构晚餐","无统一供餐"),IF(C1879=Options!$B$10,"返程；"&amp;IF(C1879=DATE(2026,12,2),"机构午餐","无统一供餐"),"差旅状态；无统一日程"))))))</f>
        <v/>
      </c>
      <c r="E1879" s="13">
        <f>IF(C1879=Options!$B$9,Options!$C$19,0)</f>
        <v/>
      </c>
      <c r="F1879" s="13">
        <f>IF(AND(A1879&lt;&gt;"",C1879&lt;Options!$B$10),B1879*Options!$X$7,0)</f>
        <v/>
      </c>
      <c r="G1879" s="13">
        <f>F1879*12%</f>
        <v/>
      </c>
      <c r="H1879" s="13">
        <f>IF(A1879="",0,B1879*(86*IF(OR(C1879=Options!$B$9,C1879=Options!$B$10),75%,100%)-IF(C1879=DATE(2026,11,29),23+IF(Options!$B$8="是",22,0),0)-IF(C1879=DATE(2026,11,30),23,0)-IF(C1879=DATE(2026,12,1),59,0)-IF(C1879=DATE(2026,11,28),36,0)-IF(C1879=DATE(2026,12,2),23,0)))</f>
        <v/>
      </c>
      <c r="I1879" s="13">
        <f>IF(AND(C1879&gt;=DATE(2026,11,29),C1879&lt;=DATE(2026,12,1)),B1879*60,0)</f>
        <v/>
      </c>
      <c r="J1879" s="13">
        <f>IF(A1879="",0,B1879*(IF(C1879=DATE(2026,11,28),36,0)+IF(C1879=DATE(2026,12,1),36,0)+IF(C1879=DATE(2026,12,2),23,0)))</f>
        <v/>
      </c>
      <c r="K1879" s="13">
        <f>IF(C1879=Options!$B$9,B1879*12,0)</f>
        <v/>
      </c>
      <c r="L1879" s="13">
        <f>IF(C1879=Options!$B$9,B1879*Options!$Z$7,0)</f>
        <v/>
      </c>
      <c r="M1879" s="13" t="n">
        <v>0</v>
      </c>
      <c r="N1879" s="13">
        <f>SUM(E1879:M1879)</f>
        <v/>
      </c>
    </row>
    <row r="1880">
      <c r="A1880" s="5">
        <f>IF(AND(C1880&gt;=Options!$B$9,C1880&lt;=Options!$B$10),"Phoenix","")</f>
        <v/>
      </c>
      <c r="B1880" s="5">
        <f>IF(A1880="","",24)</f>
        <v/>
      </c>
      <c r="C1880" s="17" t="n">
        <v>46346</v>
      </c>
      <c r="D1880" s="5">
        <f>IF(A1880="","",IF(C1880=DATE(2026,11,29),"培训；注册午餐；早餐参数",IF(C1880=DATE(2026,11,30),"培训；注册午餐",IF(C1880=DATE(2026,12,1),"培训；注册午餐；机构晚餐",IF(C1880=Options!$B$9,"抵达；"&amp;IF(C1880=DATE(2026,11,28),"机构晚餐","无统一供餐"),IF(C1880=Options!$B$10,"返程；"&amp;IF(C1880=DATE(2026,12,2),"机构午餐","无统一供餐"),"差旅状态；无统一日程"))))))</f>
        <v/>
      </c>
      <c r="E1880" s="13">
        <f>IF(C1880=Options!$B$9,Options!$C$19,0)</f>
        <v/>
      </c>
      <c r="F1880" s="13">
        <f>IF(AND(A1880&lt;&gt;"",C1880&lt;Options!$B$10),B1880*Options!$X$7,0)</f>
        <v/>
      </c>
      <c r="G1880" s="13">
        <f>F1880*12%</f>
        <v/>
      </c>
      <c r="H1880" s="13">
        <f>IF(A1880="",0,B1880*(86*IF(OR(C1880=Options!$B$9,C1880=Options!$B$10),75%,100%)-IF(C1880=DATE(2026,11,29),23+IF(Options!$B$8="是",22,0),0)-IF(C1880=DATE(2026,11,30),23,0)-IF(C1880=DATE(2026,12,1),59,0)-IF(C1880=DATE(2026,11,28),36,0)-IF(C1880=DATE(2026,12,2),23,0)))</f>
        <v/>
      </c>
      <c r="I1880" s="13">
        <f>IF(AND(C1880&gt;=DATE(2026,11,29),C1880&lt;=DATE(2026,12,1)),B1880*60,0)</f>
        <v/>
      </c>
      <c r="J1880" s="13">
        <f>IF(A1880="",0,B1880*(IF(C1880=DATE(2026,11,28),36,0)+IF(C1880=DATE(2026,12,1),36,0)+IF(C1880=DATE(2026,12,2),23,0)))</f>
        <v/>
      </c>
      <c r="K1880" s="13">
        <f>IF(C1880=Options!$B$9,B1880*12,0)</f>
        <v/>
      </c>
      <c r="L1880" s="13">
        <f>IF(C1880=Options!$B$9,B1880*Options!$Z$7,0)</f>
        <v/>
      </c>
      <c r="M1880" s="13" t="n">
        <v>0</v>
      </c>
      <c r="N1880" s="13">
        <f>SUM(E1880:M1880)</f>
        <v/>
      </c>
    </row>
    <row r="1881">
      <c r="A1881" s="5">
        <f>IF(AND(C1881&gt;=Options!$B$9,C1881&lt;=Options!$B$10),"Phoenix","")</f>
        <v/>
      </c>
      <c r="B1881" s="5">
        <f>IF(A1881="","",24)</f>
        <v/>
      </c>
      <c r="C1881" s="17" t="n">
        <v>46347</v>
      </c>
      <c r="D1881" s="5">
        <f>IF(A1881="","",IF(C1881=DATE(2026,11,29),"培训；注册午餐；早餐参数",IF(C1881=DATE(2026,11,30),"培训；注册午餐",IF(C1881=DATE(2026,12,1),"培训；注册午餐；机构晚餐",IF(C1881=Options!$B$9,"抵达；"&amp;IF(C1881=DATE(2026,11,28),"机构晚餐","无统一供餐"),IF(C1881=Options!$B$10,"返程；"&amp;IF(C1881=DATE(2026,12,2),"机构午餐","无统一供餐"),"差旅状态；无统一日程"))))))</f>
        <v/>
      </c>
      <c r="E1881" s="13">
        <f>IF(C1881=Options!$B$9,Options!$C$19,0)</f>
        <v/>
      </c>
      <c r="F1881" s="13">
        <f>IF(AND(A1881&lt;&gt;"",C1881&lt;Options!$B$10),B1881*Options!$X$7,0)</f>
        <v/>
      </c>
      <c r="G1881" s="13">
        <f>F1881*12%</f>
        <v/>
      </c>
      <c r="H1881" s="13">
        <f>IF(A1881="",0,B1881*(86*IF(OR(C1881=Options!$B$9,C1881=Options!$B$10),75%,100%)-IF(C1881=DATE(2026,11,29),23+IF(Options!$B$8="是",22,0),0)-IF(C1881=DATE(2026,11,30),23,0)-IF(C1881=DATE(2026,12,1),59,0)-IF(C1881=DATE(2026,11,28),36,0)-IF(C1881=DATE(2026,12,2),23,0)))</f>
        <v/>
      </c>
      <c r="I1881" s="13">
        <f>IF(AND(C1881&gt;=DATE(2026,11,29),C1881&lt;=DATE(2026,12,1)),B1881*60,0)</f>
        <v/>
      </c>
      <c r="J1881" s="13">
        <f>IF(A1881="",0,B1881*(IF(C1881=DATE(2026,11,28),36,0)+IF(C1881=DATE(2026,12,1),36,0)+IF(C1881=DATE(2026,12,2),23,0)))</f>
        <v/>
      </c>
      <c r="K1881" s="13">
        <f>IF(C1881=Options!$B$9,B1881*12,0)</f>
        <v/>
      </c>
      <c r="L1881" s="13">
        <f>IF(C1881=Options!$B$9,B1881*Options!$Z$7,0)</f>
        <v/>
      </c>
      <c r="M1881" s="13" t="n">
        <v>0</v>
      </c>
      <c r="N1881" s="13">
        <f>SUM(E1881:M1881)</f>
        <v/>
      </c>
    </row>
    <row r="1882">
      <c r="A1882" s="5">
        <f>IF(AND(C1882&gt;=Options!$B$9,C1882&lt;=Options!$B$10),"Phoenix","")</f>
        <v/>
      </c>
      <c r="B1882" s="5">
        <f>IF(A1882="","",24)</f>
        <v/>
      </c>
      <c r="C1882" s="17" t="n">
        <v>46348</v>
      </c>
      <c r="D1882" s="5">
        <f>IF(A1882="","",IF(C1882=DATE(2026,11,29),"培训；注册午餐；早餐参数",IF(C1882=DATE(2026,11,30),"培训；注册午餐",IF(C1882=DATE(2026,12,1),"培训；注册午餐；机构晚餐",IF(C1882=Options!$B$9,"抵达；"&amp;IF(C1882=DATE(2026,11,28),"机构晚餐","无统一供餐"),IF(C1882=Options!$B$10,"返程；"&amp;IF(C1882=DATE(2026,12,2),"机构午餐","无统一供餐"),"差旅状态；无统一日程"))))))</f>
        <v/>
      </c>
      <c r="E1882" s="13">
        <f>IF(C1882=Options!$B$9,Options!$C$19,0)</f>
        <v/>
      </c>
      <c r="F1882" s="13">
        <f>IF(AND(A1882&lt;&gt;"",C1882&lt;Options!$B$10),B1882*Options!$X$7,0)</f>
        <v/>
      </c>
      <c r="G1882" s="13">
        <f>F1882*12%</f>
        <v/>
      </c>
      <c r="H1882" s="13">
        <f>IF(A1882="",0,B1882*(86*IF(OR(C1882=Options!$B$9,C1882=Options!$B$10),75%,100%)-IF(C1882=DATE(2026,11,29),23+IF(Options!$B$8="是",22,0),0)-IF(C1882=DATE(2026,11,30),23,0)-IF(C1882=DATE(2026,12,1),59,0)-IF(C1882=DATE(2026,11,28),36,0)-IF(C1882=DATE(2026,12,2),23,0)))</f>
        <v/>
      </c>
      <c r="I1882" s="13">
        <f>IF(AND(C1882&gt;=DATE(2026,11,29),C1882&lt;=DATE(2026,12,1)),B1882*60,0)</f>
        <v/>
      </c>
      <c r="J1882" s="13">
        <f>IF(A1882="",0,B1882*(IF(C1882=DATE(2026,11,28),36,0)+IF(C1882=DATE(2026,12,1),36,0)+IF(C1882=DATE(2026,12,2),23,0)))</f>
        <v/>
      </c>
      <c r="K1882" s="13">
        <f>IF(C1882=Options!$B$9,B1882*12,0)</f>
        <v/>
      </c>
      <c r="L1882" s="13">
        <f>IF(C1882=Options!$B$9,B1882*Options!$Z$7,0)</f>
        <v/>
      </c>
      <c r="M1882" s="13" t="n">
        <v>0</v>
      </c>
      <c r="N1882" s="13">
        <f>SUM(E1882:M1882)</f>
        <v/>
      </c>
    </row>
    <row r="1883">
      <c r="A1883" s="5">
        <f>IF(AND(C1883&gt;=Options!$B$9,C1883&lt;=Options!$B$10),"Phoenix","")</f>
        <v/>
      </c>
      <c r="B1883" s="5">
        <f>IF(A1883="","",24)</f>
        <v/>
      </c>
      <c r="C1883" s="17" t="n">
        <v>46349</v>
      </c>
      <c r="D1883" s="5">
        <f>IF(A1883="","",IF(C1883=DATE(2026,11,29),"培训；注册午餐；早餐参数",IF(C1883=DATE(2026,11,30),"培训；注册午餐",IF(C1883=DATE(2026,12,1),"培训；注册午餐；机构晚餐",IF(C1883=Options!$B$9,"抵达；"&amp;IF(C1883=DATE(2026,11,28),"机构晚餐","无统一供餐"),IF(C1883=Options!$B$10,"返程；"&amp;IF(C1883=DATE(2026,12,2),"机构午餐","无统一供餐"),"差旅状态；无统一日程"))))))</f>
        <v/>
      </c>
      <c r="E1883" s="13">
        <f>IF(C1883=Options!$B$9,Options!$C$19,0)</f>
        <v/>
      </c>
      <c r="F1883" s="13">
        <f>IF(AND(A1883&lt;&gt;"",C1883&lt;Options!$B$10),B1883*Options!$X$7,0)</f>
        <v/>
      </c>
      <c r="G1883" s="13">
        <f>F1883*12%</f>
        <v/>
      </c>
      <c r="H1883" s="13">
        <f>IF(A1883="",0,B1883*(86*IF(OR(C1883=Options!$B$9,C1883=Options!$B$10),75%,100%)-IF(C1883=DATE(2026,11,29),23+IF(Options!$B$8="是",22,0),0)-IF(C1883=DATE(2026,11,30),23,0)-IF(C1883=DATE(2026,12,1),59,0)-IF(C1883=DATE(2026,11,28),36,0)-IF(C1883=DATE(2026,12,2),23,0)))</f>
        <v/>
      </c>
      <c r="I1883" s="13">
        <f>IF(AND(C1883&gt;=DATE(2026,11,29),C1883&lt;=DATE(2026,12,1)),B1883*60,0)</f>
        <v/>
      </c>
      <c r="J1883" s="13">
        <f>IF(A1883="",0,B1883*(IF(C1883=DATE(2026,11,28),36,0)+IF(C1883=DATE(2026,12,1),36,0)+IF(C1883=DATE(2026,12,2),23,0)))</f>
        <v/>
      </c>
      <c r="K1883" s="13">
        <f>IF(C1883=Options!$B$9,B1883*12,0)</f>
        <v/>
      </c>
      <c r="L1883" s="13">
        <f>IF(C1883=Options!$B$9,B1883*Options!$Z$7,0)</f>
        <v/>
      </c>
      <c r="M1883" s="13" t="n">
        <v>0</v>
      </c>
      <c r="N1883" s="13">
        <f>SUM(E1883:M1883)</f>
        <v/>
      </c>
    </row>
    <row r="1884">
      <c r="A1884" s="5">
        <f>IF(AND(C1884&gt;=Options!$B$9,C1884&lt;=Options!$B$10),"Phoenix","")</f>
        <v/>
      </c>
      <c r="B1884" s="5">
        <f>IF(A1884="","",24)</f>
        <v/>
      </c>
      <c r="C1884" s="17" t="n">
        <v>46350</v>
      </c>
      <c r="D1884" s="5">
        <f>IF(A1884="","",IF(C1884=DATE(2026,11,29),"培训；注册午餐；早餐参数",IF(C1884=DATE(2026,11,30),"培训；注册午餐",IF(C1884=DATE(2026,12,1),"培训；注册午餐；机构晚餐",IF(C1884=Options!$B$9,"抵达；"&amp;IF(C1884=DATE(2026,11,28),"机构晚餐","无统一供餐"),IF(C1884=Options!$B$10,"返程；"&amp;IF(C1884=DATE(2026,12,2),"机构午餐","无统一供餐"),"差旅状态；无统一日程"))))))</f>
        <v/>
      </c>
      <c r="E1884" s="13">
        <f>IF(C1884=Options!$B$9,Options!$C$19,0)</f>
        <v/>
      </c>
      <c r="F1884" s="13">
        <f>IF(AND(A1884&lt;&gt;"",C1884&lt;Options!$B$10),B1884*Options!$X$7,0)</f>
        <v/>
      </c>
      <c r="G1884" s="13">
        <f>F1884*12%</f>
        <v/>
      </c>
      <c r="H1884" s="13">
        <f>IF(A1884="",0,B1884*(86*IF(OR(C1884=Options!$B$9,C1884=Options!$B$10),75%,100%)-IF(C1884=DATE(2026,11,29),23+IF(Options!$B$8="是",22,0),0)-IF(C1884=DATE(2026,11,30),23,0)-IF(C1884=DATE(2026,12,1),59,0)-IF(C1884=DATE(2026,11,28),36,0)-IF(C1884=DATE(2026,12,2),23,0)))</f>
        <v/>
      </c>
      <c r="I1884" s="13">
        <f>IF(AND(C1884&gt;=DATE(2026,11,29),C1884&lt;=DATE(2026,12,1)),B1884*60,0)</f>
        <v/>
      </c>
      <c r="J1884" s="13">
        <f>IF(A1884="",0,B1884*(IF(C1884=DATE(2026,11,28),36,0)+IF(C1884=DATE(2026,12,1),36,0)+IF(C1884=DATE(2026,12,2),23,0)))</f>
        <v/>
      </c>
      <c r="K1884" s="13">
        <f>IF(C1884=Options!$B$9,B1884*12,0)</f>
        <v/>
      </c>
      <c r="L1884" s="13">
        <f>IF(C1884=Options!$B$9,B1884*Options!$Z$7,0)</f>
        <v/>
      </c>
      <c r="M1884" s="13" t="n">
        <v>0</v>
      </c>
      <c r="N1884" s="13">
        <f>SUM(E1884:M1884)</f>
        <v/>
      </c>
    </row>
    <row r="1885">
      <c r="A1885" s="5">
        <f>IF(AND(C1885&gt;=Options!$B$9,C1885&lt;=Options!$B$10),"Phoenix","")</f>
        <v/>
      </c>
      <c r="B1885" s="5">
        <f>IF(A1885="","",24)</f>
        <v/>
      </c>
      <c r="C1885" s="17" t="n">
        <v>46351</v>
      </c>
      <c r="D1885" s="5">
        <f>IF(A1885="","",IF(C1885=DATE(2026,11,29),"培训；注册午餐；早餐参数",IF(C1885=DATE(2026,11,30),"培训；注册午餐",IF(C1885=DATE(2026,12,1),"培训；注册午餐；机构晚餐",IF(C1885=Options!$B$9,"抵达；"&amp;IF(C1885=DATE(2026,11,28),"机构晚餐","无统一供餐"),IF(C1885=Options!$B$10,"返程；"&amp;IF(C1885=DATE(2026,12,2),"机构午餐","无统一供餐"),"差旅状态；无统一日程"))))))</f>
        <v/>
      </c>
      <c r="E1885" s="13">
        <f>IF(C1885=Options!$B$9,Options!$C$19,0)</f>
        <v/>
      </c>
      <c r="F1885" s="13">
        <f>IF(AND(A1885&lt;&gt;"",C1885&lt;Options!$B$10),B1885*Options!$X$7,0)</f>
        <v/>
      </c>
      <c r="G1885" s="13">
        <f>F1885*12%</f>
        <v/>
      </c>
      <c r="H1885" s="13">
        <f>IF(A1885="",0,B1885*(86*IF(OR(C1885=Options!$B$9,C1885=Options!$B$10),75%,100%)-IF(C1885=DATE(2026,11,29),23+IF(Options!$B$8="是",22,0),0)-IF(C1885=DATE(2026,11,30),23,0)-IF(C1885=DATE(2026,12,1),59,0)-IF(C1885=DATE(2026,11,28),36,0)-IF(C1885=DATE(2026,12,2),23,0)))</f>
        <v/>
      </c>
      <c r="I1885" s="13">
        <f>IF(AND(C1885&gt;=DATE(2026,11,29),C1885&lt;=DATE(2026,12,1)),B1885*60,0)</f>
        <v/>
      </c>
      <c r="J1885" s="13">
        <f>IF(A1885="",0,B1885*(IF(C1885=DATE(2026,11,28),36,0)+IF(C1885=DATE(2026,12,1),36,0)+IF(C1885=DATE(2026,12,2),23,0)))</f>
        <v/>
      </c>
      <c r="K1885" s="13">
        <f>IF(C1885=Options!$B$9,B1885*12,0)</f>
        <v/>
      </c>
      <c r="L1885" s="13">
        <f>IF(C1885=Options!$B$9,B1885*Options!$Z$7,0)</f>
        <v/>
      </c>
      <c r="M1885" s="13" t="n">
        <v>0</v>
      </c>
      <c r="N1885" s="13">
        <f>SUM(E1885:M1885)</f>
        <v/>
      </c>
    </row>
    <row r="1886">
      <c r="A1886" s="5">
        <f>IF(AND(C1886&gt;=Options!$B$9,C1886&lt;=Options!$B$10),"Phoenix","")</f>
        <v/>
      </c>
      <c r="B1886" s="5">
        <f>IF(A1886="","",24)</f>
        <v/>
      </c>
      <c r="C1886" s="17" t="n">
        <v>46352</v>
      </c>
      <c r="D1886" s="5">
        <f>IF(A1886="","",IF(C1886=DATE(2026,11,29),"培训；注册午餐；早餐参数",IF(C1886=DATE(2026,11,30),"培训；注册午餐",IF(C1886=DATE(2026,12,1),"培训；注册午餐；机构晚餐",IF(C1886=Options!$B$9,"抵达；"&amp;IF(C1886=DATE(2026,11,28),"机构晚餐","无统一供餐"),IF(C1886=Options!$B$10,"返程；"&amp;IF(C1886=DATE(2026,12,2),"机构午餐","无统一供餐"),"差旅状态；无统一日程"))))))</f>
        <v/>
      </c>
      <c r="E1886" s="13">
        <f>IF(C1886=Options!$B$9,Options!$C$19,0)</f>
        <v/>
      </c>
      <c r="F1886" s="13">
        <f>IF(AND(A1886&lt;&gt;"",C1886&lt;Options!$B$10),B1886*Options!$X$7,0)</f>
        <v/>
      </c>
      <c r="G1886" s="13">
        <f>F1886*12%</f>
        <v/>
      </c>
      <c r="H1886" s="13">
        <f>IF(A1886="",0,B1886*(86*IF(OR(C1886=Options!$B$9,C1886=Options!$B$10),75%,100%)-IF(C1886=DATE(2026,11,29),23+IF(Options!$B$8="是",22,0),0)-IF(C1886=DATE(2026,11,30),23,0)-IF(C1886=DATE(2026,12,1),59,0)-IF(C1886=DATE(2026,11,28),36,0)-IF(C1886=DATE(2026,12,2),23,0)))</f>
        <v/>
      </c>
      <c r="I1886" s="13">
        <f>IF(AND(C1886&gt;=DATE(2026,11,29),C1886&lt;=DATE(2026,12,1)),B1886*60,0)</f>
        <v/>
      </c>
      <c r="J1886" s="13">
        <f>IF(A1886="",0,B1886*(IF(C1886=DATE(2026,11,28),36,0)+IF(C1886=DATE(2026,12,1),36,0)+IF(C1886=DATE(2026,12,2),23,0)))</f>
        <v/>
      </c>
      <c r="K1886" s="13">
        <f>IF(C1886=Options!$B$9,B1886*12,0)</f>
        <v/>
      </c>
      <c r="L1886" s="13">
        <f>IF(C1886=Options!$B$9,B1886*Options!$Z$7,0)</f>
        <v/>
      </c>
      <c r="M1886" s="13" t="n">
        <v>0</v>
      </c>
      <c r="N1886" s="13">
        <f>SUM(E1886:M1886)</f>
        <v/>
      </c>
    </row>
    <row r="1887">
      <c r="A1887" s="5">
        <f>IF(AND(C1887&gt;=Options!$B$9,C1887&lt;=Options!$B$10),"Phoenix","")</f>
        <v/>
      </c>
      <c r="B1887" s="5">
        <f>IF(A1887="","",24)</f>
        <v/>
      </c>
      <c r="C1887" s="17" t="n">
        <v>46353</v>
      </c>
      <c r="D1887" s="5">
        <f>IF(A1887="","",IF(C1887=DATE(2026,11,29),"培训；注册午餐；早餐参数",IF(C1887=DATE(2026,11,30),"培训；注册午餐",IF(C1887=DATE(2026,12,1),"培训；注册午餐；机构晚餐",IF(C1887=Options!$B$9,"抵达；"&amp;IF(C1887=DATE(2026,11,28),"机构晚餐","无统一供餐"),IF(C1887=Options!$B$10,"返程；"&amp;IF(C1887=DATE(2026,12,2),"机构午餐","无统一供餐"),"差旅状态；无统一日程"))))))</f>
        <v/>
      </c>
      <c r="E1887" s="13">
        <f>IF(C1887=Options!$B$9,Options!$C$19,0)</f>
        <v/>
      </c>
      <c r="F1887" s="13">
        <f>IF(AND(A1887&lt;&gt;"",C1887&lt;Options!$B$10),B1887*Options!$X$7,0)</f>
        <v/>
      </c>
      <c r="G1887" s="13">
        <f>F1887*12%</f>
        <v/>
      </c>
      <c r="H1887" s="13">
        <f>IF(A1887="",0,B1887*(86*IF(OR(C1887=Options!$B$9,C1887=Options!$B$10),75%,100%)-IF(C1887=DATE(2026,11,29),23+IF(Options!$B$8="是",22,0),0)-IF(C1887=DATE(2026,11,30),23,0)-IF(C1887=DATE(2026,12,1),59,0)-IF(C1887=DATE(2026,11,28),36,0)-IF(C1887=DATE(2026,12,2),23,0)))</f>
        <v/>
      </c>
      <c r="I1887" s="13">
        <f>IF(AND(C1887&gt;=DATE(2026,11,29),C1887&lt;=DATE(2026,12,1)),B1887*60,0)</f>
        <v/>
      </c>
      <c r="J1887" s="13">
        <f>IF(A1887="",0,B1887*(IF(C1887=DATE(2026,11,28),36,0)+IF(C1887=DATE(2026,12,1),36,0)+IF(C1887=DATE(2026,12,2),23,0)))</f>
        <v/>
      </c>
      <c r="K1887" s="13">
        <f>IF(C1887=Options!$B$9,B1887*12,0)</f>
        <v/>
      </c>
      <c r="L1887" s="13">
        <f>IF(C1887=Options!$B$9,B1887*Options!$Z$7,0)</f>
        <v/>
      </c>
      <c r="M1887" s="13" t="n">
        <v>0</v>
      </c>
      <c r="N1887" s="13">
        <f>SUM(E1887:M1887)</f>
        <v/>
      </c>
    </row>
    <row r="1888">
      <c r="A1888" s="5">
        <f>IF(AND(C1888&gt;=Options!$B$9,C1888&lt;=Options!$B$10),"Phoenix","")</f>
        <v/>
      </c>
      <c r="B1888" s="5">
        <f>IF(A1888="","",24)</f>
        <v/>
      </c>
      <c r="C1888" s="17" t="n">
        <v>46354</v>
      </c>
      <c r="D1888" s="5">
        <f>IF(A1888="","",IF(C1888=DATE(2026,11,29),"培训；注册午餐；早餐参数",IF(C1888=DATE(2026,11,30),"培训；注册午餐",IF(C1888=DATE(2026,12,1),"培训；注册午餐；机构晚餐",IF(C1888=Options!$B$9,"抵达；"&amp;IF(C1888=DATE(2026,11,28),"机构晚餐","无统一供餐"),IF(C1888=Options!$B$10,"返程；"&amp;IF(C1888=DATE(2026,12,2),"机构午餐","无统一供餐"),"差旅状态；无统一日程"))))))</f>
        <v/>
      </c>
      <c r="E1888" s="13">
        <f>IF(C1888=Options!$B$9,Options!$C$19,0)</f>
        <v/>
      </c>
      <c r="F1888" s="13">
        <f>IF(AND(A1888&lt;&gt;"",C1888&lt;Options!$B$10),B1888*Options!$X$7,0)</f>
        <v/>
      </c>
      <c r="G1888" s="13">
        <f>F1888*12%</f>
        <v/>
      </c>
      <c r="H1888" s="13">
        <f>IF(A1888="",0,B1888*(86*IF(OR(C1888=Options!$B$9,C1888=Options!$B$10),75%,100%)-IF(C1888=DATE(2026,11,29),23+IF(Options!$B$8="是",22,0),0)-IF(C1888=DATE(2026,11,30),23,0)-IF(C1888=DATE(2026,12,1),59,0)-IF(C1888=DATE(2026,11,28),36,0)-IF(C1888=DATE(2026,12,2),23,0)))</f>
        <v/>
      </c>
      <c r="I1888" s="13">
        <f>IF(AND(C1888&gt;=DATE(2026,11,29),C1888&lt;=DATE(2026,12,1)),B1888*60,0)</f>
        <v/>
      </c>
      <c r="J1888" s="13">
        <f>IF(A1888="",0,B1888*(IF(C1888=DATE(2026,11,28),36,0)+IF(C1888=DATE(2026,12,1),36,0)+IF(C1888=DATE(2026,12,2),23,0)))</f>
        <v/>
      </c>
      <c r="K1888" s="13">
        <f>IF(C1888=Options!$B$9,B1888*12,0)</f>
        <v/>
      </c>
      <c r="L1888" s="13">
        <f>IF(C1888=Options!$B$9,B1888*Options!$Z$7,0)</f>
        <v/>
      </c>
      <c r="M1888" s="13" t="n">
        <v>0</v>
      </c>
      <c r="N1888" s="13">
        <f>SUM(E1888:M1888)</f>
        <v/>
      </c>
    </row>
    <row r="1889">
      <c r="A1889" s="5">
        <f>IF(AND(C1889&gt;=Options!$B$9,C1889&lt;=Options!$B$10),"Phoenix","")</f>
        <v/>
      </c>
      <c r="B1889" s="5">
        <f>IF(A1889="","",24)</f>
        <v/>
      </c>
      <c r="C1889" s="17" t="n">
        <v>46355</v>
      </c>
      <c r="D1889" s="5">
        <f>IF(A1889="","",IF(C1889=DATE(2026,11,29),"培训；注册午餐；早餐参数",IF(C1889=DATE(2026,11,30),"培训；注册午餐",IF(C1889=DATE(2026,12,1),"培训；注册午餐；机构晚餐",IF(C1889=Options!$B$9,"抵达；"&amp;IF(C1889=DATE(2026,11,28),"机构晚餐","无统一供餐"),IF(C1889=Options!$B$10,"返程；"&amp;IF(C1889=DATE(2026,12,2),"机构午餐","无统一供餐"),"差旅状态；无统一日程"))))))</f>
        <v/>
      </c>
      <c r="E1889" s="13">
        <f>IF(C1889=Options!$B$9,Options!$C$19,0)</f>
        <v/>
      </c>
      <c r="F1889" s="13">
        <f>IF(AND(A1889&lt;&gt;"",C1889&lt;Options!$B$10),B1889*Options!$X$7,0)</f>
        <v/>
      </c>
      <c r="G1889" s="13">
        <f>F1889*12%</f>
        <v/>
      </c>
      <c r="H1889" s="13">
        <f>IF(A1889="",0,B1889*(86*IF(OR(C1889=Options!$B$9,C1889=Options!$B$10),75%,100%)-IF(C1889=DATE(2026,11,29),23+IF(Options!$B$8="是",22,0),0)-IF(C1889=DATE(2026,11,30),23,0)-IF(C1889=DATE(2026,12,1),59,0)-IF(C1889=DATE(2026,11,28),36,0)-IF(C1889=DATE(2026,12,2),23,0)))</f>
        <v/>
      </c>
      <c r="I1889" s="13">
        <f>IF(AND(C1889&gt;=DATE(2026,11,29),C1889&lt;=DATE(2026,12,1)),B1889*60,0)</f>
        <v/>
      </c>
      <c r="J1889" s="13">
        <f>IF(A1889="",0,B1889*(IF(C1889=DATE(2026,11,28),36,0)+IF(C1889=DATE(2026,12,1),36,0)+IF(C1889=DATE(2026,12,2),23,0)))</f>
        <v/>
      </c>
      <c r="K1889" s="13">
        <f>IF(C1889=Options!$B$9,B1889*12,0)</f>
        <v/>
      </c>
      <c r="L1889" s="13">
        <f>IF(C1889=Options!$B$9,B1889*Options!$Z$7,0)</f>
        <v/>
      </c>
      <c r="M1889" s="13" t="n">
        <v>0</v>
      </c>
      <c r="N1889" s="13">
        <f>SUM(E1889:M1889)</f>
        <v/>
      </c>
    </row>
    <row r="1890">
      <c r="A1890" s="5">
        <f>IF(AND(C1890&gt;=Options!$B$9,C1890&lt;=Options!$B$10),"Phoenix","")</f>
        <v/>
      </c>
      <c r="B1890" s="5">
        <f>IF(A1890="","",24)</f>
        <v/>
      </c>
      <c r="C1890" s="17" t="n">
        <v>46356</v>
      </c>
      <c r="D1890" s="5">
        <f>IF(A1890="","",IF(C1890=DATE(2026,11,29),"培训；注册午餐；早餐参数",IF(C1890=DATE(2026,11,30),"培训；注册午餐",IF(C1890=DATE(2026,12,1),"培训；注册午餐；机构晚餐",IF(C1890=Options!$B$9,"抵达；"&amp;IF(C1890=DATE(2026,11,28),"机构晚餐","无统一供餐"),IF(C1890=Options!$B$10,"返程；"&amp;IF(C1890=DATE(2026,12,2),"机构午餐","无统一供餐"),"差旅状态；无统一日程"))))))</f>
        <v/>
      </c>
      <c r="E1890" s="13">
        <f>IF(C1890=Options!$B$9,Options!$C$19,0)</f>
        <v/>
      </c>
      <c r="F1890" s="13">
        <f>IF(AND(A1890&lt;&gt;"",C1890&lt;Options!$B$10),B1890*Options!$X$7,0)</f>
        <v/>
      </c>
      <c r="G1890" s="13">
        <f>F1890*12%</f>
        <v/>
      </c>
      <c r="H1890" s="13">
        <f>IF(A1890="",0,B1890*(86*IF(OR(C1890=Options!$B$9,C1890=Options!$B$10),75%,100%)-IF(C1890=DATE(2026,11,29),23+IF(Options!$B$8="是",22,0),0)-IF(C1890=DATE(2026,11,30),23,0)-IF(C1890=DATE(2026,12,1),59,0)-IF(C1890=DATE(2026,11,28),36,0)-IF(C1890=DATE(2026,12,2),23,0)))</f>
        <v/>
      </c>
      <c r="I1890" s="13">
        <f>IF(AND(C1890&gt;=DATE(2026,11,29),C1890&lt;=DATE(2026,12,1)),B1890*60,0)</f>
        <v/>
      </c>
      <c r="J1890" s="13">
        <f>IF(A1890="",0,B1890*(IF(C1890=DATE(2026,11,28),36,0)+IF(C1890=DATE(2026,12,1),36,0)+IF(C1890=DATE(2026,12,2),23,0)))</f>
        <v/>
      </c>
      <c r="K1890" s="13">
        <f>IF(C1890=Options!$B$9,B1890*12,0)</f>
        <v/>
      </c>
      <c r="L1890" s="13">
        <f>IF(C1890=Options!$B$9,B1890*Options!$Z$7,0)</f>
        <v/>
      </c>
      <c r="M1890" s="13" t="n">
        <v>0</v>
      </c>
      <c r="N1890" s="13">
        <f>SUM(E1890:M1890)</f>
        <v/>
      </c>
    </row>
    <row r="1891">
      <c r="A1891" s="5">
        <f>IF(AND(C1891&gt;=Options!$B$9,C1891&lt;=Options!$B$10),"Phoenix","")</f>
        <v/>
      </c>
      <c r="B1891" s="5">
        <f>IF(A1891="","",24)</f>
        <v/>
      </c>
      <c r="C1891" s="17" t="n">
        <v>46357</v>
      </c>
      <c r="D1891" s="5">
        <f>IF(A1891="","",IF(C1891=DATE(2026,11,29),"培训；注册午餐；早餐参数",IF(C1891=DATE(2026,11,30),"培训；注册午餐",IF(C1891=DATE(2026,12,1),"培训；注册午餐；机构晚餐",IF(C1891=Options!$B$9,"抵达；"&amp;IF(C1891=DATE(2026,11,28),"机构晚餐","无统一供餐"),IF(C1891=Options!$B$10,"返程；"&amp;IF(C1891=DATE(2026,12,2),"机构午餐","无统一供餐"),"差旅状态；无统一日程"))))))</f>
        <v/>
      </c>
      <c r="E1891" s="13">
        <f>IF(C1891=Options!$B$9,Options!$C$19,0)</f>
        <v/>
      </c>
      <c r="F1891" s="13">
        <f>IF(AND(A1891&lt;&gt;"",C1891&lt;Options!$B$10),B1891*Options!$X$7,0)</f>
        <v/>
      </c>
      <c r="G1891" s="13">
        <f>F1891*12%</f>
        <v/>
      </c>
      <c r="H1891" s="13">
        <f>IF(A1891="",0,B1891*(86*IF(OR(C1891=Options!$B$9,C1891=Options!$B$10),75%,100%)-IF(C1891=DATE(2026,11,29),23+IF(Options!$B$8="是",22,0),0)-IF(C1891=DATE(2026,11,30),23,0)-IF(C1891=DATE(2026,12,1),59,0)-IF(C1891=DATE(2026,11,28),36,0)-IF(C1891=DATE(2026,12,2),23,0)))</f>
        <v/>
      </c>
      <c r="I1891" s="13">
        <f>IF(AND(C1891&gt;=DATE(2026,11,29),C1891&lt;=DATE(2026,12,1)),B1891*60,0)</f>
        <v/>
      </c>
      <c r="J1891" s="13">
        <f>IF(A1891="",0,B1891*(IF(C1891=DATE(2026,11,28),36,0)+IF(C1891=DATE(2026,12,1),36,0)+IF(C1891=DATE(2026,12,2),23,0)))</f>
        <v/>
      </c>
      <c r="K1891" s="13">
        <f>IF(C1891=Options!$B$9,B1891*12,0)</f>
        <v/>
      </c>
      <c r="L1891" s="13">
        <f>IF(C1891=Options!$B$9,B1891*Options!$Z$7,0)</f>
        <v/>
      </c>
      <c r="M1891" s="13" t="n">
        <v>0</v>
      </c>
      <c r="N1891" s="13">
        <f>SUM(E1891:M1891)</f>
        <v/>
      </c>
    </row>
    <row r="1892">
      <c r="A1892" s="5">
        <f>IF(AND(C1892&gt;=Options!$B$9,C1892&lt;=Options!$B$10),"Phoenix","")</f>
        <v/>
      </c>
      <c r="B1892" s="5">
        <f>IF(A1892="","",24)</f>
        <v/>
      </c>
      <c r="C1892" s="17" t="n">
        <v>46358</v>
      </c>
      <c r="D1892" s="5">
        <f>IF(A1892="","",IF(C1892=DATE(2026,11,29),"培训；注册午餐；早餐参数",IF(C1892=DATE(2026,11,30),"培训；注册午餐",IF(C1892=DATE(2026,12,1),"培训；注册午餐；机构晚餐",IF(C1892=Options!$B$9,"抵达；"&amp;IF(C1892=DATE(2026,11,28),"机构晚餐","无统一供餐"),IF(C1892=Options!$B$10,"返程；"&amp;IF(C1892=DATE(2026,12,2),"机构午餐","无统一供餐"),"差旅状态；无统一日程"))))))</f>
        <v/>
      </c>
      <c r="E1892" s="13">
        <f>IF(C1892=Options!$B$9,Options!$C$19,0)</f>
        <v/>
      </c>
      <c r="F1892" s="13">
        <f>IF(AND(A1892&lt;&gt;"",C1892&lt;Options!$B$10),B1892*Options!$X$7,0)</f>
        <v/>
      </c>
      <c r="G1892" s="13">
        <f>F1892*12%</f>
        <v/>
      </c>
      <c r="H1892" s="13">
        <f>IF(A1892="",0,B1892*(86*IF(OR(C1892=Options!$B$9,C1892=Options!$B$10),75%,100%)-IF(C1892=DATE(2026,11,29),23+IF(Options!$B$8="是",22,0),0)-IF(C1892=DATE(2026,11,30),23,0)-IF(C1892=DATE(2026,12,1),59,0)-IF(C1892=DATE(2026,11,28),36,0)-IF(C1892=DATE(2026,12,2),23,0)))</f>
        <v/>
      </c>
      <c r="I1892" s="13">
        <f>IF(AND(C1892&gt;=DATE(2026,11,29),C1892&lt;=DATE(2026,12,1)),B1892*60,0)</f>
        <v/>
      </c>
      <c r="J1892" s="13">
        <f>IF(A1892="",0,B1892*(IF(C1892=DATE(2026,11,28),36,0)+IF(C1892=DATE(2026,12,1),36,0)+IF(C1892=DATE(2026,12,2),23,0)))</f>
        <v/>
      </c>
      <c r="K1892" s="13">
        <f>IF(C1892=Options!$B$9,B1892*12,0)</f>
        <v/>
      </c>
      <c r="L1892" s="13">
        <f>IF(C1892=Options!$B$9,B1892*Options!$Z$7,0)</f>
        <v/>
      </c>
      <c r="M1892" s="13" t="n">
        <v>0</v>
      </c>
      <c r="N1892" s="13">
        <f>SUM(E1892:M1892)</f>
        <v/>
      </c>
    </row>
    <row r="1893">
      <c r="A1893" s="5">
        <f>IF(AND(C1893&gt;=Options!$B$9,C1893&lt;=Options!$B$10),"Phoenix","")</f>
        <v/>
      </c>
      <c r="B1893" s="5">
        <f>IF(A1893="","",24)</f>
        <v/>
      </c>
      <c r="C1893" s="17" t="n">
        <v>46359</v>
      </c>
      <c r="D1893" s="5">
        <f>IF(A1893="","",IF(C1893=DATE(2026,11,29),"培训；注册午餐；早餐参数",IF(C1893=DATE(2026,11,30),"培训；注册午餐",IF(C1893=DATE(2026,12,1),"培训；注册午餐；机构晚餐",IF(C1893=Options!$B$9,"抵达；"&amp;IF(C1893=DATE(2026,11,28),"机构晚餐","无统一供餐"),IF(C1893=Options!$B$10,"返程；"&amp;IF(C1893=DATE(2026,12,2),"机构午餐","无统一供餐"),"差旅状态；无统一日程"))))))</f>
        <v/>
      </c>
      <c r="E1893" s="13">
        <f>IF(C1893=Options!$B$9,Options!$C$19,0)</f>
        <v/>
      </c>
      <c r="F1893" s="13">
        <f>IF(AND(A1893&lt;&gt;"",C1893&lt;Options!$B$10),B1893*Options!$X$7,0)</f>
        <v/>
      </c>
      <c r="G1893" s="13">
        <f>F1893*12%</f>
        <v/>
      </c>
      <c r="H1893" s="13">
        <f>IF(A1893="",0,B1893*(86*IF(OR(C1893=Options!$B$9,C1893=Options!$B$10),75%,100%)-IF(C1893=DATE(2026,11,29),23+IF(Options!$B$8="是",22,0),0)-IF(C1893=DATE(2026,11,30),23,0)-IF(C1893=DATE(2026,12,1),59,0)-IF(C1893=DATE(2026,11,28),36,0)-IF(C1893=DATE(2026,12,2),23,0)))</f>
        <v/>
      </c>
      <c r="I1893" s="13">
        <f>IF(AND(C1893&gt;=DATE(2026,11,29),C1893&lt;=DATE(2026,12,1)),B1893*60,0)</f>
        <v/>
      </c>
      <c r="J1893" s="13">
        <f>IF(A1893="",0,B1893*(IF(C1893=DATE(2026,11,28),36,0)+IF(C1893=DATE(2026,12,1),36,0)+IF(C1893=DATE(2026,12,2),23,0)))</f>
        <v/>
      </c>
      <c r="K1893" s="13">
        <f>IF(C1893=Options!$B$9,B1893*12,0)</f>
        <v/>
      </c>
      <c r="L1893" s="13">
        <f>IF(C1893=Options!$B$9,B1893*Options!$Z$7,0)</f>
        <v/>
      </c>
      <c r="M1893" s="13" t="n">
        <v>0</v>
      </c>
      <c r="N1893" s="13">
        <f>SUM(E1893:M1893)</f>
        <v/>
      </c>
    </row>
    <row r="1894">
      <c r="A1894" s="5">
        <f>IF(AND(C1894&gt;=Options!$B$9,C1894&lt;=Options!$B$10),"Phoenix","")</f>
        <v/>
      </c>
      <c r="B1894" s="5">
        <f>IF(A1894="","",24)</f>
        <v/>
      </c>
      <c r="C1894" s="17" t="n">
        <v>46360</v>
      </c>
      <c r="D1894" s="5">
        <f>IF(A1894="","",IF(C1894=DATE(2026,11,29),"培训；注册午餐；早餐参数",IF(C1894=DATE(2026,11,30),"培训；注册午餐",IF(C1894=DATE(2026,12,1),"培训；注册午餐；机构晚餐",IF(C1894=Options!$B$9,"抵达；"&amp;IF(C1894=DATE(2026,11,28),"机构晚餐","无统一供餐"),IF(C1894=Options!$B$10,"返程；"&amp;IF(C1894=DATE(2026,12,2),"机构午餐","无统一供餐"),"差旅状态；无统一日程"))))))</f>
        <v/>
      </c>
      <c r="E1894" s="13">
        <f>IF(C1894=Options!$B$9,Options!$C$19,0)</f>
        <v/>
      </c>
      <c r="F1894" s="13">
        <f>IF(AND(A1894&lt;&gt;"",C1894&lt;Options!$B$10),B1894*Options!$X$7,0)</f>
        <v/>
      </c>
      <c r="G1894" s="13">
        <f>F1894*12%</f>
        <v/>
      </c>
      <c r="H1894" s="13">
        <f>IF(A1894="",0,B1894*(86*IF(OR(C1894=Options!$B$9,C1894=Options!$B$10),75%,100%)-IF(C1894=DATE(2026,11,29),23+IF(Options!$B$8="是",22,0),0)-IF(C1894=DATE(2026,11,30),23,0)-IF(C1894=DATE(2026,12,1),59,0)-IF(C1894=DATE(2026,11,28),36,0)-IF(C1894=DATE(2026,12,2),23,0)))</f>
        <v/>
      </c>
      <c r="I1894" s="13">
        <f>IF(AND(C1894&gt;=DATE(2026,11,29),C1894&lt;=DATE(2026,12,1)),B1894*60,0)</f>
        <v/>
      </c>
      <c r="J1894" s="13">
        <f>IF(A1894="",0,B1894*(IF(C1894=DATE(2026,11,28),36,0)+IF(C1894=DATE(2026,12,1),36,0)+IF(C1894=DATE(2026,12,2),23,0)))</f>
        <v/>
      </c>
      <c r="K1894" s="13">
        <f>IF(C1894=Options!$B$9,B1894*12,0)</f>
        <v/>
      </c>
      <c r="L1894" s="13">
        <f>IF(C1894=Options!$B$9,B1894*Options!$Z$7,0)</f>
        <v/>
      </c>
      <c r="M1894" s="13" t="n">
        <v>0</v>
      </c>
      <c r="N1894" s="13">
        <f>SUM(E1894:M1894)</f>
        <v/>
      </c>
    </row>
    <row r="1895">
      <c r="A1895" s="5">
        <f>IF(AND(C1895&gt;=Options!$B$9,C1895&lt;=Options!$B$10),"Phoenix","")</f>
        <v/>
      </c>
      <c r="B1895" s="5">
        <f>IF(A1895="","",24)</f>
        <v/>
      </c>
      <c r="C1895" s="17" t="n">
        <v>46361</v>
      </c>
      <c r="D1895" s="5">
        <f>IF(A1895="","",IF(C1895=DATE(2026,11,29),"培训；注册午餐；早餐参数",IF(C1895=DATE(2026,11,30),"培训；注册午餐",IF(C1895=DATE(2026,12,1),"培训；注册午餐；机构晚餐",IF(C1895=Options!$B$9,"抵达；"&amp;IF(C1895=DATE(2026,11,28),"机构晚餐","无统一供餐"),IF(C1895=Options!$B$10,"返程；"&amp;IF(C1895=DATE(2026,12,2),"机构午餐","无统一供餐"),"差旅状态；无统一日程"))))))</f>
        <v/>
      </c>
      <c r="E1895" s="13">
        <f>IF(C1895=Options!$B$9,Options!$C$19,0)</f>
        <v/>
      </c>
      <c r="F1895" s="13">
        <f>IF(AND(A1895&lt;&gt;"",C1895&lt;Options!$B$10),B1895*Options!$X$7,0)</f>
        <v/>
      </c>
      <c r="G1895" s="13">
        <f>F1895*12%</f>
        <v/>
      </c>
      <c r="H1895" s="13">
        <f>IF(A1895="",0,B1895*(86*IF(OR(C1895=Options!$B$9,C1895=Options!$B$10),75%,100%)-IF(C1895=DATE(2026,11,29),23+IF(Options!$B$8="是",22,0),0)-IF(C1895=DATE(2026,11,30),23,0)-IF(C1895=DATE(2026,12,1),59,0)-IF(C1895=DATE(2026,11,28),36,0)-IF(C1895=DATE(2026,12,2),23,0)))</f>
        <v/>
      </c>
      <c r="I1895" s="13">
        <f>IF(AND(C1895&gt;=DATE(2026,11,29),C1895&lt;=DATE(2026,12,1)),B1895*60,0)</f>
        <v/>
      </c>
      <c r="J1895" s="13">
        <f>IF(A1895="",0,B1895*(IF(C1895=DATE(2026,11,28),36,0)+IF(C1895=DATE(2026,12,1),36,0)+IF(C1895=DATE(2026,12,2),23,0)))</f>
        <v/>
      </c>
      <c r="K1895" s="13">
        <f>IF(C1895=Options!$B$9,B1895*12,0)</f>
        <v/>
      </c>
      <c r="L1895" s="13">
        <f>IF(C1895=Options!$B$9,B1895*Options!$Z$7,0)</f>
        <v/>
      </c>
      <c r="M1895" s="13" t="n">
        <v>0</v>
      </c>
      <c r="N1895" s="13">
        <f>SUM(E1895:M1895)</f>
        <v/>
      </c>
    </row>
    <row r="1896">
      <c r="A1896" s="5">
        <f>IF(AND(C1896&gt;=Options!$B$9,C1896&lt;=Options!$B$10),"Phoenix","")</f>
        <v/>
      </c>
      <c r="B1896" s="5">
        <f>IF(A1896="","",24)</f>
        <v/>
      </c>
      <c r="C1896" s="17" t="n">
        <v>46362</v>
      </c>
      <c r="D1896" s="5">
        <f>IF(A1896="","",IF(C1896=DATE(2026,11,29),"培训；注册午餐；早餐参数",IF(C1896=DATE(2026,11,30),"培训；注册午餐",IF(C1896=DATE(2026,12,1),"培训；注册午餐；机构晚餐",IF(C1896=Options!$B$9,"抵达；"&amp;IF(C1896=DATE(2026,11,28),"机构晚餐","无统一供餐"),IF(C1896=Options!$B$10,"返程；"&amp;IF(C1896=DATE(2026,12,2),"机构午餐","无统一供餐"),"差旅状态；无统一日程"))))))</f>
        <v/>
      </c>
      <c r="E1896" s="13">
        <f>IF(C1896=Options!$B$9,Options!$C$19,0)</f>
        <v/>
      </c>
      <c r="F1896" s="13">
        <f>IF(AND(A1896&lt;&gt;"",C1896&lt;Options!$B$10),B1896*Options!$X$7,0)</f>
        <v/>
      </c>
      <c r="G1896" s="13">
        <f>F1896*12%</f>
        <v/>
      </c>
      <c r="H1896" s="13">
        <f>IF(A1896="",0,B1896*(86*IF(OR(C1896=Options!$B$9,C1896=Options!$B$10),75%,100%)-IF(C1896=DATE(2026,11,29),23+IF(Options!$B$8="是",22,0),0)-IF(C1896=DATE(2026,11,30),23,0)-IF(C1896=DATE(2026,12,1),59,0)-IF(C1896=DATE(2026,11,28),36,0)-IF(C1896=DATE(2026,12,2),23,0)))</f>
        <v/>
      </c>
      <c r="I1896" s="13">
        <f>IF(AND(C1896&gt;=DATE(2026,11,29),C1896&lt;=DATE(2026,12,1)),B1896*60,0)</f>
        <v/>
      </c>
      <c r="J1896" s="13">
        <f>IF(A1896="",0,B1896*(IF(C1896=DATE(2026,11,28),36,0)+IF(C1896=DATE(2026,12,1),36,0)+IF(C1896=DATE(2026,12,2),23,0)))</f>
        <v/>
      </c>
      <c r="K1896" s="13">
        <f>IF(C1896=Options!$B$9,B1896*12,0)</f>
        <v/>
      </c>
      <c r="L1896" s="13">
        <f>IF(C1896=Options!$B$9,B1896*Options!$Z$7,0)</f>
        <v/>
      </c>
      <c r="M1896" s="13" t="n">
        <v>0</v>
      </c>
      <c r="N1896" s="13">
        <f>SUM(E1896:M1896)</f>
        <v/>
      </c>
    </row>
    <row r="1897">
      <c r="A1897" s="5">
        <f>IF(AND(C1897&gt;=Options!$B$9,C1897&lt;=Options!$B$10),"Phoenix","")</f>
        <v/>
      </c>
      <c r="B1897" s="5">
        <f>IF(A1897="","",24)</f>
        <v/>
      </c>
      <c r="C1897" s="17" t="n">
        <v>46363</v>
      </c>
      <c r="D1897" s="5">
        <f>IF(A1897="","",IF(C1897=DATE(2026,11,29),"培训；注册午餐；早餐参数",IF(C1897=DATE(2026,11,30),"培训；注册午餐",IF(C1897=DATE(2026,12,1),"培训；注册午餐；机构晚餐",IF(C1897=Options!$B$9,"抵达；"&amp;IF(C1897=DATE(2026,11,28),"机构晚餐","无统一供餐"),IF(C1897=Options!$B$10,"返程；"&amp;IF(C1897=DATE(2026,12,2),"机构午餐","无统一供餐"),"差旅状态；无统一日程"))))))</f>
        <v/>
      </c>
      <c r="E1897" s="13">
        <f>IF(C1897=Options!$B$9,Options!$C$19,0)</f>
        <v/>
      </c>
      <c r="F1897" s="13">
        <f>IF(AND(A1897&lt;&gt;"",C1897&lt;Options!$B$10),B1897*Options!$X$7,0)</f>
        <v/>
      </c>
      <c r="G1897" s="13">
        <f>F1897*12%</f>
        <v/>
      </c>
      <c r="H1897" s="13">
        <f>IF(A1897="",0,B1897*(86*IF(OR(C1897=Options!$B$9,C1897=Options!$B$10),75%,100%)-IF(C1897=DATE(2026,11,29),23+IF(Options!$B$8="是",22,0),0)-IF(C1897=DATE(2026,11,30),23,0)-IF(C1897=DATE(2026,12,1),59,0)-IF(C1897=DATE(2026,11,28),36,0)-IF(C1897=DATE(2026,12,2),23,0)))</f>
        <v/>
      </c>
      <c r="I1897" s="13">
        <f>IF(AND(C1897&gt;=DATE(2026,11,29),C1897&lt;=DATE(2026,12,1)),B1897*60,0)</f>
        <v/>
      </c>
      <c r="J1897" s="13">
        <f>IF(A1897="",0,B1897*(IF(C1897=DATE(2026,11,28),36,0)+IF(C1897=DATE(2026,12,1),36,0)+IF(C1897=DATE(2026,12,2),23,0)))</f>
        <v/>
      </c>
      <c r="K1897" s="13">
        <f>IF(C1897=Options!$B$9,B1897*12,0)</f>
        <v/>
      </c>
      <c r="L1897" s="13">
        <f>IF(C1897=Options!$B$9,B1897*Options!$Z$7,0)</f>
        <v/>
      </c>
      <c r="M1897" s="13" t="n">
        <v>0</v>
      </c>
      <c r="N1897" s="13">
        <f>SUM(E1897:M1897)</f>
        <v/>
      </c>
    </row>
    <row r="1898">
      <c r="A1898" s="5">
        <f>IF(AND(C1898&gt;=Options!$B$9,C1898&lt;=Options!$B$10),"Phoenix","")</f>
        <v/>
      </c>
      <c r="B1898" s="5">
        <f>IF(A1898="","",24)</f>
        <v/>
      </c>
      <c r="C1898" s="17" t="n">
        <v>46364</v>
      </c>
      <c r="D1898" s="5">
        <f>IF(A1898="","",IF(C1898=DATE(2026,11,29),"培训；注册午餐；早餐参数",IF(C1898=DATE(2026,11,30),"培训；注册午餐",IF(C1898=DATE(2026,12,1),"培训；注册午餐；机构晚餐",IF(C1898=Options!$B$9,"抵达；"&amp;IF(C1898=DATE(2026,11,28),"机构晚餐","无统一供餐"),IF(C1898=Options!$B$10,"返程；"&amp;IF(C1898=DATE(2026,12,2),"机构午餐","无统一供餐"),"差旅状态；无统一日程"))))))</f>
        <v/>
      </c>
      <c r="E1898" s="13">
        <f>IF(C1898=Options!$B$9,Options!$C$19,0)</f>
        <v/>
      </c>
      <c r="F1898" s="13">
        <f>IF(AND(A1898&lt;&gt;"",C1898&lt;Options!$B$10),B1898*Options!$X$7,0)</f>
        <v/>
      </c>
      <c r="G1898" s="13">
        <f>F1898*12%</f>
        <v/>
      </c>
      <c r="H1898" s="13">
        <f>IF(A1898="",0,B1898*(86*IF(OR(C1898=Options!$B$9,C1898=Options!$B$10),75%,100%)-IF(C1898=DATE(2026,11,29),23+IF(Options!$B$8="是",22,0),0)-IF(C1898=DATE(2026,11,30),23,0)-IF(C1898=DATE(2026,12,1),59,0)-IF(C1898=DATE(2026,11,28),36,0)-IF(C1898=DATE(2026,12,2),23,0)))</f>
        <v/>
      </c>
      <c r="I1898" s="13">
        <f>IF(AND(C1898&gt;=DATE(2026,11,29),C1898&lt;=DATE(2026,12,1)),B1898*60,0)</f>
        <v/>
      </c>
      <c r="J1898" s="13">
        <f>IF(A1898="",0,B1898*(IF(C1898=DATE(2026,11,28),36,0)+IF(C1898=DATE(2026,12,1),36,0)+IF(C1898=DATE(2026,12,2),23,0)))</f>
        <v/>
      </c>
      <c r="K1898" s="13">
        <f>IF(C1898=Options!$B$9,B1898*12,0)</f>
        <v/>
      </c>
      <c r="L1898" s="13">
        <f>IF(C1898=Options!$B$9,B1898*Options!$Z$7,0)</f>
        <v/>
      </c>
      <c r="M1898" s="13" t="n">
        <v>0</v>
      </c>
      <c r="N1898" s="13">
        <f>SUM(E1898:M1898)</f>
        <v/>
      </c>
    </row>
    <row r="1899">
      <c r="A1899" s="5">
        <f>IF(AND(C1899&gt;=Options!$B$9,C1899&lt;=Options!$B$10),"Phoenix","")</f>
        <v/>
      </c>
      <c r="B1899" s="5">
        <f>IF(A1899="","",24)</f>
        <v/>
      </c>
      <c r="C1899" s="17" t="n">
        <v>46365</v>
      </c>
      <c r="D1899" s="5">
        <f>IF(A1899="","",IF(C1899=DATE(2026,11,29),"培训；注册午餐；早餐参数",IF(C1899=DATE(2026,11,30),"培训；注册午餐",IF(C1899=DATE(2026,12,1),"培训；注册午餐；机构晚餐",IF(C1899=Options!$B$9,"抵达；"&amp;IF(C1899=DATE(2026,11,28),"机构晚餐","无统一供餐"),IF(C1899=Options!$B$10,"返程；"&amp;IF(C1899=DATE(2026,12,2),"机构午餐","无统一供餐"),"差旅状态；无统一日程"))))))</f>
        <v/>
      </c>
      <c r="E1899" s="13">
        <f>IF(C1899=Options!$B$9,Options!$C$19,0)</f>
        <v/>
      </c>
      <c r="F1899" s="13">
        <f>IF(AND(A1899&lt;&gt;"",C1899&lt;Options!$B$10),B1899*Options!$X$7,0)</f>
        <v/>
      </c>
      <c r="G1899" s="13">
        <f>F1899*12%</f>
        <v/>
      </c>
      <c r="H1899" s="13">
        <f>IF(A1899="",0,B1899*(86*IF(OR(C1899=Options!$B$9,C1899=Options!$B$10),75%,100%)-IF(C1899=DATE(2026,11,29),23+IF(Options!$B$8="是",22,0),0)-IF(C1899=DATE(2026,11,30),23,0)-IF(C1899=DATE(2026,12,1),59,0)-IF(C1899=DATE(2026,11,28),36,0)-IF(C1899=DATE(2026,12,2),23,0)))</f>
        <v/>
      </c>
      <c r="I1899" s="13">
        <f>IF(AND(C1899&gt;=DATE(2026,11,29),C1899&lt;=DATE(2026,12,1)),B1899*60,0)</f>
        <v/>
      </c>
      <c r="J1899" s="13">
        <f>IF(A1899="",0,B1899*(IF(C1899=DATE(2026,11,28),36,0)+IF(C1899=DATE(2026,12,1),36,0)+IF(C1899=DATE(2026,12,2),23,0)))</f>
        <v/>
      </c>
      <c r="K1899" s="13">
        <f>IF(C1899=Options!$B$9,B1899*12,0)</f>
        <v/>
      </c>
      <c r="L1899" s="13">
        <f>IF(C1899=Options!$B$9,B1899*Options!$Z$7,0)</f>
        <v/>
      </c>
      <c r="M1899" s="13" t="n">
        <v>0</v>
      </c>
      <c r="N1899" s="13">
        <f>SUM(E1899:M1899)</f>
        <v/>
      </c>
    </row>
    <row r="1900">
      <c r="A1900" s="5">
        <f>IF(AND(C1900&gt;=Options!$B$9,C1900&lt;=Options!$B$10),"Phoenix","")</f>
        <v/>
      </c>
      <c r="B1900" s="5">
        <f>IF(A1900="","",24)</f>
        <v/>
      </c>
      <c r="C1900" s="17" t="n">
        <v>46366</v>
      </c>
      <c r="D1900" s="5">
        <f>IF(A1900="","",IF(C1900=DATE(2026,11,29),"培训；注册午餐；早餐参数",IF(C1900=DATE(2026,11,30),"培训；注册午餐",IF(C1900=DATE(2026,12,1),"培训；注册午餐；机构晚餐",IF(C1900=Options!$B$9,"抵达；"&amp;IF(C1900=DATE(2026,11,28),"机构晚餐","无统一供餐"),IF(C1900=Options!$B$10,"返程；"&amp;IF(C1900=DATE(2026,12,2),"机构午餐","无统一供餐"),"差旅状态；无统一日程"))))))</f>
        <v/>
      </c>
      <c r="E1900" s="13">
        <f>IF(C1900=Options!$B$9,Options!$C$19,0)</f>
        <v/>
      </c>
      <c r="F1900" s="13">
        <f>IF(AND(A1900&lt;&gt;"",C1900&lt;Options!$B$10),B1900*Options!$X$7,0)</f>
        <v/>
      </c>
      <c r="G1900" s="13">
        <f>F1900*12%</f>
        <v/>
      </c>
      <c r="H1900" s="13">
        <f>IF(A1900="",0,B1900*(86*IF(OR(C1900=Options!$B$9,C1900=Options!$B$10),75%,100%)-IF(C1900=DATE(2026,11,29),23+IF(Options!$B$8="是",22,0),0)-IF(C1900=DATE(2026,11,30),23,0)-IF(C1900=DATE(2026,12,1),59,0)-IF(C1900=DATE(2026,11,28),36,0)-IF(C1900=DATE(2026,12,2),23,0)))</f>
        <v/>
      </c>
      <c r="I1900" s="13">
        <f>IF(AND(C1900&gt;=DATE(2026,11,29),C1900&lt;=DATE(2026,12,1)),B1900*60,0)</f>
        <v/>
      </c>
      <c r="J1900" s="13">
        <f>IF(A1900="",0,B1900*(IF(C1900=DATE(2026,11,28),36,0)+IF(C1900=DATE(2026,12,1),36,0)+IF(C1900=DATE(2026,12,2),23,0)))</f>
        <v/>
      </c>
      <c r="K1900" s="13">
        <f>IF(C1900=Options!$B$9,B1900*12,0)</f>
        <v/>
      </c>
      <c r="L1900" s="13">
        <f>IF(C1900=Options!$B$9,B1900*Options!$Z$7,0)</f>
        <v/>
      </c>
      <c r="M1900" s="13" t="n">
        <v>0</v>
      </c>
      <c r="N1900" s="13">
        <f>SUM(E1900:M1900)</f>
        <v/>
      </c>
    </row>
    <row r="1901">
      <c r="A1901" s="5">
        <f>IF(AND(C1901&gt;=Options!$B$9,C1901&lt;=Options!$B$10),"Phoenix","")</f>
        <v/>
      </c>
      <c r="B1901" s="5">
        <f>IF(A1901="","",24)</f>
        <v/>
      </c>
      <c r="C1901" s="17" t="n">
        <v>46367</v>
      </c>
      <c r="D1901" s="5">
        <f>IF(A1901="","",IF(C1901=DATE(2026,11,29),"培训；注册午餐；早餐参数",IF(C1901=DATE(2026,11,30),"培训；注册午餐",IF(C1901=DATE(2026,12,1),"培训；注册午餐；机构晚餐",IF(C1901=Options!$B$9,"抵达；"&amp;IF(C1901=DATE(2026,11,28),"机构晚餐","无统一供餐"),IF(C1901=Options!$B$10,"返程；"&amp;IF(C1901=DATE(2026,12,2),"机构午餐","无统一供餐"),"差旅状态；无统一日程"))))))</f>
        <v/>
      </c>
      <c r="E1901" s="13">
        <f>IF(C1901=Options!$B$9,Options!$C$19,0)</f>
        <v/>
      </c>
      <c r="F1901" s="13">
        <f>IF(AND(A1901&lt;&gt;"",C1901&lt;Options!$B$10),B1901*Options!$X$7,0)</f>
        <v/>
      </c>
      <c r="G1901" s="13">
        <f>F1901*12%</f>
        <v/>
      </c>
      <c r="H1901" s="13">
        <f>IF(A1901="",0,B1901*(86*IF(OR(C1901=Options!$B$9,C1901=Options!$B$10),75%,100%)-IF(C1901=DATE(2026,11,29),23+IF(Options!$B$8="是",22,0),0)-IF(C1901=DATE(2026,11,30),23,0)-IF(C1901=DATE(2026,12,1),59,0)-IF(C1901=DATE(2026,11,28),36,0)-IF(C1901=DATE(2026,12,2),23,0)))</f>
        <v/>
      </c>
      <c r="I1901" s="13">
        <f>IF(AND(C1901&gt;=DATE(2026,11,29),C1901&lt;=DATE(2026,12,1)),B1901*60,0)</f>
        <v/>
      </c>
      <c r="J1901" s="13">
        <f>IF(A1901="",0,B1901*(IF(C1901=DATE(2026,11,28),36,0)+IF(C1901=DATE(2026,12,1),36,0)+IF(C1901=DATE(2026,12,2),23,0)))</f>
        <v/>
      </c>
      <c r="K1901" s="13">
        <f>IF(C1901=Options!$B$9,B1901*12,0)</f>
        <v/>
      </c>
      <c r="L1901" s="13">
        <f>IF(C1901=Options!$B$9,B1901*Options!$Z$7,0)</f>
        <v/>
      </c>
      <c r="M1901" s="13" t="n">
        <v>0</v>
      </c>
      <c r="N1901" s="13">
        <f>SUM(E1901:M1901)</f>
        <v/>
      </c>
    </row>
    <row r="1902">
      <c r="A1902" s="5">
        <f>IF(AND(C1902&gt;=Options!$B$9,C1902&lt;=Options!$B$10),"Phoenix","")</f>
        <v/>
      </c>
      <c r="B1902" s="5">
        <f>IF(A1902="","",24)</f>
        <v/>
      </c>
      <c r="C1902" s="17" t="n">
        <v>46368</v>
      </c>
      <c r="D1902" s="5">
        <f>IF(A1902="","",IF(C1902=DATE(2026,11,29),"培训；注册午餐；早餐参数",IF(C1902=DATE(2026,11,30),"培训；注册午餐",IF(C1902=DATE(2026,12,1),"培训；注册午餐；机构晚餐",IF(C1902=Options!$B$9,"抵达；"&amp;IF(C1902=DATE(2026,11,28),"机构晚餐","无统一供餐"),IF(C1902=Options!$B$10,"返程；"&amp;IF(C1902=DATE(2026,12,2),"机构午餐","无统一供餐"),"差旅状态；无统一日程"))))))</f>
        <v/>
      </c>
      <c r="E1902" s="13">
        <f>IF(C1902=Options!$B$9,Options!$C$19,0)</f>
        <v/>
      </c>
      <c r="F1902" s="13">
        <f>IF(AND(A1902&lt;&gt;"",C1902&lt;Options!$B$10),B1902*Options!$X$7,0)</f>
        <v/>
      </c>
      <c r="G1902" s="13">
        <f>F1902*12%</f>
        <v/>
      </c>
      <c r="H1902" s="13">
        <f>IF(A1902="",0,B1902*(86*IF(OR(C1902=Options!$B$9,C1902=Options!$B$10),75%,100%)-IF(C1902=DATE(2026,11,29),23+IF(Options!$B$8="是",22,0),0)-IF(C1902=DATE(2026,11,30),23,0)-IF(C1902=DATE(2026,12,1),59,0)-IF(C1902=DATE(2026,11,28),36,0)-IF(C1902=DATE(2026,12,2),23,0)))</f>
        <v/>
      </c>
      <c r="I1902" s="13">
        <f>IF(AND(C1902&gt;=DATE(2026,11,29),C1902&lt;=DATE(2026,12,1)),B1902*60,0)</f>
        <v/>
      </c>
      <c r="J1902" s="13">
        <f>IF(A1902="",0,B1902*(IF(C1902=DATE(2026,11,28),36,0)+IF(C1902=DATE(2026,12,1),36,0)+IF(C1902=DATE(2026,12,2),23,0)))</f>
        <v/>
      </c>
      <c r="K1902" s="13">
        <f>IF(C1902=Options!$B$9,B1902*12,0)</f>
        <v/>
      </c>
      <c r="L1902" s="13">
        <f>IF(C1902=Options!$B$9,B1902*Options!$Z$7,0)</f>
        <v/>
      </c>
      <c r="M1902" s="13" t="n">
        <v>0</v>
      </c>
      <c r="N1902" s="13">
        <f>SUM(E1902:M1902)</f>
        <v/>
      </c>
    </row>
    <row r="1903">
      <c r="A1903" s="5">
        <f>IF(AND(C1903&gt;=Options!$B$9,C1903&lt;=Options!$B$10),"Phoenix","")</f>
        <v/>
      </c>
      <c r="B1903" s="5">
        <f>IF(A1903="","",24)</f>
        <v/>
      </c>
      <c r="C1903" s="17" t="n">
        <v>46369</v>
      </c>
      <c r="D1903" s="5">
        <f>IF(A1903="","",IF(C1903=DATE(2026,11,29),"培训；注册午餐；早餐参数",IF(C1903=DATE(2026,11,30),"培训；注册午餐",IF(C1903=DATE(2026,12,1),"培训；注册午餐；机构晚餐",IF(C1903=Options!$B$9,"抵达；"&amp;IF(C1903=DATE(2026,11,28),"机构晚餐","无统一供餐"),IF(C1903=Options!$B$10,"返程；"&amp;IF(C1903=DATE(2026,12,2),"机构午餐","无统一供餐"),"差旅状态；无统一日程"))))))</f>
        <v/>
      </c>
      <c r="E1903" s="13">
        <f>IF(C1903=Options!$B$9,Options!$C$19,0)</f>
        <v/>
      </c>
      <c r="F1903" s="13">
        <f>IF(AND(A1903&lt;&gt;"",C1903&lt;Options!$B$10),B1903*Options!$X$7,0)</f>
        <v/>
      </c>
      <c r="G1903" s="13">
        <f>F1903*12%</f>
        <v/>
      </c>
      <c r="H1903" s="13">
        <f>IF(A1903="",0,B1903*(86*IF(OR(C1903=Options!$B$9,C1903=Options!$B$10),75%,100%)-IF(C1903=DATE(2026,11,29),23+IF(Options!$B$8="是",22,0),0)-IF(C1903=DATE(2026,11,30),23,0)-IF(C1903=DATE(2026,12,1),59,0)-IF(C1903=DATE(2026,11,28),36,0)-IF(C1903=DATE(2026,12,2),23,0)))</f>
        <v/>
      </c>
      <c r="I1903" s="13">
        <f>IF(AND(C1903&gt;=DATE(2026,11,29),C1903&lt;=DATE(2026,12,1)),B1903*60,0)</f>
        <v/>
      </c>
      <c r="J1903" s="13">
        <f>IF(A1903="",0,B1903*(IF(C1903=DATE(2026,11,28),36,0)+IF(C1903=DATE(2026,12,1),36,0)+IF(C1903=DATE(2026,12,2),23,0)))</f>
        <v/>
      </c>
      <c r="K1903" s="13">
        <f>IF(C1903=Options!$B$9,B1903*12,0)</f>
        <v/>
      </c>
      <c r="L1903" s="13">
        <f>IF(C1903=Options!$B$9,B1903*Options!$Z$7,0)</f>
        <v/>
      </c>
      <c r="M1903" s="13" t="n">
        <v>0</v>
      </c>
      <c r="N1903" s="13">
        <f>SUM(E1903:M1903)</f>
        <v/>
      </c>
    </row>
    <row r="1904">
      <c r="A1904" s="5">
        <f>IF(AND(C1904&gt;=Options!$B$9,C1904&lt;=Options!$B$10),"Phoenix","")</f>
        <v/>
      </c>
      <c r="B1904" s="5">
        <f>IF(A1904="","",24)</f>
        <v/>
      </c>
      <c r="C1904" s="17" t="n">
        <v>46370</v>
      </c>
      <c r="D1904" s="5">
        <f>IF(A1904="","",IF(C1904=DATE(2026,11,29),"培训；注册午餐；早餐参数",IF(C1904=DATE(2026,11,30),"培训；注册午餐",IF(C1904=DATE(2026,12,1),"培训；注册午餐；机构晚餐",IF(C1904=Options!$B$9,"抵达；"&amp;IF(C1904=DATE(2026,11,28),"机构晚餐","无统一供餐"),IF(C1904=Options!$B$10,"返程；"&amp;IF(C1904=DATE(2026,12,2),"机构午餐","无统一供餐"),"差旅状态；无统一日程"))))))</f>
        <v/>
      </c>
      <c r="E1904" s="13">
        <f>IF(C1904=Options!$B$9,Options!$C$19,0)</f>
        <v/>
      </c>
      <c r="F1904" s="13">
        <f>IF(AND(A1904&lt;&gt;"",C1904&lt;Options!$B$10),B1904*Options!$X$7,0)</f>
        <v/>
      </c>
      <c r="G1904" s="13">
        <f>F1904*12%</f>
        <v/>
      </c>
      <c r="H1904" s="13">
        <f>IF(A1904="",0,B1904*(86*IF(OR(C1904=Options!$B$9,C1904=Options!$B$10),75%,100%)-IF(C1904=DATE(2026,11,29),23+IF(Options!$B$8="是",22,0),0)-IF(C1904=DATE(2026,11,30),23,0)-IF(C1904=DATE(2026,12,1),59,0)-IF(C1904=DATE(2026,11,28),36,0)-IF(C1904=DATE(2026,12,2),23,0)))</f>
        <v/>
      </c>
      <c r="I1904" s="13">
        <f>IF(AND(C1904&gt;=DATE(2026,11,29),C1904&lt;=DATE(2026,12,1)),B1904*60,0)</f>
        <v/>
      </c>
      <c r="J1904" s="13">
        <f>IF(A1904="",0,B1904*(IF(C1904=DATE(2026,11,28),36,0)+IF(C1904=DATE(2026,12,1),36,0)+IF(C1904=DATE(2026,12,2),23,0)))</f>
        <v/>
      </c>
      <c r="K1904" s="13">
        <f>IF(C1904=Options!$B$9,B1904*12,0)</f>
        <v/>
      </c>
      <c r="L1904" s="13">
        <f>IF(C1904=Options!$B$9,B1904*Options!$Z$7,0)</f>
        <v/>
      </c>
      <c r="M1904" s="13" t="n">
        <v>0</v>
      </c>
      <c r="N1904" s="13">
        <f>SUM(E1904:M1904)</f>
        <v/>
      </c>
    </row>
    <row r="1905">
      <c r="A1905" s="5">
        <f>IF(AND(C1905&gt;=Options!$B$9,C1905&lt;=Options!$B$10),"Phoenix","")</f>
        <v/>
      </c>
      <c r="B1905" s="5">
        <f>IF(A1905="","",24)</f>
        <v/>
      </c>
      <c r="C1905" s="17" t="n">
        <v>46371</v>
      </c>
      <c r="D1905" s="5">
        <f>IF(A1905="","",IF(C1905=DATE(2026,11,29),"培训；注册午餐；早餐参数",IF(C1905=DATE(2026,11,30),"培训；注册午餐",IF(C1905=DATE(2026,12,1),"培训；注册午餐；机构晚餐",IF(C1905=Options!$B$9,"抵达；"&amp;IF(C1905=DATE(2026,11,28),"机构晚餐","无统一供餐"),IF(C1905=Options!$B$10,"返程；"&amp;IF(C1905=DATE(2026,12,2),"机构午餐","无统一供餐"),"差旅状态；无统一日程"))))))</f>
        <v/>
      </c>
      <c r="E1905" s="13">
        <f>IF(C1905=Options!$B$9,Options!$C$19,0)</f>
        <v/>
      </c>
      <c r="F1905" s="13">
        <f>IF(AND(A1905&lt;&gt;"",C1905&lt;Options!$B$10),B1905*Options!$X$7,0)</f>
        <v/>
      </c>
      <c r="G1905" s="13">
        <f>F1905*12%</f>
        <v/>
      </c>
      <c r="H1905" s="13">
        <f>IF(A1905="",0,B1905*(86*IF(OR(C1905=Options!$B$9,C1905=Options!$B$10),75%,100%)-IF(C1905=DATE(2026,11,29),23+IF(Options!$B$8="是",22,0),0)-IF(C1905=DATE(2026,11,30),23,0)-IF(C1905=DATE(2026,12,1),59,0)-IF(C1905=DATE(2026,11,28),36,0)-IF(C1905=DATE(2026,12,2),23,0)))</f>
        <v/>
      </c>
      <c r="I1905" s="13">
        <f>IF(AND(C1905&gt;=DATE(2026,11,29),C1905&lt;=DATE(2026,12,1)),B1905*60,0)</f>
        <v/>
      </c>
      <c r="J1905" s="13">
        <f>IF(A1905="",0,B1905*(IF(C1905=DATE(2026,11,28),36,0)+IF(C1905=DATE(2026,12,1),36,0)+IF(C1905=DATE(2026,12,2),23,0)))</f>
        <v/>
      </c>
      <c r="K1905" s="13">
        <f>IF(C1905=Options!$B$9,B1905*12,0)</f>
        <v/>
      </c>
      <c r="L1905" s="13">
        <f>IF(C1905=Options!$B$9,B1905*Options!$Z$7,0)</f>
        <v/>
      </c>
      <c r="M1905" s="13" t="n">
        <v>0</v>
      </c>
      <c r="N1905" s="13">
        <f>SUM(E1905:M1905)</f>
        <v/>
      </c>
    </row>
    <row r="1906">
      <c r="A1906" s="5">
        <f>IF(AND(C1906&gt;=Options!$B$9,C1906&lt;=Options!$B$10),"Phoenix","")</f>
        <v/>
      </c>
      <c r="B1906" s="5">
        <f>IF(A1906="","",24)</f>
        <v/>
      </c>
      <c r="C1906" s="17" t="n">
        <v>46372</v>
      </c>
      <c r="D1906" s="5">
        <f>IF(A1906="","",IF(C1906=DATE(2026,11,29),"培训；注册午餐；早餐参数",IF(C1906=DATE(2026,11,30),"培训；注册午餐",IF(C1906=DATE(2026,12,1),"培训；注册午餐；机构晚餐",IF(C1906=Options!$B$9,"抵达；"&amp;IF(C1906=DATE(2026,11,28),"机构晚餐","无统一供餐"),IF(C1906=Options!$B$10,"返程；"&amp;IF(C1906=DATE(2026,12,2),"机构午餐","无统一供餐"),"差旅状态；无统一日程"))))))</f>
        <v/>
      </c>
      <c r="E1906" s="13">
        <f>IF(C1906=Options!$B$9,Options!$C$19,0)</f>
        <v/>
      </c>
      <c r="F1906" s="13">
        <f>IF(AND(A1906&lt;&gt;"",C1906&lt;Options!$B$10),B1906*Options!$X$7,0)</f>
        <v/>
      </c>
      <c r="G1906" s="13">
        <f>F1906*12%</f>
        <v/>
      </c>
      <c r="H1906" s="13">
        <f>IF(A1906="",0,B1906*(86*IF(OR(C1906=Options!$B$9,C1906=Options!$B$10),75%,100%)-IF(C1906=DATE(2026,11,29),23+IF(Options!$B$8="是",22,0),0)-IF(C1906=DATE(2026,11,30),23,0)-IF(C1906=DATE(2026,12,1),59,0)-IF(C1906=DATE(2026,11,28),36,0)-IF(C1906=DATE(2026,12,2),23,0)))</f>
        <v/>
      </c>
      <c r="I1906" s="13">
        <f>IF(AND(C1906&gt;=DATE(2026,11,29),C1906&lt;=DATE(2026,12,1)),B1906*60,0)</f>
        <v/>
      </c>
      <c r="J1906" s="13">
        <f>IF(A1906="",0,B1906*(IF(C1906=DATE(2026,11,28),36,0)+IF(C1906=DATE(2026,12,1),36,0)+IF(C1906=DATE(2026,12,2),23,0)))</f>
        <v/>
      </c>
      <c r="K1906" s="13">
        <f>IF(C1906=Options!$B$9,B1906*12,0)</f>
        <v/>
      </c>
      <c r="L1906" s="13">
        <f>IF(C1906=Options!$B$9,B1906*Options!$Z$7,0)</f>
        <v/>
      </c>
      <c r="M1906" s="13" t="n">
        <v>0</v>
      </c>
      <c r="N1906" s="13">
        <f>SUM(E1906:M1906)</f>
        <v/>
      </c>
    </row>
    <row r="1907">
      <c r="A1907" s="5">
        <f>IF(AND(C1907&gt;=Options!$B$9,C1907&lt;=Options!$B$10),"Phoenix","")</f>
        <v/>
      </c>
      <c r="B1907" s="5">
        <f>IF(A1907="","",24)</f>
        <v/>
      </c>
      <c r="C1907" s="17" t="n">
        <v>46373</v>
      </c>
      <c r="D1907" s="5">
        <f>IF(A1907="","",IF(C1907=DATE(2026,11,29),"培训；注册午餐；早餐参数",IF(C1907=DATE(2026,11,30),"培训；注册午餐",IF(C1907=DATE(2026,12,1),"培训；注册午餐；机构晚餐",IF(C1907=Options!$B$9,"抵达；"&amp;IF(C1907=DATE(2026,11,28),"机构晚餐","无统一供餐"),IF(C1907=Options!$B$10,"返程；"&amp;IF(C1907=DATE(2026,12,2),"机构午餐","无统一供餐"),"差旅状态；无统一日程"))))))</f>
        <v/>
      </c>
      <c r="E1907" s="13">
        <f>IF(C1907=Options!$B$9,Options!$C$19,0)</f>
        <v/>
      </c>
      <c r="F1907" s="13">
        <f>IF(AND(A1907&lt;&gt;"",C1907&lt;Options!$B$10),B1907*Options!$X$7,0)</f>
        <v/>
      </c>
      <c r="G1907" s="13">
        <f>F1907*12%</f>
        <v/>
      </c>
      <c r="H1907" s="13">
        <f>IF(A1907="",0,B1907*(86*IF(OR(C1907=Options!$B$9,C1907=Options!$B$10),75%,100%)-IF(C1907=DATE(2026,11,29),23+IF(Options!$B$8="是",22,0),0)-IF(C1907=DATE(2026,11,30),23,0)-IF(C1907=DATE(2026,12,1),59,0)-IF(C1907=DATE(2026,11,28),36,0)-IF(C1907=DATE(2026,12,2),23,0)))</f>
        <v/>
      </c>
      <c r="I1907" s="13">
        <f>IF(AND(C1907&gt;=DATE(2026,11,29),C1907&lt;=DATE(2026,12,1)),B1907*60,0)</f>
        <v/>
      </c>
      <c r="J1907" s="13">
        <f>IF(A1907="",0,B1907*(IF(C1907=DATE(2026,11,28),36,0)+IF(C1907=DATE(2026,12,1),36,0)+IF(C1907=DATE(2026,12,2),23,0)))</f>
        <v/>
      </c>
      <c r="K1907" s="13">
        <f>IF(C1907=Options!$B$9,B1907*12,0)</f>
        <v/>
      </c>
      <c r="L1907" s="13">
        <f>IF(C1907=Options!$B$9,B1907*Options!$Z$7,0)</f>
        <v/>
      </c>
      <c r="M1907" s="13" t="n">
        <v>0</v>
      </c>
      <c r="N1907" s="13">
        <f>SUM(E1907:M1907)</f>
        <v/>
      </c>
    </row>
    <row r="1908">
      <c r="A1908" s="5">
        <f>IF(AND(C1908&gt;=Options!$B$9,C1908&lt;=Options!$B$10),"Phoenix","")</f>
        <v/>
      </c>
      <c r="B1908" s="5">
        <f>IF(A1908="","",24)</f>
        <v/>
      </c>
      <c r="C1908" s="17" t="n">
        <v>46374</v>
      </c>
      <c r="D1908" s="5">
        <f>IF(A1908="","",IF(C1908=DATE(2026,11,29),"培训；注册午餐；早餐参数",IF(C1908=DATE(2026,11,30),"培训；注册午餐",IF(C1908=DATE(2026,12,1),"培训；注册午餐；机构晚餐",IF(C1908=Options!$B$9,"抵达；"&amp;IF(C1908=DATE(2026,11,28),"机构晚餐","无统一供餐"),IF(C1908=Options!$B$10,"返程；"&amp;IF(C1908=DATE(2026,12,2),"机构午餐","无统一供餐"),"差旅状态；无统一日程"))))))</f>
        <v/>
      </c>
      <c r="E1908" s="13">
        <f>IF(C1908=Options!$B$9,Options!$C$19,0)</f>
        <v/>
      </c>
      <c r="F1908" s="13">
        <f>IF(AND(A1908&lt;&gt;"",C1908&lt;Options!$B$10),B1908*Options!$X$7,0)</f>
        <v/>
      </c>
      <c r="G1908" s="13">
        <f>F1908*12%</f>
        <v/>
      </c>
      <c r="H1908" s="13">
        <f>IF(A1908="",0,B1908*(86*IF(OR(C1908=Options!$B$9,C1908=Options!$B$10),75%,100%)-IF(C1908=DATE(2026,11,29),23+IF(Options!$B$8="是",22,0),0)-IF(C1908=DATE(2026,11,30),23,0)-IF(C1908=DATE(2026,12,1),59,0)-IF(C1908=DATE(2026,11,28),36,0)-IF(C1908=DATE(2026,12,2),23,0)))</f>
        <v/>
      </c>
      <c r="I1908" s="13">
        <f>IF(AND(C1908&gt;=DATE(2026,11,29),C1908&lt;=DATE(2026,12,1)),B1908*60,0)</f>
        <v/>
      </c>
      <c r="J1908" s="13">
        <f>IF(A1908="",0,B1908*(IF(C1908=DATE(2026,11,28),36,0)+IF(C1908=DATE(2026,12,1),36,0)+IF(C1908=DATE(2026,12,2),23,0)))</f>
        <v/>
      </c>
      <c r="K1908" s="13">
        <f>IF(C1908=Options!$B$9,B1908*12,0)</f>
        <v/>
      </c>
      <c r="L1908" s="13">
        <f>IF(C1908=Options!$B$9,B1908*Options!$Z$7,0)</f>
        <v/>
      </c>
      <c r="M1908" s="13" t="n">
        <v>0</v>
      </c>
      <c r="N1908" s="13">
        <f>SUM(E1908:M1908)</f>
        <v/>
      </c>
    </row>
    <row r="1909">
      <c r="A1909" s="5">
        <f>IF(AND(C1909&gt;=Options!$B$9,C1909&lt;=Options!$B$10),"Phoenix","")</f>
        <v/>
      </c>
      <c r="B1909" s="5">
        <f>IF(A1909="","",24)</f>
        <v/>
      </c>
      <c r="C1909" s="17" t="n">
        <v>46375</v>
      </c>
      <c r="D1909" s="5">
        <f>IF(A1909="","",IF(C1909=DATE(2026,11,29),"培训；注册午餐；早餐参数",IF(C1909=DATE(2026,11,30),"培训；注册午餐",IF(C1909=DATE(2026,12,1),"培训；注册午餐；机构晚餐",IF(C1909=Options!$B$9,"抵达；"&amp;IF(C1909=DATE(2026,11,28),"机构晚餐","无统一供餐"),IF(C1909=Options!$B$10,"返程；"&amp;IF(C1909=DATE(2026,12,2),"机构午餐","无统一供餐"),"差旅状态；无统一日程"))))))</f>
        <v/>
      </c>
      <c r="E1909" s="13">
        <f>IF(C1909=Options!$B$9,Options!$C$19,0)</f>
        <v/>
      </c>
      <c r="F1909" s="13">
        <f>IF(AND(A1909&lt;&gt;"",C1909&lt;Options!$B$10),B1909*Options!$X$7,0)</f>
        <v/>
      </c>
      <c r="G1909" s="13">
        <f>F1909*12%</f>
        <v/>
      </c>
      <c r="H1909" s="13">
        <f>IF(A1909="",0,B1909*(86*IF(OR(C1909=Options!$B$9,C1909=Options!$B$10),75%,100%)-IF(C1909=DATE(2026,11,29),23+IF(Options!$B$8="是",22,0),0)-IF(C1909=DATE(2026,11,30),23,0)-IF(C1909=DATE(2026,12,1),59,0)-IF(C1909=DATE(2026,11,28),36,0)-IF(C1909=DATE(2026,12,2),23,0)))</f>
        <v/>
      </c>
      <c r="I1909" s="13">
        <f>IF(AND(C1909&gt;=DATE(2026,11,29),C1909&lt;=DATE(2026,12,1)),B1909*60,0)</f>
        <v/>
      </c>
      <c r="J1909" s="13">
        <f>IF(A1909="",0,B1909*(IF(C1909=DATE(2026,11,28),36,0)+IF(C1909=DATE(2026,12,1),36,0)+IF(C1909=DATE(2026,12,2),23,0)))</f>
        <v/>
      </c>
      <c r="K1909" s="13">
        <f>IF(C1909=Options!$B$9,B1909*12,0)</f>
        <v/>
      </c>
      <c r="L1909" s="13">
        <f>IF(C1909=Options!$B$9,B1909*Options!$Z$7,0)</f>
        <v/>
      </c>
      <c r="M1909" s="13" t="n">
        <v>0</v>
      </c>
      <c r="N1909" s="13">
        <f>SUM(E1909:M1909)</f>
        <v/>
      </c>
    </row>
    <row r="1910">
      <c r="A1910" s="5">
        <f>IF(AND(C1910&gt;=Options!$B$9,C1910&lt;=Options!$B$10),"Phoenix","")</f>
        <v/>
      </c>
      <c r="B1910" s="5">
        <f>IF(A1910="","",24)</f>
        <v/>
      </c>
      <c r="C1910" s="17" t="n">
        <v>46376</v>
      </c>
      <c r="D1910" s="5">
        <f>IF(A1910="","",IF(C1910=DATE(2026,11,29),"培训；注册午餐；早餐参数",IF(C1910=DATE(2026,11,30),"培训；注册午餐",IF(C1910=DATE(2026,12,1),"培训；注册午餐；机构晚餐",IF(C1910=Options!$B$9,"抵达；"&amp;IF(C1910=DATE(2026,11,28),"机构晚餐","无统一供餐"),IF(C1910=Options!$B$10,"返程；"&amp;IF(C1910=DATE(2026,12,2),"机构午餐","无统一供餐"),"差旅状态；无统一日程"))))))</f>
        <v/>
      </c>
      <c r="E1910" s="13">
        <f>IF(C1910=Options!$B$9,Options!$C$19,0)</f>
        <v/>
      </c>
      <c r="F1910" s="13">
        <f>IF(AND(A1910&lt;&gt;"",C1910&lt;Options!$B$10),B1910*Options!$X$7,0)</f>
        <v/>
      </c>
      <c r="G1910" s="13">
        <f>F1910*12%</f>
        <v/>
      </c>
      <c r="H1910" s="13">
        <f>IF(A1910="",0,B1910*(86*IF(OR(C1910=Options!$B$9,C1910=Options!$B$10),75%,100%)-IF(C1910=DATE(2026,11,29),23+IF(Options!$B$8="是",22,0),0)-IF(C1910=DATE(2026,11,30),23,0)-IF(C1910=DATE(2026,12,1),59,0)-IF(C1910=DATE(2026,11,28),36,0)-IF(C1910=DATE(2026,12,2),23,0)))</f>
        <v/>
      </c>
      <c r="I1910" s="13">
        <f>IF(AND(C1910&gt;=DATE(2026,11,29),C1910&lt;=DATE(2026,12,1)),B1910*60,0)</f>
        <v/>
      </c>
      <c r="J1910" s="13">
        <f>IF(A1910="",0,B1910*(IF(C1910=DATE(2026,11,28),36,0)+IF(C1910=DATE(2026,12,1),36,0)+IF(C1910=DATE(2026,12,2),23,0)))</f>
        <v/>
      </c>
      <c r="K1910" s="13">
        <f>IF(C1910=Options!$B$9,B1910*12,0)</f>
        <v/>
      </c>
      <c r="L1910" s="13">
        <f>IF(C1910=Options!$B$9,B1910*Options!$Z$7,0)</f>
        <v/>
      </c>
      <c r="M1910" s="13" t="n">
        <v>0</v>
      </c>
      <c r="N1910" s="13">
        <f>SUM(E1910:M1910)</f>
        <v/>
      </c>
    </row>
    <row r="1911">
      <c r="A1911" s="5">
        <f>IF(AND(C1911&gt;=Options!$B$9,C1911&lt;=Options!$B$10),"Phoenix","")</f>
        <v/>
      </c>
      <c r="B1911" s="5">
        <f>IF(A1911="","",24)</f>
        <v/>
      </c>
      <c r="C1911" s="17" t="n">
        <v>46377</v>
      </c>
      <c r="D1911" s="5">
        <f>IF(A1911="","",IF(C1911=DATE(2026,11,29),"培训；注册午餐；早餐参数",IF(C1911=DATE(2026,11,30),"培训；注册午餐",IF(C1911=DATE(2026,12,1),"培训；注册午餐；机构晚餐",IF(C1911=Options!$B$9,"抵达；"&amp;IF(C1911=DATE(2026,11,28),"机构晚餐","无统一供餐"),IF(C1911=Options!$B$10,"返程；"&amp;IF(C1911=DATE(2026,12,2),"机构午餐","无统一供餐"),"差旅状态；无统一日程"))))))</f>
        <v/>
      </c>
      <c r="E1911" s="13">
        <f>IF(C1911=Options!$B$9,Options!$C$19,0)</f>
        <v/>
      </c>
      <c r="F1911" s="13">
        <f>IF(AND(A1911&lt;&gt;"",C1911&lt;Options!$B$10),B1911*Options!$X$7,0)</f>
        <v/>
      </c>
      <c r="G1911" s="13">
        <f>F1911*12%</f>
        <v/>
      </c>
      <c r="H1911" s="13">
        <f>IF(A1911="",0,B1911*(86*IF(OR(C1911=Options!$B$9,C1911=Options!$B$10),75%,100%)-IF(C1911=DATE(2026,11,29),23+IF(Options!$B$8="是",22,0),0)-IF(C1911=DATE(2026,11,30),23,0)-IF(C1911=DATE(2026,12,1),59,0)-IF(C1911=DATE(2026,11,28),36,0)-IF(C1911=DATE(2026,12,2),23,0)))</f>
        <v/>
      </c>
      <c r="I1911" s="13">
        <f>IF(AND(C1911&gt;=DATE(2026,11,29),C1911&lt;=DATE(2026,12,1)),B1911*60,0)</f>
        <v/>
      </c>
      <c r="J1911" s="13">
        <f>IF(A1911="",0,B1911*(IF(C1911=DATE(2026,11,28),36,0)+IF(C1911=DATE(2026,12,1),36,0)+IF(C1911=DATE(2026,12,2),23,0)))</f>
        <v/>
      </c>
      <c r="K1911" s="13">
        <f>IF(C1911=Options!$B$9,B1911*12,0)</f>
        <v/>
      </c>
      <c r="L1911" s="13">
        <f>IF(C1911=Options!$B$9,B1911*Options!$Z$7,0)</f>
        <v/>
      </c>
      <c r="M1911" s="13" t="n">
        <v>0</v>
      </c>
      <c r="N1911" s="13">
        <f>SUM(E1911:M1911)</f>
        <v/>
      </c>
    </row>
    <row r="1912">
      <c r="A1912" s="5">
        <f>IF(AND(C1912&gt;=Options!$B$9,C1912&lt;=Options!$B$10),"Phoenix","")</f>
        <v/>
      </c>
      <c r="B1912" s="5">
        <f>IF(A1912="","",24)</f>
        <v/>
      </c>
      <c r="C1912" s="17" t="n">
        <v>46378</v>
      </c>
      <c r="D1912" s="5">
        <f>IF(A1912="","",IF(C1912=DATE(2026,11,29),"培训；注册午餐；早餐参数",IF(C1912=DATE(2026,11,30),"培训；注册午餐",IF(C1912=DATE(2026,12,1),"培训；注册午餐；机构晚餐",IF(C1912=Options!$B$9,"抵达；"&amp;IF(C1912=DATE(2026,11,28),"机构晚餐","无统一供餐"),IF(C1912=Options!$B$10,"返程；"&amp;IF(C1912=DATE(2026,12,2),"机构午餐","无统一供餐"),"差旅状态；无统一日程"))))))</f>
        <v/>
      </c>
      <c r="E1912" s="13">
        <f>IF(C1912=Options!$B$9,Options!$C$19,0)</f>
        <v/>
      </c>
      <c r="F1912" s="13">
        <f>IF(AND(A1912&lt;&gt;"",C1912&lt;Options!$B$10),B1912*Options!$X$7,0)</f>
        <v/>
      </c>
      <c r="G1912" s="13">
        <f>F1912*12%</f>
        <v/>
      </c>
      <c r="H1912" s="13">
        <f>IF(A1912="",0,B1912*(86*IF(OR(C1912=Options!$B$9,C1912=Options!$B$10),75%,100%)-IF(C1912=DATE(2026,11,29),23+IF(Options!$B$8="是",22,0),0)-IF(C1912=DATE(2026,11,30),23,0)-IF(C1912=DATE(2026,12,1),59,0)-IF(C1912=DATE(2026,11,28),36,0)-IF(C1912=DATE(2026,12,2),23,0)))</f>
        <v/>
      </c>
      <c r="I1912" s="13">
        <f>IF(AND(C1912&gt;=DATE(2026,11,29),C1912&lt;=DATE(2026,12,1)),B1912*60,0)</f>
        <v/>
      </c>
      <c r="J1912" s="13">
        <f>IF(A1912="",0,B1912*(IF(C1912=DATE(2026,11,28),36,0)+IF(C1912=DATE(2026,12,1),36,0)+IF(C1912=DATE(2026,12,2),23,0)))</f>
        <v/>
      </c>
      <c r="K1912" s="13">
        <f>IF(C1912=Options!$B$9,B1912*12,0)</f>
        <v/>
      </c>
      <c r="L1912" s="13">
        <f>IF(C1912=Options!$B$9,B1912*Options!$Z$7,0)</f>
        <v/>
      </c>
      <c r="M1912" s="13" t="n">
        <v>0</v>
      </c>
      <c r="N1912" s="13">
        <f>SUM(E1912:M1912)</f>
        <v/>
      </c>
    </row>
    <row r="1913">
      <c r="A1913" s="5">
        <f>IF(AND(C1913&gt;=Options!$B$9,C1913&lt;=Options!$B$10),"Phoenix","")</f>
        <v/>
      </c>
      <c r="B1913" s="5">
        <f>IF(A1913="","",24)</f>
        <v/>
      </c>
      <c r="C1913" s="17" t="n">
        <v>46379</v>
      </c>
      <c r="D1913" s="5">
        <f>IF(A1913="","",IF(C1913=DATE(2026,11,29),"培训；注册午餐；早餐参数",IF(C1913=DATE(2026,11,30),"培训；注册午餐",IF(C1913=DATE(2026,12,1),"培训；注册午餐；机构晚餐",IF(C1913=Options!$B$9,"抵达；"&amp;IF(C1913=DATE(2026,11,28),"机构晚餐","无统一供餐"),IF(C1913=Options!$B$10,"返程；"&amp;IF(C1913=DATE(2026,12,2),"机构午餐","无统一供餐"),"差旅状态；无统一日程"))))))</f>
        <v/>
      </c>
      <c r="E1913" s="13">
        <f>IF(C1913=Options!$B$9,Options!$C$19,0)</f>
        <v/>
      </c>
      <c r="F1913" s="13">
        <f>IF(AND(A1913&lt;&gt;"",C1913&lt;Options!$B$10),B1913*Options!$X$7,0)</f>
        <v/>
      </c>
      <c r="G1913" s="13">
        <f>F1913*12%</f>
        <v/>
      </c>
      <c r="H1913" s="13">
        <f>IF(A1913="",0,B1913*(86*IF(OR(C1913=Options!$B$9,C1913=Options!$B$10),75%,100%)-IF(C1913=DATE(2026,11,29),23+IF(Options!$B$8="是",22,0),0)-IF(C1913=DATE(2026,11,30),23,0)-IF(C1913=DATE(2026,12,1),59,0)-IF(C1913=DATE(2026,11,28),36,0)-IF(C1913=DATE(2026,12,2),23,0)))</f>
        <v/>
      </c>
      <c r="I1913" s="13">
        <f>IF(AND(C1913&gt;=DATE(2026,11,29),C1913&lt;=DATE(2026,12,1)),B1913*60,0)</f>
        <v/>
      </c>
      <c r="J1913" s="13">
        <f>IF(A1913="",0,B1913*(IF(C1913=DATE(2026,11,28),36,0)+IF(C1913=DATE(2026,12,1),36,0)+IF(C1913=DATE(2026,12,2),23,0)))</f>
        <v/>
      </c>
      <c r="K1913" s="13">
        <f>IF(C1913=Options!$B$9,B1913*12,0)</f>
        <v/>
      </c>
      <c r="L1913" s="13">
        <f>IF(C1913=Options!$B$9,B1913*Options!$Z$7,0)</f>
        <v/>
      </c>
      <c r="M1913" s="13" t="n">
        <v>0</v>
      </c>
      <c r="N1913" s="13">
        <f>SUM(E1913:M1913)</f>
        <v/>
      </c>
    </row>
    <row r="1914">
      <c r="A1914" s="5">
        <f>IF(AND(C1914&gt;=Options!$B$9,C1914&lt;=Options!$B$10),"Phoenix","")</f>
        <v/>
      </c>
      <c r="B1914" s="5">
        <f>IF(A1914="","",24)</f>
        <v/>
      </c>
      <c r="C1914" s="17" t="n">
        <v>46380</v>
      </c>
      <c r="D1914" s="5">
        <f>IF(A1914="","",IF(C1914=DATE(2026,11,29),"培训；注册午餐；早餐参数",IF(C1914=DATE(2026,11,30),"培训；注册午餐",IF(C1914=DATE(2026,12,1),"培训；注册午餐；机构晚餐",IF(C1914=Options!$B$9,"抵达；"&amp;IF(C1914=DATE(2026,11,28),"机构晚餐","无统一供餐"),IF(C1914=Options!$B$10,"返程；"&amp;IF(C1914=DATE(2026,12,2),"机构午餐","无统一供餐"),"差旅状态；无统一日程"))))))</f>
        <v/>
      </c>
      <c r="E1914" s="13">
        <f>IF(C1914=Options!$B$9,Options!$C$19,0)</f>
        <v/>
      </c>
      <c r="F1914" s="13">
        <f>IF(AND(A1914&lt;&gt;"",C1914&lt;Options!$B$10),B1914*Options!$X$7,0)</f>
        <v/>
      </c>
      <c r="G1914" s="13">
        <f>F1914*12%</f>
        <v/>
      </c>
      <c r="H1914" s="13">
        <f>IF(A1914="",0,B1914*(86*IF(OR(C1914=Options!$B$9,C1914=Options!$B$10),75%,100%)-IF(C1914=DATE(2026,11,29),23+IF(Options!$B$8="是",22,0),0)-IF(C1914=DATE(2026,11,30),23,0)-IF(C1914=DATE(2026,12,1),59,0)-IF(C1914=DATE(2026,11,28),36,0)-IF(C1914=DATE(2026,12,2),23,0)))</f>
        <v/>
      </c>
      <c r="I1914" s="13">
        <f>IF(AND(C1914&gt;=DATE(2026,11,29),C1914&lt;=DATE(2026,12,1)),B1914*60,0)</f>
        <v/>
      </c>
      <c r="J1914" s="13">
        <f>IF(A1914="",0,B1914*(IF(C1914=DATE(2026,11,28),36,0)+IF(C1914=DATE(2026,12,1),36,0)+IF(C1914=DATE(2026,12,2),23,0)))</f>
        <v/>
      </c>
      <c r="K1914" s="13">
        <f>IF(C1914=Options!$B$9,B1914*12,0)</f>
        <v/>
      </c>
      <c r="L1914" s="13">
        <f>IF(C1914=Options!$B$9,B1914*Options!$Z$7,0)</f>
        <v/>
      </c>
      <c r="M1914" s="13" t="n">
        <v>0</v>
      </c>
      <c r="N1914" s="13">
        <f>SUM(E1914:M1914)</f>
        <v/>
      </c>
    </row>
    <row r="1915">
      <c r="A1915" s="5">
        <f>IF(AND(C1915&gt;=Options!$B$9,C1915&lt;=Options!$B$10),"Phoenix","")</f>
        <v/>
      </c>
      <c r="B1915" s="5">
        <f>IF(A1915="","",24)</f>
        <v/>
      </c>
      <c r="C1915" s="17" t="n">
        <v>46381</v>
      </c>
      <c r="D1915" s="5">
        <f>IF(A1915="","",IF(C1915=DATE(2026,11,29),"培训；注册午餐；早餐参数",IF(C1915=DATE(2026,11,30),"培训；注册午餐",IF(C1915=DATE(2026,12,1),"培训；注册午餐；机构晚餐",IF(C1915=Options!$B$9,"抵达；"&amp;IF(C1915=DATE(2026,11,28),"机构晚餐","无统一供餐"),IF(C1915=Options!$B$10,"返程；"&amp;IF(C1915=DATE(2026,12,2),"机构午餐","无统一供餐"),"差旅状态；无统一日程"))))))</f>
        <v/>
      </c>
      <c r="E1915" s="13">
        <f>IF(C1915=Options!$B$9,Options!$C$19,0)</f>
        <v/>
      </c>
      <c r="F1915" s="13">
        <f>IF(AND(A1915&lt;&gt;"",C1915&lt;Options!$B$10),B1915*Options!$X$7,0)</f>
        <v/>
      </c>
      <c r="G1915" s="13">
        <f>F1915*12%</f>
        <v/>
      </c>
      <c r="H1915" s="13">
        <f>IF(A1915="",0,B1915*(86*IF(OR(C1915=Options!$B$9,C1915=Options!$B$10),75%,100%)-IF(C1915=DATE(2026,11,29),23+IF(Options!$B$8="是",22,0),0)-IF(C1915=DATE(2026,11,30),23,0)-IF(C1915=DATE(2026,12,1),59,0)-IF(C1915=DATE(2026,11,28),36,0)-IF(C1915=DATE(2026,12,2),23,0)))</f>
        <v/>
      </c>
      <c r="I1915" s="13">
        <f>IF(AND(C1915&gt;=DATE(2026,11,29),C1915&lt;=DATE(2026,12,1)),B1915*60,0)</f>
        <v/>
      </c>
      <c r="J1915" s="13">
        <f>IF(A1915="",0,B1915*(IF(C1915=DATE(2026,11,28),36,0)+IF(C1915=DATE(2026,12,1),36,0)+IF(C1915=DATE(2026,12,2),23,0)))</f>
        <v/>
      </c>
      <c r="K1915" s="13">
        <f>IF(C1915=Options!$B$9,B1915*12,0)</f>
        <v/>
      </c>
      <c r="L1915" s="13">
        <f>IF(C1915=Options!$B$9,B1915*Options!$Z$7,0)</f>
        <v/>
      </c>
      <c r="M1915" s="13" t="n">
        <v>0</v>
      </c>
      <c r="N1915" s="13">
        <f>SUM(E1915:M1915)</f>
        <v/>
      </c>
    </row>
    <row r="1916">
      <c r="A1916" s="5">
        <f>IF(AND(C1916&gt;=Options!$B$9,C1916&lt;=Options!$B$10),"Phoenix","")</f>
        <v/>
      </c>
      <c r="B1916" s="5">
        <f>IF(A1916="","",24)</f>
        <v/>
      </c>
      <c r="C1916" s="17" t="n">
        <v>46382</v>
      </c>
      <c r="D1916" s="5">
        <f>IF(A1916="","",IF(C1916=DATE(2026,11,29),"培训；注册午餐；早餐参数",IF(C1916=DATE(2026,11,30),"培训；注册午餐",IF(C1916=DATE(2026,12,1),"培训；注册午餐；机构晚餐",IF(C1916=Options!$B$9,"抵达；"&amp;IF(C1916=DATE(2026,11,28),"机构晚餐","无统一供餐"),IF(C1916=Options!$B$10,"返程；"&amp;IF(C1916=DATE(2026,12,2),"机构午餐","无统一供餐"),"差旅状态；无统一日程"))))))</f>
        <v/>
      </c>
      <c r="E1916" s="13">
        <f>IF(C1916=Options!$B$9,Options!$C$19,0)</f>
        <v/>
      </c>
      <c r="F1916" s="13">
        <f>IF(AND(A1916&lt;&gt;"",C1916&lt;Options!$B$10),B1916*Options!$X$7,0)</f>
        <v/>
      </c>
      <c r="G1916" s="13">
        <f>F1916*12%</f>
        <v/>
      </c>
      <c r="H1916" s="13">
        <f>IF(A1916="",0,B1916*(86*IF(OR(C1916=Options!$B$9,C1916=Options!$B$10),75%,100%)-IF(C1916=DATE(2026,11,29),23+IF(Options!$B$8="是",22,0),0)-IF(C1916=DATE(2026,11,30),23,0)-IF(C1916=DATE(2026,12,1),59,0)-IF(C1916=DATE(2026,11,28),36,0)-IF(C1916=DATE(2026,12,2),23,0)))</f>
        <v/>
      </c>
      <c r="I1916" s="13">
        <f>IF(AND(C1916&gt;=DATE(2026,11,29),C1916&lt;=DATE(2026,12,1)),B1916*60,0)</f>
        <v/>
      </c>
      <c r="J1916" s="13">
        <f>IF(A1916="",0,B1916*(IF(C1916=DATE(2026,11,28),36,0)+IF(C1916=DATE(2026,12,1),36,0)+IF(C1916=DATE(2026,12,2),23,0)))</f>
        <v/>
      </c>
      <c r="K1916" s="13">
        <f>IF(C1916=Options!$B$9,B1916*12,0)</f>
        <v/>
      </c>
      <c r="L1916" s="13">
        <f>IF(C1916=Options!$B$9,B1916*Options!$Z$7,0)</f>
        <v/>
      </c>
      <c r="M1916" s="13" t="n">
        <v>0</v>
      </c>
      <c r="N1916" s="13">
        <f>SUM(E1916:M1916)</f>
        <v/>
      </c>
    </row>
    <row r="1917">
      <c r="A1917" s="5">
        <f>IF(AND(C1917&gt;=Options!$B$9,C1917&lt;=Options!$B$10),"Phoenix","")</f>
        <v/>
      </c>
      <c r="B1917" s="5">
        <f>IF(A1917="","",24)</f>
        <v/>
      </c>
      <c r="C1917" s="17" t="n">
        <v>46383</v>
      </c>
      <c r="D1917" s="5">
        <f>IF(A1917="","",IF(C1917=DATE(2026,11,29),"培训；注册午餐；早餐参数",IF(C1917=DATE(2026,11,30),"培训；注册午餐",IF(C1917=DATE(2026,12,1),"培训；注册午餐；机构晚餐",IF(C1917=Options!$B$9,"抵达；"&amp;IF(C1917=DATE(2026,11,28),"机构晚餐","无统一供餐"),IF(C1917=Options!$B$10,"返程；"&amp;IF(C1917=DATE(2026,12,2),"机构午餐","无统一供餐"),"差旅状态；无统一日程"))))))</f>
        <v/>
      </c>
      <c r="E1917" s="13">
        <f>IF(C1917=Options!$B$9,Options!$C$19,0)</f>
        <v/>
      </c>
      <c r="F1917" s="13">
        <f>IF(AND(A1917&lt;&gt;"",C1917&lt;Options!$B$10),B1917*Options!$X$7,0)</f>
        <v/>
      </c>
      <c r="G1917" s="13">
        <f>F1917*12%</f>
        <v/>
      </c>
      <c r="H1917" s="13">
        <f>IF(A1917="",0,B1917*(86*IF(OR(C1917=Options!$B$9,C1917=Options!$B$10),75%,100%)-IF(C1917=DATE(2026,11,29),23+IF(Options!$B$8="是",22,0),0)-IF(C1917=DATE(2026,11,30),23,0)-IF(C1917=DATE(2026,12,1),59,0)-IF(C1917=DATE(2026,11,28),36,0)-IF(C1917=DATE(2026,12,2),23,0)))</f>
        <v/>
      </c>
      <c r="I1917" s="13">
        <f>IF(AND(C1917&gt;=DATE(2026,11,29),C1917&lt;=DATE(2026,12,1)),B1917*60,0)</f>
        <v/>
      </c>
      <c r="J1917" s="13">
        <f>IF(A1917="",0,B1917*(IF(C1917=DATE(2026,11,28),36,0)+IF(C1917=DATE(2026,12,1),36,0)+IF(C1917=DATE(2026,12,2),23,0)))</f>
        <v/>
      </c>
      <c r="K1917" s="13">
        <f>IF(C1917=Options!$B$9,B1917*12,0)</f>
        <v/>
      </c>
      <c r="L1917" s="13">
        <f>IF(C1917=Options!$B$9,B1917*Options!$Z$7,0)</f>
        <v/>
      </c>
      <c r="M1917" s="13" t="n">
        <v>0</v>
      </c>
      <c r="N1917" s="13">
        <f>SUM(E1917:M1917)</f>
        <v/>
      </c>
    </row>
    <row r="1918">
      <c r="A1918" s="5">
        <f>IF(AND(C1918&gt;=Options!$B$9,C1918&lt;=Options!$B$10),"Phoenix","")</f>
        <v/>
      </c>
      <c r="B1918" s="5">
        <f>IF(A1918="","",24)</f>
        <v/>
      </c>
      <c r="C1918" s="17" t="n">
        <v>46384</v>
      </c>
      <c r="D1918" s="5">
        <f>IF(A1918="","",IF(C1918=DATE(2026,11,29),"培训；注册午餐；早餐参数",IF(C1918=DATE(2026,11,30),"培训；注册午餐",IF(C1918=DATE(2026,12,1),"培训；注册午餐；机构晚餐",IF(C1918=Options!$B$9,"抵达；"&amp;IF(C1918=DATE(2026,11,28),"机构晚餐","无统一供餐"),IF(C1918=Options!$B$10,"返程；"&amp;IF(C1918=DATE(2026,12,2),"机构午餐","无统一供餐"),"差旅状态；无统一日程"))))))</f>
        <v/>
      </c>
      <c r="E1918" s="13">
        <f>IF(C1918=Options!$B$9,Options!$C$19,0)</f>
        <v/>
      </c>
      <c r="F1918" s="13">
        <f>IF(AND(A1918&lt;&gt;"",C1918&lt;Options!$B$10),B1918*Options!$X$7,0)</f>
        <v/>
      </c>
      <c r="G1918" s="13">
        <f>F1918*12%</f>
        <v/>
      </c>
      <c r="H1918" s="13">
        <f>IF(A1918="",0,B1918*(86*IF(OR(C1918=Options!$B$9,C1918=Options!$B$10),75%,100%)-IF(C1918=DATE(2026,11,29),23+IF(Options!$B$8="是",22,0),0)-IF(C1918=DATE(2026,11,30),23,0)-IF(C1918=DATE(2026,12,1),59,0)-IF(C1918=DATE(2026,11,28),36,0)-IF(C1918=DATE(2026,12,2),23,0)))</f>
        <v/>
      </c>
      <c r="I1918" s="13">
        <f>IF(AND(C1918&gt;=DATE(2026,11,29),C1918&lt;=DATE(2026,12,1)),B1918*60,0)</f>
        <v/>
      </c>
      <c r="J1918" s="13">
        <f>IF(A1918="",0,B1918*(IF(C1918=DATE(2026,11,28),36,0)+IF(C1918=DATE(2026,12,1),36,0)+IF(C1918=DATE(2026,12,2),23,0)))</f>
        <v/>
      </c>
      <c r="K1918" s="13">
        <f>IF(C1918=Options!$B$9,B1918*12,0)</f>
        <v/>
      </c>
      <c r="L1918" s="13">
        <f>IF(C1918=Options!$B$9,B1918*Options!$Z$7,0)</f>
        <v/>
      </c>
      <c r="M1918" s="13" t="n">
        <v>0</v>
      </c>
      <c r="N1918" s="13">
        <f>SUM(E1918:M1918)</f>
        <v/>
      </c>
    </row>
    <row r="1919">
      <c r="A1919" s="5">
        <f>IF(AND(C1919&gt;=Options!$B$9,C1919&lt;=Options!$B$10),"Phoenix","")</f>
        <v/>
      </c>
      <c r="B1919" s="5">
        <f>IF(A1919="","",24)</f>
        <v/>
      </c>
      <c r="C1919" s="17" t="n">
        <v>46385</v>
      </c>
      <c r="D1919" s="5">
        <f>IF(A1919="","",IF(C1919=DATE(2026,11,29),"培训；注册午餐；早餐参数",IF(C1919=DATE(2026,11,30),"培训；注册午餐",IF(C1919=DATE(2026,12,1),"培训；注册午餐；机构晚餐",IF(C1919=Options!$B$9,"抵达；"&amp;IF(C1919=DATE(2026,11,28),"机构晚餐","无统一供餐"),IF(C1919=Options!$B$10,"返程；"&amp;IF(C1919=DATE(2026,12,2),"机构午餐","无统一供餐"),"差旅状态；无统一日程"))))))</f>
        <v/>
      </c>
      <c r="E1919" s="13">
        <f>IF(C1919=Options!$B$9,Options!$C$19,0)</f>
        <v/>
      </c>
      <c r="F1919" s="13">
        <f>IF(AND(A1919&lt;&gt;"",C1919&lt;Options!$B$10),B1919*Options!$X$7,0)</f>
        <v/>
      </c>
      <c r="G1919" s="13">
        <f>F1919*12%</f>
        <v/>
      </c>
      <c r="H1919" s="13">
        <f>IF(A1919="",0,B1919*(86*IF(OR(C1919=Options!$B$9,C1919=Options!$B$10),75%,100%)-IF(C1919=DATE(2026,11,29),23+IF(Options!$B$8="是",22,0),0)-IF(C1919=DATE(2026,11,30),23,0)-IF(C1919=DATE(2026,12,1),59,0)-IF(C1919=DATE(2026,11,28),36,0)-IF(C1919=DATE(2026,12,2),23,0)))</f>
        <v/>
      </c>
      <c r="I1919" s="13">
        <f>IF(AND(C1919&gt;=DATE(2026,11,29),C1919&lt;=DATE(2026,12,1)),B1919*60,0)</f>
        <v/>
      </c>
      <c r="J1919" s="13">
        <f>IF(A1919="",0,B1919*(IF(C1919=DATE(2026,11,28),36,0)+IF(C1919=DATE(2026,12,1),36,0)+IF(C1919=DATE(2026,12,2),23,0)))</f>
        <v/>
      </c>
      <c r="K1919" s="13">
        <f>IF(C1919=Options!$B$9,B1919*12,0)</f>
        <v/>
      </c>
      <c r="L1919" s="13">
        <f>IF(C1919=Options!$B$9,B1919*Options!$Z$7,0)</f>
        <v/>
      </c>
      <c r="M1919" s="13" t="n">
        <v>0</v>
      </c>
      <c r="N1919" s="13">
        <f>SUM(E1919:M1919)</f>
        <v/>
      </c>
    </row>
    <row r="1920">
      <c r="A1920" s="5">
        <f>IF(AND(C1920&gt;=Options!$B$9,C1920&lt;=Options!$B$10),"Phoenix","")</f>
        <v/>
      </c>
      <c r="B1920" s="5">
        <f>IF(A1920="","",24)</f>
        <v/>
      </c>
      <c r="C1920" s="17" t="n">
        <v>46386</v>
      </c>
      <c r="D1920" s="5">
        <f>IF(A1920="","",IF(C1920=DATE(2026,11,29),"培训；注册午餐；早餐参数",IF(C1920=DATE(2026,11,30),"培训；注册午餐",IF(C1920=DATE(2026,12,1),"培训；注册午餐；机构晚餐",IF(C1920=Options!$B$9,"抵达；"&amp;IF(C1920=DATE(2026,11,28),"机构晚餐","无统一供餐"),IF(C1920=Options!$B$10,"返程；"&amp;IF(C1920=DATE(2026,12,2),"机构午餐","无统一供餐"),"差旅状态；无统一日程"))))))</f>
        <v/>
      </c>
      <c r="E1920" s="13">
        <f>IF(C1920=Options!$B$9,Options!$C$19,0)</f>
        <v/>
      </c>
      <c r="F1920" s="13">
        <f>IF(AND(A1920&lt;&gt;"",C1920&lt;Options!$B$10),B1920*Options!$X$7,0)</f>
        <v/>
      </c>
      <c r="G1920" s="13">
        <f>F1920*12%</f>
        <v/>
      </c>
      <c r="H1920" s="13">
        <f>IF(A1920="",0,B1920*(86*IF(OR(C1920=Options!$B$9,C1920=Options!$B$10),75%,100%)-IF(C1920=DATE(2026,11,29),23+IF(Options!$B$8="是",22,0),0)-IF(C1920=DATE(2026,11,30),23,0)-IF(C1920=DATE(2026,12,1),59,0)-IF(C1920=DATE(2026,11,28),36,0)-IF(C1920=DATE(2026,12,2),23,0)))</f>
        <v/>
      </c>
      <c r="I1920" s="13">
        <f>IF(AND(C1920&gt;=DATE(2026,11,29),C1920&lt;=DATE(2026,12,1)),B1920*60,0)</f>
        <v/>
      </c>
      <c r="J1920" s="13">
        <f>IF(A1920="",0,B1920*(IF(C1920=DATE(2026,11,28),36,0)+IF(C1920=DATE(2026,12,1),36,0)+IF(C1920=DATE(2026,12,2),23,0)))</f>
        <v/>
      </c>
      <c r="K1920" s="13">
        <f>IF(C1920=Options!$B$9,B1920*12,0)</f>
        <v/>
      </c>
      <c r="L1920" s="13">
        <f>IF(C1920=Options!$B$9,B1920*Options!$Z$7,0)</f>
        <v/>
      </c>
      <c r="M1920" s="13" t="n">
        <v>0</v>
      </c>
      <c r="N1920" s="13">
        <f>SUM(E1920:M1920)</f>
        <v/>
      </c>
    </row>
    <row r="1921">
      <c r="A1921" s="5">
        <f>IF(AND(C1921&gt;=Options!$B$9,C1921&lt;=Options!$B$10),"Phoenix","")</f>
        <v/>
      </c>
      <c r="B1921" s="5">
        <f>IF(A1921="","",24)</f>
        <v/>
      </c>
      <c r="C1921" s="17" t="n">
        <v>46387</v>
      </c>
      <c r="D1921" s="5">
        <f>IF(A1921="","",IF(C1921=DATE(2026,11,29),"培训；注册午餐；早餐参数",IF(C1921=DATE(2026,11,30),"培训；注册午餐",IF(C1921=DATE(2026,12,1),"培训；注册午餐；机构晚餐",IF(C1921=Options!$B$9,"抵达；"&amp;IF(C1921=DATE(2026,11,28),"机构晚餐","无统一供餐"),IF(C1921=Options!$B$10,"返程；"&amp;IF(C1921=DATE(2026,12,2),"机构午餐","无统一供餐"),"差旅状态；无统一日程"))))))</f>
        <v/>
      </c>
      <c r="E1921" s="13">
        <f>IF(C1921=Options!$B$9,Options!$C$19,0)</f>
        <v/>
      </c>
      <c r="F1921" s="13">
        <f>IF(AND(A1921&lt;&gt;"",C1921&lt;Options!$B$10),B1921*Options!$X$7,0)</f>
        <v/>
      </c>
      <c r="G1921" s="13">
        <f>F1921*12%</f>
        <v/>
      </c>
      <c r="H1921" s="13">
        <f>IF(A1921="",0,B1921*(86*IF(OR(C1921=Options!$B$9,C1921=Options!$B$10),75%,100%)-IF(C1921=DATE(2026,11,29),23+IF(Options!$B$8="是",22,0),0)-IF(C1921=DATE(2026,11,30),23,0)-IF(C1921=DATE(2026,12,1),59,0)-IF(C1921=DATE(2026,11,28),36,0)-IF(C1921=DATE(2026,12,2),23,0)))</f>
        <v/>
      </c>
      <c r="I1921" s="13">
        <f>IF(AND(C1921&gt;=DATE(2026,11,29),C1921&lt;=DATE(2026,12,1)),B1921*60,0)</f>
        <v/>
      </c>
      <c r="J1921" s="13">
        <f>IF(A1921="",0,B1921*(IF(C1921=DATE(2026,11,28),36,0)+IF(C1921=DATE(2026,12,1),36,0)+IF(C1921=DATE(2026,12,2),23,0)))</f>
        <v/>
      </c>
      <c r="K1921" s="13">
        <f>IF(C1921=Options!$B$9,B1921*12,0)</f>
        <v/>
      </c>
      <c r="L1921" s="13">
        <f>IF(C1921=Options!$B$9,B1921*Options!$Z$7,0)</f>
        <v/>
      </c>
      <c r="M1921" s="13" t="n">
        <v>0</v>
      </c>
      <c r="N1921" s="13">
        <f>SUM(E1921:M1921)</f>
        <v/>
      </c>
    </row>
    <row r="1922">
      <c r="A1922" s="5">
        <f>IF(AND(C1922&gt;=Options!$B$9,C1922&lt;=Options!$B$10),"Phoenix","")</f>
        <v/>
      </c>
      <c r="B1922" s="5">
        <f>IF(A1922="","",24)</f>
        <v/>
      </c>
      <c r="C1922" s="17" t="n">
        <v>46388</v>
      </c>
      <c r="D1922" s="5">
        <f>IF(A1922="","",IF(C1922=DATE(2026,11,29),"培训；注册午餐；早餐参数",IF(C1922=DATE(2026,11,30),"培训；注册午餐",IF(C1922=DATE(2026,12,1),"培训；注册午餐；机构晚餐",IF(C1922=Options!$B$9,"抵达；"&amp;IF(C1922=DATE(2026,11,28),"机构晚餐","无统一供餐"),IF(C1922=Options!$B$10,"返程；"&amp;IF(C1922=DATE(2026,12,2),"机构午餐","无统一供餐"),"差旅状态；无统一日程"))))))</f>
        <v/>
      </c>
      <c r="E1922" s="13">
        <f>IF(C1922=Options!$B$9,Options!$C$19,0)</f>
        <v/>
      </c>
      <c r="F1922" s="13">
        <f>IF(AND(A1922&lt;&gt;"",C1922&lt;Options!$B$10),B1922*Options!$X$7,0)</f>
        <v/>
      </c>
      <c r="G1922" s="13">
        <f>F1922*12%</f>
        <v/>
      </c>
      <c r="H1922" s="13">
        <f>IF(A1922="",0,B1922*(86*IF(OR(C1922=Options!$B$9,C1922=Options!$B$10),75%,100%)-IF(C1922=DATE(2026,11,29),23+IF(Options!$B$8="是",22,0),0)-IF(C1922=DATE(2026,11,30),23,0)-IF(C1922=DATE(2026,12,1),59,0)-IF(C1922=DATE(2026,11,28),36,0)-IF(C1922=DATE(2026,12,2),23,0)))</f>
        <v/>
      </c>
      <c r="I1922" s="13">
        <f>IF(AND(C1922&gt;=DATE(2026,11,29),C1922&lt;=DATE(2026,12,1)),B1922*60,0)</f>
        <v/>
      </c>
      <c r="J1922" s="13">
        <f>IF(A1922="",0,B1922*(IF(C1922=DATE(2026,11,28),36,0)+IF(C1922=DATE(2026,12,1),36,0)+IF(C1922=DATE(2026,12,2),23,0)))</f>
        <v/>
      </c>
      <c r="K1922" s="13">
        <f>IF(C1922=Options!$B$9,B1922*12,0)</f>
        <v/>
      </c>
      <c r="L1922" s="13">
        <f>IF(C1922=Options!$B$9,B1922*Options!$Z$7,0)</f>
        <v/>
      </c>
      <c r="M1922" s="13" t="n">
        <v>0</v>
      </c>
      <c r="N1922" s="13">
        <f>SUM(E1922:M1922)</f>
        <v/>
      </c>
    </row>
    <row r="1923">
      <c r="A1923" s="5">
        <f>IF(AND(C1923&gt;=Options!$B$9,C1923&lt;=Options!$B$10),"Phoenix","")</f>
        <v/>
      </c>
      <c r="B1923" s="5">
        <f>IF(A1923="","",24)</f>
        <v/>
      </c>
      <c r="C1923" s="17" t="n">
        <v>46389</v>
      </c>
      <c r="D1923" s="5">
        <f>IF(A1923="","",IF(C1923=DATE(2026,11,29),"培训；注册午餐；早餐参数",IF(C1923=DATE(2026,11,30),"培训；注册午餐",IF(C1923=DATE(2026,12,1),"培训；注册午餐；机构晚餐",IF(C1923=Options!$B$9,"抵达；"&amp;IF(C1923=DATE(2026,11,28),"机构晚餐","无统一供餐"),IF(C1923=Options!$B$10,"返程；"&amp;IF(C1923=DATE(2026,12,2),"机构午餐","无统一供餐"),"差旅状态；无统一日程"))))))</f>
        <v/>
      </c>
      <c r="E1923" s="13">
        <f>IF(C1923=Options!$B$9,Options!$C$19,0)</f>
        <v/>
      </c>
      <c r="F1923" s="13">
        <f>IF(AND(A1923&lt;&gt;"",C1923&lt;Options!$B$10),B1923*Options!$X$7,0)</f>
        <v/>
      </c>
      <c r="G1923" s="13">
        <f>F1923*12%</f>
        <v/>
      </c>
      <c r="H1923" s="13">
        <f>IF(A1923="",0,B1923*(86*IF(OR(C1923=Options!$B$9,C1923=Options!$B$10),75%,100%)-IF(C1923=DATE(2026,11,29),23+IF(Options!$B$8="是",22,0),0)-IF(C1923=DATE(2026,11,30),23,0)-IF(C1923=DATE(2026,12,1),59,0)-IF(C1923=DATE(2026,11,28),36,0)-IF(C1923=DATE(2026,12,2),23,0)))</f>
        <v/>
      </c>
      <c r="I1923" s="13">
        <f>IF(AND(C1923&gt;=DATE(2026,11,29),C1923&lt;=DATE(2026,12,1)),B1923*60,0)</f>
        <v/>
      </c>
      <c r="J1923" s="13">
        <f>IF(A1923="",0,B1923*(IF(C1923=DATE(2026,11,28),36,0)+IF(C1923=DATE(2026,12,1),36,0)+IF(C1923=DATE(2026,12,2),23,0)))</f>
        <v/>
      </c>
      <c r="K1923" s="13">
        <f>IF(C1923=Options!$B$9,B1923*12,0)</f>
        <v/>
      </c>
      <c r="L1923" s="13">
        <f>IF(C1923=Options!$B$9,B1923*Options!$Z$7,0)</f>
        <v/>
      </c>
      <c r="M1923" s="13" t="n">
        <v>0</v>
      </c>
      <c r="N1923" s="13">
        <f>SUM(E1923:M1923)</f>
        <v/>
      </c>
    </row>
    <row r="1924">
      <c r="A1924" s="5">
        <f>IF(AND(C1924&gt;=Options!$B$9,C1924&lt;=Options!$B$10),"Phoenix","")</f>
        <v/>
      </c>
      <c r="B1924" s="5">
        <f>IF(A1924="","",24)</f>
        <v/>
      </c>
      <c r="C1924" s="17" t="n">
        <v>46390</v>
      </c>
      <c r="D1924" s="5">
        <f>IF(A1924="","",IF(C1924=DATE(2026,11,29),"培训；注册午餐；早餐参数",IF(C1924=DATE(2026,11,30),"培训；注册午餐",IF(C1924=DATE(2026,12,1),"培训；注册午餐；机构晚餐",IF(C1924=Options!$B$9,"抵达；"&amp;IF(C1924=DATE(2026,11,28),"机构晚餐","无统一供餐"),IF(C1924=Options!$B$10,"返程；"&amp;IF(C1924=DATE(2026,12,2),"机构午餐","无统一供餐"),"差旅状态；无统一日程"))))))</f>
        <v/>
      </c>
      <c r="E1924" s="13">
        <f>IF(C1924=Options!$B$9,Options!$C$19,0)</f>
        <v/>
      </c>
      <c r="F1924" s="13">
        <f>IF(AND(A1924&lt;&gt;"",C1924&lt;Options!$B$10),B1924*Options!$X$7,0)</f>
        <v/>
      </c>
      <c r="G1924" s="13">
        <f>F1924*12%</f>
        <v/>
      </c>
      <c r="H1924" s="13">
        <f>IF(A1924="",0,B1924*(86*IF(OR(C1924=Options!$B$9,C1924=Options!$B$10),75%,100%)-IF(C1924=DATE(2026,11,29),23+IF(Options!$B$8="是",22,0),0)-IF(C1924=DATE(2026,11,30),23,0)-IF(C1924=DATE(2026,12,1),59,0)-IF(C1924=DATE(2026,11,28),36,0)-IF(C1924=DATE(2026,12,2),23,0)))</f>
        <v/>
      </c>
      <c r="I1924" s="13">
        <f>IF(AND(C1924&gt;=DATE(2026,11,29),C1924&lt;=DATE(2026,12,1)),B1924*60,0)</f>
        <v/>
      </c>
      <c r="J1924" s="13">
        <f>IF(A1924="",0,B1924*(IF(C1924=DATE(2026,11,28),36,0)+IF(C1924=DATE(2026,12,1),36,0)+IF(C1924=DATE(2026,12,2),23,0)))</f>
        <v/>
      </c>
      <c r="K1924" s="13">
        <f>IF(C1924=Options!$B$9,B1924*12,0)</f>
        <v/>
      </c>
      <c r="L1924" s="13">
        <f>IF(C1924=Options!$B$9,B1924*Options!$Z$7,0)</f>
        <v/>
      </c>
      <c r="M1924" s="13" t="n">
        <v>0</v>
      </c>
      <c r="N1924" s="13">
        <f>SUM(E1924:M1924)</f>
        <v/>
      </c>
    </row>
    <row r="1925">
      <c r="A1925" s="5">
        <f>IF(AND(C1925&gt;=Options!$B$9,C1925&lt;=Options!$B$10),"Phoenix","")</f>
        <v/>
      </c>
      <c r="B1925" s="5">
        <f>IF(A1925="","",24)</f>
        <v/>
      </c>
      <c r="C1925" s="17" t="n">
        <v>46391</v>
      </c>
      <c r="D1925" s="5">
        <f>IF(A1925="","",IF(C1925=DATE(2026,11,29),"培训；注册午餐；早餐参数",IF(C1925=DATE(2026,11,30),"培训；注册午餐",IF(C1925=DATE(2026,12,1),"培训；注册午餐；机构晚餐",IF(C1925=Options!$B$9,"抵达；"&amp;IF(C1925=DATE(2026,11,28),"机构晚餐","无统一供餐"),IF(C1925=Options!$B$10,"返程；"&amp;IF(C1925=DATE(2026,12,2),"机构午餐","无统一供餐"),"差旅状态；无统一日程"))))))</f>
        <v/>
      </c>
      <c r="E1925" s="13">
        <f>IF(C1925=Options!$B$9,Options!$C$19,0)</f>
        <v/>
      </c>
      <c r="F1925" s="13">
        <f>IF(AND(A1925&lt;&gt;"",C1925&lt;Options!$B$10),B1925*Options!$X$7,0)</f>
        <v/>
      </c>
      <c r="G1925" s="13">
        <f>F1925*12%</f>
        <v/>
      </c>
      <c r="H1925" s="13">
        <f>IF(A1925="",0,B1925*(86*IF(OR(C1925=Options!$B$9,C1925=Options!$B$10),75%,100%)-IF(C1925=DATE(2026,11,29),23+IF(Options!$B$8="是",22,0),0)-IF(C1925=DATE(2026,11,30),23,0)-IF(C1925=DATE(2026,12,1),59,0)-IF(C1925=DATE(2026,11,28),36,0)-IF(C1925=DATE(2026,12,2),23,0)))</f>
        <v/>
      </c>
      <c r="I1925" s="13">
        <f>IF(AND(C1925&gt;=DATE(2026,11,29),C1925&lt;=DATE(2026,12,1)),B1925*60,0)</f>
        <v/>
      </c>
      <c r="J1925" s="13">
        <f>IF(A1925="",0,B1925*(IF(C1925=DATE(2026,11,28),36,0)+IF(C1925=DATE(2026,12,1),36,0)+IF(C1925=DATE(2026,12,2),23,0)))</f>
        <v/>
      </c>
      <c r="K1925" s="13">
        <f>IF(C1925=Options!$B$9,B1925*12,0)</f>
        <v/>
      </c>
      <c r="L1925" s="13">
        <f>IF(C1925=Options!$B$9,B1925*Options!$Z$7,0)</f>
        <v/>
      </c>
      <c r="M1925" s="13" t="n">
        <v>0</v>
      </c>
      <c r="N1925" s="13">
        <f>SUM(E1925:M1925)</f>
        <v/>
      </c>
    </row>
    <row r="1926">
      <c r="A1926" s="5">
        <f>IF(AND(C1926&gt;=Options!$B$9,C1926&lt;=Options!$B$10),"Phoenix","")</f>
        <v/>
      </c>
      <c r="B1926" s="5">
        <f>IF(A1926="","",24)</f>
        <v/>
      </c>
      <c r="C1926" s="17" t="n">
        <v>46392</v>
      </c>
      <c r="D1926" s="5">
        <f>IF(A1926="","",IF(C1926=DATE(2026,11,29),"培训；注册午餐；早餐参数",IF(C1926=DATE(2026,11,30),"培训；注册午餐",IF(C1926=DATE(2026,12,1),"培训；注册午餐；机构晚餐",IF(C1926=Options!$B$9,"抵达；"&amp;IF(C1926=DATE(2026,11,28),"机构晚餐","无统一供餐"),IF(C1926=Options!$B$10,"返程；"&amp;IF(C1926=DATE(2026,12,2),"机构午餐","无统一供餐"),"差旅状态；无统一日程"))))))</f>
        <v/>
      </c>
      <c r="E1926" s="13">
        <f>IF(C1926=Options!$B$9,Options!$C$19,0)</f>
        <v/>
      </c>
      <c r="F1926" s="13">
        <f>IF(AND(A1926&lt;&gt;"",C1926&lt;Options!$B$10),B1926*Options!$X$7,0)</f>
        <v/>
      </c>
      <c r="G1926" s="13">
        <f>F1926*12%</f>
        <v/>
      </c>
      <c r="H1926" s="13">
        <f>IF(A1926="",0,B1926*(86*IF(OR(C1926=Options!$B$9,C1926=Options!$B$10),75%,100%)-IF(C1926=DATE(2026,11,29),23+IF(Options!$B$8="是",22,0),0)-IF(C1926=DATE(2026,11,30),23,0)-IF(C1926=DATE(2026,12,1),59,0)-IF(C1926=DATE(2026,11,28),36,0)-IF(C1926=DATE(2026,12,2),23,0)))</f>
        <v/>
      </c>
      <c r="I1926" s="13">
        <f>IF(AND(C1926&gt;=DATE(2026,11,29),C1926&lt;=DATE(2026,12,1)),B1926*60,0)</f>
        <v/>
      </c>
      <c r="J1926" s="13">
        <f>IF(A1926="",0,B1926*(IF(C1926=DATE(2026,11,28),36,0)+IF(C1926=DATE(2026,12,1),36,0)+IF(C1926=DATE(2026,12,2),23,0)))</f>
        <v/>
      </c>
      <c r="K1926" s="13">
        <f>IF(C1926=Options!$B$9,B1926*12,0)</f>
        <v/>
      </c>
      <c r="L1926" s="13">
        <f>IF(C1926=Options!$B$9,B1926*Options!$Z$7,0)</f>
        <v/>
      </c>
      <c r="M1926" s="13" t="n">
        <v>0</v>
      </c>
      <c r="N1926" s="13">
        <f>SUM(E1926:M1926)</f>
        <v/>
      </c>
    </row>
    <row r="1927">
      <c r="A1927" s="5">
        <f>IF(AND(C1927&gt;=Options!$B$9,C1927&lt;=Options!$B$10),"Phoenix","")</f>
        <v/>
      </c>
      <c r="B1927" s="5">
        <f>IF(A1927="","",24)</f>
        <v/>
      </c>
      <c r="C1927" s="17" t="n">
        <v>46393</v>
      </c>
      <c r="D1927" s="5">
        <f>IF(A1927="","",IF(C1927=DATE(2026,11,29),"培训；注册午餐；早餐参数",IF(C1927=DATE(2026,11,30),"培训；注册午餐",IF(C1927=DATE(2026,12,1),"培训；注册午餐；机构晚餐",IF(C1927=Options!$B$9,"抵达；"&amp;IF(C1927=DATE(2026,11,28),"机构晚餐","无统一供餐"),IF(C1927=Options!$B$10,"返程；"&amp;IF(C1927=DATE(2026,12,2),"机构午餐","无统一供餐"),"差旅状态；无统一日程"))))))</f>
        <v/>
      </c>
      <c r="E1927" s="13">
        <f>IF(C1927=Options!$B$9,Options!$C$19,0)</f>
        <v/>
      </c>
      <c r="F1927" s="13">
        <f>IF(AND(A1927&lt;&gt;"",C1927&lt;Options!$B$10),B1927*Options!$X$7,0)</f>
        <v/>
      </c>
      <c r="G1927" s="13">
        <f>F1927*12%</f>
        <v/>
      </c>
      <c r="H1927" s="13">
        <f>IF(A1927="",0,B1927*(86*IF(OR(C1927=Options!$B$9,C1927=Options!$B$10),75%,100%)-IF(C1927=DATE(2026,11,29),23+IF(Options!$B$8="是",22,0),0)-IF(C1927=DATE(2026,11,30),23,0)-IF(C1927=DATE(2026,12,1),59,0)-IF(C1927=DATE(2026,11,28),36,0)-IF(C1927=DATE(2026,12,2),23,0)))</f>
        <v/>
      </c>
      <c r="I1927" s="13">
        <f>IF(AND(C1927&gt;=DATE(2026,11,29),C1927&lt;=DATE(2026,12,1)),B1927*60,0)</f>
        <v/>
      </c>
      <c r="J1927" s="13">
        <f>IF(A1927="",0,B1927*(IF(C1927=DATE(2026,11,28),36,0)+IF(C1927=DATE(2026,12,1),36,0)+IF(C1927=DATE(2026,12,2),23,0)))</f>
        <v/>
      </c>
      <c r="K1927" s="13">
        <f>IF(C1927=Options!$B$9,B1927*12,0)</f>
        <v/>
      </c>
      <c r="L1927" s="13">
        <f>IF(C1927=Options!$B$9,B1927*Options!$Z$7,0)</f>
        <v/>
      </c>
      <c r="M1927" s="13" t="n">
        <v>0</v>
      </c>
      <c r="N1927" s="13">
        <f>SUM(E1927:M1927)</f>
        <v/>
      </c>
    </row>
    <row r="1928">
      <c r="A1928" s="5">
        <f>IF(AND(C1928&gt;=Options!$B$9,C1928&lt;=Options!$B$10),"Phoenix","")</f>
        <v/>
      </c>
      <c r="B1928" s="5">
        <f>IF(A1928="","",24)</f>
        <v/>
      </c>
      <c r="C1928" s="17" t="n">
        <v>46394</v>
      </c>
      <c r="D1928" s="5">
        <f>IF(A1928="","",IF(C1928=DATE(2026,11,29),"培训；注册午餐；早餐参数",IF(C1928=DATE(2026,11,30),"培训；注册午餐",IF(C1928=DATE(2026,12,1),"培训；注册午餐；机构晚餐",IF(C1928=Options!$B$9,"抵达；"&amp;IF(C1928=DATE(2026,11,28),"机构晚餐","无统一供餐"),IF(C1928=Options!$B$10,"返程；"&amp;IF(C1928=DATE(2026,12,2),"机构午餐","无统一供餐"),"差旅状态；无统一日程"))))))</f>
        <v/>
      </c>
      <c r="E1928" s="13">
        <f>IF(C1928=Options!$B$9,Options!$C$19,0)</f>
        <v/>
      </c>
      <c r="F1928" s="13">
        <f>IF(AND(A1928&lt;&gt;"",C1928&lt;Options!$B$10),B1928*Options!$X$7,0)</f>
        <v/>
      </c>
      <c r="G1928" s="13">
        <f>F1928*12%</f>
        <v/>
      </c>
      <c r="H1928" s="13">
        <f>IF(A1928="",0,B1928*(86*IF(OR(C1928=Options!$B$9,C1928=Options!$B$10),75%,100%)-IF(C1928=DATE(2026,11,29),23+IF(Options!$B$8="是",22,0),0)-IF(C1928=DATE(2026,11,30),23,0)-IF(C1928=DATE(2026,12,1),59,0)-IF(C1928=DATE(2026,11,28),36,0)-IF(C1928=DATE(2026,12,2),23,0)))</f>
        <v/>
      </c>
      <c r="I1928" s="13">
        <f>IF(AND(C1928&gt;=DATE(2026,11,29),C1928&lt;=DATE(2026,12,1)),B1928*60,0)</f>
        <v/>
      </c>
      <c r="J1928" s="13">
        <f>IF(A1928="",0,B1928*(IF(C1928=DATE(2026,11,28),36,0)+IF(C1928=DATE(2026,12,1),36,0)+IF(C1928=DATE(2026,12,2),23,0)))</f>
        <v/>
      </c>
      <c r="K1928" s="13">
        <f>IF(C1928=Options!$B$9,B1928*12,0)</f>
        <v/>
      </c>
      <c r="L1928" s="13">
        <f>IF(C1928=Options!$B$9,B1928*Options!$Z$7,0)</f>
        <v/>
      </c>
      <c r="M1928" s="13" t="n">
        <v>0</v>
      </c>
      <c r="N1928" s="13">
        <f>SUM(E1928:M1928)</f>
        <v/>
      </c>
    </row>
    <row r="1929">
      <c r="A1929" s="5">
        <f>IF(AND(C1929&gt;=Options!$B$9,C1929&lt;=Options!$B$10),"Phoenix","")</f>
        <v/>
      </c>
      <c r="B1929" s="5">
        <f>IF(A1929="","",24)</f>
        <v/>
      </c>
      <c r="C1929" s="17" t="n">
        <v>46395</v>
      </c>
      <c r="D1929" s="5">
        <f>IF(A1929="","",IF(C1929=DATE(2026,11,29),"培训；注册午餐；早餐参数",IF(C1929=DATE(2026,11,30),"培训；注册午餐",IF(C1929=DATE(2026,12,1),"培训；注册午餐；机构晚餐",IF(C1929=Options!$B$9,"抵达；"&amp;IF(C1929=DATE(2026,11,28),"机构晚餐","无统一供餐"),IF(C1929=Options!$B$10,"返程；"&amp;IF(C1929=DATE(2026,12,2),"机构午餐","无统一供餐"),"差旅状态；无统一日程"))))))</f>
        <v/>
      </c>
      <c r="E1929" s="13">
        <f>IF(C1929=Options!$B$9,Options!$C$19,0)</f>
        <v/>
      </c>
      <c r="F1929" s="13">
        <f>IF(AND(A1929&lt;&gt;"",C1929&lt;Options!$B$10),B1929*Options!$X$7,0)</f>
        <v/>
      </c>
      <c r="G1929" s="13">
        <f>F1929*12%</f>
        <v/>
      </c>
      <c r="H1929" s="13">
        <f>IF(A1929="",0,B1929*(86*IF(OR(C1929=Options!$B$9,C1929=Options!$B$10),75%,100%)-IF(C1929=DATE(2026,11,29),23+IF(Options!$B$8="是",22,0),0)-IF(C1929=DATE(2026,11,30),23,0)-IF(C1929=DATE(2026,12,1),59,0)-IF(C1929=DATE(2026,11,28),36,0)-IF(C1929=DATE(2026,12,2),23,0)))</f>
        <v/>
      </c>
      <c r="I1929" s="13">
        <f>IF(AND(C1929&gt;=DATE(2026,11,29),C1929&lt;=DATE(2026,12,1)),B1929*60,0)</f>
        <v/>
      </c>
      <c r="J1929" s="13">
        <f>IF(A1929="",0,B1929*(IF(C1929=DATE(2026,11,28),36,0)+IF(C1929=DATE(2026,12,1),36,0)+IF(C1929=DATE(2026,12,2),23,0)))</f>
        <v/>
      </c>
      <c r="K1929" s="13">
        <f>IF(C1929=Options!$B$9,B1929*12,0)</f>
        <v/>
      </c>
      <c r="L1929" s="13">
        <f>IF(C1929=Options!$B$9,B1929*Options!$Z$7,0)</f>
        <v/>
      </c>
      <c r="M1929" s="13" t="n">
        <v>0</v>
      </c>
      <c r="N1929" s="13">
        <f>SUM(E1929:M1929)</f>
        <v/>
      </c>
    </row>
    <row r="1930">
      <c r="A1930" s="5">
        <f>IF(AND(C1930&gt;=Options!$B$9,C1930&lt;=Options!$B$10),"Phoenix","")</f>
        <v/>
      </c>
      <c r="B1930" s="5">
        <f>IF(A1930="","",24)</f>
        <v/>
      </c>
      <c r="C1930" s="17" t="n">
        <v>46396</v>
      </c>
      <c r="D1930" s="5">
        <f>IF(A1930="","",IF(C1930=DATE(2026,11,29),"培训；注册午餐；早餐参数",IF(C1930=DATE(2026,11,30),"培训；注册午餐",IF(C1930=DATE(2026,12,1),"培训；注册午餐；机构晚餐",IF(C1930=Options!$B$9,"抵达；"&amp;IF(C1930=DATE(2026,11,28),"机构晚餐","无统一供餐"),IF(C1930=Options!$B$10,"返程；"&amp;IF(C1930=DATE(2026,12,2),"机构午餐","无统一供餐"),"差旅状态；无统一日程"))))))</f>
        <v/>
      </c>
      <c r="E1930" s="13">
        <f>IF(C1930=Options!$B$9,Options!$C$19,0)</f>
        <v/>
      </c>
      <c r="F1930" s="13">
        <f>IF(AND(A1930&lt;&gt;"",C1930&lt;Options!$B$10),B1930*Options!$X$7,0)</f>
        <v/>
      </c>
      <c r="G1930" s="13">
        <f>F1930*12%</f>
        <v/>
      </c>
      <c r="H1930" s="13">
        <f>IF(A1930="",0,B1930*(86*IF(OR(C1930=Options!$B$9,C1930=Options!$B$10),75%,100%)-IF(C1930=DATE(2026,11,29),23+IF(Options!$B$8="是",22,0),0)-IF(C1930=DATE(2026,11,30),23,0)-IF(C1930=DATE(2026,12,1),59,0)-IF(C1930=DATE(2026,11,28),36,0)-IF(C1930=DATE(2026,12,2),23,0)))</f>
        <v/>
      </c>
      <c r="I1930" s="13">
        <f>IF(AND(C1930&gt;=DATE(2026,11,29),C1930&lt;=DATE(2026,12,1)),B1930*60,0)</f>
        <v/>
      </c>
      <c r="J1930" s="13">
        <f>IF(A1930="",0,B1930*(IF(C1930=DATE(2026,11,28),36,0)+IF(C1930=DATE(2026,12,1),36,0)+IF(C1930=DATE(2026,12,2),23,0)))</f>
        <v/>
      </c>
      <c r="K1930" s="13">
        <f>IF(C1930=Options!$B$9,B1930*12,0)</f>
        <v/>
      </c>
      <c r="L1930" s="13">
        <f>IF(C1930=Options!$B$9,B1930*Options!$Z$7,0)</f>
        <v/>
      </c>
      <c r="M1930" s="13" t="n">
        <v>0</v>
      </c>
      <c r="N1930" s="13">
        <f>SUM(E1930:M1930)</f>
        <v/>
      </c>
    </row>
    <row r="1931">
      <c r="A1931" s="5">
        <f>IF(AND(C1931&gt;=Options!$B$9,C1931&lt;=Options!$B$10),"Phoenix","")</f>
        <v/>
      </c>
      <c r="B1931" s="5">
        <f>IF(A1931="","",24)</f>
        <v/>
      </c>
      <c r="C1931" s="17" t="n">
        <v>46397</v>
      </c>
      <c r="D1931" s="5">
        <f>IF(A1931="","",IF(C1931=DATE(2026,11,29),"培训；注册午餐；早餐参数",IF(C1931=DATE(2026,11,30),"培训；注册午餐",IF(C1931=DATE(2026,12,1),"培训；注册午餐；机构晚餐",IF(C1931=Options!$B$9,"抵达；"&amp;IF(C1931=DATE(2026,11,28),"机构晚餐","无统一供餐"),IF(C1931=Options!$B$10,"返程；"&amp;IF(C1931=DATE(2026,12,2),"机构午餐","无统一供餐"),"差旅状态；无统一日程"))))))</f>
        <v/>
      </c>
      <c r="E1931" s="13">
        <f>IF(C1931=Options!$B$9,Options!$C$19,0)</f>
        <v/>
      </c>
      <c r="F1931" s="13">
        <f>IF(AND(A1931&lt;&gt;"",C1931&lt;Options!$B$10),B1931*Options!$X$7,0)</f>
        <v/>
      </c>
      <c r="G1931" s="13">
        <f>F1931*12%</f>
        <v/>
      </c>
      <c r="H1931" s="13">
        <f>IF(A1931="",0,B1931*(86*IF(OR(C1931=Options!$B$9,C1931=Options!$B$10),75%,100%)-IF(C1931=DATE(2026,11,29),23+IF(Options!$B$8="是",22,0),0)-IF(C1931=DATE(2026,11,30),23,0)-IF(C1931=DATE(2026,12,1),59,0)-IF(C1931=DATE(2026,11,28),36,0)-IF(C1931=DATE(2026,12,2),23,0)))</f>
        <v/>
      </c>
      <c r="I1931" s="13">
        <f>IF(AND(C1931&gt;=DATE(2026,11,29),C1931&lt;=DATE(2026,12,1)),B1931*60,0)</f>
        <v/>
      </c>
      <c r="J1931" s="13">
        <f>IF(A1931="",0,B1931*(IF(C1931=DATE(2026,11,28),36,0)+IF(C1931=DATE(2026,12,1),36,0)+IF(C1931=DATE(2026,12,2),23,0)))</f>
        <v/>
      </c>
      <c r="K1931" s="13">
        <f>IF(C1931=Options!$B$9,B1931*12,0)</f>
        <v/>
      </c>
      <c r="L1931" s="13">
        <f>IF(C1931=Options!$B$9,B1931*Options!$Z$7,0)</f>
        <v/>
      </c>
      <c r="M1931" s="13" t="n">
        <v>0</v>
      </c>
      <c r="N1931" s="13">
        <f>SUM(E1931:M1931)</f>
        <v/>
      </c>
    </row>
    <row r="1932">
      <c r="A1932" s="5">
        <f>IF(AND(C1932&gt;=Options!$B$9,C1932&lt;=Options!$B$10),"Phoenix","")</f>
        <v/>
      </c>
      <c r="B1932" s="5">
        <f>IF(A1932="","",24)</f>
        <v/>
      </c>
      <c r="C1932" s="17" t="n">
        <v>46398</v>
      </c>
      <c r="D1932" s="5">
        <f>IF(A1932="","",IF(C1932=DATE(2026,11,29),"培训；注册午餐；早餐参数",IF(C1932=DATE(2026,11,30),"培训；注册午餐",IF(C1932=DATE(2026,12,1),"培训；注册午餐；机构晚餐",IF(C1932=Options!$B$9,"抵达；"&amp;IF(C1932=DATE(2026,11,28),"机构晚餐","无统一供餐"),IF(C1932=Options!$B$10,"返程；"&amp;IF(C1932=DATE(2026,12,2),"机构午餐","无统一供餐"),"差旅状态；无统一日程"))))))</f>
        <v/>
      </c>
      <c r="E1932" s="13">
        <f>IF(C1932=Options!$B$9,Options!$C$19,0)</f>
        <v/>
      </c>
      <c r="F1932" s="13">
        <f>IF(AND(A1932&lt;&gt;"",C1932&lt;Options!$B$10),B1932*Options!$X$7,0)</f>
        <v/>
      </c>
      <c r="G1932" s="13">
        <f>F1932*12%</f>
        <v/>
      </c>
      <c r="H1932" s="13">
        <f>IF(A1932="",0,B1932*(86*IF(OR(C1932=Options!$B$9,C1932=Options!$B$10),75%,100%)-IF(C1932=DATE(2026,11,29),23+IF(Options!$B$8="是",22,0),0)-IF(C1932=DATE(2026,11,30),23,0)-IF(C1932=DATE(2026,12,1),59,0)-IF(C1932=DATE(2026,11,28),36,0)-IF(C1932=DATE(2026,12,2),23,0)))</f>
        <v/>
      </c>
      <c r="I1932" s="13">
        <f>IF(AND(C1932&gt;=DATE(2026,11,29),C1932&lt;=DATE(2026,12,1)),B1932*60,0)</f>
        <v/>
      </c>
      <c r="J1932" s="13">
        <f>IF(A1932="",0,B1932*(IF(C1932=DATE(2026,11,28),36,0)+IF(C1932=DATE(2026,12,1),36,0)+IF(C1932=DATE(2026,12,2),23,0)))</f>
        <v/>
      </c>
      <c r="K1932" s="13">
        <f>IF(C1932=Options!$B$9,B1932*12,0)</f>
        <v/>
      </c>
      <c r="L1932" s="13">
        <f>IF(C1932=Options!$B$9,B1932*Options!$Z$7,0)</f>
        <v/>
      </c>
      <c r="M1932" s="13" t="n">
        <v>0</v>
      </c>
      <c r="N1932" s="13">
        <f>SUM(E1932:M1932)</f>
        <v/>
      </c>
    </row>
    <row r="1933">
      <c r="A1933" s="5">
        <f>IF(AND(C1933&gt;=Options!$B$9,C1933&lt;=Options!$B$10),"Phoenix","")</f>
        <v/>
      </c>
      <c r="B1933" s="5">
        <f>IF(A1933="","",24)</f>
        <v/>
      </c>
      <c r="C1933" s="17" t="n">
        <v>46399</v>
      </c>
      <c r="D1933" s="5">
        <f>IF(A1933="","",IF(C1933=DATE(2026,11,29),"培训；注册午餐；早餐参数",IF(C1933=DATE(2026,11,30),"培训；注册午餐",IF(C1933=DATE(2026,12,1),"培训；注册午餐；机构晚餐",IF(C1933=Options!$B$9,"抵达；"&amp;IF(C1933=DATE(2026,11,28),"机构晚餐","无统一供餐"),IF(C1933=Options!$B$10,"返程；"&amp;IF(C1933=DATE(2026,12,2),"机构午餐","无统一供餐"),"差旅状态；无统一日程"))))))</f>
        <v/>
      </c>
      <c r="E1933" s="13">
        <f>IF(C1933=Options!$B$9,Options!$C$19,0)</f>
        <v/>
      </c>
      <c r="F1933" s="13">
        <f>IF(AND(A1933&lt;&gt;"",C1933&lt;Options!$B$10),B1933*Options!$X$7,0)</f>
        <v/>
      </c>
      <c r="G1933" s="13">
        <f>F1933*12%</f>
        <v/>
      </c>
      <c r="H1933" s="13">
        <f>IF(A1933="",0,B1933*(86*IF(OR(C1933=Options!$B$9,C1933=Options!$B$10),75%,100%)-IF(C1933=DATE(2026,11,29),23+IF(Options!$B$8="是",22,0),0)-IF(C1933=DATE(2026,11,30),23,0)-IF(C1933=DATE(2026,12,1),59,0)-IF(C1933=DATE(2026,11,28),36,0)-IF(C1933=DATE(2026,12,2),23,0)))</f>
        <v/>
      </c>
      <c r="I1933" s="13">
        <f>IF(AND(C1933&gt;=DATE(2026,11,29),C1933&lt;=DATE(2026,12,1)),B1933*60,0)</f>
        <v/>
      </c>
      <c r="J1933" s="13">
        <f>IF(A1933="",0,B1933*(IF(C1933=DATE(2026,11,28),36,0)+IF(C1933=DATE(2026,12,1),36,0)+IF(C1933=DATE(2026,12,2),23,0)))</f>
        <v/>
      </c>
      <c r="K1933" s="13">
        <f>IF(C1933=Options!$B$9,B1933*12,0)</f>
        <v/>
      </c>
      <c r="L1933" s="13">
        <f>IF(C1933=Options!$B$9,B1933*Options!$Z$7,0)</f>
        <v/>
      </c>
      <c r="M1933" s="13" t="n">
        <v>0</v>
      </c>
      <c r="N1933" s="13">
        <f>SUM(E1933:M1933)</f>
        <v/>
      </c>
    </row>
    <row r="1934">
      <c r="A1934" s="5">
        <f>IF(AND(C1934&gt;=Options!$B$9,C1934&lt;=Options!$B$10),"Phoenix","")</f>
        <v/>
      </c>
      <c r="B1934" s="5">
        <f>IF(A1934="","",24)</f>
        <v/>
      </c>
      <c r="C1934" s="17" t="n">
        <v>46400</v>
      </c>
      <c r="D1934" s="5">
        <f>IF(A1934="","",IF(C1934=DATE(2026,11,29),"培训；注册午餐；早餐参数",IF(C1934=DATE(2026,11,30),"培训；注册午餐",IF(C1934=DATE(2026,12,1),"培训；注册午餐；机构晚餐",IF(C1934=Options!$B$9,"抵达；"&amp;IF(C1934=DATE(2026,11,28),"机构晚餐","无统一供餐"),IF(C1934=Options!$B$10,"返程；"&amp;IF(C1934=DATE(2026,12,2),"机构午餐","无统一供餐"),"差旅状态；无统一日程"))))))</f>
        <v/>
      </c>
      <c r="E1934" s="13">
        <f>IF(C1934=Options!$B$9,Options!$C$19,0)</f>
        <v/>
      </c>
      <c r="F1934" s="13">
        <f>IF(AND(A1934&lt;&gt;"",C1934&lt;Options!$B$10),B1934*Options!$X$7,0)</f>
        <v/>
      </c>
      <c r="G1934" s="13">
        <f>F1934*12%</f>
        <v/>
      </c>
      <c r="H1934" s="13">
        <f>IF(A1934="",0,B1934*(86*IF(OR(C1934=Options!$B$9,C1934=Options!$B$10),75%,100%)-IF(C1934=DATE(2026,11,29),23+IF(Options!$B$8="是",22,0),0)-IF(C1934=DATE(2026,11,30),23,0)-IF(C1934=DATE(2026,12,1),59,0)-IF(C1934=DATE(2026,11,28),36,0)-IF(C1934=DATE(2026,12,2),23,0)))</f>
        <v/>
      </c>
      <c r="I1934" s="13">
        <f>IF(AND(C1934&gt;=DATE(2026,11,29),C1934&lt;=DATE(2026,12,1)),B1934*60,0)</f>
        <v/>
      </c>
      <c r="J1934" s="13">
        <f>IF(A1934="",0,B1934*(IF(C1934=DATE(2026,11,28),36,0)+IF(C1934=DATE(2026,12,1),36,0)+IF(C1934=DATE(2026,12,2),23,0)))</f>
        <v/>
      </c>
      <c r="K1934" s="13">
        <f>IF(C1934=Options!$B$9,B1934*12,0)</f>
        <v/>
      </c>
      <c r="L1934" s="13">
        <f>IF(C1934=Options!$B$9,B1934*Options!$Z$7,0)</f>
        <v/>
      </c>
      <c r="M1934" s="13" t="n">
        <v>0</v>
      </c>
      <c r="N1934" s="13">
        <f>SUM(E1934:M1934)</f>
        <v/>
      </c>
    </row>
    <row r="1935">
      <c r="A1935" s="5">
        <f>IF(AND(C1935&gt;=Options!$B$9,C1935&lt;=Options!$B$10),"Phoenix","")</f>
        <v/>
      </c>
      <c r="B1935" s="5">
        <f>IF(A1935="","",24)</f>
        <v/>
      </c>
      <c r="C1935" s="17" t="n">
        <v>46401</v>
      </c>
      <c r="D1935" s="5">
        <f>IF(A1935="","",IF(C1935=DATE(2026,11,29),"培训；注册午餐；早餐参数",IF(C1935=DATE(2026,11,30),"培训；注册午餐",IF(C1935=DATE(2026,12,1),"培训；注册午餐；机构晚餐",IF(C1935=Options!$B$9,"抵达；"&amp;IF(C1935=DATE(2026,11,28),"机构晚餐","无统一供餐"),IF(C1935=Options!$B$10,"返程；"&amp;IF(C1935=DATE(2026,12,2),"机构午餐","无统一供餐"),"差旅状态；无统一日程"))))))</f>
        <v/>
      </c>
      <c r="E1935" s="13">
        <f>IF(C1935=Options!$B$9,Options!$C$19,0)</f>
        <v/>
      </c>
      <c r="F1935" s="13">
        <f>IF(AND(A1935&lt;&gt;"",C1935&lt;Options!$B$10),B1935*Options!$X$7,0)</f>
        <v/>
      </c>
      <c r="G1935" s="13">
        <f>F1935*12%</f>
        <v/>
      </c>
      <c r="H1935" s="13">
        <f>IF(A1935="",0,B1935*(86*IF(OR(C1935=Options!$B$9,C1935=Options!$B$10),75%,100%)-IF(C1935=DATE(2026,11,29),23+IF(Options!$B$8="是",22,0),0)-IF(C1935=DATE(2026,11,30),23,0)-IF(C1935=DATE(2026,12,1),59,0)-IF(C1935=DATE(2026,11,28),36,0)-IF(C1935=DATE(2026,12,2),23,0)))</f>
        <v/>
      </c>
      <c r="I1935" s="13">
        <f>IF(AND(C1935&gt;=DATE(2026,11,29),C1935&lt;=DATE(2026,12,1)),B1935*60,0)</f>
        <v/>
      </c>
      <c r="J1935" s="13">
        <f>IF(A1935="",0,B1935*(IF(C1935=DATE(2026,11,28),36,0)+IF(C1935=DATE(2026,12,1),36,0)+IF(C1935=DATE(2026,12,2),23,0)))</f>
        <v/>
      </c>
      <c r="K1935" s="13">
        <f>IF(C1935=Options!$B$9,B1935*12,0)</f>
        <v/>
      </c>
      <c r="L1935" s="13">
        <f>IF(C1935=Options!$B$9,B1935*Options!$Z$7,0)</f>
        <v/>
      </c>
      <c r="M1935" s="13" t="n">
        <v>0</v>
      </c>
      <c r="N1935" s="13">
        <f>SUM(E1935:M1935)</f>
        <v/>
      </c>
    </row>
    <row r="1936">
      <c r="A1936" s="5">
        <f>IF(AND(C1936&gt;=Options!$B$9,C1936&lt;=Options!$B$10),"Phoenix","")</f>
        <v/>
      </c>
      <c r="B1936" s="5">
        <f>IF(A1936="","",24)</f>
        <v/>
      </c>
      <c r="C1936" s="17" t="n">
        <v>46402</v>
      </c>
      <c r="D1936" s="5">
        <f>IF(A1936="","",IF(C1936=DATE(2026,11,29),"培训；注册午餐；早餐参数",IF(C1936=DATE(2026,11,30),"培训；注册午餐",IF(C1936=DATE(2026,12,1),"培训；注册午餐；机构晚餐",IF(C1936=Options!$B$9,"抵达；"&amp;IF(C1936=DATE(2026,11,28),"机构晚餐","无统一供餐"),IF(C1936=Options!$B$10,"返程；"&amp;IF(C1936=DATE(2026,12,2),"机构午餐","无统一供餐"),"差旅状态；无统一日程"))))))</f>
        <v/>
      </c>
      <c r="E1936" s="13">
        <f>IF(C1936=Options!$B$9,Options!$C$19,0)</f>
        <v/>
      </c>
      <c r="F1936" s="13">
        <f>IF(AND(A1936&lt;&gt;"",C1936&lt;Options!$B$10),B1936*Options!$X$7,0)</f>
        <v/>
      </c>
      <c r="G1936" s="13">
        <f>F1936*12%</f>
        <v/>
      </c>
      <c r="H1936" s="13">
        <f>IF(A1936="",0,B1936*(86*IF(OR(C1936=Options!$B$9,C1936=Options!$B$10),75%,100%)-IF(C1936=DATE(2026,11,29),23+IF(Options!$B$8="是",22,0),0)-IF(C1936=DATE(2026,11,30),23,0)-IF(C1936=DATE(2026,12,1),59,0)-IF(C1936=DATE(2026,11,28),36,0)-IF(C1936=DATE(2026,12,2),23,0)))</f>
        <v/>
      </c>
      <c r="I1936" s="13">
        <f>IF(AND(C1936&gt;=DATE(2026,11,29),C1936&lt;=DATE(2026,12,1)),B1936*60,0)</f>
        <v/>
      </c>
      <c r="J1936" s="13">
        <f>IF(A1936="",0,B1936*(IF(C1936=DATE(2026,11,28),36,0)+IF(C1936=DATE(2026,12,1),36,0)+IF(C1936=DATE(2026,12,2),23,0)))</f>
        <v/>
      </c>
      <c r="K1936" s="13">
        <f>IF(C1936=Options!$B$9,B1936*12,0)</f>
        <v/>
      </c>
      <c r="L1936" s="13">
        <f>IF(C1936=Options!$B$9,B1936*Options!$Z$7,0)</f>
        <v/>
      </c>
      <c r="M1936" s="13" t="n">
        <v>0</v>
      </c>
      <c r="N1936" s="13">
        <f>SUM(E1936:M1936)</f>
        <v/>
      </c>
    </row>
    <row r="1937">
      <c r="A1937" s="5">
        <f>IF(AND(C1937&gt;=Options!$B$9,C1937&lt;=Options!$B$10),"Phoenix","")</f>
        <v/>
      </c>
      <c r="B1937" s="5">
        <f>IF(A1937="","",24)</f>
        <v/>
      </c>
      <c r="C1937" s="17" t="n">
        <v>46403</v>
      </c>
      <c r="D1937" s="5">
        <f>IF(A1937="","",IF(C1937=DATE(2026,11,29),"培训；注册午餐；早餐参数",IF(C1937=DATE(2026,11,30),"培训；注册午餐",IF(C1937=DATE(2026,12,1),"培训；注册午餐；机构晚餐",IF(C1937=Options!$B$9,"抵达；"&amp;IF(C1937=DATE(2026,11,28),"机构晚餐","无统一供餐"),IF(C1937=Options!$B$10,"返程；"&amp;IF(C1937=DATE(2026,12,2),"机构午餐","无统一供餐"),"差旅状态；无统一日程"))))))</f>
        <v/>
      </c>
      <c r="E1937" s="13">
        <f>IF(C1937=Options!$B$9,Options!$C$19,0)</f>
        <v/>
      </c>
      <c r="F1937" s="13">
        <f>IF(AND(A1937&lt;&gt;"",C1937&lt;Options!$B$10),B1937*Options!$X$7,0)</f>
        <v/>
      </c>
      <c r="G1937" s="13">
        <f>F1937*12%</f>
        <v/>
      </c>
      <c r="H1937" s="13">
        <f>IF(A1937="",0,B1937*(86*IF(OR(C1937=Options!$B$9,C1937=Options!$B$10),75%,100%)-IF(C1937=DATE(2026,11,29),23+IF(Options!$B$8="是",22,0),0)-IF(C1937=DATE(2026,11,30),23,0)-IF(C1937=DATE(2026,12,1),59,0)-IF(C1937=DATE(2026,11,28),36,0)-IF(C1937=DATE(2026,12,2),23,0)))</f>
        <v/>
      </c>
      <c r="I1937" s="13">
        <f>IF(AND(C1937&gt;=DATE(2026,11,29),C1937&lt;=DATE(2026,12,1)),B1937*60,0)</f>
        <v/>
      </c>
      <c r="J1937" s="13">
        <f>IF(A1937="",0,B1937*(IF(C1937=DATE(2026,11,28),36,0)+IF(C1937=DATE(2026,12,1),36,0)+IF(C1937=DATE(2026,12,2),23,0)))</f>
        <v/>
      </c>
      <c r="K1937" s="13">
        <f>IF(C1937=Options!$B$9,B1937*12,0)</f>
        <v/>
      </c>
      <c r="L1937" s="13">
        <f>IF(C1937=Options!$B$9,B1937*Options!$Z$7,0)</f>
        <v/>
      </c>
      <c r="M1937" s="13" t="n">
        <v>0</v>
      </c>
      <c r="N1937" s="13">
        <f>SUM(E1937:M1937)</f>
        <v/>
      </c>
    </row>
    <row r="1938">
      <c r="A1938" s="5">
        <f>IF(AND(C1938&gt;=Options!$B$9,C1938&lt;=Options!$B$10),"Phoenix","")</f>
        <v/>
      </c>
      <c r="B1938" s="5">
        <f>IF(A1938="","",24)</f>
        <v/>
      </c>
      <c r="C1938" s="17" t="n">
        <v>46404</v>
      </c>
      <c r="D1938" s="5">
        <f>IF(A1938="","",IF(C1938=DATE(2026,11,29),"培训；注册午餐；早餐参数",IF(C1938=DATE(2026,11,30),"培训；注册午餐",IF(C1938=DATE(2026,12,1),"培训；注册午餐；机构晚餐",IF(C1938=Options!$B$9,"抵达；"&amp;IF(C1938=DATE(2026,11,28),"机构晚餐","无统一供餐"),IF(C1938=Options!$B$10,"返程；"&amp;IF(C1938=DATE(2026,12,2),"机构午餐","无统一供餐"),"差旅状态；无统一日程"))))))</f>
        <v/>
      </c>
      <c r="E1938" s="13">
        <f>IF(C1938=Options!$B$9,Options!$C$19,0)</f>
        <v/>
      </c>
      <c r="F1938" s="13">
        <f>IF(AND(A1938&lt;&gt;"",C1938&lt;Options!$B$10),B1938*Options!$X$7,0)</f>
        <v/>
      </c>
      <c r="G1938" s="13">
        <f>F1938*12%</f>
        <v/>
      </c>
      <c r="H1938" s="13">
        <f>IF(A1938="",0,B1938*(86*IF(OR(C1938=Options!$B$9,C1938=Options!$B$10),75%,100%)-IF(C1938=DATE(2026,11,29),23+IF(Options!$B$8="是",22,0),0)-IF(C1938=DATE(2026,11,30),23,0)-IF(C1938=DATE(2026,12,1),59,0)-IF(C1938=DATE(2026,11,28),36,0)-IF(C1938=DATE(2026,12,2),23,0)))</f>
        <v/>
      </c>
      <c r="I1938" s="13">
        <f>IF(AND(C1938&gt;=DATE(2026,11,29),C1938&lt;=DATE(2026,12,1)),B1938*60,0)</f>
        <v/>
      </c>
      <c r="J1938" s="13">
        <f>IF(A1938="",0,B1938*(IF(C1938=DATE(2026,11,28),36,0)+IF(C1938=DATE(2026,12,1),36,0)+IF(C1938=DATE(2026,12,2),23,0)))</f>
        <v/>
      </c>
      <c r="K1938" s="13">
        <f>IF(C1938=Options!$B$9,B1938*12,0)</f>
        <v/>
      </c>
      <c r="L1938" s="13">
        <f>IF(C1938=Options!$B$9,B1938*Options!$Z$7,0)</f>
        <v/>
      </c>
      <c r="M1938" s="13" t="n">
        <v>0</v>
      </c>
      <c r="N1938" s="13">
        <f>SUM(E1938:M1938)</f>
        <v/>
      </c>
    </row>
    <row r="1939">
      <c r="A1939" s="5">
        <f>IF(AND(C1939&gt;=Options!$B$9,C1939&lt;=Options!$B$10),"Phoenix","")</f>
        <v/>
      </c>
      <c r="B1939" s="5">
        <f>IF(A1939="","",24)</f>
        <v/>
      </c>
      <c r="C1939" s="17" t="n">
        <v>46405</v>
      </c>
      <c r="D1939" s="5">
        <f>IF(A1939="","",IF(C1939=DATE(2026,11,29),"培训；注册午餐；早餐参数",IF(C1939=DATE(2026,11,30),"培训；注册午餐",IF(C1939=DATE(2026,12,1),"培训；注册午餐；机构晚餐",IF(C1939=Options!$B$9,"抵达；"&amp;IF(C1939=DATE(2026,11,28),"机构晚餐","无统一供餐"),IF(C1939=Options!$B$10,"返程；"&amp;IF(C1939=DATE(2026,12,2),"机构午餐","无统一供餐"),"差旅状态；无统一日程"))))))</f>
        <v/>
      </c>
      <c r="E1939" s="13">
        <f>IF(C1939=Options!$B$9,Options!$C$19,0)</f>
        <v/>
      </c>
      <c r="F1939" s="13">
        <f>IF(AND(A1939&lt;&gt;"",C1939&lt;Options!$B$10),B1939*Options!$X$7,0)</f>
        <v/>
      </c>
      <c r="G1939" s="13">
        <f>F1939*12%</f>
        <v/>
      </c>
      <c r="H1939" s="13">
        <f>IF(A1939="",0,B1939*(86*IF(OR(C1939=Options!$B$9,C1939=Options!$B$10),75%,100%)-IF(C1939=DATE(2026,11,29),23+IF(Options!$B$8="是",22,0),0)-IF(C1939=DATE(2026,11,30),23,0)-IF(C1939=DATE(2026,12,1),59,0)-IF(C1939=DATE(2026,11,28),36,0)-IF(C1939=DATE(2026,12,2),23,0)))</f>
        <v/>
      </c>
      <c r="I1939" s="13">
        <f>IF(AND(C1939&gt;=DATE(2026,11,29),C1939&lt;=DATE(2026,12,1)),B1939*60,0)</f>
        <v/>
      </c>
      <c r="J1939" s="13">
        <f>IF(A1939="",0,B1939*(IF(C1939=DATE(2026,11,28),36,0)+IF(C1939=DATE(2026,12,1),36,0)+IF(C1939=DATE(2026,12,2),23,0)))</f>
        <v/>
      </c>
      <c r="K1939" s="13">
        <f>IF(C1939=Options!$B$9,B1939*12,0)</f>
        <v/>
      </c>
      <c r="L1939" s="13">
        <f>IF(C1939=Options!$B$9,B1939*Options!$Z$7,0)</f>
        <v/>
      </c>
      <c r="M1939" s="13" t="n">
        <v>0</v>
      </c>
      <c r="N1939" s="13">
        <f>SUM(E1939:M1939)</f>
        <v/>
      </c>
    </row>
    <row r="1940">
      <c r="A1940" s="5">
        <f>IF(AND(C1940&gt;=Options!$B$9,C1940&lt;=Options!$B$10),"Phoenix","")</f>
        <v/>
      </c>
      <c r="B1940" s="5">
        <f>IF(A1940="","",24)</f>
        <v/>
      </c>
      <c r="C1940" s="17" t="n">
        <v>46406</v>
      </c>
      <c r="D1940" s="5">
        <f>IF(A1940="","",IF(C1940=DATE(2026,11,29),"培训；注册午餐；早餐参数",IF(C1940=DATE(2026,11,30),"培训；注册午餐",IF(C1940=DATE(2026,12,1),"培训；注册午餐；机构晚餐",IF(C1940=Options!$B$9,"抵达；"&amp;IF(C1940=DATE(2026,11,28),"机构晚餐","无统一供餐"),IF(C1940=Options!$B$10,"返程；"&amp;IF(C1940=DATE(2026,12,2),"机构午餐","无统一供餐"),"差旅状态；无统一日程"))))))</f>
        <v/>
      </c>
      <c r="E1940" s="13">
        <f>IF(C1940=Options!$B$9,Options!$C$19,0)</f>
        <v/>
      </c>
      <c r="F1940" s="13">
        <f>IF(AND(A1940&lt;&gt;"",C1940&lt;Options!$B$10),B1940*Options!$X$7,0)</f>
        <v/>
      </c>
      <c r="G1940" s="13">
        <f>F1940*12%</f>
        <v/>
      </c>
      <c r="H1940" s="13">
        <f>IF(A1940="",0,B1940*(86*IF(OR(C1940=Options!$B$9,C1940=Options!$B$10),75%,100%)-IF(C1940=DATE(2026,11,29),23+IF(Options!$B$8="是",22,0),0)-IF(C1940=DATE(2026,11,30),23,0)-IF(C1940=DATE(2026,12,1),59,0)-IF(C1940=DATE(2026,11,28),36,0)-IF(C1940=DATE(2026,12,2),23,0)))</f>
        <v/>
      </c>
      <c r="I1940" s="13">
        <f>IF(AND(C1940&gt;=DATE(2026,11,29),C1940&lt;=DATE(2026,12,1)),B1940*60,0)</f>
        <v/>
      </c>
      <c r="J1940" s="13">
        <f>IF(A1940="",0,B1940*(IF(C1940=DATE(2026,11,28),36,0)+IF(C1940=DATE(2026,12,1),36,0)+IF(C1940=DATE(2026,12,2),23,0)))</f>
        <v/>
      </c>
      <c r="K1940" s="13">
        <f>IF(C1940=Options!$B$9,B1940*12,0)</f>
        <v/>
      </c>
      <c r="L1940" s="13">
        <f>IF(C1940=Options!$B$9,B1940*Options!$Z$7,0)</f>
        <v/>
      </c>
      <c r="M1940" s="13" t="n">
        <v>0</v>
      </c>
      <c r="N1940" s="13">
        <f>SUM(E1940:M1940)</f>
        <v/>
      </c>
    </row>
    <row r="1941">
      <c r="A1941" s="5">
        <f>IF(AND(C1941&gt;=Options!$B$9,C1941&lt;=Options!$B$10),"Phoenix","")</f>
        <v/>
      </c>
      <c r="B1941" s="5">
        <f>IF(A1941="","",24)</f>
        <v/>
      </c>
      <c r="C1941" s="17" t="n">
        <v>46407</v>
      </c>
      <c r="D1941" s="5">
        <f>IF(A1941="","",IF(C1941=DATE(2026,11,29),"培训；注册午餐；早餐参数",IF(C1941=DATE(2026,11,30),"培训；注册午餐",IF(C1941=DATE(2026,12,1),"培训；注册午餐；机构晚餐",IF(C1941=Options!$B$9,"抵达；"&amp;IF(C1941=DATE(2026,11,28),"机构晚餐","无统一供餐"),IF(C1941=Options!$B$10,"返程；"&amp;IF(C1941=DATE(2026,12,2),"机构午餐","无统一供餐"),"差旅状态；无统一日程"))))))</f>
        <v/>
      </c>
      <c r="E1941" s="13">
        <f>IF(C1941=Options!$B$9,Options!$C$19,0)</f>
        <v/>
      </c>
      <c r="F1941" s="13">
        <f>IF(AND(A1941&lt;&gt;"",C1941&lt;Options!$B$10),B1941*Options!$X$7,0)</f>
        <v/>
      </c>
      <c r="G1941" s="13">
        <f>F1941*12%</f>
        <v/>
      </c>
      <c r="H1941" s="13">
        <f>IF(A1941="",0,B1941*(86*IF(OR(C1941=Options!$B$9,C1941=Options!$B$10),75%,100%)-IF(C1941=DATE(2026,11,29),23+IF(Options!$B$8="是",22,0),0)-IF(C1941=DATE(2026,11,30),23,0)-IF(C1941=DATE(2026,12,1),59,0)-IF(C1941=DATE(2026,11,28),36,0)-IF(C1941=DATE(2026,12,2),23,0)))</f>
        <v/>
      </c>
      <c r="I1941" s="13">
        <f>IF(AND(C1941&gt;=DATE(2026,11,29),C1941&lt;=DATE(2026,12,1)),B1941*60,0)</f>
        <v/>
      </c>
      <c r="J1941" s="13">
        <f>IF(A1941="",0,B1941*(IF(C1941=DATE(2026,11,28),36,0)+IF(C1941=DATE(2026,12,1),36,0)+IF(C1941=DATE(2026,12,2),23,0)))</f>
        <v/>
      </c>
      <c r="K1941" s="13">
        <f>IF(C1941=Options!$B$9,B1941*12,0)</f>
        <v/>
      </c>
      <c r="L1941" s="13">
        <f>IF(C1941=Options!$B$9,B1941*Options!$Z$7,0)</f>
        <v/>
      </c>
      <c r="M1941" s="13" t="n">
        <v>0</v>
      </c>
      <c r="N1941" s="13">
        <f>SUM(E1941:M1941)</f>
        <v/>
      </c>
    </row>
    <row r="1942">
      <c r="A1942" s="5">
        <f>IF(AND(C1942&gt;=Options!$B$9,C1942&lt;=Options!$B$10),"Phoenix","")</f>
        <v/>
      </c>
      <c r="B1942" s="5">
        <f>IF(A1942="","",24)</f>
        <v/>
      </c>
      <c r="C1942" s="17" t="n">
        <v>46408</v>
      </c>
      <c r="D1942" s="5">
        <f>IF(A1942="","",IF(C1942=DATE(2026,11,29),"培训；注册午餐；早餐参数",IF(C1942=DATE(2026,11,30),"培训；注册午餐",IF(C1942=DATE(2026,12,1),"培训；注册午餐；机构晚餐",IF(C1942=Options!$B$9,"抵达；"&amp;IF(C1942=DATE(2026,11,28),"机构晚餐","无统一供餐"),IF(C1942=Options!$B$10,"返程；"&amp;IF(C1942=DATE(2026,12,2),"机构午餐","无统一供餐"),"差旅状态；无统一日程"))))))</f>
        <v/>
      </c>
      <c r="E1942" s="13">
        <f>IF(C1942=Options!$B$9,Options!$C$19,0)</f>
        <v/>
      </c>
      <c r="F1942" s="13">
        <f>IF(AND(A1942&lt;&gt;"",C1942&lt;Options!$B$10),B1942*Options!$X$7,0)</f>
        <v/>
      </c>
      <c r="G1942" s="13">
        <f>F1942*12%</f>
        <v/>
      </c>
      <c r="H1942" s="13">
        <f>IF(A1942="",0,B1942*(86*IF(OR(C1942=Options!$B$9,C1942=Options!$B$10),75%,100%)-IF(C1942=DATE(2026,11,29),23+IF(Options!$B$8="是",22,0),0)-IF(C1942=DATE(2026,11,30),23,0)-IF(C1942=DATE(2026,12,1),59,0)-IF(C1942=DATE(2026,11,28),36,0)-IF(C1942=DATE(2026,12,2),23,0)))</f>
        <v/>
      </c>
      <c r="I1942" s="13">
        <f>IF(AND(C1942&gt;=DATE(2026,11,29),C1942&lt;=DATE(2026,12,1)),B1942*60,0)</f>
        <v/>
      </c>
      <c r="J1942" s="13">
        <f>IF(A1942="",0,B1942*(IF(C1942=DATE(2026,11,28),36,0)+IF(C1942=DATE(2026,12,1),36,0)+IF(C1942=DATE(2026,12,2),23,0)))</f>
        <v/>
      </c>
      <c r="K1942" s="13">
        <f>IF(C1942=Options!$B$9,B1942*12,0)</f>
        <v/>
      </c>
      <c r="L1942" s="13">
        <f>IF(C1942=Options!$B$9,B1942*Options!$Z$7,0)</f>
        <v/>
      </c>
      <c r="M1942" s="13" t="n">
        <v>0</v>
      </c>
      <c r="N1942" s="13">
        <f>SUM(E1942:M1942)</f>
        <v/>
      </c>
    </row>
    <row r="1943">
      <c r="A1943" s="5">
        <f>IF(AND(C1943&gt;=Options!$B$9,C1943&lt;=Options!$B$10),"Phoenix","")</f>
        <v/>
      </c>
      <c r="B1943" s="5">
        <f>IF(A1943="","",24)</f>
        <v/>
      </c>
      <c r="C1943" s="17" t="n">
        <v>46409</v>
      </c>
      <c r="D1943" s="5">
        <f>IF(A1943="","",IF(C1943=DATE(2026,11,29),"培训；注册午餐；早餐参数",IF(C1943=DATE(2026,11,30),"培训；注册午餐",IF(C1943=DATE(2026,12,1),"培训；注册午餐；机构晚餐",IF(C1943=Options!$B$9,"抵达；"&amp;IF(C1943=DATE(2026,11,28),"机构晚餐","无统一供餐"),IF(C1943=Options!$B$10,"返程；"&amp;IF(C1943=DATE(2026,12,2),"机构午餐","无统一供餐"),"差旅状态；无统一日程"))))))</f>
        <v/>
      </c>
      <c r="E1943" s="13">
        <f>IF(C1943=Options!$B$9,Options!$C$19,0)</f>
        <v/>
      </c>
      <c r="F1943" s="13">
        <f>IF(AND(A1943&lt;&gt;"",C1943&lt;Options!$B$10),B1943*Options!$X$7,0)</f>
        <v/>
      </c>
      <c r="G1943" s="13">
        <f>F1943*12%</f>
        <v/>
      </c>
      <c r="H1943" s="13">
        <f>IF(A1943="",0,B1943*(86*IF(OR(C1943=Options!$B$9,C1943=Options!$B$10),75%,100%)-IF(C1943=DATE(2026,11,29),23+IF(Options!$B$8="是",22,0),0)-IF(C1943=DATE(2026,11,30),23,0)-IF(C1943=DATE(2026,12,1),59,0)-IF(C1943=DATE(2026,11,28),36,0)-IF(C1943=DATE(2026,12,2),23,0)))</f>
        <v/>
      </c>
      <c r="I1943" s="13">
        <f>IF(AND(C1943&gt;=DATE(2026,11,29),C1943&lt;=DATE(2026,12,1)),B1943*60,0)</f>
        <v/>
      </c>
      <c r="J1943" s="13">
        <f>IF(A1943="",0,B1943*(IF(C1943=DATE(2026,11,28),36,0)+IF(C1943=DATE(2026,12,1),36,0)+IF(C1943=DATE(2026,12,2),23,0)))</f>
        <v/>
      </c>
      <c r="K1943" s="13">
        <f>IF(C1943=Options!$B$9,B1943*12,0)</f>
        <v/>
      </c>
      <c r="L1943" s="13">
        <f>IF(C1943=Options!$B$9,B1943*Options!$Z$7,0)</f>
        <v/>
      </c>
      <c r="M1943" s="13" t="n">
        <v>0</v>
      </c>
      <c r="N1943" s="13">
        <f>SUM(E1943:M1943)</f>
        <v/>
      </c>
    </row>
    <row r="1944">
      <c r="A1944" s="5">
        <f>IF(AND(C1944&gt;=Options!$B$9,C1944&lt;=Options!$B$10),"Phoenix","")</f>
        <v/>
      </c>
      <c r="B1944" s="5">
        <f>IF(A1944="","",24)</f>
        <v/>
      </c>
      <c r="C1944" s="17" t="n">
        <v>46410</v>
      </c>
      <c r="D1944" s="5">
        <f>IF(A1944="","",IF(C1944=DATE(2026,11,29),"培训；注册午餐；早餐参数",IF(C1944=DATE(2026,11,30),"培训；注册午餐",IF(C1944=DATE(2026,12,1),"培训；注册午餐；机构晚餐",IF(C1944=Options!$B$9,"抵达；"&amp;IF(C1944=DATE(2026,11,28),"机构晚餐","无统一供餐"),IF(C1944=Options!$B$10,"返程；"&amp;IF(C1944=DATE(2026,12,2),"机构午餐","无统一供餐"),"差旅状态；无统一日程"))))))</f>
        <v/>
      </c>
      <c r="E1944" s="13">
        <f>IF(C1944=Options!$B$9,Options!$C$19,0)</f>
        <v/>
      </c>
      <c r="F1944" s="13">
        <f>IF(AND(A1944&lt;&gt;"",C1944&lt;Options!$B$10),B1944*Options!$X$7,0)</f>
        <v/>
      </c>
      <c r="G1944" s="13">
        <f>F1944*12%</f>
        <v/>
      </c>
      <c r="H1944" s="13">
        <f>IF(A1944="",0,B1944*(86*IF(OR(C1944=Options!$B$9,C1944=Options!$B$10),75%,100%)-IF(C1944=DATE(2026,11,29),23+IF(Options!$B$8="是",22,0),0)-IF(C1944=DATE(2026,11,30),23,0)-IF(C1944=DATE(2026,12,1),59,0)-IF(C1944=DATE(2026,11,28),36,0)-IF(C1944=DATE(2026,12,2),23,0)))</f>
        <v/>
      </c>
      <c r="I1944" s="13">
        <f>IF(AND(C1944&gt;=DATE(2026,11,29),C1944&lt;=DATE(2026,12,1)),B1944*60,0)</f>
        <v/>
      </c>
      <c r="J1944" s="13">
        <f>IF(A1944="",0,B1944*(IF(C1944=DATE(2026,11,28),36,0)+IF(C1944=DATE(2026,12,1),36,0)+IF(C1944=DATE(2026,12,2),23,0)))</f>
        <v/>
      </c>
      <c r="K1944" s="13">
        <f>IF(C1944=Options!$B$9,B1944*12,0)</f>
        <v/>
      </c>
      <c r="L1944" s="13">
        <f>IF(C1944=Options!$B$9,B1944*Options!$Z$7,0)</f>
        <v/>
      </c>
      <c r="M1944" s="13" t="n">
        <v>0</v>
      </c>
      <c r="N1944" s="13">
        <f>SUM(E1944:M1944)</f>
        <v/>
      </c>
    </row>
    <row r="1945">
      <c r="A1945" s="5">
        <f>IF(AND(C1945&gt;=Options!$B$9,C1945&lt;=Options!$B$10),"Phoenix","")</f>
        <v/>
      </c>
      <c r="B1945" s="5">
        <f>IF(A1945="","",24)</f>
        <v/>
      </c>
      <c r="C1945" s="17" t="n">
        <v>46411</v>
      </c>
      <c r="D1945" s="5">
        <f>IF(A1945="","",IF(C1945=DATE(2026,11,29),"培训；注册午餐；早餐参数",IF(C1945=DATE(2026,11,30),"培训；注册午餐",IF(C1945=DATE(2026,12,1),"培训；注册午餐；机构晚餐",IF(C1945=Options!$B$9,"抵达；"&amp;IF(C1945=DATE(2026,11,28),"机构晚餐","无统一供餐"),IF(C1945=Options!$B$10,"返程；"&amp;IF(C1945=DATE(2026,12,2),"机构午餐","无统一供餐"),"差旅状态；无统一日程"))))))</f>
        <v/>
      </c>
      <c r="E1945" s="13">
        <f>IF(C1945=Options!$B$9,Options!$C$19,0)</f>
        <v/>
      </c>
      <c r="F1945" s="13">
        <f>IF(AND(A1945&lt;&gt;"",C1945&lt;Options!$B$10),B1945*Options!$X$7,0)</f>
        <v/>
      </c>
      <c r="G1945" s="13">
        <f>F1945*12%</f>
        <v/>
      </c>
      <c r="H1945" s="13">
        <f>IF(A1945="",0,B1945*(86*IF(OR(C1945=Options!$B$9,C1945=Options!$B$10),75%,100%)-IF(C1945=DATE(2026,11,29),23+IF(Options!$B$8="是",22,0),0)-IF(C1945=DATE(2026,11,30),23,0)-IF(C1945=DATE(2026,12,1),59,0)-IF(C1945=DATE(2026,11,28),36,0)-IF(C1945=DATE(2026,12,2),23,0)))</f>
        <v/>
      </c>
      <c r="I1945" s="13">
        <f>IF(AND(C1945&gt;=DATE(2026,11,29),C1945&lt;=DATE(2026,12,1)),B1945*60,0)</f>
        <v/>
      </c>
      <c r="J1945" s="13">
        <f>IF(A1945="",0,B1945*(IF(C1945=DATE(2026,11,28),36,0)+IF(C1945=DATE(2026,12,1),36,0)+IF(C1945=DATE(2026,12,2),23,0)))</f>
        <v/>
      </c>
      <c r="K1945" s="13">
        <f>IF(C1945=Options!$B$9,B1945*12,0)</f>
        <v/>
      </c>
      <c r="L1945" s="13">
        <f>IF(C1945=Options!$B$9,B1945*Options!$Z$7,0)</f>
        <v/>
      </c>
      <c r="M1945" s="13" t="n">
        <v>0</v>
      </c>
      <c r="N1945" s="13">
        <f>SUM(E1945:M1945)</f>
        <v/>
      </c>
    </row>
    <row r="1946">
      <c r="A1946" s="5">
        <f>IF(AND(C1946&gt;=Options!$B$9,C1946&lt;=Options!$B$10),"Phoenix","")</f>
        <v/>
      </c>
      <c r="B1946" s="5">
        <f>IF(A1946="","",24)</f>
        <v/>
      </c>
      <c r="C1946" s="17" t="n">
        <v>46412</v>
      </c>
      <c r="D1946" s="5">
        <f>IF(A1946="","",IF(C1946=DATE(2026,11,29),"培训；注册午餐；早餐参数",IF(C1946=DATE(2026,11,30),"培训；注册午餐",IF(C1946=DATE(2026,12,1),"培训；注册午餐；机构晚餐",IF(C1946=Options!$B$9,"抵达；"&amp;IF(C1946=DATE(2026,11,28),"机构晚餐","无统一供餐"),IF(C1946=Options!$B$10,"返程；"&amp;IF(C1946=DATE(2026,12,2),"机构午餐","无统一供餐"),"差旅状态；无统一日程"))))))</f>
        <v/>
      </c>
      <c r="E1946" s="13">
        <f>IF(C1946=Options!$B$9,Options!$C$19,0)</f>
        <v/>
      </c>
      <c r="F1946" s="13">
        <f>IF(AND(A1946&lt;&gt;"",C1946&lt;Options!$B$10),B1946*Options!$X$7,0)</f>
        <v/>
      </c>
      <c r="G1946" s="13">
        <f>F1946*12%</f>
        <v/>
      </c>
      <c r="H1946" s="13">
        <f>IF(A1946="",0,B1946*(86*IF(OR(C1946=Options!$B$9,C1946=Options!$B$10),75%,100%)-IF(C1946=DATE(2026,11,29),23+IF(Options!$B$8="是",22,0),0)-IF(C1946=DATE(2026,11,30),23,0)-IF(C1946=DATE(2026,12,1),59,0)-IF(C1946=DATE(2026,11,28),36,0)-IF(C1946=DATE(2026,12,2),23,0)))</f>
        <v/>
      </c>
      <c r="I1946" s="13">
        <f>IF(AND(C1946&gt;=DATE(2026,11,29),C1946&lt;=DATE(2026,12,1)),B1946*60,0)</f>
        <v/>
      </c>
      <c r="J1946" s="13">
        <f>IF(A1946="",0,B1946*(IF(C1946=DATE(2026,11,28),36,0)+IF(C1946=DATE(2026,12,1),36,0)+IF(C1946=DATE(2026,12,2),23,0)))</f>
        <v/>
      </c>
      <c r="K1946" s="13">
        <f>IF(C1946=Options!$B$9,B1946*12,0)</f>
        <v/>
      </c>
      <c r="L1946" s="13">
        <f>IF(C1946=Options!$B$9,B1946*Options!$Z$7,0)</f>
        <v/>
      </c>
      <c r="M1946" s="13" t="n">
        <v>0</v>
      </c>
      <c r="N1946" s="13">
        <f>SUM(E1946:M1946)</f>
        <v/>
      </c>
    </row>
    <row r="1947">
      <c r="A1947" s="5">
        <f>IF(AND(C1947&gt;=Options!$B$9,C1947&lt;=Options!$B$10),"Phoenix","")</f>
        <v/>
      </c>
      <c r="B1947" s="5">
        <f>IF(A1947="","",24)</f>
        <v/>
      </c>
      <c r="C1947" s="17" t="n">
        <v>46413</v>
      </c>
      <c r="D1947" s="5">
        <f>IF(A1947="","",IF(C1947=DATE(2026,11,29),"培训；注册午餐；早餐参数",IF(C1947=DATE(2026,11,30),"培训；注册午餐",IF(C1947=DATE(2026,12,1),"培训；注册午餐；机构晚餐",IF(C1947=Options!$B$9,"抵达；"&amp;IF(C1947=DATE(2026,11,28),"机构晚餐","无统一供餐"),IF(C1947=Options!$B$10,"返程；"&amp;IF(C1947=DATE(2026,12,2),"机构午餐","无统一供餐"),"差旅状态；无统一日程"))))))</f>
        <v/>
      </c>
      <c r="E1947" s="13">
        <f>IF(C1947=Options!$B$9,Options!$C$19,0)</f>
        <v/>
      </c>
      <c r="F1947" s="13">
        <f>IF(AND(A1947&lt;&gt;"",C1947&lt;Options!$B$10),B1947*Options!$X$7,0)</f>
        <v/>
      </c>
      <c r="G1947" s="13">
        <f>F1947*12%</f>
        <v/>
      </c>
      <c r="H1947" s="13">
        <f>IF(A1947="",0,B1947*(86*IF(OR(C1947=Options!$B$9,C1947=Options!$B$10),75%,100%)-IF(C1947=DATE(2026,11,29),23+IF(Options!$B$8="是",22,0),0)-IF(C1947=DATE(2026,11,30),23,0)-IF(C1947=DATE(2026,12,1),59,0)-IF(C1947=DATE(2026,11,28),36,0)-IF(C1947=DATE(2026,12,2),23,0)))</f>
        <v/>
      </c>
      <c r="I1947" s="13">
        <f>IF(AND(C1947&gt;=DATE(2026,11,29),C1947&lt;=DATE(2026,12,1)),B1947*60,0)</f>
        <v/>
      </c>
      <c r="J1947" s="13">
        <f>IF(A1947="",0,B1947*(IF(C1947=DATE(2026,11,28),36,0)+IF(C1947=DATE(2026,12,1),36,0)+IF(C1947=DATE(2026,12,2),23,0)))</f>
        <v/>
      </c>
      <c r="K1947" s="13">
        <f>IF(C1947=Options!$B$9,B1947*12,0)</f>
        <v/>
      </c>
      <c r="L1947" s="13">
        <f>IF(C1947=Options!$B$9,B1947*Options!$Z$7,0)</f>
        <v/>
      </c>
      <c r="M1947" s="13" t="n">
        <v>0</v>
      </c>
      <c r="N1947" s="13">
        <f>SUM(E1947:M1947)</f>
        <v/>
      </c>
    </row>
    <row r="1948">
      <c r="A1948" s="5">
        <f>IF(AND(C1948&gt;=Options!$B$9,C1948&lt;=Options!$B$10),"Phoenix","")</f>
        <v/>
      </c>
      <c r="B1948" s="5">
        <f>IF(A1948="","",24)</f>
        <v/>
      </c>
      <c r="C1948" s="17" t="n">
        <v>46414</v>
      </c>
      <c r="D1948" s="5">
        <f>IF(A1948="","",IF(C1948=DATE(2026,11,29),"培训；注册午餐；早餐参数",IF(C1948=DATE(2026,11,30),"培训；注册午餐",IF(C1948=DATE(2026,12,1),"培训；注册午餐；机构晚餐",IF(C1948=Options!$B$9,"抵达；"&amp;IF(C1948=DATE(2026,11,28),"机构晚餐","无统一供餐"),IF(C1948=Options!$B$10,"返程；"&amp;IF(C1948=DATE(2026,12,2),"机构午餐","无统一供餐"),"差旅状态；无统一日程"))))))</f>
        <v/>
      </c>
      <c r="E1948" s="13">
        <f>IF(C1948=Options!$B$9,Options!$C$19,0)</f>
        <v/>
      </c>
      <c r="F1948" s="13">
        <f>IF(AND(A1948&lt;&gt;"",C1948&lt;Options!$B$10),B1948*Options!$X$7,0)</f>
        <v/>
      </c>
      <c r="G1948" s="13">
        <f>F1948*12%</f>
        <v/>
      </c>
      <c r="H1948" s="13">
        <f>IF(A1948="",0,B1948*(86*IF(OR(C1948=Options!$B$9,C1948=Options!$B$10),75%,100%)-IF(C1948=DATE(2026,11,29),23+IF(Options!$B$8="是",22,0),0)-IF(C1948=DATE(2026,11,30),23,0)-IF(C1948=DATE(2026,12,1),59,0)-IF(C1948=DATE(2026,11,28),36,0)-IF(C1948=DATE(2026,12,2),23,0)))</f>
        <v/>
      </c>
      <c r="I1948" s="13">
        <f>IF(AND(C1948&gt;=DATE(2026,11,29),C1948&lt;=DATE(2026,12,1)),B1948*60,0)</f>
        <v/>
      </c>
      <c r="J1948" s="13">
        <f>IF(A1948="",0,B1948*(IF(C1948=DATE(2026,11,28),36,0)+IF(C1948=DATE(2026,12,1),36,0)+IF(C1948=DATE(2026,12,2),23,0)))</f>
        <v/>
      </c>
      <c r="K1948" s="13">
        <f>IF(C1948=Options!$B$9,B1948*12,0)</f>
        <v/>
      </c>
      <c r="L1948" s="13">
        <f>IF(C1948=Options!$B$9,B1948*Options!$Z$7,0)</f>
        <v/>
      </c>
      <c r="M1948" s="13" t="n">
        <v>0</v>
      </c>
      <c r="N1948" s="13">
        <f>SUM(E1948:M1948)</f>
        <v/>
      </c>
    </row>
    <row r="1949">
      <c r="A1949" s="5">
        <f>IF(AND(C1949&gt;=Options!$B$9,C1949&lt;=Options!$B$10),"Phoenix","")</f>
        <v/>
      </c>
      <c r="B1949" s="5">
        <f>IF(A1949="","",24)</f>
        <v/>
      </c>
      <c r="C1949" s="17" t="n">
        <v>46415</v>
      </c>
      <c r="D1949" s="5">
        <f>IF(A1949="","",IF(C1949=DATE(2026,11,29),"培训；注册午餐；早餐参数",IF(C1949=DATE(2026,11,30),"培训；注册午餐",IF(C1949=DATE(2026,12,1),"培训；注册午餐；机构晚餐",IF(C1949=Options!$B$9,"抵达；"&amp;IF(C1949=DATE(2026,11,28),"机构晚餐","无统一供餐"),IF(C1949=Options!$B$10,"返程；"&amp;IF(C1949=DATE(2026,12,2),"机构午餐","无统一供餐"),"差旅状态；无统一日程"))))))</f>
        <v/>
      </c>
      <c r="E1949" s="13">
        <f>IF(C1949=Options!$B$9,Options!$C$19,0)</f>
        <v/>
      </c>
      <c r="F1949" s="13">
        <f>IF(AND(A1949&lt;&gt;"",C1949&lt;Options!$B$10),B1949*Options!$X$7,0)</f>
        <v/>
      </c>
      <c r="G1949" s="13">
        <f>F1949*12%</f>
        <v/>
      </c>
      <c r="H1949" s="13">
        <f>IF(A1949="",0,B1949*(86*IF(OR(C1949=Options!$B$9,C1949=Options!$B$10),75%,100%)-IF(C1949=DATE(2026,11,29),23+IF(Options!$B$8="是",22,0),0)-IF(C1949=DATE(2026,11,30),23,0)-IF(C1949=DATE(2026,12,1),59,0)-IF(C1949=DATE(2026,11,28),36,0)-IF(C1949=DATE(2026,12,2),23,0)))</f>
        <v/>
      </c>
      <c r="I1949" s="13">
        <f>IF(AND(C1949&gt;=DATE(2026,11,29),C1949&lt;=DATE(2026,12,1)),B1949*60,0)</f>
        <v/>
      </c>
      <c r="J1949" s="13">
        <f>IF(A1949="",0,B1949*(IF(C1949=DATE(2026,11,28),36,0)+IF(C1949=DATE(2026,12,1),36,0)+IF(C1949=DATE(2026,12,2),23,0)))</f>
        <v/>
      </c>
      <c r="K1949" s="13">
        <f>IF(C1949=Options!$B$9,B1949*12,0)</f>
        <v/>
      </c>
      <c r="L1949" s="13">
        <f>IF(C1949=Options!$B$9,B1949*Options!$Z$7,0)</f>
        <v/>
      </c>
      <c r="M1949" s="13" t="n">
        <v>0</v>
      </c>
      <c r="N1949" s="13">
        <f>SUM(E1949:M1949)</f>
        <v/>
      </c>
    </row>
    <row r="1950">
      <c r="A1950" s="5">
        <f>IF(AND(C1950&gt;=Options!$B$9,C1950&lt;=Options!$B$10),"Phoenix","")</f>
        <v/>
      </c>
      <c r="B1950" s="5">
        <f>IF(A1950="","",24)</f>
        <v/>
      </c>
      <c r="C1950" s="17" t="n">
        <v>46416</v>
      </c>
      <c r="D1950" s="5">
        <f>IF(A1950="","",IF(C1950=DATE(2026,11,29),"培训；注册午餐；早餐参数",IF(C1950=DATE(2026,11,30),"培训；注册午餐",IF(C1950=DATE(2026,12,1),"培训；注册午餐；机构晚餐",IF(C1950=Options!$B$9,"抵达；"&amp;IF(C1950=DATE(2026,11,28),"机构晚餐","无统一供餐"),IF(C1950=Options!$B$10,"返程；"&amp;IF(C1950=DATE(2026,12,2),"机构午餐","无统一供餐"),"差旅状态；无统一日程"))))))</f>
        <v/>
      </c>
      <c r="E1950" s="13">
        <f>IF(C1950=Options!$B$9,Options!$C$19,0)</f>
        <v/>
      </c>
      <c r="F1950" s="13">
        <f>IF(AND(A1950&lt;&gt;"",C1950&lt;Options!$B$10),B1950*Options!$X$7,0)</f>
        <v/>
      </c>
      <c r="G1950" s="13">
        <f>F1950*12%</f>
        <v/>
      </c>
      <c r="H1950" s="13">
        <f>IF(A1950="",0,B1950*(86*IF(OR(C1950=Options!$B$9,C1950=Options!$B$10),75%,100%)-IF(C1950=DATE(2026,11,29),23+IF(Options!$B$8="是",22,0),0)-IF(C1950=DATE(2026,11,30),23,0)-IF(C1950=DATE(2026,12,1),59,0)-IF(C1950=DATE(2026,11,28),36,0)-IF(C1950=DATE(2026,12,2),23,0)))</f>
        <v/>
      </c>
      <c r="I1950" s="13">
        <f>IF(AND(C1950&gt;=DATE(2026,11,29),C1950&lt;=DATE(2026,12,1)),B1950*60,0)</f>
        <v/>
      </c>
      <c r="J1950" s="13">
        <f>IF(A1950="",0,B1950*(IF(C1950=DATE(2026,11,28),36,0)+IF(C1950=DATE(2026,12,1),36,0)+IF(C1950=DATE(2026,12,2),23,0)))</f>
        <v/>
      </c>
      <c r="K1950" s="13">
        <f>IF(C1950=Options!$B$9,B1950*12,0)</f>
        <v/>
      </c>
      <c r="L1950" s="13">
        <f>IF(C1950=Options!$B$9,B1950*Options!$Z$7,0)</f>
        <v/>
      </c>
      <c r="M1950" s="13" t="n">
        <v>0</v>
      </c>
      <c r="N1950" s="13">
        <f>SUM(E1950:M1950)</f>
        <v/>
      </c>
    </row>
    <row r="1951">
      <c r="A1951" s="5">
        <f>IF(AND(C1951&gt;=Options!$B$9,C1951&lt;=Options!$B$10),"Phoenix","")</f>
        <v/>
      </c>
      <c r="B1951" s="5">
        <f>IF(A1951="","",24)</f>
        <v/>
      </c>
      <c r="C1951" s="17" t="n">
        <v>46417</v>
      </c>
      <c r="D1951" s="5">
        <f>IF(A1951="","",IF(C1951=DATE(2026,11,29),"培训；注册午餐；早餐参数",IF(C1951=DATE(2026,11,30),"培训；注册午餐",IF(C1951=DATE(2026,12,1),"培训；注册午餐；机构晚餐",IF(C1951=Options!$B$9,"抵达；"&amp;IF(C1951=DATE(2026,11,28),"机构晚餐","无统一供餐"),IF(C1951=Options!$B$10,"返程；"&amp;IF(C1951=DATE(2026,12,2),"机构午餐","无统一供餐"),"差旅状态；无统一日程"))))))</f>
        <v/>
      </c>
      <c r="E1951" s="13">
        <f>IF(C1951=Options!$B$9,Options!$C$19,0)</f>
        <v/>
      </c>
      <c r="F1951" s="13">
        <f>IF(AND(A1951&lt;&gt;"",C1951&lt;Options!$B$10),B1951*Options!$X$7,0)</f>
        <v/>
      </c>
      <c r="G1951" s="13">
        <f>F1951*12%</f>
        <v/>
      </c>
      <c r="H1951" s="13">
        <f>IF(A1951="",0,B1951*(86*IF(OR(C1951=Options!$B$9,C1951=Options!$B$10),75%,100%)-IF(C1951=DATE(2026,11,29),23+IF(Options!$B$8="是",22,0),0)-IF(C1951=DATE(2026,11,30),23,0)-IF(C1951=DATE(2026,12,1),59,0)-IF(C1951=DATE(2026,11,28),36,0)-IF(C1951=DATE(2026,12,2),23,0)))</f>
        <v/>
      </c>
      <c r="I1951" s="13">
        <f>IF(AND(C1951&gt;=DATE(2026,11,29),C1951&lt;=DATE(2026,12,1)),B1951*60,0)</f>
        <v/>
      </c>
      <c r="J1951" s="13">
        <f>IF(A1951="",0,B1951*(IF(C1951=DATE(2026,11,28),36,0)+IF(C1951=DATE(2026,12,1),36,0)+IF(C1951=DATE(2026,12,2),23,0)))</f>
        <v/>
      </c>
      <c r="K1951" s="13">
        <f>IF(C1951=Options!$B$9,B1951*12,0)</f>
        <v/>
      </c>
      <c r="L1951" s="13">
        <f>IF(C1951=Options!$B$9,B1951*Options!$Z$7,0)</f>
        <v/>
      </c>
      <c r="M1951" s="13" t="n">
        <v>0</v>
      </c>
      <c r="N1951" s="13">
        <f>SUM(E1951:M1951)</f>
        <v/>
      </c>
    </row>
    <row r="1952">
      <c r="A1952" s="5">
        <f>IF(AND(C1952&gt;=Options!$B$9,C1952&lt;=Options!$B$10),"Phoenix","")</f>
        <v/>
      </c>
      <c r="B1952" s="5">
        <f>IF(A1952="","",24)</f>
        <v/>
      </c>
      <c r="C1952" s="17" t="n">
        <v>46418</v>
      </c>
      <c r="D1952" s="5">
        <f>IF(A1952="","",IF(C1952=DATE(2026,11,29),"培训；注册午餐；早餐参数",IF(C1952=DATE(2026,11,30),"培训；注册午餐",IF(C1952=DATE(2026,12,1),"培训；注册午餐；机构晚餐",IF(C1952=Options!$B$9,"抵达；"&amp;IF(C1952=DATE(2026,11,28),"机构晚餐","无统一供餐"),IF(C1952=Options!$B$10,"返程；"&amp;IF(C1952=DATE(2026,12,2),"机构午餐","无统一供餐"),"差旅状态；无统一日程"))))))</f>
        <v/>
      </c>
      <c r="E1952" s="13">
        <f>IF(C1952=Options!$B$9,Options!$C$19,0)</f>
        <v/>
      </c>
      <c r="F1952" s="13">
        <f>IF(AND(A1952&lt;&gt;"",C1952&lt;Options!$B$10),B1952*Options!$X$7,0)</f>
        <v/>
      </c>
      <c r="G1952" s="13">
        <f>F1952*12%</f>
        <v/>
      </c>
      <c r="H1952" s="13">
        <f>IF(A1952="",0,B1952*(86*IF(OR(C1952=Options!$B$9,C1952=Options!$B$10),75%,100%)-IF(C1952=DATE(2026,11,29),23+IF(Options!$B$8="是",22,0),0)-IF(C1952=DATE(2026,11,30),23,0)-IF(C1952=DATE(2026,12,1),59,0)-IF(C1952=DATE(2026,11,28),36,0)-IF(C1952=DATE(2026,12,2),23,0)))</f>
        <v/>
      </c>
      <c r="I1952" s="13">
        <f>IF(AND(C1952&gt;=DATE(2026,11,29),C1952&lt;=DATE(2026,12,1)),B1952*60,0)</f>
        <v/>
      </c>
      <c r="J1952" s="13">
        <f>IF(A1952="",0,B1952*(IF(C1952=DATE(2026,11,28),36,0)+IF(C1952=DATE(2026,12,1),36,0)+IF(C1952=DATE(2026,12,2),23,0)))</f>
        <v/>
      </c>
      <c r="K1952" s="13">
        <f>IF(C1952=Options!$B$9,B1952*12,0)</f>
        <v/>
      </c>
      <c r="L1952" s="13">
        <f>IF(C1952=Options!$B$9,B1952*Options!$Z$7,0)</f>
        <v/>
      </c>
      <c r="M1952" s="13" t="n">
        <v>0</v>
      </c>
      <c r="N1952" s="13">
        <f>SUM(E1952:M1952)</f>
        <v/>
      </c>
    </row>
    <row r="1953">
      <c r="A1953" s="5">
        <f>IF(AND(C1953&gt;=Options!$B$9,C1953&lt;=Options!$B$10),"Phoenix","")</f>
        <v/>
      </c>
      <c r="B1953" s="5">
        <f>IF(A1953="","",24)</f>
        <v/>
      </c>
      <c r="C1953" s="17" t="n">
        <v>46419</v>
      </c>
      <c r="D1953" s="5">
        <f>IF(A1953="","",IF(C1953=DATE(2026,11,29),"培训；注册午餐；早餐参数",IF(C1953=DATE(2026,11,30),"培训；注册午餐",IF(C1953=DATE(2026,12,1),"培训；注册午餐；机构晚餐",IF(C1953=Options!$B$9,"抵达；"&amp;IF(C1953=DATE(2026,11,28),"机构晚餐","无统一供餐"),IF(C1953=Options!$B$10,"返程；"&amp;IF(C1953=DATE(2026,12,2),"机构午餐","无统一供餐"),"差旅状态；无统一日程"))))))</f>
        <v/>
      </c>
      <c r="E1953" s="13">
        <f>IF(C1953=Options!$B$9,Options!$C$19,0)</f>
        <v/>
      </c>
      <c r="F1953" s="13">
        <f>IF(AND(A1953&lt;&gt;"",C1953&lt;Options!$B$10),B1953*Options!$X$7,0)</f>
        <v/>
      </c>
      <c r="G1953" s="13">
        <f>F1953*12%</f>
        <v/>
      </c>
      <c r="H1953" s="13">
        <f>IF(A1953="",0,B1953*(86*IF(OR(C1953=Options!$B$9,C1953=Options!$B$10),75%,100%)-IF(C1953=DATE(2026,11,29),23+IF(Options!$B$8="是",22,0),0)-IF(C1953=DATE(2026,11,30),23,0)-IF(C1953=DATE(2026,12,1),59,0)-IF(C1953=DATE(2026,11,28),36,0)-IF(C1953=DATE(2026,12,2),23,0)))</f>
        <v/>
      </c>
      <c r="I1953" s="13">
        <f>IF(AND(C1953&gt;=DATE(2026,11,29),C1953&lt;=DATE(2026,12,1)),B1953*60,0)</f>
        <v/>
      </c>
      <c r="J1953" s="13">
        <f>IF(A1953="",0,B1953*(IF(C1953=DATE(2026,11,28),36,0)+IF(C1953=DATE(2026,12,1),36,0)+IF(C1953=DATE(2026,12,2),23,0)))</f>
        <v/>
      </c>
      <c r="K1953" s="13">
        <f>IF(C1953=Options!$B$9,B1953*12,0)</f>
        <v/>
      </c>
      <c r="L1953" s="13">
        <f>IF(C1953=Options!$B$9,B1953*Options!$Z$7,0)</f>
        <v/>
      </c>
      <c r="M1953" s="13" t="n">
        <v>0</v>
      </c>
      <c r="N1953" s="13">
        <f>SUM(E1953:M1953)</f>
        <v/>
      </c>
    </row>
    <row r="1954">
      <c r="A1954" s="5">
        <f>IF(AND(C1954&gt;=Options!$B$9,C1954&lt;=Options!$B$10),"Phoenix","")</f>
        <v/>
      </c>
      <c r="B1954" s="5">
        <f>IF(A1954="","",24)</f>
        <v/>
      </c>
      <c r="C1954" s="17" t="n">
        <v>46420</v>
      </c>
      <c r="D1954" s="5">
        <f>IF(A1954="","",IF(C1954=DATE(2026,11,29),"培训；注册午餐；早餐参数",IF(C1954=DATE(2026,11,30),"培训；注册午餐",IF(C1954=DATE(2026,12,1),"培训；注册午餐；机构晚餐",IF(C1954=Options!$B$9,"抵达；"&amp;IF(C1954=DATE(2026,11,28),"机构晚餐","无统一供餐"),IF(C1954=Options!$B$10,"返程；"&amp;IF(C1954=DATE(2026,12,2),"机构午餐","无统一供餐"),"差旅状态；无统一日程"))))))</f>
        <v/>
      </c>
      <c r="E1954" s="13">
        <f>IF(C1954=Options!$B$9,Options!$C$19,0)</f>
        <v/>
      </c>
      <c r="F1954" s="13">
        <f>IF(AND(A1954&lt;&gt;"",C1954&lt;Options!$B$10),B1954*Options!$X$7,0)</f>
        <v/>
      </c>
      <c r="G1954" s="13">
        <f>F1954*12%</f>
        <v/>
      </c>
      <c r="H1954" s="13">
        <f>IF(A1954="",0,B1954*(86*IF(OR(C1954=Options!$B$9,C1954=Options!$B$10),75%,100%)-IF(C1954=DATE(2026,11,29),23+IF(Options!$B$8="是",22,0),0)-IF(C1954=DATE(2026,11,30),23,0)-IF(C1954=DATE(2026,12,1),59,0)-IF(C1954=DATE(2026,11,28),36,0)-IF(C1954=DATE(2026,12,2),23,0)))</f>
        <v/>
      </c>
      <c r="I1954" s="13">
        <f>IF(AND(C1954&gt;=DATE(2026,11,29),C1954&lt;=DATE(2026,12,1)),B1954*60,0)</f>
        <v/>
      </c>
      <c r="J1954" s="13">
        <f>IF(A1954="",0,B1954*(IF(C1954=DATE(2026,11,28),36,0)+IF(C1954=DATE(2026,12,1),36,0)+IF(C1954=DATE(2026,12,2),23,0)))</f>
        <v/>
      </c>
      <c r="K1954" s="13">
        <f>IF(C1954=Options!$B$9,B1954*12,0)</f>
        <v/>
      </c>
      <c r="L1954" s="13">
        <f>IF(C1954=Options!$B$9,B1954*Options!$Z$7,0)</f>
        <v/>
      </c>
      <c r="M1954" s="13" t="n">
        <v>0</v>
      </c>
      <c r="N1954" s="13">
        <f>SUM(E1954:M1954)</f>
        <v/>
      </c>
    </row>
    <row r="1955">
      <c r="A1955" s="5">
        <f>IF(AND(C1955&gt;=Options!$B$9,C1955&lt;=Options!$B$10),"Phoenix","")</f>
        <v/>
      </c>
      <c r="B1955" s="5">
        <f>IF(A1955="","",24)</f>
        <v/>
      </c>
      <c r="C1955" s="17" t="n">
        <v>46421</v>
      </c>
      <c r="D1955" s="5">
        <f>IF(A1955="","",IF(C1955=DATE(2026,11,29),"培训；注册午餐；早餐参数",IF(C1955=DATE(2026,11,30),"培训；注册午餐",IF(C1955=DATE(2026,12,1),"培训；注册午餐；机构晚餐",IF(C1955=Options!$B$9,"抵达；"&amp;IF(C1955=DATE(2026,11,28),"机构晚餐","无统一供餐"),IF(C1955=Options!$B$10,"返程；"&amp;IF(C1955=DATE(2026,12,2),"机构午餐","无统一供餐"),"差旅状态；无统一日程"))))))</f>
        <v/>
      </c>
      <c r="E1955" s="13">
        <f>IF(C1955=Options!$B$9,Options!$C$19,0)</f>
        <v/>
      </c>
      <c r="F1955" s="13">
        <f>IF(AND(A1955&lt;&gt;"",C1955&lt;Options!$B$10),B1955*Options!$X$7,0)</f>
        <v/>
      </c>
      <c r="G1955" s="13">
        <f>F1955*12%</f>
        <v/>
      </c>
      <c r="H1955" s="13">
        <f>IF(A1955="",0,B1955*(86*IF(OR(C1955=Options!$B$9,C1955=Options!$B$10),75%,100%)-IF(C1955=DATE(2026,11,29),23+IF(Options!$B$8="是",22,0),0)-IF(C1955=DATE(2026,11,30),23,0)-IF(C1955=DATE(2026,12,1),59,0)-IF(C1955=DATE(2026,11,28),36,0)-IF(C1955=DATE(2026,12,2),23,0)))</f>
        <v/>
      </c>
      <c r="I1955" s="13">
        <f>IF(AND(C1955&gt;=DATE(2026,11,29),C1955&lt;=DATE(2026,12,1)),B1955*60,0)</f>
        <v/>
      </c>
      <c r="J1955" s="13">
        <f>IF(A1955="",0,B1955*(IF(C1955=DATE(2026,11,28),36,0)+IF(C1955=DATE(2026,12,1),36,0)+IF(C1955=DATE(2026,12,2),23,0)))</f>
        <v/>
      </c>
      <c r="K1955" s="13">
        <f>IF(C1955=Options!$B$9,B1955*12,0)</f>
        <v/>
      </c>
      <c r="L1955" s="13">
        <f>IF(C1955=Options!$B$9,B1955*Options!$Z$7,0)</f>
        <v/>
      </c>
      <c r="M1955" s="13" t="n">
        <v>0</v>
      </c>
      <c r="N1955" s="13">
        <f>SUM(E1955:M1955)</f>
        <v/>
      </c>
    </row>
    <row r="1956">
      <c r="A1956" s="5">
        <f>IF(AND(C1956&gt;=Options!$B$9,C1956&lt;=Options!$B$10),"Phoenix","")</f>
        <v/>
      </c>
      <c r="B1956" s="5">
        <f>IF(A1956="","",24)</f>
        <v/>
      </c>
      <c r="C1956" s="17" t="n">
        <v>46422</v>
      </c>
      <c r="D1956" s="5">
        <f>IF(A1956="","",IF(C1956=DATE(2026,11,29),"培训；注册午餐；早餐参数",IF(C1956=DATE(2026,11,30),"培训；注册午餐",IF(C1956=DATE(2026,12,1),"培训；注册午餐；机构晚餐",IF(C1956=Options!$B$9,"抵达；"&amp;IF(C1956=DATE(2026,11,28),"机构晚餐","无统一供餐"),IF(C1956=Options!$B$10,"返程；"&amp;IF(C1956=DATE(2026,12,2),"机构午餐","无统一供餐"),"差旅状态；无统一日程"))))))</f>
        <v/>
      </c>
      <c r="E1956" s="13">
        <f>IF(C1956=Options!$B$9,Options!$C$19,0)</f>
        <v/>
      </c>
      <c r="F1956" s="13">
        <f>IF(AND(A1956&lt;&gt;"",C1956&lt;Options!$B$10),B1956*Options!$X$7,0)</f>
        <v/>
      </c>
      <c r="G1956" s="13">
        <f>F1956*12%</f>
        <v/>
      </c>
      <c r="H1956" s="13">
        <f>IF(A1956="",0,B1956*(86*IF(OR(C1956=Options!$B$9,C1956=Options!$B$10),75%,100%)-IF(C1956=DATE(2026,11,29),23+IF(Options!$B$8="是",22,0),0)-IF(C1956=DATE(2026,11,30),23,0)-IF(C1956=DATE(2026,12,1),59,0)-IF(C1956=DATE(2026,11,28),36,0)-IF(C1956=DATE(2026,12,2),23,0)))</f>
        <v/>
      </c>
      <c r="I1956" s="13">
        <f>IF(AND(C1956&gt;=DATE(2026,11,29),C1956&lt;=DATE(2026,12,1)),B1956*60,0)</f>
        <v/>
      </c>
      <c r="J1956" s="13">
        <f>IF(A1956="",0,B1956*(IF(C1956=DATE(2026,11,28),36,0)+IF(C1956=DATE(2026,12,1),36,0)+IF(C1956=DATE(2026,12,2),23,0)))</f>
        <v/>
      </c>
      <c r="K1956" s="13">
        <f>IF(C1956=Options!$B$9,B1956*12,0)</f>
        <v/>
      </c>
      <c r="L1956" s="13">
        <f>IF(C1956=Options!$B$9,B1956*Options!$Z$7,0)</f>
        <v/>
      </c>
      <c r="M1956" s="13" t="n">
        <v>0</v>
      </c>
      <c r="N1956" s="13">
        <f>SUM(E1956:M1956)</f>
        <v/>
      </c>
    </row>
    <row r="1957">
      <c r="A1957" s="5">
        <f>IF(AND(C1957&gt;=Options!$B$9,C1957&lt;=Options!$B$10),"Phoenix","")</f>
        <v/>
      </c>
      <c r="B1957" s="5">
        <f>IF(A1957="","",24)</f>
        <v/>
      </c>
      <c r="C1957" s="17" t="n">
        <v>46423</v>
      </c>
      <c r="D1957" s="5">
        <f>IF(A1957="","",IF(C1957=DATE(2026,11,29),"培训；注册午餐；早餐参数",IF(C1957=DATE(2026,11,30),"培训；注册午餐",IF(C1957=DATE(2026,12,1),"培训；注册午餐；机构晚餐",IF(C1957=Options!$B$9,"抵达；"&amp;IF(C1957=DATE(2026,11,28),"机构晚餐","无统一供餐"),IF(C1957=Options!$B$10,"返程；"&amp;IF(C1957=DATE(2026,12,2),"机构午餐","无统一供餐"),"差旅状态；无统一日程"))))))</f>
        <v/>
      </c>
      <c r="E1957" s="13">
        <f>IF(C1957=Options!$B$9,Options!$C$19,0)</f>
        <v/>
      </c>
      <c r="F1957" s="13">
        <f>IF(AND(A1957&lt;&gt;"",C1957&lt;Options!$B$10),B1957*Options!$X$7,0)</f>
        <v/>
      </c>
      <c r="G1957" s="13">
        <f>F1957*12%</f>
        <v/>
      </c>
      <c r="H1957" s="13">
        <f>IF(A1957="",0,B1957*(86*IF(OR(C1957=Options!$B$9,C1957=Options!$B$10),75%,100%)-IF(C1957=DATE(2026,11,29),23+IF(Options!$B$8="是",22,0),0)-IF(C1957=DATE(2026,11,30),23,0)-IF(C1957=DATE(2026,12,1),59,0)-IF(C1957=DATE(2026,11,28),36,0)-IF(C1957=DATE(2026,12,2),23,0)))</f>
        <v/>
      </c>
      <c r="I1957" s="13">
        <f>IF(AND(C1957&gt;=DATE(2026,11,29),C1957&lt;=DATE(2026,12,1)),B1957*60,0)</f>
        <v/>
      </c>
      <c r="J1957" s="13">
        <f>IF(A1957="",0,B1957*(IF(C1957=DATE(2026,11,28),36,0)+IF(C1957=DATE(2026,12,1),36,0)+IF(C1957=DATE(2026,12,2),23,0)))</f>
        <v/>
      </c>
      <c r="K1957" s="13">
        <f>IF(C1957=Options!$B$9,B1957*12,0)</f>
        <v/>
      </c>
      <c r="L1957" s="13">
        <f>IF(C1957=Options!$B$9,B1957*Options!$Z$7,0)</f>
        <v/>
      </c>
      <c r="M1957" s="13" t="n">
        <v>0</v>
      </c>
      <c r="N1957" s="13">
        <f>SUM(E1957:M1957)</f>
        <v/>
      </c>
    </row>
    <row r="1958">
      <c r="A1958" s="5">
        <f>IF(AND(C1958&gt;=Options!$B$9,C1958&lt;=Options!$B$10),"Phoenix","")</f>
        <v/>
      </c>
      <c r="B1958" s="5">
        <f>IF(A1958="","",24)</f>
        <v/>
      </c>
      <c r="C1958" s="17" t="n">
        <v>46424</v>
      </c>
      <c r="D1958" s="5">
        <f>IF(A1958="","",IF(C1958=DATE(2026,11,29),"培训；注册午餐；早餐参数",IF(C1958=DATE(2026,11,30),"培训；注册午餐",IF(C1958=DATE(2026,12,1),"培训；注册午餐；机构晚餐",IF(C1958=Options!$B$9,"抵达；"&amp;IF(C1958=DATE(2026,11,28),"机构晚餐","无统一供餐"),IF(C1958=Options!$B$10,"返程；"&amp;IF(C1958=DATE(2026,12,2),"机构午餐","无统一供餐"),"差旅状态；无统一日程"))))))</f>
        <v/>
      </c>
      <c r="E1958" s="13">
        <f>IF(C1958=Options!$B$9,Options!$C$19,0)</f>
        <v/>
      </c>
      <c r="F1958" s="13">
        <f>IF(AND(A1958&lt;&gt;"",C1958&lt;Options!$B$10),B1958*Options!$X$7,0)</f>
        <v/>
      </c>
      <c r="G1958" s="13">
        <f>F1958*12%</f>
        <v/>
      </c>
      <c r="H1958" s="13">
        <f>IF(A1958="",0,B1958*(86*IF(OR(C1958=Options!$B$9,C1958=Options!$B$10),75%,100%)-IF(C1958=DATE(2026,11,29),23+IF(Options!$B$8="是",22,0),0)-IF(C1958=DATE(2026,11,30),23,0)-IF(C1958=DATE(2026,12,1),59,0)-IF(C1958=DATE(2026,11,28),36,0)-IF(C1958=DATE(2026,12,2),23,0)))</f>
        <v/>
      </c>
      <c r="I1958" s="13">
        <f>IF(AND(C1958&gt;=DATE(2026,11,29),C1958&lt;=DATE(2026,12,1)),B1958*60,0)</f>
        <v/>
      </c>
      <c r="J1958" s="13">
        <f>IF(A1958="",0,B1958*(IF(C1958=DATE(2026,11,28),36,0)+IF(C1958=DATE(2026,12,1),36,0)+IF(C1958=DATE(2026,12,2),23,0)))</f>
        <v/>
      </c>
      <c r="K1958" s="13">
        <f>IF(C1958=Options!$B$9,B1958*12,0)</f>
        <v/>
      </c>
      <c r="L1958" s="13">
        <f>IF(C1958=Options!$B$9,B1958*Options!$Z$7,0)</f>
        <v/>
      </c>
      <c r="M1958" s="13" t="n">
        <v>0</v>
      </c>
      <c r="N1958" s="13">
        <f>SUM(E1958:M1958)</f>
        <v/>
      </c>
    </row>
    <row r="1959">
      <c r="A1959" s="5">
        <f>IF(AND(C1959&gt;=Options!$B$9,C1959&lt;=Options!$B$10),"Phoenix","")</f>
        <v/>
      </c>
      <c r="B1959" s="5">
        <f>IF(A1959="","",24)</f>
        <v/>
      </c>
      <c r="C1959" s="17" t="n">
        <v>46425</v>
      </c>
      <c r="D1959" s="5">
        <f>IF(A1959="","",IF(C1959=DATE(2026,11,29),"培训；注册午餐；早餐参数",IF(C1959=DATE(2026,11,30),"培训；注册午餐",IF(C1959=DATE(2026,12,1),"培训；注册午餐；机构晚餐",IF(C1959=Options!$B$9,"抵达；"&amp;IF(C1959=DATE(2026,11,28),"机构晚餐","无统一供餐"),IF(C1959=Options!$B$10,"返程；"&amp;IF(C1959=DATE(2026,12,2),"机构午餐","无统一供餐"),"差旅状态；无统一日程"))))))</f>
        <v/>
      </c>
      <c r="E1959" s="13">
        <f>IF(C1959=Options!$B$9,Options!$C$19,0)</f>
        <v/>
      </c>
      <c r="F1959" s="13">
        <f>IF(AND(A1959&lt;&gt;"",C1959&lt;Options!$B$10),B1959*Options!$X$7,0)</f>
        <v/>
      </c>
      <c r="G1959" s="13">
        <f>F1959*12%</f>
        <v/>
      </c>
      <c r="H1959" s="13">
        <f>IF(A1959="",0,B1959*(86*IF(OR(C1959=Options!$B$9,C1959=Options!$B$10),75%,100%)-IF(C1959=DATE(2026,11,29),23+IF(Options!$B$8="是",22,0),0)-IF(C1959=DATE(2026,11,30),23,0)-IF(C1959=DATE(2026,12,1),59,0)-IF(C1959=DATE(2026,11,28),36,0)-IF(C1959=DATE(2026,12,2),23,0)))</f>
        <v/>
      </c>
      <c r="I1959" s="13">
        <f>IF(AND(C1959&gt;=DATE(2026,11,29),C1959&lt;=DATE(2026,12,1)),B1959*60,0)</f>
        <v/>
      </c>
      <c r="J1959" s="13">
        <f>IF(A1959="",0,B1959*(IF(C1959=DATE(2026,11,28),36,0)+IF(C1959=DATE(2026,12,1),36,0)+IF(C1959=DATE(2026,12,2),23,0)))</f>
        <v/>
      </c>
      <c r="K1959" s="13">
        <f>IF(C1959=Options!$B$9,B1959*12,0)</f>
        <v/>
      </c>
      <c r="L1959" s="13">
        <f>IF(C1959=Options!$B$9,B1959*Options!$Z$7,0)</f>
        <v/>
      </c>
      <c r="M1959" s="13" t="n">
        <v>0</v>
      </c>
      <c r="N1959" s="13">
        <f>SUM(E1959:M1959)</f>
        <v/>
      </c>
    </row>
    <row r="1960">
      <c r="A1960" s="5">
        <f>IF(AND(C1960&gt;=Options!$B$9,C1960&lt;=Options!$B$10),"Phoenix","")</f>
        <v/>
      </c>
      <c r="B1960" s="5">
        <f>IF(A1960="","",24)</f>
        <v/>
      </c>
      <c r="C1960" s="17" t="n">
        <v>46426</v>
      </c>
      <c r="D1960" s="5">
        <f>IF(A1960="","",IF(C1960=DATE(2026,11,29),"培训；注册午餐；早餐参数",IF(C1960=DATE(2026,11,30),"培训；注册午餐",IF(C1960=DATE(2026,12,1),"培训；注册午餐；机构晚餐",IF(C1960=Options!$B$9,"抵达；"&amp;IF(C1960=DATE(2026,11,28),"机构晚餐","无统一供餐"),IF(C1960=Options!$B$10,"返程；"&amp;IF(C1960=DATE(2026,12,2),"机构午餐","无统一供餐"),"差旅状态；无统一日程"))))))</f>
        <v/>
      </c>
      <c r="E1960" s="13">
        <f>IF(C1960=Options!$B$9,Options!$C$19,0)</f>
        <v/>
      </c>
      <c r="F1960" s="13">
        <f>IF(AND(A1960&lt;&gt;"",C1960&lt;Options!$B$10),B1960*Options!$X$7,0)</f>
        <v/>
      </c>
      <c r="G1960" s="13">
        <f>F1960*12%</f>
        <v/>
      </c>
      <c r="H1960" s="13">
        <f>IF(A1960="",0,B1960*(86*IF(OR(C1960=Options!$B$9,C1960=Options!$B$10),75%,100%)-IF(C1960=DATE(2026,11,29),23+IF(Options!$B$8="是",22,0),0)-IF(C1960=DATE(2026,11,30),23,0)-IF(C1960=DATE(2026,12,1),59,0)-IF(C1960=DATE(2026,11,28),36,0)-IF(C1960=DATE(2026,12,2),23,0)))</f>
        <v/>
      </c>
      <c r="I1960" s="13">
        <f>IF(AND(C1960&gt;=DATE(2026,11,29),C1960&lt;=DATE(2026,12,1)),B1960*60,0)</f>
        <v/>
      </c>
      <c r="J1960" s="13">
        <f>IF(A1960="",0,B1960*(IF(C1960=DATE(2026,11,28),36,0)+IF(C1960=DATE(2026,12,1),36,0)+IF(C1960=DATE(2026,12,2),23,0)))</f>
        <v/>
      </c>
      <c r="K1960" s="13">
        <f>IF(C1960=Options!$B$9,B1960*12,0)</f>
        <v/>
      </c>
      <c r="L1960" s="13">
        <f>IF(C1960=Options!$B$9,B1960*Options!$Z$7,0)</f>
        <v/>
      </c>
      <c r="M1960" s="13" t="n">
        <v>0</v>
      </c>
      <c r="N1960" s="13">
        <f>SUM(E1960:M1960)</f>
        <v/>
      </c>
    </row>
    <row r="1961">
      <c r="A1961" s="5">
        <f>IF(AND(C1961&gt;=Options!$B$9,C1961&lt;=Options!$B$10),"Phoenix","")</f>
        <v/>
      </c>
      <c r="B1961" s="5">
        <f>IF(A1961="","",24)</f>
        <v/>
      </c>
      <c r="C1961" s="17" t="n">
        <v>46427</v>
      </c>
      <c r="D1961" s="5">
        <f>IF(A1961="","",IF(C1961=DATE(2026,11,29),"培训；注册午餐；早餐参数",IF(C1961=DATE(2026,11,30),"培训；注册午餐",IF(C1961=DATE(2026,12,1),"培训；注册午餐；机构晚餐",IF(C1961=Options!$B$9,"抵达；"&amp;IF(C1961=DATE(2026,11,28),"机构晚餐","无统一供餐"),IF(C1961=Options!$B$10,"返程；"&amp;IF(C1961=DATE(2026,12,2),"机构午餐","无统一供餐"),"差旅状态；无统一日程"))))))</f>
        <v/>
      </c>
      <c r="E1961" s="13">
        <f>IF(C1961=Options!$B$9,Options!$C$19,0)</f>
        <v/>
      </c>
      <c r="F1961" s="13">
        <f>IF(AND(A1961&lt;&gt;"",C1961&lt;Options!$B$10),B1961*Options!$X$7,0)</f>
        <v/>
      </c>
      <c r="G1961" s="13">
        <f>F1961*12%</f>
        <v/>
      </c>
      <c r="H1961" s="13">
        <f>IF(A1961="",0,B1961*(86*IF(OR(C1961=Options!$B$9,C1961=Options!$B$10),75%,100%)-IF(C1961=DATE(2026,11,29),23+IF(Options!$B$8="是",22,0),0)-IF(C1961=DATE(2026,11,30),23,0)-IF(C1961=DATE(2026,12,1),59,0)-IF(C1961=DATE(2026,11,28),36,0)-IF(C1961=DATE(2026,12,2),23,0)))</f>
        <v/>
      </c>
      <c r="I1961" s="13">
        <f>IF(AND(C1961&gt;=DATE(2026,11,29),C1961&lt;=DATE(2026,12,1)),B1961*60,0)</f>
        <v/>
      </c>
      <c r="J1961" s="13">
        <f>IF(A1961="",0,B1961*(IF(C1961=DATE(2026,11,28),36,0)+IF(C1961=DATE(2026,12,1),36,0)+IF(C1961=DATE(2026,12,2),23,0)))</f>
        <v/>
      </c>
      <c r="K1961" s="13">
        <f>IF(C1961=Options!$B$9,B1961*12,0)</f>
        <v/>
      </c>
      <c r="L1961" s="13">
        <f>IF(C1961=Options!$B$9,B1961*Options!$Z$7,0)</f>
        <v/>
      </c>
      <c r="M1961" s="13" t="n">
        <v>0</v>
      </c>
      <c r="N1961" s="13">
        <f>SUM(E1961:M1961)</f>
        <v/>
      </c>
    </row>
    <row r="1962">
      <c r="A1962" s="5">
        <f>IF(AND(C1962&gt;=Options!$B$9,C1962&lt;=Options!$B$10),"Phoenix","")</f>
        <v/>
      </c>
      <c r="B1962" s="5">
        <f>IF(A1962="","",24)</f>
        <v/>
      </c>
      <c r="C1962" s="17" t="n">
        <v>46428</v>
      </c>
      <c r="D1962" s="5">
        <f>IF(A1962="","",IF(C1962=DATE(2026,11,29),"培训；注册午餐；早餐参数",IF(C1962=DATE(2026,11,30),"培训；注册午餐",IF(C1962=DATE(2026,12,1),"培训；注册午餐；机构晚餐",IF(C1962=Options!$B$9,"抵达；"&amp;IF(C1962=DATE(2026,11,28),"机构晚餐","无统一供餐"),IF(C1962=Options!$B$10,"返程；"&amp;IF(C1962=DATE(2026,12,2),"机构午餐","无统一供餐"),"差旅状态；无统一日程"))))))</f>
        <v/>
      </c>
      <c r="E1962" s="13">
        <f>IF(C1962=Options!$B$9,Options!$C$19,0)</f>
        <v/>
      </c>
      <c r="F1962" s="13">
        <f>IF(AND(A1962&lt;&gt;"",C1962&lt;Options!$B$10),B1962*Options!$X$7,0)</f>
        <v/>
      </c>
      <c r="G1962" s="13">
        <f>F1962*12%</f>
        <v/>
      </c>
      <c r="H1962" s="13">
        <f>IF(A1962="",0,B1962*(86*IF(OR(C1962=Options!$B$9,C1962=Options!$B$10),75%,100%)-IF(C1962=DATE(2026,11,29),23+IF(Options!$B$8="是",22,0),0)-IF(C1962=DATE(2026,11,30),23,0)-IF(C1962=DATE(2026,12,1),59,0)-IF(C1962=DATE(2026,11,28),36,0)-IF(C1962=DATE(2026,12,2),23,0)))</f>
        <v/>
      </c>
      <c r="I1962" s="13">
        <f>IF(AND(C1962&gt;=DATE(2026,11,29),C1962&lt;=DATE(2026,12,1)),B1962*60,0)</f>
        <v/>
      </c>
      <c r="J1962" s="13">
        <f>IF(A1962="",0,B1962*(IF(C1962=DATE(2026,11,28),36,0)+IF(C1962=DATE(2026,12,1),36,0)+IF(C1962=DATE(2026,12,2),23,0)))</f>
        <v/>
      </c>
      <c r="K1962" s="13">
        <f>IF(C1962=Options!$B$9,B1962*12,0)</f>
        <v/>
      </c>
      <c r="L1962" s="13">
        <f>IF(C1962=Options!$B$9,B1962*Options!$Z$7,0)</f>
        <v/>
      </c>
      <c r="M1962" s="13" t="n">
        <v>0</v>
      </c>
      <c r="N1962" s="13">
        <f>SUM(E1962:M1962)</f>
        <v/>
      </c>
    </row>
    <row r="1963">
      <c r="A1963" s="5">
        <f>IF(AND(C1963&gt;=Options!$B$9,C1963&lt;=Options!$B$10),"Phoenix","")</f>
        <v/>
      </c>
      <c r="B1963" s="5">
        <f>IF(A1963="","",24)</f>
        <v/>
      </c>
      <c r="C1963" s="17" t="n">
        <v>46429</v>
      </c>
      <c r="D1963" s="5">
        <f>IF(A1963="","",IF(C1963=DATE(2026,11,29),"培训；注册午餐；早餐参数",IF(C1963=DATE(2026,11,30),"培训；注册午餐",IF(C1963=DATE(2026,12,1),"培训；注册午餐；机构晚餐",IF(C1963=Options!$B$9,"抵达；"&amp;IF(C1963=DATE(2026,11,28),"机构晚餐","无统一供餐"),IF(C1963=Options!$B$10,"返程；"&amp;IF(C1963=DATE(2026,12,2),"机构午餐","无统一供餐"),"差旅状态；无统一日程"))))))</f>
        <v/>
      </c>
      <c r="E1963" s="13">
        <f>IF(C1963=Options!$B$9,Options!$C$19,0)</f>
        <v/>
      </c>
      <c r="F1963" s="13">
        <f>IF(AND(A1963&lt;&gt;"",C1963&lt;Options!$B$10),B1963*Options!$X$7,0)</f>
        <v/>
      </c>
      <c r="G1963" s="13">
        <f>F1963*12%</f>
        <v/>
      </c>
      <c r="H1963" s="13">
        <f>IF(A1963="",0,B1963*(86*IF(OR(C1963=Options!$B$9,C1963=Options!$B$10),75%,100%)-IF(C1963=DATE(2026,11,29),23+IF(Options!$B$8="是",22,0),0)-IF(C1963=DATE(2026,11,30),23,0)-IF(C1963=DATE(2026,12,1),59,0)-IF(C1963=DATE(2026,11,28),36,0)-IF(C1963=DATE(2026,12,2),23,0)))</f>
        <v/>
      </c>
      <c r="I1963" s="13">
        <f>IF(AND(C1963&gt;=DATE(2026,11,29),C1963&lt;=DATE(2026,12,1)),B1963*60,0)</f>
        <v/>
      </c>
      <c r="J1963" s="13">
        <f>IF(A1963="",0,B1963*(IF(C1963=DATE(2026,11,28),36,0)+IF(C1963=DATE(2026,12,1),36,0)+IF(C1963=DATE(2026,12,2),23,0)))</f>
        <v/>
      </c>
      <c r="K1963" s="13">
        <f>IF(C1963=Options!$B$9,B1963*12,0)</f>
        <v/>
      </c>
      <c r="L1963" s="13">
        <f>IF(C1963=Options!$B$9,B1963*Options!$Z$7,0)</f>
        <v/>
      </c>
      <c r="M1963" s="13" t="n">
        <v>0</v>
      </c>
      <c r="N1963" s="13">
        <f>SUM(E1963:M1963)</f>
        <v/>
      </c>
    </row>
    <row r="1964">
      <c r="A1964" s="5">
        <f>IF(AND(C1964&gt;=Options!$B$9,C1964&lt;=Options!$B$10),"Phoenix","")</f>
        <v/>
      </c>
      <c r="B1964" s="5">
        <f>IF(A1964="","",24)</f>
        <v/>
      </c>
      <c r="C1964" s="17" t="n">
        <v>46430</v>
      </c>
      <c r="D1964" s="5">
        <f>IF(A1964="","",IF(C1964=DATE(2026,11,29),"培训；注册午餐；早餐参数",IF(C1964=DATE(2026,11,30),"培训；注册午餐",IF(C1964=DATE(2026,12,1),"培训；注册午餐；机构晚餐",IF(C1964=Options!$B$9,"抵达；"&amp;IF(C1964=DATE(2026,11,28),"机构晚餐","无统一供餐"),IF(C1964=Options!$B$10,"返程；"&amp;IF(C1964=DATE(2026,12,2),"机构午餐","无统一供餐"),"差旅状态；无统一日程"))))))</f>
        <v/>
      </c>
      <c r="E1964" s="13">
        <f>IF(C1964=Options!$B$9,Options!$C$19,0)</f>
        <v/>
      </c>
      <c r="F1964" s="13">
        <f>IF(AND(A1964&lt;&gt;"",C1964&lt;Options!$B$10),B1964*Options!$X$7,0)</f>
        <v/>
      </c>
      <c r="G1964" s="13">
        <f>F1964*12%</f>
        <v/>
      </c>
      <c r="H1964" s="13">
        <f>IF(A1964="",0,B1964*(86*IF(OR(C1964=Options!$B$9,C1964=Options!$B$10),75%,100%)-IF(C1964=DATE(2026,11,29),23+IF(Options!$B$8="是",22,0),0)-IF(C1964=DATE(2026,11,30),23,0)-IF(C1964=DATE(2026,12,1),59,0)-IF(C1964=DATE(2026,11,28),36,0)-IF(C1964=DATE(2026,12,2),23,0)))</f>
        <v/>
      </c>
      <c r="I1964" s="13">
        <f>IF(AND(C1964&gt;=DATE(2026,11,29),C1964&lt;=DATE(2026,12,1)),B1964*60,0)</f>
        <v/>
      </c>
      <c r="J1964" s="13">
        <f>IF(A1964="",0,B1964*(IF(C1964=DATE(2026,11,28),36,0)+IF(C1964=DATE(2026,12,1),36,0)+IF(C1964=DATE(2026,12,2),23,0)))</f>
        <v/>
      </c>
      <c r="K1964" s="13">
        <f>IF(C1964=Options!$B$9,B1964*12,0)</f>
        <v/>
      </c>
      <c r="L1964" s="13">
        <f>IF(C1964=Options!$B$9,B1964*Options!$Z$7,0)</f>
        <v/>
      </c>
      <c r="M1964" s="13" t="n">
        <v>0</v>
      </c>
      <c r="N1964" s="13">
        <f>SUM(E1964:M1964)</f>
        <v/>
      </c>
    </row>
    <row r="1965">
      <c r="A1965" s="5">
        <f>IF(AND(C1965&gt;=Options!$B$9,C1965&lt;=Options!$B$10),"Phoenix","")</f>
        <v/>
      </c>
      <c r="B1965" s="5">
        <f>IF(A1965="","",24)</f>
        <v/>
      </c>
      <c r="C1965" s="17" t="n">
        <v>46431</v>
      </c>
      <c r="D1965" s="5">
        <f>IF(A1965="","",IF(C1965=DATE(2026,11,29),"培训；注册午餐；早餐参数",IF(C1965=DATE(2026,11,30),"培训；注册午餐",IF(C1965=DATE(2026,12,1),"培训；注册午餐；机构晚餐",IF(C1965=Options!$B$9,"抵达；"&amp;IF(C1965=DATE(2026,11,28),"机构晚餐","无统一供餐"),IF(C1965=Options!$B$10,"返程；"&amp;IF(C1965=DATE(2026,12,2),"机构午餐","无统一供餐"),"差旅状态；无统一日程"))))))</f>
        <v/>
      </c>
      <c r="E1965" s="13">
        <f>IF(C1965=Options!$B$9,Options!$C$19,0)</f>
        <v/>
      </c>
      <c r="F1965" s="13">
        <f>IF(AND(A1965&lt;&gt;"",C1965&lt;Options!$B$10),B1965*Options!$X$7,0)</f>
        <v/>
      </c>
      <c r="G1965" s="13">
        <f>F1965*12%</f>
        <v/>
      </c>
      <c r="H1965" s="13">
        <f>IF(A1965="",0,B1965*(86*IF(OR(C1965=Options!$B$9,C1965=Options!$B$10),75%,100%)-IF(C1965=DATE(2026,11,29),23+IF(Options!$B$8="是",22,0),0)-IF(C1965=DATE(2026,11,30),23,0)-IF(C1965=DATE(2026,12,1),59,0)-IF(C1965=DATE(2026,11,28),36,0)-IF(C1965=DATE(2026,12,2),23,0)))</f>
        <v/>
      </c>
      <c r="I1965" s="13">
        <f>IF(AND(C1965&gt;=DATE(2026,11,29),C1965&lt;=DATE(2026,12,1)),B1965*60,0)</f>
        <v/>
      </c>
      <c r="J1965" s="13">
        <f>IF(A1965="",0,B1965*(IF(C1965=DATE(2026,11,28),36,0)+IF(C1965=DATE(2026,12,1),36,0)+IF(C1965=DATE(2026,12,2),23,0)))</f>
        <v/>
      </c>
      <c r="K1965" s="13">
        <f>IF(C1965=Options!$B$9,B1965*12,0)</f>
        <v/>
      </c>
      <c r="L1965" s="13">
        <f>IF(C1965=Options!$B$9,B1965*Options!$Z$7,0)</f>
        <v/>
      </c>
      <c r="M1965" s="13" t="n">
        <v>0</v>
      </c>
      <c r="N1965" s="13">
        <f>SUM(E1965:M1965)</f>
        <v/>
      </c>
    </row>
    <row r="1966">
      <c r="A1966" s="5">
        <f>IF(AND(C1966&gt;=Options!$B$9,C1966&lt;=Options!$B$10),"Phoenix","")</f>
        <v/>
      </c>
      <c r="B1966" s="5">
        <f>IF(A1966="","",24)</f>
        <v/>
      </c>
      <c r="C1966" s="17" t="n">
        <v>46432</v>
      </c>
      <c r="D1966" s="5">
        <f>IF(A1966="","",IF(C1966=DATE(2026,11,29),"培训；注册午餐；早餐参数",IF(C1966=DATE(2026,11,30),"培训；注册午餐",IF(C1966=DATE(2026,12,1),"培训；注册午餐；机构晚餐",IF(C1966=Options!$B$9,"抵达；"&amp;IF(C1966=DATE(2026,11,28),"机构晚餐","无统一供餐"),IF(C1966=Options!$B$10,"返程；"&amp;IF(C1966=DATE(2026,12,2),"机构午餐","无统一供餐"),"差旅状态；无统一日程"))))))</f>
        <v/>
      </c>
      <c r="E1966" s="13">
        <f>IF(C1966=Options!$B$9,Options!$C$19,0)</f>
        <v/>
      </c>
      <c r="F1966" s="13">
        <f>IF(AND(A1966&lt;&gt;"",C1966&lt;Options!$B$10),B1966*Options!$X$7,0)</f>
        <v/>
      </c>
      <c r="G1966" s="13">
        <f>F1966*12%</f>
        <v/>
      </c>
      <c r="H1966" s="13">
        <f>IF(A1966="",0,B1966*(86*IF(OR(C1966=Options!$B$9,C1966=Options!$B$10),75%,100%)-IF(C1966=DATE(2026,11,29),23+IF(Options!$B$8="是",22,0),0)-IF(C1966=DATE(2026,11,30),23,0)-IF(C1966=DATE(2026,12,1),59,0)-IF(C1966=DATE(2026,11,28),36,0)-IF(C1966=DATE(2026,12,2),23,0)))</f>
        <v/>
      </c>
      <c r="I1966" s="13">
        <f>IF(AND(C1966&gt;=DATE(2026,11,29),C1966&lt;=DATE(2026,12,1)),B1966*60,0)</f>
        <v/>
      </c>
      <c r="J1966" s="13">
        <f>IF(A1966="",0,B1966*(IF(C1966=DATE(2026,11,28),36,0)+IF(C1966=DATE(2026,12,1),36,0)+IF(C1966=DATE(2026,12,2),23,0)))</f>
        <v/>
      </c>
      <c r="K1966" s="13">
        <f>IF(C1966=Options!$B$9,B1966*12,0)</f>
        <v/>
      </c>
      <c r="L1966" s="13">
        <f>IF(C1966=Options!$B$9,B1966*Options!$Z$7,0)</f>
        <v/>
      </c>
      <c r="M1966" s="13" t="n">
        <v>0</v>
      </c>
      <c r="N1966" s="13">
        <f>SUM(E1966:M1966)</f>
        <v/>
      </c>
    </row>
    <row r="1967">
      <c r="A1967" s="5">
        <f>IF(AND(C1967&gt;=Options!$B$9,C1967&lt;=Options!$B$10),"Phoenix","")</f>
        <v/>
      </c>
      <c r="B1967" s="5">
        <f>IF(A1967="","",24)</f>
        <v/>
      </c>
      <c r="C1967" s="17" t="n">
        <v>46433</v>
      </c>
      <c r="D1967" s="5">
        <f>IF(A1967="","",IF(C1967=DATE(2026,11,29),"培训；注册午餐；早餐参数",IF(C1967=DATE(2026,11,30),"培训；注册午餐",IF(C1967=DATE(2026,12,1),"培训；注册午餐；机构晚餐",IF(C1967=Options!$B$9,"抵达；"&amp;IF(C1967=DATE(2026,11,28),"机构晚餐","无统一供餐"),IF(C1967=Options!$B$10,"返程；"&amp;IF(C1967=DATE(2026,12,2),"机构午餐","无统一供餐"),"差旅状态；无统一日程"))))))</f>
        <v/>
      </c>
      <c r="E1967" s="13">
        <f>IF(C1967=Options!$B$9,Options!$C$19,0)</f>
        <v/>
      </c>
      <c r="F1967" s="13">
        <f>IF(AND(A1967&lt;&gt;"",C1967&lt;Options!$B$10),B1967*Options!$X$7,0)</f>
        <v/>
      </c>
      <c r="G1967" s="13">
        <f>F1967*12%</f>
        <v/>
      </c>
      <c r="H1967" s="13">
        <f>IF(A1967="",0,B1967*(86*IF(OR(C1967=Options!$B$9,C1967=Options!$B$10),75%,100%)-IF(C1967=DATE(2026,11,29),23+IF(Options!$B$8="是",22,0),0)-IF(C1967=DATE(2026,11,30),23,0)-IF(C1967=DATE(2026,12,1),59,0)-IF(C1967=DATE(2026,11,28),36,0)-IF(C1967=DATE(2026,12,2),23,0)))</f>
        <v/>
      </c>
      <c r="I1967" s="13">
        <f>IF(AND(C1967&gt;=DATE(2026,11,29),C1967&lt;=DATE(2026,12,1)),B1967*60,0)</f>
        <v/>
      </c>
      <c r="J1967" s="13">
        <f>IF(A1967="",0,B1967*(IF(C1967=DATE(2026,11,28),36,0)+IF(C1967=DATE(2026,12,1),36,0)+IF(C1967=DATE(2026,12,2),23,0)))</f>
        <v/>
      </c>
      <c r="K1967" s="13">
        <f>IF(C1967=Options!$B$9,B1967*12,0)</f>
        <v/>
      </c>
      <c r="L1967" s="13">
        <f>IF(C1967=Options!$B$9,B1967*Options!$Z$7,0)</f>
        <v/>
      </c>
      <c r="M1967" s="13" t="n">
        <v>0</v>
      </c>
      <c r="N1967" s="13">
        <f>SUM(E1967:M1967)</f>
        <v/>
      </c>
    </row>
    <row r="1968">
      <c r="A1968" s="5">
        <f>IF(AND(C1968&gt;=Options!$B$9,C1968&lt;=Options!$B$10),"Phoenix","")</f>
        <v/>
      </c>
      <c r="B1968" s="5">
        <f>IF(A1968="","",24)</f>
        <v/>
      </c>
      <c r="C1968" s="17" t="n">
        <v>46434</v>
      </c>
      <c r="D1968" s="5">
        <f>IF(A1968="","",IF(C1968=DATE(2026,11,29),"培训；注册午餐；早餐参数",IF(C1968=DATE(2026,11,30),"培训；注册午餐",IF(C1968=DATE(2026,12,1),"培训；注册午餐；机构晚餐",IF(C1968=Options!$B$9,"抵达；"&amp;IF(C1968=DATE(2026,11,28),"机构晚餐","无统一供餐"),IF(C1968=Options!$B$10,"返程；"&amp;IF(C1968=DATE(2026,12,2),"机构午餐","无统一供餐"),"差旅状态；无统一日程"))))))</f>
        <v/>
      </c>
      <c r="E1968" s="13">
        <f>IF(C1968=Options!$B$9,Options!$C$19,0)</f>
        <v/>
      </c>
      <c r="F1968" s="13">
        <f>IF(AND(A1968&lt;&gt;"",C1968&lt;Options!$B$10),B1968*Options!$X$7,0)</f>
        <v/>
      </c>
      <c r="G1968" s="13">
        <f>F1968*12%</f>
        <v/>
      </c>
      <c r="H1968" s="13">
        <f>IF(A1968="",0,B1968*(86*IF(OR(C1968=Options!$B$9,C1968=Options!$B$10),75%,100%)-IF(C1968=DATE(2026,11,29),23+IF(Options!$B$8="是",22,0),0)-IF(C1968=DATE(2026,11,30),23,0)-IF(C1968=DATE(2026,12,1),59,0)-IF(C1968=DATE(2026,11,28),36,0)-IF(C1968=DATE(2026,12,2),23,0)))</f>
        <v/>
      </c>
      <c r="I1968" s="13">
        <f>IF(AND(C1968&gt;=DATE(2026,11,29),C1968&lt;=DATE(2026,12,1)),B1968*60,0)</f>
        <v/>
      </c>
      <c r="J1968" s="13">
        <f>IF(A1968="",0,B1968*(IF(C1968=DATE(2026,11,28),36,0)+IF(C1968=DATE(2026,12,1),36,0)+IF(C1968=DATE(2026,12,2),23,0)))</f>
        <v/>
      </c>
      <c r="K1968" s="13">
        <f>IF(C1968=Options!$B$9,B1968*12,0)</f>
        <v/>
      </c>
      <c r="L1968" s="13">
        <f>IF(C1968=Options!$B$9,B1968*Options!$Z$7,0)</f>
        <v/>
      </c>
      <c r="M1968" s="13" t="n">
        <v>0</v>
      </c>
      <c r="N1968" s="13">
        <f>SUM(E1968:M1968)</f>
        <v/>
      </c>
    </row>
    <row r="1969">
      <c r="A1969" s="5">
        <f>IF(AND(C1969&gt;=Options!$B$9,C1969&lt;=Options!$B$10),"Phoenix","")</f>
        <v/>
      </c>
      <c r="B1969" s="5">
        <f>IF(A1969="","",24)</f>
        <v/>
      </c>
      <c r="C1969" s="17" t="n">
        <v>46435</v>
      </c>
      <c r="D1969" s="5">
        <f>IF(A1969="","",IF(C1969=DATE(2026,11,29),"培训；注册午餐；早餐参数",IF(C1969=DATE(2026,11,30),"培训；注册午餐",IF(C1969=DATE(2026,12,1),"培训；注册午餐；机构晚餐",IF(C1969=Options!$B$9,"抵达；"&amp;IF(C1969=DATE(2026,11,28),"机构晚餐","无统一供餐"),IF(C1969=Options!$B$10,"返程；"&amp;IF(C1969=DATE(2026,12,2),"机构午餐","无统一供餐"),"差旅状态；无统一日程"))))))</f>
        <v/>
      </c>
      <c r="E1969" s="13">
        <f>IF(C1969=Options!$B$9,Options!$C$19,0)</f>
        <v/>
      </c>
      <c r="F1969" s="13">
        <f>IF(AND(A1969&lt;&gt;"",C1969&lt;Options!$B$10),B1969*Options!$X$7,0)</f>
        <v/>
      </c>
      <c r="G1969" s="13">
        <f>F1969*12%</f>
        <v/>
      </c>
      <c r="H1969" s="13">
        <f>IF(A1969="",0,B1969*(86*IF(OR(C1969=Options!$B$9,C1969=Options!$B$10),75%,100%)-IF(C1969=DATE(2026,11,29),23+IF(Options!$B$8="是",22,0),0)-IF(C1969=DATE(2026,11,30),23,0)-IF(C1969=DATE(2026,12,1),59,0)-IF(C1969=DATE(2026,11,28),36,0)-IF(C1969=DATE(2026,12,2),23,0)))</f>
        <v/>
      </c>
      <c r="I1969" s="13">
        <f>IF(AND(C1969&gt;=DATE(2026,11,29),C1969&lt;=DATE(2026,12,1)),B1969*60,0)</f>
        <v/>
      </c>
      <c r="J1969" s="13">
        <f>IF(A1969="",0,B1969*(IF(C1969=DATE(2026,11,28),36,0)+IF(C1969=DATE(2026,12,1),36,0)+IF(C1969=DATE(2026,12,2),23,0)))</f>
        <v/>
      </c>
      <c r="K1969" s="13">
        <f>IF(C1969=Options!$B$9,B1969*12,0)</f>
        <v/>
      </c>
      <c r="L1969" s="13">
        <f>IF(C1969=Options!$B$9,B1969*Options!$Z$7,0)</f>
        <v/>
      </c>
      <c r="M1969" s="13" t="n">
        <v>0</v>
      </c>
      <c r="N1969" s="13">
        <f>SUM(E1969:M1969)</f>
        <v/>
      </c>
    </row>
    <row r="1970">
      <c r="A1970" s="5">
        <f>IF(AND(C1970&gt;=Options!$B$9,C1970&lt;=Options!$B$10),"Phoenix","")</f>
        <v/>
      </c>
      <c r="B1970" s="5">
        <f>IF(A1970="","",24)</f>
        <v/>
      </c>
      <c r="C1970" s="17" t="n">
        <v>46436</v>
      </c>
      <c r="D1970" s="5">
        <f>IF(A1970="","",IF(C1970=DATE(2026,11,29),"培训；注册午餐；早餐参数",IF(C1970=DATE(2026,11,30),"培训；注册午餐",IF(C1970=DATE(2026,12,1),"培训；注册午餐；机构晚餐",IF(C1970=Options!$B$9,"抵达；"&amp;IF(C1970=DATE(2026,11,28),"机构晚餐","无统一供餐"),IF(C1970=Options!$B$10,"返程；"&amp;IF(C1970=DATE(2026,12,2),"机构午餐","无统一供餐"),"差旅状态；无统一日程"))))))</f>
        <v/>
      </c>
      <c r="E1970" s="13">
        <f>IF(C1970=Options!$B$9,Options!$C$19,0)</f>
        <v/>
      </c>
      <c r="F1970" s="13">
        <f>IF(AND(A1970&lt;&gt;"",C1970&lt;Options!$B$10),B1970*Options!$X$7,0)</f>
        <v/>
      </c>
      <c r="G1970" s="13">
        <f>F1970*12%</f>
        <v/>
      </c>
      <c r="H1970" s="13">
        <f>IF(A1970="",0,B1970*(86*IF(OR(C1970=Options!$B$9,C1970=Options!$B$10),75%,100%)-IF(C1970=DATE(2026,11,29),23+IF(Options!$B$8="是",22,0),0)-IF(C1970=DATE(2026,11,30),23,0)-IF(C1970=DATE(2026,12,1),59,0)-IF(C1970=DATE(2026,11,28),36,0)-IF(C1970=DATE(2026,12,2),23,0)))</f>
        <v/>
      </c>
      <c r="I1970" s="13">
        <f>IF(AND(C1970&gt;=DATE(2026,11,29),C1970&lt;=DATE(2026,12,1)),B1970*60,0)</f>
        <v/>
      </c>
      <c r="J1970" s="13">
        <f>IF(A1970="",0,B1970*(IF(C1970=DATE(2026,11,28),36,0)+IF(C1970=DATE(2026,12,1),36,0)+IF(C1970=DATE(2026,12,2),23,0)))</f>
        <v/>
      </c>
      <c r="K1970" s="13">
        <f>IF(C1970=Options!$B$9,B1970*12,0)</f>
        <v/>
      </c>
      <c r="L1970" s="13">
        <f>IF(C1970=Options!$B$9,B1970*Options!$Z$7,0)</f>
        <v/>
      </c>
      <c r="M1970" s="13" t="n">
        <v>0</v>
      </c>
      <c r="N1970" s="13">
        <f>SUM(E1970:M1970)</f>
        <v/>
      </c>
    </row>
    <row r="1971">
      <c r="A1971" s="5">
        <f>IF(AND(C1971&gt;=Options!$B$9,C1971&lt;=Options!$B$10),"Phoenix","")</f>
        <v/>
      </c>
      <c r="B1971" s="5">
        <f>IF(A1971="","",24)</f>
        <v/>
      </c>
      <c r="C1971" s="17" t="n">
        <v>46437</v>
      </c>
      <c r="D1971" s="5">
        <f>IF(A1971="","",IF(C1971=DATE(2026,11,29),"培训；注册午餐；早餐参数",IF(C1971=DATE(2026,11,30),"培训；注册午餐",IF(C1971=DATE(2026,12,1),"培训；注册午餐；机构晚餐",IF(C1971=Options!$B$9,"抵达；"&amp;IF(C1971=DATE(2026,11,28),"机构晚餐","无统一供餐"),IF(C1971=Options!$B$10,"返程；"&amp;IF(C1971=DATE(2026,12,2),"机构午餐","无统一供餐"),"差旅状态；无统一日程"))))))</f>
        <v/>
      </c>
      <c r="E1971" s="13">
        <f>IF(C1971=Options!$B$9,Options!$C$19,0)</f>
        <v/>
      </c>
      <c r="F1971" s="13">
        <f>IF(AND(A1971&lt;&gt;"",C1971&lt;Options!$B$10),B1971*Options!$X$7,0)</f>
        <v/>
      </c>
      <c r="G1971" s="13">
        <f>F1971*12%</f>
        <v/>
      </c>
      <c r="H1971" s="13">
        <f>IF(A1971="",0,B1971*(86*IF(OR(C1971=Options!$B$9,C1971=Options!$B$10),75%,100%)-IF(C1971=DATE(2026,11,29),23+IF(Options!$B$8="是",22,0),0)-IF(C1971=DATE(2026,11,30),23,0)-IF(C1971=DATE(2026,12,1),59,0)-IF(C1971=DATE(2026,11,28),36,0)-IF(C1971=DATE(2026,12,2),23,0)))</f>
        <v/>
      </c>
      <c r="I1971" s="13">
        <f>IF(AND(C1971&gt;=DATE(2026,11,29),C1971&lt;=DATE(2026,12,1)),B1971*60,0)</f>
        <v/>
      </c>
      <c r="J1971" s="13">
        <f>IF(A1971="",0,B1971*(IF(C1971=DATE(2026,11,28),36,0)+IF(C1971=DATE(2026,12,1),36,0)+IF(C1971=DATE(2026,12,2),23,0)))</f>
        <v/>
      </c>
      <c r="K1971" s="13">
        <f>IF(C1971=Options!$B$9,B1971*12,0)</f>
        <v/>
      </c>
      <c r="L1971" s="13">
        <f>IF(C1971=Options!$B$9,B1971*Options!$Z$7,0)</f>
        <v/>
      </c>
      <c r="M1971" s="13" t="n">
        <v>0</v>
      </c>
      <c r="N1971" s="13">
        <f>SUM(E1971:M1971)</f>
        <v/>
      </c>
    </row>
    <row r="1972">
      <c r="A1972" s="5">
        <f>IF(AND(C1972&gt;=Options!$B$9,C1972&lt;=Options!$B$10),"Phoenix","")</f>
        <v/>
      </c>
      <c r="B1972" s="5">
        <f>IF(A1972="","",24)</f>
        <v/>
      </c>
      <c r="C1972" s="17" t="n">
        <v>46438</v>
      </c>
      <c r="D1972" s="5">
        <f>IF(A1972="","",IF(C1972=DATE(2026,11,29),"培训；注册午餐；早餐参数",IF(C1972=DATE(2026,11,30),"培训；注册午餐",IF(C1972=DATE(2026,12,1),"培训；注册午餐；机构晚餐",IF(C1972=Options!$B$9,"抵达；"&amp;IF(C1972=DATE(2026,11,28),"机构晚餐","无统一供餐"),IF(C1972=Options!$B$10,"返程；"&amp;IF(C1972=DATE(2026,12,2),"机构午餐","无统一供餐"),"差旅状态；无统一日程"))))))</f>
        <v/>
      </c>
      <c r="E1972" s="13">
        <f>IF(C1972=Options!$B$9,Options!$C$19,0)</f>
        <v/>
      </c>
      <c r="F1972" s="13">
        <f>IF(AND(A1972&lt;&gt;"",C1972&lt;Options!$B$10),B1972*Options!$X$7,0)</f>
        <v/>
      </c>
      <c r="G1972" s="13">
        <f>F1972*12%</f>
        <v/>
      </c>
      <c r="H1972" s="13">
        <f>IF(A1972="",0,B1972*(86*IF(OR(C1972=Options!$B$9,C1972=Options!$B$10),75%,100%)-IF(C1972=DATE(2026,11,29),23+IF(Options!$B$8="是",22,0),0)-IF(C1972=DATE(2026,11,30),23,0)-IF(C1972=DATE(2026,12,1),59,0)-IF(C1972=DATE(2026,11,28),36,0)-IF(C1972=DATE(2026,12,2),23,0)))</f>
        <v/>
      </c>
      <c r="I1972" s="13">
        <f>IF(AND(C1972&gt;=DATE(2026,11,29),C1972&lt;=DATE(2026,12,1)),B1972*60,0)</f>
        <v/>
      </c>
      <c r="J1972" s="13">
        <f>IF(A1972="",0,B1972*(IF(C1972=DATE(2026,11,28),36,0)+IF(C1972=DATE(2026,12,1),36,0)+IF(C1972=DATE(2026,12,2),23,0)))</f>
        <v/>
      </c>
      <c r="K1972" s="13">
        <f>IF(C1972=Options!$B$9,B1972*12,0)</f>
        <v/>
      </c>
      <c r="L1972" s="13">
        <f>IF(C1972=Options!$B$9,B1972*Options!$Z$7,0)</f>
        <v/>
      </c>
      <c r="M1972" s="13" t="n">
        <v>0</v>
      </c>
      <c r="N1972" s="13">
        <f>SUM(E1972:M1972)</f>
        <v/>
      </c>
    </row>
    <row r="1973">
      <c r="A1973" s="5">
        <f>IF(AND(C1973&gt;=Options!$B$9,C1973&lt;=Options!$B$10),"Phoenix","")</f>
        <v/>
      </c>
      <c r="B1973" s="5">
        <f>IF(A1973="","",24)</f>
        <v/>
      </c>
      <c r="C1973" s="17" t="n">
        <v>46439</v>
      </c>
      <c r="D1973" s="5">
        <f>IF(A1973="","",IF(C1973=DATE(2026,11,29),"培训；注册午餐；早餐参数",IF(C1973=DATE(2026,11,30),"培训；注册午餐",IF(C1973=DATE(2026,12,1),"培训；注册午餐；机构晚餐",IF(C1973=Options!$B$9,"抵达；"&amp;IF(C1973=DATE(2026,11,28),"机构晚餐","无统一供餐"),IF(C1973=Options!$B$10,"返程；"&amp;IF(C1973=DATE(2026,12,2),"机构午餐","无统一供餐"),"差旅状态；无统一日程"))))))</f>
        <v/>
      </c>
      <c r="E1973" s="13">
        <f>IF(C1973=Options!$B$9,Options!$C$19,0)</f>
        <v/>
      </c>
      <c r="F1973" s="13">
        <f>IF(AND(A1973&lt;&gt;"",C1973&lt;Options!$B$10),B1973*Options!$X$7,0)</f>
        <v/>
      </c>
      <c r="G1973" s="13">
        <f>F1973*12%</f>
        <v/>
      </c>
      <c r="H1973" s="13">
        <f>IF(A1973="",0,B1973*(86*IF(OR(C1973=Options!$B$9,C1973=Options!$B$10),75%,100%)-IF(C1973=DATE(2026,11,29),23+IF(Options!$B$8="是",22,0),0)-IF(C1973=DATE(2026,11,30),23,0)-IF(C1973=DATE(2026,12,1),59,0)-IF(C1973=DATE(2026,11,28),36,0)-IF(C1973=DATE(2026,12,2),23,0)))</f>
        <v/>
      </c>
      <c r="I1973" s="13">
        <f>IF(AND(C1973&gt;=DATE(2026,11,29),C1973&lt;=DATE(2026,12,1)),B1973*60,0)</f>
        <v/>
      </c>
      <c r="J1973" s="13">
        <f>IF(A1973="",0,B1973*(IF(C1973=DATE(2026,11,28),36,0)+IF(C1973=DATE(2026,12,1),36,0)+IF(C1973=DATE(2026,12,2),23,0)))</f>
        <v/>
      </c>
      <c r="K1973" s="13">
        <f>IF(C1973=Options!$B$9,B1973*12,0)</f>
        <v/>
      </c>
      <c r="L1973" s="13">
        <f>IF(C1973=Options!$B$9,B1973*Options!$Z$7,0)</f>
        <v/>
      </c>
      <c r="M1973" s="13" t="n">
        <v>0</v>
      </c>
      <c r="N1973" s="13">
        <f>SUM(E1973:M1973)</f>
        <v/>
      </c>
    </row>
    <row r="1974">
      <c r="A1974" s="5">
        <f>IF(AND(C1974&gt;=Options!$B$9,C1974&lt;=Options!$B$10),"Phoenix","")</f>
        <v/>
      </c>
      <c r="B1974" s="5">
        <f>IF(A1974="","",24)</f>
        <v/>
      </c>
      <c r="C1974" s="17" t="n">
        <v>46440</v>
      </c>
      <c r="D1974" s="5">
        <f>IF(A1974="","",IF(C1974=DATE(2026,11,29),"培训；注册午餐；早餐参数",IF(C1974=DATE(2026,11,30),"培训；注册午餐",IF(C1974=DATE(2026,12,1),"培训；注册午餐；机构晚餐",IF(C1974=Options!$B$9,"抵达；"&amp;IF(C1974=DATE(2026,11,28),"机构晚餐","无统一供餐"),IF(C1974=Options!$B$10,"返程；"&amp;IF(C1974=DATE(2026,12,2),"机构午餐","无统一供餐"),"差旅状态；无统一日程"))))))</f>
        <v/>
      </c>
      <c r="E1974" s="13">
        <f>IF(C1974=Options!$B$9,Options!$C$19,0)</f>
        <v/>
      </c>
      <c r="F1974" s="13">
        <f>IF(AND(A1974&lt;&gt;"",C1974&lt;Options!$B$10),B1974*Options!$X$7,0)</f>
        <v/>
      </c>
      <c r="G1974" s="13">
        <f>F1974*12%</f>
        <v/>
      </c>
      <c r="H1974" s="13">
        <f>IF(A1974="",0,B1974*(86*IF(OR(C1974=Options!$B$9,C1974=Options!$B$10),75%,100%)-IF(C1974=DATE(2026,11,29),23+IF(Options!$B$8="是",22,0),0)-IF(C1974=DATE(2026,11,30),23,0)-IF(C1974=DATE(2026,12,1),59,0)-IF(C1974=DATE(2026,11,28),36,0)-IF(C1974=DATE(2026,12,2),23,0)))</f>
        <v/>
      </c>
      <c r="I1974" s="13">
        <f>IF(AND(C1974&gt;=DATE(2026,11,29),C1974&lt;=DATE(2026,12,1)),B1974*60,0)</f>
        <v/>
      </c>
      <c r="J1974" s="13">
        <f>IF(A1974="",0,B1974*(IF(C1974=DATE(2026,11,28),36,0)+IF(C1974=DATE(2026,12,1),36,0)+IF(C1974=DATE(2026,12,2),23,0)))</f>
        <v/>
      </c>
      <c r="K1974" s="13">
        <f>IF(C1974=Options!$B$9,B1974*12,0)</f>
        <v/>
      </c>
      <c r="L1974" s="13">
        <f>IF(C1974=Options!$B$9,B1974*Options!$Z$7,0)</f>
        <v/>
      </c>
      <c r="M1974" s="13" t="n">
        <v>0</v>
      </c>
      <c r="N1974" s="13">
        <f>SUM(E1974:M1974)</f>
        <v/>
      </c>
    </row>
    <row r="1975">
      <c r="A1975" s="5">
        <f>IF(AND(C1975&gt;=Options!$B$9,C1975&lt;=Options!$B$10),"Phoenix","")</f>
        <v/>
      </c>
      <c r="B1975" s="5">
        <f>IF(A1975="","",24)</f>
        <v/>
      </c>
      <c r="C1975" s="17" t="n">
        <v>46441</v>
      </c>
      <c r="D1975" s="5">
        <f>IF(A1975="","",IF(C1975=DATE(2026,11,29),"培训；注册午餐；早餐参数",IF(C1975=DATE(2026,11,30),"培训；注册午餐",IF(C1975=DATE(2026,12,1),"培训；注册午餐；机构晚餐",IF(C1975=Options!$B$9,"抵达；"&amp;IF(C1975=DATE(2026,11,28),"机构晚餐","无统一供餐"),IF(C1975=Options!$B$10,"返程；"&amp;IF(C1975=DATE(2026,12,2),"机构午餐","无统一供餐"),"差旅状态；无统一日程"))))))</f>
        <v/>
      </c>
      <c r="E1975" s="13">
        <f>IF(C1975=Options!$B$9,Options!$C$19,0)</f>
        <v/>
      </c>
      <c r="F1975" s="13">
        <f>IF(AND(A1975&lt;&gt;"",C1975&lt;Options!$B$10),B1975*Options!$X$7,0)</f>
        <v/>
      </c>
      <c r="G1975" s="13">
        <f>F1975*12%</f>
        <v/>
      </c>
      <c r="H1975" s="13">
        <f>IF(A1975="",0,B1975*(86*IF(OR(C1975=Options!$B$9,C1975=Options!$B$10),75%,100%)-IF(C1975=DATE(2026,11,29),23+IF(Options!$B$8="是",22,0),0)-IF(C1975=DATE(2026,11,30),23,0)-IF(C1975=DATE(2026,12,1),59,0)-IF(C1975=DATE(2026,11,28),36,0)-IF(C1975=DATE(2026,12,2),23,0)))</f>
        <v/>
      </c>
      <c r="I1975" s="13">
        <f>IF(AND(C1975&gt;=DATE(2026,11,29),C1975&lt;=DATE(2026,12,1)),B1975*60,0)</f>
        <v/>
      </c>
      <c r="J1975" s="13">
        <f>IF(A1975="",0,B1975*(IF(C1975=DATE(2026,11,28),36,0)+IF(C1975=DATE(2026,12,1),36,0)+IF(C1975=DATE(2026,12,2),23,0)))</f>
        <v/>
      </c>
      <c r="K1975" s="13">
        <f>IF(C1975=Options!$B$9,B1975*12,0)</f>
        <v/>
      </c>
      <c r="L1975" s="13">
        <f>IF(C1975=Options!$B$9,B1975*Options!$Z$7,0)</f>
        <v/>
      </c>
      <c r="M1975" s="13" t="n">
        <v>0</v>
      </c>
      <c r="N1975" s="13">
        <f>SUM(E1975:M1975)</f>
        <v/>
      </c>
    </row>
    <row r="1976">
      <c r="A1976" s="5">
        <f>IF(AND(C1976&gt;=Options!$B$9,C1976&lt;=Options!$B$10),"Phoenix","")</f>
        <v/>
      </c>
      <c r="B1976" s="5">
        <f>IF(A1976="","",24)</f>
        <v/>
      </c>
      <c r="C1976" s="17" t="n">
        <v>46442</v>
      </c>
      <c r="D1976" s="5">
        <f>IF(A1976="","",IF(C1976=DATE(2026,11,29),"培训；注册午餐；早餐参数",IF(C1976=DATE(2026,11,30),"培训；注册午餐",IF(C1976=DATE(2026,12,1),"培训；注册午餐；机构晚餐",IF(C1976=Options!$B$9,"抵达；"&amp;IF(C1976=DATE(2026,11,28),"机构晚餐","无统一供餐"),IF(C1976=Options!$B$10,"返程；"&amp;IF(C1976=DATE(2026,12,2),"机构午餐","无统一供餐"),"差旅状态；无统一日程"))))))</f>
        <v/>
      </c>
      <c r="E1976" s="13">
        <f>IF(C1976=Options!$B$9,Options!$C$19,0)</f>
        <v/>
      </c>
      <c r="F1976" s="13">
        <f>IF(AND(A1976&lt;&gt;"",C1976&lt;Options!$B$10),B1976*Options!$X$7,0)</f>
        <v/>
      </c>
      <c r="G1976" s="13">
        <f>F1976*12%</f>
        <v/>
      </c>
      <c r="H1976" s="13">
        <f>IF(A1976="",0,B1976*(86*IF(OR(C1976=Options!$B$9,C1976=Options!$B$10),75%,100%)-IF(C1976=DATE(2026,11,29),23+IF(Options!$B$8="是",22,0),0)-IF(C1976=DATE(2026,11,30),23,0)-IF(C1976=DATE(2026,12,1),59,0)-IF(C1976=DATE(2026,11,28),36,0)-IF(C1976=DATE(2026,12,2),23,0)))</f>
        <v/>
      </c>
      <c r="I1976" s="13">
        <f>IF(AND(C1976&gt;=DATE(2026,11,29),C1976&lt;=DATE(2026,12,1)),B1976*60,0)</f>
        <v/>
      </c>
      <c r="J1976" s="13">
        <f>IF(A1976="",0,B1976*(IF(C1976=DATE(2026,11,28),36,0)+IF(C1976=DATE(2026,12,1),36,0)+IF(C1976=DATE(2026,12,2),23,0)))</f>
        <v/>
      </c>
      <c r="K1976" s="13">
        <f>IF(C1976=Options!$B$9,B1976*12,0)</f>
        <v/>
      </c>
      <c r="L1976" s="13">
        <f>IF(C1976=Options!$B$9,B1976*Options!$Z$7,0)</f>
        <v/>
      </c>
      <c r="M1976" s="13" t="n">
        <v>0</v>
      </c>
      <c r="N1976" s="13">
        <f>SUM(E1976:M1976)</f>
        <v/>
      </c>
    </row>
    <row r="1977">
      <c r="A1977" s="5">
        <f>IF(AND(C1977&gt;=Options!$B$9,C1977&lt;=Options!$B$10),"Phoenix","")</f>
        <v/>
      </c>
      <c r="B1977" s="5">
        <f>IF(A1977="","",24)</f>
        <v/>
      </c>
      <c r="C1977" s="17" t="n">
        <v>46443</v>
      </c>
      <c r="D1977" s="5">
        <f>IF(A1977="","",IF(C1977=DATE(2026,11,29),"培训；注册午餐；早餐参数",IF(C1977=DATE(2026,11,30),"培训；注册午餐",IF(C1977=DATE(2026,12,1),"培训；注册午餐；机构晚餐",IF(C1977=Options!$B$9,"抵达；"&amp;IF(C1977=DATE(2026,11,28),"机构晚餐","无统一供餐"),IF(C1977=Options!$B$10,"返程；"&amp;IF(C1977=DATE(2026,12,2),"机构午餐","无统一供餐"),"差旅状态；无统一日程"))))))</f>
        <v/>
      </c>
      <c r="E1977" s="13">
        <f>IF(C1977=Options!$B$9,Options!$C$19,0)</f>
        <v/>
      </c>
      <c r="F1977" s="13">
        <f>IF(AND(A1977&lt;&gt;"",C1977&lt;Options!$B$10),B1977*Options!$X$7,0)</f>
        <v/>
      </c>
      <c r="G1977" s="13">
        <f>F1977*12%</f>
        <v/>
      </c>
      <c r="H1977" s="13">
        <f>IF(A1977="",0,B1977*(86*IF(OR(C1977=Options!$B$9,C1977=Options!$B$10),75%,100%)-IF(C1977=DATE(2026,11,29),23+IF(Options!$B$8="是",22,0),0)-IF(C1977=DATE(2026,11,30),23,0)-IF(C1977=DATE(2026,12,1),59,0)-IF(C1977=DATE(2026,11,28),36,0)-IF(C1977=DATE(2026,12,2),23,0)))</f>
        <v/>
      </c>
      <c r="I1977" s="13">
        <f>IF(AND(C1977&gt;=DATE(2026,11,29),C1977&lt;=DATE(2026,12,1)),B1977*60,0)</f>
        <v/>
      </c>
      <c r="J1977" s="13">
        <f>IF(A1977="",0,B1977*(IF(C1977=DATE(2026,11,28),36,0)+IF(C1977=DATE(2026,12,1),36,0)+IF(C1977=DATE(2026,12,2),23,0)))</f>
        <v/>
      </c>
      <c r="K1977" s="13">
        <f>IF(C1977=Options!$B$9,B1977*12,0)</f>
        <v/>
      </c>
      <c r="L1977" s="13">
        <f>IF(C1977=Options!$B$9,B1977*Options!$Z$7,0)</f>
        <v/>
      </c>
      <c r="M1977" s="13" t="n">
        <v>0</v>
      </c>
      <c r="N1977" s="13">
        <f>SUM(E1977:M1977)</f>
        <v/>
      </c>
    </row>
    <row r="1978">
      <c r="A1978" s="5">
        <f>IF(AND(C1978&gt;=Options!$B$9,C1978&lt;=Options!$B$10),"Phoenix","")</f>
        <v/>
      </c>
      <c r="B1978" s="5">
        <f>IF(A1978="","",24)</f>
        <v/>
      </c>
      <c r="C1978" s="17" t="n">
        <v>46444</v>
      </c>
      <c r="D1978" s="5">
        <f>IF(A1978="","",IF(C1978=DATE(2026,11,29),"培训；注册午餐；早餐参数",IF(C1978=DATE(2026,11,30),"培训；注册午餐",IF(C1978=DATE(2026,12,1),"培训；注册午餐；机构晚餐",IF(C1978=Options!$B$9,"抵达；"&amp;IF(C1978=DATE(2026,11,28),"机构晚餐","无统一供餐"),IF(C1978=Options!$B$10,"返程；"&amp;IF(C1978=DATE(2026,12,2),"机构午餐","无统一供餐"),"差旅状态；无统一日程"))))))</f>
        <v/>
      </c>
      <c r="E1978" s="13">
        <f>IF(C1978=Options!$B$9,Options!$C$19,0)</f>
        <v/>
      </c>
      <c r="F1978" s="13">
        <f>IF(AND(A1978&lt;&gt;"",C1978&lt;Options!$B$10),B1978*Options!$X$7,0)</f>
        <v/>
      </c>
      <c r="G1978" s="13">
        <f>F1978*12%</f>
        <v/>
      </c>
      <c r="H1978" s="13">
        <f>IF(A1978="",0,B1978*(86*IF(OR(C1978=Options!$B$9,C1978=Options!$B$10),75%,100%)-IF(C1978=DATE(2026,11,29),23+IF(Options!$B$8="是",22,0),0)-IF(C1978=DATE(2026,11,30),23,0)-IF(C1978=DATE(2026,12,1),59,0)-IF(C1978=DATE(2026,11,28),36,0)-IF(C1978=DATE(2026,12,2),23,0)))</f>
        <v/>
      </c>
      <c r="I1978" s="13">
        <f>IF(AND(C1978&gt;=DATE(2026,11,29),C1978&lt;=DATE(2026,12,1)),B1978*60,0)</f>
        <v/>
      </c>
      <c r="J1978" s="13">
        <f>IF(A1978="",0,B1978*(IF(C1978=DATE(2026,11,28),36,0)+IF(C1978=DATE(2026,12,1),36,0)+IF(C1978=DATE(2026,12,2),23,0)))</f>
        <v/>
      </c>
      <c r="K1978" s="13">
        <f>IF(C1978=Options!$B$9,B1978*12,0)</f>
        <v/>
      </c>
      <c r="L1978" s="13">
        <f>IF(C1978=Options!$B$9,B1978*Options!$Z$7,0)</f>
        <v/>
      </c>
      <c r="M1978" s="13" t="n">
        <v>0</v>
      </c>
      <c r="N1978" s="13">
        <f>SUM(E1978:M1978)</f>
        <v/>
      </c>
    </row>
    <row r="1979">
      <c r="A1979" s="5">
        <f>IF(AND(C1979&gt;=Options!$B$9,C1979&lt;=Options!$B$10),"Phoenix","")</f>
        <v/>
      </c>
      <c r="B1979" s="5">
        <f>IF(A1979="","",24)</f>
        <v/>
      </c>
      <c r="C1979" s="17" t="n">
        <v>46445</v>
      </c>
      <c r="D1979" s="5">
        <f>IF(A1979="","",IF(C1979=DATE(2026,11,29),"培训；注册午餐；早餐参数",IF(C1979=DATE(2026,11,30),"培训；注册午餐",IF(C1979=DATE(2026,12,1),"培训；注册午餐；机构晚餐",IF(C1979=Options!$B$9,"抵达；"&amp;IF(C1979=DATE(2026,11,28),"机构晚餐","无统一供餐"),IF(C1979=Options!$B$10,"返程；"&amp;IF(C1979=DATE(2026,12,2),"机构午餐","无统一供餐"),"差旅状态；无统一日程"))))))</f>
        <v/>
      </c>
      <c r="E1979" s="13">
        <f>IF(C1979=Options!$B$9,Options!$C$19,0)</f>
        <v/>
      </c>
      <c r="F1979" s="13">
        <f>IF(AND(A1979&lt;&gt;"",C1979&lt;Options!$B$10),B1979*Options!$X$7,0)</f>
        <v/>
      </c>
      <c r="G1979" s="13">
        <f>F1979*12%</f>
        <v/>
      </c>
      <c r="H1979" s="13">
        <f>IF(A1979="",0,B1979*(86*IF(OR(C1979=Options!$B$9,C1979=Options!$B$10),75%,100%)-IF(C1979=DATE(2026,11,29),23+IF(Options!$B$8="是",22,0),0)-IF(C1979=DATE(2026,11,30),23,0)-IF(C1979=DATE(2026,12,1),59,0)-IF(C1979=DATE(2026,11,28),36,0)-IF(C1979=DATE(2026,12,2),23,0)))</f>
        <v/>
      </c>
      <c r="I1979" s="13">
        <f>IF(AND(C1979&gt;=DATE(2026,11,29),C1979&lt;=DATE(2026,12,1)),B1979*60,0)</f>
        <v/>
      </c>
      <c r="J1979" s="13">
        <f>IF(A1979="",0,B1979*(IF(C1979=DATE(2026,11,28),36,0)+IF(C1979=DATE(2026,12,1),36,0)+IF(C1979=DATE(2026,12,2),23,0)))</f>
        <v/>
      </c>
      <c r="K1979" s="13">
        <f>IF(C1979=Options!$B$9,B1979*12,0)</f>
        <v/>
      </c>
      <c r="L1979" s="13">
        <f>IF(C1979=Options!$B$9,B1979*Options!$Z$7,0)</f>
        <v/>
      </c>
      <c r="M1979" s="13" t="n">
        <v>0</v>
      </c>
      <c r="N1979" s="13">
        <f>SUM(E1979:M1979)</f>
        <v/>
      </c>
    </row>
    <row r="1980">
      <c r="A1980" s="5">
        <f>IF(AND(C1980&gt;=Options!$B$9,C1980&lt;=Options!$B$10),"Phoenix","")</f>
        <v/>
      </c>
      <c r="B1980" s="5">
        <f>IF(A1980="","",24)</f>
        <v/>
      </c>
      <c r="C1980" s="17" t="n">
        <v>46446</v>
      </c>
      <c r="D1980" s="5">
        <f>IF(A1980="","",IF(C1980=DATE(2026,11,29),"培训；注册午餐；早餐参数",IF(C1980=DATE(2026,11,30),"培训；注册午餐",IF(C1980=DATE(2026,12,1),"培训；注册午餐；机构晚餐",IF(C1980=Options!$B$9,"抵达；"&amp;IF(C1980=DATE(2026,11,28),"机构晚餐","无统一供餐"),IF(C1980=Options!$B$10,"返程；"&amp;IF(C1980=DATE(2026,12,2),"机构午餐","无统一供餐"),"差旅状态；无统一日程"))))))</f>
        <v/>
      </c>
      <c r="E1980" s="13">
        <f>IF(C1980=Options!$B$9,Options!$C$19,0)</f>
        <v/>
      </c>
      <c r="F1980" s="13">
        <f>IF(AND(A1980&lt;&gt;"",C1980&lt;Options!$B$10),B1980*Options!$X$7,0)</f>
        <v/>
      </c>
      <c r="G1980" s="13">
        <f>F1980*12%</f>
        <v/>
      </c>
      <c r="H1980" s="13">
        <f>IF(A1980="",0,B1980*(86*IF(OR(C1980=Options!$B$9,C1980=Options!$B$10),75%,100%)-IF(C1980=DATE(2026,11,29),23+IF(Options!$B$8="是",22,0),0)-IF(C1980=DATE(2026,11,30),23,0)-IF(C1980=DATE(2026,12,1),59,0)-IF(C1980=DATE(2026,11,28),36,0)-IF(C1980=DATE(2026,12,2),23,0)))</f>
        <v/>
      </c>
      <c r="I1980" s="13">
        <f>IF(AND(C1980&gt;=DATE(2026,11,29),C1980&lt;=DATE(2026,12,1)),B1980*60,0)</f>
        <v/>
      </c>
      <c r="J1980" s="13">
        <f>IF(A1980="",0,B1980*(IF(C1980=DATE(2026,11,28),36,0)+IF(C1980=DATE(2026,12,1),36,0)+IF(C1980=DATE(2026,12,2),23,0)))</f>
        <v/>
      </c>
      <c r="K1980" s="13">
        <f>IF(C1980=Options!$B$9,B1980*12,0)</f>
        <v/>
      </c>
      <c r="L1980" s="13">
        <f>IF(C1980=Options!$B$9,B1980*Options!$Z$7,0)</f>
        <v/>
      </c>
      <c r="M1980" s="13" t="n">
        <v>0</v>
      </c>
      <c r="N1980" s="13">
        <f>SUM(E1980:M1980)</f>
        <v/>
      </c>
    </row>
    <row r="1981">
      <c r="A1981" s="5">
        <f>IF(AND(C1981&gt;=Options!$B$9,C1981&lt;=Options!$B$10),"Phoenix","")</f>
        <v/>
      </c>
      <c r="B1981" s="5">
        <f>IF(A1981="","",24)</f>
        <v/>
      </c>
      <c r="C1981" s="17" t="n">
        <v>46447</v>
      </c>
      <c r="D1981" s="5">
        <f>IF(A1981="","",IF(C1981=DATE(2026,11,29),"培训；注册午餐；早餐参数",IF(C1981=DATE(2026,11,30),"培训；注册午餐",IF(C1981=DATE(2026,12,1),"培训；注册午餐；机构晚餐",IF(C1981=Options!$B$9,"抵达；"&amp;IF(C1981=DATE(2026,11,28),"机构晚餐","无统一供餐"),IF(C1981=Options!$B$10,"返程；"&amp;IF(C1981=DATE(2026,12,2),"机构午餐","无统一供餐"),"差旅状态；无统一日程"))))))</f>
        <v/>
      </c>
      <c r="E1981" s="13">
        <f>IF(C1981=Options!$B$9,Options!$C$19,0)</f>
        <v/>
      </c>
      <c r="F1981" s="13">
        <f>IF(AND(A1981&lt;&gt;"",C1981&lt;Options!$B$10),B1981*Options!$X$7,0)</f>
        <v/>
      </c>
      <c r="G1981" s="13">
        <f>F1981*12%</f>
        <v/>
      </c>
      <c r="H1981" s="13">
        <f>IF(A1981="",0,B1981*(86*IF(OR(C1981=Options!$B$9,C1981=Options!$B$10),75%,100%)-IF(C1981=DATE(2026,11,29),23+IF(Options!$B$8="是",22,0),0)-IF(C1981=DATE(2026,11,30),23,0)-IF(C1981=DATE(2026,12,1),59,0)-IF(C1981=DATE(2026,11,28),36,0)-IF(C1981=DATE(2026,12,2),23,0)))</f>
        <v/>
      </c>
      <c r="I1981" s="13">
        <f>IF(AND(C1981&gt;=DATE(2026,11,29),C1981&lt;=DATE(2026,12,1)),B1981*60,0)</f>
        <v/>
      </c>
      <c r="J1981" s="13">
        <f>IF(A1981="",0,B1981*(IF(C1981=DATE(2026,11,28),36,0)+IF(C1981=DATE(2026,12,1),36,0)+IF(C1981=DATE(2026,12,2),23,0)))</f>
        <v/>
      </c>
      <c r="K1981" s="13">
        <f>IF(C1981=Options!$B$9,B1981*12,0)</f>
        <v/>
      </c>
      <c r="L1981" s="13">
        <f>IF(C1981=Options!$B$9,B1981*Options!$Z$7,0)</f>
        <v/>
      </c>
      <c r="M1981" s="13" t="n">
        <v>0</v>
      </c>
      <c r="N1981" s="13">
        <f>SUM(E1981:M1981)</f>
        <v/>
      </c>
    </row>
    <row r="1982">
      <c r="A1982" s="5">
        <f>IF(AND(C1982&gt;=Options!$B$9,C1982&lt;=Options!$B$10),"Phoenix","")</f>
        <v/>
      </c>
      <c r="B1982" s="5">
        <f>IF(A1982="","",24)</f>
        <v/>
      </c>
      <c r="C1982" s="17" t="n">
        <v>46448</v>
      </c>
      <c r="D1982" s="5">
        <f>IF(A1982="","",IF(C1982=DATE(2026,11,29),"培训；注册午餐；早餐参数",IF(C1982=DATE(2026,11,30),"培训；注册午餐",IF(C1982=DATE(2026,12,1),"培训；注册午餐；机构晚餐",IF(C1982=Options!$B$9,"抵达；"&amp;IF(C1982=DATE(2026,11,28),"机构晚餐","无统一供餐"),IF(C1982=Options!$B$10,"返程；"&amp;IF(C1982=DATE(2026,12,2),"机构午餐","无统一供餐"),"差旅状态；无统一日程"))))))</f>
        <v/>
      </c>
      <c r="E1982" s="13">
        <f>IF(C1982=Options!$B$9,Options!$C$19,0)</f>
        <v/>
      </c>
      <c r="F1982" s="13">
        <f>IF(AND(A1982&lt;&gt;"",C1982&lt;Options!$B$10),B1982*Options!$X$7,0)</f>
        <v/>
      </c>
      <c r="G1982" s="13">
        <f>F1982*12%</f>
        <v/>
      </c>
      <c r="H1982" s="13">
        <f>IF(A1982="",0,B1982*(86*IF(OR(C1982=Options!$B$9,C1982=Options!$B$10),75%,100%)-IF(C1982=DATE(2026,11,29),23+IF(Options!$B$8="是",22,0),0)-IF(C1982=DATE(2026,11,30),23,0)-IF(C1982=DATE(2026,12,1),59,0)-IF(C1982=DATE(2026,11,28),36,0)-IF(C1982=DATE(2026,12,2),23,0)))</f>
        <v/>
      </c>
      <c r="I1982" s="13">
        <f>IF(AND(C1982&gt;=DATE(2026,11,29),C1982&lt;=DATE(2026,12,1)),B1982*60,0)</f>
        <v/>
      </c>
      <c r="J1982" s="13">
        <f>IF(A1982="",0,B1982*(IF(C1982=DATE(2026,11,28),36,0)+IF(C1982=DATE(2026,12,1),36,0)+IF(C1982=DATE(2026,12,2),23,0)))</f>
        <v/>
      </c>
      <c r="K1982" s="13">
        <f>IF(C1982=Options!$B$9,B1982*12,0)</f>
        <v/>
      </c>
      <c r="L1982" s="13">
        <f>IF(C1982=Options!$B$9,B1982*Options!$Z$7,0)</f>
        <v/>
      </c>
      <c r="M1982" s="13" t="n">
        <v>0</v>
      </c>
      <c r="N1982" s="13">
        <f>SUM(E1982:M1982)</f>
        <v/>
      </c>
    </row>
    <row r="1983">
      <c r="A1983" s="5">
        <f>IF(AND(C1983&gt;=Options!$B$9,C1983&lt;=Options!$B$10),"Phoenix","")</f>
        <v/>
      </c>
      <c r="B1983" s="5">
        <f>IF(A1983="","",24)</f>
        <v/>
      </c>
      <c r="C1983" s="17" t="n">
        <v>46449</v>
      </c>
      <c r="D1983" s="5">
        <f>IF(A1983="","",IF(C1983=DATE(2026,11,29),"培训；注册午餐；早餐参数",IF(C1983=DATE(2026,11,30),"培训；注册午餐",IF(C1983=DATE(2026,12,1),"培训；注册午餐；机构晚餐",IF(C1983=Options!$B$9,"抵达；"&amp;IF(C1983=DATE(2026,11,28),"机构晚餐","无统一供餐"),IF(C1983=Options!$B$10,"返程；"&amp;IF(C1983=DATE(2026,12,2),"机构午餐","无统一供餐"),"差旅状态；无统一日程"))))))</f>
        <v/>
      </c>
      <c r="E1983" s="13">
        <f>IF(C1983=Options!$B$9,Options!$C$19,0)</f>
        <v/>
      </c>
      <c r="F1983" s="13">
        <f>IF(AND(A1983&lt;&gt;"",C1983&lt;Options!$B$10),B1983*Options!$X$7,0)</f>
        <v/>
      </c>
      <c r="G1983" s="13">
        <f>F1983*12%</f>
        <v/>
      </c>
      <c r="H1983" s="13">
        <f>IF(A1983="",0,B1983*(86*IF(OR(C1983=Options!$B$9,C1983=Options!$B$10),75%,100%)-IF(C1983=DATE(2026,11,29),23+IF(Options!$B$8="是",22,0),0)-IF(C1983=DATE(2026,11,30),23,0)-IF(C1983=DATE(2026,12,1),59,0)-IF(C1983=DATE(2026,11,28),36,0)-IF(C1983=DATE(2026,12,2),23,0)))</f>
        <v/>
      </c>
      <c r="I1983" s="13">
        <f>IF(AND(C1983&gt;=DATE(2026,11,29),C1983&lt;=DATE(2026,12,1)),B1983*60,0)</f>
        <v/>
      </c>
      <c r="J1983" s="13">
        <f>IF(A1983="",0,B1983*(IF(C1983=DATE(2026,11,28),36,0)+IF(C1983=DATE(2026,12,1),36,0)+IF(C1983=DATE(2026,12,2),23,0)))</f>
        <v/>
      </c>
      <c r="K1983" s="13">
        <f>IF(C1983=Options!$B$9,B1983*12,0)</f>
        <v/>
      </c>
      <c r="L1983" s="13">
        <f>IF(C1983=Options!$B$9,B1983*Options!$Z$7,0)</f>
        <v/>
      </c>
      <c r="M1983" s="13" t="n">
        <v>0</v>
      </c>
      <c r="N1983" s="13">
        <f>SUM(E1983:M1983)</f>
        <v/>
      </c>
    </row>
    <row r="1984">
      <c r="A1984" s="5">
        <f>IF(AND(C1984&gt;=Options!$B$9,C1984&lt;=Options!$B$10),"Phoenix","")</f>
        <v/>
      </c>
      <c r="B1984" s="5">
        <f>IF(A1984="","",24)</f>
        <v/>
      </c>
      <c r="C1984" s="17" t="n">
        <v>46450</v>
      </c>
      <c r="D1984" s="5">
        <f>IF(A1984="","",IF(C1984=DATE(2026,11,29),"培训；注册午餐；早餐参数",IF(C1984=DATE(2026,11,30),"培训；注册午餐",IF(C1984=DATE(2026,12,1),"培训；注册午餐；机构晚餐",IF(C1984=Options!$B$9,"抵达；"&amp;IF(C1984=DATE(2026,11,28),"机构晚餐","无统一供餐"),IF(C1984=Options!$B$10,"返程；"&amp;IF(C1984=DATE(2026,12,2),"机构午餐","无统一供餐"),"差旅状态；无统一日程"))))))</f>
        <v/>
      </c>
      <c r="E1984" s="13">
        <f>IF(C1984=Options!$B$9,Options!$C$19,0)</f>
        <v/>
      </c>
      <c r="F1984" s="13">
        <f>IF(AND(A1984&lt;&gt;"",C1984&lt;Options!$B$10),B1984*Options!$X$7,0)</f>
        <v/>
      </c>
      <c r="G1984" s="13">
        <f>F1984*12%</f>
        <v/>
      </c>
      <c r="H1984" s="13">
        <f>IF(A1984="",0,B1984*(86*IF(OR(C1984=Options!$B$9,C1984=Options!$B$10),75%,100%)-IF(C1984=DATE(2026,11,29),23+IF(Options!$B$8="是",22,0),0)-IF(C1984=DATE(2026,11,30),23,0)-IF(C1984=DATE(2026,12,1),59,0)-IF(C1984=DATE(2026,11,28),36,0)-IF(C1984=DATE(2026,12,2),23,0)))</f>
        <v/>
      </c>
      <c r="I1984" s="13">
        <f>IF(AND(C1984&gt;=DATE(2026,11,29),C1984&lt;=DATE(2026,12,1)),B1984*60,0)</f>
        <v/>
      </c>
      <c r="J1984" s="13">
        <f>IF(A1984="",0,B1984*(IF(C1984=DATE(2026,11,28),36,0)+IF(C1984=DATE(2026,12,1),36,0)+IF(C1984=DATE(2026,12,2),23,0)))</f>
        <v/>
      </c>
      <c r="K1984" s="13">
        <f>IF(C1984=Options!$B$9,B1984*12,0)</f>
        <v/>
      </c>
      <c r="L1984" s="13">
        <f>IF(C1984=Options!$B$9,B1984*Options!$Z$7,0)</f>
        <v/>
      </c>
      <c r="M1984" s="13" t="n">
        <v>0</v>
      </c>
      <c r="N1984" s="13">
        <f>SUM(E1984:M1984)</f>
        <v/>
      </c>
    </row>
    <row r="1985">
      <c r="A1985" s="5">
        <f>IF(AND(C1985&gt;=Options!$B$9,C1985&lt;=Options!$B$10),"Phoenix","")</f>
        <v/>
      </c>
      <c r="B1985" s="5">
        <f>IF(A1985="","",24)</f>
        <v/>
      </c>
      <c r="C1985" s="17" t="n">
        <v>46451</v>
      </c>
      <c r="D1985" s="5">
        <f>IF(A1985="","",IF(C1985=DATE(2026,11,29),"培训；注册午餐；早餐参数",IF(C1985=DATE(2026,11,30),"培训；注册午餐",IF(C1985=DATE(2026,12,1),"培训；注册午餐；机构晚餐",IF(C1985=Options!$B$9,"抵达；"&amp;IF(C1985=DATE(2026,11,28),"机构晚餐","无统一供餐"),IF(C1985=Options!$B$10,"返程；"&amp;IF(C1985=DATE(2026,12,2),"机构午餐","无统一供餐"),"差旅状态；无统一日程"))))))</f>
        <v/>
      </c>
      <c r="E1985" s="13">
        <f>IF(C1985=Options!$B$9,Options!$C$19,0)</f>
        <v/>
      </c>
      <c r="F1985" s="13">
        <f>IF(AND(A1985&lt;&gt;"",C1985&lt;Options!$B$10),B1985*Options!$X$7,0)</f>
        <v/>
      </c>
      <c r="G1985" s="13">
        <f>F1985*12%</f>
        <v/>
      </c>
      <c r="H1985" s="13">
        <f>IF(A1985="",0,B1985*(86*IF(OR(C1985=Options!$B$9,C1985=Options!$B$10),75%,100%)-IF(C1985=DATE(2026,11,29),23+IF(Options!$B$8="是",22,0),0)-IF(C1985=DATE(2026,11,30),23,0)-IF(C1985=DATE(2026,12,1),59,0)-IF(C1985=DATE(2026,11,28),36,0)-IF(C1985=DATE(2026,12,2),23,0)))</f>
        <v/>
      </c>
      <c r="I1985" s="13">
        <f>IF(AND(C1985&gt;=DATE(2026,11,29),C1985&lt;=DATE(2026,12,1)),B1985*60,0)</f>
        <v/>
      </c>
      <c r="J1985" s="13">
        <f>IF(A1985="",0,B1985*(IF(C1985=DATE(2026,11,28),36,0)+IF(C1985=DATE(2026,12,1),36,0)+IF(C1985=DATE(2026,12,2),23,0)))</f>
        <v/>
      </c>
      <c r="K1985" s="13">
        <f>IF(C1985=Options!$B$9,B1985*12,0)</f>
        <v/>
      </c>
      <c r="L1985" s="13">
        <f>IF(C1985=Options!$B$9,B1985*Options!$Z$7,0)</f>
        <v/>
      </c>
      <c r="M1985" s="13" t="n">
        <v>0</v>
      </c>
      <c r="N1985" s="13">
        <f>SUM(E1985:M1985)</f>
        <v/>
      </c>
    </row>
    <row r="1986">
      <c r="A1986" s="5">
        <f>IF(AND(C1986&gt;=Options!$B$9,C1986&lt;=Options!$B$10),"Phoenix","")</f>
        <v/>
      </c>
      <c r="B1986" s="5">
        <f>IF(A1986="","",24)</f>
        <v/>
      </c>
      <c r="C1986" s="17" t="n">
        <v>46452</v>
      </c>
      <c r="D1986" s="5">
        <f>IF(A1986="","",IF(C1986=DATE(2026,11,29),"培训；注册午餐；早餐参数",IF(C1986=DATE(2026,11,30),"培训；注册午餐",IF(C1986=DATE(2026,12,1),"培训；注册午餐；机构晚餐",IF(C1986=Options!$B$9,"抵达；"&amp;IF(C1986=DATE(2026,11,28),"机构晚餐","无统一供餐"),IF(C1986=Options!$B$10,"返程；"&amp;IF(C1986=DATE(2026,12,2),"机构午餐","无统一供餐"),"差旅状态；无统一日程"))))))</f>
        <v/>
      </c>
      <c r="E1986" s="13">
        <f>IF(C1986=Options!$B$9,Options!$C$19,0)</f>
        <v/>
      </c>
      <c r="F1986" s="13">
        <f>IF(AND(A1986&lt;&gt;"",C1986&lt;Options!$B$10),B1986*Options!$X$7,0)</f>
        <v/>
      </c>
      <c r="G1986" s="13">
        <f>F1986*12%</f>
        <v/>
      </c>
      <c r="H1986" s="13">
        <f>IF(A1986="",0,B1986*(86*IF(OR(C1986=Options!$B$9,C1986=Options!$B$10),75%,100%)-IF(C1986=DATE(2026,11,29),23+IF(Options!$B$8="是",22,0),0)-IF(C1986=DATE(2026,11,30),23,0)-IF(C1986=DATE(2026,12,1),59,0)-IF(C1986=DATE(2026,11,28),36,0)-IF(C1986=DATE(2026,12,2),23,0)))</f>
        <v/>
      </c>
      <c r="I1986" s="13">
        <f>IF(AND(C1986&gt;=DATE(2026,11,29),C1986&lt;=DATE(2026,12,1)),B1986*60,0)</f>
        <v/>
      </c>
      <c r="J1986" s="13">
        <f>IF(A1986="",0,B1986*(IF(C1986=DATE(2026,11,28),36,0)+IF(C1986=DATE(2026,12,1),36,0)+IF(C1986=DATE(2026,12,2),23,0)))</f>
        <v/>
      </c>
      <c r="K1986" s="13">
        <f>IF(C1986=Options!$B$9,B1986*12,0)</f>
        <v/>
      </c>
      <c r="L1986" s="13">
        <f>IF(C1986=Options!$B$9,B1986*Options!$Z$7,0)</f>
        <v/>
      </c>
      <c r="M1986" s="13" t="n">
        <v>0</v>
      </c>
      <c r="N1986" s="13">
        <f>SUM(E1986:M1986)</f>
        <v/>
      </c>
    </row>
    <row r="1987">
      <c r="A1987" s="5">
        <f>IF(AND(C1987&gt;=Options!$B$9,C1987&lt;=Options!$B$10),"Phoenix","")</f>
        <v/>
      </c>
      <c r="B1987" s="5">
        <f>IF(A1987="","",24)</f>
        <v/>
      </c>
      <c r="C1987" s="17" t="n">
        <v>46453</v>
      </c>
      <c r="D1987" s="5">
        <f>IF(A1987="","",IF(C1987=DATE(2026,11,29),"培训；注册午餐；早餐参数",IF(C1987=DATE(2026,11,30),"培训；注册午餐",IF(C1987=DATE(2026,12,1),"培训；注册午餐；机构晚餐",IF(C1987=Options!$B$9,"抵达；"&amp;IF(C1987=DATE(2026,11,28),"机构晚餐","无统一供餐"),IF(C1987=Options!$B$10,"返程；"&amp;IF(C1987=DATE(2026,12,2),"机构午餐","无统一供餐"),"差旅状态；无统一日程"))))))</f>
        <v/>
      </c>
      <c r="E1987" s="13">
        <f>IF(C1987=Options!$B$9,Options!$C$19,0)</f>
        <v/>
      </c>
      <c r="F1987" s="13">
        <f>IF(AND(A1987&lt;&gt;"",C1987&lt;Options!$B$10),B1987*Options!$X$7,0)</f>
        <v/>
      </c>
      <c r="G1987" s="13">
        <f>F1987*12%</f>
        <v/>
      </c>
      <c r="H1987" s="13">
        <f>IF(A1987="",0,B1987*(86*IF(OR(C1987=Options!$B$9,C1987=Options!$B$10),75%,100%)-IF(C1987=DATE(2026,11,29),23+IF(Options!$B$8="是",22,0),0)-IF(C1987=DATE(2026,11,30),23,0)-IF(C1987=DATE(2026,12,1),59,0)-IF(C1987=DATE(2026,11,28),36,0)-IF(C1987=DATE(2026,12,2),23,0)))</f>
        <v/>
      </c>
      <c r="I1987" s="13">
        <f>IF(AND(C1987&gt;=DATE(2026,11,29),C1987&lt;=DATE(2026,12,1)),B1987*60,0)</f>
        <v/>
      </c>
      <c r="J1987" s="13">
        <f>IF(A1987="",0,B1987*(IF(C1987=DATE(2026,11,28),36,0)+IF(C1987=DATE(2026,12,1),36,0)+IF(C1987=DATE(2026,12,2),23,0)))</f>
        <v/>
      </c>
      <c r="K1987" s="13">
        <f>IF(C1987=Options!$B$9,B1987*12,0)</f>
        <v/>
      </c>
      <c r="L1987" s="13">
        <f>IF(C1987=Options!$B$9,B1987*Options!$Z$7,0)</f>
        <v/>
      </c>
      <c r="M1987" s="13" t="n">
        <v>0</v>
      </c>
      <c r="N1987" s="13">
        <f>SUM(E1987:M1987)</f>
        <v/>
      </c>
    </row>
    <row r="1988">
      <c r="A1988" s="5">
        <f>IF(AND(C1988&gt;=Options!$B$9,C1988&lt;=Options!$B$10),"Phoenix","")</f>
        <v/>
      </c>
      <c r="B1988" s="5">
        <f>IF(A1988="","",24)</f>
        <v/>
      </c>
      <c r="C1988" s="17" t="n">
        <v>46454</v>
      </c>
      <c r="D1988" s="5">
        <f>IF(A1988="","",IF(C1988=DATE(2026,11,29),"培训；注册午餐；早餐参数",IF(C1988=DATE(2026,11,30),"培训；注册午餐",IF(C1988=DATE(2026,12,1),"培训；注册午餐；机构晚餐",IF(C1988=Options!$B$9,"抵达；"&amp;IF(C1988=DATE(2026,11,28),"机构晚餐","无统一供餐"),IF(C1988=Options!$B$10,"返程；"&amp;IF(C1988=DATE(2026,12,2),"机构午餐","无统一供餐"),"差旅状态；无统一日程"))))))</f>
        <v/>
      </c>
      <c r="E1988" s="13">
        <f>IF(C1988=Options!$B$9,Options!$C$19,0)</f>
        <v/>
      </c>
      <c r="F1988" s="13">
        <f>IF(AND(A1988&lt;&gt;"",C1988&lt;Options!$B$10),B1988*Options!$X$7,0)</f>
        <v/>
      </c>
      <c r="G1988" s="13">
        <f>F1988*12%</f>
        <v/>
      </c>
      <c r="H1988" s="13">
        <f>IF(A1988="",0,B1988*(86*IF(OR(C1988=Options!$B$9,C1988=Options!$B$10),75%,100%)-IF(C1988=DATE(2026,11,29),23+IF(Options!$B$8="是",22,0),0)-IF(C1988=DATE(2026,11,30),23,0)-IF(C1988=DATE(2026,12,1),59,0)-IF(C1988=DATE(2026,11,28),36,0)-IF(C1988=DATE(2026,12,2),23,0)))</f>
        <v/>
      </c>
      <c r="I1988" s="13">
        <f>IF(AND(C1988&gt;=DATE(2026,11,29),C1988&lt;=DATE(2026,12,1)),B1988*60,0)</f>
        <v/>
      </c>
      <c r="J1988" s="13">
        <f>IF(A1988="",0,B1988*(IF(C1988=DATE(2026,11,28),36,0)+IF(C1988=DATE(2026,12,1),36,0)+IF(C1988=DATE(2026,12,2),23,0)))</f>
        <v/>
      </c>
      <c r="K1988" s="13">
        <f>IF(C1988=Options!$B$9,B1988*12,0)</f>
        <v/>
      </c>
      <c r="L1988" s="13">
        <f>IF(C1988=Options!$B$9,B1988*Options!$Z$7,0)</f>
        <v/>
      </c>
      <c r="M1988" s="13" t="n">
        <v>0</v>
      </c>
      <c r="N1988" s="13">
        <f>SUM(E1988:M1988)</f>
        <v/>
      </c>
    </row>
    <row r="1989">
      <c r="A1989" s="5">
        <f>IF(AND(C1989&gt;=Options!$B$9,C1989&lt;=Options!$B$10),"Phoenix","")</f>
        <v/>
      </c>
      <c r="B1989" s="5">
        <f>IF(A1989="","",24)</f>
        <v/>
      </c>
      <c r="C1989" s="17" t="n">
        <v>46455</v>
      </c>
      <c r="D1989" s="5">
        <f>IF(A1989="","",IF(C1989=DATE(2026,11,29),"培训；注册午餐；早餐参数",IF(C1989=DATE(2026,11,30),"培训；注册午餐",IF(C1989=DATE(2026,12,1),"培训；注册午餐；机构晚餐",IF(C1989=Options!$B$9,"抵达；"&amp;IF(C1989=DATE(2026,11,28),"机构晚餐","无统一供餐"),IF(C1989=Options!$B$10,"返程；"&amp;IF(C1989=DATE(2026,12,2),"机构午餐","无统一供餐"),"差旅状态；无统一日程"))))))</f>
        <v/>
      </c>
      <c r="E1989" s="13">
        <f>IF(C1989=Options!$B$9,Options!$C$19,0)</f>
        <v/>
      </c>
      <c r="F1989" s="13">
        <f>IF(AND(A1989&lt;&gt;"",C1989&lt;Options!$B$10),B1989*Options!$X$7,0)</f>
        <v/>
      </c>
      <c r="G1989" s="13">
        <f>F1989*12%</f>
        <v/>
      </c>
      <c r="H1989" s="13">
        <f>IF(A1989="",0,B1989*(86*IF(OR(C1989=Options!$B$9,C1989=Options!$B$10),75%,100%)-IF(C1989=DATE(2026,11,29),23+IF(Options!$B$8="是",22,0),0)-IF(C1989=DATE(2026,11,30),23,0)-IF(C1989=DATE(2026,12,1),59,0)-IF(C1989=DATE(2026,11,28),36,0)-IF(C1989=DATE(2026,12,2),23,0)))</f>
        <v/>
      </c>
      <c r="I1989" s="13">
        <f>IF(AND(C1989&gt;=DATE(2026,11,29),C1989&lt;=DATE(2026,12,1)),B1989*60,0)</f>
        <v/>
      </c>
      <c r="J1989" s="13">
        <f>IF(A1989="",0,B1989*(IF(C1989=DATE(2026,11,28),36,0)+IF(C1989=DATE(2026,12,1),36,0)+IF(C1989=DATE(2026,12,2),23,0)))</f>
        <v/>
      </c>
      <c r="K1989" s="13">
        <f>IF(C1989=Options!$B$9,B1989*12,0)</f>
        <v/>
      </c>
      <c r="L1989" s="13">
        <f>IF(C1989=Options!$B$9,B1989*Options!$Z$7,0)</f>
        <v/>
      </c>
      <c r="M1989" s="13" t="n">
        <v>0</v>
      </c>
      <c r="N1989" s="13">
        <f>SUM(E1989:M1989)</f>
        <v/>
      </c>
    </row>
    <row r="1990">
      <c r="A1990" s="5">
        <f>IF(AND(C1990&gt;=Options!$B$9,C1990&lt;=Options!$B$10),"Phoenix","")</f>
        <v/>
      </c>
      <c r="B1990" s="5">
        <f>IF(A1990="","",24)</f>
        <v/>
      </c>
      <c r="C1990" s="17" t="n">
        <v>46456</v>
      </c>
      <c r="D1990" s="5">
        <f>IF(A1990="","",IF(C1990=DATE(2026,11,29),"培训；注册午餐；早餐参数",IF(C1990=DATE(2026,11,30),"培训；注册午餐",IF(C1990=DATE(2026,12,1),"培训；注册午餐；机构晚餐",IF(C1990=Options!$B$9,"抵达；"&amp;IF(C1990=DATE(2026,11,28),"机构晚餐","无统一供餐"),IF(C1990=Options!$B$10,"返程；"&amp;IF(C1990=DATE(2026,12,2),"机构午餐","无统一供餐"),"差旅状态；无统一日程"))))))</f>
        <v/>
      </c>
      <c r="E1990" s="13">
        <f>IF(C1990=Options!$B$9,Options!$C$19,0)</f>
        <v/>
      </c>
      <c r="F1990" s="13">
        <f>IF(AND(A1990&lt;&gt;"",C1990&lt;Options!$B$10),B1990*Options!$X$7,0)</f>
        <v/>
      </c>
      <c r="G1990" s="13">
        <f>F1990*12%</f>
        <v/>
      </c>
      <c r="H1990" s="13">
        <f>IF(A1990="",0,B1990*(86*IF(OR(C1990=Options!$B$9,C1990=Options!$B$10),75%,100%)-IF(C1990=DATE(2026,11,29),23+IF(Options!$B$8="是",22,0),0)-IF(C1990=DATE(2026,11,30),23,0)-IF(C1990=DATE(2026,12,1),59,0)-IF(C1990=DATE(2026,11,28),36,0)-IF(C1990=DATE(2026,12,2),23,0)))</f>
        <v/>
      </c>
      <c r="I1990" s="13">
        <f>IF(AND(C1990&gt;=DATE(2026,11,29),C1990&lt;=DATE(2026,12,1)),B1990*60,0)</f>
        <v/>
      </c>
      <c r="J1990" s="13">
        <f>IF(A1990="",0,B1990*(IF(C1990=DATE(2026,11,28),36,0)+IF(C1990=DATE(2026,12,1),36,0)+IF(C1990=DATE(2026,12,2),23,0)))</f>
        <v/>
      </c>
      <c r="K1990" s="13">
        <f>IF(C1990=Options!$B$9,B1990*12,0)</f>
        <v/>
      </c>
      <c r="L1990" s="13">
        <f>IF(C1990=Options!$B$9,B1990*Options!$Z$7,0)</f>
        <v/>
      </c>
      <c r="M1990" s="13" t="n">
        <v>0</v>
      </c>
      <c r="N1990" s="13">
        <f>SUM(E1990:M1990)</f>
        <v/>
      </c>
    </row>
    <row r="1991">
      <c r="A1991" s="5">
        <f>IF(AND(C1991&gt;=Options!$B$9,C1991&lt;=Options!$B$10),"Phoenix","")</f>
        <v/>
      </c>
      <c r="B1991" s="5">
        <f>IF(A1991="","",24)</f>
        <v/>
      </c>
      <c r="C1991" s="17" t="n">
        <v>46457</v>
      </c>
      <c r="D1991" s="5">
        <f>IF(A1991="","",IF(C1991=DATE(2026,11,29),"培训；注册午餐；早餐参数",IF(C1991=DATE(2026,11,30),"培训；注册午餐",IF(C1991=DATE(2026,12,1),"培训；注册午餐；机构晚餐",IF(C1991=Options!$B$9,"抵达；"&amp;IF(C1991=DATE(2026,11,28),"机构晚餐","无统一供餐"),IF(C1991=Options!$B$10,"返程；"&amp;IF(C1991=DATE(2026,12,2),"机构午餐","无统一供餐"),"差旅状态；无统一日程"))))))</f>
        <v/>
      </c>
      <c r="E1991" s="13">
        <f>IF(C1991=Options!$B$9,Options!$C$19,0)</f>
        <v/>
      </c>
      <c r="F1991" s="13">
        <f>IF(AND(A1991&lt;&gt;"",C1991&lt;Options!$B$10),B1991*Options!$X$7,0)</f>
        <v/>
      </c>
      <c r="G1991" s="13">
        <f>F1991*12%</f>
        <v/>
      </c>
      <c r="H1991" s="13">
        <f>IF(A1991="",0,B1991*(86*IF(OR(C1991=Options!$B$9,C1991=Options!$B$10),75%,100%)-IF(C1991=DATE(2026,11,29),23+IF(Options!$B$8="是",22,0),0)-IF(C1991=DATE(2026,11,30),23,0)-IF(C1991=DATE(2026,12,1),59,0)-IF(C1991=DATE(2026,11,28),36,0)-IF(C1991=DATE(2026,12,2),23,0)))</f>
        <v/>
      </c>
      <c r="I1991" s="13">
        <f>IF(AND(C1991&gt;=DATE(2026,11,29),C1991&lt;=DATE(2026,12,1)),B1991*60,0)</f>
        <v/>
      </c>
      <c r="J1991" s="13">
        <f>IF(A1991="",0,B1991*(IF(C1991=DATE(2026,11,28),36,0)+IF(C1991=DATE(2026,12,1),36,0)+IF(C1991=DATE(2026,12,2),23,0)))</f>
        <v/>
      </c>
      <c r="K1991" s="13">
        <f>IF(C1991=Options!$B$9,B1991*12,0)</f>
        <v/>
      </c>
      <c r="L1991" s="13">
        <f>IF(C1991=Options!$B$9,B1991*Options!$Z$7,0)</f>
        <v/>
      </c>
      <c r="M1991" s="13" t="n">
        <v>0</v>
      </c>
      <c r="N1991" s="13">
        <f>SUM(E1991:M1991)</f>
        <v/>
      </c>
    </row>
    <row r="1992">
      <c r="A1992" s="5">
        <f>IF(AND(C1992&gt;=Options!$B$9,C1992&lt;=Options!$B$10),"Phoenix","")</f>
        <v/>
      </c>
      <c r="B1992" s="5">
        <f>IF(A1992="","",24)</f>
        <v/>
      </c>
      <c r="C1992" s="17" t="n">
        <v>46458</v>
      </c>
      <c r="D1992" s="5">
        <f>IF(A1992="","",IF(C1992=DATE(2026,11,29),"培训；注册午餐；早餐参数",IF(C1992=DATE(2026,11,30),"培训；注册午餐",IF(C1992=DATE(2026,12,1),"培训；注册午餐；机构晚餐",IF(C1992=Options!$B$9,"抵达；"&amp;IF(C1992=DATE(2026,11,28),"机构晚餐","无统一供餐"),IF(C1992=Options!$B$10,"返程；"&amp;IF(C1992=DATE(2026,12,2),"机构午餐","无统一供餐"),"差旅状态；无统一日程"))))))</f>
        <v/>
      </c>
      <c r="E1992" s="13">
        <f>IF(C1992=Options!$B$9,Options!$C$19,0)</f>
        <v/>
      </c>
      <c r="F1992" s="13">
        <f>IF(AND(A1992&lt;&gt;"",C1992&lt;Options!$B$10),B1992*Options!$X$7,0)</f>
        <v/>
      </c>
      <c r="G1992" s="13">
        <f>F1992*12%</f>
        <v/>
      </c>
      <c r="H1992" s="13">
        <f>IF(A1992="",0,B1992*(86*IF(OR(C1992=Options!$B$9,C1992=Options!$B$10),75%,100%)-IF(C1992=DATE(2026,11,29),23+IF(Options!$B$8="是",22,0),0)-IF(C1992=DATE(2026,11,30),23,0)-IF(C1992=DATE(2026,12,1),59,0)-IF(C1992=DATE(2026,11,28),36,0)-IF(C1992=DATE(2026,12,2),23,0)))</f>
        <v/>
      </c>
      <c r="I1992" s="13">
        <f>IF(AND(C1992&gt;=DATE(2026,11,29),C1992&lt;=DATE(2026,12,1)),B1992*60,0)</f>
        <v/>
      </c>
      <c r="J1992" s="13">
        <f>IF(A1992="",0,B1992*(IF(C1992=DATE(2026,11,28),36,0)+IF(C1992=DATE(2026,12,1),36,0)+IF(C1992=DATE(2026,12,2),23,0)))</f>
        <v/>
      </c>
      <c r="K1992" s="13">
        <f>IF(C1992=Options!$B$9,B1992*12,0)</f>
        <v/>
      </c>
      <c r="L1992" s="13">
        <f>IF(C1992=Options!$B$9,B1992*Options!$Z$7,0)</f>
        <v/>
      </c>
      <c r="M1992" s="13" t="n">
        <v>0</v>
      </c>
      <c r="N1992" s="13">
        <f>SUM(E1992:M1992)</f>
        <v/>
      </c>
    </row>
    <row r="1993">
      <c r="A1993" s="5">
        <f>IF(AND(C1993&gt;=Options!$B$9,C1993&lt;=Options!$B$10),"Phoenix","")</f>
        <v/>
      </c>
      <c r="B1993" s="5">
        <f>IF(A1993="","",24)</f>
        <v/>
      </c>
      <c r="C1993" s="17" t="n">
        <v>46459</v>
      </c>
      <c r="D1993" s="5">
        <f>IF(A1993="","",IF(C1993=DATE(2026,11,29),"培训；注册午餐；早餐参数",IF(C1993=DATE(2026,11,30),"培训；注册午餐",IF(C1993=DATE(2026,12,1),"培训；注册午餐；机构晚餐",IF(C1993=Options!$B$9,"抵达；"&amp;IF(C1993=DATE(2026,11,28),"机构晚餐","无统一供餐"),IF(C1993=Options!$B$10,"返程；"&amp;IF(C1993=DATE(2026,12,2),"机构午餐","无统一供餐"),"差旅状态；无统一日程"))))))</f>
        <v/>
      </c>
      <c r="E1993" s="13">
        <f>IF(C1993=Options!$B$9,Options!$C$19,0)</f>
        <v/>
      </c>
      <c r="F1993" s="13">
        <f>IF(AND(A1993&lt;&gt;"",C1993&lt;Options!$B$10),B1993*Options!$X$7,0)</f>
        <v/>
      </c>
      <c r="G1993" s="13">
        <f>F1993*12%</f>
        <v/>
      </c>
      <c r="H1993" s="13">
        <f>IF(A1993="",0,B1993*(86*IF(OR(C1993=Options!$B$9,C1993=Options!$B$10),75%,100%)-IF(C1993=DATE(2026,11,29),23+IF(Options!$B$8="是",22,0),0)-IF(C1993=DATE(2026,11,30),23,0)-IF(C1993=DATE(2026,12,1),59,0)-IF(C1993=DATE(2026,11,28),36,0)-IF(C1993=DATE(2026,12,2),23,0)))</f>
        <v/>
      </c>
      <c r="I1993" s="13">
        <f>IF(AND(C1993&gt;=DATE(2026,11,29),C1993&lt;=DATE(2026,12,1)),B1993*60,0)</f>
        <v/>
      </c>
      <c r="J1993" s="13">
        <f>IF(A1993="",0,B1993*(IF(C1993=DATE(2026,11,28),36,0)+IF(C1993=DATE(2026,12,1),36,0)+IF(C1993=DATE(2026,12,2),23,0)))</f>
        <v/>
      </c>
      <c r="K1993" s="13">
        <f>IF(C1993=Options!$B$9,B1993*12,0)</f>
        <v/>
      </c>
      <c r="L1993" s="13">
        <f>IF(C1993=Options!$B$9,B1993*Options!$Z$7,0)</f>
        <v/>
      </c>
      <c r="M1993" s="13" t="n">
        <v>0</v>
      </c>
      <c r="N1993" s="13">
        <f>SUM(E1993:M1993)</f>
        <v/>
      </c>
    </row>
    <row r="1994">
      <c r="A1994" s="5">
        <f>IF(AND(C1994&gt;=Options!$B$9,C1994&lt;=Options!$B$10),"Phoenix","")</f>
        <v/>
      </c>
      <c r="B1994" s="5">
        <f>IF(A1994="","",24)</f>
        <v/>
      </c>
      <c r="C1994" s="17" t="n">
        <v>46460</v>
      </c>
      <c r="D1994" s="5">
        <f>IF(A1994="","",IF(C1994=DATE(2026,11,29),"培训；注册午餐；早餐参数",IF(C1994=DATE(2026,11,30),"培训；注册午餐",IF(C1994=DATE(2026,12,1),"培训；注册午餐；机构晚餐",IF(C1994=Options!$B$9,"抵达；"&amp;IF(C1994=DATE(2026,11,28),"机构晚餐","无统一供餐"),IF(C1994=Options!$B$10,"返程；"&amp;IF(C1994=DATE(2026,12,2),"机构午餐","无统一供餐"),"差旅状态；无统一日程"))))))</f>
        <v/>
      </c>
      <c r="E1994" s="13">
        <f>IF(C1994=Options!$B$9,Options!$C$19,0)</f>
        <v/>
      </c>
      <c r="F1994" s="13">
        <f>IF(AND(A1994&lt;&gt;"",C1994&lt;Options!$B$10),B1994*Options!$X$7,0)</f>
        <v/>
      </c>
      <c r="G1994" s="13">
        <f>F1994*12%</f>
        <v/>
      </c>
      <c r="H1994" s="13">
        <f>IF(A1994="",0,B1994*(86*IF(OR(C1994=Options!$B$9,C1994=Options!$B$10),75%,100%)-IF(C1994=DATE(2026,11,29),23+IF(Options!$B$8="是",22,0),0)-IF(C1994=DATE(2026,11,30),23,0)-IF(C1994=DATE(2026,12,1),59,0)-IF(C1994=DATE(2026,11,28),36,0)-IF(C1994=DATE(2026,12,2),23,0)))</f>
        <v/>
      </c>
      <c r="I1994" s="13">
        <f>IF(AND(C1994&gt;=DATE(2026,11,29),C1994&lt;=DATE(2026,12,1)),B1994*60,0)</f>
        <v/>
      </c>
      <c r="J1994" s="13">
        <f>IF(A1994="",0,B1994*(IF(C1994=DATE(2026,11,28),36,0)+IF(C1994=DATE(2026,12,1),36,0)+IF(C1994=DATE(2026,12,2),23,0)))</f>
        <v/>
      </c>
      <c r="K1994" s="13">
        <f>IF(C1994=Options!$B$9,B1994*12,0)</f>
        <v/>
      </c>
      <c r="L1994" s="13">
        <f>IF(C1994=Options!$B$9,B1994*Options!$Z$7,0)</f>
        <v/>
      </c>
      <c r="M1994" s="13" t="n">
        <v>0</v>
      </c>
      <c r="N1994" s="13">
        <f>SUM(E1994:M1994)</f>
        <v/>
      </c>
    </row>
    <row r="1995">
      <c r="A1995" s="5">
        <f>IF(AND(C1995&gt;=Options!$B$9,C1995&lt;=Options!$B$10),"Phoenix","")</f>
        <v/>
      </c>
      <c r="B1995" s="5">
        <f>IF(A1995="","",24)</f>
        <v/>
      </c>
      <c r="C1995" s="17" t="n">
        <v>46461</v>
      </c>
      <c r="D1995" s="5">
        <f>IF(A1995="","",IF(C1995=DATE(2026,11,29),"培训；注册午餐；早餐参数",IF(C1995=DATE(2026,11,30),"培训；注册午餐",IF(C1995=DATE(2026,12,1),"培训；注册午餐；机构晚餐",IF(C1995=Options!$B$9,"抵达；"&amp;IF(C1995=DATE(2026,11,28),"机构晚餐","无统一供餐"),IF(C1995=Options!$B$10,"返程；"&amp;IF(C1995=DATE(2026,12,2),"机构午餐","无统一供餐"),"差旅状态；无统一日程"))))))</f>
        <v/>
      </c>
      <c r="E1995" s="13">
        <f>IF(C1995=Options!$B$9,Options!$C$19,0)</f>
        <v/>
      </c>
      <c r="F1995" s="13">
        <f>IF(AND(A1995&lt;&gt;"",C1995&lt;Options!$B$10),B1995*Options!$X$7,0)</f>
        <v/>
      </c>
      <c r="G1995" s="13">
        <f>F1995*12%</f>
        <v/>
      </c>
      <c r="H1995" s="13">
        <f>IF(A1995="",0,B1995*(86*IF(OR(C1995=Options!$B$9,C1995=Options!$B$10),75%,100%)-IF(C1995=DATE(2026,11,29),23+IF(Options!$B$8="是",22,0),0)-IF(C1995=DATE(2026,11,30),23,0)-IF(C1995=DATE(2026,12,1),59,0)-IF(C1995=DATE(2026,11,28),36,0)-IF(C1995=DATE(2026,12,2),23,0)))</f>
        <v/>
      </c>
      <c r="I1995" s="13">
        <f>IF(AND(C1995&gt;=DATE(2026,11,29),C1995&lt;=DATE(2026,12,1)),B1995*60,0)</f>
        <v/>
      </c>
      <c r="J1995" s="13">
        <f>IF(A1995="",0,B1995*(IF(C1995=DATE(2026,11,28),36,0)+IF(C1995=DATE(2026,12,1),36,0)+IF(C1995=DATE(2026,12,2),23,0)))</f>
        <v/>
      </c>
      <c r="K1995" s="13">
        <f>IF(C1995=Options!$B$9,B1995*12,0)</f>
        <v/>
      </c>
      <c r="L1995" s="13">
        <f>IF(C1995=Options!$B$9,B1995*Options!$Z$7,0)</f>
        <v/>
      </c>
      <c r="M1995" s="13" t="n">
        <v>0</v>
      </c>
      <c r="N1995" s="13">
        <f>SUM(E1995:M1995)</f>
        <v/>
      </c>
    </row>
    <row r="1996">
      <c r="A1996" s="5">
        <f>IF(AND(C1996&gt;=Options!$B$9,C1996&lt;=Options!$B$10),"Phoenix","")</f>
        <v/>
      </c>
      <c r="B1996" s="5">
        <f>IF(A1996="","",24)</f>
        <v/>
      </c>
      <c r="C1996" s="17" t="n">
        <v>46462</v>
      </c>
      <c r="D1996" s="5">
        <f>IF(A1996="","",IF(C1996=DATE(2026,11,29),"培训；注册午餐；早餐参数",IF(C1996=DATE(2026,11,30),"培训；注册午餐",IF(C1996=DATE(2026,12,1),"培训；注册午餐；机构晚餐",IF(C1996=Options!$B$9,"抵达；"&amp;IF(C1996=DATE(2026,11,28),"机构晚餐","无统一供餐"),IF(C1996=Options!$B$10,"返程；"&amp;IF(C1996=DATE(2026,12,2),"机构午餐","无统一供餐"),"差旅状态；无统一日程"))))))</f>
        <v/>
      </c>
      <c r="E1996" s="13">
        <f>IF(C1996=Options!$B$9,Options!$C$19,0)</f>
        <v/>
      </c>
      <c r="F1996" s="13">
        <f>IF(AND(A1996&lt;&gt;"",C1996&lt;Options!$B$10),B1996*Options!$X$7,0)</f>
        <v/>
      </c>
      <c r="G1996" s="13">
        <f>F1996*12%</f>
        <v/>
      </c>
      <c r="H1996" s="13">
        <f>IF(A1996="",0,B1996*(86*IF(OR(C1996=Options!$B$9,C1996=Options!$B$10),75%,100%)-IF(C1996=DATE(2026,11,29),23+IF(Options!$B$8="是",22,0),0)-IF(C1996=DATE(2026,11,30),23,0)-IF(C1996=DATE(2026,12,1),59,0)-IF(C1996=DATE(2026,11,28),36,0)-IF(C1996=DATE(2026,12,2),23,0)))</f>
        <v/>
      </c>
      <c r="I1996" s="13">
        <f>IF(AND(C1996&gt;=DATE(2026,11,29),C1996&lt;=DATE(2026,12,1)),B1996*60,0)</f>
        <v/>
      </c>
      <c r="J1996" s="13">
        <f>IF(A1996="",0,B1996*(IF(C1996=DATE(2026,11,28),36,0)+IF(C1996=DATE(2026,12,1),36,0)+IF(C1996=DATE(2026,12,2),23,0)))</f>
        <v/>
      </c>
      <c r="K1996" s="13">
        <f>IF(C1996=Options!$B$9,B1996*12,0)</f>
        <v/>
      </c>
      <c r="L1996" s="13">
        <f>IF(C1996=Options!$B$9,B1996*Options!$Z$7,0)</f>
        <v/>
      </c>
      <c r="M1996" s="13" t="n">
        <v>0</v>
      </c>
      <c r="N1996" s="13">
        <f>SUM(E1996:M1996)</f>
        <v/>
      </c>
    </row>
    <row r="1997">
      <c r="A1997" s="5">
        <f>IF(AND(C1997&gt;=Options!$B$9,C1997&lt;=Options!$B$10),"Phoenix","")</f>
        <v/>
      </c>
      <c r="B1997" s="5">
        <f>IF(A1997="","",24)</f>
        <v/>
      </c>
      <c r="C1997" s="17" t="n">
        <v>46463</v>
      </c>
      <c r="D1997" s="5">
        <f>IF(A1997="","",IF(C1997=DATE(2026,11,29),"培训；注册午餐；早餐参数",IF(C1997=DATE(2026,11,30),"培训；注册午餐",IF(C1997=DATE(2026,12,1),"培训；注册午餐；机构晚餐",IF(C1997=Options!$B$9,"抵达；"&amp;IF(C1997=DATE(2026,11,28),"机构晚餐","无统一供餐"),IF(C1997=Options!$B$10,"返程；"&amp;IF(C1997=DATE(2026,12,2),"机构午餐","无统一供餐"),"差旅状态；无统一日程"))))))</f>
        <v/>
      </c>
      <c r="E1997" s="13">
        <f>IF(C1997=Options!$B$9,Options!$C$19,0)</f>
        <v/>
      </c>
      <c r="F1997" s="13">
        <f>IF(AND(A1997&lt;&gt;"",C1997&lt;Options!$B$10),B1997*Options!$X$7,0)</f>
        <v/>
      </c>
      <c r="G1997" s="13">
        <f>F1997*12%</f>
        <v/>
      </c>
      <c r="H1997" s="13">
        <f>IF(A1997="",0,B1997*(86*IF(OR(C1997=Options!$B$9,C1997=Options!$B$10),75%,100%)-IF(C1997=DATE(2026,11,29),23+IF(Options!$B$8="是",22,0),0)-IF(C1997=DATE(2026,11,30),23,0)-IF(C1997=DATE(2026,12,1),59,0)-IF(C1997=DATE(2026,11,28),36,0)-IF(C1997=DATE(2026,12,2),23,0)))</f>
        <v/>
      </c>
      <c r="I1997" s="13">
        <f>IF(AND(C1997&gt;=DATE(2026,11,29),C1997&lt;=DATE(2026,12,1)),B1997*60,0)</f>
        <v/>
      </c>
      <c r="J1997" s="13">
        <f>IF(A1997="",0,B1997*(IF(C1997=DATE(2026,11,28),36,0)+IF(C1997=DATE(2026,12,1),36,0)+IF(C1997=DATE(2026,12,2),23,0)))</f>
        <v/>
      </c>
      <c r="K1997" s="13">
        <f>IF(C1997=Options!$B$9,B1997*12,0)</f>
        <v/>
      </c>
      <c r="L1997" s="13">
        <f>IF(C1997=Options!$B$9,B1997*Options!$Z$7,0)</f>
        <v/>
      </c>
      <c r="M1997" s="13" t="n">
        <v>0</v>
      </c>
      <c r="N1997" s="13">
        <f>SUM(E1997:M1997)</f>
        <v/>
      </c>
    </row>
    <row r="1998">
      <c r="A1998" s="5">
        <f>IF(AND(C1998&gt;=Options!$B$9,C1998&lt;=Options!$B$10),"Phoenix","")</f>
        <v/>
      </c>
      <c r="B1998" s="5">
        <f>IF(A1998="","",24)</f>
        <v/>
      </c>
      <c r="C1998" s="17" t="n">
        <v>46464</v>
      </c>
      <c r="D1998" s="5">
        <f>IF(A1998="","",IF(C1998=DATE(2026,11,29),"培训；注册午餐；早餐参数",IF(C1998=DATE(2026,11,30),"培训；注册午餐",IF(C1998=DATE(2026,12,1),"培训；注册午餐；机构晚餐",IF(C1998=Options!$B$9,"抵达；"&amp;IF(C1998=DATE(2026,11,28),"机构晚餐","无统一供餐"),IF(C1998=Options!$B$10,"返程；"&amp;IF(C1998=DATE(2026,12,2),"机构午餐","无统一供餐"),"差旅状态；无统一日程"))))))</f>
        <v/>
      </c>
      <c r="E1998" s="13">
        <f>IF(C1998=Options!$B$9,Options!$C$19,0)</f>
        <v/>
      </c>
      <c r="F1998" s="13">
        <f>IF(AND(A1998&lt;&gt;"",C1998&lt;Options!$B$10),B1998*Options!$X$7,0)</f>
        <v/>
      </c>
      <c r="G1998" s="13">
        <f>F1998*12%</f>
        <v/>
      </c>
      <c r="H1998" s="13">
        <f>IF(A1998="",0,B1998*(86*IF(OR(C1998=Options!$B$9,C1998=Options!$B$10),75%,100%)-IF(C1998=DATE(2026,11,29),23+IF(Options!$B$8="是",22,0),0)-IF(C1998=DATE(2026,11,30),23,0)-IF(C1998=DATE(2026,12,1),59,0)-IF(C1998=DATE(2026,11,28),36,0)-IF(C1998=DATE(2026,12,2),23,0)))</f>
        <v/>
      </c>
      <c r="I1998" s="13">
        <f>IF(AND(C1998&gt;=DATE(2026,11,29),C1998&lt;=DATE(2026,12,1)),B1998*60,0)</f>
        <v/>
      </c>
      <c r="J1998" s="13">
        <f>IF(A1998="",0,B1998*(IF(C1998=DATE(2026,11,28),36,0)+IF(C1998=DATE(2026,12,1),36,0)+IF(C1998=DATE(2026,12,2),23,0)))</f>
        <v/>
      </c>
      <c r="K1998" s="13">
        <f>IF(C1998=Options!$B$9,B1998*12,0)</f>
        <v/>
      </c>
      <c r="L1998" s="13">
        <f>IF(C1998=Options!$B$9,B1998*Options!$Z$7,0)</f>
        <v/>
      </c>
      <c r="M1998" s="13" t="n">
        <v>0</v>
      </c>
      <c r="N1998" s="13">
        <f>SUM(E1998:M1998)</f>
        <v/>
      </c>
    </row>
    <row r="1999">
      <c r="A1999" s="5">
        <f>IF(AND(C1999&gt;=Options!$B$9,C1999&lt;=Options!$B$10),"Phoenix","")</f>
        <v/>
      </c>
      <c r="B1999" s="5">
        <f>IF(A1999="","",24)</f>
        <v/>
      </c>
      <c r="C1999" s="17" t="n">
        <v>46465</v>
      </c>
      <c r="D1999" s="5">
        <f>IF(A1999="","",IF(C1999=DATE(2026,11,29),"培训；注册午餐；早餐参数",IF(C1999=DATE(2026,11,30),"培训；注册午餐",IF(C1999=DATE(2026,12,1),"培训；注册午餐；机构晚餐",IF(C1999=Options!$B$9,"抵达；"&amp;IF(C1999=DATE(2026,11,28),"机构晚餐","无统一供餐"),IF(C1999=Options!$B$10,"返程；"&amp;IF(C1999=DATE(2026,12,2),"机构午餐","无统一供餐"),"差旅状态；无统一日程"))))))</f>
        <v/>
      </c>
      <c r="E1999" s="13">
        <f>IF(C1999=Options!$B$9,Options!$C$19,0)</f>
        <v/>
      </c>
      <c r="F1999" s="13">
        <f>IF(AND(A1999&lt;&gt;"",C1999&lt;Options!$B$10),B1999*Options!$X$7,0)</f>
        <v/>
      </c>
      <c r="G1999" s="13">
        <f>F1999*12%</f>
        <v/>
      </c>
      <c r="H1999" s="13">
        <f>IF(A1999="",0,B1999*(86*IF(OR(C1999=Options!$B$9,C1999=Options!$B$10),75%,100%)-IF(C1999=DATE(2026,11,29),23+IF(Options!$B$8="是",22,0),0)-IF(C1999=DATE(2026,11,30),23,0)-IF(C1999=DATE(2026,12,1),59,0)-IF(C1999=DATE(2026,11,28),36,0)-IF(C1999=DATE(2026,12,2),23,0)))</f>
        <v/>
      </c>
      <c r="I1999" s="13">
        <f>IF(AND(C1999&gt;=DATE(2026,11,29),C1999&lt;=DATE(2026,12,1)),B1999*60,0)</f>
        <v/>
      </c>
      <c r="J1999" s="13">
        <f>IF(A1999="",0,B1999*(IF(C1999=DATE(2026,11,28),36,0)+IF(C1999=DATE(2026,12,1),36,0)+IF(C1999=DATE(2026,12,2),23,0)))</f>
        <v/>
      </c>
      <c r="K1999" s="13">
        <f>IF(C1999=Options!$B$9,B1999*12,0)</f>
        <v/>
      </c>
      <c r="L1999" s="13">
        <f>IF(C1999=Options!$B$9,B1999*Options!$Z$7,0)</f>
        <v/>
      </c>
      <c r="M1999" s="13" t="n">
        <v>0</v>
      </c>
      <c r="N1999" s="13">
        <f>SUM(E1999:M1999)</f>
        <v/>
      </c>
    </row>
    <row r="2000">
      <c r="A2000" s="5">
        <f>IF(AND(C2000&gt;=Options!$B$9,C2000&lt;=Options!$B$10),"Phoenix","")</f>
        <v/>
      </c>
      <c r="B2000" s="5">
        <f>IF(A2000="","",24)</f>
        <v/>
      </c>
      <c r="C2000" s="17" t="n">
        <v>46466</v>
      </c>
      <c r="D2000" s="5">
        <f>IF(A2000="","",IF(C2000=DATE(2026,11,29),"培训；注册午餐；早餐参数",IF(C2000=DATE(2026,11,30),"培训；注册午餐",IF(C2000=DATE(2026,12,1),"培训；注册午餐；机构晚餐",IF(C2000=Options!$B$9,"抵达；"&amp;IF(C2000=DATE(2026,11,28),"机构晚餐","无统一供餐"),IF(C2000=Options!$B$10,"返程；"&amp;IF(C2000=DATE(2026,12,2),"机构午餐","无统一供餐"),"差旅状态；无统一日程"))))))</f>
        <v/>
      </c>
      <c r="E2000" s="13">
        <f>IF(C2000=Options!$B$9,Options!$C$19,0)</f>
        <v/>
      </c>
      <c r="F2000" s="13">
        <f>IF(AND(A2000&lt;&gt;"",C2000&lt;Options!$B$10),B2000*Options!$X$7,0)</f>
        <v/>
      </c>
      <c r="G2000" s="13">
        <f>F2000*12%</f>
        <v/>
      </c>
      <c r="H2000" s="13">
        <f>IF(A2000="",0,B2000*(86*IF(OR(C2000=Options!$B$9,C2000=Options!$B$10),75%,100%)-IF(C2000=DATE(2026,11,29),23+IF(Options!$B$8="是",22,0),0)-IF(C2000=DATE(2026,11,30),23,0)-IF(C2000=DATE(2026,12,1),59,0)-IF(C2000=DATE(2026,11,28),36,0)-IF(C2000=DATE(2026,12,2),23,0)))</f>
        <v/>
      </c>
      <c r="I2000" s="13">
        <f>IF(AND(C2000&gt;=DATE(2026,11,29),C2000&lt;=DATE(2026,12,1)),B2000*60,0)</f>
        <v/>
      </c>
      <c r="J2000" s="13">
        <f>IF(A2000="",0,B2000*(IF(C2000=DATE(2026,11,28),36,0)+IF(C2000=DATE(2026,12,1),36,0)+IF(C2000=DATE(2026,12,2),23,0)))</f>
        <v/>
      </c>
      <c r="K2000" s="13">
        <f>IF(C2000=Options!$B$9,B2000*12,0)</f>
        <v/>
      </c>
      <c r="L2000" s="13">
        <f>IF(C2000=Options!$B$9,B2000*Options!$Z$7,0)</f>
        <v/>
      </c>
      <c r="M2000" s="13" t="n">
        <v>0</v>
      </c>
      <c r="N2000" s="13">
        <f>SUM(E2000:M2000)</f>
        <v/>
      </c>
    </row>
    <row r="2001">
      <c r="A2001" s="5">
        <f>IF(AND(C2001&gt;=Options!$B$9,C2001&lt;=Options!$B$10),"Phoenix","")</f>
        <v/>
      </c>
      <c r="B2001" s="5">
        <f>IF(A2001="","",24)</f>
        <v/>
      </c>
      <c r="C2001" s="17" t="n">
        <v>46467</v>
      </c>
      <c r="D2001" s="5">
        <f>IF(A2001="","",IF(C2001=DATE(2026,11,29),"培训；注册午餐；早餐参数",IF(C2001=DATE(2026,11,30),"培训；注册午餐",IF(C2001=DATE(2026,12,1),"培训；注册午餐；机构晚餐",IF(C2001=Options!$B$9,"抵达；"&amp;IF(C2001=DATE(2026,11,28),"机构晚餐","无统一供餐"),IF(C2001=Options!$B$10,"返程；"&amp;IF(C2001=DATE(2026,12,2),"机构午餐","无统一供餐"),"差旅状态；无统一日程"))))))</f>
        <v/>
      </c>
      <c r="E2001" s="13">
        <f>IF(C2001=Options!$B$9,Options!$C$19,0)</f>
        <v/>
      </c>
      <c r="F2001" s="13">
        <f>IF(AND(A2001&lt;&gt;"",C2001&lt;Options!$B$10),B2001*Options!$X$7,0)</f>
        <v/>
      </c>
      <c r="G2001" s="13">
        <f>F2001*12%</f>
        <v/>
      </c>
      <c r="H2001" s="13">
        <f>IF(A2001="",0,B2001*(86*IF(OR(C2001=Options!$B$9,C2001=Options!$B$10),75%,100%)-IF(C2001=DATE(2026,11,29),23+IF(Options!$B$8="是",22,0),0)-IF(C2001=DATE(2026,11,30),23,0)-IF(C2001=DATE(2026,12,1),59,0)-IF(C2001=DATE(2026,11,28),36,0)-IF(C2001=DATE(2026,12,2),23,0)))</f>
        <v/>
      </c>
      <c r="I2001" s="13">
        <f>IF(AND(C2001&gt;=DATE(2026,11,29),C2001&lt;=DATE(2026,12,1)),B2001*60,0)</f>
        <v/>
      </c>
      <c r="J2001" s="13">
        <f>IF(A2001="",0,B2001*(IF(C2001=DATE(2026,11,28),36,0)+IF(C2001=DATE(2026,12,1),36,0)+IF(C2001=DATE(2026,12,2),23,0)))</f>
        <v/>
      </c>
      <c r="K2001" s="13">
        <f>IF(C2001=Options!$B$9,B2001*12,0)</f>
        <v/>
      </c>
      <c r="L2001" s="13">
        <f>IF(C2001=Options!$B$9,B2001*Options!$Z$7,0)</f>
        <v/>
      </c>
      <c r="M2001" s="13" t="n">
        <v>0</v>
      </c>
      <c r="N2001" s="13">
        <f>SUM(E2001:M2001)</f>
        <v/>
      </c>
    </row>
    <row r="2002">
      <c r="A2002" s="5">
        <f>IF(AND(C2002&gt;=Options!$B$9,C2002&lt;=Options!$B$10),"Phoenix","")</f>
        <v/>
      </c>
      <c r="B2002" s="5">
        <f>IF(A2002="","",24)</f>
        <v/>
      </c>
      <c r="C2002" s="17" t="n">
        <v>46468</v>
      </c>
      <c r="D2002" s="5">
        <f>IF(A2002="","",IF(C2002=DATE(2026,11,29),"培训；注册午餐；早餐参数",IF(C2002=DATE(2026,11,30),"培训；注册午餐",IF(C2002=DATE(2026,12,1),"培训；注册午餐；机构晚餐",IF(C2002=Options!$B$9,"抵达；"&amp;IF(C2002=DATE(2026,11,28),"机构晚餐","无统一供餐"),IF(C2002=Options!$B$10,"返程；"&amp;IF(C2002=DATE(2026,12,2),"机构午餐","无统一供餐"),"差旅状态；无统一日程"))))))</f>
        <v/>
      </c>
      <c r="E2002" s="13">
        <f>IF(C2002=Options!$B$9,Options!$C$19,0)</f>
        <v/>
      </c>
      <c r="F2002" s="13">
        <f>IF(AND(A2002&lt;&gt;"",C2002&lt;Options!$B$10),B2002*Options!$X$7,0)</f>
        <v/>
      </c>
      <c r="G2002" s="13">
        <f>F2002*12%</f>
        <v/>
      </c>
      <c r="H2002" s="13">
        <f>IF(A2002="",0,B2002*(86*IF(OR(C2002=Options!$B$9,C2002=Options!$B$10),75%,100%)-IF(C2002=DATE(2026,11,29),23+IF(Options!$B$8="是",22,0),0)-IF(C2002=DATE(2026,11,30),23,0)-IF(C2002=DATE(2026,12,1),59,0)-IF(C2002=DATE(2026,11,28),36,0)-IF(C2002=DATE(2026,12,2),23,0)))</f>
        <v/>
      </c>
      <c r="I2002" s="13">
        <f>IF(AND(C2002&gt;=DATE(2026,11,29),C2002&lt;=DATE(2026,12,1)),B2002*60,0)</f>
        <v/>
      </c>
      <c r="J2002" s="13">
        <f>IF(A2002="",0,B2002*(IF(C2002=DATE(2026,11,28),36,0)+IF(C2002=DATE(2026,12,1),36,0)+IF(C2002=DATE(2026,12,2),23,0)))</f>
        <v/>
      </c>
      <c r="K2002" s="13">
        <f>IF(C2002=Options!$B$9,B2002*12,0)</f>
        <v/>
      </c>
      <c r="L2002" s="13">
        <f>IF(C2002=Options!$B$9,B2002*Options!$Z$7,0)</f>
        <v/>
      </c>
      <c r="M2002" s="13" t="n">
        <v>0</v>
      </c>
      <c r="N2002" s="13">
        <f>SUM(E2002:M2002)</f>
        <v/>
      </c>
    </row>
    <row r="2003">
      <c r="A2003" s="5">
        <f>IF(AND(C2003&gt;=Options!$B$9,C2003&lt;=Options!$B$10),"Phoenix","")</f>
        <v/>
      </c>
      <c r="B2003" s="5">
        <f>IF(A2003="","",24)</f>
        <v/>
      </c>
      <c r="C2003" s="17" t="n">
        <v>46469</v>
      </c>
      <c r="D2003" s="5">
        <f>IF(A2003="","",IF(C2003=DATE(2026,11,29),"培训；注册午餐；早餐参数",IF(C2003=DATE(2026,11,30),"培训；注册午餐",IF(C2003=DATE(2026,12,1),"培训；注册午餐；机构晚餐",IF(C2003=Options!$B$9,"抵达；"&amp;IF(C2003=DATE(2026,11,28),"机构晚餐","无统一供餐"),IF(C2003=Options!$B$10,"返程；"&amp;IF(C2003=DATE(2026,12,2),"机构午餐","无统一供餐"),"差旅状态；无统一日程"))))))</f>
        <v/>
      </c>
      <c r="E2003" s="13">
        <f>IF(C2003=Options!$B$9,Options!$C$19,0)</f>
        <v/>
      </c>
      <c r="F2003" s="13">
        <f>IF(AND(A2003&lt;&gt;"",C2003&lt;Options!$B$10),B2003*Options!$X$7,0)</f>
        <v/>
      </c>
      <c r="G2003" s="13">
        <f>F2003*12%</f>
        <v/>
      </c>
      <c r="H2003" s="13">
        <f>IF(A2003="",0,B2003*(86*IF(OR(C2003=Options!$B$9,C2003=Options!$B$10),75%,100%)-IF(C2003=DATE(2026,11,29),23+IF(Options!$B$8="是",22,0),0)-IF(C2003=DATE(2026,11,30),23,0)-IF(C2003=DATE(2026,12,1),59,0)-IF(C2003=DATE(2026,11,28),36,0)-IF(C2003=DATE(2026,12,2),23,0)))</f>
        <v/>
      </c>
      <c r="I2003" s="13">
        <f>IF(AND(C2003&gt;=DATE(2026,11,29),C2003&lt;=DATE(2026,12,1)),B2003*60,0)</f>
        <v/>
      </c>
      <c r="J2003" s="13">
        <f>IF(A2003="",0,B2003*(IF(C2003=DATE(2026,11,28),36,0)+IF(C2003=DATE(2026,12,1),36,0)+IF(C2003=DATE(2026,12,2),23,0)))</f>
        <v/>
      </c>
      <c r="K2003" s="13">
        <f>IF(C2003=Options!$B$9,B2003*12,0)</f>
        <v/>
      </c>
      <c r="L2003" s="13">
        <f>IF(C2003=Options!$B$9,B2003*Options!$Z$7,0)</f>
        <v/>
      </c>
      <c r="M2003" s="13" t="n">
        <v>0</v>
      </c>
      <c r="N2003" s="13">
        <f>SUM(E2003:M2003)</f>
        <v/>
      </c>
    </row>
    <row r="2004">
      <c r="A2004" s="5">
        <f>IF(AND(C2004&gt;=Options!$B$9,C2004&lt;=Options!$B$10),"Phoenix","")</f>
        <v/>
      </c>
      <c r="B2004" s="5">
        <f>IF(A2004="","",24)</f>
        <v/>
      </c>
      <c r="C2004" s="17" t="n">
        <v>46470</v>
      </c>
      <c r="D2004" s="5">
        <f>IF(A2004="","",IF(C2004=DATE(2026,11,29),"培训；注册午餐；早餐参数",IF(C2004=DATE(2026,11,30),"培训；注册午餐",IF(C2004=DATE(2026,12,1),"培训；注册午餐；机构晚餐",IF(C2004=Options!$B$9,"抵达；"&amp;IF(C2004=DATE(2026,11,28),"机构晚餐","无统一供餐"),IF(C2004=Options!$B$10,"返程；"&amp;IF(C2004=DATE(2026,12,2),"机构午餐","无统一供餐"),"差旅状态；无统一日程"))))))</f>
        <v/>
      </c>
      <c r="E2004" s="13">
        <f>IF(C2004=Options!$B$9,Options!$C$19,0)</f>
        <v/>
      </c>
      <c r="F2004" s="13">
        <f>IF(AND(A2004&lt;&gt;"",C2004&lt;Options!$B$10),B2004*Options!$X$7,0)</f>
        <v/>
      </c>
      <c r="G2004" s="13">
        <f>F2004*12%</f>
        <v/>
      </c>
      <c r="H2004" s="13">
        <f>IF(A2004="",0,B2004*(86*IF(OR(C2004=Options!$B$9,C2004=Options!$B$10),75%,100%)-IF(C2004=DATE(2026,11,29),23+IF(Options!$B$8="是",22,0),0)-IF(C2004=DATE(2026,11,30),23,0)-IF(C2004=DATE(2026,12,1),59,0)-IF(C2004=DATE(2026,11,28),36,0)-IF(C2004=DATE(2026,12,2),23,0)))</f>
        <v/>
      </c>
      <c r="I2004" s="13">
        <f>IF(AND(C2004&gt;=DATE(2026,11,29),C2004&lt;=DATE(2026,12,1)),B2004*60,0)</f>
        <v/>
      </c>
      <c r="J2004" s="13">
        <f>IF(A2004="",0,B2004*(IF(C2004=DATE(2026,11,28),36,0)+IF(C2004=DATE(2026,12,1),36,0)+IF(C2004=DATE(2026,12,2),23,0)))</f>
        <v/>
      </c>
      <c r="K2004" s="13">
        <f>IF(C2004=Options!$B$9,B2004*12,0)</f>
        <v/>
      </c>
      <c r="L2004" s="13">
        <f>IF(C2004=Options!$B$9,B2004*Options!$Z$7,0)</f>
        <v/>
      </c>
      <c r="M2004" s="13" t="n">
        <v>0</v>
      </c>
      <c r="N2004" s="13">
        <f>SUM(E2004:M2004)</f>
        <v/>
      </c>
    </row>
    <row r="2005">
      <c r="A2005" s="5">
        <f>IF(AND(C2005&gt;=Options!$B$9,C2005&lt;=Options!$B$10),"Phoenix","")</f>
        <v/>
      </c>
      <c r="B2005" s="5">
        <f>IF(A2005="","",24)</f>
        <v/>
      </c>
      <c r="C2005" s="17" t="n">
        <v>46471</v>
      </c>
      <c r="D2005" s="5">
        <f>IF(A2005="","",IF(C2005=DATE(2026,11,29),"培训；注册午餐；早餐参数",IF(C2005=DATE(2026,11,30),"培训；注册午餐",IF(C2005=DATE(2026,12,1),"培训；注册午餐；机构晚餐",IF(C2005=Options!$B$9,"抵达；"&amp;IF(C2005=DATE(2026,11,28),"机构晚餐","无统一供餐"),IF(C2005=Options!$B$10,"返程；"&amp;IF(C2005=DATE(2026,12,2),"机构午餐","无统一供餐"),"差旅状态；无统一日程"))))))</f>
        <v/>
      </c>
      <c r="E2005" s="13">
        <f>IF(C2005=Options!$B$9,Options!$C$19,0)</f>
        <v/>
      </c>
      <c r="F2005" s="13">
        <f>IF(AND(A2005&lt;&gt;"",C2005&lt;Options!$B$10),B2005*Options!$X$7,0)</f>
        <v/>
      </c>
      <c r="G2005" s="13">
        <f>F2005*12%</f>
        <v/>
      </c>
      <c r="H2005" s="13">
        <f>IF(A2005="",0,B2005*(86*IF(OR(C2005=Options!$B$9,C2005=Options!$B$10),75%,100%)-IF(C2005=DATE(2026,11,29),23+IF(Options!$B$8="是",22,0),0)-IF(C2005=DATE(2026,11,30),23,0)-IF(C2005=DATE(2026,12,1),59,0)-IF(C2005=DATE(2026,11,28),36,0)-IF(C2005=DATE(2026,12,2),23,0)))</f>
        <v/>
      </c>
      <c r="I2005" s="13">
        <f>IF(AND(C2005&gt;=DATE(2026,11,29),C2005&lt;=DATE(2026,12,1)),B2005*60,0)</f>
        <v/>
      </c>
      <c r="J2005" s="13">
        <f>IF(A2005="",0,B2005*(IF(C2005=DATE(2026,11,28),36,0)+IF(C2005=DATE(2026,12,1),36,0)+IF(C2005=DATE(2026,12,2),23,0)))</f>
        <v/>
      </c>
      <c r="K2005" s="13">
        <f>IF(C2005=Options!$B$9,B2005*12,0)</f>
        <v/>
      </c>
      <c r="L2005" s="13">
        <f>IF(C2005=Options!$B$9,B2005*Options!$Z$7,0)</f>
        <v/>
      </c>
      <c r="M2005" s="13" t="n">
        <v>0</v>
      </c>
      <c r="N2005" s="13">
        <f>SUM(E2005:M2005)</f>
        <v/>
      </c>
    </row>
    <row r="2006">
      <c r="A2006" s="5">
        <f>IF(AND(C2006&gt;=Options!$B$9,C2006&lt;=Options!$B$10),"Phoenix","")</f>
        <v/>
      </c>
      <c r="B2006" s="5">
        <f>IF(A2006="","",24)</f>
        <v/>
      </c>
      <c r="C2006" s="17" t="n">
        <v>46472</v>
      </c>
      <c r="D2006" s="5">
        <f>IF(A2006="","",IF(C2006=DATE(2026,11,29),"培训；注册午餐；早餐参数",IF(C2006=DATE(2026,11,30),"培训；注册午餐",IF(C2006=DATE(2026,12,1),"培训；注册午餐；机构晚餐",IF(C2006=Options!$B$9,"抵达；"&amp;IF(C2006=DATE(2026,11,28),"机构晚餐","无统一供餐"),IF(C2006=Options!$B$10,"返程；"&amp;IF(C2006=DATE(2026,12,2),"机构午餐","无统一供餐"),"差旅状态；无统一日程"))))))</f>
        <v/>
      </c>
      <c r="E2006" s="13">
        <f>IF(C2006=Options!$B$9,Options!$C$19,0)</f>
        <v/>
      </c>
      <c r="F2006" s="13">
        <f>IF(AND(A2006&lt;&gt;"",C2006&lt;Options!$B$10),B2006*Options!$X$7,0)</f>
        <v/>
      </c>
      <c r="G2006" s="13">
        <f>F2006*12%</f>
        <v/>
      </c>
      <c r="H2006" s="13">
        <f>IF(A2006="",0,B2006*(86*IF(OR(C2006=Options!$B$9,C2006=Options!$B$10),75%,100%)-IF(C2006=DATE(2026,11,29),23+IF(Options!$B$8="是",22,0),0)-IF(C2006=DATE(2026,11,30),23,0)-IF(C2006=DATE(2026,12,1),59,0)-IF(C2006=DATE(2026,11,28),36,0)-IF(C2006=DATE(2026,12,2),23,0)))</f>
        <v/>
      </c>
      <c r="I2006" s="13">
        <f>IF(AND(C2006&gt;=DATE(2026,11,29),C2006&lt;=DATE(2026,12,1)),B2006*60,0)</f>
        <v/>
      </c>
      <c r="J2006" s="13">
        <f>IF(A2006="",0,B2006*(IF(C2006=DATE(2026,11,28),36,0)+IF(C2006=DATE(2026,12,1),36,0)+IF(C2006=DATE(2026,12,2),23,0)))</f>
        <v/>
      </c>
      <c r="K2006" s="13">
        <f>IF(C2006=Options!$B$9,B2006*12,0)</f>
        <v/>
      </c>
      <c r="L2006" s="13">
        <f>IF(C2006=Options!$B$9,B2006*Options!$Z$7,0)</f>
        <v/>
      </c>
      <c r="M2006" s="13" t="n">
        <v>0</v>
      </c>
      <c r="N2006" s="13">
        <f>SUM(E2006:M2006)</f>
        <v/>
      </c>
    </row>
    <row r="2007">
      <c r="A2007" s="5">
        <f>IF(AND(C2007&gt;=Options!$B$9,C2007&lt;=Options!$B$10),"Phoenix","")</f>
        <v/>
      </c>
      <c r="B2007" s="5">
        <f>IF(A2007="","",24)</f>
        <v/>
      </c>
      <c r="C2007" s="17" t="n">
        <v>46473</v>
      </c>
      <c r="D2007" s="5">
        <f>IF(A2007="","",IF(C2007=DATE(2026,11,29),"培训；注册午餐；早餐参数",IF(C2007=DATE(2026,11,30),"培训；注册午餐",IF(C2007=DATE(2026,12,1),"培训；注册午餐；机构晚餐",IF(C2007=Options!$B$9,"抵达；"&amp;IF(C2007=DATE(2026,11,28),"机构晚餐","无统一供餐"),IF(C2007=Options!$B$10,"返程；"&amp;IF(C2007=DATE(2026,12,2),"机构午餐","无统一供餐"),"差旅状态；无统一日程"))))))</f>
        <v/>
      </c>
      <c r="E2007" s="13">
        <f>IF(C2007=Options!$B$9,Options!$C$19,0)</f>
        <v/>
      </c>
      <c r="F2007" s="13">
        <f>IF(AND(A2007&lt;&gt;"",C2007&lt;Options!$B$10),B2007*Options!$X$7,0)</f>
        <v/>
      </c>
      <c r="G2007" s="13">
        <f>F2007*12%</f>
        <v/>
      </c>
      <c r="H2007" s="13">
        <f>IF(A2007="",0,B2007*(86*IF(OR(C2007=Options!$B$9,C2007=Options!$B$10),75%,100%)-IF(C2007=DATE(2026,11,29),23+IF(Options!$B$8="是",22,0),0)-IF(C2007=DATE(2026,11,30),23,0)-IF(C2007=DATE(2026,12,1),59,0)-IF(C2007=DATE(2026,11,28),36,0)-IF(C2007=DATE(2026,12,2),23,0)))</f>
        <v/>
      </c>
      <c r="I2007" s="13">
        <f>IF(AND(C2007&gt;=DATE(2026,11,29),C2007&lt;=DATE(2026,12,1)),B2007*60,0)</f>
        <v/>
      </c>
      <c r="J2007" s="13">
        <f>IF(A2007="",0,B2007*(IF(C2007=DATE(2026,11,28),36,0)+IF(C2007=DATE(2026,12,1),36,0)+IF(C2007=DATE(2026,12,2),23,0)))</f>
        <v/>
      </c>
      <c r="K2007" s="13">
        <f>IF(C2007=Options!$B$9,B2007*12,0)</f>
        <v/>
      </c>
      <c r="L2007" s="13">
        <f>IF(C2007=Options!$B$9,B2007*Options!$Z$7,0)</f>
        <v/>
      </c>
      <c r="M2007" s="13" t="n">
        <v>0</v>
      </c>
      <c r="N2007" s="13">
        <f>SUM(E2007:M2007)</f>
        <v/>
      </c>
    </row>
    <row r="2008">
      <c r="A2008" s="5">
        <f>IF(AND(C2008&gt;=Options!$B$9,C2008&lt;=Options!$B$10),"Phoenix","")</f>
        <v/>
      </c>
      <c r="B2008" s="5">
        <f>IF(A2008="","",24)</f>
        <v/>
      </c>
      <c r="C2008" s="17" t="n">
        <v>46474</v>
      </c>
      <c r="D2008" s="5">
        <f>IF(A2008="","",IF(C2008=DATE(2026,11,29),"培训；注册午餐；早餐参数",IF(C2008=DATE(2026,11,30),"培训；注册午餐",IF(C2008=DATE(2026,12,1),"培训；注册午餐；机构晚餐",IF(C2008=Options!$B$9,"抵达；"&amp;IF(C2008=DATE(2026,11,28),"机构晚餐","无统一供餐"),IF(C2008=Options!$B$10,"返程；"&amp;IF(C2008=DATE(2026,12,2),"机构午餐","无统一供餐"),"差旅状态；无统一日程"))))))</f>
        <v/>
      </c>
      <c r="E2008" s="13">
        <f>IF(C2008=Options!$B$9,Options!$C$19,0)</f>
        <v/>
      </c>
      <c r="F2008" s="13">
        <f>IF(AND(A2008&lt;&gt;"",C2008&lt;Options!$B$10),B2008*Options!$X$7,0)</f>
        <v/>
      </c>
      <c r="G2008" s="13">
        <f>F2008*12%</f>
        <v/>
      </c>
      <c r="H2008" s="13">
        <f>IF(A2008="",0,B2008*(86*IF(OR(C2008=Options!$B$9,C2008=Options!$B$10),75%,100%)-IF(C2008=DATE(2026,11,29),23+IF(Options!$B$8="是",22,0),0)-IF(C2008=DATE(2026,11,30),23,0)-IF(C2008=DATE(2026,12,1),59,0)-IF(C2008=DATE(2026,11,28),36,0)-IF(C2008=DATE(2026,12,2),23,0)))</f>
        <v/>
      </c>
      <c r="I2008" s="13">
        <f>IF(AND(C2008&gt;=DATE(2026,11,29),C2008&lt;=DATE(2026,12,1)),B2008*60,0)</f>
        <v/>
      </c>
      <c r="J2008" s="13">
        <f>IF(A2008="",0,B2008*(IF(C2008=DATE(2026,11,28),36,0)+IF(C2008=DATE(2026,12,1),36,0)+IF(C2008=DATE(2026,12,2),23,0)))</f>
        <v/>
      </c>
      <c r="K2008" s="13">
        <f>IF(C2008=Options!$B$9,B2008*12,0)</f>
        <v/>
      </c>
      <c r="L2008" s="13">
        <f>IF(C2008=Options!$B$9,B2008*Options!$Z$7,0)</f>
        <v/>
      </c>
      <c r="M2008" s="13" t="n">
        <v>0</v>
      </c>
      <c r="N2008" s="13">
        <f>SUM(E2008:M2008)</f>
        <v/>
      </c>
    </row>
    <row r="2009">
      <c r="A2009" s="5">
        <f>IF(AND(C2009&gt;=Options!$B$9,C2009&lt;=Options!$B$10),"Phoenix","")</f>
        <v/>
      </c>
      <c r="B2009" s="5">
        <f>IF(A2009="","",24)</f>
        <v/>
      </c>
      <c r="C2009" s="17" t="n">
        <v>46475</v>
      </c>
      <c r="D2009" s="5">
        <f>IF(A2009="","",IF(C2009=DATE(2026,11,29),"培训；注册午餐；早餐参数",IF(C2009=DATE(2026,11,30),"培训；注册午餐",IF(C2009=DATE(2026,12,1),"培训；注册午餐；机构晚餐",IF(C2009=Options!$B$9,"抵达；"&amp;IF(C2009=DATE(2026,11,28),"机构晚餐","无统一供餐"),IF(C2009=Options!$B$10,"返程；"&amp;IF(C2009=DATE(2026,12,2),"机构午餐","无统一供餐"),"差旅状态；无统一日程"))))))</f>
        <v/>
      </c>
      <c r="E2009" s="13">
        <f>IF(C2009=Options!$B$9,Options!$C$19,0)</f>
        <v/>
      </c>
      <c r="F2009" s="13">
        <f>IF(AND(A2009&lt;&gt;"",C2009&lt;Options!$B$10),B2009*Options!$X$7,0)</f>
        <v/>
      </c>
      <c r="G2009" s="13">
        <f>F2009*12%</f>
        <v/>
      </c>
      <c r="H2009" s="13">
        <f>IF(A2009="",0,B2009*(86*IF(OR(C2009=Options!$B$9,C2009=Options!$B$10),75%,100%)-IF(C2009=DATE(2026,11,29),23+IF(Options!$B$8="是",22,0),0)-IF(C2009=DATE(2026,11,30),23,0)-IF(C2009=DATE(2026,12,1),59,0)-IF(C2009=DATE(2026,11,28),36,0)-IF(C2009=DATE(2026,12,2),23,0)))</f>
        <v/>
      </c>
      <c r="I2009" s="13">
        <f>IF(AND(C2009&gt;=DATE(2026,11,29),C2009&lt;=DATE(2026,12,1)),B2009*60,0)</f>
        <v/>
      </c>
      <c r="J2009" s="13">
        <f>IF(A2009="",0,B2009*(IF(C2009=DATE(2026,11,28),36,0)+IF(C2009=DATE(2026,12,1),36,0)+IF(C2009=DATE(2026,12,2),23,0)))</f>
        <v/>
      </c>
      <c r="K2009" s="13">
        <f>IF(C2009=Options!$B$9,B2009*12,0)</f>
        <v/>
      </c>
      <c r="L2009" s="13">
        <f>IF(C2009=Options!$B$9,B2009*Options!$Z$7,0)</f>
        <v/>
      </c>
      <c r="M2009" s="13" t="n">
        <v>0</v>
      </c>
      <c r="N2009" s="13">
        <f>SUM(E2009:M2009)</f>
        <v/>
      </c>
    </row>
    <row r="2010">
      <c r="A2010" s="5">
        <f>IF(AND(C2010&gt;=Options!$B$9,C2010&lt;=Options!$B$10),"Phoenix","")</f>
        <v/>
      </c>
      <c r="B2010" s="5">
        <f>IF(A2010="","",24)</f>
        <v/>
      </c>
      <c r="C2010" s="17" t="n">
        <v>46476</v>
      </c>
      <c r="D2010" s="5">
        <f>IF(A2010="","",IF(C2010=DATE(2026,11,29),"培训；注册午餐；早餐参数",IF(C2010=DATE(2026,11,30),"培训；注册午餐",IF(C2010=DATE(2026,12,1),"培训；注册午餐；机构晚餐",IF(C2010=Options!$B$9,"抵达；"&amp;IF(C2010=DATE(2026,11,28),"机构晚餐","无统一供餐"),IF(C2010=Options!$B$10,"返程；"&amp;IF(C2010=DATE(2026,12,2),"机构午餐","无统一供餐"),"差旅状态；无统一日程"))))))</f>
        <v/>
      </c>
      <c r="E2010" s="13">
        <f>IF(C2010=Options!$B$9,Options!$C$19,0)</f>
        <v/>
      </c>
      <c r="F2010" s="13">
        <f>IF(AND(A2010&lt;&gt;"",C2010&lt;Options!$B$10),B2010*Options!$X$7,0)</f>
        <v/>
      </c>
      <c r="G2010" s="13">
        <f>F2010*12%</f>
        <v/>
      </c>
      <c r="H2010" s="13">
        <f>IF(A2010="",0,B2010*(86*IF(OR(C2010=Options!$B$9,C2010=Options!$B$10),75%,100%)-IF(C2010=DATE(2026,11,29),23+IF(Options!$B$8="是",22,0),0)-IF(C2010=DATE(2026,11,30),23,0)-IF(C2010=DATE(2026,12,1),59,0)-IF(C2010=DATE(2026,11,28),36,0)-IF(C2010=DATE(2026,12,2),23,0)))</f>
        <v/>
      </c>
      <c r="I2010" s="13">
        <f>IF(AND(C2010&gt;=DATE(2026,11,29),C2010&lt;=DATE(2026,12,1)),B2010*60,0)</f>
        <v/>
      </c>
      <c r="J2010" s="13">
        <f>IF(A2010="",0,B2010*(IF(C2010=DATE(2026,11,28),36,0)+IF(C2010=DATE(2026,12,1),36,0)+IF(C2010=DATE(2026,12,2),23,0)))</f>
        <v/>
      </c>
      <c r="K2010" s="13">
        <f>IF(C2010=Options!$B$9,B2010*12,0)</f>
        <v/>
      </c>
      <c r="L2010" s="13">
        <f>IF(C2010=Options!$B$9,B2010*Options!$Z$7,0)</f>
        <v/>
      </c>
      <c r="M2010" s="13" t="n">
        <v>0</v>
      </c>
      <c r="N2010" s="13">
        <f>SUM(E2010:M2010)</f>
        <v/>
      </c>
    </row>
    <row r="2011">
      <c r="A2011" s="5">
        <f>IF(AND(C2011&gt;=Options!$B$9,C2011&lt;=Options!$B$10),"Phoenix","")</f>
        <v/>
      </c>
      <c r="B2011" s="5">
        <f>IF(A2011="","",24)</f>
        <v/>
      </c>
      <c r="C2011" s="17" t="n">
        <v>46477</v>
      </c>
      <c r="D2011" s="5">
        <f>IF(A2011="","",IF(C2011=DATE(2026,11,29),"培训；注册午餐；早餐参数",IF(C2011=DATE(2026,11,30),"培训；注册午餐",IF(C2011=DATE(2026,12,1),"培训；注册午餐；机构晚餐",IF(C2011=Options!$B$9,"抵达；"&amp;IF(C2011=DATE(2026,11,28),"机构晚餐","无统一供餐"),IF(C2011=Options!$B$10,"返程；"&amp;IF(C2011=DATE(2026,12,2),"机构午餐","无统一供餐"),"差旅状态；无统一日程"))))))</f>
        <v/>
      </c>
      <c r="E2011" s="13">
        <f>IF(C2011=Options!$B$9,Options!$C$19,0)</f>
        <v/>
      </c>
      <c r="F2011" s="13">
        <f>IF(AND(A2011&lt;&gt;"",C2011&lt;Options!$B$10),B2011*Options!$X$7,0)</f>
        <v/>
      </c>
      <c r="G2011" s="13">
        <f>F2011*12%</f>
        <v/>
      </c>
      <c r="H2011" s="13">
        <f>IF(A2011="",0,B2011*(86*IF(OR(C2011=Options!$B$9,C2011=Options!$B$10),75%,100%)-IF(C2011=DATE(2026,11,29),23+IF(Options!$B$8="是",22,0),0)-IF(C2011=DATE(2026,11,30),23,0)-IF(C2011=DATE(2026,12,1),59,0)-IF(C2011=DATE(2026,11,28),36,0)-IF(C2011=DATE(2026,12,2),23,0)))</f>
        <v/>
      </c>
      <c r="I2011" s="13">
        <f>IF(AND(C2011&gt;=DATE(2026,11,29),C2011&lt;=DATE(2026,12,1)),B2011*60,0)</f>
        <v/>
      </c>
      <c r="J2011" s="13">
        <f>IF(A2011="",0,B2011*(IF(C2011=DATE(2026,11,28),36,0)+IF(C2011=DATE(2026,12,1),36,0)+IF(C2011=DATE(2026,12,2),23,0)))</f>
        <v/>
      </c>
      <c r="K2011" s="13">
        <f>IF(C2011=Options!$B$9,B2011*12,0)</f>
        <v/>
      </c>
      <c r="L2011" s="13">
        <f>IF(C2011=Options!$B$9,B2011*Options!$Z$7,0)</f>
        <v/>
      </c>
      <c r="M2011" s="13" t="n">
        <v>0</v>
      </c>
      <c r="N2011" s="13">
        <f>SUM(E2011:M2011)</f>
        <v/>
      </c>
    </row>
    <row r="2012">
      <c r="A2012" s="5">
        <f>IF(AND(C2012&gt;=Options!$B$9,C2012&lt;=Options!$B$10),"Phoenix","")</f>
        <v/>
      </c>
      <c r="B2012" s="5">
        <f>IF(A2012="","",24)</f>
        <v/>
      </c>
      <c r="C2012" s="17" t="n">
        <v>46478</v>
      </c>
      <c r="D2012" s="5">
        <f>IF(A2012="","",IF(C2012=DATE(2026,11,29),"培训；注册午餐；早餐参数",IF(C2012=DATE(2026,11,30),"培训；注册午餐",IF(C2012=DATE(2026,12,1),"培训；注册午餐；机构晚餐",IF(C2012=Options!$B$9,"抵达；"&amp;IF(C2012=DATE(2026,11,28),"机构晚餐","无统一供餐"),IF(C2012=Options!$B$10,"返程；"&amp;IF(C2012=DATE(2026,12,2),"机构午餐","无统一供餐"),"差旅状态；无统一日程"))))))</f>
        <v/>
      </c>
      <c r="E2012" s="13">
        <f>IF(C2012=Options!$B$9,Options!$C$19,0)</f>
        <v/>
      </c>
      <c r="F2012" s="13">
        <f>IF(AND(A2012&lt;&gt;"",C2012&lt;Options!$B$10),B2012*Options!$X$7,0)</f>
        <v/>
      </c>
      <c r="G2012" s="13">
        <f>F2012*12%</f>
        <v/>
      </c>
      <c r="H2012" s="13">
        <f>IF(A2012="",0,B2012*(86*IF(OR(C2012=Options!$B$9,C2012=Options!$B$10),75%,100%)-IF(C2012=DATE(2026,11,29),23+IF(Options!$B$8="是",22,0),0)-IF(C2012=DATE(2026,11,30),23,0)-IF(C2012=DATE(2026,12,1),59,0)-IF(C2012=DATE(2026,11,28),36,0)-IF(C2012=DATE(2026,12,2),23,0)))</f>
        <v/>
      </c>
      <c r="I2012" s="13">
        <f>IF(AND(C2012&gt;=DATE(2026,11,29),C2012&lt;=DATE(2026,12,1)),B2012*60,0)</f>
        <v/>
      </c>
      <c r="J2012" s="13">
        <f>IF(A2012="",0,B2012*(IF(C2012=DATE(2026,11,28),36,0)+IF(C2012=DATE(2026,12,1),36,0)+IF(C2012=DATE(2026,12,2),23,0)))</f>
        <v/>
      </c>
      <c r="K2012" s="13">
        <f>IF(C2012=Options!$B$9,B2012*12,0)</f>
        <v/>
      </c>
      <c r="L2012" s="13">
        <f>IF(C2012=Options!$B$9,B2012*Options!$Z$7,0)</f>
        <v/>
      </c>
      <c r="M2012" s="13" t="n">
        <v>0</v>
      </c>
      <c r="N2012" s="13">
        <f>SUM(E2012:M2012)</f>
        <v/>
      </c>
    </row>
    <row r="2013">
      <c r="A2013" s="5">
        <f>IF(AND(C2013&gt;=Options!$B$9,C2013&lt;=Options!$B$10),"Phoenix","")</f>
        <v/>
      </c>
      <c r="B2013" s="5">
        <f>IF(A2013="","",24)</f>
        <v/>
      </c>
      <c r="C2013" s="17" t="n">
        <v>46479</v>
      </c>
      <c r="D2013" s="5">
        <f>IF(A2013="","",IF(C2013=DATE(2026,11,29),"培训；注册午餐；早餐参数",IF(C2013=DATE(2026,11,30),"培训；注册午餐",IF(C2013=DATE(2026,12,1),"培训；注册午餐；机构晚餐",IF(C2013=Options!$B$9,"抵达；"&amp;IF(C2013=DATE(2026,11,28),"机构晚餐","无统一供餐"),IF(C2013=Options!$B$10,"返程；"&amp;IF(C2013=DATE(2026,12,2),"机构午餐","无统一供餐"),"差旅状态；无统一日程"))))))</f>
        <v/>
      </c>
      <c r="E2013" s="13">
        <f>IF(C2013=Options!$B$9,Options!$C$19,0)</f>
        <v/>
      </c>
      <c r="F2013" s="13">
        <f>IF(AND(A2013&lt;&gt;"",C2013&lt;Options!$B$10),B2013*Options!$X$7,0)</f>
        <v/>
      </c>
      <c r="G2013" s="13">
        <f>F2013*12%</f>
        <v/>
      </c>
      <c r="H2013" s="13">
        <f>IF(A2013="",0,B2013*(86*IF(OR(C2013=Options!$B$9,C2013=Options!$B$10),75%,100%)-IF(C2013=DATE(2026,11,29),23+IF(Options!$B$8="是",22,0),0)-IF(C2013=DATE(2026,11,30),23,0)-IF(C2013=DATE(2026,12,1),59,0)-IF(C2013=DATE(2026,11,28),36,0)-IF(C2013=DATE(2026,12,2),23,0)))</f>
        <v/>
      </c>
      <c r="I2013" s="13">
        <f>IF(AND(C2013&gt;=DATE(2026,11,29),C2013&lt;=DATE(2026,12,1)),B2013*60,0)</f>
        <v/>
      </c>
      <c r="J2013" s="13">
        <f>IF(A2013="",0,B2013*(IF(C2013=DATE(2026,11,28),36,0)+IF(C2013=DATE(2026,12,1),36,0)+IF(C2013=DATE(2026,12,2),23,0)))</f>
        <v/>
      </c>
      <c r="K2013" s="13">
        <f>IF(C2013=Options!$B$9,B2013*12,0)</f>
        <v/>
      </c>
      <c r="L2013" s="13">
        <f>IF(C2013=Options!$B$9,B2013*Options!$Z$7,0)</f>
        <v/>
      </c>
      <c r="M2013" s="13" t="n">
        <v>0</v>
      </c>
      <c r="N2013" s="13">
        <f>SUM(E2013:M2013)</f>
        <v/>
      </c>
    </row>
    <row r="2014">
      <c r="A2014" s="5">
        <f>IF(AND(C2014&gt;=Options!$B$9,C2014&lt;=Options!$B$10),"Phoenix","")</f>
        <v/>
      </c>
      <c r="B2014" s="5">
        <f>IF(A2014="","",24)</f>
        <v/>
      </c>
      <c r="C2014" s="17" t="n">
        <v>46480</v>
      </c>
      <c r="D2014" s="5">
        <f>IF(A2014="","",IF(C2014=DATE(2026,11,29),"培训；注册午餐；早餐参数",IF(C2014=DATE(2026,11,30),"培训；注册午餐",IF(C2014=DATE(2026,12,1),"培训；注册午餐；机构晚餐",IF(C2014=Options!$B$9,"抵达；"&amp;IF(C2014=DATE(2026,11,28),"机构晚餐","无统一供餐"),IF(C2014=Options!$B$10,"返程；"&amp;IF(C2014=DATE(2026,12,2),"机构午餐","无统一供餐"),"差旅状态；无统一日程"))))))</f>
        <v/>
      </c>
      <c r="E2014" s="13">
        <f>IF(C2014=Options!$B$9,Options!$C$19,0)</f>
        <v/>
      </c>
      <c r="F2014" s="13">
        <f>IF(AND(A2014&lt;&gt;"",C2014&lt;Options!$B$10),B2014*Options!$X$7,0)</f>
        <v/>
      </c>
      <c r="G2014" s="13">
        <f>F2014*12%</f>
        <v/>
      </c>
      <c r="H2014" s="13">
        <f>IF(A2014="",0,B2014*(86*IF(OR(C2014=Options!$B$9,C2014=Options!$B$10),75%,100%)-IF(C2014=DATE(2026,11,29),23+IF(Options!$B$8="是",22,0),0)-IF(C2014=DATE(2026,11,30),23,0)-IF(C2014=DATE(2026,12,1),59,0)-IF(C2014=DATE(2026,11,28),36,0)-IF(C2014=DATE(2026,12,2),23,0)))</f>
        <v/>
      </c>
      <c r="I2014" s="13">
        <f>IF(AND(C2014&gt;=DATE(2026,11,29),C2014&lt;=DATE(2026,12,1)),B2014*60,0)</f>
        <v/>
      </c>
      <c r="J2014" s="13">
        <f>IF(A2014="",0,B2014*(IF(C2014=DATE(2026,11,28),36,0)+IF(C2014=DATE(2026,12,1),36,0)+IF(C2014=DATE(2026,12,2),23,0)))</f>
        <v/>
      </c>
      <c r="K2014" s="13">
        <f>IF(C2014=Options!$B$9,B2014*12,0)</f>
        <v/>
      </c>
      <c r="L2014" s="13">
        <f>IF(C2014=Options!$B$9,B2014*Options!$Z$7,0)</f>
        <v/>
      </c>
      <c r="M2014" s="13" t="n">
        <v>0</v>
      </c>
      <c r="N2014" s="13">
        <f>SUM(E2014:M2014)</f>
        <v/>
      </c>
    </row>
    <row r="2015">
      <c r="A2015" s="5">
        <f>IF(AND(C2015&gt;=Options!$B$9,C2015&lt;=Options!$B$10),"Phoenix","")</f>
        <v/>
      </c>
      <c r="B2015" s="5">
        <f>IF(A2015="","",24)</f>
        <v/>
      </c>
      <c r="C2015" s="17" t="n">
        <v>46481</v>
      </c>
      <c r="D2015" s="5">
        <f>IF(A2015="","",IF(C2015=DATE(2026,11,29),"培训；注册午餐；早餐参数",IF(C2015=DATE(2026,11,30),"培训；注册午餐",IF(C2015=DATE(2026,12,1),"培训；注册午餐；机构晚餐",IF(C2015=Options!$B$9,"抵达；"&amp;IF(C2015=DATE(2026,11,28),"机构晚餐","无统一供餐"),IF(C2015=Options!$B$10,"返程；"&amp;IF(C2015=DATE(2026,12,2),"机构午餐","无统一供餐"),"差旅状态；无统一日程"))))))</f>
        <v/>
      </c>
      <c r="E2015" s="13">
        <f>IF(C2015=Options!$B$9,Options!$C$19,0)</f>
        <v/>
      </c>
      <c r="F2015" s="13">
        <f>IF(AND(A2015&lt;&gt;"",C2015&lt;Options!$B$10),B2015*Options!$X$7,0)</f>
        <v/>
      </c>
      <c r="G2015" s="13">
        <f>F2015*12%</f>
        <v/>
      </c>
      <c r="H2015" s="13">
        <f>IF(A2015="",0,B2015*(86*IF(OR(C2015=Options!$B$9,C2015=Options!$B$10),75%,100%)-IF(C2015=DATE(2026,11,29),23+IF(Options!$B$8="是",22,0),0)-IF(C2015=DATE(2026,11,30),23,0)-IF(C2015=DATE(2026,12,1),59,0)-IF(C2015=DATE(2026,11,28),36,0)-IF(C2015=DATE(2026,12,2),23,0)))</f>
        <v/>
      </c>
      <c r="I2015" s="13">
        <f>IF(AND(C2015&gt;=DATE(2026,11,29),C2015&lt;=DATE(2026,12,1)),B2015*60,0)</f>
        <v/>
      </c>
      <c r="J2015" s="13">
        <f>IF(A2015="",0,B2015*(IF(C2015=DATE(2026,11,28),36,0)+IF(C2015=DATE(2026,12,1),36,0)+IF(C2015=DATE(2026,12,2),23,0)))</f>
        <v/>
      </c>
      <c r="K2015" s="13">
        <f>IF(C2015=Options!$B$9,B2015*12,0)</f>
        <v/>
      </c>
      <c r="L2015" s="13">
        <f>IF(C2015=Options!$B$9,B2015*Options!$Z$7,0)</f>
        <v/>
      </c>
      <c r="M2015" s="13" t="n">
        <v>0</v>
      </c>
      <c r="N2015" s="13">
        <f>SUM(E2015:M2015)</f>
        <v/>
      </c>
    </row>
    <row r="2016">
      <c r="A2016" s="5">
        <f>IF(AND(C2016&gt;=Options!$B$9,C2016&lt;=Options!$B$10),"Phoenix","")</f>
        <v/>
      </c>
      <c r="B2016" s="5">
        <f>IF(A2016="","",24)</f>
        <v/>
      </c>
      <c r="C2016" s="17" t="n">
        <v>46482</v>
      </c>
      <c r="D2016" s="5">
        <f>IF(A2016="","",IF(C2016=DATE(2026,11,29),"培训；注册午餐；早餐参数",IF(C2016=DATE(2026,11,30),"培训；注册午餐",IF(C2016=DATE(2026,12,1),"培训；注册午餐；机构晚餐",IF(C2016=Options!$B$9,"抵达；"&amp;IF(C2016=DATE(2026,11,28),"机构晚餐","无统一供餐"),IF(C2016=Options!$B$10,"返程；"&amp;IF(C2016=DATE(2026,12,2),"机构午餐","无统一供餐"),"差旅状态；无统一日程"))))))</f>
        <v/>
      </c>
      <c r="E2016" s="13">
        <f>IF(C2016=Options!$B$9,Options!$C$19,0)</f>
        <v/>
      </c>
      <c r="F2016" s="13">
        <f>IF(AND(A2016&lt;&gt;"",C2016&lt;Options!$B$10),B2016*Options!$X$7,0)</f>
        <v/>
      </c>
      <c r="G2016" s="13">
        <f>F2016*12%</f>
        <v/>
      </c>
      <c r="H2016" s="13">
        <f>IF(A2016="",0,B2016*(86*IF(OR(C2016=Options!$B$9,C2016=Options!$B$10),75%,100%)-IF(C2016=DATE(2026,11,29),23+IF(Options!$B$8="是",22,0),0)-IF(C2016=DATE(2026,11,30),23,0)-IF(C2016=DATE(2026,12,1),59,0)-IF(C2016=DATE(2026,11,28),36,0)-IF(C2016=DATE(2026,12,2),23,0)))</f>
        <v/>
      </c>
      <c r="I2016" s="13">
        <f>IF(AND(C2016&gt;=DATE(2026,11,29),C2016&lt;=DATE(2026,12,1)),B2016*60,0)</f>
        <v/>
      </c>
      <c r="J2016" s="13">
        <f>IF(A2016="",0,B2016*(IF(C2016=DATE(2026,11,28),36,0)+IF(C2016=DATE(2026,12,1),36,0)+IF(C2016=DATE(2026,12,2),23,0)))</f>
        <v/>
      </c>
      <c r="K2016" s="13">
        <f>IF(C2016=Options!$B$9,B2016*12,0)</f>
        <v/>
      </c>
      <c r="L2016" s="13">
        <f>IF(C2016=Options!$B$9,B2016*Options!$Z$7,0)</f>
        <v/>
      </c>
      <c r="M2016" s="13" t="n">
        <v>0</v>
      </c>
      <c r="N2016" s="13">
        <f>SUM(E2016:M2016)</f>
        <v/>
      </c>
    </row>
    <row r="2017">
      <c r="A2017" s="5">
        <f>IF(AND(C2017&gt;=Options!$B$9,C2017&lt;=Options!$B$10),"Phoenix","")</f>
        <v/>
      </c>
      <c r="B2017" s="5">
        <f>IF(A2017="","",24)</f>
        <v/>
      </c>
      <c r="C2017" s="17" t="n">
        <v>46483</v>
      </c>
      <c r="D2017" s="5">
        <f>IF(A2017="","",IF(C2017=DATE(2026,11,29),"培训；注册午餐；早餐参数",IF(C2017=DATE(2026,11,30),"培训；注册午餐",IF(C2017=DATE(2026,12,1),"培训；注册午餐；机构晚餐",IF(C2017=Options!$B$9,"抵达；"&amp;IF(C2017=DATE(2026,11,28),"机构晚餐","无统一供餐"),IF(C2017=Options!$B$10,"返程；"&amp;IF(C2017=DATE(2026,12,2),"机构午餐","无统一供餐"),"差旅状态；无统一日程"))))))</f>
        <v/>
      </c>
      <c r="E2017" s="13">
        <f>IF(C2017=Options!$B$9,Options!$C$19,0)</f>
        <v/>
      </c>
      <c r="F2017" s="13">
        <f>IF(AND(A2017&lt;&gt;"",C2017&lt;Options!$B$10),B2017*Options!$X$7,0)</f>
        <v/>
      </c>
      <c r="G2017" s="13">
        <f>F2017*12%</f>
        <v/>
      </c>
      <c r="H2017" s="13">
        <f>IF(A2017="",0,B2017*(86*IF(OR(C2017=Options!$B$9,C2017=Options!$B$10),75%,100%)-IF(C2017=DATE(2026,11,29),23+IF(Options!$B$8="是",22,0),0)-IF(C2017=DATE(2026,11,30),23,0)-IF(C2017=DATE(2026,12,1),59,0)-IF(C2017=DATE(2026,11,28),36,0)-IF(C2017=DATE(2026,12,2),23,0)))</f>
        <v/>
      </c>
      <c r="I2017" s="13">
        <f>IF(AND(C2017&gt;=DATE(2026,11,29),C2017&lt;=DATE(2026,12,1)),B2017*60,0)</f>
        <v/>
      </c>
      <c r="J2017" s="13">
        <f>IF(A2017="",0,B2017*(IF(C2017=DATE(2026,11,28),36,0)+IF(C2017=DATE(2026,12,1),36,0)+IF(C2017=DATE(2026,12,2),23,0)))</f>
        <v/>
      </c>
      <c r="K2017" s="13">
        <f>IF(C2017=Options!$B$9,B2017*12,0)</f>
        <v/>
      </c>
      <c r="L2017" s="13">
        <f>IF(C2017=Options!$B$9,B2017*Options!$Z$7,0)</f>
        <v/>
      </c>
      <c r="M2017" s="13" t="n">
        <v>0</v>
      </c>
      <c r="N2017" s="13">
        <f>SUM(E2017:M2017)</f>
        <v/>
      </c>
    </row>
    <row r="2018">
      <c r="A2018" s="5">
        <f>IF(AND(C2018&gt;=Options!$B$9,C2018&lt;=Options!$B$10),"Phoenix","")</f>
        <v/>
      </c>
      <c r="B2018" s="5">
        <f>IF(A2018="","",24)</f>
        <v/>
      </c>
      <c r="C2018" s="17" t="n">
        <v>46484</v>
      </c>
      <c r="D2018" s="5">
        <f>IF(A2018="","",IF(C2018=DATE(2026,11,29),"培训；注册午餐；早餐参数",IF(C2018=DATE(2026,11,30),"培训；注册午餐",IF(C2018=DATE(2026,12,1),"培训；注册午餐；机构晚餐",IF(C2018=Options!$B$9,"抵达；"&amp;IF(C2018=DATE(2026,11,28),"机构晚餐","无统一供餐"),IF(C2018=Options!$B$10,"返程；"&amp;IF(C2018=DATE(2026,12,2),"机构午餐","无统一供餐"),"差旅状态；无统一日程"))))))</f>
        <v/>
      </c>
      <c r="E2018" s="13">
        <f>IF(C2018=Options!$B$9,Options!$C$19,0)</f>
        <v/>
      </c>
      <c r="F2018" s="13">
        <f>IF(AND(A2018&lt;&gt;"",C2018&lt;Options!$B$10),B2018*Options!$X$7,0)</f>
        <v/>
      </c>
      <c r="G2018" s="13">
        <f>F2018*12%</f>
        <v/>
      </c>
      <c r="H2018" s="13">
        <f>IF(A2018="",0,B2018*(86*IF(OR(C2018=Options!$B$9,C2018=Options!$B$10),75%,100%)-IF(C2018=DATE(2026,11,29),23+IF(Options!$B$8="是",22,0),0)-IF(C2018=DATE(2026,11,30),23,0)-IF(C2018=DATE(2026,12,1),59,0)-IF(C2018=DATE(2026,11,28),36,0)-IF(C2018=DATE(2026,12,2),23,0)))</f>
        <v/>
      </c>
      <c r="I2018" s="13">
        <f>IF(AND(C2018&gt;=DATE(2026,11,29),C2018&lt;=DATE(2026,12,1)),B2018*60,0)</f>
        <v/>
      </c>
      <c r="J2018" s="13">
        <f>IF(A2018="",0,B2018*(IF(C2018=DATE(2026,11,28),36,0)+IF(C2018=DATE(2026,12,1),36,0)+IF(C2018=DATE(2026,12,2),23,0)))</f>
        <v/>
      </c>
      <c r="K2018" s="13">
        <f>IF(C2018=Options!$B$9,B2018*12,0)</f>
        <v/>
      </c>
      <c r="L2018" s="13">
        <f>IF(C2018=Options!$B$9,B2018*Options!$Z$7,0)</f>
        <v/>
      </c>
      <c r="M2018" s="13" t="n">
        <v>0</v>
      </c>
      <c r="N2018" s="13">
        <f>SUM(E2018:M2018)</f>
        <v/>
      </c>
    </row>
    <row r="2019">
      <c r="A2019" s="5">
        <f>IF(AND(C2019&gt;=Options!$B$9,C2019&lt;=Options!$B$10),"Phoenix","")</f>
        <v/>
      </c>
      <c r="B2019" s="5">
        <f>IF(A2019="","",24)</f>
        <v/>
      </c>
      <c r="C2019" s="17" t="n">
        <v>46485</v>
      </c>
      <c r="D2019" s="5">
        <f>IF(A2019="","",IF(C2019=DATE(2026,11,29),"培训；注册午餐；早餐参数",IF(C2019=DATE(2026,11,30),"培训；注册午餐",IF(C2019=DATE(2026,12,1),"培训；注册午餐；机构晚餐",IF(C2019=Options!$B$9,"抵达；"&amp;IF(C2019=DATE(2026,11,28),"机构晚餐","无统一供餐"),IF(C2019=Options!$B$10,"返程；"&amp;IF(C2019=DATE(2026,12,2),"机构午餐","无统一供餐"),"差旅状态；无统一日程"))))))</f>
        <v/>
      </c>
      <c r="E2019" s="13">
        <f>IF(C2019=Options!$B$9,Options!$C$19,0)</f>
        <v/>
      </c>
      <c r="F2019" s="13">
        <f>IF(AND(A2019&lt;&gt;"",C2019&lt;Options!$B$10),B2019*Options!$X$7,0)</f>
        <v/>
      </c>
      <c r="G2019" s="13">
        <f>F2019*12%</f>
        <v/>
      </c>
      <c r="H2019" s="13">
        <f>IF(A2019="",0,B2019*(86*IF(OR(C2019=Options!$B$9,C2019=Options!$B$10),75%,100%)-IF(C2019=DATE(2026,11,29),23+IF(Options!$B$8="是",22,0),0)-IF(C2019=DATE(2026,11,30),23,0)-IF(C2019=DATE(2026,12,1),59,0)-IF(C2019=DATE(2026,11,28),36,0)-IF(C2019=DATE(2026,12,2),23,0)))</f>
        <v/>
      </c>
      <c r="I2019" s="13">
        <f>IF(AND(C2019&gt;=DATE(2026,11,29),C2019&lt;=DATE(2026,12,1)),B2019*60,0)</f>
        <v/>
      </c>
      <c r="J2019" s="13">
        <f>IF(A2019="",0,B2019*(IF(C2019=DATE(2026,11,28),36,0)+IF(C2019=DATE(2026,12,1),36,0)+IF(C2019=DATE(2026,12,2),23,0)))</f>
        <v/>
      </c>
      <c r="K2019" s="13">
        <f>IF(C2019=Options!$B$9,B2019*12,0)</f>
        <v/>
      </c>
      <c r="L2019" s="13">
        <f>IF(C2019=Options!$B$9,B2019*Options!$Z$7,0)</f>
        <v/>
      </c>
      <c r="M2019" s="13" t="n">
        <v>0</v>
      </c>
      <c r="N2019" s="13">
        <f>SUM(E2019:M2019)</f>
        <v/>
      </c>
    </row>
    <row r="2020">
      <c r="A2020" s="5">
        <f>IF(AND(C2020&gt;=Options!$B$9,C2020&lt;=Options!$B$10),"Phoenix","")</f>
        <v/>
      </c>
      <c r="B2020" s="5">
        <f>IF(A2020="","",24)</f>
        <v/>
      </c>
      <c r="C2020" s="17" t="n">
        <v>46486</v>
      </c>
      <c r="D2020" s="5">
        <f>IF(A2020="","",IF(C2020=DATE(2026,11,29),"培训；注册午餐；早餐参数",IF(C2020=DATE(2026,11,30),"培训；注册午餐",IF(C2020=DATE(2026,12,1),"培训；注册午餐；机构晚餐",IF(C2020=Options!$B$9,"抵达；"&amp;IF(C2020=DATE(2026,11,28),"机构晚餐","无统一供餐"),IF(C2020=Options!$B$10,"返程；"&amp;IF(C2020=DATE(2026,12,2),"机构午餐","无统一供餐"),"差旅状态；无统一日程"))))))</f>
        <v/>
      </c>
      <c r="E2020" s="13">
        <f>IF(C2020=Options!$B$9,Options!$C$19,0)</f>
        <v/>
      </c>
      <c r="F2020" s="13">
        <f>IF(AND(A2020&lt;&gt;"",C2020&lt;Options!$B$10),B2020*Options!$X$7,0)</f>
        <v/>
      </c>
      <c r="G2020" s="13">
        <f>F2020*12%</f>
        <v/>
      </c>
      <c r="H2020" s="13">
        <f>IF(A2020="",0,B2020*(86*IF(OR(C2020=Options!$B$9,C2020=Options!$B$10),75%,100%)-IF(C2020=DATE(2026,11,29),23+IF(Options!$B$8="是",22,0),0)-IF(C2020=DATE(2026,11,30),23,0)-IF(C2020=DATE(2026,12,1),59,0)-IF(C2020=DATE(2026,11,28),36,0)-IF(C2020=DATE(2026,12,2),23,0)))</f>
        <v/>
      </c>
      <c r="I2020" s="13">
        <f>IF(AND(C2020&gt;=DATE(2026,11,29),C2020&lt;=DATE(2026,12,1)),B2020*60,0)</f>
        <v/>
      </c>
      <c r="J2020" s="13">
        <f>IF(A2020="",0,B2020*(IF(C2020=DATE(2026,11,28),36,0)+IF(C2020=DATE(2026,12,1),36,0)+IF(C2020=DATE(2026,12,2),23,0)))</f>
        <v/>
      </c>
      <c r="K2020" s="13">
        <f>IF(C2020=Options!$B$9,B2020*12,0)</f>
        <v/>
      </c>
      <c r="L2020" s="13">
        <f>IF(C2020=Options!$B$9,B2020*Options!$Z$7,0)</f>
        <v/>
      </c>
      <c r="M2020" s="13" t="n">
        <v>0</v>
      </c>
      <c r="N2020" s="13">
        <f>SUM(E2020:M2020)</f>
        <v/>
      </c>
    </row>
    <row r="2021">
      <c r="A2021" s="5">
        <f>IF(AND(C2021&gt;=Options!$B$9,C2021&lt;=Options!$B$10),"Phoenix","")</f>
        <v/>
      </c>
      <c r="B2021" s="5">
        <f>IF(A2021="","",24)</f>
        <v/>
      </c>
      <c r="C2021" s="17" t="n">
        <v>46487</v>
      </c>
      <c r="D2021" s="5">
        <f>IF(A2021="","",IF(C2021=DATE(2026,11,29),"培训；注册午餐；早餐参数",IF(C2021=DATE(2026,11,30),"培训；注册午餐",IF(C2021=DATE(2026,12,1),"培训；注册午餐；机构晚餐",IF(C2021=Options!$B$9,"抵达；"&amp;IF(C2021=DATE(2026,11,28),"机构晚餐","无统一供餐"),IF(C2021=Options!$B$10,"返程；"&amp;IF(C2021=DATE(2026,12,2),"机构午餐","无统一供餐"),"差旅状态；无统一日程"))))))</f>
        <v/>
      </c>
      <c r="E2021" s="13">
        <f>IF(C2021=Options!$B$9,Options!$C$19,0)</f>
        <v/>
      </c>
      <c r="F2021" s="13">
        <f>IF(AND(A2021&lt;&gt;"",C2021&lt;Options!$B$10),B2021*Options!$X$7,0)</f>
        <v/>
      </c>
      <c r="G2021" s="13">
        <f>F2021*12%</f>
        <v/>
      </c>
      <c r="H2021" s="13">
        <f>IF(A2021="",0,B2021*(86*IF(OR(C2021=Options!$B$9,C2021=Options!$B$10),75%,100%)-IF(C2021=DATE(2026,11,29),23+IF(Options!$B$8="是",22,0),0)-IF(C2021=DATE(2026,11,30),23,0)-IF(C2021=DATE(2026,12,1),59,0)-IF(C2021=DATE(2026,11,28),36,0)-IF(C2021=DATE(2026,12,2),23,0)))</f>
        <v/>
      </c>
      <c r="I2021" s="13">
        <f>IF(AND(C2021&gt;=DATE(2026,11,29),C2021&lt;=DATE(2026,12,1)),B2021*60,0)</f>
        <v/>
      </c>
      <c r="J2021" s="13">
        <f>IF(A2021="",0,B2021*(IF(C2021=DATE(2026,11,28),36,0)+IF(C2021=DATE(2026,12,1),36,0)+IF(C2021=DATE(2026,12,2),23,0)))</f>
        <v/>
      </c>
      <c r="K2021" s="13">
        <f>IF(C2021=Options!$B$9,B2021*12,0)</f>
        <v/>
      </c>
      <c r="L2021" s="13">
        <f>IF(C2021=Options!$B$9,B2021*Options!$Z$7,0)</f>
        <v/>
      </c>
      <c r="M2021" s="13" t="n">
        <v>0</v>
      </c>
      <c r="N2021" s="13">
        <f>SUM(E2021:M2021)</f>
        <v/>
      </c>
    </row>
    <row r="2022">
      <c r="A2022" s="5">
        <f>IF(AND(C2022&gt;=Options!$B$9,C2022&lt;=Options!$B$10),"Phoenix","")</f>
        <v/>
      </c>
      <c r="B2022" s="5">
        <f>IF(A2022="","",24)</f>
        <v/>
      </c>
      <c r="C2022" s="17" t="n">
        <v>46488</v>
      </c>
      <c r="D2022" s="5">
        <f>IF(A2022="","",IF(C2022=DATE(2026,11,29),"培训；注册午餐；早餐参数",IF(C2022=DATE(2026,11,30),"培训；注册午餐",IF(C2022=DATE(2026,12,1),"培训；注册午餐；机构晚餐",IF(C2022=Options!$B$9,"抵达；"&amp;IF(C2022=DATE(2026,11,28),"机构晚餐","无统一供餐"),IF(C2022=Options!$B$10,"返程；"&amp;IF(C2022=DATE(2026,12,2),"机构午餐","无统一供餐"),"差旅状态；无统一日程"))))))</f>
        <v/>
      </c>
      <c r="E2022" s="13">
        <f>IF(C2022=Options!$B$9,Options!$C$19,0)</f>
        <v/>
      </c>
      <c r="F2022" s="13">
        <f>IF(AND(A2022&lt;&gt;"",C2022&lt;Options!$B$10),B2022*Options!$X$7,0)</f>
        <v/>
      </c>
      <c r="G2022" s="13">
        <f>F2022*12%</f>
        <v/>
      </c>
      <c r="H2022" s="13">
        <f>IF(A2022="",0,B2022*(86*IF(OR(C2022=Options!$B$9,C2022=Options!$B$10),75%,100%)-IF(C2022=DATE(2026,11,29),23+IF(Options!$B$8="是",22,0),0)-IF(C2022=DATE(2026,11,30),23,0)-IF(C2022=DATE(2026,12,1),59,0)-IF(C2022=DATE(2026,11,28),36,0)-IF(C2022=DATE(2026,12,2),23,0)))</f>
        <v/>
      </c>
      <c r="I2022" s="13">
        <f>IF(AND(C2022&gt;=DATE(2026,11,29),C2022&lt;=DATE(2026,12,1)),B2022*60,0)</f>
        <v/>
      </c>
      <c r="J2022" s="13">
        <f>IF(A2022="",0,B2022*(IF(C2022=DATE(2026,11,28),36,0)+IF(C2022=DATE(2026,12,1),36,0)+IF(C2022=DATE(2026,12,2),23,0)))</f>
        <v/>
      </c>
      <c r="K2022" s="13">
        <f>IF(C2022=Options!$B$9,B2022*12,0)</f>
        <v/>
      </c>
      <c r="L2022" s="13">
        <f>IF(C2022=Options!$B$9,B2022*Options!$Z$7,0)</f>
        <v/>
      </c>
      <c r="M2022" s="13" t="n">
        <v>0</v>
      </c>
      <c r="N2022" s="13">
        <f>SUM(E2022:M2022)</f>
        <v/>
      </c>
    </row>
    <row r="2023">
      <c r="A2023" s="5">
        <f>IF(AND(C2023&gt;=Options!$B$9,C2023&lt;=Options!$B$10),"Phoenix","")</f>
        <v/>
      </c>
      <c r="B2023" s="5">
        <f>IF(A2023="","",24)</f>
        <v/>
      </c>
      <c r="C2023" s="17" t="n">
        <v>46489</v>
      </c>
      <c r="D2023" s="5">
        <f>IF(A2023="","",IF(C2023=DATE(2026,11,29),"培训；注册午餐；早餐参数",IF(C2023=DATE(2026,11,30),"培训；注册午餐",IF(C2023=DATE(2026,12,1),"培训；注册午餐；机构晚餐",IF(C2023=Options!$B$9,"抵达；"&amp;IF(C2023=DATE(2026,11,28),"机构晚餐","无统一供餐"),IF(C2023=Options!$B$10,"返程；"&amp;IF(C2023=DATE(2026,12,2),"机构午餐","无统一供餐"),"差旅状态；无统一日程"))))))</f>
        <v/>
      </c>
      <c r="E2023" s="13">
        <f>IF(C2023=Options!$B$9,Options!$C$19,0)</f>
        <v/>
      </c>
      <c r="F2023" s="13">
        <f>IF(AND(A2023&lt;&gt;"",C2023&lt;Options!$B$10),B2023*Options!$X$7,0)</f>
        <v/>
      </c>
      <c r="G2023" s="13">
        <f>F2023*12%</f>
        <v/>
      </c>
      <c r="H2023" s="13">
        <f>IF(A2023="",0,B2023*(86*IF(OR(C2023=Options!$B$9,C2023=Options!$B$10),75%,100%)-IF(C2023=DATE(2026,11,29),23+IF(Options!$B$8="是",22,0),0)-IF(C2023=DATE(2026,11,30),23,0)-IF(C2023=DATE(2026,12,1),59,0)-IF(C2023=DATE(2026,11,28),36,0)-IF(C2023=DATE(2026,12,2),23,0)))</f>
        <v/>
      </c>
      <c r="I2023" s="13">
        <f>IF(AND(C2023&gt;=DATE(2026,11,29),C2023&lt;=DATE(2026,12,1)),B2023*60,0)</f>
        <v/>
      </c>
      <c r="J2023" s="13">
        <f>IF(A2023="",0,B2023*(IF(C2023=DATE(2026,11,28),36,0)+IF(C2023=DATE(2026,12,1),36,0)+IF(C2023=DATE(2026,12,2),23,0)))</f>
        <v/>
      </c>
      <c r="K2023" s="13">
        <f>IF(C2023=Options!$B$9,B2023*12,0)</f>
        <v/>
      </c>
      <c r="L2023" s="13">
        <f>IF(C2023=Options!$B$9,B2023*Options!$Z$7,0)</f>
        <v/>
      </c>
      <c r="M2023" s="13" t="n">
        <v>0</v>
      </c>
      <c r="N2023" s="13">
        <f>SUM(E2023:M2023)</f>
        <v/>
      </c>
    </row>
    <row r="2024">
      <c r="A2024" s="5">
        <f>IF(AND(C2024&gt;=Options!$B$9,C2024&lt;=Options!$B$10),"Phoenix","")</f>
        <v/>
      </c>
      <c r="B2024" s="5">
        <f>IF(A2024="","",24)</f>
        <v/>
      </c>
      <c r="C2024" s="17" t="n">
        <v>46490</v>
      </c>
      <c r="D2024" s="5">
        <f>IF(A2024="","",IF(C2024=DATE(2026,11,29),"培训；注册午餐；早餐参数",IF(C2024=DATE(2026,11,30),"培训；注册午餐",IF(C2024=DATE(2026,12,1),"培训；注册午餐；机构晚餐",IF(C2024=Options!$B$9,"抵达；"&amp;IF(C2024=DATE(2026,11,28),"机构晚餐","无统一供餐"),IF(C2024=Options!$B$10,"返程；"&amp;IF(C2024=DATE(2026,12,2),"机构午餐","无统一供餐"),"差旅状态；无统一日程"))))))</f>
        <v/>
      </c>
      <c r="E2024" s="13">
        <f>IF(C2024=Options!$B$9,Options!$C$19,0)</f>
        <v/>
      </c>
      <c r="F2024" s="13">
        <f>IF(AND(A2024&lt;&gt;"",C2024&lt;Options!$B$10),B2024*Options!$X$7,0)</f>
        <v/>
      </c>
      <c r="G2024" s="13">
        <f>F2024*12%</f>
        <v/>
      </c>
      <c r="H2024" s="13">
        <f>IF(A2024="",0,B2024*(86*IF(OR(C2024=Options!$B$9,C2024=Options!$B$10),75%,100%)-IF(C2024=DATE(2026,11,29),23+IF(Options!$B$8="是",22,0),0)-IF(C2024=DATE(2026,11,30),23,0)-IF(C2024=DATE(2026,12,1),59,0)-IF(C2024=DATE(2026,11,28),36,0)-IF(C2024=DATE(2026,12,2),23,0)))</f>
        <v/>
      </c>
      <c r="I2024" s="13">
        <f>IF(AND(C2024&gt;=DATE(2026,11,29),C2024&lt;=DATE(2026,12,1)),B2024*60,0)</f>
        <v/>
      </c>
      <c r="J2024" s="13">
        <f>IF(A2024="",0,B2024*(IF(C2024=DATE(2026,11,28),36,0)+IF(C2024=DATE(2026,12,1),36,0)+IF(C2024=DATE(2026,12,2),23,0)))</f>
        <v/>
      </c>
      <c r="K2024" s="13">
        <f>IF(C2024=Options!$B$9,B2024*12,0)</f>
        <v/>
      </c>
      <c r="L2024" s="13">
        <f>IF(C2024=Options!$B$9,B2024*Options!$Z$7,0)</f>
        <v/>
      </c>
      <c r="M2024" s="13" t="n">
        <v>0</v>
      </c>
      <c r="N2024" s="13">
        <f>SUM(E2024:M2024)</f>
        <v/>
      </c>
    </row>
    <row r="2025">
      <c r="A2025" s="5">
        <f>IF(AND(C2025&gt;=Options!$B$9,C2025&lt;=Options!$B$10),"Phoenix","")</f>
        <v/>
      </c>
      <c r="B2025" s="5">
        <f>IF(A2025="","",24)</f>
        <v/>
      </c>
      <c r="C2025" s="17" t="n">
        <v>46491</v>
      </c>
      <c r="D2025" s="5">
        <f>IF(A2025="","",IF(C2025=DATE(2026,11,29),"培训；注册午餐；早餐参数",IF(C2025=DATE(2026,11,30),"培训；注册午餐",IF(C2025=DATE(2026,12,1),"培训；注册午餐；机构晚餐",IF(C2025=Options!$B$9,"抵达；"&amp;IF(C2025=DATE(2026,11,28),"机构晚餐","无统一供餐"),IF(C2025=Options!$B$10,"返程；"&amp;IF(C2025=DATE(2026,12,2),"机构午餐","无统一供餐"),"差旅状态；无统一日程"))))))</f>
        <v/>
      </c>
      <c r="E2025" s="13">
        <f>IF(C2025=Options!$B$9,Options!$C$19,0)</f>
        <v/>
      </c>
      <c r="F2025" s="13">
        <f>IF(AND(A2025&lt;&gt;"",C2025&lt;Options!$B$10),B2025*Options!$X$7,0)</f>
        <v/>
      </c>
      <c r="G2025" s="13">
        <f>F2025*12%</f>
        <v/>
      </c>
      <c r="H2025" s="13">
        <f>IF(A2025="",0,B2025*(86*IF(OR(C2025=Options!$B$9,C2025=Options!$B$10),75%,100%)-IF(C2025=DATE(2026,11,29),23+IF(Options!$B$8="是",22,0),0)-IF(C2025=DATE(2026,11,30),23,0)-IF(C2025=DATE(2026,12,1),59,0)-IF(C2025=DATE(2026,11,28),36,0)-IF(C2025=DATE(2026,12,2),23,0)))</f>
        <v/>
      </c>
      <c r="I2025" s="13">
        <f>IF(AND(C2025&gt;=DATE(2026,11,29),C2025&lt;=DATE(2026,12,1)),B2025*60,0)</f>
        <v/>
      </c>
      <c r="J2025" s="13">
        <f>IF(A2025="",0,B2025*(IF(C2025=DATE(2026,11,28),36,0)+IF(C2025=DATE(2026,12,1),36,0)+IF(C2025=DATE(2026,12,2),23,0)))</f>
        <v/>
      </c>
      <c r="K2025" s="13">
        <f>IF(C2025=Options!$B$9,B2025*12,0)</f>
        <v/>
      </c>
      <c r="L2025" s="13">
        <f>IF(C2025=Options!$B$9,B2025*Options!$Z$7,0)</f>
        <v/>
      </c>
      <c r="M2025" s="13" t="n">
        <v>0</v>
      </c>
      <c r="N2025" s="13">
        <f>SUM(E2025:M2025)</f>
        <v/>
      </c>
    </row>
    <row r="2026">
      <c r="A2026" s="5">
        <f>IF(AND(C2026&gt;=Options!$B$9,C2026&lt;=Options!$B$10),"Phoenix","")</f>
        <v/>
      </c>
      <c r="B2026" s="5">
        <f>IF(A2026="","",24)</f>
        <v/>
      </c>
      <c r="C2026" s="17" t="n">
        <v>46492</v>
      </c>
      <c r="D2026" s="5">
        <f>IF(A2026="","",IF(C2026=DATE(2026,11,29),"培训；注册午餐；早餐参数",IF(C2026=DATE(2026,11,30),"培训；注册午餐",IF(C2026=DATE(2026,12,1),"培训；注册午餐；机构晚餐",IF(C2026=Options!$B$9,"抵达；"&amp;IF(C2026=DATE(2026,11,28),"机构晚餐","无统一供餐"),IF(C2026=Options!$B$10,"返程；"&amp;IF(C2026=DATE(2026,12,2),"机构午餐","无统一供餐"),"差旅状态；无统一日程"))))))</f>
        <v/>
      </c>
      <c r="E2026" s="13">
        <f>IF(C2026=Options!$B$9,Options!$C$19,0)</f>
        <v/>
      </c>
      <c r="F2026" s="13">
        <f>IF(AND(A2026&lt;&gt;"",C2026&lt;Options!$B$10),B2026*Options!$X$7,0)</f>
        <v/>
      </c>
      <c r="G2026" s="13">
        <f>F2026*12%</f>
        <v/>
      </c>
      <c r="H2026" s="13">
        <f>IF(A2026="",0,B2026*(86*IF(OR(C2026=Options!$B$9,C2026=Options!$B$10),75%,100%)-IF(C2026=DATE(2026,11,29),23+IF(Options!$B$8="是",22,0),0)-IF(C2026=DATE(2026,11,30),23,0)-IF(C2026=DATE(2026,12,1),59,0)-IF(C2026=DATE(2026,11,28),36,0)-IF(C2026=DATE(2026,12,2),23,0)))</f>
        <v/>
      </c>
      <c r="I2026" s="13">
        <f>IF(AND(C2026&gt;=DATE(2026,11,29),C2026&lt;=DATE(2026,12,1)),B2026*60,0)</f>
        <v/>
      </c>
      <c r="J2026" s="13">
        <f>IF(A2026="",0,B2026*(IF(C2026=DATE(2026,11,28),36,0)+IF(C2026=DATE(2026,12,1),36,0)+IF(C2026=DATE(2026,12,2),23,0)))</f>
        <v/>
      </c>
      <c r="K2026" s="13">
        <f>IF(C2026=Options!$B$9,B2026*12,0)</f>
        <v/>
      </c>
      <c r="L2026" s="13">
        <f>IF(C2026=Options!$B$9,B2026*Options!$Z$7,0)</f>
        <v/>
      </c>
      <c r="M2026" s="13" t="n">
        <v>0</v>
      </c>
      <c r="N2026" s="13">
        <f>SUM(E2026:M2026)</f>
        <v/>
      </c>
    </row>
    <row r="2027">
      <c r="A2027" s="5">
        <f>IF(AND(C2027&gt;=Options!$B$9,C2027&lt;=Options!$B$10),"Phoenix","")</f>
        <v/>
      </c>
      <c r="B2027" s="5">
        <f>IF(A2027="","",24)</f>
        <v/>
      </c>
      <c r="C2027" s="17" t="n">
        <v>46493</v>
      </c>
      <c r="D2027" s="5">
        <f>IF(A2027="","",IF(C2027=DATE(2026,11,29),"培训；注册午餐；早餐参数",IF(C2027=DATE(2026,11,30),"培训；注册午餐",IF(C2027=DATE(2026,12,1),"培训；注册午餐；机构晚餐",IF(C2027=Options!$B$9,"抵达；"&amp;IF(C2027=DATE(2026,11,28),"机构晚餐","无统一供餐"),IF(C2027=Options!$B$10,"返程；"&amp;IF(C2027=DATE(2026,12,2),"机构午餐","无统一供餐"),"差旅状态；无统一日程"))))))</f>
        <v/>
      </c>
      <c r="E2027" s="13">
        <f>IF(C2027=Options!$B$9,Options!$C$19,0)</f>
        <v/>
      </c>
      <c r="F2027" s="13">
        <f>IF(AND(A2027&lt;&gt;"",C2027&lt;Options!$B$10),B2027*Options!$X$7,0)</f>
        <v/>
      </c>
      <c r="G2027" s="13">
        <f>F2027*12%</f>
        <v/>
      </c>
      <c r="H2027" s="13">
        <f>IF(A2027="",0,B2027*(86*IF(OR(C2027=Options!$B$9,C2027=Options!$B$10),75%,100%)-IF(C2027=DATE(2026,11,29),23+IF(Options!$B$8="是",22,0),0)-IF(C2027=DATE(2026,11,30),23,0)-IF(C2027=DATE(2026,12,1),59,0)-IF(C2027=DATE(2026,11,28),36,0)-IF(C2027=DATE(2026,12,2),23,0)))</f>
        <v/>
      </c>
      <c r="I2027" s="13">
        <f>IF(AND(C2027&gt;=DATE(2026,11,29),C2027&lt;=DATE(2026,12,1)),B2027*60,0)</f>
        <v/>
      </c>
      <c r="J2027" s="13">
        <f>IF(A2027="",0,B2027*(IF(C2027=DATE(2026,11,28),36,0)+IF(C2027=DATE(2026,12,1),36,0)+IF(C2027=DATE(2026,12,2),23,0)))</f>
        <v/>
      </c>
      <c r="K2027" s="13">
        <f>IF(C2027=Options!$B$9,B2027*12,0)</f>
        <v/>
      </c>
      <c r="L2027" s="13">
        <f>IF(C2027=Options!$B$9,B2027*Options!$Z$7,0)</f>
        <v/>
      </c>
      <c r="M2027" s="13" t="n">
        <v>0</v>
      </c>
      <c r="N2027" s="13">
        <f>SUM(E2027:M2027)</f>
        <v/>
      </c>
    </row>
    <row r="2028">
      <c r="A2028" s="5">
        <f>IF(AND(C2028&gt;=Options!$B$9,C2028&lt;=Options!$B$10),"Phoenix","")</f>
        <v/>
      </c>
      <c r="B2028" s="5">
        <f>IF(A2028="","",24)</f>
        <v/>
      </c>
      <c r="C2028" s="17" t="n">
        <v>46494</v>
      </c>
      <c r="D2028" s="5">
        <f>IF(A2028="","",IF(C2028=DATE(2026,11,29),"培训；注册午餐；早餐参数",IF(C2028=DATE(2026,11,30),"培训；注册午餐",IF(C2028=DATE(2026,12,1),"培训；注册午餐；机构晚餐",IF(C2028=Options!$B$9,"抵达；"&amp;IF(C2028=DATE(2026,11,28),"机构晚餐","无统一供餐"),IF(C2028=Options!$B$10,"返程；"&amp;IF(C2028=DATE(2026,12,2),"机构午餐","无统一供餐"),"差旅状态；无统一日程"))))))</f>
        <v/>
      </c>
      <c r="E2028" s="13">
        <f>IF(C2028=Options!$B$9,Options!$C$19,0)</f>
        <v/>
      </c>
      <c r="F2028" s="13">
        <f>IF(AND(A2028&lt;&gt;"",C2028&lt;Options!$B$10),B2028*Options!$X$7,0)</f>
        <v/>
      </c>
      <c r="G2028" s="13">
        <f>F2028*12%</f>
        <v/>
      </c>
      <c r="H2028" s="13">
        <f>IF(A2028="",0,B2028*(86*IF(OR(C2028=Options!$B$9,C2028=Options!$B$10),75%,100%)-IF(C2028=DATE(2026,11,29),23+IF(Options!$B$8="是",22,0),0)-IF(C2028=DATE(2026,11,30),23,0)-IF(C2028=DATE(2026,12,1),59,0)-IF(C2028=DATE(2026,11,28),36,0)-IF(C2028=DATE(2026,12,2),23,0)))</f>
        <v/>
      </c>
      <c r="I2028" s="13">
        <f>IF(AND(C2028&gt;=DATE(2026,11,29),C2028&lt;=DATE(2026,12,1)),B2028*60,0)</f>
        <v/>
      </c>
      <c r="J2028" s="13">
        <f>IF(A2028="",0,B2028*(IF(C2028=DATE(2026,11,28),36,0)+IF(C2028=DATE(2026,12,1),36,0)+IF(C2028=DATE(2026,12,2),23,0)))</f>
        <v/>
      </c>
      <c r="K2028" s="13">
        <f>IF(C2028=Options!$B$9,B2028*12,0)</f>
        <v/>
      </c>
      <c r="L2028" s="13">
        <f>IF(C2028=Options!$B$9,B2028*Options!$Z$7,0)</f>
        <v/>
      </c>
      <c r="M2028" s="13" t="n">
        <v>0</v>
      </c>
      <c r="N2028" s="13">
        <f>SUM(E2028:M2028)</f>
        <v/>
      </c>
    </row>
    <row r="2029">
      <c r="A2029" s="5">
        <f>IF(AND(C2029&gt;=Options!$B$9,C2029&lt;=Options!$B$10),"Phoenix","")</f>
        <v/>
      </c>
      <c r="B2029" s="5">
        <f>IF(A2029="","",24)</f>
        <v/>
      </c>
      <c r="C2029" s="17" t="n">
        <v>46495</v>
      </c>
      <c r="D2029" s="5">
        <f>IF(A2029="","",IF(C2029=DATE(2026,11,29),"培训；注册午餐；早餐参数",IF(C2029=DATE(2026,11,30),"培训；注册午餐",IF(C2029=DATE(2026,12,1),"培训；注册午餐；机构晚餐",IF(C2029=Options!$B$9,"抵达；"&amp;IF(C2029=DATE(2026,11,28),"机构晚餐","无统一供餐"),IF(C2029=Options!$B$10,"返程；"&amp;IF(C2029=DATE(2026,12,2),"机构午餐","无统一供餐"),"差旅状态；无统一日程"))))))</f>
        <v/>
      </c>
      <c r="E2029" s="13">
        <f>IF(C2029=Options!$B$9,Options!$C$19,0)</f>
        <v/>
      </c>
      <c r="F2029" s="13">
        <f>IF(AND(A2029&lt;&gt;"",C2029&lt;Options!$B$10),B2029*Options!$X$7,0)</f>
        <v/>
      </c>
      <c r="G2029" s="13">
        <f>F2029*12%</f>
        <v/>
      </c>
      <c r="H2029" s="13">
        <f>IF(A2029="",0,B2029*(86*IF(OR(C2029=Options!$B$9,C2029=Options!$B$10),75%,100%)-IF(C2029=DATE(2026,11,29),23+IF(Options!$B$8="是",22,0),0)-IF(C2029=DATE(2026,11,30),23,0)-IF(C2029=DATE(2026,12,1),59,0)-IF(C2029=DATE(2026,11,28),36,0)-IF(C2029=DATE(2026,12,2),23,0)))</f>
        <v/>
      </c>
      <c r="I2029" s="13">
        <f>IF(AND(C2029&gt;=DATE(2026,11,29),C2029&lt;=DATE(2026,12,1)),B2029*60,0)</f>
        <v/>
      </c>
      <c r="J2029" s="13">
        <f>IF(A2029="",0,B2029*(IF(C2029=DATE(2026,11,28),36,0)+IF(C2029=DATE(2026,12,1),36,0)+IF(C2029=DATE(2026,12,2),23,0)))</f>
        <v/>
      </c>
      <c r="K2029" s="13">
        <f>IF(C2029=Options!$B$9,B2029*12,0)</f>
        <v/>
      </c>
      <c r="L2029" s="13">
        <f>IF(C2029=Options!$B$9,B2029*Options!$Z$7,0)</f>
        <v/>
      </c>
      <c r="M2029" s="13" t="n">
        <v>0</v>
      </c>
      <c r="N2029" s="13">
        <f>SUM(E2029:M2029)</f>
        <v/>
      </c>
    </row>
    <row r="2030">
      <c r="A2030" s="5">
        <f>IF(AND(C2030&gt;=Options!$B$9,C2030&lt;=Options!$B$10),"Phoenix","")</f>
        <v/>
      </c>
      <c r="B2030" s="5">
        <f>IF(A2030="","",24)</f>
        <v/>
      </c>
      <c r="C2030" s="17" t="n">
        <v>46496</v>
      </c>
      <c r="D2030" s="5">
        <f>IF(A2030="","",IF(C2030=DATE(2026,11,29),"培训；注册午餐；早餐参数",IF(C2030=DATE(2026,11,30),"培训；注册午餐",IF(C2030=DATE(2026,12,1),"培训；注册午餐；机构晚餐",IF(C2030=Options!$B$9,"抵达；"&amp;IF(C2030=DATE(2026,11,28),"机构晚餐","无统一供餐"),IF(C2030=Options!$B$10,"返程；"&amp;IF(C2030=DATE(2026,12,2),"机构午餐","无统一供餐"),"差旅状态；无统一日程"))))))</f>
        <v/>
      </c>
      <c r="E2030" s="13">
        <f>IF(C2030=Options!$B$9,Options!$C$19,0)</f>
        <v/>
      </c>
      <c r="F2030" s="13">
        <f>IF(AND(A2030&lt;&gt;"",C2030&lt;Options!$B$10),B2030*Options!$X$7,0)</f>
        <v/>
      </c>
      <c r="G2030" s="13">
        <f>F2030*12%</f>
        <v/>
      </c>
      <c r="H2030" s="13">
        <f>IF(A2030="",0,B2030*(86*IF(OR(C2030=Options!$B$9,C2030=Options!$B$10),75%,100%)-IF(C2030=DATE(2026,11,29),23+IF(Options!$B$8="是",22,0),0)-IF(C2030=DATE(2026,11,30),23,0)-IF(C2030=DATE(2026,12,1),59,0)-IF(C2030=DATE(2026,11,28),36,0)-IF(C2030=DATE(2026,12,2),23,0)))</f>
        <v/>
      </c>
      <c r="I2030" s="13">
        <f>IF(AND(C2030&gt;=DATE(2026,11,29),C2030&lt;=DATE(2026,12,1)),B2030*60,0)</f>
        <v/>
      </c>
      <c r="J2030" s="13">
        <f>IF(A2030="",0,B2030*(IF(C2030=DATE(2026,11,28),36,0)+IF(C2030=DATE(2026,12,1),36,0)+IF(C2030=DATE(2026,12,2),23,0)))</f>
        <v/>
      </c>
      <c r="K2030" s="13">
        <f>IF(C2030=Options!$B$9,B2030*12,0)</f>
        <v/>
      </c>
      <c r="L2030" s="13">
        <f>IF(C2030=Options!$B$9,B2030*Options!$Z$7,0)</f>
        <v/>
      </c>
      <c r="M2030" s="13" t="n">
        <v>0</v>
      </c>
      <c r="N2030" s="13">
        <f>SUM(E2030:M2030)</f>
        <v/>
      </c>
    </row>
    <row r="2031">
      <c r="A2031" s="5">
        <f>IF(AND(C2031&gt;=Options!$B$9,C2031&lt;=Options!$B$10),"Phoenix","")</f>
        <v/>
      </c>
      <c r="B2031" s="5">
        <f>IF(A2031="","",24)</f>
        <v/>
      </c>
      <c r="C2031" s="17" t="n">
        <v>46497</v>
      </c>
      <c r="D2031" s="5">
        <f>IF(A2031="","",IF(C2031=DATE(2026,11,29),"培训；注册午餐；早餐参数",IF(C2031=DATE(2026,11,30),"培训；注册午餐",IF(C2031=DATE(2026,12,1),"培训；注册午餐；机构晚餐",IF(C2031=Options!$B$9,"抵达；"&amp;IF(C2031=DATE(2026,11,28),"机构晚餐","无统一供餐"),IF(C2031=Options!$B$10,"返程；"&amp;IF(C2031=DATE(2026,12,2),"机构午餐","无统一供餐"),"差旅状态；无统一日程"))))))</f>
        <v/>
      </c>
      <c r="E2031" s="13">
        <f>IF(C2031=Options!$B$9,Options!$C$19,0)</f>
        <v/>
      </c>
      <c r="F2031" s="13">
        <f>IF(AND(A2031&lt;&gt;"",C2031&lt;Options!$B$10),B2031*Options!$X$7,0)</f>
        <v/>
      </c>
      <c r="G2031" s="13">
        <f>F2031*12%</f>
        <v/>
      </c>
      <c r="H2031" s="13">
        <f>IF(A2031="",0,B2031*(86*IF(OR(C2031=Options!$B$9,C2031=Options!$B$10),75%,100%)-IF(C2031=DATE(2026,11,29),23+IF(Options!$B$8="是",22,0),0)-IF(C2031=DATE(2026,11,30),23,0)-IF(C2031=DATE(2026,12,1),59,0)-IF(C2031=DATE(2026,11,28),36,0)-IF(C2031=DATE(2026,12,2),23,0)))</f>
        <v/>
      </c>
      <c r="I2031" s="13">
        <f>IF(AND(C2031&gt;=DATE(2026,11,29),C2031&lt;=DATE(2026,12,1)),B2031*60,0)</f>
        <v/>
      </c>
      <c r="J2031" s="13">
        <f>IF(A2031="",0,B2031*(IF(C2031=DATE(2026,11,28),36,0)+IF(C2031=DATE(2026,12,1),36,0)+IF(C2031=DATE(2026,12,2),23,0)))</f>
        <v/>
      </c>
      <c r="K2031" s="13">
        <f>IF(C2031=Options!$B$9,B2031*12,0)</f>
        <v/>
      </c>
      <c r="L2031" s="13">
        <f>IF(C2031=Options!$B$9,B2031*Options!$Z$7,0)</f>
        <v/>
      </c>
      <c r="M2031" s="13" t="n">
        <v>0</v>
      </c>
      <c r="N2031" s="13">
        <f>SUM(E2031:M2031)</f>
        <v/>
      </c>
    </row>
    <row r="2032">
      <c r="A2032" s="5">
        <f>IF(AND(C2032&gt;=Options!$B$9,C2032&lt;=Options!$B$10),"Phoenix","")</f>
        <v/>
      </c>
      <c r="B2032" s="5">
        <f>IF(A2032="","",24)</f>
        <v/>
      </c>
      <c r="C2032" s="17" t="n">
        <v>46498</v>
      </c>
      <c r="D2032" s="5">
        <f>IF(A2032="","",IF(C2032=DATE(2026,11,29),"培训；注册午餐；早餐参数",IF(C2032=DATE(2026,11,30),"培训；注册午餐",IF(C2032=DATE(2026,12,1),"培训；注册午餐；机构晚餐",IF(C2032=Options!$B$9,"抵达；"&amp;IF(C2032=DATE(2026,11,28),"机构晚餐","无统一供餐"),IF(C2032=Options!$B$10,"返程；"&amp;IF(C2032=DATE(2026,12,2),"机构午餐","无统一供餐"),"差旅状态；无统一日程"))))))</f>
        <v/>
      </c>
      <c r="E2032" s="13">
        <f>IF(C2032=Options!$B$9,Options!$C$19,0)</f>
        <v/>
      </c>
      <c r="F2032" s="13">
        <f>IF(AND(A2032&lt;&gt;"",C2032&lt;Options!$B$10),B2032*Options!$X$7,0)</f>
        <v/>
      </c>
      <c r="G2032" s="13">
        <f>F2032*12%</f>
        <v/>
      </c>
      <c r="H2032" s="13">
        <f>IF(A2032="",0,B2032*(86*IF(OR(C2032=Options!$B$9,C2032=Options!$B$10),75%,100%)-IF(C2032=DATE(2026,11,29),23+IF(Options!$B$8="是",22,0),0)-IF(C2032=DATE(2026,11,30),23,0)-IF(C2032=DATE(2026,12,1),59,0)-IF(C2032=DATE(2026,11,28),36,0)-IF(C2032=DATE(2026,12,2),23,0)))</f>
        <v/>
      </c>
      <c r="I2032" s="13">
        <f>IF(AND(C2032&gt;=DATE(2026,11,29),C2032&lt;=DATE(2026,12,1)),B2032*60,0)</f>
        <v/>
      </c>
      <c r="J2032" s="13">
        <f>IF(A2032="",0,B2032*(IF(C2032=DATE(2026,11,28),36,0)+IF(C2032=DATE(2026,12,1),36,0)+IF(C2032=DATE(2026,12,2),23,0)))</f>
        <v/>
      </c>
      <c r="K2032" s="13">
        <f>IF(C2032=Options!$B$9,B2032*12,0)</f>
        <v/>
      </c>
      <c r="L2032" s="13">
        <f>IF(C2032=Options!$B$9,B2032*Options!$Z$7,0)</f>
        <v/>
      </c>
      <c r="M2032" s="13" t="n">
        <v>0</v>
      </c>
      <c r="N2032" s="13">
        <f>SUM(E2032:M2032)</f>
        <v/>
      </c>
    </row>
    <row r="2033">
      <c r="A2033" s="5">
        <f>IF(AND(C2033&gt;=Options!$B$9,C2033&lt;=Options!$B$10),"Phoenix","")</f>
        <v/>
      </c>
      <c r="B2033" s="5">
        <f>IF(A2033="","",24)</f>
        <v/>
      </c>
      <c r="C2033" s="17" t="n">
        <v>46499</v>
      </c>
      <c r="D2033" s="5">
        <f>IF(A2033="","",IF(C2033=DATE(2026,11,29),"培训；注册午餐；早餐参数",IF(C2033=DATE(2026,11,30),"培训；注册午餐",IF(C2033=DATE(2026,12,1),"培训；注册午餐；机构晚餐",IF(C2033=Options!$B$9,"抵达；"&amp;IF(C2033=DATE(2026,11,28),"机构晚餐","无统一供餐"),IF(C2033=Options!$B$10,"返程；"&amp;IF(C2033=DATE(2026,12,2),"机构午餐","无统一供餐"),"差旅状态；无统一日程"))))))</f>
        <v/>
      </c>
      <c r="E2033" s="13">
        <f>IF(C2033=Options!$B$9,Options!$C$19,0)</f>
        <v/>
      </c>
      <c r="F2033" s="13">
        <f>IF(AND(A2033&lt;&gt;"",C2033&lt;Options!$B$10),B2033*Options!$X$7,0)</f>
        <v/>
      </c>
      <c r="G2033" s="13">
        <f>F2033*12%</f>
        <v/>
      </c>
      <c r="H2033" s="13">
        <f>IF(A2033="",0,B2033*(86*IF(OR(C2033=Options!$B$9,C2033=Options!$B$10),75%,100%)-IF(C2033=DATE(2026,11,29),23+IF(Options!$B$8="是",22,0),0)-IF(C2033=DATE(2026,11,30),23,0)-IF(C2033=DATE(2026,12,1),59,0)-IF(C2033=DATE(2026,11,28),36,0)-IF(C2033=DATE(2026,12,2),23,0)))</f>
        <v/>
      </c>
      <c r="I2033" s="13">
        <f>IF(AND(C2033&gt;=DATE(2026,11,29),C2033&lt;=DATE(2026,12,1)),B2033*60,0)</f>
        <v/>
      </c>
      <c r="J2033" s="13">
        <f>IF(A2033="",0,B2033*(IF(C2033=DATE(2026,11,28),36,0)+IF(C2033=DATE(2026,12,1),36,0)+IF(C2033=DATE(2026,12,2),23,0)))</f>
        <v/>
      </c>
      <c r="K2033" s="13">
        <f>IF(C2033=Options!$B$9,B2033*12,0)</f>
        <v/>
      </c>
      <c r="L2033" s="13">
        <f>IF(C2033=Options!$B$9,B2033*Options!$Z$7,0)</f>
        <v/>
      </c>
      <c r="M2033" s="13" t="n">
        <v>0</v>
      </c>
      <c r="N2033" s="13">
        <f>SUM(E2033:M2033)</f>
        <v/>
      </c>
    </row>
    <row r="2034">
      <c r="A2034" s="5">
        <f>IF(AND(C2034&gt;=Options!$B$9,C2034&lt;=Options!$B$10),"Phoenix","")</f>
        <v/>
      </c>
      <c r="B2034" s="5">
        <f>IF(A2034="","",24)</f>
        <v/>
      </c>
      <c r="C2034" s="17" t="n">
        <v>46500</v>
      </c>
      <c r="D2034" s="5">
        <f>IF(A2034="","",IF(C2034=DATE(2026,11,29),"培训；注册午餐；早餐参数",IF(C2034=DATE(2026,11,30),"培训；注册午餐",IF(C2034=DATE(2026,12,1),"培训；注册午餐；机构晚餐",IF(C2034=Options!$B$9,"抵达；"&amp;IF(C2034=DATE(2026,11,28),"机构晚餐","无统一供餐"),IF(C2034=Options!$B$10,"返程；"&amp;IF(C2034=DATE(2026,12,2),"机构午餐","无统一供餐"),"差旅状态；无统一日程"))))))</f>
        <v/>
      </c>
      <c r="E2034" s="13">
        <f>IF(C2034=Options!$B$9,Options!$C$19,0)</f>
        <v/>
      </c>
      <c r="F2034" s="13">
        <f>IF(AND(A2034&lt;&gt;"",C2034&lt;Options!$B$10),B2034*Options!$X$7,0)</f>
        <v/>
      </c>
      <c r="G2034" s="13">
        <f>F2034*12%</f>
        <v/>
      </c>
      <c r="H2034" s="13">
        <f>IF(A2034="",0,B2034*(86*IF(OR(C2034=Options!$B$9,C2034=Options!$B$10),75%,100%)-IF(C2034=DATE(2026,11,29),23+IF(Options!$B$8="是",22,0),0)-IF(C2034=DATE(2026,11,30),23,0)-IF(C2034=DATE(2026,12,1),59,0)-IF(C2034=DATE(2026,11,28),36,0)-IF(C2034=DATE(2026,12,2),23,0)))</f>
        <v/>
      </c>
      <c r="I2034" s="13">
        <f>IF(AND(C2034&gt;=DATE(2026,11,29),C2034&lt;=DATE(2026,12,1)),B2034*60,0)</f>
        <v/>
      </c>
      <c r="J2034" s="13">
        <f>IF(A2034="",0,B2034*(IF(C2034=DATE(2026,11,28),36,0)+IF(C2034=DATE(2026,12,1),36,0)+IF(C2034=DATE(2026,12,2),23,0)))</f>
        <v/>
      </c>
      <c r="K2034" s="13">
        <f>IF(C2034=Options!$B$9,B2034*12,0)</f>
        <v/>
      </c>
      <c r="L2034" s="13">
        <f>IF(C2034=Options!$B$9,B2034*Options!$Z$7,0)</f>
        <v/>
      </c>
      <c r="M2034" s="13" t="n">
        <v>0</v>
      </c>
      <c r="N2034" s="13">
        <f>SUM(E2034:M2034)</f>
        <v/>
      </c>
    </row>
    <row r="2035">
      <c r="A2035" s="5">
        <f>IF(AND(C2035&gt;=Options!$B$9,C2035&lt;=Options!$B$10),"Phoenix","")</f>
        <v/>
      </c>
      <c r="B2035" s="5">
        <f>IF(A2035="","",24)</f>
        <v/>
      </c>
      <c r="C2035" s="17" t="n">
        <v>46501</v>
      </c>
      <c r="D2035" s="5">
        <f>IF(A2035="","",IF(C2035=DATE(2026,11,29),"培训；注册午餐；早餐参数",IF(C2035=DATE(2026,11,30),"培训；注册午餐",IF(C2035=DATE(2026,12,1),"培训；注册午餐；机构晚餐",IF(C2035=Options!$B$9,"抵达；"&amp;IF(C2035=DATE(2026,11,28),"机构晚餐","无统一供餐"),IF(C2035=Options!$B$10,"返程；"&amp;IF(C2035=DATE(2026,12,2),"机构午餐","无统一供餐"),"差旅状态；无统一日程"))))))</f>
        <v/>
      </c>
      <c r="E2035" s="13">
        <f>IF(C2035=Options!$B$9,Options!$C$19,0)</f>
        <v/>
      </c>
      <c r="F2035" s="13">
        <f>IF(AND(A2035&lt;&gt;"",C2035&lt;Options!$B$10),B2035*Options!$X$7,0)</f>
        <v/>
      </c>
      <c r="G2035" s="13">
        <f>F2035*12%</f>
        <v/>
      </c>
      <c r="H2035" s="13">
        <f>IF(A2035="",0,B2035*(86*IF(OR(C2035=Options!$B$9,C2035=Options!$B$10),75%,100%)-IF(C2035=DATE(2026,11,29),23+IF(Options!$B$8="是",22,0),0)-IF(C2035=DATE(2026,11,30),23,0)-IF(C2035=DATE(2026,12,1),59,0)-IF(C2035=DATE(2026,11,28),36,0)-IF(C2035=DATE(2026,12,2),23,0)))</f>
        <v/>
      </c>
      <c r="I2035" s="13">
        <f>IF(AND(C2035&gt;=DATE(2026,11,29),C2035&lt;=DATE(2026,12,1)),B2035*60,0)</f>
        <v/>
      </c>
      <c r="J2035" s="13">
        <f>IF(A2035="",0,B2035*(IF(C2035=DATE(2026,11,28),36,0)+IF(C2035=DATE(2026,12,1),36,0)+IF(C2035=DATE(2026,12,2),23,0)))</f>
        <v/>
      </c>
      <c r="K2035" s="13">
        <f>IF(C2035=Options!$B$9,B2035*12,0)</f>
        <v/>
      </c>
      <c r="L2035" s="13">
        <f>IF(C2035=Options!$B$9,B2035*Options!$Z$7,0)</f>
        <v/>
      </c>
      <c r="M2035" s="13" t="n">
        <v>0</v>
      </c>
      <c r="N2035" s="13">
        <f>SUM(E2035:M2035)</f>
        <v/>
      </c>
    </row>
    <row r="2036">
      <c r="A2036" s="5">
        <f>IF(AND(C2036&gt;=Options!$B$9,C2036&lt;=Options!$B$10),"Phoenix","")</f>
        <v/>
      </c>
      <c r="B2036" s="5">
        <f>IF(A2036="","",24)</f>
        <v/>
      </c>
      <c r="C2036" s="17" t="n">
        <v>46502</v>
      </c>
      <c r="D2036" s="5">
        <f>IF(A2036="","",IF(C2036=DATE(2026,11,29),"培训；注册午餐；早餐参数",IF(C2036=DATE(2026,11,30),"培训；注册午餐",IF(C2036=DATE(2026,12,1),"培训；注册午餐；机构晚餐",IF(C2036=Options!$B$9,"抵达；"&amp;IF(C2036=DATE(2026,11,28),"机构晚餐","无统一供餐"),IF(C2036=Options!$B$10,"返程；"&amp;IF(C2036=DATE(2026,12,2),"机构午餐","无统一供餐"),"差旅状态；无统一日程"))))))</f>
        <v/>
      </c>
      <c r="E2036" s="13">
        <f>IF(C2036=Options!$B$9,Options!$C$19,0)</f>
        <v/>
      </c>
      <c r="F2036" s="13">
        <f>IF(AND(A2036&lt;&gt;"",C2036&lt;Options!$B$10),B2036*Options!$X$7,0)</f>
        <v/>
      </c>
      <c r="G2036" s="13">
        <f>F2036*12%</f>
        <v/>
      </c>
      <c r="H2036" s="13">
        <f>IF(A2036="",0,B2036*(86*IF(OR(C2036=Options!$B$9,C2036=Options!$B$10),75%,100%)-IF(C2036=DATE(2026,11,29),23+IF(Options!$B$8="是",22,0),0)-IF(C2036=DATE(2026,11,30),23,0)-IF(C2036=DATE(2026,12,1),59,0)-IF(C2036=DATE(2026,11,28),36,0)-IF(C2036=DATE(2026,12,2),23,0)))</f>
        <v/>
      </c>
      <c r="I2036" s="13">
        <f>IF(AND(C2036&gt;=DATE(2026,11,29),C2036&lt;=DATE(2026,12,1)),B2036*60,0)</f>
        <v/>
      </c>
      <c r="J2036" s="13">
        <f>IF(A2036="",0,B2036*(IF(C2036=DATE(2026,11,28),36,0)+IF(C2036=DATE(2026,12,1),36,0)+IF(C2036=DATE(2026,12,2),23,0)))</f>
        <v/>
      </c>
      <c r="K2036" s="13">
        <f>IF(C2036=Options!$B$9,B2036*12,0)</f>
        <v/>
      </c>
      <c r="L2036" s="13">
        <f>IF(C2036=Options!$B$9,B2036*Options!$Z$7,0)</f>
        <v/>
      </c>
      <c r="M2036" s="13" t="n">
        <v>0</v>
      </c>
      <c r="N2036" s="13">
        <f>SUM(E2036:M2036)</f>
        <v/>
      </c>
    </row>
    <row r="2037">
      <c r="A2037" s="5">
        <f>IF(AND(C2037&gt;=Options!$B$9,C2037&lt;=Options!$B$10),"Phoenix","")</f>
        <v/>
      </c>
      <c r="B2037" s="5">
        <f>IF(A2037="","",24)</f>
        <v/>
      </c>
      <c r="C2037" s="17" t="n">
        <v>46503</v>
      </c>
      <c r="D2037" s="5">
        <f>IF(A2037="","",IF(C2037=DATE(2026,11,29),"培训；注册午餐；早餐参数",IF(C2037=DATE(2026,11,30),"培训；注册午餐",IF(C2037=DATE(2026,12,1),"培训；注册午餐；机构晚餐",IF(C2037=Options!$B$9,"抵达；"&amp;IF(C2037=DATE(2026,11,28),"机构晚餐","无统一供餐"),IF(C2037=Options!$B$10,"返程；"&amp;IF(C2037=DATE(2026,12,2),"机构午餐","无统一供餐"),"差旅状态；无统一日程"))))))</f>
        <v/>
      </c>
      <c r="E2037" s="13">
        <f>IF(C2037=Options!$B$9,Options!$C$19,0)</f>
        <v/>
      </c>
      <c r="F2037" s="13">
        <f>IF(AND(A2037&lt;&gt;"",C2037&lt;Options!$B$10),B2037*Options!$X$7,0)</f>
        <v/>
      </c>
      <c r="G2037" s="13">
        <f>F2037*12%</f>
        <v/>
      </c>
      <c r="H2037" s="13">
        <f>IF(A2037="",0,B2037*(86*IF(OR(C2037=Options!$B$9,C2037=Options!$B$10),75%,100%)-IF(C2037=DATE(2026,11,29),23+IF(Options!$B$8="是",22,0),0)-IF(C2037=DATE(2026,11,30),23,0)-IF(C2037=DATE(2026,12,1),59,0)-IF(C2037=DATE(2026,11,28),36,0)-IF(C2037=DATE(2026,12,2),23,0)))</f>
        <v/>
      </c>
      <c r="I2037" s="13">
        <f>IF(AND(C2037&gt;=DATE(2026,11,29),C2037&lt;=DATE(2026,12,1)),B2037*60,0)</f>
        <v/>
      </c>
      <c r="J2037" s="13">
        <f>IF(A2037="",0,B2037*(IF(C2037=DATE(2026,11,28),36,0)+IF(C2037=DATE(2026,12,1),36,0)+IF(C2037=DATE(2026,12,2),23,0)))</f>
        <v/>
      </c>
      <c r="K2037" s="13">
        <f>IF(C2037=Options!$B$9,B2037*12,0)</f>
        <v/>
      </c>
      <c r="L2037" s="13">
        <f>IF(C2037=Options!$B$9,B2037*Options!$Z$7,0)</f>
        <v/>
      </c>
      <c r="M2037" s="13" t="n">
        <v>0</v>
      </c>
      <c r="N2037" s="13">
        <f>SUM(E2037:M2037)</f>
        <v/>
      </c>
    </row>
    <row r="2038">
      <c r="A2038" s="5">
        <f>IF(AND(C2038&gt;=Options!$B$9,C2038&lt;=Options!$B$10),"Phoenix","")</f>
        <v/>
      </c>
      <c r="B2038" s="5">
        <f>IF(A2038="","",24)</f>
        <v/>
      </c>
      <c r="C2038" s="17" t="n">
        <v>46504</v>
      </c>
      <c r="D2038" s="5">
        <f>IF(A2038="","",IF(C2038=DATE(2026,11,29),"培训；注册午餐；早餐参数",IF(C2038=DATE(2026,11,30),"培训；注册午餐",IF(C2038=DATE(2026,12,1),"培训；注册午餐；机构晚餐",IF(C2038=Options!$B$9,"抵达；"&amp;IF(C2038=DATE(2026,11,28),"机构晚餐","无统一供餐"),IF(C2038=Options!$B$10,"返程；"&amp;IF(C2038=DATE(2026,12,2),"机构午餐","无统一供餐"),"差旅状态；无统一日程"))))))</f>
        <v/>
      </c>
      <c r="E2038" s="13">
        <f>IF(C2038=Options!$B$9,Options!$C$19,0)</f>
        <v/>
      </c>
      <c r="F2038" s="13">
        <f>IF(AND(A2038&lt;&gt;"",C2038&lt;Options!$B$10),B2038*Options!$X$7,0)</f>
        <v/>
      </c>
      <c r="G2038" s="13">
        <f>F2038*12%</f>
        <v/>
      </c>
      <c r="H2038" s="13">
        <f>IF(A2038="",0,B2038*(86*IF(OR(C2038=Options!$B$9,C2038=Options!$B$10),75%,100%)-IF(C2038=DATE(2026,11,29),23+IF(Options!$B$8="是",22,0),0)-IF(C2038=DATE(2026,11,30),23,0)-IF(C2038=DATE(2026,12,1),59,0)-IF(C2038=DATE(2026,11,28),36,0)-IF(C2038=DATE(2026,12,2),23,0)))</f>
        <v/>
      </c>
      <c r="I2038" s="13">
        <f>IF(AND(C2038&gt;=DATE(2026,11,29),C2038&lt;=DATE(2026,12,1)),B2038*60,0)</f>
        <v/>
      </c>
      <c r="J2038" s="13">
        <f>IF(A2038="",0,B2038*(IF(C2038=DATE(2026,11,28),36,0)+IF(C2038=DATE(2026,12,1),36,0)+IF(C2038=DATE(2026,12,2),23,0)))</f>
        <v/>
      </c>
      <c r="K2038" s="13">
        <f>IF(C2038=Options!$B$9,B2038*12,0)</f>
        <v/>
      </c>
      <c r="L2038" s="13">
        <f>IF(C2038=Options!$B$9,B2038*Options!$Z$7,0)</f>
        <v/>
      </c>
      <c r="M2038" s="13" t="n">
        <v>0</v>
      </c>
      <c r="N2038" s="13">
        <f>SUM(E2038:M2038)</f>
        <v/>
      </c>
    </row>
    <row r="2039">
      <c r="A2039" s="5">
        <f>IF(AND(C2039&gt;=Options!$B$9,C2039&lt;=Options!$B$10),"Phoenix","")</f>
        <v/>
      </c>
      <c r="B2039" s="5">
        <f>IF(A2039="","",24)</f>
        <v/>
      </c>
      <c r="C2039" s="17" t="n">
        <v>46505</v>
      </c>
      <c r="D2039" s="5">
        <f>IF(A2039="","",IF(C2039=DATE(2026,11,29),"培训；注册午餐；早餐参数",IF(C2039=DATE(2026,11,30),"培训；注册午餐",IF(C2039=DATE(2026,12,1),"培训；注册午餐；机构晚餐",IF(C2039=Options!$B$9,"抵达；"&amp;IF(C2039=DATE(2026,11,28),"机构晚餐","无统一供餐"),IF(C2039=Options!$B$10,"返程；"&amp;IF(C2039=DATE(2026,12,2),"机构午餐","无统一供餐"),"差旅状态；无统一日程"))))))</f>
        <v/>
      </c>
      <c r="E2039" s="13">
        <f>IF(C2039=Options!$B$9,Options!$C$19,0)</f>
        <v/>
      </c>
      <c r="F2039" s="13">
        <f>IF(AND(A2039&lt;&gt;"",C2039&lt;Options!$B$10),B2039*Options!$X$7,0)</f>
        <v/>
      </c>
      <c r="G2039" s="13">
        <f>F2039*12%</f>
        <v/>
      </c>
      <c r="H2039" s="13">
        <f>IF(A2039="",0,B2039*(86*IF(OR(C2039=Options!$B$9,C2039=Options!$B$10),75%,100%)-IF(C2039=DATE(2026,11,29),23+IF(Options!$B$8="是",22,0),0)-IF(C2039=DATE(2026,11,30),23,0)-IF(C2039=DATE(2026,12,1),59,0)-IF(C2039=DATE(2026,11,28),36,0)-IF(C2039=DATE(2026,12,2),23,0)))</f>
        <v/>
      </c>
      <c r="I2039" s="13">
        <f>IF(AND(C2039&gt;=DATE(2026,11,29),C2039&lt;=DATE(2026,12,1)),B2039*60,0)</f>
        <v/>
      </c>
      <c r="J2039" s="13">
        <f>IF(A2039="",0,B2039*(IF(C2039=DATE(2026,11,28),36,0)+IF(C2039=DATE(2026,12,1),36,0)+IF(C2039=DATE(2026,12,2),23,0)))</f>
        <v/>
      </c>
      <c r="K2039" s="13">
        <f>IF(C2039=Options!$B$9,B2039*12,0)</f>
        <v/>
      </c>
      <c r="L2039" s="13">
        <f>IF(C2039=Options!$B$9,B2039*Options!$Z$7,0)</f>
        <v/>
      </c>
      <c r="M2039" s="13" t="n">
        <v>0</v>
      </c>
      <c r="N2039" s="13">
        <f>SUM(E2039:M2039)</f>
        <v/>
      </c>
    </row>
    <row r="2040">
      <c r="A2040" s="5">
        <f>IF(AND(C2040&gt;=Options!$B$9,C2040&lt;=Options!$B$10),"Phoenix","")</f>
        <v/>
      </c>
      <c r="B2040" s="5">
        <f>IF(A2040="","",24)</f>
        <v/>
      </c>
      <c r="C2040" s="17" t="n">
        <v>46506</v>
      </c>
      <c r="D2040" s="5">
        <f>IF(A2040="","",IF(C2040=DATE(2026,11,29),"培训；注册午餐；早餐参数",IF(C2040=DATE(2026,11,30),"培训；注册午餐",IF(C2040=DATE(2026,12,1),"培训；注册午餐；机构晚餐",IF(C2040=Options!$B$9,"抵达；"&amp;IF(C2040=DATE(2026,11,28),"机构晚餐","无统一供餐"),IF(C2040=Options!$B$10,"返程；"&amp;IF(C2040=DATE(2026,12,2),"机构午餐","无统一供餐"),"差旅状态；无统一日程"))))))</f>
        <v/>
      </c>
      <c r="E2040" s="13">
        <f>IF(C2040=Options!$B$9,Options!$C$19,0)</f>
        <v/>
      </c>
      <c r="F2040" s="13">
        <f>IF(AND(A2040&lt;&gt;"",C2040&lt;Options!$B$10),B2040*Options!$X$7,0)</f>
        <v/>
      </c>
      <c r="G2040" s="13">
        <f>F2040*12%</f>
        <v/>
      </c>
      <c r="H2040" s="13">
        <f>IF(A2040="",0,B2040*(86*IF(OR(C2040=Options!$B$9,C2040=Options!$B$10),75%,100%)-IF(C2040=DATE(2026,11,29),23+IF(Options!$B$8="是",22,0),0)-IF(C2040=DATE(2026,11,30),23,0)-IF(C2040=DATE(2026,12,1),59,0)-IF(C2040=DATE(2026,11,28),36,0)-IF(C2040=DATE(2026,12,2),23,0)))</f>
        <v/>
      </c>
      <c r="I2040" s="13">
        <f>IF(AND(C2040&gt;=DATE(2026,11,29),C2040&lt;=DATE(2026,12,1)),B2040*60,0)</f>
        <v/>
      </c>
      <c r="J2040" s="13">
        <f>IF(A2040="",0,B2040*(IF(C2040=DATE(2026,11,28),36,0)+IF(C2040=DATE(2026,12,1),36,0)+IF(C2040=DATE(2026,12,2),23,0)))</f>
        <v/>
      </c>
      <c r="K2040" s="13">
        <f>IF(C2040=Options!$B$9,B2040*12,0)</f>
        <v/>
      </c>
      <c r="L2040" s="13">
        <f>IF(C2040=Options!$B$9,B2040*Options!$Z$7,0)</f>
        <v/>
      </c>
      <c r="M2040" s="13" t="n">
        <v>0</v>
      </c>
      <c r="N2040" s="13">
        <f>SUM(E2040:M2040)</f>
        <v/>
      </c>
    </row>
    <row r="2041">
      <c r="A2041" s="5">
        <f>IF(AND(C2041&gt;=Options!$B$9,C2041&lt;=Options!$B$10),"Phoenix","")</f>
        <v/>
      </c>
      <c r="B2041" s="5">
        <f>IF(A2041="","",24)</f>
        <v/>
      </c>
      <c r="C2041" s="17" t="n">
        <v>46507</v>
      </c>
      <c r="D2041" s="5">
        <f>IF(A2041="","",IF(C2041=DATE(2026,11,29),"培训；注册午餐；早餐参数",IF(C2041=DATE(2026,11,30),"培训；注册午餐",IF(C2041=DATE(2026,12,1),"培训；注册午餐；机构晚餐",IF(C2041=Options!$B$9,"抵达；"&amp;IF(C2041=DATE(2026,11,28),"机构晚餐","无统一供餐"),IF(C2041=Options!$B$10,"返程；"&amp;IF(C2041=DATE(2026,12,2),"机构午餐","无统一供餐"),"差旅状态；无统一日程"))))))</f>
        <v/>
      </c>
      <c r="E2041" s="13">
        <f>IF(C2041=Options!$B$9,Options!$C$19,0)</f>
        <v/>
      </c>
      <c r="F2041" s="13">
        <f>IF(AND(A2041&lt;&gt;"",C2041&lt;Options!$B$10),B2041*Options!$X$7,0)</f>
        <v/>
      </c>
      <c r="G2041" s="13">
        <f>F2041*12%</f>
        <v/>
      </c>
      <c r="H2041" s="13">
        <f>IF(A2041="",0,B2041*(86*IF(OR(C2041=Options!$B$9,C2041=Options!$B$10),75%,100%)-IF(C2041=DATE(2026,11,29),23+IF(Options!$B$8="是",22,0),0)-IF(C2041=DATE(2026,11,30),23,0)-IF(C2041=DATE(2026,12,1),59,0)-IF(C2041=DATE(2026,11,28),36,0)-IF(C2041=DATE(2026,12,2),23,0)))</f>
        <v/>
      </c>
      <c r="I2041" s="13">
        <f>IF(AND(C2041&gt;=DATE(2026,11,29),C2041&lt;=DATE(2026,12,1)),B2041*60,0)</f>
        <v/>
      </c>
      <c r="J2041" s="13">
        <f>IF(A2041="",0,B2041*(IF(C2041=DATE(2026,11,28),36,0)+IF(C2041=DATE(2026,12,1),36,0)+IF(C2041=DATE(2026,12,2),23,0)))</f>
        <v/>
      </c>
      <c r="K2041" s="13">
        <f>IF(C2041=Options!$B$9,B2041*12,0)</f>
        <v/>
      </c>
      <c r="L2041" s="13">
        <f>IF(C2041=Options!$B$9,B2041*Options!$Z$7,0)</f>
        <v/>
      </c>
      <c r="M2041" s="13" t="n">
        <v>0</v>
      </c>
      <c r="N2041" s="13">
        <f>SUM(E2041:M2041)</f>
        <v/>
      </c>
    </row>
    <row r="2042">
      <c r="A2042" s="5">
        <f>IF(AND(C2042&gt;=Options!$B$9,C2042&lt;=Options!$B$10),"Phoenix","")</f>
        <v/>
      </c>
      <c r="B2042" s="5">
        <f>IF(A2042="","",24)</f>
        <v/>
      </c>
      <c r="C2042" s="17" t="n">
        <v>46508</v>
      </c>
      <c r="D2042" s="5">
        <f>IF(A2042="","",IF(C2042=DATE(2026,11,29),"培训；注册午餐；早餐参数",IF(C2042=DATE(2026,11,30),"培训；注册午餐",IF(C2042=DATE(2026,12,1),"培训；注册午餐；机构晚餐",IF(C2042=Options!$B$9,"抵达；"&amp;IF(C2042=DATE(2026,11,28),"机构晚餐","无统一供餐"),IF(C2042=Options!$B$10,"返程；"&amp;IF(C2042=DATE(2026,12,2),"机构午餐","无统一供餐"),"差旅状态；无统一日程"))))))</f>
        <v/>
      </c>
      <c r="E2042" s="13">
        <f>IF(C2042=Options!$B$9,Options!$C$19,0)</f>
        <v/>
      </c>
      <c r="F2042" s="13">
        <f>IF(AND(A2042&lt;&gt;"",C2042&lt;Options!$B$10),B2042*Options!$X$7,0)</f>
        <v/>
      </c>
      <c r="G2042" s="13">
        <f>F2042*12%</f>
        <v/>
      </c>
      <c r="H2042" s="13">
        <f>IF(A2042="",0,B2042*(86*IF(OR(C2042=Options!$B$9,C2042=Options!$B$10),75%,100%)-IF(C2042=DATE(2026,11,29),23+IF(Options!$B$8="是",22,0),0)-IF(C2042=DATE(2026,11,30),23,0)-IF(C2042=DATE(2026,12,1),59,0)-IF(C2042=DATE(2026,11,28),36,0)-IF(C2042=DATE(2026,12,2),23,0)))</f>
        <v/>
      </c>
      <c r="I2042" s="13">
        <f>IF(AND(C2042&gt;=DATE(2026,11,29),C2042&lt;=DATE(2026,12,1)),B2042*60,0)</f>
        <v/>
      </c>
      <c r="J2042" s="13">
        <f>IF(A2042="",0,B2042*(IF(C2042=DATE(2026,11,28),36,0)+IF(C2042=DATE(2026,12,1),36,0)+IF(C2042=DATE(2026,12,2),23,0)))</f>
        <v/>
      </c>
      <c r="K2042" s="13">
        <f>IF(C2042=Options!$B$9,B2042*12,0)</f>
        <v/>
      </c>
      <c r="L2042" s="13">
        <f>IF(C2042=Options!$B$9,B2042*Options!$Z$7,0)</f>
        <v/>
      </c>
      <c r="M2042" s="13" t="n">
        <v>0</v>
      </c>
      <c r="N2042" s="13">
        <f>SUM(E2042:M2042)</f>
        <v/>
      </c>
    </row>
    <row r="2043">
      <c r="A2043" s="5">
        <f>IF(AND(C2043&gt;=Options!$B$9,C2043&lt;=Options!$B$10),"Phoenix","")</f>
        <v/>
      </c>
      <c r="B2043" s="5">
        <f>IF(A2043="","",24)</f>
        <v/>
      </c>
      <c r="C2043" s="17" t="n">
        <v>46509</v>
      </c>
      <c r="D2043" s="5">
        <f>IF(A2043="","",IF(C2043=DATE(2026,11,29),"培训；注册午餐；早餐参数",IF(C2043=DATE(2026,11,30),"培训；注册午餐",IF(C2043=DATE(2026,12,1),"培训；注册午餐；机构晚餐",IF(C2043=Options!$B$9,"抵达；"&amp;IF(C2043=DATE(2026,11,28),"机构晚餐","无统一供餐"),IF(C2043=Options!$B$10,"返程；"&amp;IF(C2043=DATE(2026,12,2),"机构午餐","无统一供餐"),"差旅状态；无统一日程"))))))</f>
        <v/>
      </c>
      <c r="E2043" s="13">
        <f>IF(C2043=Options!$B$9,Options!$C$19,0)</f>
        <v/>
      </c>
      <c r="F2043" s="13">
        <f>IF(AND(A2043&lt;&gt;"",C2043&lt;Options!$B$10),B2043*Options!$X$7,0)</f>
        <v/>
      </c>
      <c r="G2043" s="13">
        <f>F2043*12%</f>
        <v/>
      </c>
      <c r="H2043" s="13">
        <f>IF(A2043="",0,B2043*(86*IF(OR(C2043=Options!$B$9,C2043=Options!$B$10),75%,100%)-IF(C2043=DATE(2026,11,29),23+IF(Options!$B$8="是",22,0),0)-IF(C2043=DATE(2026,11,30),23,0)-IF(C2043=DATE(2026,12,1),59,0)-IF(C2043=DATE(2026,11,28),36,0)-IF(C2043=DATE(2026,12,2),23,0)))</f>
        <v/>
      </c>
      <c r="I2043" s="13">
        <f>IF(AND(C2043&gt;=DATE(2026,11,29),C2043&lt;=DATE(2026,12,1)),B2043*60,0)</f>
        <v/>
      </c>
      <c r="J2043" s="13">
        <f>IF(A2043="",0,B2043*(IF(C2043=DATE(2026,11,28),36,0)+IF(C2043=DATE(2026,12,1),36,0)+IF(C2043=DATE(2026,12,2),23,0)))</f>
        <v/>
      </c>
      <c r="K2043" s="13">
        <f>IF(C2043=Options!$B$9,B2043*12,0)</f>
        <v/>
      </c>
      <c r="L2043" s="13">
        <f>IF(C2043=Options!$B$9,B2043*Options!$Z$7,0)</f>
        <v/>
      </c>
      <c r="M2043" s="13" t="n">
        <v>0</v>
      </c>
      <c r="N2043" s="13">
        <f>SUM(E2043:M2043)</f>
        <v/>
      </c>
    </row>
    <row r="2044">
      <c r="A2044" s="5">
        <f>IF(AND(C2044&gt;=Options!$B$9,C2044&lt;=Options!$B$10),"Phoenix","")</f>
        <v/>
      </c>
      <c r="B2044" s="5">
        <f>IF(A2044="","",24)</f>
        <v/>
      </c>
      <c r="C2044" s="17" t="n">
        <v>46510</v>
      </c>
      <c r="D2044" s="5">
        <f>IF(A2044="","",IF(C2044=DATE(2026,11,29),"培训；注册午餐；早餐参数",IF(C2044=DATE(2026,11,30),"培训；注册午餐",IF(C2044=DATE(2026,12,1),"培训；注册午餐；机构晚餐",IF(C2044=Options!$B$9,"抵达；"&amp;IF(C2044=DATE(2026,11,28),"机构晚餐","无统一供餐"),IF(C2044=Options!$B$10,"返程；"&amp;IF(C2044=DATE(2026,12,2),"机构午餐","无统一供餐"),"差旅状态；无统一日程"))))))</f>
        <v/>
      </c>
      <c r="E2044" s="13">
        <f>IF(C2044=Options!$B$9,Options!$C$19,0)</f>
        <v/>
      </c>
      <c r="F2044" s="13">
        <f>IF(AND(A2044&lt;&gt;"",C2044&lt;Options!$B$10),B2044*Options!$X$7,0)</f>
        <v/>
      </c>
      <c r="G2044" s="13">
        <f>F2044*12%</f>
        <v/>
      </c>
      <c r="H2044" s="13">
        <f>IF(A2044="",0,B2044*(86*IF(OR(C2044=Options!$B$9,C2044=Options!$B$10),75%,100%)-IF(C2044=DATE(2026,11,29),23+IF(Options!$B$8="是",22,0),0)-IF(C2044=DATE(2026,11,30),23,0)-IF(C2044=DATE(2026,12,1),59,0)-IF(C2044=DATE(2026,11,28),36,0)-IF(C2044=DATE(2026,12,2),23,0)))</f>
        <v/>
      </c>
      <c r="I2044" s="13">
        <f>IF(AND(C2044&gt;=DATE(2026,11,29),C2044&lt;=DATE(2026,12,1)),B2044*60,0)</f>
        <v/>
      </c>
      <c r="J2044" s="13">
        <f>IF(A2044="",0,B2044*(IF(C2044=DATE(2026,11,28),36,0)+IF(C2044=DATE(2026,12,1),36,0)+IF(C2044=DATE(2026,12,2),23,0)))</f>
        <v/>
      </c>
      <c r="K2044" s="13">
        <f>IF(C2044=Options!$B$9,B2044*12,0)</f>
        <v/>
      </c>
      <c r="L2044" s="13">
        <f>IF(C2044=Options!$B$9,B2044*Options!$Z$7,0)</f>
        <v/>
      </c>
      <c r="M2044" s="13" t="n">
        <v>0</v>
      </c>
      <c r="N2044" s="13">
        <f>SUM(E2044:M2044)</f>
        <v/>
      </c>
    </row>
    <row r="2045">
      <c r="A2045" s="5">
        <f>IF(AND(C2045&gt;=Options!$B$9,C2045&lt;=Options!$B$10),"Phoenix","")</f>
        <v/>
      </c>
      <c r="B2045" s="5">
        <f>IF(A2045="","",24)</f>
        <v/>
      </c>
      <c r="C2045" s="17" t="n">
        <v>46511</v>
      </c>
      <c r="D2045" s="5">
        <f>IF(A2045="","",IF(C2045=DATE(2026,11,29),"培训；注册午餐；早餐参数",IF(C2045=DATE(2026,11,30),"培训；注册午餐",IF(C2045=DATE(2026,12,1),"培训；注册午餐；机构晚餐",IF(C2045=Options!$B$9,"抵达；"&amp;IF(C2045=DATE(2026,11,28),"机构晚餐","无统一供餐"),IF(C2045=Options!$B$10,"返程；"&amp;IF(C2045=DATE(2026,12,2),"机构午餐","无统一供餐"),"差旅状态；无统一日程"))))))</f>
        <v/>
      </c>
      <c r="E2045" s="13">
        <f>IF(C2045=Options!$B$9,Options!$C$19,0)</f>
        <v/>
      </c>
      <c r="F2045" s="13">
        <f>IF(AND(A2045&lt;&gt;"",C2045&lt;Options!$B$10),B2045*Options!$X$7,0)</f>
        <v/>
      </c>
      <c r="G2045" s="13">
        <f>F2045*12%</f>
        <v/>
      </c>
      <c r="H2045" s="13">
        <f>IF(A2045="",0,B2045*(86*IF(OR(C2045=Options!$B$9,C2045=Options!$B$10),75%,100%)-IF(C2045=DATE(2026,11,29),23+IF(Options!$B$8="是",22,0),0)-IF(C2045=DATE(2026,11,30),23,0)-IF(C2045=DATE(2026,12,1),59,0)-IF(C2045=DATE(2026,11,28),36,0)-IF(C2045=DATE(2026,12,2),23,0)))</f>
        <v/>
      </c>
      <c r="I2045" s="13">
        <f>IF(AND(C2045&gt;=DATE(2026,11,29),C2045&lt;=DATE(2026,12,1)),B2045*60,0)</f>
        <v/>
      </c>
      <c r="J2045" s="13">
        <f>IF(A2045="",0,B2045*(IF(C2045=DATE(2026,11,28),36,0)+IF(C2045=DATE(2026,12,1),36,0)+IF(C2045=DATE(2026,12,2),23,0)))</f>
        <v/>
      </c>
      <c r="K2045" s="13">
        <f>IF(C2045=Options!$B$9,B2045*12,0)</f>
        <v/>
      </c>
      <c r="L2045" s="13">
        <f>IF(C2045=Options!$B$9,B2045*Options!$Z$7,0)</f>
        <v/>
      </c>
      <c r="M2045" s="13" t="n">
        <v>0</v>
      </c>
      <c r="N2045" s="13">
        <f>SUM(E2045:M2045)</f>
        <v/>
      </c>
    </row>
    <row r="2046">
      <c r="A2046" s="5">
        <f>IF(AND(C2046&gt;=Options!$B$9,C2046&lt;=Options!$B$10),"Phoenix","")</f>
        <v/>
      </c>
      <c r="B2046" s="5">
        <f>IF(A2046="","",24)</f>
        <v/>
      </c>
      <c r="C2046" s="17" t="n">
        <v>46512</v>
      </c>
      <c r="D2046" s="5">
        <f>IF(A2046="","",IF(C2046=DATE(2026,11,29),"培训；注册午餐；早餐参数",IF(C2046=DATE(2026,11,30),"培训；注册午餐",IF(C2046=DATE(2026,12,1),"培训；注册午餐；机构晚餐",IF(C2046=Options!$B$9,"抵达；"&amp;IF(C2046=DATE(2026,11,28),"机构晚餐","无统一供餐"),IF(C2046=Options!$B$10,"返程；"&amp;IF(C2046=DATE(2026,12,2),"机构午餐","无统一供餐"),"差旅状态；无统一日程"))))))</f>
        <v/>
      </c>
      <c r="E2046" s="13">
        <f>IF(C2046=Options!$B$9,Options!$C$19,0)</f>
        <v/>
      </c>
      <c r="F2046" s="13">
        <f>IF(AND(A2046&lt;&gt;"",C2046&lt;Options!$B$10),B2046*Options!$X$7,0)</f>
        <v/>
      </c>
      <c r="G2046" s="13">
        <f>F2046*12%</f>
        <v/>
      </c>
      <c r="H2046" s="13">
        <f>IF(A2046="",0,B2046*(86*IF(OR(C2046=Options!$B$9,C2046=Options!$B$10),75%,100%)-IF(C2046=DATE(2026,11,29),23+IF(Options!$B$8="是",22,0),0)-IF(C2046=DATE(2026,11,30),23,0)-IF(C2046=DATE(2026,12,1),59,0)-IF(C2046=DATE(2026,11,28),36,0)-IF(C2046=DATE(2026,12,2),23,0)))</f>
        <v/>
      </c>
      <c r="I2046" s="13">
        <f>IF(AND(C2046&gt;=DATE(2026,11,29),C2046&lt;=DATE(2026,12,1)),B2046*60,0)</f>
        <v/>
      </c>
      <c r="J2046" s="13">
        <f>IF(A2046="",0,B2046*(IF(C2046=DATE(2026,11,28),36,0)+IF(C2046=DATE(2026,12,1),36,0)+IF(C2046=DATE(2026,12,2),23,0)))</f>
        <v/>
      </c>
      <c r="K2046" s="13">
        <f>IF(C2046=Options!$B$9,B2046*12,0)</f>
        <v/>
      </c>
      <c r="L2046" s="13">
        <f>IF(C2046=Options!$B$9,B2046*Options!$Z$7,0)</f>
        <v/>
      </c>
      <c r="M2046" s="13" t="n">
        <v>0</v>
      </c>
      <c r="N2046" s="13">
        <f>SUM(E2046:M2046)</f>
        <v/>
      </c>
    </row>
    <row r="2047">
      <c r="A2047" s="5">
        <f>IF(AND(C2047&gt;=Options!$B$9,C2047&lt;=Options!$B$10),"Phoenix","")</f>
        <v/>
      </c>
      <c r="B2047" s="5">
        <f>IF(A2047="","",24)</f>
        <v/>
      </c>
      <c r="C2047" s="17" t="n">
        <v>46513</v>
      </c>
      <c r="D2047" s="5">
        <f>IF(A2047="","",IF(C2047=DATE(2026,11,29),"培训；注册午餐；早餐参数",IF(C2047=DATE(2026,11,30),"培训；注册午餐",IF(C2047=DATE(2026,12,1),"培训；注册午餐；机构晚餐",IF(C2047=Options!$B$9,"抵达；"&amp;IF(C2047=DATE(2026,11,28),"机构晚餐","无统一供餐"),IF(C2047=Options!$B$10,"返程；"&amp;IF(C2047=DATE(2026,12,2),"机构午餐","无统一供餐"),"差旅状态；无统一日程"))))))</f>
        <v/>
      </c>
      <c r="E2047" s="13">
        <f>IF(C2047=Options!$B$9,Options!$C$19,0)</f>
        <v/>
      </c>
      <c r="F2047" s="13">
        <f>IF(AND(A2047&lt;&gt;"",C2047&lt;Options!$B$10),B2047*Options!$X$7,0)</f>
        <v/>
      </c>
      <c r="G2047" s="13">
        <f>F2047*12%</f>
        <v/>
      </c>
      <c r="H2047" s="13">
        <f>IF(A2047="",0,B2047*(86*IF(OR(C2047=Options!$B$9,C2047=Options!$B$10),75%,100%)-IF(C2047=DATE(2026,11,29),23+IF(Options!$B$8="是",22,0),0)-IF(C2047=DATE(2026,11,30),23,0)-IF(C2047=DATE(2026,12,1),59,0)-IF(C2047=DATE(2026,11,28),36,0)-IF(C2047=DATE(2026,12,2),23,0)))</f>
        <v/>
      </c>
      <c r="I2047" s="13">
        <f>IF(AND(C2047&gt;=DATE(2026,11,29),C2047&lt;=DATE(2026,12,1)),B2047*60,0)</f>
        <v/>
      </c>
      <c r="J2047" s="13">
        <f>IF(A2047="",0,B2047*(IF(C2047=DATE(2026,11,28),36,0)+IF(C2047=DATE(2026,12,1),36,0)+IF(C2047=DATE(2026,12,2),23,0)))</f>
        <v/>
      </c>
      <c r="K2047" s="13">
        <f>IF(C2047=Options!$B$9,B2047*12,0)</f>
        <v/>
      </c>
      <c r="L2047" s="13">
        <f>IF(C2047=Options!$B$9,B2047*Options!$Z$7,0)</f>
        <v/>
      </c>
      <c r="M2047" s="13" t="n">
        <v>0</v>
      </c>
      <c r="N2047" s="13">
        <f>SUM(E2047:M2047)</f>
        <v/>
      </c>
    </row>
    <row r="2048">
      <c r="A2048" s="5">
        <f>IF(AND(C2048&gt;=Options!$B$9,C2048&lt;=Options!$B$10),"Phoenix","")</f>
        <v/>
      </c>
      <c r="B2048" s="5">
        <f>IF(A2048="","",24)</f>
        <v/>
      </c>
      <c r="C2048" s="17" t="n">
        <v>46514</v>
      </c>
      <c r="D2048" s="5">
        <f>IF(A2048="","",IF(C2048=DATE(2026,11,29),"培训；注册午餐；早餐参数",IF(C2048=DATE(2026,11,30),"培训；注册午餐",IF(C2048=DATE(2026,12,1),"培训；注册午餐；机构晚餐",IF(C2048=Options!$B$9,"抵达；"&amp;IF(C2048=DATE(2026,11,28),"机构晚餐","无统一供餐"),IF(C2048=Options!$B$10,"返程；"&amp;IF(C2048=DATE(2026,12,2),"机构午餐","无统一供餐"),"差旅状态；无统一日程"))))))</f>
        <v/>
      </c>
      <c r="E2048" s="13">
        <f>IF(C2048=Options!$B$9,Options!$C$19,0)</f>
        <v/>
      </c>
      <c r="F2048" s="13">
        <f>IF(AND(A2048&lt;&gt;"",C2048&lt;Options!$B$10),B2048*Options!$X$7,0)</f>
        <v/>
      </c>
      <c r="G2048" s="13">
        <f>F2048*12%</f>
        <v/>
      </c>
      <c r="H2048" s="13">
        <f>IF(A2048="",0,B2048*(86*IF(OR(C2048=Options!$B$9,C2048=Options!$B$10),75%,100%)-IF(C2048=DATE(2026,11,29),23+IF(Options!$B$8="是",22,0),0)-IF(C2048=DATE(2026,11,30),23,0)-IF(C2048=DATE(2026,12,1),59,0)-IF(C2048=DATE(2026,11,28),36,0)-IF(C2048=DATE(2026,12,2),23,0)))</f>
        <v/>
      </c>
      <c r="I2048" s="13">
        <f>IF(AND(C2048&gt;=DATE(2026,11,29),C2048&lt;=DATE(2026,12,1)),B2048*60,0)</f>
        <v/>
      </c>
      <c r="J2048" s="13">
        <f>IF(A2048="",0,B2048*(IF(C2048=DATE(2026,11,28),36,0)+IF(C2048=DATE(2026,12,1),36,0)+IF(C2048=DATE(2026,12,2),23,0)))</f>
        <v/>
      </c>
      <c r="K2048" s="13">
        <f>IF(C2048=Options!$B$9,B2048*12,0)</f>
        <v/>
      </c>
      <c r="L2048" s="13">
        <f>IF(C2048=Options!$B$9,B2048*Options!$Z$7,0)</f>
        <v/>
      </c>
      <c r="M2048" s="13" t="n">
        <v>0</v>
      </c>
      <c r="N2048" s="13">
        <f>SUM(E2048:M2048)</f>
        <v/>
      </c>
    </row>
    <row r="2049">
      <c r="A2049" s="5">
        <f>IF(AND(C2049&gt;=Options!$B$9,C2049&lt;=Options!$B$10),"Phoenix","")</f>
        <v/>
      </c>
      <c r="B2049" s="5">
        <f>IF(A2049="","",24)</f>
        <v/>
      </c>
      <c r="C2049" s="17" t="n">
        <v>46515</v>
      </c>
      <c r="D2049" s="5">
        <f>IF(A2049="","",IF(C2049=DATE(2026,11,29),"培训；注册午餐；早餐参数",IF(C2049=DATE(2026,11,30),"培训；注册午餐",IF(C2049=DATE(2026,12,1),"培训；注册午餐；机构晚餐",IF(C2049=Options!$B$9,"抵达；"&amp;IF(C2049=DATE(2026,11,28),"机构晚餐","无统一供餐"),IF(C2049=Options!$B$10,"返程；"&amp;IF(C2049=DATE(2026,12,2),"机构午餐","无统一供餐"),"差旅状态；无统一日程"))))))</f>
        <v/>
      </c>
      <c r="E2049" s="13">
        <f>IF(C2049=Options!$B$9,Options!$C$19,0)</f>
        <v/>
      </c>
      <c r="F2049" s="13">
        <f>IF(AND(A2049&lt;&gt;"",C2049&lt;Options!$B$10),B2049*Options!$X$7,0)</f>
        <v/>
      </c>
      <c r="G2049" s="13">
        <f>F2049*12%</f>
        <v/>
      </c>
      <c r="H2049" s="13">
        <f>IF(A2049="",0,B2049*(86*IF(OR(C2049=Options!$B$9,C2049=Options!$B$10),75%,100%)-IF(C2049=DATE(2026,11,29),23+IF(Options!$B$8="是",22,0),0)-IF(C2049=DATE(2026,11,30),23,0)-IF(C2049=DATE(2026,12,1),59,0)-IF(C2049=DATE(2026,11,28),36,0)-IF(C2049=DATE(2026,12,2),23,0)))</f>
        <v/>
      </c>
      <c r="I2049" s="13">
        <f>IF(AND(C2049&gt;=DATE(2026,11,29),C2049&lt;=DATE(2026,12,1)),B2049*60,0)</f>
        <v/>
      </c>
      <c r="J2049" s="13">
        <f>IF(A2049="",0,B2049*(IF(C2049=DATE(2026,11,28),36,0)+IF(C2049=DATE(2026,12,1),36,0)+IF(C2049=DATE(2026,12,2),23,0)))</f>
        <v/>
      </c>
      <c r="K2049" s="13">
        <f>IF(C2049=Options!$B$9,B2049*12,0)</f>
        <v/>
      </c>
      <c r="L2049" s="13">
        <f>IF(C2049=Options!$B$9,B2049*Options!$Z$7,0)</f>
        <v/>
      </c>
      <c r="M2049" s="13" t="n">
        <v>0</v>
      </c>
      <c r="N2049" s="13">
        <f>SUM(E2049:M2049)</f>
        <v/>
      </c>
    </row>
    <row r="2050">
      <c r="A2050" s="5">
        <f>IF(AND(C2050&gt;=Options!$B$9,C2050&lt;=Options!$B$10),"Phoenix","")</f>
        <v/>
      </c>
      <c r="B2050" s="5">
        <f>IF(A2050="","",24)</f>
        <v/>
      </c>
      <c r="C2050" s="17" t="n">
        <v>46516</v>
      </c>
      <c r="D2050" s="5">
        <f>IF(A2050="","",IF(C2050=DATE(2026,11,29),"培训；注册午餐；早餐参数",IF(C2050=DATE(2026,11,30),"培训；注册午餐",IF(C2050=DATE(2026,12,1),"培训；注册午餐；机构晚餐",IF(C2050=Options!$B$9,"抵达；"&amp;IF(C2050=DATE(2026,11,28),"机构晚餐","无统一供餐"),IF(C2050=Options!$B$10,"返程；"&amp;IF(C2050=DATE(2026,12,2),"机构午餐","无统一供餐"),"差旅状态；无统一日程"))))))</f>
        <v/>
      </c>
      <c r="E2050" s="13">
        <f>IF(C2050=Options!$B$9,Options!$C$19,0)</f>
        <v/>
      </c>
      <c r="F2050" s="13">
        <f>IF(AND(A2050&lt;&gt;"",C2050&lt;Options!$B$10),B2050*Options!$X$7,0)</f>
        <v/>
      </c>
      <c r="G2050" s="13">
        <f>F2050*12%</f>
        <v/>
      </c>
      <c r="H2050" s="13">
        <f>IF(A2050="",0,B2050*(86*IF(OR(C2050=Options!$B$9,C2050=Options!$B$10),75%,100%)-IF(C2050=DATE(2026,11,29),23+IF(Options!$B$8="是",22,0),0)-IF(C2050=DATE(2026,11,30),23,0)-IF(C2050=DATE(2026,12,1),59,0)-IF(C2050=DATE(2026,11,28),36,0)-IF(C2050=DATE(2026,12,2),23,0)))</f>
        <v/>
      </c>
      <c r="I2050" s="13">
        <f>IF(AND(C2050&gt;=DATE(2026,11,29),C2050&lt;=DATE(2026,12,1)),B2050*60,0)</f>
        <v/>
      </c>
      <c r="J2050" s="13">
        <f>IF(A2050="",0,B2050*(IF(C2050=DATE(2026,11,28),36,0)+IF(C2050=DATE(2026,12,1),36,0)+IF(C2050=DATE(2026,12,2),23,0)))</f>
        <v/>
      </c>
      <c r="K2050" s="13">
        <f>IF(C2050=Options!$B$9,B2050*12,0)</f>
        <v/>
      </c>
      <c r="L2050" s="13">
        <f>IF(C2050=Options!$B$9,B2050*Options!$Z$7,0)</f>
        <v/>
      </c>
      <c r="M2050" s="13" t="n">
        <v>0</v>
      </c>
      <c r="N2050" s="13">
        <f>SUM(E2050:M2050)</f>
        <v/>
      </c>
    </row>
    <row r="2051">
      <c r="A2051" s="5">
        <f>IF(AND(C2051&gt;=Options!$B$9,C2051&lt;=Options!$B$10),"Phoenix","")</f>
        <v/>
      </c>
      <c r="B2051" s="5">
        <f>IF(A2051="","",24)</f>
        <v/>
      </c>
      <c r="C2051" s="17" t="n">
        <v>46517</v>
      </c>
      <c r="D2051" s="5">
        <f>IF(A2051="","",IF(C2051=DATE(2026,11,29),"培训；注册午餐；早餐参数",IF(C2051=DATE(2026,11,30),"培训；注册午餐",IF(C2051=DATE(2026,12,1),"培训；注册午餐；机构晚餐",IF(C2051=Options!$B$9,"抵达；"&amp;IF(C2051=DATE(2026,11,28),"机构晚餐","无统一供餐"),IF(C2051=Options!$B$10,"返程；"&amp;IF(C2051=DATE(2026,12,2),"机构午餐","无统一供餐"),"差旅状态；无统一日程"))))))</f>
        <v/>
      </c>
      <c r="E2051" s="13">
        <f>IF(C2051=Options!$B$9,Options!$C$19,0)</f>
        <v/>
      </c>
      <c r="F2051" s="13">
        <f>IF(AND(A2051&lt;&gt;"",C2051&lt;Options!$B$10),B2051*Options!$X$7,0)</f>
        <v/>
      </c>
      <c r="G2051" s="13">
        <f>F2051*12%</f>
        <v/>
      </c>
      <c r="H2051" s="13">
        <f>IF(A2051="",0,B2051*(86*IF(OR(C2051=Options!$B$9,C2051=Options!$B$10),75%,100%)-IF(C2051=DATE(2026,11,29),23+IF(Options!$B$8="是",22,0),0)-IF(C2051=DATE(2026,11,30),23,0)-IF(C2051=DATE(2026,12,1),59,0)-IF(C2051=DATE(2026,11,28),36,0)-IF(C2051=DATE(2026,12,2),23,0)))</f>
        <v/>
      </c>
      <c r="I2051" s="13">
        <f>IF(AND(C2051&gt;=DATE(2026,11,29),C2051&lt;=DATE(2026,12,1)),B2051*60,0)</f>
        <v/>
      </c>
      <c r="J2051" s="13">
        <f>IF(A2051="",0,B2051*(IF(C2051=DATE(2026,11,28),36,0)+IF(C2051=DATE(2026,12,1),36,0)+IF(C2051=DATE(2026,12,2),23,0)))</f>
        <v/>
      </c>
      <c r="K2051" s="13">
        <f>IF(C2051=Options!$B$9,B2051*12,0)</f>
        <v/>
      </c>
      <c r="L2051" s="13">
        <f>IF(C2051=Options!$B$9,B2051*Options!$Z$7,0)</f>
        <v/>
      </c>
      <c r="M2051" s="13" t="n">
        <v>0</v>
      </c>
      <c r="N2051" s="13">
        <f>SUM(E2051:M2051)</f>
        <v/>
      </c>
    </row>
    <row r="2052">
      <c r="A2052" s="5">
        <f>IF(AND(C2052&gt;=Options!$B$9,C2052&lt;=Options!$B$10),"Phoenix","")</f>
        <v/>
      </c>
      <c r="B2052" s="5">
        <f>IF(A2052="","",24)</f>
        <v/>
      </c>
      <c r="C2052" s="17" t="n">
        <v>46518</v>
      </c>
      <c r="D2052" s="5">
        <f>IF(A2052="","",IF(C2052=DATE(2026,11,29),"培训；注册午餐；早餐参数",IF(C2052=DATE(2026,11,30),"培训；注册午餐",IF(C2052=DATE(2026,12,1),"培训；注册午餐；机构晚餐",IF(C2052=Options!$B$9,"抵达；"&amp;IF(C2052=DATE(2026,11,28),"机构晚餐","无统一供餐"),IF(C2052=Options!$B$10,"返程；"&amp;IF(C2052=DATE(2026,12,2),"机构午餐","无统一供餐"),"差旅状态；无统一日程"))))))</f>
        <v/>
      </c>
      <c r="E2052" s="13">
        <f>IF(C2052=Options!$B$9,Options!$C$19,0)</f>
        <v/>
      </c>
      <c r="F2052" s="13">
        <f>IF(AND(A2052&lt;&gt;"",C2052&lt;Options!$B$10),B2052*Options!$X$7,0)</f>
        <v/>
      </c>
      <c r="G2052" s="13">
        <f>F2052*12%</f>
        <v/>
      </c>
      <c r="H2052" s="13">
        <f>IF(A2052="",0,B2052*(86*IF(OR(C2052=Options!$B$9,C2052=Options!$B$10),75%,100%)-IF(C2052=DATE(2026,11,29),23+IF(Options!$B$8="是",22,0),0)-IF(C2052=DATE(2026,11,30),23,0)-IF(C2052=DATE(2026,12,1),59,0)-IF(C2052=DATE(2026,11,28),36,0)-IF(C2052=DATE(2026,12,2),23,0)))</f>
        <v/>
      </c>
      <c r="I2052" s="13">
        <f>IF(AND(C2052&gt;=DATE(2026,11,29),C2052&lt;=DATE(2026,12,1)),B2052*60,0)</f>
        <v/>
      </c>
      <c r="J2052" s="13">
        <f>IF(A2052="",0,B2052*(IF(C2052=DATE(2026,11,28),36,0)+IF(C2052=DATE(2026,12,1),36,0)+IF(C2052=DATE(2026,12,2),23,0)))</f>
        <v/>
      </c>
      <c r="K2052" s="13">
        <f>IF(C2052=Options!$B$9,B2052*12,0)</f>
        <v/>
      </c>
      <c r="L2052" s="13">
        <f>IF(C2052=Options!$B$9,B2052*Options!$Z$7,0)</f>
        <v/>
      </c>
      <c r="M2052" s="13" t="n">
        <v>0</v>
      </c>
      <c r="N2052" s="13">
        <f>SUM(E2052:M2052)</f>
        <v/>
      </c>
    </row>
    <row r="2053">
      <c r="A2053" s="5">
        <f>IF(AND(C2053&gt;=Options!$B$9,C2053&lt;=Options!$B$10),"Phoenix","")</f>
        <v/>
      </c>
      <c r="B2053" s="5">
        <f>IF(A2053="","",24)</f>
        <v/>
      </c>
      <c r="C2053" s="17" t="n">
        <v>46519</v>
      </c>
      <c r="D2053" s="5">
        <f>IF(A2053="","",IF(C2053=DATE(2026,11,29),"培训；注册午餐；早餐参数",IF(C2053=DATE(2026,11,30),"培训；注册午餐",IF(C2053=DATE(2026,12,1),"培训；注册午餐；机构晚餐",IF(C2053=Options!$B$9,"抵达；"&amp;IF(C2053=DATE(2026,11,28),"机构晚餐","无统一供餐"),IF(C2053=Options!$B$10,"返程；"&amp;IF(C2053=DATE(2026,12,2),"机构午餐","无统一供餐"),"差旅状态；无统一日程"))))))</f>
        <v/>
      </c>
      <c r="E2053" s="13">
        <f>IF(C2053=Options!$B$9,Options!$C$19,0)</f>
        <v/>
      </c>
      <c r="F2053" s="13">
        <f>IF(AND(A2053&lt;&gt;"",C2053&lt;Options!$B$10),B2053*Options!$X$7,0)</f>
        <v/>
      </c>
      <c r="G2053" s="13">
        <f>F2053*12%</f>
        <v/>
      </c>
      <c r="H2053" s="13">
        <f>IF(A2053="",0,B2053*(86*IF(OR(C2053=Options!$B$9,C2053=Options!$B$10),75%,100%)-IF(C2053=DATE(2026,11,29),23+IF(Options!$B$8="是",22,0),0)-IF(C2053=DATE(2026,11,30),23,0)-IF(C2053=DATE(2026,12,1),59,0)-IF(C2053=DATE(2026,11,28),36,0)-IF(C2053=DATE(2026,12,2),23,0)))</f>
        <v/>
      </c>
      <c r="I2053" s="13">
        <f>IF(AND(C2053&gt;=DATE(2026,11,29),C2053&lt;=DATE(2026,12,1)),B2053*60,0)</f>
        <v/>
      </c>
      <c r="J2053" s="13">
        <f>IF(A2053="",0,B2053*(IF(C2053=DATE(2026,11,28),36,0)+IF(C2053=DATE(2026,12,1),36,0)+IF(C2053=DATE(2026,12,2),23,0)))</f>
        <v/>
      </c>
      <c r="K2053" s="13">
        <f>IF(C2053=Options!$B$9,B2053*12,0)</f>
        <v/>
      </c>
      <c r="L2053" s="13">
        <f>IF(C2053=Options!$B$9,B2053*Options!$Z$7,0)</f>
        <v/>
      </c>
      <c r="M2053" s="13" t="n">
        <v>0</v>
      </c>
      <c r="N2053" s="13">
        <f>SUM(E2053:M2053)</f>
        <v/>
      </c>
    </row>
    <row r="2054">
      <c r="A2054" s="5">
        <f>IF(AND(C2054&gt;=Options!$B$9,C2054&lt;=Options!$B$10),"Phoenix","")</f>
        <v/>
      </c>
      <c r="B2054" s="5">
        <f>IF(A2054="","",24)</f>
        <v/>
      </c>
      <c r="C2054" s="17" t="n">
        <v>46520</v>
      </c>
      <c r="D2054" s="5">
        <f>IF(A2054="","",IF(C2054=DATE(2026,11,29),"培训；注册午餐；早餐参数",IF(C2054=DATE(2026,11,30),"培训；注册午餐",IF(C2054=DATE(2026,12,1),"培训；注册午餐；机构晚餐",IF(C2054=Options!$B$9,"抵达；"&amp;IF(C2054=DATE(2026,11,28),"机构晚餐","无统一供餐"),IF(C2054=Options!$B$10,"返程；"&amp;IF(C2054=DATE(2026,12,2),"机构午餐","无统一供餐"),"差旅状态；无统一日程"))))))</f>
        <v/>
      </c>
      <c r="E2054" s="13">
        <f>IF(C2054=Options!$B$9,Options!$C$19,0)</f>
        <v/>
      </c>
      <c r="F2054" s="13">
        <f>IF(AND(A2054&lt;&gt;"",C2054&lt;Options!$B$10),B2054*Options!$X$7,0)</f>
        <v/>
      </c>
      <c r="G2054" s="13">
        <f>F2054*12%</f>
        <v/>
      </c>
      <c r="H2054" s="13">
        <f>IF(A2054="",0,B2054*(86*IF(OR(C2054=Options!$B$9,C2054=Options!$B$10),75%,100%)-IF(C2054=DATE(2026,11,29),23+IF(Options!$B$8="是",22,0),0)-IF(C2054=DATE(2026,11,30),23,0)-IF(C2054=DATE(2026,12,1),59,0)-IF(C2054=DATE(2026,11,28),36,0)-IF(C2054=DATE(2026,12,2),23,0)))</f>
        <v/>
      </c>
      <c r="I2054" s="13">
        <f>IF(AND(C2054&gt;=DATE(2026,11,29),C2054&lt;=DATE(2026,12,1)),B2054*60,0)</f>
        <v/>
      </c>
      <c r="J2054" s="13">
        <f>IF(A2054="",0,B2054*(IF(C2054=DATE(2026,11,28),36,0)+IF(C2054=DATE(2026,12,1),36,0)+IF(C2054=DATE(2026,12,2),23,0)))</f>
        <v/>
      </c>
      <c r="K2054" s="13">
        <f>IF(C2054=Options!$B$9,B2054*12,0)</f>
        <v/>
      </c>
      <c r="L2054" s="13">
        <f>IF(C2054=Options!$B$9,B2054*Options!$Z$7,0)</f>
        <v/>
      </c>
      <c r="M2054" s="13" t="n">
        <v>0</v>
      </c>
      <c r="N2054" s="13">
        <f>SUM(E2054:M2054)</f>
        <v/>
      </c>
    </row>
    <row r="2055">
      <c r="A2055" s="5">
        <f>IF(AND(C2055&gt;=Options!$B$9,C2055&lt;=Options!$B$10),"Phoenix","")</f>
        <v/>
      </c>
      <c r="B2055" s="5">
        <f>IF(A2055="","",24)</f>
        <v/>
      </c>
      <c r="C2055" s="17" t="n">
        <v>46521</v>
      </c>
      <c r="D2055" s="5">
        <f>IF(A2055="","",IF(C2055=DATE(2026,11,29),"培训；注册午餐；早餐参数",IF(C2055=DATE(2026,11,30),"培训；注册午餐",IF(C2055=DATE(2026,12,1),"培训；注册午餐；机构晚餐",IF(C2055=Options!$B$9,"抵达；"&amp;IF(C2055=DATE(2026,11,28),"机构晚餐","无统一供餐"),IF(C2055=Options!$B$10,"返程；"&amp;IF(C2055=DATE(2026,12,2),"机构午餐","无统一供餐"),"差旅状态；无统一日程"))))))</f>
        <v/>
      </c>
      <c r="E2055" s="13">
        <f>IF(C2055=Options!$B$9,Options!$C$19,0)</f>
        <v/>
      </c>
      <c r="F2055" s="13">
        <f>IF(AND(A2055&lt;&gt;"",C2055&lt;Options!$B$10),B2055*Options!$X$7,0)</f>
        <v/>
      </c>
      <c r="G2055" s="13">
        <f>F2055*12%</f>
        <v/>
      </c>
      <c r="H2055" s="13">
        <f>IF(A2055="",0,B2055*(86*IF(OR(C2055=Options!$B$9,C2055=Options!$B$10),75%,100%)-IF(C2055=DATE(2026,11,29),23+IF(Options!$B$8="是",22,0),0)-IF(C2055=DATE(2026,11,30),23,0)-IF(C2055=DATE(2026,12,1),59,0)-IF(C2055=DATE(2026,11,28),36,0)-IF(C2055=DATE(2026,12,2),23,0)))</f>
        <v/>
      </c>
      <c r="I2055" s="13">
        <f>IF(AND(C2055&gt;=DATE(2026,11,29),C2055&lt;=DATE(2026,12,1)),B2055*60,0)</f>
        <v/>
      </c>
      <c r="J2055" s="13">
        <f>IF(A2055="",0,B2055*(IF(C2055=DATE(2026,11,28),36,0)+IF(C2055=DATE(2026,12,1),36,0)+IF(C2055=DATE(2026,12,2),23,0)))</f>
        <v/>
      </c>
      <c r="K2055" s="13">
        <f>IF(C2055=Options!$B$9,B2055*12,0)</f>
        <v/>
      </c>
      <c r="L2055" s="13">
        <f>IF(C2055=Options!$B$9,B2055*Options!$Z$7,0)</f>
        <v/>
      </c>
      <c r="M2055" s="13" t="n">
        <v>0</v>
      </c>
      <c r="N2055" s="13">
        <f>SUM(E2055:M2055)</f>
        <v/>
      </c>
    </row>
    <row r="2056">
      <c r="A2056" s="5">
        <f>IF(AND(C2056&gt;=Options!$B$9,C2056&lt;=Options!$B$10),"Phoenix","")</f>
        <v/>
      </c>
      <c r="B2056" s="5">
        <f>IF(A2056="","",24)</f>
        <v/>
      </c>
      <c r="C2056" s="17" t="n">
        <v>46522</v>
      </c>
      <c r="D2056" s="5">
        <f>IF(A2056="","",IF(C2056=DATE(2026,11,29),"培训；注册午餐；早餐参数",IF(C2056=DATE(2026,11,30),"培训；注册午餐",IF(C2056=DATE(2026,12,1),"培训；注册午餐；机构晚餐",IF(C2056=Options!$B$9,"抵达；"&amp;IF(C2056=DATE(2026,11,28),"机构晚餐","无统一供餐"),IF(C2056=Options!$B$10,"返程；"&amp;IF(C2056=DATE(2026,12,2),"机构午餐","无统一供餐"),"差旅状态；无统一日程"))))))</f>
        <v/>
      </c>
      <c r="E2056" s="13">
        <f>IF(C2056=Options!$B$9,Options!$C$19,0)</f>
        <v/>
      </c>
      <c r="F2056" s="13">
        <f>IF(AND(A2056&lt;&gt;"",C2056&lt;Options!$B$10),B2056*Options!$X$7,0)</f>
        <v/>
      </c>
      <c r="G2056" s="13">
        <f>F2056*12%</f>
        <v/>
      </c>
      <c r="H2056" s="13">
        <f>IF(A2056="",0,B2056*(86*IF(OR(C2056=Options!$B$9,C2056=Options!$B$10),75%,100%)-IF(C2056=DATE(2026,11,29),23+IF(Options!$B$8="是",22,0),0)-IF(C2056=DATE(2026,11,30),23,0)-IF(C2056=DATE(2026,12,1),59,0)-IF(C2056=DATE(2026,11,28),36,0)-IF(C2056=DATE(2026,12,2),23,0)))</f>
        <v/>
      </c>
      <c r="I2056" s="13">
        <f>IF(AND(C2056&gt;=DATE(2026,11,29),C2056&lt;=DATE(2026,12,1)),B2056*60,0)</f>
        <v/>
      </c>
      <c r="J2056" s="13">
        <f>IF(A2056="",0,B2056*(IF(C2056=DATE(2026,11,28),36,0)+IF(C2056=DATE(2026,12,1),36,0)+IF(C2056=DATE(2026,12,2),23,0)))</f>
        <v/>
      </c>
      <c r="K2056" s="13">
        <f>IF(C2056=Options!$B$9,B2056*12,0)</f>
        <v/>
      </c>
      <c r="L2056" s="13">
        <f>IF(C2056=Options!$B$9,B2056*Options!$Z$7,0)</f>
        <v/>
      </c>
      <c r="M2056" s="13" t="n">
        <v>0</v>
      </c>
      <c r="N2056" s="13">
        <f>SUM(E2056:M2056)</f>
        <v/>
      </c>
    </row>
    <row r="2057">
      <c r="A2057" s="5">
        <f>IF(AND(C2057&gt;=Options!$B$9,C2057&lt;=Options!$B$10),"Phoenix","")</f>
        <v/>
      </c>
      <c r="B2057" s="5">
        <f>IF(A2057="","",24)</f>
        <v/>
      </c>
      <c r="C2057" s="17" t="n">
        <v>46523</v>
      </c>
      <c r="D2057" s="5">
        <f>IF(A2057="","",IF(C2057=DATE(2026,11,29),"培训；注册午餐；早餐参数",IF(C2057=DATE(2026,11,30),"培训；注册午餐",IF(C2057=DATE(2026,12,1),"培训；注册午餐；机构晚餐",IF(C2057=Options!$B$9,"抵达；"&amp;IF(C2057=DATE(2026,11,28),"机构晚餐","无统一供餐"),IF(C2057=Options!$B$10,"返程；"&amp;IF(C2057=DATE(2026,12,2),"机构午餐","无统一供餐"),"差旅状态；无统一日程"))))))</f>
        <v/>
      </c>
      <c r="E2057" s="13">
        <f>IF(C2057=Options!$B$9,Options!$C$19,0)</f>
        <v/>
      </c>
      <c r="F2057" s="13">
        <f>IF(AND(A2057&lt;&gt;"",C2057&lt;Options!$B$10),B2057*Options!$X$7,0)</f>
        <v/>
      </c>
      <c r="G2057" s="13">
        <f>F2057*12%</f>
        <v/>
      </c>
      <c r="H2057" s="13">
        <f>IF(A2057="",0,B2057*(86*IF(OR(C2057=Options!$B$9,C2057=Options!$B$10),75%,100%)-IF(C2057=DATE(2026,11,29),23+IF(Options!$B$8="是",22,0),0)-IF(C2057=DATE(2026,11,30),23,0)-IF(C2057=DATE(2026,12,1),59,0)-IF(C2057=DATE(2026,11,28),36,0)-IF(C2057=DATE(2026,12,2),23,0)))</f>
        <v/>
      </c>
      <c r="I2057" s="13">
        <f>IF(AND(C2057&gt;=DATE(2026,11,29),C2057&lt;=DATE(2026,12,1)),B2057*60,0)</f>
        <v/>
      </c>
      <c r="J2057" s="13">
        <f>IF(A2057="",0,B2057*(IF(C2057=DATE(2026,11,28),36,0)+IF(C2057=DATE(2026,12,1),36,0)+IF(C2057=DATE(2026,12,2),23,0)))</f>
        <v/>
      </c>
      <c r="K2057" s="13">
        <f>IF(C2057=Options!$B$9,B2057*12,0)</f>
        <v/>
      </c>
      <c r="L2057" s="13">
        <f>IF(C2057=Options!$B$9,B2057*Options!$Z$7,0)</f>
        <v/>
      </c>
      <c r="M2057" s="13" t="n">
        <v>0</v>
      </c>
      <c r="N2057" s="13">
        <f>SUM(E2057:M2057)</f>
        <v/>
      </c>
    </row>
    <row r="2058">
      <c r="A2058" s="5">
        <f>IF(AND(C2058&gt;=Options!$B$9,C2058&lt;=Options!$B$10),"Phoenix","")</f>
        <v/>
      </c>
      <c r="B2058" s="5">
        <f>IF(A2058="","",24)</f>
        <v/>
      </c>
      <c r="C2058" s="17" t="n">
        <v>46524</v>
      </c>
      <c r="D2058" s="5">
        <f>IF(A2058="","",IF(C2058=DATE(2026,11,29),"培训；注册午餐；早餐参数",IF(C2058=DATE(2026,11,30),"培训；注册午餐",IF(C2058=DATE(2026,12,1),"培训；注册午餐；机构晚餐",IF(C2058=Options!$B$9,"抵达；"&amp;IF(C2058=DATE(2026,11,28),"机构晚餐","无统一供餐"),IF(C2058=Options!$B$10,"返程；"&amp;IF(C2058=DATE(2026,12,2),"机构午餐","无统一供餐"),"差旅状态；无统一日程"))))))</f>
        <v/>
      </c>
      <c r="E2058" s="13">
        <f>IF(C2058=Options!$B$9,Options!$C$19,0)</f>
        <v/>
      </c>
      <c r="F2058" s="13">
        <f>IF(AND(A2058&lt;&gt;"",C2058&lt;Options!$B$10),B2058*Options!$X$7,0)</f>
        <v/>
      </c>
      <c r="G2058" s="13">
        <f>F2058*12%</f>
        <v/>
      </c>
      <c r="H2058" s="13">
        <f>IF(A2058="",0,B2058*(86*IF(OR(C2058=Options!$B$9,C2058=Options!$B$10),75%,100%)-IF(C2058=DATE(2026,11,29),23+IF(Options!$B$8="是",22,0),0)-IF(C2058=DATE(2026,11,30),23,0)-IF(C2058=DATE(2026,12,1),59,0)-IF(C2058=DATE(2026,11,28),36,0)-IF(C2058=DATE(2026,12,2),23,0)))</f>
        <v/>
      </c>
      <c r="I2058" s="13">
        <f>IF(AND(C2058&gt;=DATE(2026,11,29),C2058&lt;=DATE(2026,12,1)),B2058*60,0)</f>
        <v/>
      </c>
      <c r="J2058" s="13">
        <f>IF(A2058="",0,B2058*(IF(C2058=DATE(2026,11,28),36,0)+IF(C2058=DATE(2026,12,1),36,0)+IF(C2058=DATE(2026,12,2),23,0)))</f>
        <v/>
      </c>
      <c r="K2058" s="13">
        <f>IF(C2058=Options!$B$9,B2058*12,0)</f>
        <v/>
      </c>
      <c r="L2058" s="13">
        <f>IF(C2058=Options!$B$9,B2058*Options!$Z$7,0)</f>
        <v/>
      </c>
      <c r="M2058" s="13" t="n">
        <v>0</v>
      </c>
      <c r="N2058" s="13">
        <f>SUM(E2058:M2058)</f>
        <v/>
      </c>
    </row>
    <row r="2059">
      <c r="A2059" s="5">
        <f>IF(AND(C2059&gt;=Options!$B$9,C2059&lt;=Options!$B$10),"Phoenix","")</f>
        <v/>
      </c>
      <c r="B2059" s="5">
        <f>IF(A2059="","",24)</f>
        <v/>
      </c>
      <c r="C2059" s="17" t="n">
        <v>46525</v>
      </c>
      <c r="D2059" s="5">
        <f>IF(A2059="","",IF(C2059=DATE(2026,11,29),"培训；注册午餐；早餐参数",IF(C2059=DATE(2026,11,30),"培训；注册午餐",IF(C2059=DATE(2026,12,1),"培训；注册午餐；机构晚餐",IF(C2059=Options!$B$9,"抵达；"&amp;IF(C2059=DATE(2026,11,28),"机构晚餐","无统一供餐"),IF(C2059=Options!$B$10,"返程；"&amp;IF(C2059=DATE(2026,12,2),"机构午餐","无统一供餐"),"差旅状态；无统一日程"))))))</f>
        <v/>
      </c>
      <c r="E2059" s="13">
        <f>IF(C2059=Options!$B$9,Options!$C$19,0)</f>
        <v/>
      </c>
      <c r="F2059" s="13">
        <f>IF(AND(A2059&lt;&gt;"",C2059&lt;Options!$B$10),B2059*Options!$X$7,0)</f>
        <v/>
      </c>
      <c r="G2059" s="13">
        <f>F2059*12%</f>
        <v/>
      </c>
      <c r="H2059" s="13">
        <f>IF(A2059="",0,B2059*(86*IF(OR(C2059=Options!$B$9,C2059=Options!$B$10),75%,100%)-IF(C2059=DATE(2026,11,29),23+IF(Options!$B$8="是",22,0),0)-IF(C2059=DATE(2026,11,30),23,0)-IF(C2059=DATE(2026,12,1),59,0)-IF(C2059=DATE(2026,11,28),36,0)-IF(C2059=DATE(2026,12,2),23,0)))</f>
        <v/>
      </c>
      <c r="I2059" s="13">
        <f>IF(AND(C2059&gt;=DATE(2026,11,29),C2059&lt;=DATE(2026,12,1)),B2059*60,0)</f>
        <v/>
      </c>
      <c r="J2059" s="13">
        <f>IF(A2059="",0,B2059*(IF(C2059=DATE(2026,11,28),36,0)+IF(C2059=DATE(2026,12,1),36,0)+IF(C2059=DATE(2026,12,2),23,0)))</f>
        <v/>
      </c>
      <c r="K2059" s="13">
        <f>IF(C2059=Options!$B$9,B2059*12,0)</f>
        <v/>
      </c>
      <c r="L2059" s="13">
        <f>IF(C2059=Options!$B$9,B2059*Options!$Z$7,0)</f>
        <v/>
      </c>
      <c r="M2059" s="13" t="n">
        <v>0</v>
      </c>
      <c r="N2059" s="13">
        <f>SUM(E2059:M2059)</f>
        <v/>
      </c>
    </row>
    <row r="2060">
      <c r="A2060" s="5">
        <f>IF(AND(C2060&gt;=Options!$B$9,C2060&lt;=Options!$B$10),"Phoenix","")</f>
        <v/>
      </c>
      <c r="B2060" s="5">
        <f>IF(A2060="","",24)</f>
        <v/>
      </c>
      <c r="C2060" s="17" t="n">
        <v>46526</v>
      </c>
      <c r="D2060" s="5">
        <f>IF(A2060="","",IF(C2060=DATE(2026,11,29),"培训；注册午餐；早餐参数",IF(C2060=DATE(2026,11,30),"培训；注册午餐",IF(C2060=DATE(2026,12,1),"培训；注册午餐；机构晚餐",IF(C2060=Options!$B$9,"抵达；"&amp;IF(C2060=DATE(2026,11,28),"机构晚餐","无统一供餐"),IF(C2060=Options!$B$10,"返程；"&amp;IF(C2060=DATE(2026,12,2),"机构午餐","无统一供餐"),"差旅状态；无统一日程"))))))</f>
        <v/>
      </c>
      <c r="E2060" s="13">
        <f>IF(C2060=Options!$B$9,Options!$C$19,0)</f>
        <v/>
      </c>
      <c r="F2060" s="13">
        <f>IF(AND(A2060&lt;&gt;"",C2060&lt;Options!$B$10),B2060*Options!$X$7,0)</f>
        <v/>
      </c>
      <c r="G2060" s="13">
        <f>F2060*12%</f>
        <v/>
      </c>
      <c r="H2060" s="13">
        <f>IF(A2060="",0,B2060*(86*IF(OR(C2060=Options!$B$9,C2060=Options!$B$10),75%,100%)-IF(C2060=DATE(2026,11,29),23+IF(Options!$B$8="是",22,0),0)-IF(C2060=DATE(2026,11,30),23,0)-IF(C2060=DATE(2026,12,1),59,0)-IF(C2060=DATE(2026,11,28),36,0)-IF(C2060=DATE(2026,12,2),23,0)))</f>
        <v/>
      </c>
      <c r="I2060" s="13">
        <f>IF(AND(C2060&gt;=DATE(2026,11,29),C2060&lt;=DATE(2026,12,1)),B2060*60,0)</f>
        <v/>
      </c>
      <c r="J2060" s="13">
        <f>IF(A2060="",0,B2060*(IF(C2060=DATE(2026,11,28),36,0)+IF(C2060=DATE(2026,12,1),36,0)+IF(C2060=DATE(2026,12,2),23,0)))</f>
        <v/>
      </c>
      <c r="K2060" s="13">
        <f>IF(C2060=Options!$B$9,B2060*12,0)</f>
        <v/>
      </c>
      <c r="L2060" s="13">
        <f>IF(C2060=Options!$B$9,B2060*Options!$Z$7,0)</f>
        <v/>
      </c>
      <c r="M2060" s="13" t="n">
        <v>0</v>
      </c>
      <c r="N2060" s="13">
        <f>SUM(E2060:M2060)</f>
        <v/>
      </c>
    </row>
    <row r="2061">
      <c r="A2061" s="5">
        <f>IF(AND(C2061&gt;=Options!$B$9,C2061&lt;=Options!$B$10),"Phoenix","")</f>
        <v/>
      </c>
      <c r="B2061" s="5">
        <f>IF(A2061="","",24)</f>
        <v/>
      </c>
      <c r="C2061" s="17" t="n">
        <v>46527</v>
      </c>
      <c r="D2061" s="5">
        <f>IF(A2061="","",IF(C2061=DATE(2026,11,29),"培训；注册午餐；早餐参数",IF(C2061=DATE(2026,11,30),"培训；注册午餐",IF(C2061=DATE(2026,12,1),"培训；注册午餐；机构晚餐",IF(C2061=Options!$B$9,"抵达；"&amp;IF(C2061=DATE(2026,11,28),"机构晚餐","无统一供餐"),IF(C2061=Options!$B$10,"返程；"&amp;IF(C2061=DATE(2026,12,2),"机构午餐","无统一供餐"),"差旅状态；无统一日程"))))))</f>
        <v/>
      </c>
      <c r="E2061" s="13">
        <f>IF(C2061=Options!$B$9,Options!$C$19,0)</f>
        <v/>
      </c>
      <c r="F2061" s="13">
        <f>IF(AND(A2061&lt;&gt;"",C2061&lt;Options!$B$10),B2061*Options!$X$7,0)</f>
        <v/>
      </c>
      <c r="G2061" s="13">
        <f>F2061*12%</f>
        <v/>
      </c>
      <c r="H2061" s="13">
        <f>IF(A2061="",0,B2061*(86*IF(OR(C2061=Options!$B$9,C2061=Options!$B$10),75%,100%)-IF(C2061=DATE(2026,11,29),23+IF(Options!$B$8="是",22,0),0)-IF(C2061=DATE(2026,11,30),23,0)-IF(C2061=DATE(2026,12,1),59,0)-IF(C2061=DATE(2026,11,28),36,0)-IF(C2061=DATE(2026,12,2),23,0)))</f>
        <v/>
      </c>
      <c r="I2061" s="13">
        <f>IF(AND(C2061&gt;=DATE(2026,11,29),C2061&lt;=DATE(2026,12,1)),B2061*60,0)</f>
        <v/>
      </c>
      <c r="J2061" s="13">
        <f>IF(A2061="",0,B2061*(IF(C2061=DATE(2026,11,28),36,0)+IF(C2061=DATE(2026,12,1),36,0)+IF(C2061=DATE(2026,12,2),23,0)))</f>
        <v/>
      </c>
      <c r="K2061" s="13">
        <f>IF(C2061=Options!$B$9,B2061*12,0)</f>
        <v/>
      </c>
      <c r="L2061" s="13">
        <f>IF(C2061=Options!$B$9,B2061*Options!$Z$7,0)</f>
        <v/>
      </c>
      <c r="M2061" s="13" t="n">
        <v>0</v>
      </c>
      <c r="N2061" s="13">
        <f>SUM(E2061:M2061)</f>
        <v/>
      </c>
    </row>
    <row r="2062">
      <c r="A2062" s="5">
        <f>IF(AND(C2062&gt;=Options!$B$9,C2062&lt;=Options!$B$10),"Phoenix","")</f>
        <v/>
      </c>
      <c r="B2062" s="5">
        <f>IF(A2062="","",24)</f>
        <v/>
      </c>
      <c r="C2062" s="17" t="n">
        <v>46528</v>
      </c>
      <c r="D2062" s="5">
        <f>IF(A2062="","",IF(C2062=DATE(2026,11,29),"培训；注册午餐；早餐参数",IF(C2062=DATE(2026,11,30),"培训；注册午餐",IF(C2062=DATE(2026,12,1),"培训；注册午餐；机构晚餐",IF(C2062=Options!$B$9,"抵达；"&amp;IF(C2062=DATE(2026,11,28),"机构晚餐","无统一供餐"),IF(C2062=Options!$B$10,"返程；"&amp;IF(C2062=DATE(2026,12,2),"机构午餐","无统一供餐"),"差旅状态；无统一日程"))))))</f>
        <v/>
      </c>
      <c r="E2062" s="13">
        <f>IF(C2062=Options!$B$9,Options!$C$19,0)</f>
        <v/>
      </c>
      <c r="F2062" s="13">
        <f>IF(AND(A2062&lt;&gt;"",C2062&lt;Options!$B$10),B2062*Options!$X$7,0)</f>
        <v/>
      </c>
      <c r="G2062" s="13">
        <f>F2062*12%</f>
        <v/>
      </c>
      <c r="H2062" s="13">
        <f>IF(A2062="",0,B2062*(86*IF(OR(C2062=Options!$B$9,C2062=Options!$B$10),75%,100%)-IF(C2062=DATE(2026,11,29),23+IF(Options!$B$8="是",22,0),0)-IF(C2062=DATE(2026,11,30),23,0)-IF(C2062=DATE(2026,12,1),59,0)-IF(C2062=DATE(2026,11,28),36,0)-IF(C2062=DATE(2026,12,2),23,0)))</f>
        <v/>
      </c>
      <c r="I2062" s="13">
        <f>IF(AND(C2062&gt;=DATE(2026,11,29),C2062&lt;=DATE(2026,12,1)),B2062*60,0)</f>
        <v/>
      </c>
      <c r="J2062" s="13">
        <f>IF(A2062="",0,B2062*(IF(C2062=DATE(2026,11,28),36,0)+IF(C2062=DATE(2026,12,1),36,0)+IF(C2062=DATE(2026,12,2),23,0)))</f>
        <v/>
      </c>
      <c r="K2062" s="13">
        <f>IF(C2062=Options!$B$9,B2062*12,0)</f>
        <v/>
      </c>
      <c r="L2062" s="13">
        <f>IF(C2062=Options!$B$9,B2062*Options!$Z$7,0)</f>
        <v/>
      </c>
      <c r="M2062" s="13" t="n">
        <v>0</v>
      </c>
      <c r="N2062" s="13">
        <f>SUM(E2062:M2062)</f>
        <v/>
      </c>
    </row>
    <row r="2063">
      <c r="A2063" s="5">
        <f>IF(AND(C2063&gt;=Options!$B$9,C2063&lt;=Options!$B$10),"Phoenix","")</f>
        <v/>
      </c>
      <c r="B2063" s="5">
        <f>IF(A2063="","",24)</f>
        <v/>
      </c>
      <c r="C2063" s="17" t="n">
        <v>46529</v>
      </c>
      <c r="D2063" s="5">
        <f>IF(A2063="","",IF(C2063=DATE(2026,11,29),"培训；注册午餐；早餐参数",IF(C2063=DATE(2026,11,30),"培训；注册午餐",IF(C2063=DATE(2026,12,1),"培训；注册午餐；机构晚餐",IF(C2063=Options!$B$9,"抵达；"&amp;IF(C2063=DATE(2026,11,28),"机构晚餐","无统一供餐"),IF(C2063=Options!$B$10,"返程；"&amp;IF(C2063=DATE(2026,12,2),"机构午餐","无统一供餐"),"差旅状态；无统一日程"))))))</f>
        <v/>
      </c>
      <c r="E2063" s="13">
        <f>IF(C2063=Options!$B$9,Options!$C$19,0)</f>
        <v/>
      </c>
      <c r="F2063" s="13">
        <f>IF(AND(A2063&lt;&gt;"",C2063&lt;Options!$B$10),B2063*Options!$X$7,0)</f>
        <v/>
      </c>
      <c r="G2063" s="13">
        <f>F2063*12%</f>
        <v/>
      </c>
      <c r="H2063" s="13">
        <f>IF(A2063="",0,B2063*(86*IF(OR(C2063=Options!$B$9,C2063=Options!$B$10),75%,100%)-IF(C2063=DATE(2026,11,29),23+IF(Options!$B$8="是",22,0),0)-IF(C2063=DATE(2026,11,30),23,0)-IF(C2063=DATE(2026,12,1),59,0)-IF(C2063=DATE(2026,11,28),36,0)-IF(C2063=DATE(2026,12,2),23,0)))</f>
        <v/>
      </c>
      <c r="I2063" s="13">
        <f>IF(AND(C2063&gt;=DATE(2026,11,29),C2063&lt;=DATE(2026,12,1)),B2063*60,0)</f>
        <v/>
      </c>
      <c r="J2063" s="13">
        <f>IF(A2063="",0,B2063*(IF(C2063=DATE(2026,11,28),36,0)+IF(C2063=DATE(2026,12,1),36,0)+IF(C2063=DATE(2026,12,2),23,0)))</f>
        <v/>
      </c>
      <c r="K2063" s="13">
        <f>IF(C2063=Options!$B$9,B2063*12,0)</f>
        <v/>
      </c>
      <c r="L2063" s="13">
        <f>IF(C2063=Options!$B$9,B2063*Options!$Z$7,0)</f>
        <v/>
      </c>
      <c r="M2063" s="13" t="n">
        <v>0</v>
      </c>
      <c r="N2063" s="13">
        <f>SUM(E2063:M2063)</f>
        <v/>
      </c>
    </row>
    <row r="2064">
      <c r="A2064" s="5">
        <f>IF(AND(C2064&gt;=Options!$B$9,C2064&lt;=Options!$B$10),"Phoenix","")</f>
        <v/>
      </c>
      <c r="B2064" s="5">
        <f>IF(A2064="","",24)</f>
        <v/>
      </c>
      <c r="C2064" s="17" t="n">
        <v>46530</v>
      </c>
      <c r="D2064" s="5">
        <f>IF(A2064="","",IF(C2064=DATE(2026,11,29),"培训；注册午餐；早餐参数",IF(C2064=DATE(2026,11,30),"培训；注册午餐",IF(C2064=DATE(2026,12,1),"培训；注册午餐；机构晚餐",IF(C2064=Options!$B$9,"抵达；"&amp;IF(C2064=DATE(2026,11,28),"机构晚餐","无统一供餐"),IF(C2064=Options!$B$10,"返程；"&amp;IF(C2064=DATE(2026,12,2),"机构午餐","无统一供餐"),"差旅状态；无统一日程"))))))</f>
        <v/>
      </c>
      <c r="E2064" s="13">
        <f>IF(C2064=Options!$B$9,Options!$C$19,0)</f>
        <v/>
      </c>
      <c r="F2064" s="13">
        <f>IF(AND(A2064&lt;&gt;"",C2064&lt;Options!$B$10),B2064*Options!$X$7,0)</f>
        <v/>
      </c>
      <c r="G2064" s="13">
        <f>F2064*12%</f>
        <v/>
      </c>
      <c r="H2064" s="13">
        <f>IF(A2064="",0,B2064*(86*IF(OR(C2064=Options!$B$9,C2064=Options!$B$10),75%,100%)-IF(C2064=DATE(2026,11,29),23+IF(Options!$B$8="是",22,0),0)-IF(C2064=DATE(2026,11,30),23,0)-IF(C2064=DATE(2026,12,1),59,0)-IF(C2064=DATE(2026,11,28),36,0)-IF(C2064=DATE(2026,12,2),23,0)))</f>
        <v/>
      </c>
      <c r="I2064" s="13">
        <f>IF(AND(C2064&gt;=DATE(2026,11,29),C2064&lt;=DATE(2026,12,1)),B2064*60,0)</f>
        <v/>
      </c>
      <c r="J2064" s="13">
        <f>IF(A2064="",0,B2064*(IF(C2064=DATE(2026,11,28),36,0)+IF(C2064=DATE(2026,12,1),36,0)+IF(C2064=DATE(2026,12,2),23,0)))</f>
        <v/>
      </c>
      <c r="K2064" s="13">
        <f>IF(C2064=Options!$B$9,B2064*12,0)</f>
        <v/>
      </c>
      <c r="L2064" s="13">
        <f>IF(C2064=Options!$B$9,B2064*Options!$Z$7,0)</f>
        <v/>
      </c>
      <c r="M2064" s="13" t="n">
        <v>0</v>
      </c>
      <c r="N2064" s="13">
        <f>SUM(E2064:M2064)</f>
        <v/>
      </c>
    </row>
    <row r="2065">
      <c r="A2065" s="5">
        <f>IF(AND(C2065&gt;=Options!$B$9,C2065&lt;=Options!$B$10),"Phoenix","")</f>
        <v/>
      </c>
      <c r="B2065" s="5">
        <f>IF(A2065="","",24)</f>
        <v/>
      </c>
      <c r="C2065" s="17" t="n">
        <v>46531</v>
      </c>
      <c r="D2065" s="5">
        <f>IF(A2065="","",IF(C2065=DATE(2026,11,29),"培训；注册午餐；早餐参数",IF(C2065=DATE(2026,11,30),"培训；注册午餐",IF(C2065=DATE(2026,12,1),"培训；注册午餐；机构晚餐",IF(C2065=Options!$B$9,"抵达；"&amp;IF(C2065=DATE(2026,11,28),"机构晚餐","无统一供餐"),IF(C2065=Options!$B$10,"返程；"&amp;IF(C2065=DATE(2026,12,2),"机构午餐","无统一供餐"),"差旅状态；无统一日程"))))))</f>
        <v/>
      </c>
      <c r="E2065" s="13">
        <f>IF(C2065=Options!$B$9,Options!$C$19,0)</f>
        <v/>
      </c>
      <c r="F2065" s="13">
        <f>IF(AND(A2065&lt;&gt;"",C2065&lt;Options!$B$10),B2065*Options!$X$7,0)</f>
        <v/>
      </c>
      <c r="G2065" s="13">
        <f>F2065*12%</f>
        <v/>
      </c>
      <c r="H2065" s="13">
        <f>IF(A2065="",0,B2065*(86*IF(OR(C2065=Options!$B$9,C2065=Options!$B$10),75%,100%)-IF(C2065=DATE(2026,11,29),23+IF(Options!$B$8="是",22,0),0)-IF(C2065=DATE(2026,11,30),23,0)-IF(C2065=DATE(2026,12,1),59,0)-IF(C2065=DATE(2026,11,28),36,0)-IF(C2065=DATE(2026,12,2),23,0)))</f>
        <v/>
      </c>
      <c r="I2065" s="13">
        <f>IF(AND(C2065&gt;=DATE(2026,11,29),C2065&lt;=DATE(2026,12,1)),B2065*60,0)</f>
        <v/>
      </c>
      <c r="J2065" s="13">
        <f>IF(A2065="",0,B2065*(IF(C2065=DATE(2026,11,28),36,0)+IF(C2065=DATE(2026,12,1),36,0)+IF(C2065=DATE(2026,12,2),23,0)))</f>
        <v/>
      </c>
      <c r="K2065" s="13">
        <f>IF(C2065=Options!$B$9,B2065*12,0)</f>
        <v/>
      </c>
      <c r="L2065" s="13">
        <f>IF(C2065=Options!$B$9,B2065*Options!$Z$7,0)</f>
        <v/>
      </c>
      <c r="M2065" s="13" t="n">
        <v>0</v>
      </c>
      <c r="N2065" s="13">
        <f>SUM(E2065:M2065)</f>
        <v/>
      </c>
    </row>
    <row r="2066">
      <c r="A2066" s="5">
        <f>IF(AND(C2066&gt;=Options!$B$9,C2066&lt;=Options!$B$10),"Phoenix","")</f>
        <v/>
      </c>
      <c r="B2066" s="5">
        <f>IF(A2066="","",24)</f>
        <v/>
      </c>
      <c r="C2066" s="17" t="n">
        <v>46532</v>
      </c>
      <c r="D2066" s="5">
        <f>IF(A2066="","",IF(C2066=DATE(2026,11,29),"培训；注册午餐；早餐参数",IF(C2066=DATE(2026,11,30),"培训；注册午餐",IF(C2066=DATE(2026,12,1),"培训；注册午餐；机构晚餐",IF(C2066=Options!$B$9,"抵达；"&amp;IF(C2066=DATE(2026,11,28),"机构晚餐","无统一供餐"),IF(C2066=Options!$B$10,"返程；"&amp;IF(C2066=DATE(2026,12,2),"机构午餐","无统一供餐"),"差旅状态；无统一日程"))))))</f>
        <v/>
      </c>
      <c r="E2066" s="13">
        <f>IF(C2066=Options!$B$9,Options!$C$19,0)</f>
        <v/>
      </c>
      <c r="F2066" s="13">
        <f>IF(AND(A2066&lt;&gt;"",C2066&lt;Options!$B$10),B2066*Options!$X$7,0)</f>
        <v/>
      </c>
      <c r="G2066" s="13">
        <f>F2066*12%</f>
        <v/>
      </c>
      <c r="H2066" s="13">
        <f>IF(A2066="",0,B2066*(86*IF(OR(C2066=Options!$B$9,C2066=Options!$B$10),75%,100%)-IF(C2066=DATE(2026,11,29),23+IF(Options!$B$8="是",22,0),0)-IF(C2066=DATE(2026,11,30),23,0)-IF(C2066=DATE(2026,12,1),59,0)-IF(C2066=DATE(2026,11,28),36,0)-IF(C2066=DATE(2026,12,2),23,0)))</f>
        <v/>
      </c>
      <c r="I2066" s="13">
        <f>IF(AND(C2066&gt;=DATE(2026,11,29),C2066&lt;=DATE(2026,12,1)),B2066*60,0)</f>
        <v/>
      </c>
      <c r="J2066" s="13">
        <f>IF(A2066="",0,B2066*(IF(C2066=DATE(2026,11,28),36,0)+IF(C2066=DATE(2026,12,1),36,0)+IF(C2066=DATE(2026,12,2),23,0)))</f>
        <v/>
      </c>
      <c r="K2066" s="13">
        <f>IF(C2066=Options!$B$9,B2066*12,0)</f>
        <v/>
      </c>
      <c r="L2066" s="13">
        <f>IF(C2066=Options!$B$9,B2066*Options!$Z$7,0)</f>
        <v/>
      </c>
      <c r="M2066" s="13" t="n">
        <v>0</v>
      </c>
      <c r="N2066" s="13">
        <f>SUM(E2066:M2066)</f>
        <v/>
      </c>
    </row>
    <row r="2067">
      <c r="A2067" s="5">
        <f>IF(AND(C2067&gt;=Options!$B$9,C2067&lt;=Options!$B$10),"Phoenix","")</f>
        <v/>
      </c>
      <c r="B2067" s="5">
        <f>IF(A2067="","",24)</f>
        <v/>
      </c>
      <c r="C2067" s="17" t="n">
        <v>46533</v>
      </c>
      <c r="D2067" s="5">
        <f>IF(A2067="","",IF(C2067=DATE(2026,11,29),"培训；注册午餐；早餐参数",IF(C2067=DATE(2026,11,30),"培训；注册午餐",IF(C2067=DATE(2026,12,1),"培训；注册午餐；机构晚餐",IF(C2067=Options!$B$9,"抵达；"&amp;IF(C2067=DATE(2026,11,28),"机构晚餐","无统一供餐"),IF(C2067=Options!$B$10,"返程；"&amp;IF(C2067=DATE(2026,12,2),"机构午餐","无统一供餐"),"差旅状态；无统一日程"))))))</f>
        <v/>
      </c>
      <c r="E2067" s="13">
        <f>IF(C2067=Options!$B$9,Options!$C$19,0)</f>
        <v/>
      </c>
      <c r="F2067" s="13">
        <f>IF(AND(A2067&lt;&gt;"",C2067&lt;Options!$B$10),B2067*Options!$X$7,0)</f>
        <v/>
      </c>
      <c r="G2067" s="13">
        <f>F2067*12%</f>
        <v/>
      </c>
      <c r="H2067" s="13">
        <f>IF(A2067="",0,B2067*(86*IF(OR(C2067=Options!$B$9,C2067=Options!$B$10),75%,100%)-IF(C2067=DATE(2026,11,29),23+IF(Options!$B$8="是",22,0),0)-IF(C2067=DATE(2026,11,30),23,0)-IF(C2067=DATE(2026,12,1),59,0)-IF(C2067=DATE(2026,11,28),36,0)-IF(C2067=DATE(2026,12,2),23,0)))</f>
        <v/>
      </c>
      <c r="I2067" s="13">
        <f>IF(AND(C2067&gt;=DATE(2026,11,29),C2067&lt;=DATE(2026,12,1)),B2067*60,0)</f>
        <v/>
      </c>
      <c r="J2067" s="13">
        <f>IF(A2067="",0,B2067*(IF(C2067=DATE(2026,11,28),36,0)+IF(C2067=DATE(2026,12,1),36,0)+IF(C2067=DATE(2026,12,2),23,0)))</f>
        <v/>
      </c>
      <c r="K2067" s="13">
        <f>IF(C2067=Options!$B$9,B2067*12,0)</f>
        <v/>
      </c>
      <c r="L2067" s="13">
        <f>IF(C2067=Options!$B$9,B2067*Options!$Z$7,0)</f>
        <v/>
      </c>
      <c r="M2067" s="13" t="n">
        <v>0</v>
      </c>
      <c r="N2067" s="13">
        <f>SUM(E2067:M2067)</f>
        <v/>
      </c>
    </row>
    <row r="2068">
      <c r="A2068" s="5">
        <f>IF(AND(C2068&gt;=Options!$B$9,C2068&lt;=Options!$B$10),"Phoenix","")</f>
        <v/>
      </c>
      <c r="B2068" s="5">
        <f>IF(A2068="","",24)</f>
        <v/>
      </c>
      <c r="C2068" s="17" t="n">
        <v>46534</v>
      </c>
      <c r="D2068" s="5">
        <f>IF(A2068="","",IF(C2068=DATE(2026,11,29),"培训；注册午餐；早餐参数",IF(C2068=DATE(2026,11,30),"培训；注册午餐",IF(C2068=DATE(2026,12,1),"培训；注册午餐；机构晚餐",IF(C2068=Options!$B$9,"抵达；"&amp;IF(C2068=DATE(2026,11,28),"机构晚餐","无统一供餐"),IF(C2068=Options!$B$10,"返程；"&amp;IF(C2068=DATE(2026,12,2),"机构午餐","无统一供餐"),"差旅状态；无统一日程"))))))</f>
        <v/>
      </c>
      <c r="E2068" s="13">
        <f>IF(C2068=Options!$B$9,Options!$C$19,0)</f>
        <v/>
      </c>
      <c r="F2068" s="13">
        <f>IF(AND(A2068&lt;&gt;"",C2068&lt;Options!$B$10),B2068*Options!$X$7,0)</f>
        <v/>
      </c>
      <c r="G2068" s="13">
        <f>F2068*12%</f>
        <v/>
      </c>
      <c r="H2068" s="13">
        <f>IF(A2068="",0,B2068*(86*IF(OR(C2068=Options!$B$9,C2068=Options!$B$10),75%,100%)-IF(C2068=DATE(2026,11,29),23+IF(Options!$B$8="是",22,0),0)-IF(C2068=DATE(2026,11,30),23,0)-IF(C2068=DATE(2026,12,1),59,0)-IF(C2068=DATE(2026,11,28),36,0)-IF(C2068=DATE(2026,12,2),23,0)))</f>
        <v/>
      </c>
      <c r="I2068" s="13">
        <f>IF(AND(C2068&gt;=DATE(2026,11,29),C2068&lt;=DATE(2026,12,1)),B2068*60,0)</f>
        <v/>
      </c>
      <c r="J2068" s="13">
        <f>IF(A2068="",0,B2068*(IF(C2068=DATE(2026,11,28),36,0)+IF(C2068=DATE(2026,12,1),36,0)+IF(C2068=DATE(2026,12,2),23,0)))</f>
        <v/>
      </c>
      <c r="K2068" s="13">
        <f>IF(C2068=Options!$B$9,B2068*12,0)</f>
        <v/>
      </c>
      <c r="L2068" s="13">
        <f>IF(C2068=Options!$B$9,B2068*Options!$Z$7,0)</f>
        <v/>
      </c>
      <c r="M2068" s="13" t="n">
        <v>0</v>
      </c>
      <c r="N2068" s="13">
        <f>SUM(E2068:M2068)</f>
        <v/>
      </c>
    </row>
    <row r="2069">
      <c r="A2069" s="5">
        <f>IF(AND(C2069&gt;=Options!$B$9,C2069&lt;=Options!$B$10),"Phoenix","")</f>
        <v/>
      </c>
      <c r="B2069" s="5">
        <f>IF(A2069="","",24)</f>
        <v/>
      </c>
      <c r="C2069" s="17" t="n">
        <v>46535</v>
      </c>
      <c r="D2069" s="5">
        <f>IF(A2069="","",IF(C2069=DATE(2026,11,29),"培训；注册午餐；早餐参数",IF(C2069=DATE(2026,11,30),"培训；注册午餐",IF(C2069=DATE(2026,12,1),"培训；注册午餐；机构晚餐",IF(C2069=Options!$B$9,"抵达；"&amp;IF(C2069=DATE(2026,11,28),"机构晚餐","无统一供餐"),IF(C2069=Options!$B$10,"返程；"&amp;IF(C2069=DATE(2026,12,2),"机构午餐","无统一供餐"),"差旅状态；无统一日程"))))))</f>
        <v/>
      </c>
      <c r="E2069" s="13">
        <f>IF(C2069=Options!$B$9,Options!$C$19,0)</f>
        <v/>
      </c>
      <c r="F2069" s="13">
        <f>IF(AND(A2069&lt;&gt;"",C2069&lt;Options!$B$10),B2069*Options!$X$7,0)</f>
        <v/>
      </c>
      <c r="G2069" s="13">
        <f>F2069*12%</f>
        <v/>
      </c>
      <c r="H2069" s="13">
        <f>IF(A2069="",0,B2069*(86*IF(OR(C2069=Options!$B$9,C2069=Options!$B$10),75%,100%)-IF(C2069=DATE(2026,11,29),23+IF(Options!$B$8="是",22,0),0)-IF(C2069=DATE(2026,11,30),23,0)-IF(C2069=DATE(2026,12,1),59,0)-IF(C2069=DATE(2026,11,28),36,0)-IF(C2069=DATE(2026,12,2),23,0)))</f>
        <v/>
      </c>
      <c r="I2069" s="13">
        <f>IF(AND(C2069&gt;=DATE(2026,11,29),C2069&lt;=DATE(2026,12,1)),B2069*60,0)</f>
        <v/>
      </c>
      <c r="J2069" s="13">
        <f>IF(A2069="",0,B2069*(IF(C2069=DATE(2026,11,28),36,0)+IF(C2069=DATE(2026,12,1),36,0)+IF(C2069=DATE(2026,12,2),23,0)))</f>
        <v/>
      </c>
      <c r="K2069" s="13">
        <f>IF(C2069=Options!$B$9,B2069*12,0)</f>
        <v/>
      </c>
      <c r="L2069" s="13">
        <f>IF(C2069=Options!$B$9,B2069*Options!$Z$7,0)</f>
        <v/>
      </c>
      <c r="M2069" s="13" t="n">
        <v>0</v>
      </c>
      <c r="N2069" s="13">
        <f>SUM(E2069:M2069)</f>
        <v/>
      </c>
    </row>
    <row r="2070">
      <c r="A2070" s="5">
        <f>IF(AND(C2070&gt;=Options!$B$9,C2070&lt;=Options!$B$10),"Phoenix","")</f>
        <v/>
      </c>
      <c r="B2070" s="5">
        <f>IF(A2070="","",24)</f>
        <v/>
      </c>
      <c r="C2070" s="17" t="n">
        <v>46536</v>
      </c>
      <c r="D2070" s="5">
        <f>IF(A2070="","",IF(C2070=DATE(2026,11,29),"培训；注册午餐；早餐参数",IF(C2070=DATE(2026,11,30),"培训；注册午餐",IF(C2070=DATE(2026,12,1),"培训；注册午餐；机构晚餐",IF(C2070=Options!$B$9,"抵达；"&amp;IF(C2070=DATE(2026,11,28),"机构晚餐","无统一供餐"),IF(C2070=Options!$B$10,"返程；"&amp;IF(C2070=DATE(2026,12,2),"机构午餐","无统一供餐"),"差旅状态；无统一日程"))))))</f>
        <v/>
      </c>
      <c r="E2070" s="13">
        <f>IF(C2070=Options!$B$9,Options!$C$19,0)</f>
        <v/>
      </c>
      <c r="F2070" s="13">
        <f>IF(AND(A2070&lt;&gt;"",C2070&lt;Options!$B$10),B2070*Options!$X$7,0)</f>
        <v/>
      </c>
      <c r="G2070" s="13">
        <f>F2070*12%</f>
        <v/>
      </c>
      <c r="H2070" s="13">
        <f>IF(A2070="",0,B2070*(86*IF(OR(C2070=Options!$B$9,C2070=Options!$B$10),75%,100%)-IF(C2070=DATE(2026,11,29),23+IF(Options!$B$8="是",22,0),0)-IF(C2070=DATE(2026,11,30),23,0)-IF(C2070=DATE(2026,12,1),59,0)-IF(C2070=DATE(2026,11,28),36,0)-IF(C2070=DATE(2026,12,2),23,0)))</f>
        <v/>
      </c>
      <c r="I2070" s="13">
        <f>IF(AND(C2070&gt;=DATE(2026,11,29),C2070&lt;=DATE(2026,12,1)),B2070*60,0)</f>
        <v/>
      </c>
      <c r="J2070" s="13">
        <f>IF(A2070="",0,B2070*(IF(C2070=DATE(2026,11,28),36,0)+IF(C2070=DATE(2026,12,1),36,0)+IF(C2070=DATE(2026,12,2),23,0)))</f>
        <v/>
      </c>
      <c r="K2070" s="13">
        <f>IF(C2070=Options!$B$9,B2070*12,0)</f>
        <v/>
      </c>
      <c r="L2070" s="13">
        <f>IF(C2070=Options!$B$9,B2070*Options!$Z$7,0)</f>
        <v/>
      </c>
      <c r="M2070" s="13" t="n">
        <v>0</v>
      </c>
      <c r="N2070" s="13">
        <f>SUM(E2070:M2070)</f>
        <v/>
      </c>
    </row>
    <row r="2071">
      <c r="A2071" s="5">
        <f>IF(AND(C2071&gt;=Options!$B$9,C2071&lt;=Options!$B$10),"Phoenix","")</f>
        <v/>
      </c>
      <c r="B2071" s="5">
        <f>IF(A2071="","",24)</f>
        <v/>
      </c>
      <c r="C2071" s="17" t="n">
        <v>46537</v>
      </c>
      <c r="D2071" s="5">
        <f>IF(A2071="","",IF(C2071=DATE(2026,11,29),"培训；注册午餐；早餐参数",IF(C2071=DATE(2026,11,30),"培训；注册午餐",IF(C2071=DATE(2026,12,1),"培训；注册午餐；机构晚餐",IF(C2071=Options!$B$9,"抵达；"&amp;IF(C2071=DATE(2026,11,28),"机构晚餐","无统一供餐"),IF(C2071=Options!$B$10,"返程；"&amp;IF(C2071=DATE(2026,12,2),"机构午餐","无统一供餐"),"差旅状态；无统一日程"))))))</f>
        <v/>
      </c>
      <c r="E2071" s="13">
        <f>IF(C2071=Options!$B$9,Options!$C$19,0)</f>
        <v/>
      </c>
      <c r="F2071" s="13">
        <f>IF(AND(A2071&lt;&gt;"",C2071&lt;Options!$B$10),B2071*Options!$X$7,0)</f>
        <v/>
      </c>
      <c r="G2071" s="13">
        <f>F2071*12%</f>
        <v/>
      </c>
      <c r="H2071" s="13">
        <f>IF(A2071="",0,B2071*(86*IF(OR(C2071=Options!$B$9,C2071=Options!$B$10),75%,100%)-IF(C2071=DATE(2026,11,29),23+IF(Options!$B$8="是",22,0),0)-IF(C2071=DATE(2026,11,30),23,0)-IF(C2071=DATE(2026,12,1),59,0)-IF(C2071=DATE(2026,11,28),36,0)-IF(C2071=DATE(2026,12,2),23,0)))</f>
        <v/>
      </c>
      <c r="I2071" s="13">
        <f>IF(AND(C2071&gt;=DATE(2026,11,29),C2071&lt;=DATE(2026,12,1)),B2071*60,0)</f>
        <v/>
      </c>
      <c r="J2071" s="13">
        <f>IF(A2071="",0,B2071*(IF(C2071=DATE(2026,11,28),36,0)+IF(C2071=DATE(2026,12,1),36,0)+IF(C2071=DATE(2026,12,2),23,0)))</f>
        <v/>
      </c>
      <c r="K2071" s="13">
        <f>IF(C2071=Options!$B$9,B2071*12,0)</f>
        <v/>
      </c>
      <c r="L2071" s="13">
        <f>IF(C2071=Options!$B$9,B2071*Options!$Z$7,0)</f>
        <v/>
      </c>
      <c r="M2071" s="13" t="n">
        <v>0</v>
      </c>
      <c r="N2071" s="13">
        <f>SUM(E2071:M2071)</f>
        <v/>
      </c>
    </row>
    <row r="2072">
      <c r="A2072" s="5">
        <f>IF(AND(C2072&gt;=Options!$B$9,C2072&lt;=Options!$B$10),"Phoenix","")</f>
        <v/>
      </c>
      <c r="B2072" s="5">
        <f>IF(A2072="","",24)</f>
        <v/>
      </c>
      <c r="C2072" s="17" t="n">
        <v>46538</v>
      </c>
      <c r="D2072" s="5">
        <f>IF(A2072="","",IF(C2072=DATE(2026,11,29),"培训；注册午餐；早餐参数",IF(C2072=DATE(2026,11,30),"培训；注册午餐",IF(C2072=DATE(2026,12,1),"培训；注册午餐；机构晚餐",IF(C2072=Options!$B$9,"抵达；"&amp;IF(C2072=DATE(2026,11,28),"机构晚餐","无统一供餐"),IF(C2072=Options!$B$10,"返程；"&amp;IF(C2072=DATE(2026,12,2),"机构午餐","无统一供餐"),"差旅状态；无统一日程"))))))</f>
        <v/>
      </c>
      <c r="E2072" s="13">
        <f>IF(C2072=Options!$B$9,Options!$C$19,0)</f>
        <v/>
      </c>
      <c r="F2072" s="13">
        <f>IF(AND(A2072&lt;&gt;"",C2072&lt;Options!$B$10),B2072*Options!$X$7,0)</f>
        <v/>
      </c>
      <c r="G2072" s="13">
        <f>F2072*12%</f>
        <v/>
      </c>
      <c r="H2072" s="13">
        <f>IF(A2072="",0,B2072*(86*IF(OR(C2072=Options!$B$9,C2072=Options!$B$10),75%,100%)-IF(C2072=DATE(2026,11,29),23+IF(Options!$B$8="是",22,0),0)-IF(C2072=DATE(2026,11,30),23,0)-IF(C2072=DATE(2026,12,1),59,0)-IF(C2072=DATE(2026,11,28),36,0)-IF(C2072=DATE(2026,12,2),23,0)))</f>
        <v/>
      </c>
      <c r="I2072" s="13">
        <f>IF(AND(C2072&gt;=DATE(2026,11,29),C2072&lt;=DATE(2026,12,1)),B2072*60,0)</f>
        <v/>
      </c>
      <c r="J2072" s="13">
        <f>IF(A2072="",0,B2072*(IF(C2072=DATE(2026,11,28),36,0)+IF(C2072=DATE(2026,12,1),36,0)+IF(C2072=DATE(2026,12,2),23,0)))</f>
        <v/>
      </c>
      <c r="K2072" s="13">
        <f>IF(C2072=Options!$B$9,B2072*12,0)</f>
        <v/>
      </c>
      <c r="L2072" s="13">
        <f>IF(C2072=Options!$B$9,B2072*Options!$Z$7,0)</f>
        <v/>
      </c>
      <c r="M2072" s="13" t="n">
        <v>0</v>
      </c>
      <c r="N2072" s="13">
        <f>SUM(E2072:M2072)</f>
        <v/>
      </c>
    </row>
    <row r="2073">
      <c r="A2073" s="5">
        <f>IF(AND(C2073&gt;=Options!$B$9,C2073&lt;=Options!$B$10),"Phoenix","")</f>
        <v/>
      </c>
      <c r="B2073" s="5">
        <f>IF(A2073="","",24)</f>
        <v/>
      </c>
      <c r="C2073" s="17" t="n">
        <v>46539</v>
      </c>
      <c r="D2073" s="5">
        <f>IF(A2073="","",IF(C2073=DATE(2026,11,29),"培训；注册午餐；早餐参数",IF(C2073=DATE(2026,11,30),"培训；注册午餐",IF(C2073=DATE(2026,12,1),"培训；注册午餐；机构晚餐",IF(C2073=Options!$B$9,"抵达；"&amp;IF(C2073=DATE(2026,11,28),"机构晚餐","无统一供餐"),IF(C2073=Options!$B$10,"返程；"&amp;IF(C2073=DATE(2026,12,2),"机构午餐","无统一供餐"),"差旅状态；无统一日程"))))))</f>
        <v/>
      </c>
      <c r="E2073" s="13">
        <f>IF(C2073=Options!$B$9,Options!$C$19,0)</f>
        <v/>
      </c>
      <c r="F2073" s="13">
        <f>IF(AND(A2073&lt;&gt;"",C2073&lt;Options!$B$10),B2073*Options!$X$7,0)</f>
        <v/>
      </c>
      <c r="G2073" s="13">
        <f>F2073*12%</f>
        <v/>
      </c>
      <c r="H2073" s="13">
        <f>IF(A2073="",0,B2073*(86*IF(OR(C2073=Options!$B$9,C2073=Options!$B$10),75%,100%)-IF(C2073=DATE(2026,11,29),23+IF(Options!$B$8="是",22,0),0)-IF(C2073=DATE(2026,11,30),23,0)-IF(C2073=DATE(2026,12,1),59,0)-IF(C2073=DATE(2026,11,28),36,0)-IF(C2073=DATE(2026,12,2),23,0)))</f>
        <v/>
      </c>
      <c r="I2073" s="13">
        <f>IF(AND(C2073&gt;=DATE(2026,11,29),C2073&lt;=DATE(2026,12,1)),B2073*60,0)</f>
        <v/>
      </c>
      <c r="J2073" s="13">
        <f>IF(A2073="",0,B2073*(IF(C2073=DATE(2026,11,28),36,0)+IF(C2073=DATE(2026,12,1),36,0)+IF(C2073=DATE(2026,12,2),23,0)))</f>
        <v/>
      </c>
      <c r="K2073" s="13">
        <f>IF(C2073=Options!$B$9,B2073*12,0)</f>
        <v/>
      </c>
      <c r="L2073" s="13">
        <f>IF(C2073=Options!$B$9,B2073*Options!$Z$7,0)</f>
        <v/>
      </c>
      <c r="M2073" s="13" t="n">
        <v>0</v>
      </c>
      <c r="N2073" s="13">
        <f>SUM(E2073:M2073)</f>
        <v/>
      </c>
    </row>
    <row r="2074">
      <c r="A2074" s="5">
        <f>IF(AND(C2074&gt;=Options!$B$9,C2074&lt;=Options!$B$10),"Phoenix","")</f>
        <v/>
      </c>
      <c r="B2074" s="5">
        <f>IF(A2074="","",24)</f>
        <v/>
      </c>
      <c r="C2074" s="17" t="n">
        <v>46540</v>
      </c>
      <c r="D2074" s="5">
        <f>IF(A2074="","",IF(C2074=DATE(2026,11,29),"培训；注册午餐；早餐参数",IF(C2074=DATE(2026,11,30),"培训；注册午餐",IF(C2074=DATE(2026,12,1),"培训；注册午餐；机构晚餐",IF(C2074=Options!$B$9,"抵达；"&amp;IF(C2074=DATE(2026,11,28),"机构晚餐","无统一供餐"),IF(C2074=Options!$B$10,"返程；"&amp;IF(C2074=DATE(2026,12,2),"机构午餐","无统一供餐"),"差旅状态；无统一日程"))))))</f>
        <v/>
      </c>
      <c r="E2074" s="13">
        <f>IF(C2074=Options!$B$9,Options!$C$19,0)</f>
        <v/>
      </c>
      <c r="F2074" s="13">
        <f>IF(AND(A2074&lt;&gt;"",C2074&lt;Options!$B$10),B2074*Options!$X$7,0)</f>
        <v/>
      </c>
      <c r="G2074" s="13">
        <f>F2074*12%</f>
        <v/>
      </c>
      <c r="H2074" s="13">
        <f>IF(A2074="",0,B2074*(86*IF(OR(C2074=Options!$B$9,C2074=Options!$B$10),75%,100%)-IF(C2074=DATE(2026,11,29),23+IF(Options!$B$8="是",22,0),0)-IF(C2074=DATE(2026,11,30),23,0)-IF(C2074=DATE(2026,12,1),59,0)-IF(C2074=DATE(2026,11,28),36,0)-IF(C2074=DATE(2026,12,2),23,0)))</f>
        <v/>
      </c>
      <c r="I2074" s="13">
        <f>IF(AND(C2074&gt;=DATE(2026,11,29),C2074&lt;=DATE(2026,12,1)),B2074*60,0)</f>
        <v/>
      </c>
      <c r="J2074" s="13">
        <f>IF(A2074="",0,B2074*(IF(C2074=DATE(2026,11,28),36,0)+IF(C2074=DATE(2026,12,1),36,0)+IF(C2074=DATE(2026,12,2),23,0)))</f>
        <v/>
      </c>
      <c r="K2074" s="13">
        <f>IF(C2074=Options!$B$9,B2074*12,0)</f>
        <v/>
      </c>
      <c r="L2074" s="13">
        <f>IF(C2074=Options!$B$9,B2074*Options!$Z$7,0)</f>
        <v/>
      </c>
      <c r="M2074" s="13" t="n">
        <v>0</v>
      </c>
      <c r="N2074" s="13">
        <f>SUM(E2074:M2074)</f>
        <v/>
      </c>
    </row>
    <row r="2075">
      <c r="A2075" s="5">
        <f>IF(AND(C2075&gt;=Options!$B$9,C2075&lt;=Options!$B$10),"Phoenix","")</f>
        <v/>
      </c>
      <c r="B2075" s="5">
        <f>IF(A2075="","",24)</f>
        <v/>
      </c>
      <c r="C2075" s="17" t="n">
        <v>46541</v>
      </c>
      <c r="D2075" s="5">
        <f>IF(A2075="","",IF(C2075=DATE(2026,11,29),"培训；注册午餐；早餐参数",IF(C2075=DATE(2026,11,30),"培训；注册午餐",IF(C2075=DATE(2026,12,1),"培训；注册午餐；机构晚餐",IF(C2075=Options!$B$9,"抵达；"&amp;IF(C2075=DATE(2026,11,28),"机构晚餐","无统一供餐"),IF(C2075=Options!$B$10,"返程；"&amp;IF(C2075=DATE(2026,12,2),"机构午餐","无统一供餐"),"差旅状态；无统一日程"))))))</f>
        <v/>
      </c>
      <c r="E2075" s="13">
        <f>IF(C2075=Options!$B$9,Options!$C$19,0)</f>
        <v/>
      </c>
      <c r="F2075" s="13">
        <f>IF(AND(A2075&lt;&gt;"",C2075&lt;Options!$B$10),B2075*Options!$X$7,0)</f>
        <v/>
      </c>
      <c r="G2075" s="13">
        <f>F2075*12%</f>
        <v/>
      </c>
      <c r="H2075" s="13">
        <f>IF(A2075="",0,B2075*(86*IF(OR(C2075=Options!$B$9,C2075=Options!$B$10),75%,100%)-IF(C2075=DATE(2026,11,29),23+IF(Options!$B$8="是",22,0),0)-IF(C2075=DATE(2026,11,30),23,0)-IF(C2075=DATE(2026,12,1),59,0)-IF(C2075=DATE(2026,11,28),36,0)-IF(C2075=DATE(2026,12,2),23,0)))</f>
        <v/>
      </c>
      <c r="I2075" s="13">
        <f>IF(AND(C2075&gt;=DATE(2026,11,29),C2075&lt;=DATE(2026,12,1)),B2075*60,0)</f>
        <v/>
      </c>
      <c r="J2075" s="13">
        <f>IF(A2075="",0,B2075*(IF(C2075=DATE(2026,11,28),36,0)+IF(C2075=DATE(2026,12,1),36,0)+IF(C2075=DATE(2026,12,2),23,0)))</f>
        <v/>
      </c>
      <c r="K2075" s="13">
        <f>IF(C2075=Options!$B$9,B2075*12,0)</f>
        <v/>
      </c>
      <c r="L2075" s="13">
        <f>IF(C2075=Options!$B$9,B2075*Options!$Z$7,0)</f>
        <v/>
      </c>
      <c r="M2075" s="13" t="n">
        <v>0</v>
      </c>
      <c r="N2075" s="13">
        <f>SUM(E2075:M2075)</f>
        <v/>
      </c>
    </row>
    <row r="2076">
      <c r="A2076" s="5">
        <f>IF(AND(C2076&gt;=Options!$B$9,C2076&lt;=Options!$B$10),"Phoenix","")</f>
        <v/>
      </c>
      <c r="B2076" s="5">
        <f>IF(A2076="","",24)</f>
        <v/>
      </c>
      <c r="C2076" s="17" t="n">
        <v>46542</v>
      </c>
      <c r="D2076" s="5">
        <f>IF(A2076="","",IF(C2076=DATE(2026,11,29),"培训；注册午餐；早餐参数",IF(C2076=DATE(2026,11,30),"培训；注册午餐",IF(C2076=DATE(2026,12,1),"培训；注册午餐；机构晚餐",IF(C2076=Options!$B$9,"抵达；"&amp;IF(C2076=DATE(2026,11,28),"机构晚餐","无统一供餐"),IF(C2076=Options!$B$10,"返程；"&amp;IF(C2076=DATE(2026,12,2),"机构午餐","无统一供餐"),"差旅状态；无统一日程"))))))</f>
        <v/>
      </c>
      <c r="E2076" s="13">
        <f>IF(C2076=Options!$B$9,Options!$C$19,0)</f>
        <v/>
      </c>
      <c r="F2076" s="13">
        <f>IF(AND(A2076&lt;&gt;"",C2076&lt;Options!$B$10),B2076*Options!$X$7,0)</f>
        <v/>
      </c>
      <c r="G2076" s="13">
        <f>F2076*12%</f>
        <v/>
      </c>
      <c r="H2076" s="13">
        <f>IF(A2076="",0,B2076*(86*IF(OR(C2076=Options!$B$9,C2076=Options!$B$10),75%,100%)-IF(C2076=DATE(2026,11,29),23+IF(Options!$B$8="是",22,0),0)-IF(C2076=DATE(2026,11,30),23,0)-IF(C2076=DATE(2026,12,1),59,0)-IF(C2076=DATE(2026,11,28),36,0)-IF(C2076=DATE(2026,12,2),23,0)))</f>
        <v/>
      </c>
      <c r="I2076" s="13">
        <f>IF(AND(C2076&gt;=DATE(2026,11,29),C2076&lt;=DATE(2026,12,1)),B2076*60,0)</f>
        <v/>
      </c>
      <c r="J2076" s="13">
        <f>IF(A2076="",0,B2076*(IF(C2076=DATE(2026,11,28),36,0)+IF(C2076=DATE(2026,12,1),36,0)+IF(C2076=DATE(2026,12,2),23,0)))</f>
        <v/>
      </c>
      <c r="K2076" s="13">
        <f>IF(C2076=Options!$B$9,B2076*12,0)</f>
        <v/>
      </c>
      <c r="L2076" s="13">
        <f>IF(C2076=Options!$B$9,B2076*Options!$Z$7,0)</f>
        <v/>
      </c>
      <c r="M2076" s="13" t="n">
        <v>0</v>
      </c>
      <c r="N2076" s="13">
        <f>SUM(E2076:M2076)</f>
        <v/>
      </c>
    </row>
    <row r="2077">
      <c r="A2077" s="5">
        <f>IF(AND(C2077&gt;=Options!$B$9,C2077&lt;=Options!$B$10),"Phoenix","")</f>
        <v/>
      </c>
      <c r="B2077" s="5">
        <f>IF(A2077="","",24)</f>
        <v/>
      </c>
      <c r="C2077" s="17" t="n">
        <v>46543</v>
      </c>
      <c r="D2077" s="5">
        <f>IF(A2077="","",IF(C2077=DATE(2026,11,29),"培训；注册午餐；早餐参数",IF(C2077=DATE(2026,11,30),"培训；注册午餐",IF(C2077=DATE(2026,12,1),"培训；注册午餐；机构晚餐",IF(C2077=Options!$B$9,"抵达；"&amp;IF(C2077=DATE(2026,11,28),"机构晚餐","无统一供餐"),IF(C2077=Options!$B$10,"返程；"&amp;IF(C2077=DATE(2026,12,2),"机构午餐","无统一供餐"),"差旅状态；无统一日程"))))))</f>
        <v/>
      </c>
      <c r="E2077" s="13">
        <f>IF(C2077=Options!$B$9,Options!$C$19,0)</f>
        <v/>
      </c>
      <c r="F2077" s="13">
        <f>IF(AND(A2077&lt;&gt;"",C2077&lt;Options!$B$10),B2077*Options!$X$7,0)</f>
        <v/>
      </c>
      <c r="G2077" s="13">
        <f>F2077*12%</f>
        <v/>
      </c>
      <c r="H2077" s="13">
        <f>IF(A2077="",0,B2077*(86*IF(OR(C2077=Options!$B$9,C2077=Options!$B$10),75%,100%)-IF(C2077=DATE(2026,11,29),23+IF(Options!$B$8="是",22,0),0)-IF(C2077=DATE(2026,11,30),23,0)-IF(C2077=DATE(2026,12,1),59,0)-IF(C2077=DATE(2026,11,28),36,0)-IF(C2077=DATE(2026,12,2),23,0)))</f>
        <v/>
      </c>
      <c r="I2077" s="13">
        <f>IF(AND(C2077&gt;=DATE(2026,11,29),C2077&lt;=DATE(2026,12,1)),B2077*60,0)</f>
        <v/>
      </c>
      <c r="J2077" s="13">
        <f>IF(A2077="",0,B2077*(IF(C2077=DATE(2026,11,28),36,0)+IF(C2077=DATE(2026,12,1),36,0)+IF(C2077=DATE(2026,12,2),23,0)))</f>
        <v/>
      </c>
      <c r="K2077" s="13">
        <f>IF(C2077=Options!$B$9,B2077*12,0)</f>
        <v/>
      </c>
      <c r="L2077" s="13">
        <f>IF(C2077=Options!$B$9,B2077*Options!$Z$7,0)</f>
        <v/>
      </c>
      <c r="M2077" s="13" t="n">
        <v>0</v>
      </c>
      <c r="N2077" s="13">
        <f>SUM(E2077:M2077)</f>
        <v/>
      </c>
    </row>
    <row r="2078">
      <c r="A2078" s="5">
        <f>IF(AND(C2078&gt;=Options!$B$9,C2078&lt;=Options!$B$10),"Phoenix","")</f>
        <v/>
      </c>
      <c r="B2078" s="5">
        <f>IF(A2078="","",24)</f>
        <v/>
      </c>
      <c r="C2078" s="17" t="n">
        <v>46544</v>
      </c>
      <c r="D2078" s="5">
        <f>IF(A2078="","",IF(C2078=DATE(2026,11,29),"培训；注册午餐；早餐参数",IF(C2078=DATE(2026,11,30),"培训；注册午餐",IF(C2078=DATE(2026,12,1),"培训；注册午餐；机构晚餐",IF(C2078=Options!$B$9,"抵达；"&amp;IF(C2078=DATE(2026,11,28),"机构晚餐","无统一供餐"),IF(C2078=Options!$B$10,"返程；"&amp;IF(C2078=DATE(2026,12,2),"机构午餐","无统一供餐"),"差旅状态；无统一日程"))))))</f>
        <v/>
      </c>
      <c r="E2078" s="13">
        <f>IF(C2078=Options!$B$9,Options!$C$19,0)</f>
        <v/>
      </c>
      <c r="F2078" s="13">
        <f>IF(AND(A2078&lt;&gt;"",C2078&lt;Options!$B$10),B2078*Options!$X$7,0)</f>
        <v/>
      </c>
      <c r="G2078" s="13">
        <f>F2078*12%</f>
        <v/>
      </c>
      <c r="H2078" s="13">
        <f>IF(A2078="",0,B2078*(86*IF(OR(C2078=Options!$B$9,C2078=Options!$B$10),75%,100%)-IF(C2078=DATE(2026,11,29),23+IF(Options!$B$8="是",22,0),0)-IF(C2078=DATE(2026,11,30),23,0)-IF(C2078=DATE(2026,12,1),59,0)-IF(C2078=DATE(2026,11,28),36,0)-IF(C2078=DATE(2026,12,2),23,0)))</f>
        <v/>
      </c>
      <c r="I2078" s="13">
        <f>IF(AND(C2078&gt;=DATE(2026,11,29),C2078&lt;=DATE(2026,12,1)),B2078*60,0)</f>
        <v/>
      </c>
      <c r="J2078" s="13">
        <f>IF(A2078="",0,B2078*(IF(C2078=DATE(2026,11,28),36,0)+IF(C2078=DATE(2026,12,1),36,0)+IF(C2078=DATE(2026,12,2),23,0)))</f>
        <v/>
      </c>
      <c r="K2078" s="13">
        <f>IF(C2078=Options!$B$9,B2078*12,0)</f>
        <v/>
      </c>
      <c r="L2078" s="13">
        <f>IF(C2078=Options!$B$9,B2078*Options!$Z$7,0)</f>
        <v/>
      </c>
      <c r="M2078" s="13" t="n">
        <v>0</v>
      </c>
      <c r="N2078" s="13">
        <f>SUM(E2078:M2078)</f>
        <v/>
      </c>
    </row>
    <row r="2079">
      <c r="A2079" s="5">
        <f>IF(AND(C2079&gt;=Options!$B$9,C2079&lt;=Options!$B$10),"Phoenix","")</f>
        <v/>
      </c>
      <c r="B2079" s="5">
        <f>IF(A2079="","",24)</f>
        <v/>
      </c>
      <c r="C2079" s="17" t="n">
        <v>46545</v>
      </c>
      <c r="D2079" s="5">
        <f>IF(A2079="","",IF(C2079=DATE(2026,11,29),"培训；注册午餐；早餐参数",IF(C2079=DATE(2026,11,30),"培训；注册午餐",IF(C2079=DATE(2026,12,1),"培训；注册午餐；机构晚餐",IF(C2079=Options!$B$9,"抵达；"&amp;IF(C2079=DATE(2026,11,28),"机构晚餐","无统一供餐"),IF(C2079=Options!$B$10,"返程；"&amp;IF(C2079=DATE(2026,12,2),"机构午餐","无统一供餐"),"差旅状态；无统一日程"))))))</f>
        <v/>
      </c>
      <c r="E2079" s="13">
        <f>IF(C2079=Options!$B$9,Options!$C$19,0)</f>
        <v/>
      </c>
      <c r="F2079" s="13">
        <f>IF(AND(A2079&lt;&gt;"",C2079&lt;Options!$B$10),B2079*Options!$X$7,0)</f>
        <v/>
      </c>
      <c r="G2079" s="13">
        <f>F2079*12%</f>
        <v/>
      </c>
      <c r="H2079" s="13">
        <f>IF(A2079="",0,B2079*(86*IF(OR(C2079=Options!$B$9,C2079=Options!$B$10),75%,100%)-IF(C2079=DATE(2026,11,29),23+IF(Options!$B$8="是",22,0),0)-IF(C2079=DATE(2026,11,30),23,0)-IF(C2079=DATE(2026,12,1),59,0)-IF(C2079=DATE(2026,11,28),36,0)-IF(C2079=DATE(2026,12,2),23,0)))</f>
        <v/>
      </c>
      <c r="I2079" s="13">
        <f>IF(AND(C2079&gt;=DATE(2026,11,29),C2079&lt;=DATE(2026,12,1)),B2079*60,0)</f>
        <v/>
      </c>
      <c r="J2079" s="13">
        <f>IF(A2079="",0,B2079*(IF(C2079=DATE(2026,11,28),36,0)+IF(C2079=DATE(2026,12,1),36,0)+IF(C2079=DATE(2026,12,2),23,0)))</f>
        <v/>
      </c>
      <c r="K2079" s="13">
        <f>IF(C2079=Options!$B$9,B2079*12,0)</f>
        <v/>
      </c>
      <c r="L2079" s="13">
        <f>IF(C2079=Options!$B$9,B2079*Options!$Z$7,0)</f>
        <v/>
      </c>
      <c r="M2079" s="13" t="n">
        <v>0</v>
      </c>
      <c r="N2079" s="13">
        <f>SUM(E2079:M2079)</f>
        <v/>
      </c>
    </row>
    <row r="2080">
      <c r="A2080" s="5">
        <f>IF(AND(C2080&gt;=Options!$B$9,C2080&lt;=Options!$B$10),"Phoenix","")</f>
        <v/>
      </c>
      <c r="B2080" s="5">
        <f>IF(A2080="","",24)</f>
        <v/>
      </c>
      <c r="C2080" s="17" t="n">
        <v>46546</v>
      </c>
      <c r="D2080" s="5">
        <f>IF(A2080="","",IF(C2080=DATE(2026,11,29),"培训；注册午餐；早餐参数",IF(C2080=DATE(2026,11,30),"培训；注册午餐",IF(C2080=DATE(2026,12,1),"培训；注册午餐；机构晚餐",IF(C2080=Options!$B$9,"抵达；"&amp;IF(C2080=DATE(2026,11,28),"机构晚餐","无统一供餐"),IF(C2080=Options!$B$10,"返程；"&amp;IF(C2080=DATE(2026,12,2),"机构午餐","无统一供餐"),"差旅状态；无统一日程"))))))</f>
        <v/>
      </c>
      <c r="E2080" s="13">
        <f>IF(C2080=Options!$B$9,Options!$C$19,0)</f>
        <v/>
      </c>
      <c r="F2080" s="13">
        <f>IF(AND(A2080&lt;&gt;"",C2080&lt;Options!$B$10),B2080*Options!$X$7,0)</f>
        <v/>
      </c>
      <c r="G2080" s="13">
        <f>F2080*12%</f>
        <v/>
      </c>
      <c r="H2080" s="13">
        <f>IF(A2080="",0,B2080*(86*IF(OR(C2080=Options!$B$9,C2080=Options!$B$10),75%,100%)-IF(C2080=DATE(2026,11,29),23+IF(Options!$B$8="是",22,0),0)-IF(C2080=DATE(2026,11,30),23,0)-IF(C2080=DATE(2026,12,1),59,0)-IF(C2080=DATE(2026,11,28),36,0)-IF(C2080=DATE(2026,12,2),23,0)))</f>
        <v/>
      </c>
      <c r="I2080" s="13">
        <f>IF(AND(C2080&gt;=DATE(2026,11,29),C2080&lt;=DATE(2026,12,1)),B2080*60,0)</f>
        <v/>
      </c>
      <c r="J2080" s="13">
        <f>IF(A2080="",0,B2080*(IF(C2080=DATE(2026,11,28),36,0)+IF(C2080=DATE(2026,12,1),36,0)+IF(C2080=DATE(2026,12,2),23,0)))</f>
        <v/>
      </c>
      <c r="K2080" s="13">
        <f>IF(C2080=Options!$B$9,B2080*12,0)</f>
        <v/>
      </c>
      <c r="L2080" s="13">
        <f>IF(C2080=Options!$B$9,B2080*Options!$Z$7,0)</f>
        <v/>
      </c>
      <c r="M2080" s="13" t="n">
        <v>0</v>
      </c>
      <c r="N2080" s="13">
        <f>SUM(E2080:M2080)</f>
        <v/>
      </c>
    </row>
    <row r="2081">
      <c r="A2081" s="5">
        <f>IF(AND(C2081&gt;=Options!$B$9,C2081&lt;=Options!$B$10),"Phoenix","")</f>
        <v/>
      </c>
      <c r="B2081" s="5">
        <f>IF(A2081="","",24)</f>
        <v/>
      </c>
      <c r="C2081" s="17" t="n">
        <v>46547</v>
      </c>
      <c r="D2081" s="5">
        <f>IF(A2081="","",IF(C2081=DATE(2026,11,29),"培训；注册午餐；早餐参数",IF(C2081=DATE(2026,11,30),"培训；注册午餐",IF(C2081=DATE(2026,12,1),"培训；注册午餐；机构晚餐",IF(C2081=Options!$B$9,"抵达；"&amp;IF(C2081=DATE(2026,11,28),"机构晚餐","无统一供餐"),IF(C2081=Options!$B$10,"返程；"&amp;IF(C2081=DATE(2026,12,2),"机构午餐","无统一供餐"),"差旅状态；无统一日程"))))))</f>
        <v/>
      </c>
      <c r="E2081" s="13">
        <f>IF(C2081=Options!$B$9,Options!$C$19,0)</f>
        <v/>
      </c>
      <c r="F2081" s="13">
        <f>IF(AND(A2081&lt;&gt;"",C2081&lt;Options!$B$10),B2081*Options!$X$7,0)</f>
        <v/>
      </c>
      <c r="G2081" s="13">
        <f>F2081*12%</f>
        <v/>
      </c>
      <c r="H2081" s="13">
        <f>IF(A2081="",0,B2081*(86*IF(OR(C2081=Options!$B$9,C2081=Options!$B$10),75%,100%)-IF(C2081=DATE(2026,11,29),23+IF(Options!$B$8="是",22,0),0)-IF(C2081=DATE(2026,11,30),23,0)-IF(C2081=DATE(2026,12,1),59,0)-IF(C2081=DATE(2026,11,28),36,0)-IF(C2081=DATE(2026,12,2),23,0)))</f>
        <v/>
      </c>
      <c r="I2081" s="13">
        <f>IF(AND(C2081&gt;=DATE(2026,11,29),C2081&lt;=DATE(2026,12,1)),B2081*60,0)</f>
        <v/>
      </c>
      <c r="J2081" s="13">
        <f>IF(A2081="",0,B2081*(IF(C2081=DATE(2026,11,28),36,0)+IF(C2081=DATE(2026,12,1),36,0)+IF(C2081=DATE(2026,12,2),23,0)))</f>
        <v/>
      </c>
      <c r="K2081" s="13">
        <f>IF(C2081=Options!$B$9,B2081*12,0)</f>
        <v/>
      </c>
      <c r="L2081" s="13">
        <f>IF(C2081=Options!$B$9,B2081*Options!$Z$7,0)</f>
        <v/>
      </c>
      <c r="M2081" s="13" t="n">
        <v>0</v>
      </c>
      <c r="N2081" s="13">
        <f>SUM(E2081:M2081)</f>
        <v/>
      </c>
    </row>
    <row r="2082">
      <c r="A2082" s="5">
        <f>IF(AND(C2082&gt;=Options!$B$9,C2082&lt;=Options!$B$10),"Phoenix","")</f>
        <v/>
      </c>
      <c r="B2082" s="5">
        <f>IF(A2082="","",24)</f>
        <v/>
      </c>
      <c r="C2082" s="17" t="n">
        <v>46548</v>
      </c>
      <c r="D2082" s="5">
        <f>IF(A2082="","",IF(C2082=DATE(2026,11,29),"培训；注册午餐；早餐参数",IF(C2082=DATE(2026,11,30),"培训；注册午餐",IF(C2082=DATE(2026,12,1),"培训；注册午餐；机构晚餐",IF(C2082=Options!$B$9,"抵达；"&amp;IF(C2082=DATE(2026,11,28),"机构晚餐","无统一供餐"),IF(C2082=Options!$B$10,"返程；"&amp;IF(C2082=DATE(2026,12,2),"机构午餐","无统一供餐"),"差旅状态；无统一日程"))))))</f>
        <v/>
      </c>
      <c r="E2082" s="13">
        <f>IF(C2082=Options!$B$9,Options!$C$19,0)</f>
        <v/>
      </c>
      <c r="F2082" s="13">
        <f>IF(AND(A2082&lt;&gt;"",C2082&lt;Options!$B$10),B2082*Options!$X$7,0)</f>
        <v/>
      </c>
      <c r="G2082" s="13">
        <f>F2082*12%</f>
        <v/>
      </c>
      <c r="H2082" s="13">
        <f>IF(A2082="",0,B2082*(86*IF(OR(C2082=Options!$B$9,C2082=Options!$B$10),75%,100%)-IF(C2082=DATE(2026,11,29),23+IF(Options!$B$8="是",22,0),0)-IF(C2082=DATE(2026,11,30),23,0)-IF(C2082=DATE(2026,12,1),59,0)-IF(C2082=DATE(2026,11,28),36,0)-IF(C2082=DATE(2026,12,2),23,0)))</f>
        <v/>
      </c>
      <c r="I2082" s="13">
        <f>IF(AND(C2082&gt;=DATE(2026,11,29),C2082&lt;=DATE(2026,12,1)),B2082*60,0)</f>
        <v/>
      </c>
      <c r="J2082" s="13">
        <f>IF(A2082="",0,B2082*(IF(C2082=DATE(2026,11,28),36,0)+IF(C2082=DATE(2026,12,1),36,0)+IF(C2082=DATE(2026,12,2),23,0)))</f>
        <v/>
      </c>
      <c r="K2082" s="13">
        <f>IF(C2082=Options!$B$9,B2082*12,0)</f>
        <v/>
      </c>
      <c r="L2082" s="13">
        <f>IF(C2082=Options!$B$9,B2082*Options!$Z$7,0)</f>
        <v/>
      </c>
      <c r="M2082" s="13" t="n">
        <v>0</v>
      </c>
      <c r="N2082" s="13">
        <f>SUM(E2082:M2082)</f>
        <v/>
      </c>
    </row>
    <row r="2083">
      <c r="A2083" s="5">
        <f>IF(AND(C2083&gt;=Options!$B$9,C2083&lt;=Options!$B$10),"Phoenix","")</f>
        <v/>
      </c>
      <c r="B2083" s="5">
        <f>IF(A2083="","",24)</f>
        <v/>
      </c>
      <c r="C2083" s="17" t="n">
        <v>46549</v>
      </c>
      <c r="D2083" s="5">
        <f>IF(A2083="","",IF(C2083=DATE(2026,11,29),"培训；注册午餐；早餐参数",IF(C2083=DATE(2026,11,30),"培训；注册午餐",IF(C2083=DATE(2026,12,1),"培训；注册午餐；机构晚餐",IF(C2083=Options!$B$9,"抵达；"&amp;IF(C2083=DATE(2026,11,28),"机构晚餐","无统一供餐"),IF(C2083=Options!$B$10,"返程；"&amp;IF(C2083=DATE(2026,12,2),"机构午餐","无统一供餐"),"差旅状态；无统一日程"))))))</f>
        <v/>
      </c>
      <c r="E2083" s="13">
        <f>IF(C2083=Options!$B$9,Options!$C$19,0)</f>
        <v/>
      </c>
      <c r="F2083" s="13">
        <f>IF(AND(A2083&lt;&gt;"",C2083&lt;Options!$B$10),B2083*Options!$X$7,0)</f>
        <v/>
      </c>
      <c r="G2083" s="13">
        <f>F2083*12%</f>
        <v/>
      </c>
      <c r="H2083" s="13">
        <f>IF(A2083="",0,B2083*(86*IF(OR(C2083=Options!$B$9,C2083=Options!$B$10),75%,100%)-IF(C2083=DATE(2026,11,29),23+IF(Options!$B$8="是",22,0),0)-IF(C2083=DATE(2026,11,30),23,0)-IF(C2083=DATE(2026,12,1),59,0)-IF(C2083=DATE(2026,11,28),36,0)-IF(C2083=DATE(2026,12,2),23,0)))</f>
        <v/>
      </c>
      <c r="I2083" s="13">
        <f>IF(AND(C2083&gt;=DATE(2026,11,29),C2083&lt;=DATE(2026,12,1)),B2083*60,0)</f>
        <v/>
      </c>
      <c r="J2083" s="13">
        <f>IF(A2083="",0,B2083*(IF(C2083=DATE(2026,11,28),36,0)+IF(C2083=DATE(2026,12,1),36,0)+IF(C2083=DATE(2026,12,2),23,0)))</f>
        <v/>
      </c>
      <c r="K2083" s="13">
        <f>IF(C2083=Options!$B$9,B2083*12,0)</f>
        <v/>
      </c>
      <c r="L2083" s="13">
        <f>IF(C2083=Options!$B$9,B2083*Options!$Z$7,0)</f>
        <v/>
      </c>
      <c r="M2083" s="13" t="n">
        <v>0</v>
      </c>
      <c r="N2083" s="13">
        <f>SUM(E2083:M2083)</f>
        <v/>
      </c>
    </row>
    <row r="2084">
      <c r="A2084" s="5">
        <f>IF(AND(C2084&gt;=Options!$B$9,C2084&lt;=Options!$B$10),"Phoenix","")</f>
        <v/>
      </c>
      <c r="B2084" s="5">
        <f>IF(A2084="","",24)</f>
        <v/>
      </c>
      <c r="C2084" s="17" t="n">
        <v>46550</v>
      </c>
      <c r="D2084" s="5">
        <f>IF(A2084="","",IF(C2084=DATE(2026,11,29),"培训；注册午餐；早餐参数",IF(C2084=DATE(2026,11,30),"培训；注册午餐",IF(C2084=DATE(2026,12,1),"培训；注册午餐；机构晚餐",IF(C2084=Options!$B$9,"抵达；"&amp;IF(C2084=DATE(2026,11,28),"机构晚餐","无统一供餐"),IF(C2084=Options!$B$10,"返程；"&amp;IF(C2084=DATE(2026,12,2),"机构午餐","无统一供餐"),"差旅状态；无统一日程"))))))</f>
        <v/>
      </c>
      <c r="E2084" s="13">
        <f>IF(C2084=Options!$B$9,Options!$C$19,0)</f>
        <v/>
      </c>
      <c r="F2084" s="13">
        <f>IF(AND(A2084&lt;&gt;"",C2084&lt;Options!$B$10),B2084*Options!$X$7,0)</f>
        <v/>
      </c>
      <c r="G2084" s="13">
        <f>F2084*12%</f>
        <v/>
      </c>
      <c r="H2084" s="13">
        <f>IF(A2084="",0,B2084*(86*IF(OR(C2084=Options!$B$9,C2084=Options!$B$10),75%,100%)-IF(C2084=DATE(2026,11,29),23+IF(Options!$B$8="是",22,0),0)-IF(C2084=DATE(2026,11,30),23,0)-IF(C2084=DATE(2026,12,1),59,0)-IF(C2084=DATE(2026,11,28),36,0)-IF(C2084=DATE(2026,12,2),23,0)))</f>
        <v/>
      </c>
      <c r="I2084" s="13">
        <f>IF(AND(C2084&gt;=DATE(2026,11,29),C2084&lt;=DATE(2026,12,1)),B2084*60,0)</f>
        <v/>
      </c>
      <c r="J2084" s="13">
        <f>IF(A2084="",0,B2084*(IF(C2084=DATE(2026,11,28),36,0)+IF(C2084=DATE(2026,12,1),36,0)+IF(C2084=DATE(2026,12,2),23,0)))</f>
        <v/>
      </c>
      <c r="K2084" s="13">
        <f>IF(C2084=Options!$B$9,B2084*12,0)</f>
        <v/>
      </c>
      <c r="L2084" s="13">
        <f>IF(C2084=Options!$B$9,B2084*Options!$Z$7,0)</f>
        <v/>
      </c>
      <c r="M2084" s="13" t="n">
        <v>0</v>
      </c>
      <c r="N2084" s="13">
        <f>SUM(E2084:M2084)</f>
        <v/>
      </c>
    </row>
    <row r="2085">
      <c r="A2085" s="5">
        <f>IF(AND(C2085&gt;=Options!$B$9,C2085&lt;=Options!$B$10),"Phoenix","")</f>
        <v/>
      </c>
      <c r="B2085" s="5">
        <f>IF(A2085="","",24)</f>
        <v/>
      </c>
      <c r="C2085" s="17" t="n">
        <v>46551</v>
      </c>
      <c r="D2085" s="5">
        <f>IF(A2085="","",IF(C2085=DATE(2026,11,29),"培训；注册午餐；早餐参数",IF(C2085=DATE(2026,11,30),"培训；注册午餐",IF(C2085=DATE(2026,12,1),"培训；注册午餐；机构晚餐",IF(C2085=Options!$B$9,"抵达；"&amp;IF(C2085=DATE(2026,11,28),"机构晚餐","无统一供餐"),IF(C2085=Options!$B$10,"返程；"&amp;IF(C2085=DATE(2026,12,2),"机构午餐","无统一供餐"),"差旅状态；无统一日程"))))))</f>
        <v/>
      </c>
      <c r="E2085" s="13">
        <f>IF(C2085=Options!$B$9,Options!$C$19,0)</f>
        <v/>
      </c>
      <c r="F2085" s="13">
        <f>IF(AND(A2085&lt;&gt;"",C2085&lt;Options!$B$10),B2085*Options!$X$7,0)</f>
        <v/>
      </c>
      <c r="G2085" s="13">
        <f>F2085*12%</f>
        <v/>
      </c>
      <c r="H2085" s="13">
        <f>IF(A2085="",0,B2085*(86*IF(OR(C2085=Options!$B$9,C2085=Options!$B$10),75%,100%)-IF(C2085=DATE(2026,11,29),23+IF(Options!$B$8="是",22,0),0)-IF(C2085=DATE(2026,11,30),23,0)-IF(C2085=DATE(2026,12,1),59,0)-IF(C2085=DATE(2026,11,28),36,0)-IF(C2085=DATE(2026,12,2),23,0)))</f>
        <v/>
      </c>
      <c r="I2085" s="13">
        <f>IF(AND(C2085&gt;=DATE(2026,11,29),C2085&lt;=DATE(2026,12,1)),B2085*60,0)</f>
        <v/>
      </c>
      <c r="J2085" s="13">
        <f>IF(A2085="",0,B2085*(IF(C2085=DATE(2026,11,28),36,0)+IF(C2085=DATE(2026,12,1),36,0)+IF(C2085=DATE(2026,12,2),23,0)))</f>
        <v/>
      </c>
      <c r="K2085" s="13">
        <f>IF(C2085=Options!$B$9,B2085*12,0)</f>
        <v/>
      </c>
      <c r="L2085" s="13">
        <f>IF(C2085=Options!$B$9,B2085*Options!$Z$7,0)</f>
        <v/>
      </c>
      <c r="M2085" s="13" t="n">
        <v>0</v>
      </c>
      <c r="N2085" s="13">
        <f>SUM(E2085:M2085)</f>
        <v/>
      </c>
    </row>
    <row r="2086">
      <c r="A2086" s="5">
        <f>IF(AND(C2086&gt;=Options!$B$9,C2086&lt;=Options!$B$10),"Phoenix","")</f>
        <v/>
      </c>
      <c r="B2086" s="5">
        <f>IF(A2086="","",24)</f>
        <v/>
      </c>
      <c r="C2086" s="17" t="n">
        <v>46552</v>
      </c>
      <c r="D2086" s="5">
        <f>IF(A2086="","",IF(C2086=DATE(2026,11,29),"培训；注册午餐；早餐参数",IF(C2086=DATE(2026,11,30),"培训；注册午餐",IF(C2086=DATE(2026,12,1),"培训；注册午餐；机构晚餐",IF(C2086=Options!$B$9,"抵达；"&amp;IF(C2086=DATE(2026,11,28),"机构晚餐","无统一供餐"),IF(C2086=Options!$B$10,"返程；"&amp;IF(C2086=DATE(2026,12,2),"机构午餐","无统一供餐"),"差旅状态；无统一日程"))))))</f>
        <v/>
      </c>
      <c r="E2086" s="13">
        <f>IF(C2086=Options!$B$9,Options!$C$19,0)</f>
        <v/>
      </c>
      <c r="F2086" s="13">
        <f>IF(AND(A2086&lt;&gt;"",C2086&lt;Options!$B$10),B2086*Options!$X$7,0)</f>
        <v/>
      </c>
      <c r="G2086" s="13">
        <f>F2086*12%</f>
        <v/>
      </c>
      <c r="H2086" s="13">
        <f>IF(A2086="",0,B2086*(86*IF(OR(C2086=Options!$B$9,C2086=Options!$B$10),75%,100%)-IF(C2086=DATE(2026,11,29),23+IF(Options!$B$8="是",22,0),0)-IF(C2086=DATE(2026,11,30),23,0)-IF(C2086=DATE(2026,12,1),59,0)-IF(C2086=DATE(2026,11,28),36,0)-IF(C2086=DATE(2026,12,2),23,0)))</f>
        <v/>
      </c>
      <c r="I2086" s="13">
        <f>IF(AND(C2086&gt;=DATE(2026,11,29),C2086&lt;=DATE(2026,12,1)),B2086*60,0)</f>
        <v/>
      </c>
      <c r="J2086" s="13">
        <f>IF(A2086="",0,B2086*(IF(C2086=DATE(2026,11,28),36,0)+IF(C2086=DATE(2026,12,1),36,0)+IF(C2086=DATE(2026,12,2),23,0)))</f>
        <v/>
      </c>
      <c r="K2086" s="13">
        <f>IF(C2086=Options!$B$9,B2086*12,0)</f>
        <v/>
      </c>
      <c r="L2086" s="13">
        <f>IF(C2086=Options!$B$9,B2086*Options!$Z$7,0)</f>
        <v/>
      </c>
      <c r="M2086" s="13" t="n">
        <v>0</v>
      </c>
      <c r="N2086" s="13">
        <f>SUM(E2086:M2086)</f>
        <v/>
      </c>
    </row>
    <row r="2087">
      <c r="A2087" s="5">
        <f>IF(AND(C2087&gt;=Options!$B$9,C2087&lt;=Options!$B$10),"Phoenix","")</f>
        <v/>
      </c>
      <c r="B2087" s="5">
        <f>IF(A2087="","",24)</f>
        <v/>
      </c>
      <c r="C2087" s="17" t="n">
        <v>46553</v>
      </c>
      <c r="D2087" s="5">
        <f>IF(A2087="","",IF(C2087=DATE(2026,11,29),"培训；注册午餐；早餐参数",IF(C2087=DATE(2026,11,30),"培训；注册午餐",IF(C2087=DATE(2026,12,1),"培训；注册午餐；机构晚餐",IF(C2087=Options!$B$9,"抵达；"&amp;IF(C2087=DATE(2026,11,28),"机构晚餐","无统一供餐"),IF(C2087=Options!$B$10,"返程；"&amp;IF(C2087=DATE(2026,12,2),"机构午餐","无统一供餐"),"差旅状态；无统一日程"))))))</f>
        <v/>
      </c>
      <c r="E2087" s="13">
        <f>IF(C2087=Options!$B$9,Options!$C$19,0)</f>
        <v/>
      </c>
      <c r="F2087" s="13">
        <f>IF(AND(A2087&lt;&gt;"",C2087&lt;Options!$B$10),B2087*Options!$X$7,0)</f>
        <v/>
      </c>
      <c r="G2087" s="13">
        <f>F2087*12%</f>
        <v/>
      </c>
      <c r="H2087" s="13">
        <f>IF(A2087="",0,B2087*(86*IF(OR(C2087=Options!$B$9,C2087=Options!$B$10),75%,100%)-IF(C2087=DATE(2026,11,29),23+IF(Options!$B$8="是",22,0),0)-IF(C2087=DATE(2026,11,30),23,0)-IF(C2087=DATE(2026,12,1),59,0)-IF(C2087=DATE(2026,11,28),36,0)-IF(C2087=DATE(2026,12,2),23,0)))</f>
        <v/>
      </c>
      <c r="I2087" s="13">
        <f>IF(AND(C2087&gt;=DATE(2026,11,29),C2087&lt;=DATE(2026,12,1)),B2087*60,0)</f>
        <v/>
      </c>
      <c r="J2087" s="13">
        <f>IF(A2087="",0,B2087*(IF(C2087=DATE(2026,11,28),36,0)+IF(C2087=DATE(2026,12,1),36,0)+IF(C2087=DATE(2026,12,2),23,0)))</f>
        <v/>
      </c>
      <c r="K2087" s="13">
        <f>IF(C2087=Options!$B$9,B2087*12,0)</f>
        <v/>
      </c>
      <c r="L2087" s="13">
        <f>IF(C2087=Options!$B$9,B2087*Options!$Z$7,0)</f>
        <v/>
      </c>
      <c r="M2087" s="13" t="n">
        <v>0</v>
      </c>
      <c r="N2087" s="13">
        <f>SUM(E2087:M2087)</f>
        <v/>
      </c>
    </row>
    <row r="2088">
      <c r="A2088" s="5">
        <f>IF(AND(C2088&gt;=Options!$B$9,C2088&lt;=Options!$B$10),"Phoenix","")</f>
        <v/>
      </c>
      <c r="B2088" s="5">
        <f>IF(A2088="","",24)</f>
        <v/>
      </c>
      <c r="C2088" s="17" t="n">
        <v>46554</v>
      </c>
      <c r="D2088" s="5">
        <f>IF(A2088="","",IF(C2088=DATE(2026,11,29),"培训；注册午餐；早餐参数",IF(C2088=DATE(2026,11,30),"培训；注册午餐",IF(C2088=DATE(2026,12,1),"培训；注册午餐；机构晚餐",IF(C2088=Options!$B$9,"抵达；"&amp;IF(C2088=DATE(2026,11,28),"机构晚餐","无统一供餐"),IF(C2088=Options!$B$10,"返程；"&amp;IF(C2088=DATE(2026,12,2),"机构午餐","无统一供餐"),"差旅状态；无统一日程"))))))</f>
        <v/>
      </c>
      <c r="E2088" s="13">
        <f>IF(C2088=Options!$B$9,Options!$C$19,0)</f>
        <v/>
      </c>
      <c r="F2088" s="13">
        <f>IF(AND(A2088&lt;&gt;"",C2088&lt;Options!$B$10),B2088*Options!$X$7,0)</f>
        <v/>
      </c>
      <c r="G2088" s="13">
        <f>F2088*12%</f>
        <v/>
      </c>
      <c r="H2088" s="13">
        <f>IF(A2088="",0,B2088*(86*IF(OR(C2088=Options!$B$9,C2088=Options!$B$10),75%,100%)-IF(C2088=DATE(2026,11,29),23+IF(Options!$B$8="是",22,0),0)-IF(C2088=DATE(2026,11,30),23,0)-IF(C2088=DATE(2026,12,1),59,0)-IF(C2088=DATE(2026,11,28),36,0)-IF(C2088=DATE(2026,12,2),23,0)))</f>
        <v/>
      </c>
      <c r="I2088" s="13">
        <f>IF(AND(C2088&gt;=DATE(2026,11,29),C2088&lt;=DATE(2026,12,1)),B2088*60,0)</f>
        <v/>
      </c>
      <c r="J2088" s="13">
        <f>IF(A2088="",0,B2088*(IF(C2088=DATE(2026,11,28),36,0)+IF(C2088=DATE(2026,12,1),36,0)+IF(C2088=DATE(2026,12,2),23,0)))</f>
        <v/>
      </c>
      <c r="K2088" s="13">
        <f>IF(C2088=Options!$B$9,B2088*12,0)</f>
        <v/>
      </c>
      <c r="L2088" s="13">
        <f>IF(C2088=Options!$B$9,B2088*Options!$Z$7,0)</f>
        <v/>
      </c>
      <c r="M2088" s="13" t="n">
        <v>0</v>
      </c>
      <c r="N2088" s="13">
        <f>SUM(E2088:M2088)</f>
        <v/>
      </c>
    </row>
    <row r="2089">
      <c r="A2089" s="5">
        <f>IF(AND(C2089&gt;=Options!$B$9,C2089&lt;=Options!$B$10),"Phoenix","")</f>
        <v/>
      </c>
      <c r="B2089" s="5">
        <f>IF(A2089="","",24)</f>
        <v/>
      </c>
      <c r="C2089" s="17" t="n">
        <v>46555</v>
      </c>
      <c r="D2089" s="5">
        <f>IF(A2089="","",IF(C2089=DATE(2026,11,29),"培训；注册午餐；早餐参数",IF(C2089=DATE(2026,11,30),"培训；注册午餐",IF(C2089=DATE(2026,12,1),"培训；注册午餐；机构晚餐",IF(C2089=Options!$B$9,"抵达；"&amp;IF(C2089=DATE(2026,11,28),"机构晚餐","无统一供餐"),IF(C2089=Options!$B$10,"返程；"&amp;IF(C2089=DATE(2026,12,2),"机构午餐","无统一供餐"),"差旅状态；无统一日程"))))))</f>
        <v/>
      </c>
      <c r="E2089" s="13">
        <f>IF(C2089=Options!$B$9,Options!$C$19,0)</f>
        <v/>
      </c>
      <c r="F2089" s="13">
        <f>IF(AND(A2089&lt;&gt;"",C2089&lt;Options!$B$10),B2089*Options!$X$7,0)</f>
        <v/>
      </c>
      <c r="G2089" s="13">
        <f>F2089*12%</f>
        <v/>
      </c>
      <c r="H2089" s="13">
        <f>IF(A2089="",0,B2089*(86*IF(OR(C2089=Options!$B$9,C2089=Options!$B$10),75%,100%)-IF(C2089=DATE(2026,11,29),23+IF(Options!$B$8="是",22,0),0)-IF(C2089=DATE(2026,11,30),23,0)-IF(C2089=DATE(2026,12,1),59,0)-IF(C2089=DATE(2026,11,28),36,0)-IF(C2089=DATE(2026,12,2),23,0)))</f>
        <v/>
      </c>
      <c r="I2089" s="13">
        <f>IF(AND(C2089&gt;=DATE(2026,11,29),C2089&lt;=DATE(2026,12,1)),B2089*60,0)</f>
        <v/>
      </c>
      <c r="J2089" s="13">
        <f>IF(A2089="",0,B2089*(IF(C2089=DATE(2026,11,28),36,0)+IF(C2089=DATE(2026,12,1),36,0)+IF(C2089=DATE(2026,12,2),23,0)))</f>
        <v/>
      </c>
      <c r="K2089" s="13">
        <f>IF(C2089=Options!$B$9,B2089*12,0)</f>
        <v/>
      </c>
      <c r="L2089" s="13">
        <f>IF(C2089=Options!$B$9,B2089*Options!$Z$7,0)</f>
        <v/>
      </c>
      <c r="M2089" s="13" t="n">
        <v>0</v>
      </c>
      <c r="N2089" s="13">
        <f>SUM(E2089:M2089)</f>
        <v/>
      </c>
    </row>
    <row r="2090">
      <c r="A2090" s="5">
        <f>IF(AND(C2090&gt;=Options!$B$9,C2090&lt;=Options!$B$10),"Phoenix","")</f>
        <v/>
      </c>
      <c r="B2090" s="5">
        <f>IF(A2090="","",24)</f>
        <v/>
      </c>
      <c r="C2090" s="17" t="n">
        <v>46556</v>
      </c>
      <c r="D2090" s="5">
        <f>IF(A2090="","",IF(C2090=DATE(2026,11,29),"培训；注册午餐；早餐参数",IF(C2090=DATE(2026,11,30),"培训；注册午餐",IF(C2090=DATE(2026,12,1),"培训；注册午餐；机构晚餐",IF(C2090=Options!$B$9,"抵达；"&amp;IF(C2090=DATE(2026,11,28),"机构晚餐","无统一供餐"),IF(C2090=Options!$B$10,"返程；"&amp;IF(C2090=DATE(2026,12,2),"机构午餐","无统一供餐"),"差旅状态；无统一日程"))))))</f>
        <v/>
      </c>
      <c r="E2090" s="13">
        <f>IF(C2090=Options!$B$9,Options!$C$19,0)</f>
        <v/>
      </c>
      <c r="F2090" s="13">
        <f>IF(AND(A2090&lt;&gt;"",C2090&lt;Options!$B$10),B2090*Options!$X$7,0)</f>
        <v/>
      </c>
      <c r="G2090" s="13">
        <f>F2090*12%</f>
        <v/>
      </c>
      <c r="H2090" s="13">
        <f>IF(A2090="",0,B2090*(86*IF(OR(C2090=Options!$B$9,C2090=Options!$B$10),75%,100%)-IF(C2090=DATE(2026,11,29),23+IF(Options!$B$8="是",22,0),0)-IF(C2090=DATE(2026,11,30),23,0)-IF(C2090=DATE(2026,12,1),59,0)-IF(C2090=DATE(2026,11,28),36,0)-IF(C2090=DATE(2026,12,2),23,0)))</f>
        <v/>
      </c>
      <c r="I2090" s="13">
        <f>IF(AND(C2090&gt;=DATE(2026,11,29),C2090&lt;=DATE(2026,12,1)),B2090*60,0)</f>
        <v/>
      </c>
      <c r="J2090" s="13">
        <f>IF(A2090="",0,B2090*(IF(C2090=DATE(2026,11,28),36,0)+IF(C2090=DATE(2026,12,1),36,0)+IF(C2090=DATE(2026,12,2),23,0)))</f>
        <v/>
      </c>
      <c r="K2090" s="13">
        <f>IF(C2090=Options!$B$9,B2090*12,0)</f>
        <v/>
      </c>
      <c r="L2090" s="13">
        <f>IF(C2090=Options!$B$9,B2090*Options!$Z$7,0)</f>
        <v/>
      </c>
      <c r="M2090" s="13" t="n">
        <v>0</v>
      </c>
      <c r="N2090" s="13">
        <f>SUM(E2090:M2090)</f>
        <v/>
      </c>
    </row>
    <row r="2091">
      <c r="A2091" s="5">
        <f>IF(AND(C2091&gt;=Options!$B$9,C2091&lt;=Options!$B$10),"Phoenix","")</f>
        <v/>
      </c>
      <c r="B2091" s="5">
        <f>IF(A2091="","",24)</f>
        <v/>
      </c>
      <c r="C2091" s="17" t="n">
        <v>46557</v>
      </c>
      <c r="D2091" s="5">
        <f>IF(A2091="","",IF(C2091=DATE(2026,11,29),"培训；注册午餐；早餐参数",IF(C2091=DATE(2026,11,30),"培训；注册午餐",IF(C2091=DATE(2026,12,1),"培训；注册午餐；机构晚餐",IF(C2091=Options!$B$9,"抵达；"&amp;IF(C2091=DATE(2026,11,28),"机构晚餐","无统一供餐"),IF(C2091=Options!$B$10,"返程；"&amp;IF(C2091=DATE(2026,12,2),"机构午餐","无统一供餐"),"差旅状态；无统一日程"))))))</f>
        <v/>
      </c>
      <c r="E2091" s="13">
        <f>IF(C2091=Options!$B$9,Options!$C$19,0)</f>
        <v/>
      </c>
      <c r="F2091" s="13">
        <f>IF(AND(A2091&lt;&gt;"",C2091&lt;Options!$B$10),B2091*Options!$X$7,0)</f>
        <v/>
      </c>
      <c r="G2091" s="13">
        <f>F2091*12%</f>
        <v/>
      </c>
      <c r="H2091" s="13">
        <f>IF(A2091="",0,B2091*(86*IF(OR(C2091=Options!$B$9,C2091=Options!$B$10),75%,100%)-IF(C2091=DATE(2026,11,29),23+IF(Options!$B$8="是",22,0),0)-IF(C2091=DATE(2026,11,30),23,0)-IF(C2091=DATE(2026,12,1),59,0)-IF(C2091=DATE(2026,11,28),36,0)-IF(C2091=DATE(2026,12,2),23,0)))</f>
        <v/>
      </c>
      <c r="I2091" s="13">
        <f>IF(AND(C2091&gt;=DATE(2026,11,29),C2091&lt;=DATE(2026,12,1)),B2091*60,0)</f>
        <v/>
      </c>
      <c r="J2091" s="13">
        <f>IF(A2091="",0,B2091*(IF(C2091=DATE(2026,11,28),36,0)+IF(C2091=DATE(2026,12,1),36,0)+IF(C2091=DATE(2026,12,2),23,0)))</f>
        <v/>
      </c>
      <c r="K2091" s="13">
        <f>IF(C2091=Options!$B$9,B2091*12,0)</f>
        <v/>
      </c>
      <c r="L2091" s="13">
        <f>IF(C2091=Options!$B$9,B2091*Options!$Z$7,0)</f>
        <v/>
      </c>
      <c r="M2091" s="13" t="n">
        <v>0</v>
      </c>
      <c r="N2091" s="13">
        <f>SUM(E2091:M2091)</f>
        <v/>
      </c>
    </row>
    <row r="2092">
      <c r="A2092" s="5">
        <f>IF(AND(C2092&gt;=Options!$B$9,C2092&lt;=Options!$B$10),"Phoenix","")</f>
        <v/>
      </c>
      <c r="B2092" s="5">
        <f>IF(A2092="","",24)</f>
        <v/>
      </c>
      <c r="C2092" s="17" t="n">
        <v>46558</v>
      </c>
      <c r="D2092" s="5">
        <f>IF(A2092="","",IF(C2092=DATE(2026,11,29),"培训；注册午餐；早餐参数",IF(C2092=DATE(2026,11,30),"培训；注册午餐",IF(C2092=DATE(2026,12,1),"培训；注册午餐；机构晚餐",IF(C2092=Options!$B$9,"抵达；"&amp;IF(C2092=DATE(2026,11,28),"机构晚餐","无统一供餐"),IF(C2092=Options!$B$10,"返程；"&amp;IF(C2092=DATE(2026,12,2),"机构午餐","无统一供餐"),"差旅状态；无统一日程"))))))</f>
        <v/>
      </c>
      <c r="E2092" s="13">
        <f>IF(C2092=Options!$B$9,Options!$C$19,0)</f>
        <v/>
      </c>
      <c r="F2092" s="13">
        <f>IF(AND(A2092&lt;&gt;"",C2092&lt;Options!$B$10),B2092*Options!$X$7,0)</f>
        <v/>
      </c>
      <c r="G2092" s="13">
        <f>F2092*12%</f>
        <v/>
      </c>
      <c r="H2092" s="13">
        <f>IF(A2092="",0,B2092*(86*IF(OR(C2092=Options!$B$9,C2092=Options!$B$10),75%,100%)-IF(C2092=DATE(2026,11,29),23+IF(Options!$B$8="是",22,0),0)-IF(C2092=DATE(2026,11,30),23,0)-IF(C2092=DATE(2026,12,1),59,0)-IF(C2092=DATE(2026,11,28),36,0)-IF(C2092=DATE(2026,12,2),23,0)))</f>
        <v/>
      </c>
      <c r="I2092" s="13">
        <f>IF(AND(C2092&gt;=DATE(2026,11,29),C2092&lt;=DATE(2026,12,1)),B2092*60,0)</f>
        <v/>
      </c>
      <c r="J2092" s="13">
        <f>IF(A2092="",0,B2092*(IF(C2092=DATE(2026,11,28),36,0)+IF(C2092=DATE(2026,12,1),36,0)+IF(C2092=DATE(2026,12,2),23,0)))</f>
        <v/>
      </c>
      <c r="K2092" s="13">
        <f>IF(C2092=Options!$B$9,B2092*12,0)</f>
        <v/>
      </c>
      <c r="L2092" s="13">
        <f>IF(C2092=Options!$B$9,B2092*Options!$Z$7,0)</f>
        <v/>
      </c>
      <c r="M2092" s="13" t="n">
        <v>0</v>
      </c>
      <c r="N2092" s="13">
        <f>SUM(E2092:M2092)</f>
        <v/>
      </c>
    </row>
    <row r="2093">
      <c r="A2093" s="5">
        <f>IF(AND(C2093&gt;=Options!$B$9,C2093&lt;=Options!$B$10),"Phoenix","")</f>
        <v/>
      </c>
      <c r="B2093" s="5">
        <f>IF(A2093="","",24)</f>
        <v/>
      </c>
      <c r="C2093" s="17" t="n">
        <v>46559</v>
      </c>
      <c r="D2093" s="5">
        <f>IF(A2093="","",IF(C2093=DATE(2026,11,29),"培训；注册午餐；早餐参数",IF(C2093=DATE(2026,11,30),"培训；注册午餐",IF(C2093=DATE(2026,12,1),"培训；注册午餐；机构晚餐",IF(C2093=Options!$B$9,"抵达；"&amp;IF(C2093=DATE(2026,11,28),"机构晚餐","无统一供餐"),IF(C2093=Options!$B$10,"返程；"&amp;IF(C2093=DATE(2026,12,2),"机构午餐","无统一供餐"),"差旅状态；无统一日程"))))))</f>
        <v/>
      </c>
      <c r="E2093" s="13">
        <f>IF(C2093=Options!$B$9,Options!$C$19,0)</f>
        <v/>
      </c>
      <c r="F2093" s="13">
        <f>IF(AND(A2093&lt;&gt;"",C2093&lt;Options!$B$10),B2093*Options!$X$7,0)</f>
        <v/>
      </c>
      <c r="G2093" s="13">
        <f>F2093*12%</f>
        <v/>
      </c>
      <c r="H2093" s="13">
        <f>IF(A2093="",0,B2093*(86*IF(OR(C2093=Options!$B$9,C2093=Options!$B$10),75%,100%)-IF(C2093=DATE(2026,11,29),23+IF(Options!$B$8="是",22,0),0)-IF(C2093=DATE(2026,11,30),23,0)-IF(C2093=DATE(2026,12,1),59,0)-IF(C2093=DATE(2026,11,28),36,0)-IF(C2093=DATE(2026,12,2),23,0)))</f>
        <v/>
      </c>
      <c r="I2093" s="13">
        <f>IF(AND(C2093&gt;=DATE(2026,11,29),C2093&lt;=DATE(2026,12,1)),B2093*60,0)</f>
        <v/>
      </c>
      <c r="J2093" s="13">
        <f>IF(A2093="",0,B2093*(IF(C2093=DATE(2026,11,28),36,0)+IF(C2093=DATE(2026,12,1),36,0)+IF(C2093=DATE(2026,12,2),23,0)))</f>
        <v/>
      </c>
      <c r="K2093" s="13">
        <f>IF(C2093=Options!$B$9,B2093*12,0)</f>
        <v/>
      </c>
      <c r="L2093" s="13">
        <f>IF(C2093=Options!$B$9,B2093*Options!$Z$7,0)</f>
        <v/>
      </c>
      <c r="M2093" s="13" t="n">
        <v>0</v>
      </c>
      <c r="N2093" s="13">
        <f>SUM(E2093:M2093)</f>
        <v/>
      </c>
    </row>
    <row r="2094">
      <c r="A2094" s="5">
        <f>IF(AND(C2094&gt;=Options!$B$9,C2094&lt;=Options!$B$10),"Phoenix","")</f>
        <v/>
      </c>
      <c r="B2094" s="5">
        <f>IF(A2094="","",24)</f>
        <v/>
      </c>
      <c r="C2094" s="17" t="n">
        <v>46560</v>
      </c>
      <c r="D2094" s="5">
        <f>IF(A2094="","",IF(C2094=DATE(2026,11,29),"培训；注册午餐；早餐参数",IF(C2094=DATE(2026,11,30),"培训；注册午餐",IF(C2094=DATE(2026,12,1),"培训；注册午餐；机构晚餐",IF(C2094=Options!$B$9,"抵达；"&amp;IF(C2094=DATE(2026,11,28),"机构晚餐","无统一供餐"),IF(C2094=Options!$B$10,"返程；"&amp;IF(C2094=DATE(2026,12,2),"机构午餐","无统一供餐"),"差旅状态；无统一日程"))))))</f>
        <v/>
      </c>
      <c r="E2094" s="13">
        <f>IF(C2094=Options!$B$9,Options!$C$19,0)</f>
        <v/>
      </c>
      <c r="F2094" s="13">
        <f>IF(AND(A2094&lt;&gt;"",C2094&lt;Options!$B$10),B2094*Options!$X$7,0)</f>
        <v/>
      </c>
      <c r="G2094" s="13">
        <f>F2094*12%</f>
        <v/>
      </c>
      <c r="H2094" s="13">
        <f>IF(A2094="",0,B2094*(86*IF(OR(C2094=Options!$B$9,C2094=Options!$B$10),75%,100%)-IF(C2094=DATE(2026,11,29),23+IF(Options!$B$8="是",22,0),0)-IF(C2094=DATE(2026,11,30),23,0)-IF(C2094=DATE(2026,12,1),59,0)-IF(C2094=DATE(2026,11,28),36,0)-IF(C2094=DATE(2026,12,2),23,0)))</f>
        <v/>
      </c>
      <c r="I2094" s="13">
        <f>IF(AND(C2094&gt;=DATE(2026,11,29),C2094&lt;=DATE(2026,12,1)),B2094*60,0)</f>
        <v/>
      </c>
      <c r="J2094" s="13">
        <f>IF(A2094="",0,B2094*(IF(C2094=DATE(2026,11,28),36,0)+IF(C2094=DATE(2026,12,1),36,0)+IF(C2094=DATE(2026,12,2),23,0)))</f>
        <v/>
      </c>
      <c r="K2094" s="13">
        <f>IF(C2094=Options!$B$9,B2094*12,0)</f>
        <v/>
      </c>
      <c r="L2094" s="13">
        <f>IF(C2094=Options!$B$9,B2094*Options!$Z$7,0)</f>
        <v/>
      </c>
      <c r="M2094" s="13" t="n">
        <v>0</v>
      </c>
      <c r="N2094" s="13">
        <f>SUM(E2094:M2094)</f>
        <v/>
      </c>
    </row>
    <row r="2095">
      <c r="A2095" s="5">
        <f>IF(AND(C2095&gt;=Options!$B$9,C2095&lt;=Options!$B$10),"Phoenix","")</f>
        <v/>
      </c>
      <c r="B2095" s="5">
        <f>IF(A2095="","",24)</f>
        <v/>
      </c>
      <c r="C2095" s="17" t="n">
        <v>46561</v>
      </c>
      <c r="D2095" s="5">
        <f>IF(A2095="","",IF(C2095=DATE(2026,11,29),"培训；注册午餐；早餐参数",IF(C2095=DATE(2026,11,30),"培训；注册午餐",IF(C2095=DATE(2026,12,1),"培训；注册午餐；机构晚餐",IF(C2095=Options!$B$9,"抵达；"&amp;IF(C2095=DATE(2026,11,28),"机构晚餐","无统一供餐"),IF(C2095=Options!$B$10,"返程；"&amp;IF(C2095=DATE(2026,12,2),"机构午餐","无统一供餐"),"差旅状态；无统一日程"))))))</f>
        <v/>
      </c>
      <c r="E2095" s="13">
        <f>IF(C2095=Options!$B$9,Options!$C$19,0)</f>
        <v/>
      </c>
      <c r="F2095" s="13">
        <f>IF(AND(A2095&lt;&gt;"",C2095&lt;Options!$B$10),B2095*Options!$X$7,0)</f>
        <v/>
      </c>
      <c r="G2095" s="13">
        <f>F2095*12%</f>
        <v/>
      </c>
      <c r="H2095" s="13">
        <f>IF(A2095="",0,B2095*(86*IF(OR(C2095=Options!$B$9,C2095=Options!$B$10),75%,100%)-IF(C2095=DATE(2026,11,29),23+IF(Options!$B$8="是",22,0),0)-IF(C2095=DATE(2026,11,30),23,0)-IF(C2095=DATE(2026,12,1),59,0)-IF(C2095=DATE(2026,11,28),36,0)-IF(C2095=DATE(2026,12,2),23,0)))</f>
        <v/>
      </c>
      <c r="I2095" s="13">
        <f>IF(AND(C2095&gt;=DATE(2026,11,29),C2095&lt;=DATE(2026,12,1)),B2095*60,0)</f>
        <v/>
      </c>
      <c r="J2095" s="13">
        <f>IF(A2095="",0,B2095*(IF(C2095=DATE(2026,11,28),36,0)+IF(C2095=DATE(2026,12,1),36,0)+IF(C2095=DATE(2026,12,2),23,0)))</f>
        <v/>
      </c>
      <c r="K2095" s="13">
        <f>IF(C2095=Options!$B$9,B2095*12,0)</f>
        <v/>
      </c>
      <c r="L2095" s="13">
        <f>IF(C2095=Options!$B$9,B2095*Options!$Z$7,0)</f>
        <v/>
      </c>
      <c r="M2095" s="13" t="n">
        <v>0</v>
      </c>
      <c r="N2095" s="13">
        <f>SUM(E2095:M2095)</f>
        <v/>
      </c>
    </row>
    <row r="2096">
      <c r="A2096" s="5">
        <f>IF(AND(C2096&gt;=Options!$B$9,C2096&lt;=Options!$B$10),"Phoenix","")</f>
        <v/>
      </c>
      <c r="B2096" s="5">
        <f>IF(A2096="","",24)</f>
        <v/>
      </c>
      <c r="C2096" s="17" t="n">
        <v>46562</v>
      </c>
      <c r="D2096" s="5">
        <f>IF(A2096="","",IF(C2096=DATE(2026,11,29),"培训；注册午餐；早餐参数",IF(C2096=DATE(2026,11,30),"培训；注册午餐",IF(C2096=DATE(2026,12,1),"培训；注册午餐；机构晚餐",IF(C2096=Options!$B$9,"抵达；"&amp;IF(C2096=DATE(2026,11,28),"机构晚餐","无统一供餐"),IF(C2096=Options!$B$10,"返程；"&amp;IF(C2096=DATE(2026,12,2),"机构午餐","无统一供餐"),"差旅状态；无统一日程"))))))</f>
        <v/>
      </c>
      <c r="E2096" s="13">
        <f>IF(C2096=Options!$B$9,Options!$C$19,0)</f>
        <v/>
      </c>
      <c r="F2096" s="13">
        <f>IF(AND(A2096&lt;&gt;"",C2096&lt;Options!$B$10),B2096*Options!$X$7,0)</f>
        <v/>
      </c>
      <c r="G2096" s="13">
        <f>F2096*12%</f>
        <v/>
      </c>
      <c r="H2096" s="13">
        <f>IF(A2096="",0,B2096*(86*IF(OR(C2096=Options!$B$9,C2096=Options!$B$10),75%,100%)-IF(C2096=DATE(2026,11,29),23+IF(Options!$B$8="是",22,0),0)-IF(C2096=DATE(2026,11,30),23,0)-IF(C2096=DATE(2026,12,1),59,0)-IF(C2096=DATE(2026,11,28),36,0)-IF(C2096=DATE(2026,12,2),23,0)))</f>
        <v/>
      </c>
      <c r="I2096" s="13">
        <f>IF(AND(C2096&gt;=DATE(2026,11,29),C2096&lt;=DATE(2026,12,1)),B2096*60,0)</f>
        <v/>
      </c>
      <c r="J2096" s="13">
        <f>IF(A2096="",0,B2096*(IF(C2096=DATE(2026,11,28),36,0)+IF(C2096=DATE(2026,12,1),36,0)+IF(C2096=DATE(2026,12,2),23,0)))</f>
        <v/>
      </c>
      <c r="K2096" s="13">
        <f>IF(C2096=Options!$B$9,B2096*12,0)</f>
        <v/>
      </c>
      <c r="L2096" s="13">
        <f>IF(C2096=Options!$B$9,B2096*Options!$Z$7,0)</f>
        <v/>
      </c>
      <c r="M2096" s="13" t="n">
        <v>0</v>
      </c>
      <c r="N2096" s="13">
        <f>SUM(E2096:M2096)</f>
        <v/>
      </c>
    </row>
    <row r="2097">
      <c r="A2097" s="5">
        <f>IF(AND(C2097&gt;=Options!$B$9,C2097&lt;=Options!$B$10),"Phoenix","")</f>
        <v/>
      </c>
      <c r="B2097" s="5">
        <f>IF(A2097="","",24)</f>
        <v/>
      </c>
      <c r="C2097" s="17" t="n">
        <v>46563</v>
      </c>
      <c r="D2097" s="5">
        <f>IF(A2097="","",IF(C2097=DATE(2026,11,29),"培训；注册午餐；早餐参数",IF(C2097=DATE(2026,11,30),"培训；注册午餐",IF(C2097=DATE(2026,12,1),"培训；注册午餐；机构晚餐",IF(C2097=Options!$B$9,"抵达；"&amp;IF(C2097=DATE(2026,11,28),"机构晚餐","无统一供餐"),IF(C2097=Options!$B$10,"返程；"&amp;IF(C2097=DATE(2026,12,2),"机构午餐","无统一供餐"),"差旅状态；无统一日程"))))))</f>
        <v/>
      </c>
      <c r="E2097" s="13">
        <f>IF(C2097=Options!$B$9,Options!$C$19,0)</f>
        <v/>
      </c>
      <c r="F2097" s="13">
        <f>IF(AND(A2097&lt;&gt;"",C2097&lt;Options!$B$10),B2097*Options!$X$7,0)</f>
        <v/>
      </c>
      <c r="G2097" s="13">
        <f>F2097*12%</f>
        <v/>
      </c>
      <c r="H2097" s="13">
        <f>IF(A2097="",0,B2097*(86*IF(OR(C2097=Options!$B$9,C2097=Options!$B$10),75%,100%)-IF(C2097=DATE(2026,11,29),23+IF(Options!$B$8="是",22,0),0)-IF(C2097=DATE(2026,11,30),23,0)-IF(C2097=DATE(2026,12,1),59,0)-IF(C2097=DATE(2026,11,28),36,0)-IF(C2097=DATE(2026,12,2),23,0)))</f>
        <v/>
      </c>
      <c r="I2097" s="13">
        <f>IF(AND(C2097&gt;=DATE(2026,11,29),C2097&lt;=DATE(2026,12,1)),B2097*60,0)</f>
        <v/>
      </c>
      <c r="J2097" s="13">
        <f>IF(A2097="",0,B2097*(IF(C2097=DATE(2026,11,28),36,0)+IF(C2097=DATE(2026,12,1),36,0)+IF(C2097=DATE(2026,12,2),23,0)))</f>
        <v/>
      </c>
      <c r="K2097" s="13">
        <f>IF(C2097=Options!$B$9,B2097*12,0)</f>
        <v/>
      </c>
      <c r="L2097" s="13">
        <f>IF(C2097=Options!$B$9,B2097*Options!$Z$7,0)</f>
        <v/>
      </c>
      <c r="M2097" s="13" t="n">
        <v>0</v>
      </c>
      <c r="N2097" s="13">
        <f>SUM(E2097:M2097)</f>
        <v/>
      </c>
    </row>
    <row r="2098">
      <c r="A2098" s="5">
        <f>IF(AND(C2098&gt;=Options!$B$9,C2098&lt;=Options!$B$10),"Phoenix","")</f>
        <v/>
      </c>
      <c r="B2098" s="5">
        <f>IF(A2098="","",24)</f>
        <v/>
      </c>
      <c r="C2098" s="17" t="n">
        <v>46564</v>
      </c>
      <c r="D2098" s="5">
        <f>IF(A2098="","",IF(C2098=DATE(2026,11,29),"培训；注册午餐；早餐参数",IF(C2098=DATE(2026,11,30),"培训；注册午餐",IF(C2098=DATE(2026,12,1),"培训；注册午餐；机构晚餐",IF(C2098=Options!$B$9,"抵达；"&amp;IF(C2098=DATE(2026,11,28),"机构晚餐","无统一供餐"),IF(C2098=Options!$B$10,"返程；"&amp;IF(C2098=DATE(2026,12,2),"机构午餐","无统一供餐"),"差旅状态；无统一日程"))))))</f>
        <v/>
      </c>
      <c r="E2098" s="13">
        <f>IF(C2098=Options!$B$9,Options!$C$19,0)</f>
        <v/>
      </c>
      <c r="F2098" s="13">
        <f>IF(AND(A2098&lt;&gt;"",C2098&lt;Options!$B$10),B2098*Options!$X$7,0)</f>
        <v/>
      </c>
      <c r="G2098" s="13">
        <f>F2098*12%</f>
        <v/>
      </c>
      <c r="H2098" s="13">
        <f>IF(A2098="",0,B2098*(86*IF(OR(C2098=Options!$B$9,C2098=Options!$B$10),75%,100%)-IF(C2098=DATE(2026,11,29),23+IF(Options!$B$8="是",22,0),0)-IF(C2098=DATE(2026,11,30),23,0)-IF(C2098=DATE(2026,12,1),59,0)-IF(C2098=DATE(2026,11,28),36,0)-IF(C2098=DATE(2026,12,2),23,0)))</f>
        <v/>
      </c>
      <c r="I2098" s="13">
        <f>IF(AND(C2098&gt;=DATE(2026,11,29),C2098&lt;=DATE(2026,12,1)),B2098*60,0)</f>
        <v/>
      </c>
      <c r="J2098" s="13">
        <f>IF(A2098="",0,B2098*(IF(C2098=DATE(2026,11,28),36,0)+IF(C2098=DATE(2026,12,1),36,0)+IF(C2098=DATE(2026,12,2),23,0)))</f>
        <v/>
      </c>
      <c r="K2098" s="13">
        <f>IF(C2098=Options!$B$9,B2098*12,0)</f>
        <v/>
      </c>
      <c r="L2098" s="13">
        <f>IF(C2098=Options!$B$9,B2098*Options!$Z$7,0)</f>
        <v/>
      </c>
      <c r="M2098" s="13" t="n">
        <v>0</v>
      </c>
      <c r="N2098" s="13">
        <f>SUM(E2098:M2098)</f>
        <v/>
      </c>
    </row>
    <row r="2099">
      <c r="A2099" s="5">
        <f>IF(AND(C2099&gt;=Options!$B$9,C2099&lt;=Options!$B$10),"Phoenix","")</f>
        <v/>
      </c>
      <c r="B2099" s="5">
        <f>IF(A2099="","",24)</f>
        <v/>
      </c>
      <c r="C2099" s="17" t="n">
        <v>46565</v>
      </c>
      <c r="D2099" s="5">
        <f>IF(A2099="","",IF(C2099=DATE(2026,11,29),"培训；注册午餐；早餐参数",IF(C2099=DATE(2026,11,30),"培训；注册午餐",IF(C2099=DATE(2026,12,1),"培训；注册午餐；机构晚餐",IF(C2099=Options!$B$9,"抵达；"&amp;IF(C2099=DATE(2026,11,28),"机构晚餐","无统一供餐"),IF(C2099=Options!$B$10,"返程；"&amp;IF(C2099=DATE(2026,12,2),"机构午餐","无统一供餐"),"差旅状态；无统一日程"))))))</f>
        <v/>
      </c>
      <c r="E2099" s="13">
        <f>IF(C2099=Options!$B$9,Options!$C$19,0)</f>
        <v/>
      </c>
      <c r="F2099" s="13">
        <f>IF(AND(A2099&lt;&gt;"",C2099&lt;Options!$B$10),B2099*Options!$X$7,0)</f>
        <v/>
      </c>
      <c r="G2099" s="13">
        <f>F2099*12%</f>
        <v/>
      </c>
      <c r="H2099" s="13">
        <f>IF(A2099="",0,B2099*(86*IF(OR(C2099=Options!$B$9,C2099=Options!$B$10),75%,100%)-IF(C2099=DATE(2026,11,29),23+IF(Options!$B$8="是",22,0),0)-IF(C2099=DATE(2026,11,30),23,0)-IF(C2099=DATE(2026,12,1),59,0)-IF(C2099=DATE(2026,11,28),36,0)-IF(C2099=DATE(2026,12,2),23,0)))</f>
        <v/>
      </c>
      <c r="I2099" s="13">
        <f>IF(AND(C2099&gt;=DATE(2026,11,29),C2099&lt;=DATE(2026,12,1)),B2099*60,0)</f>
        <v/>
      </c>
      <c r="J2099" s="13">
        <f>IF(A2099="",0,B2099*(IF(C2099=DATE(2026,11,28),36,0)+IF(C2099=DATE(2026,12,1),36,0)+IF(C2099=DATE(2026,12,2),23,0)))</f>
        <v/>
      </c>
      <c r="K2099" s="13">
        <f>IF(C2099=Options!$B$9,B2099*12,0)</f>
        <v/>
      </c>
      <c r="L2099" s="13">
        <f>IF(C2099=Options!$B$9,B2099*Options!$Z$7,0)</f>
        <v/>
      </c>
      <c r="M2099" s="13" t="n">
        <v>0</v>
      </c>
      <c r="N2099" s="13">
        <f>SUM(E2099:M2099)</f>
        <v/>
      </c>
    </row>
    <row r="2100">
      <c r="A2100" s="5">
        <f>IF(AND(C2100&gt;=Options!$B$9,C2100&lt;=Options!$B$10),"Phoenix","")</f>
        <v/>
      </c>
      <c r="B2100" s="5">
        <f>IF(A2100="","",24)</f>
        <v/>
      </c>
      <c r="C2100" s="17" t="n">
        <v>46566</v>
      </c>
      <c r="D2100" s="5">
        <f>IF(A2100="","",IF(C2100=DATE(2026,11,29),"培训；注册午餐；早餐参数",IF(C2100=DATE(2026,11,30),"培训；注册午餐",IF(C2100=DATE(2026,12,1),"培训；注册午餐；机构晚餐",IF(C2100=Options!$B$9,"抵达；"&amp;IF(C2100=DATE(2026,11,28),"机构晚餐","无统一供餐"),IF(C2100=Options!$B$10,"返程；"&amp;IF(C2100=DATE(2026,12,2),"机构午餐","无统一供餐"),"差旅状态；无统一日程"))))))</f>
        <v/>
      </c>
      <c r="E2100" s="13">
        <f>IF(C2100=Options!$B$9,Options!$C$19,0)</f>
        <v/>
      </c>
      <c r="F2100" s="13">
        <f>IF(AND(A2100&lt;&gt;"",C2100&lt;Options!$B$10),B2100*Options!$X$7,0)</f>
        <v/>
      </c>
      <c r="G2100" s="13">
        <f>F2100*12%</f>
        <v/>
      </c>
      <c r="H2100" s="13">
        <f>IF(A2100="",0,B2100*(86*IF(OR(C2100=Options!$B$9,C2100=Options!$B$10),75%,100%)-IF(C2100=DATE(2026,11,29),23+IF(Options!$B$8="是",22,0),0)-IF(C2100=DATE(2026,11,30),23,0)-IF(C2100=DATE(2026,12,1),59,0)-IF(C2100=DATE(2026,11,28),36,0)-IF(C2100=DATE(2026,12,2),23,0)))</f>
        <v/>
      </c>
      <c r="I2100" s="13">
        <f>IF(AND(C2100&gt;=DATE(2026,11,29),C2100&lt;=DATE(2026,12,1)),B2100*60,0)</f>
        <v/>
      </c>
      <c r="J2100" s="13">
        <f>IF(A2100="",0,B2100*(IF(C2100=DATE(2026,11,28),36,0)+IF(C2100=DATE(2026,12,1),36,0)+IF(C2100=DATE(2026,12,2),23,0)))</f>
        <v/>
      </c>
      <c r="K2100" s="13">
        <f>IF(C2100=Options!$B$9,B2100*12,0)</f>
        <v/>
      </c>
      <c r="L2100" s="13">
        <f>IF(C2100=Options!$B$9,B2100*Options!$Z$7,0)</f>
        <v/>
      </c>
      <c r="M2100" s="13" t="n">
        <v>0</v>
      </c>
      <c r="N2100" s="13">
        <f>SUM(E2100:M2100)</f>
        <v/>
      </c>
    </row>
    <row r="2101">
      <c r="A2101" s="5">
        <f>IF(AND(C2101&gt;=Options!$B$9,C2101&lt;=Options!$B$10),"Phoenix","")</f>
        <v/>
      </c>
      <c r="B2101" s="5">
        <f>IF(A2101="","",24)</f>
        <v/>
      </c>
      <c r="C2101" s="17" t="n">
        <v>46567</v>
      </c>
      <c r="D2101" s="5">
        <f>IF(A2101="","",IF(C2101=DATE(2026,11,29),"培训；注册午餐；早餐参数",IF(C2101=DATE(2026,11,30),"培训；注册午餐",IF(C2101=DATE(2026,12,1),"培训；注册午餐；机构晚餐",IF(C2101=Options!$B$9,"抵达；"&amp;IF(C2101=DATE(2026,11,28),"机构晚餐","无统一供餐"),IF(C2101=Options!$B$10,"返程；"&amp;IF(C2101=DATE(2026,12,2),"机构午餐","无统一供餐"),"差旅状态；无统一日程"))))))</f>
        <v/>
      </c>
      <c r="E2101" s="13">
        <f>IF(C2101=Options!$B$9,Options!$C$19,0)</f>
        <v/>
      </c>
      <c r="F2101" s="13">
        <f>IF(AND(A2101&lt;&gt;"",C2101&lt;Options!$B$10),B2101*Options!$X$7,0)</f>
        <v/>
      </c>
      <c r="G2101" s="13">
        <f>F2101*12%</f>
        <v/>
      </c>
      <c r="H2101" s="13">
        <f>IF(A2101="",0,B2101*(86*IF(OR(C2101=Options!$B$9,C2101=Options!$B$10),75%,100%)-IF(C2101=DATE(2026,11,29),23+IF(Options!$B$8="是",22,0),0)-IF(C2101=DATE(2026,11,30),23,0)-IF(C2101=DATE(2026,12,1),59,0)-IF(C2101=DATE(2026,11,28),36,0)-IF(C2101=DATE(2026,12,2),23,0)))</f>
        <v/>
      </c>
      <c r="I2101" s="13">
        <f>IF(AND(C2101&gt;=DATE(2026,11,29),C2101&lt;=DATE(2026,12,1)),B2101*60,0)</f>
        <v/>
      </c>
      <c r="J2101" s="13">
        <f>IF(A2101="",0,B2101*(IF(C2101=DATE(2026,11,28),36,0)+IF(C2101=DATE(2026,12,1),36,0)+IF(C2101=DATE(2026,12,2),23,0)))</f>
        <v/>
      </c>
      <c r="K2101" s="13">
        <f>IF(C2101=Options!$B$9,B2101*12,0)</f>
        <v/>
      </c>
      <c r="L2101" s="13">
        <f>IF(C2101=Options!$B$9,B2101*Options!$Z$7,0)</f>
        <v/>
      </c>
      <c r="M2101" s="13" t="n">
        <v>0</v>
      </c>
      <c r="N2101" s="13">
        <f>SUM(E2101:M2101)</f>
        <v/>
      </c>
    </row>
    <row r="2102">
      <c r="A2102" s="5">
        <f>IF(AND(C2102&gt;=Options!$B$9,C2102&lt;=Options!$B$10),"Phoenix","")</f>
        <v/>
      </c>
      <c r="B2102" s="5">
        <f>IF(A2102="","",24)</f>
        <v/>
      </c>
      <c r="C2102" s="17" t="n">
        <v>46568</v>
      </c>
      <c r="D2102" s="5">
        <f>IF(A2102="","",IF(C2102=DATE(2026,11,29),"培训；注册午餐；早餐参数",IF(C2102=DATE(2026,11,30),"培训；注册午餐",IF(C2102=DATE(2026,12,1),"培训；注册午餐；机构晚餐",IF(C2102=Options!$B$9,"抵达；"&amp;IF(C2102=DATE(2026,11,28),"机构晚餐","无统一供餐"),IF(C2102=Options!$B$10,"返程；"&amp;IF(C2102=DATE(2026,12,2),"机构午餐","无统一供餐"),"差旅状态；无统一日程"))))))</f>
        <v/>
      </c>
      <c r="E2102" s="13">
        <f>IF(C2102=Options!$B$9,Options!$C$19,0)</f>
        <v/>
      </c>
      <c r="F2102" s="13">
        <f>IF(AND(A2102&lt;&gt;"",C2102&lt;Options!$B$10),B2102*Options!$X$7,0)</f>
        <v/>
      </c>
      <c r="G2102" s="13">
        <f>F2102*12%</f>
        <v/>
      </c>
      <c r="H2102" s="13">
        <f>IF(A2102="",0,B2102*(86*IF(OR(C2102=Options!$B$9,C2102=Options!$B$10),75%,100%)-IF(C2102=DATE(2026,11,29),23+IF(Options!$B$8="是",22,0),0)-IF(C2102=DATE(2026,11,30),23,0)-IF(C2102=DATE(2026,12,1),59,0)-IF(C2102=DATE(2026,11,28),36,0)-IF(C2102=DATE(2026,12,2),23,0)))</f>
        <v/>
      </c>
      <c r="I2102" s="13">
        <f>IF(AND(C2102&gt;=DATE(2026,11,29),C2102&lt;=DATE(2026,12,1)),B2102*60,0)</f>
        <v/>
      </c>
      <c r="J2102" s="13">
        <f>IF(A2102="",0,B2102*(IF(C2102=DATE(2026,11,28),36,0)+IF(C2102=DATE(2026,12,1),36,0)+IF(C2102=DATE(2026,12,2),23,0)))</f>
        <v/>
      </c>
      <c r="K2102" s="13">
        <f>IF(C2102=Options!$B$9,B2102*12,0)</f>
        <v/>
      </c>
      <c r="L2102" s="13">
        <f>IF(C2102=Options!$B$9,B2102*Options!$Z$7,0)</f>
        <v/>
      </c>
      <c r="M2102" s="13" t="n">
        <v>0</v>
      </c>
      <c r="N2102" s="13">
        <f>SUM(E2102:M2102)</f>
        <v/>
      </c>
    </row>
    <row r="2103">
      <c r="A2103" s="5">
        <f>IF(AND(C2103&gt;=Options!$B$9,C2103&lt;=Options!$B$10),"Phoenix","")</f>
        <v/>
      </c>
      <c r="B2103" s="5">
        <f>IF(A2103="","",24)</f>
        <v/>
      </c>
      <c r="C2103" s="17" t="n">
        <v>46569</v>
      </c>
      <c r="D2103" s="5">
        <f>IF(A2103="","",IF(C2103=DATE(2026,11,29),"培训；注册午餐；早餐参数",IF(C2103=DATE(2026,11,30),"培训；注册午餐",IF(C2103=DATE(2026,12,1),"培训；注册午餐；机构晚餐",IF(C2103=Options!$B$9,"抵达；"&amp;IF(C2103=DATE(2026,11,28),"机构晚餐","无统一供餐"),IF(C2103=Options!$B$10,"返程；"&amp;IF(C2103=DATE(2026,12,2),"机构午餐","无统一供餐"),"差旅状态；无统一日程"))))))</f>
        <v/>
      </c>
      <c r="E2103" s="13">
        <f>IF(C2103=Options!$B$9,Options!$C$19,0)</f>
        <v/>
      </c>
      <c r="F2103" s="13">
        <f>IF(AND(A2103&lt;&gt;"",C2103&lt;Options!$B$10),B2103*Options!$X$7,0)</f>
        <v/>
      </c>
      <c r="G2103" s="13">
        <f>F2103*12%</f>
        <v/>
      </c>
      <c r="H2103" s="13">
        <f>IF(A2103="",0,B2103*(86*IF(OR(C2103=Options!$B$9,C2103=Options!$B$10),75%,100%)-IF(C2103=DATE(2026,11,29),23+IF(Options!$B$8="是",22,0),0)-IF(C2103=DATE(2026,11,30),23,0)-IF(C2103=DATE(2026,12,1),59,0)-IF(C2103=DATE(2026,11,28),36,0)-IF(C2103=DATE(2026,12,2),23,0)))</f>
        <v/>
      </c>
      <c r="I2103" s="13">
        <f>IF(AND(C2103&gt;=DATE(2026,11,29),C2103&lt;=DATE(2026,12,1)),B2103*60,0)</f>
        <v/>
      </c>
      <c r="J2103" s="13">
        <f>IF(A2103="",0,B2103*(IF(C2103=DATE(2026,11,28),36,0)+IF(C2103=DATE(2026,12,1),36,0)+IF(C2103=DATE(2026,12,2),23,0)))</f>
        <v/>
      </c>
      <c r="K2103" s="13">
        <f>IF(C2103=Options!$B$9,B2103*12,0)</f>
        <v/>
      </c>
      <c r="L2103" s="13">
        <f>IF(C2103=Options!$B$9,B2103*Options!$Z$7,0)</f>
        <v/>
      </c>
      <c r="M2103" s="13" t="n">
        <v>0</v>
      </c>
      <c r="N2103" s="13">
        <f>SUM(E2103:M2103)</f>
        <v/>
      </c>
    </row>
    <row r="2104">
      <c r="A2104" s="5">
        <f>IF(AND(C2104&gt;=Options!$B$9,C2104&lt;=Options!$B$10),"Phoenix","")</f>
        <v/>
      </c>
      <c r="B2104" s="5">
        <f>IF(A2104="","",24)</f>
        <v/>
      </c>
      <c r="C2104" s="17" t="n">
        <v>46570</v>
      </c>
      <c r="D2104" s="5">
        <f>IF(A2104="","",IF(C2104=DATE(2026,11,29),"培训；注册午餐；早餐参数",IF(C2104=DATE(2026,11,30),"培训；注册午餐",IF(C2104=DATE(2026,12,1),"培训；注册午餐；机构晚餐",IF(C2104=Options!$B$9,"抵达；"&amp;IF(C2104=DATE(2026,11,28),"机构晚餐","无统一供餐"),IF(C2104=Options!$B$10,"返程；"&amp;IF(C2104=DATE(2026,12,2),"机构午餐","无统一供餐"),"差旅状态；无统一日程"))))))</f>
        <v/>
      </c>
      <c r="E2104" s="13">
        <f>IF(C2104=Options!$B$9,Options!$C$19,0)</f>
        <v/>
      </c>
      <c r="F2104" s="13">
        <f>IF(AND(A2104&lt;&gt;"",C2104&lt;Options!$B$10),B2104*Options!$X$7,0)</f>
        <v/>
      </c>
      <c r="G2104" s="13">
        <f>F2104*12%</f>
        <v/>
      </c>
      <c r="H2104" s="13">
        <f>IF(A2104="",0,B2104*(86*IF(OR(C2104=Options!$B$9,C2104=Options!$B$10),75%,100%)-IF(C2104=DATE(2026,11,29),23+IF(Options!$B$8="是",22,0),0)-IF(C2104=DATE(2026,11,30),23,0)-IF(C2104=DATE(2026,12,1),59,0)-IF(C2104=DATE(2026,11,28),36,0)-IF(C2104=DATE(2026,12,2),23,0)))</f>
        <v/>
      </c>
      <c r="I2104" s="13">
        <f>IF(AND(C2104&gt;=DATE(2026,11,29),C2104&lt;=DATE(2026,12,1)),B2104*60,0)</f>
        <v/>
      </c>
      <c r="J2104" s="13">
        <f>IF(A2104="",0,B2104*(IF(C2104=DATE(2026,11,28),36,0)+IF(C2104=DATE(2026,12,1),36,0)+IF(C2104=DATE(2026,12,2),23,0)))</f>
        <v/>
      </c>
      <c r="K2104" s="13">
        <f>IF(C2104=Options!$B$9,B2104*12,0)</f>
        <v/>
      </c>
      <c r="L2104" s="13">
        <f>IF(C2104=Options!$B$9,B2104*Options!$Z$7,0)</f>
        <v/>
      </c>
      <c r="M2104" s="13" t="n">
        <v>0</v>
      </c>
      <c r="N2104" s="13">
        <f>SUM(E2104:M2104)</f>
        <v/>
      </c>
    </row>
    <row r="2105">
      <c r="A2105" s="5">
        <f>IF(AND(C2105&gt;=Options!$B$9,C2105&lt;=Options!$B$10),"Phoenix","")</f>
        <v/>
      </c>
      <c r="B2105" s="5">
        <f>IF(A2105="","",24)</f>
        <v/>
      </c>
      <c r="C2105" s="17" t="n">
        <v>46571</v>
      </c>
      <c r="D2105" s="5">
        <f>IF(A2105="","",IF(C2105=DATE(2026,11,29),"培训；注册午餐；早餐参数",IF(C2105=DATE(2026,11,30),"培训；注册午餐",IF(C2105=DATE(2026,12,1),"培训；注册午餐；机构晚餐",IF(C2105=Options!$B$9,"抵达；"&amp;IF(C2105=DATE(2026,11,28),"机构晚餐","无统一供餐"),IF(C2105=Options!$B$10,"返程；"&amp;IF(C2105=DATE(2026,12,2),"机构午餐","无统一供餐"),"差旅状态；无统一日程"))))))</f>
        <v/>
      </c>
      <c r="E2105" s="13">
        <f>IF(C2105=Options!$B$9,Options!$C$19,0)</f>
        <v/>
      </c>
      <c r="F2105" s="13">
        <f>IF(AND(A2105&lt;&gt;"",C2105&lt;Options!$B$10),B2105*Options!$X$7,0)</f>
        <v/>
      </c>
      <c r="G2105" s="13">
        <f>F2105*12%</f>
        <v/>
      </c>
      <c r="H2105" s="13">
        <f>IF(A2105="",0,B2105*(86*IF(OR(C2105=Options!$B$9,C2105=Options!$B$10),75%,100%)-IF(C2105=DATE(2026,11,29),23+IF(Options!$B$8="是",22,0),0)-IF(C2105=DATE(2026,11,30),23,0)-IF(C2105=DATE(2026,12,1),59,0)-IF(C2105=DATE(2026,11,28),36,0)-IF(C2105=DATE(2026,12,2),23,0)))</f>
        <v/>
      </c>
      <c r="I2105" s="13">
        <f>IF(AND(C2105&gt;=DATE(2026,11,29),C2105&lt;=DATE(2026,12,1)),B2105*60,0)</f>
        <v/>
      </c>
      <c r="J2105" s="13">
        <f>IF(A2105="",0,B2105*(IF(C2105=DATE(2026,11,28),36,0)+IF(C2105=DATE(2026,12,1),36,0)+IF(C2105=DATE(2026,12,2),23,0)))</f>
        <v/>
      </c>
      <c r="K2105" s="13">
        <f>IF(C2105=Options!$B$9,B2105*12,0)</f>
        <v/>
      </c>
      <c r="L2105" s="13">
        <f>IF(C2105=Options!$B$9,B2105*Options!$Z$7,0)</f>
        <v/>
      </c>
      <c r="M2105" s="13" t="n">
        <v>0</v>
      </c>
      <c r="N2105" s="13">
        <f>SUM(E2105:M2105)</f>
        <v/>
      </c>
    </row>
    <row r="2106">
      <c r="A2106" s="5">
        <f>IF(AND(C2106&gt;=Options!$B$9,C2106&lt;=Options!$B$10),"Phoenix","")</f>
        <v/>
      </c>
      <c r="B2106" s="5">
        <f>IF(A2106="","",24)</f>
        <v/>
      </c>
      <c r="C2106" s="17" t="n">
        <v>46572</v>
      </c>
      <c r="D2106" s="5">
        <f>IF(A2106="","",IF(C2106=DATE(2026,11,29),"培训；注册午餐；早餐参数",IF(C2106=DATE(2026,11,30),"培训；注册午餐",IF(C2106=DATE(2026,12,1),"培训；注册午餐；机构晚餐",IF(C2106=Options!$B$9,"抵达；"&amp;IF(C2106=DATE(2026,11,28),"机构晚餐","无统一供餐"),IF(C2106=Options!$B$10,"返程；"&amp;IF(C2106=DATE(2026,12,2),"机构午餐","无统一供餐"),"差旅状态；无统一日程"))))))</f>
        <v/>
      </c>
      <c r="E2106" s="13">
        <f>IF(C2106=Options!$B$9,Options!$C$19,0)</f>
        <v/>
      </c>
      <c r="F2106" s="13">
        <f>IF(AND(A2106&lt;&gt;"",C2106&lt;Options!$B$10),B2106*Options!$X$7,0)</f>
        <v/>
      </c>
      <c r="G2106" s="13">
        <f>F2106*12%</f>
        <v/>
      </c>
      <c r="H2106" s="13">
        <f>IF(A2106="",0,B2106*(86*IF(OR(C2106=Options!$B$9,C2106=Options!$B$10),75%,100%)-IF(C2106=DATE(2026,11,29),23+IF(Options!$B$8="是",22,0),0)-IF(C2106=DATE(2026,11,30),23,0)-IF(C2106=DATE(2026,12,1),59,0)-IF(C2106=DATE(2026,11,28),36,0)-IF(C2106=DATE(2026,12,2),23,0)))</f>
        <v/>
      </c>
      <c r="I2106" s="13">
        <f>IF(AND(C2106&gt;=DATE(2026,11,29),C2106&lt;=DATE(2026,12,1)),B2106*60,0)</f>
        <v/>
      </c>
      <c r="J2106" s="13">
        <f>IF(A2106="",0,B2106*(IF(C2106=DATE(2026,11,28),36,0)+IF(C2106=DATE(2026,12,1),36,0)+IF(C2106=DATE(2026,12,2),23,0)))</f>
        <v/>
      </c>
      <c r="K2106" s="13">
        <f>IF(C2106=Options!$B$9,B2106*12,0)</f>
        <v/>
      </c>
      <c r="L2106" s="13">
        <f>IF(C2106=Options!$B$9,B2106*Options!$Z$7,0)</f>
        <v/>
      </c>
      <c r="M2106" s="13" t="n">
        <v>0</v>
      </c>
      <c r="N2106" s="13">
        <f>SUM(E2106:M2106)</f>
        <v/>
      </c>
    </row>
    <row r="2107">
      <c r="A2107" s="5">
        <f>IF(AND(C2107&gt;=Options!$B$9,C2107&lt;=Options!$B$10),"Phoenix","")</f>
        <v/>
      </c>
      <c r="B2107" s="5">
        <f>IF(A2107="","",24)</f>
        <v/>
      </c>
      <c r="C2107" s="17" t="n">
        <v>46573</v>
      </c>
      <c r="D2107" s="5">
        <f>IF(A2107="","",IF(C2107=DATE(2026,11,29),"培训；注册午餐；早餐参数",IF(C2107=DATE(2026,11,30),"培训；注册午餐",IF(C2107=DATE(2026,12,1),"培训；注册午餐；机构晚餐",IF(C2107=Options!$B$9,"抵达；"&amp;IF(C2107=DATE(2026,11,28),"机构晚餐","无统一供餐"),IF(C2107=Options!$B$10,"返程；"&amp;IF(C2107=DATE(2026,12,2),"机构午餐","无统一供餐"),"差旅状态；无统一日程"))))))</f>
        <v/>
      </c>
      <c r="E2107" s="13">
        <f>IF(C2107=Options!$B$9,Options!$C$19,0)</f>
        <v/>
      </c>
      <c r="F2107" s="13">
        <f>IF(AND(A2107&lt;&gt;"",C2107&lt;Options!$B$10),B2107*Options!$X$7,0)</f>
        <v/>
      </c>
      <c r="G2107" s="13">
        <f>F2107*12%</f>
        <v/>
      </c>
      <c r="H2107" s="13">
        <f>IF(A2107="",0,B2107*(86*IF(OR(C2107=Options!$B$9,C2107=Options!$B$10),75%,100%)-IF(C2107=DATE(2026,11,29),23+IF(Options!$B$8="是",22,0),0)-IF(C2107=DATE(2026,11,30),23,0)-IF(C2107=DATE(2026,12,1),59,0)-IF(C2107=DATE(2026,11,28),36,0)-IF(C2107=DATE(2026,12,2),23,0)))</f>
        <v/>
      </c>
      <c r="I2107" s="13">
        <f>IF(AND(C2107&gt;=DATE(2026,11,29),C2107&lt;=DATE(2026,12,1)),B2107*60,0)</f>
        <v/>
      </c>
      <c r="J2107" s="13">
        <f>IF(A2107="",0,B2107*(IF(C2107=DATE(2026,11,28),36,0)+IF(C2107=DATE(2026,12,1),36,0)+IF(C2107=DATE(2026,12,2),23,0)))</f>
        <v/>
      </c>
      <c r="K2107" s="13">
        <f>IF(C2107=Options!$B$9,B2107*12,0)</f>
        <v/>
      </c>
      <c r="L2107" s="13">
        <f>IF(C2107=Options!$B$9,B2107*Options!$Z$7,0)</f>
        <v/>
      </c>
      <c r="M2107" s="13" t="n">
        <v>0</v>
      </c>
      <c r="N2107" s="13">
        <f>SUM(E2107:M2107)</f>
        <v/>
      </c>
    </row>
    <row r="2108">
      <c r="A2108" s="5">
        <f>IF(AND(C2108&gt;=Options!$B$9,C2108&lt;=Options!$B$10),"Phoenix","")</f>
        <v/>
      </c>
      <c r="B2108" s="5">
        <f>IF(A2108="","",24)</f>
        <v/>
      </c>
      <c r="C2108" s="17" t="n">
        <v>46574</v>
      </c>
      <c r="D2108" s="5">
        <f>IF(A2108="","",IF(C2108=DATE(2026,11,29),"培训；注册午餐；早餐参数",IF(C2108=DATE(2026,11,30),"培训；注册午餐",IF(C2108=DATE(2026,12,1),"培训；注册午餐；机构晚餐",IF(C2108=Options!$B$9,"抵达；"&amp;IF(C2108=DATE(2026,11,28),"机构晚餐","无统一供餐"),IF(C2108=Options!$B$10,"返程；"&amp;IF(C2108=DATE(2026,12,2),"机构午餐","无统一供餐"),"差旅状态；无统一日程"))))))</f>
        <v/>
      </c>
      <c r="E2108" s="13">
        <f>IF(C2108=Options!$B$9,Options!$C$19,0)</f>
        <v/>
      </c>
      <c r="F2108" s="13">
        <f>IF(AND(A2108&lt;&gt;"",C2108&lt;Options!$B$10),B2108*Options!$X$7,0)</f>
        <v/>
      </c>
      <c r="G2108" s="13">
        <f>F2108*12%</f>
        <v/>
      </c>
      <c r="H2108" s="13">
        <f>IF(A2108="",0,B2108*(86*IF(OR(C2108=Options!$B$9,C2108=Options!$B$10),75%,100%)-IF(C2108=DATE(2026,11,29),23+IF(Options!$B$8="是",22,0),0)-IF(C2108=DATE(2026,11,30),23,0)-IF(C2108=DATE(2026,12,1),59,0)-IF(C2108=DATE(2026,11,28),36,0)-IF(C2108=DATE(2026,12,2),23,0)))</f>
        <v/>
      </c>
      <c r="I2108" s="13">
        <f>IF(AND(C2108&gt;=DATE(2026,11,29),C2108&lt;=DATE(2026,12,1)),B2108*60,0)</f>
        <v/>
      </c>
      <c r="J2108" s="13">
        <f>IF(A2108="",0,B2108*(IF(C2108=DATE(2026,11,28),36,0)+IF(C2108=DATE(2026,12,1),36,0)+IF(C2108=DATE(2026,12,2),23,0)))</f>
        <v/>
      </c>
      <c r="K2108" s="13">
        <f>IF(C2108=Options!$B$9,B2108*12,0)</f>
        <v/>
      </c>
      <c r="L2108" s="13">
        <f>IF(C2108=Options!$B$9,B2108*Options!$Z$7,0)</f>
        <v/>
      </c>
      <c r="M2108" s="13" t="n">
        <v>0</v>
      </c>
      <c r="N2108" s="13">
        <f>SUM(E2108:M2108)</f>
        <v/>
      </c>
    </row>
    <row r="2109">
      <c r="A2109" s="5">
        <f>IF(AND(C2109&gt;=Options!$B$9,C2109&lt;=Options!$B$10),"Phoenix","")</f>
        <v/>
      </c>
      <c r="B2109" s="5">
        <f>IF(A2109="","",24)</f>
        <v/>
      </c>
      <c r="C2109" s="17" t="n">
        <v>46575</v>
      </c>
      <c r="D2109" s="5">
        <f>IF(A2109="","",IF(C2109=DATE(2026,11,29),"培训；注册午餐；早餐参数",IF(C2109=DATE(2026,11,30),"培训；注册午餐",IF(C2109=DATE(2026,12,1),"培训；注册午餐；机构晚餐",IF(C2109=Options!$B$9,"抵达；"&amp;IF(C2109=DATE(2026,11,28),"机构晚餐","无统一供餐"),IF(C2109=Options!$B$10,"返程；"&amp;IF(C2109=DATE(2026,12,2),"机构午餐","无统一供餐"),"差旅状态；无统一日程"))))))</f>
        <v/>
      </c>
      <c r="E2109" s="13">
        <f>IF(C2109=Options!$B$9,Options!$C$19,0)</f>
        <v/>
      </c>
      <c r="F2109" s="13">
        <f>IF(AND(A2109&lt;&gt;"",C2109&lt;Options!$B$10),B2109*Options!$X$7,0)</f>
        <v/>
      </c>
      <c r="G2109" s="13">
        <f>F2109*12%</f>
        <v/>
      </c>
      <c r="H2109" s="13">
        <f>IF(A2109="",0,B2109*(86*IF(OR(C2109=Options!$B$9,C2109=Options!$B$10),75%,100%)-IF(C2109=DATE(2026,11,29),23+IF(Options!$B$8="是",22,0),0)-IF(C2109=DATE(2026,11,30),23,0)-IF(C2109=DATE(2026,12,1),59,0)-IF(C2109=DATE(2026,11,28),36,0)-IF(C2109=DATE(2026,12,2),23,0)))</f>
        <v/>
      </c>
      <c r="I2109" s="13">
        <f>IF(AND(C2109&gt;=DATE(2026,11,29),C2109&lt;=DATE(2026,12,1)),B2109*60,0)</f>
        <v/>
      </c>
      <c r="J2109" s="13">
        <f>IF(A2109="",0,B2109*(IF(C2109=DATE(2026,11,28),36,0)+IF(C2109=DATE(2026,12,1),36,0)+IF(C2109=DATE(2026,12,2),23,0)))</f>
        <v/>
      </c>
      <c r="K2109" s="13">
        <f>IF(C2109=Options!$B$9,B2109*12,0)</f>
        <v/>
      </c>
      <c r="L2109" s="13">
        <f>IF(C2109=Options!$B$9,B2109*Options!$Z$7,0)</f>
        <v/>
      </c>
      <c r="M2109" s="13" t="n">
        <v>0</v>
      </c>
      <c r="N2109" s="13">
        <f>SUM(E2109:M2109)</f>
        <v/>
      </c>
    </row>
    <row r="2110">
      <c r="A2110" s="5">
        <f>IF(AND(C2110&gt;=Options!$B$9,C2110&lt;=Options!$B$10),"Phoenix","")</f>
        <v/>
      </c>
      <c r="B2110" s="5">
        <f>IF(A2110="","",24)</f>
        <v/>
      </c>
      <c r="C2110" s="17" t="n">
        <v>46576</v>
      </c>
      <c r="D2110" s="5">
        <f>IF(A2110="","",IF(C2110=DATE(2026,11,29),"培训；注册午餐；早餐参数",IF(C2110=DATE(2026,11,30),"培训；注册午餐",IF(C2110=DATE(2026,12,1),"培训；注册午餐；机构晚餐",IF(C2110=Options!$B$9,"抵达；"&amp;IF(C2110=DATE(2026,11,28),"机构晚餐","无统一供餐"),IF(C2110=Options!$B$10,"返程；"&amp;IF(C2110=DATE(2026,12,2),"机构午餐","无统一供餐"),"差旅状态；无统一日程"))))))</f>
        <v/>
      </c>
      <c r="E2110" s="13">
        <f>IF(C2110=Options!$B$9,Options!$C$19,0)</f>
        <v/>
      </c>
      <c r="F2110" s="13">
        <f>IF(AND(A2110&lt;&gt;"",C2110&lt;Options!$B$10),B2110*Options!$X$7,0)</f>
        <v/>
      </c>
      <c r="G2110" s="13">
        <f>F2110*12%</f>
        <v/>
      </c>
      <c r="H2110" s="13">
        <f>IF(A2110="",0,B2110*(86*IF(OR(C2110=Options!$B$9,C2110=Options!$B$10),75%,100%)-IF(C2110=DATE(2026,11,29),23+IF(Options!$B$8="是",22,0),0)-IF(C2110=DATE(2026,11,30),23,0)-IF(C2110=DATE(2026,12,1),59,0)-IF(C2110=DATE(2026,11,28),36,0)-IF(C2110=DATE(2026,12,2),23,0)))</f>
        <v/>
      </c>
      <c r="I2110" s="13">
        <f>IF(AND(C2110&gt;=DATE(2026,11,29),C2110&lt;=DATE(2026,12,1)),B2110*60,0)</f>
        <v/>
      </c>
      <c r="J2110" s="13">
        <f>IF(A2110="",0,B2110*(IF(C2110=DATE(2026,11,28),36,0)+IF(C2110=DATE(2026,12,1),36,0)+IF(C2110=DATE(2026,12,2),23,0)))</f>
        <v/>
      </c>
      <c r="K2110" s="13">
        <f>IF(C2110=Options!$B$9,B2110*12,0)</f>
        <v/>
      </c>
      <c r="L2110" s="13">
        <f>IF(C2110=Options!$B$9,B2110*Options!$Z$7,0)</f>
        <v/>
      </c>
      <c r="M2110" s="13" t="n">
        <v>0</v>
      </c>
      <c r="N2110" s="13">
        <f>SUM(E2110:M2110)</f>
        <v/>
      </c>
    </row>
    <row r="2111">
      <c r="A2111" s="5">
        <f>IF(AND(C2111&gt;=Options!$B$9,C2111&lt;=Options!$B$10),"Phoenix","")</f>
        <v/>
      </c>
      <c r="B2111" s="5">
        <f>IF(A2111="","",24)</f>
        <v/>
      </c>
      <c r="C2111" s="17" t="n">
        <v>46577</v>
      </c>
      <c r="D2111" s="5">
        <f>IF(A2111="","",IF(C2111=DATE(2026,11,29),"培训；注册午餐；早餐参数",IF(C2111=DATE(2026,11,30),"培训；注册午餐",IF(C2111=DATE(2026,12,1),"培训；注册午餐；机构晚餐",IF(C2111=Options!$B$9,"抵达；"&amp;IF(C2111=DATE(2026,11,28),"机构晚餐","无统一供餐"),IF(C2111=Options!$B$10,"返程；"&amp;IF(C2111=DATE(2026,12,2),"机构午餐","无统一供餐"),"差旅状态；无统一日程"))))))</f>
        <v/>
      </c>
      <c r="E2111" s="13">
        <f>IF(C2111=Options!$B$9,Options!$C$19,0)</f>
        <v/>
      </c>
      <c r="F2111" s="13">
        <f>IF(AND(A2111&lt;&gt;"",C2111&lt;Options!$B$10),B2111*Options!$X$7,0)</f>
        <v/>
      </c>
      <c r="G2111" s="13">
        <f>F2111*12%</f>
        <v/>
      </c>
      <c r="H2111" s="13">
        <f>IF(A2111="",0,B2111*(86*IF(OR(C2111=Options!$B$9,C2111=Options!$B$10),75%,100%)-IF(C2111=DATE(2026,11,29),23+IF(Options!$B$8="是",22,0),0)-IF(C2111=DATE(2026,11,30),23,0)-IF(C2111=DATE(2026,12,1),59,0)-IF(C2111=DATE(2026,11,28),36,0)-IF(C2111=DATE(2026,12,2),23,0)))</f>
        <v/>
      </c>
      <c r="I2111" s="13">
        <f>IF(AND(C2111&gt;=DATE(2026,11,29),C2111&lt;=DATE(2026,12,1)),B2111*60,0)</f>
        <v/>
      </c>
      <c r="J2111" s="13">
        <f>IF(A2111="",0,B2111*(IF(C2111=DATE(2026,11,28),36,0)+IF(C2111=DATE(2026,12,1),36,0)+IF(C2111=DATE(2026,12,2),23,0)))</f>
        <v/>
      </c>
      <c r="K2111" s="13">
        <f>IF(C2111=Options!$B$9,B2111*12,0)</f>
        <v/>
      </c>
      <c r="L2111" s="13">
        <f>IF(C2111=Options!$B$9,B2111*Options!$Z$7,0)</f>
        <v/>
      </c>
      <c r="M2111" s="13" t="n">
        <v>0</v>
      </c>
      <c r="N2111" s="13">
        <f>SUM(E2111:M2111)</f>
        <v/>
      </c>
    </row>
    <row r="2112">
      <c r="A2112" s="5">
        <f>IF(AND(C2112&gt;=Options!$B$9,C2112&lt;=Options!$B$10),"Phoenix","")</f>
        <v/>
      </c>
      <c r="B2112" s="5">
        <f>IF(A2112="","",24)</f>
        <v/>
      </c>
      <c r="C2112" s="17" t="n">
        <v>46578</v>
      </c>
      <c r="D2112" s="5">
        <f>IF(A2112="","",IF(C2112=DATE(2026,11,29),"培训；注册午餐；早餐参数",IF(C2112=DATE(2026,11,30),"培训；注册午餐",IF(C2112=DATE(2026,12,1),"培训；注册午餐；机构晚餐",IF(C2112=Options!$B$9,"抵达；"&amp;IF(C2112=DATE(2026,11,28),"机构晚餐","无统一供餐"),IF(C2112=Options!$B$10,"返程；"&amp;IF(C2112=DATE(2026,12,2),"机构午餐","无统一供餐"),"差旅状态；无统一日程"))))))</f>
        <v/>
      </c>
      <c r="E2112" s="13">
        <f>IF(C2112=Options!$B$9,Options!$C$19,0)</f>
        <v/>
      </c>
      <c r="F2112" s="13">
        <f>IF(AND(A2112&lt;&gt;"",C2112&lt;Options!$B$10),B2112*Options!$X$7,0)</f>
        <v/>
      </c>
      <c r="G2112" s="13">
        <f>F2112*12%</f>
        <v/>
      </c>
      <c r="H2112" s="13">
        <f>IF(A2112="",0,B2112*(86*IF(OR(C2112=Options!$B$9,C2112=Options!$B$10),75%,100%)-IF(C2112=DATE(2026,11,29),23+IF(Options!$B$8="是",22,0),0)-IF(C2112=DATE(2026,11,30),23,0)-IF(C2112=DATE(2026,12,1),59,0)-IF(C2112=DATE(2026,11,28),36,0)-IF(C2112=DATE(2026,12,2),23,0)))</f>
        <v/>
      </c>
      <c r="I2112" s="13">
        <f>IF(AND(C2112&gt;=DATE(2026,11,29),C2112&lt;=DATE(2026,12,1)),B2112*60,0)</f>
        <v/>
      </c>
      <c r="J2112" s="13">
        <f>IF(A2112="",0,B2112*(IF(C2112=DATE(2026,11,28),36,0)+IF(C2112=DATE(2026,12,1),36,0)+IF(C2112=DATE(2026,12,2),23,0)))</f>
        <v/>
      </c>
      <c r="K2112" s="13">
        <f>IF(C2112=Options!$B$9,B2112*12,0)</f>
        <v/>
      </c>
      <c r="L2112" s="13">
        <f>IF(C2112=Options!$B$9,B2112*Options!$Z$7,0)</f>
        <v/>
      </c>
      <c r="M2112" s="13" t="n">
        <v>0</v>
      </c>
      <c r="N2112" s="13">
        <f>SUM(E2112:M2112)</f>
        <v/>
      </c>
    </row>
    <row r="2113">
      <c r="A2113" s="5">
        <f>IF(AND(C2113&gt;=Options!$B$9,C2113&lt;=Options!$B$10),"Phoenix","")</f>
        <v/>
      </c>
      <c r="B2113" s="5">
        <f>IF(A2113="","",24)</f>
        <v/>
      </c>
      <c r="C2113" s="17" t="n">
        <v>46579</v>
      </c>
      <c r="D2113" s="5">
        <f>IF(A2113="","",IF(C2113=DATE(2026,11,29),"培训；注册午餐；早餐参数",IF(C2113=DATE(2026,11,30),"培训；注册午餐",IF(C2113=DATE(2026,12,1),"培训；注册午餐；机构晚餐",IF(C2113=Options!$B$9,"抵达；"&amp;IF(C2113=DATE(2026,11,28),"机构晚餐","无统一供餐"),IF(C2113=Options!$B$10,"返程；"&amp;IF(C2113=DATE(2026,12,2),"机构午餐","无统一供餐"),"差旅状态；无统一日程"))))))</f>
        <v/>
      </c>
      <c r="E2113" s="13">
        <f>IF(C2113=Options!$B$9,Options!$C$19,0)</f>
        <v/>
      </c>
      <c r="F2113" s="13">
        <f>IF(AND(A2113&lt;&gt;"",C2113&lt;Options!$B$10),B2113*Options!$X$7,0)</f>
        <v/>
      </c>
      <c r="G2113" s="13">
        <f>F2113*12%</f>
        <v/>
      </c>
      <c r="H2113" s="13">
        <f>IF(A2113="",0,B2113*(86*IF(OR(C2113=Options!$B$9,C2113=Options!$B$10),75%,100%)-IF(C2113=DATE(2026,11,29),23+IF(Options!$B$8="是",22,0),0)-IF(C2113=DATE(2026,11,30),23,0)-IF(C2113=DATE(2026,12,1),59,0)-IF(C2113=DATE(2026,11,28),36,0)-IF(C2113=DATE(2026,12,2),23,0)))</f>
        <v/>
      </c>
      <c r="I2113" s="13">
        <f>IF(AND(C2113&gt;=DATE(2026,11,29),C2113&lt;=DATE(2026,12,1)),B2113*60,0)</f>
        <v/>
      </c>
      <c r="J2113" s="13">
        <f>IF(A2113="",0,B2113*(IF(C2113=DATE(2026,11,28),36,0)+IF(C2113=DATE(2026,12,1),36,0)+IF(C2113=DATE(2026,12,2),23,0)))</f>
        <v/>
      </c>
      <c r="K2113" s="13">
        <f>IF(C2113=Options!$B$9,B2113*12,0)</f>
        <v/>
      </c>
      <c r="L2113" s="13">
        <f>IF(C2113=Options!$B$9,B2113*Options!$Z$7,0)</f>
        <v/>
      </c>
      <c r="M2113" s="13" t="n">
        <v>0</v>
      </c>
      <c r="N2113" s="13">
        <f>SUM(E2113:M2113)</f>
        <v/>
      </c>
    </row>
    <row r="2114">
      <c r="A2114" s="5">
        <f>IF(AND(C2114&gt;=Options!$B$9,C2114&lt;=Options!$B$10),"Phoenix","")</f>
        <v/>
      </c>
      <c r="B2114" s="5">
        <f>IF(A2114="","",24)</f>
        <v/>
      </c>
      <c r="C2114" s="17" t="n">
        <v>46580</v>
      </c>
      <c r="D2114" s="5">
        <f>IF(A2114="","",IF(C2114=DATE(2026,11,29),"培训；注册午餐；早餐参数",IF(C2114=DATE(2026,11,30),"培训；注册午餐",IF(C2114=DATE(2026,12,1),"培训；注册午餐；机构晚餐",IF(C2114=Options!$B$9,"抵达；"&amp;IF(C2114=DATE(2026,11,28),"机构晚餐","无统一供餐"),IF(C2114=Options!$B$10,"返程；"&amp;IF(C2114=DATE(2026,12,2),"机构午餐","无统一供餐"),"差旅状态；无统一日程"))))))</f>
        <v/>
      </c>
      <c r="E2114" s="13">
        <f>IF(C2114=Options!$B$9,Options!$C$19,0)</f>
        <v/>
      </c>
      <c r="F2114" s="13">
        <f>IF(AND(A2114&lt;&gt;"",C2114&lt;Options!$B$10),B2114*Options!$X$7,0)</f>
        <v/>
      </c>
      <c r="G2114" s="13">
        <f>F2114*12%</f>
        <v/>
      </c>
      <c r="H2114" s="13">
        <f>IF(A2114="",0,B2114*(86*IF(OR(C2114=Options!$B$9,C2114=Options!$B$10),75%,100%)-IF(C2114=DATE(2026,11,29),23+IF(Options!$B$8="是",22,0),0)-IF(C2114=DATE(2026,11,30),23,0)-IF(C2114=DATE(2026,12,1),59,0)-IF(C2114=DATE(2026,11,28),36,0)-IF(C2114=DATE(2026,12,2),23,0)))</f>
        <v/>
      </c>
      <c r="I2114" s="13">
        <f>IF(AND(C2114&gt;=DATE(2026,11,29),C2114&lt;=DATE(2026,12,1)),B2114*60,0)</f>
        <v/>
      </c>
      <c r="J2114" s="13">
        <f>IF(A2114="",0,B2114*(IF(C2114=DATE(2026,11,28),36,0)+IF(C2114=DATE(2026,12,1),36,0)+IF(C2114=DATE(2026,12,2),23,0)))</f>
        <v/>
      </c>
      <c r="K2114" s="13">
        <f>IF(C2114=Options!$B$9,B2114*12,0)</f>
        <v/>
      </c>
      <c r="L2114" s="13">
        <f>IF(C2114=Options!$B$9,B2114*Options!$Z$7,0)</f>
        <v/>
      </c>
      <c r="M2114" s="13" t="n">
        <v>0</v>
      </c>
      <c r="N2114" s="13">
        <f>SUM(E2114:M2114)</f>
        <v/>
      </c>
    </row>
    <row r="2115">
      <c r="A2115" s="5">
        <f>IF(AND(C2115&gt;=Options!$B$9,C2115&lt;=Options!$B$10),"Phoenix","")</f>
        <v/>
      </c>
      <c r="B2115" s="5">
        <f>IF(A2115="","",24)</f>
        <v/>
      </c>
      <c r="C2115" s="17" t="n">
        <v>46581</v>
      </c>
      <c r="D2115" s="5">
        <f>IF(A2115="","",IF(C2115=DATE(2026,11,29),"培训；注册午餐；早餐参数",IF(C2115=DATE(2026,11,30),"培训；注册午餐",IF(C2115=DATE(2026,12,1),"培训；注册午餐；机构晚餐",IF(C2115=Options!$B$9,"抵达；"&amp;IF(C2115=DATE(2026,11,28),"机构晚餐","无统一供餐"),IF(C2115=Options!$B$10,"返程；"&amp;IF(C2115=DATE(2026,12,2),"机构午餐","无统一供餐"),"差旅状态；无统一日程"))))))</f>
        <v/>
      </c>
      <c r="E2115" s="13">
        <f>IF(C2115=Options!$B$9,Options!$C$19,0)</f>
        <v/>
      </c>
      <c r="F2115" s="13">
        <f>IF(AND(A2115&lt;&gt;"",C2115&lt;Options!$B$10),B2115*Options!$X$7,0)</f>
        <v/>
      </c>
      <c r="G2115" s="13">
        <f>F2115*12%</f>
        <v/>
      </c>
      <c r="H2115" s="13">
        <f>IF(A2115="",0,B2115*(86*IF(OR(C2115=Options!$B$9,C2115=Options!$B$10),75%,100%)-IF(C2115=DATE(2026,11,29),23+IF(Options!$B$8="是",22,0),0)-IF(C2115=DATE(2026,11,30),23,0)-IF(C2115=DATE(2026,12,1),59,0)-IF(C2115=DATE(2026,11,28),36,0)-IF(C2115=DATE(2026,12,2),23,0)))</f>
        <v/>
      </c>
      <c r="I2115" s="13">
        <f>IF(AND(C2115&gt;=DATE(2026,11,29),C2115&lt;=DATE(2026,12,1)),B2115*60,0)</f>
        <v/>
      </c>
      <c r="J2115" s="13">
        <f>IF(A2115="",0,B2115*(IF(C2115=DATE(2026,11,28),36,0)+IF(C2115=DATE(2026,12,1),36,0)+IF(C2115=DATE(2026,12,2),23,0)))</f>
        <v/>
      </c>
      <c r="K2115" s="13">
        <f>IF(C2115=Options!$B$9,B2115*12,0)</f>
        <v/>
      </c>
      <c r="L2115" s="13">
        <f>IF(C2115=Options!$B$9,B2115*Options!$Z$7,0)</f>
        <v/>
      </c>
      <c r="M2115" s="13" t="n">
        <v>0</v>
      </c>
      <c r="N2115" s="13">
        <f>SUM(E2115:M2115)</f>
        <v/>
      </c>
    </row>
    <row r="2116">
      <c r="A2116" s="5">
        <f>IF(AND(C2116&gt;=Options!$B$9,C2116&lt;=Options!$B$10),"Phoenix","")</f>
        <v/>
      </c>
      <c r="B2116" s="5">
        <f>IF(A2116="","",24)</f>
        <v/>
      </c>
      <c r="C2116" s="17" t="n">
        <v>46582</v>
      </c>
      <c r="D2116" s="5">
        <f>IF(A2116="","",IF(C2116=DATE(2026,11,29),"培训；注册午餐；早餐参数",IF(C2116=DATE(2026,11,30),"培训；注册午餐",IF(C2116=DATE(2026,12,1),"培训；注册午餐；机构晚餐",IF(C2116=Options!$B$9,"抵达；"&amp;IF(C2116=DATE(2026,11,28),"机构晚餐","无统一供餐"),IF(C2116=Options!$B$10,"返程；"&amp;IF(C2116=DATE(2026,12,2),"机构午餐","无统一供餐"),"差旅状态；无统一日程"))))))</f>
        <v/>
      </c>
      <c r="E2116" s="13">
        <f>IF(C2116=Options!$B$9,Options!$C$19,0)</f>
        <v/>
      </c>
      <c r="F2116" s="13">
        <f>IF(AND(A2116&lt;&gt;"",C2116&lt;Options!$B$10),B2116*Options!$X$7,0)</f>
        <v/>
      </c>
      <c r="G2116" s="13">
        <f>F2116*12%</f>
        <v/>
      </c>
      <c r="H2116" s="13">
        <f>IF(A2116="",0,B2116*(86*IF(OR(C2116=Options!$B$9,C2116=Options!$B$10),75%,100%)-IF(C2116=DATE(2026,11,29),23+IF(Options!$B$8="是",22,0),0)-IF(C2116=DATE(2026,11,30),23,0)-IF(C2116=DATE(2026,12,1),59,0)-IF(C2116=DATE(2026,11,28),36,0)-IF(C2116=DATE(2026,12,2),23,0)))</f>
        <v/>
      </c>
      <c r="I2116" s="13">
        <f>IF(AND(C2116&gt;=DATE(2026,11,29),C2116&lt;=DATE(2026,12,1)),B2116*60,0)</f>
        <v/>
      </c>
      <c r="J2116" s="13">
        <f>IF(A2116="",0,B2116*(IF(C2116=DATE(2026,11,28),36,0)+IF(C2116=DATE(2026,12,1),36,0)+IF(C2116=DATE(2026,12,2),23,0)))</f>
        <v/>
      </c>
      <c r="K2116" s="13">
        <f>IF(C2116=Options!$B$9,B2116*12,0)</f>
        <v/>
      </c>
      <c r="L2116" s="13">
        <f>IF(C2116=Options!$B$9,B2116*Options!$Z$7,0)</f>
        <v/>
      </c>
      <c r="M2116" s="13" t="n">
        <v>0</v>
      </c>
      <c r="N2116" s="13">
        <f>SUM(E2116:M2116)</f>
        <v/>
      </c>
    </row>
    <row r="2117">
      <c r="A2117" s="5">
        <f>IF(AND(C2117&gt;=Options!$B$9,C2117&lt;=Options!$B$10),"Phoenix","")</f>
        <v/>
      </c>
      <c r="B2117" s="5">
        <f>IF(A2117="","",24)</f>
        <v/>
      </c>
      <c r="C2117" s="17" t="n">
        <v>46583</v>
      </c>
      <c r="D2117" s="5">
        <f>IF(A2117="","",IF(C2117=DATE(2026,11,29),"培训；注册午餐；早餐参数",IF(C2117=DATE(2026,11,30),"培训；注册午餐",IF(C2117=DATE(2026,12,1),"培训；注册午餐；机构晚餐",IF(C2117=Options!$B$9,"抵达；"&amp;IF(C2117=DATE(2026,11,28),"机构晚餐","无统一供餐"),IF(C2117=Options!$B$10,"返程；"&amp;IF(C2117=DATE(2026,12,2),"机构午餐","无统一供餐"),"差旅状态；无统一日程"))))))</f>
        <v/>
      </c>
      <c r="E2117" s="13">
        <f>IF(C2117=Options!$B$9,Options!$C$19,0)</f>
        <v/>
      </c>
      <c r="F2117" s="13">
        <f>IF(AND(A2117&lt;&gt;"",C2117&lt;Options!$B$10),B2117*Options!$X$7,0)</f>
        <v/>
      </c>
      <c r="G2117" s="13">
        <f>F2117*12%</f>
        <v/>
      </c>
      <c r="H2117" s="13">
        <f>IF(A2117="",0,B2117*(86*IF(OR(C2117=Options!$B$9,C2117=Options!$B$10),75%,100%)-IF(C2117=DATE(2026,11,29),23+IF(Options!$B$8="是",22,0),0)-IF(C2117=DATE(2026,11,30),23,0)-IF(C2117=DATE(2026,12,1),59,0)-IF(C2117=DATE(2026,11,28),36,0)-IF(C2117=DATE(2026,12,2),23,0)))</f>
        <v/>
      </c>
      <c r="I2117" s="13">
        <f>IF(AND(C2117&gt;=DATE(2026,11,29),C2117&lt;=DATE(2026,12,1)),B2117*60,0)</f>
        <v/>
      </c>
      <c r="J2117" s="13">
        <f>IF(A2117="",0,B2117*(IF(C2117=DATE(2026,11,28),36,0)+IF(C2117=DATE(2026,12,1),36,0)+IF(C2117=DATE(2026,12,2),23,0)))</f>
        <v/>
      </c>
      <c r="K2117" s="13">
        <f>IF(C2117=Options!$B$9,B2117*12,0)</f>
        <v/>
      </c>
      <c r="L2117" s="13">
        <f>IF(C2117=Options!$B$9,B2117*Options!$Z$7,0)</f>
        <v/>
      </c>
      <c r="M2117" s="13" t="n">
        <v>0</v>
      </c>
      <c r="N2117" s="13">
        <f>SUM(E2117:M2117)</f>
        <v/>
      </c>
    </row>
    <row r="2118">
      <c r="A2118" s="5">
        <f>IF(AND(C2118&gt;=Options!$B$9,C2118&lt;=Options!$B$10),"Phoenix","")</f>
        <v/>
      </c>
      <c r="B2118" s="5">
        <f>IF(A2118="","",24)</f>
        <v/>
      </c>
      <c r="C2118" s="17" t="n">
        <v>46584</v>
      </c>
      <c r="D2118" s="5">
        <f>IF(A2118="","",IF(C2118=DATE(2026,11,29),"培训；注册午餐；早餐参数",IF(C2118=DATE(2026,11,30),"培训；注册午餐",IF(C2118=DATE(2026,12,1),"培训；注册午餐；机构晚餐",IF(C2118=Options!$B$9,"抵达；"&amp;IF(C2118=DATE(2026,11,28),"机构晚餐","无统一供餐"),IF(C2118=Options!$B$10,"返程；"&amp;IF(C2118=DATE(2026,12,2),"机构午餐","无统一供餐"),"差旅状态；无统一日程"))))))</f>
        <v/>
      </c>
      <c r="E2118" s="13">
        <f>IF(C2118=Options!$B$9,Options!$C$19,0)</f>
        <v/>
      </c>
      <c r="F2118" s="13">
        <f>IF(AND(A2118&lt;&gt;"",C2118&lt;Options!$B$10),B2118*Options!$X$7,0)</f>
        <v/>
      </c>
      <c r="G2118" s="13">
        <f>F2118*12%</f>
        <v/>
      </c>
      <c r="H2118" s="13">
        <f>IF(A2118="",0,B2118*(86*IF(OR(C2118=Options!$B$9,C2118=Options!$B$10),75%,100%)-IF(C2118=DATE(2026,11,29),23+IF(Options!$B$8="是",22,0),0)-IF(C2118=DATE(2026,11,30),23,0)-IF(C2118=DATE(2026,12,1),59,0)-IF(C2118=DATE(2026,11,28),36,0)-IF(C2118=DATE(2026,12,2),23,0)))</f>
        <v/>
      </c>
      <c r="I2118" s="13">
        <f>IF(AND(C2118&gt;=DATE(2026,11,29),C2118&lt;=DATE(2026,12,1)),B2118*60,0)</f>
        <v/>
      </c>
      <c r="J2118" s="13">
        <f>IF(A2118="",0,B2118*(IF(C2118=DATE(2026,11,28),36,0)+IF(C2118=DATE(2026,12,1),36,0)+IF(C2118=DATE(2026,12,2),23,0)))</f>
        <v/>
      </c>
      <c r="K2118" s="13">
        <f>IF(C2118=Options!$B$9,B2118*12,0)</f>
        <v/>
      </c>
      <c r="L2118" s="13">
        <f>IF(C2118=Options!$B$9,B2118*Options!$Z$7,0)</f>
        <v/>
      </c>
      <c r="M2118" s="13" t="n">
        <v>0</v>
      </c>
      <c r="N2118" s="13">
        <f>SUM(E2118:M2118)</f>
        <v/>
      </c>
    </row>
    <row r="2119">
      <c r="A2119" s="5">
        <f>IF(AND(C2119&gt;=Options!$B$9,C2119&lt;=Options!$B$10),"Phoenix","")</f>
        <v/>
      </c>
      <c r="B2119" s="5">
        <f>IF(A2119="","",24)</f>
        <v/>
      </c>
      <c r="C2119" s="17" t="n">
        <v>46585</v>
      </c>
      <c r="D2119" s="5">
        <f>IF(A2119="","",IF(C2119=DATE(2026,11,29),"培训；注册午餐；早餐参数",IF(C2119=DATE(2026,11,30),"培训；注册午餐",IF(C2119=DATE(2026,12,1),"培训；注册午餐；机构晚餐",IF(C2119=Options!$B$9,"抵达；"&amp;IF(C2119=DATE(2026,11,28),"机构晚餐","无统一供餐"),IF(C2119=Options!$B$10,"返程；"&amp;IF(C2119=DATE(2026,12,2),"机构午餐","无统一供餐"),"差旅状态；无统一日程"))))))</f>
        <v/>
      </c>
      <c r="E2119" s="13">
        <f>IF(C2119=Options!$B$9,Options!$C$19,0)</f>
        <v/>
      </c>
      <c r="F2119" s="13">
        <f>IF(AND(A2119&lt;&gt;"",C2119&lt;Options!$B$10),B2119*Options!$X$7,0)</f>
        <v/>
      </c>
      <c r="G2119" s="13">
        <f>F2119*12%</f>
        <v/>
      </c>
      <c r="H2119" s="13">
        <f>IF(A2119="",0,B2119*(86*IF(OR(C2119=Options!$B$9,C2119=Options!$B$10),75%,100%)-IF(C2119=DATE(2026,11,29),23+IF(Options!$B$8="是",22,0),0)-IF(C2119=DATE(2026,11,30),23,0)-IF(C2119=DATE(2026,12,1),59,0)-IF(C2119=DATE(2026,11,28),36,0)-IF(C2119=DATE(2026,12,2),23,0)))</f>
        <v/>
      </c>
      <c r="I2119" s="13">
        <f>IF(AND(C2119&gt;=DATE(2026,11,29),C2119&lt;=DATE(2026,12,1)),B2119*60,0)</f>
        <v/>
      </c>
      <c r="J2119" s="13">
        <f>IF(A2119="",0,B2119*(IF(C2119=DATE(2026,11,28),36,0)+IF(C2119=DATE(2026,12,1),36,0)+IF(C2119=DATE(2026,12,2),23,0)))</f>
        <v/>
      </c>
      <c r="K2119" s="13">
        <f>IF(C2119=Options!$B$9,B2119*12,0)</f>
        <v/>
      </c>
      <c r="L2119" s="13">
        <f>IF(C2119=Options!$B$9,B2119*Options!$Z$7,0)</f>
        <v/>
      </c>
      <c r="M2119" s="13" t="n">
        <v>0</v>
      </c>
      <c r="N2119" s="13">
        <f>SUM(E2119:M2119)</f>
        <v/>
      </c>
    </row>
    <row r="2120">
      <c r="A2120" s="5">
        <f>IF(AND(C2120&gt;=Options!$B$9,C2120&lt;=Options!$B$10),"Phoenix","")</f>
        <v/>
      </c>
      <c r="B2120" s="5">
        <f>IF(A2120="","",24)</f>
        <v/>
      </c>
      <c r="C2120" s="17" t="n">
        <v>46586</v>
      </c>
      <c r="D2120" s="5">
        <f>IF(A2120="","",IF(C2120=DATE(2026,11,29),"培训；注册午餐；早餐参数",IF(C2120=DATE(2026,11,30),"培训；注册午餐",IF(C2120=DATE(2026,12,1),"培训；注册午餐；机构晚餐",IF(C2120=Options!$B$9,"抵达；"&amp;IF(C2120=DATE(2026,11,28),"机构晚餐","无统一供餐"),IF(C2120=Options!$B$10,"返程；"&amp;IF(C2120=DATE(2026,12,2),"机构午餐","无统一供餐"),"差旅状态；无统一日程"))))))</f>
        <v/>
      </c>
      <c r="E2120" s="13">
        <f>IF(C2120=Options!$B$9,Options!$C$19,0)</f>
        <v/>
      </c>
      <c r="F2120" s="13">
        <f>IF(AND(A2120&lt;&gt;"",C2120&lt;Options!$B$10),B2120*Options!$X$7,0)</f>
        <v/>
      </c>
      <c r="G2120" s="13">
        <f>F2120*12%</f>
        <v/>
      </c>
      <c r="H2120" s="13">
        <f>IF(A2120="",0,B2120*(86*IF(OR(C2120=Options!$B$9,C2120=Options!$B$10),75%,100%)-IF(C2120=DATE(2026,11,29),23+IF(Options!$B$8="是",22,0),0)-IF(C2120=DATE(2026,11,30),23,0)-IF(C2120=DATE(2026,12,1),59,0)-IF(C2120=DATE(2026,11,28),36,0)-IF(C2120=DATE(2026,12,2),23,0)))</f>
        <v/>
      </c>
      <c r="I2120" s="13">
        <f>IF(AND(C2120&gt;=DATE(2026,11,29),C2120&lt;=DATE(2026,12,1)),B2120*60,0)</f>
        <v/>
      </c>
      <c r="J2120" s="13">
        <f>IF(A2120="",0,B2120*(IF(C2120=DATE(2026,11,28),36,0)+IF(C2120=DATE(2026,12,1),36,0)+IF(C2120=DATE(2026,12,2),23,0)))</f>
        <v/>
      </c>
      <c r="K2120" s="13">
        <f>IF(C2120=Options!$B$9,B2120*12,0)</f>
        <v/>
      </c>
      <c r="L2120" s="13">
        <f>IF(C2120=Options!$B$9,B2120*Options!$Z$7,0)</f>
        <v/>
      </c>
      <c r="M2120" s="13" t="n">
        <v>0</v>
      </c>
      <c r="N2120" s="13">
        <f>SUM(E2120:M2120)</f>
        <v/>
      </c>
    </row>
    <row r="2121">
      <c r="A2121" s="5">
        <f>IF(AND(C2121&gt;=Options!$B$9,C2121&lt;=Options!$B$10),"Phoenix","")</f>
        <v/>
      </c>
      <c r="B2121" s="5">
        <f>IF(A2121="","",24)</f>
        <v/>
      </c>
      <c r="C2121" s="17" t="n">
        <v>46587</v>
      </c>
      <c r="D2121" s="5">
        <f>IF(A2121="","",IF(C2121=DATE(2026,11,29),"培训；注册午餐；早餐参数",IF(C2121=DATE(2026,11,30),"培训；注册午餐",IF(C2121=DATE(2026,12,1),"培训；注册午餐；机构晚餐",IF(C2121=Options!$B$9,"抵达；"&amp;IF(C2121=DATE(2026,11,28),"机构晚餐","无统一供餐"),IF(C2121=Options!$B$10,"返程；"&amp;IF(C2121=DATE(2026,12,2),"机构午餐","无统一供餐"),"差旅状态；无统一日程"))))))</f>
        <v/>
      </c>
      <c r="E2121" s="13">
        <f>IF(C2121=Options!$B$9,Options!$C$19,0)</f>
        <v/>
      </c>
      <c r="F2121" s="13">
        <f>IF(AND(A2121&lt;&gt;"",C2121&lt;Options!$B$10),B2121*Options!$X$7,0)</f>
        <v/>
      </c>
      <c r="G2121" s="13">
        <f>F2121*12%</f>
        <v/>
      </c>
      <c r="H2121" s="13">
        <f>IF(A2121="",0,B2121*(86*IF(OR(C2121=Options!$B$9,C2121=Options!$B$10),75%,100%)-IF(C2121=DATE(2026,11,29),23+IF(Options!$B$8="是",22,0),0)-IF(C2121=DATE(2026,11,30),23,0)-IF(C2121=DATE(2026,12,1),59,0)-IF(C2121=DATE(2026,11,28),36,0)-IF(C2121=DATE(2026,12,2),23,0)))</f>
        <v/>
      </c>
      <c r="I2121" s="13">
        <f>IF(AND(C2121&gt;=DATE(2026,11,29),C2121&lt;=DATE(2026,12,1)),B2121*60,0)</f>
        <v/>
      </c>
      <c r="J2121" s="13">
        <f>IF(A2121="",0,B2121*(IF(C2121=DATE(2026,11,28),36,0)+IF(C2121=DATE(2026,12,1),36,0)+IF(C2121=DATE(2026,12,2),23,0)))</f>
        <v/>
      </c>
      <c r="K2121" s="13">
        <f>IF(C2121=Options!$B$9,B2121*12,0)</f>
        <v/>
      </c>
      <c r="L2121" s="13">
        <f>IF(C2121=Options!$B$9,B2121*Options!$Z$7,0)</f>
        <v/>
      </c>
      <c r="M2121" s="13" t="n">
        <v>0</v>
      </c>
      <c r="N2121" s="13">
        <f>SUM(E2121:M2121)</f>
        <v/>
      </c>
    </row>
    <row r="2122">
      <c r="A2122" s="5">
        <f>IF(AND(C2122&gt;=Options!$B$9,C2122&lt;=Options!$B$10),"Phoenix","")</f>
        <v/>
      </c>
      <c r="B2122" s="5">
        <f>IF(A2122="","",24)</f>
        <v/>
      </c>
      <c r="C2122" s="17" t="n">
        <v>46588</v>
      </c>
      <c r="D2122" s="5">
        <f>IF(A2122="","",IF(C2122=DATE(2026,11,29),"培训；注册午餐；早餐参数",IF(C2122=DATE(2026,11,30),"培训；注册午餐",IF(C2122=DATE(2026,12,1),"培训；注册午餐；机构晚餐",IF(C2122=Options!$B$9,"抵达；"&amp;IF(C2122=DATE(2026,11,28),"机构晚餐","无统一供餐"),IF(C2122=Options!$B$10,"返程；"&amp;IF(C2122=DATE(2026,12,2),"机构午餐","无统一供餐"),"差旅状态；无统一日程"))))))</f>
        <v/>
      </c>
      <c r="E2122" s="13">
        <f>IF(C2122=Options!$B$9,Options!$C$19,0)</f>
        <v/>
      </c>
      <c r="F2122" s="13">
        <f>IF(AND(A2122&lt;&gt;"",C2122&lt;Options!$B$10),B2122*Options!$X$7,0)</f>
        <v/>
      </c>
      <c r="G2122" s="13">
        <f>F2122*12%</f>
        <v/>
      </c>
      <c r="H2122" s="13">
        <f>IF(A2122="",0,B2122*(86*IF(OR(C2122=Options!$B$9,C2122=Options!$B$10),75%,100%)-IF(C2122=DATE(2026,11,29),23+IF(Options!$B$8="是",22,0),0)-IF(C2122=DATE(2026,11,30),23,0)-IF(C2122=DATE(2026,12,1),59,0)-IF(C2122=DATE(2026,11,28),36,0)-IF(C2122=DATE(2026,12,2),23,0)))</f>
        <v/>
      </c>
      <c r="I2122" s="13">
        <f>IF(AND(C2122&gt;=DATE(2026,11,29),C2122&lt;=DATE(2026,12,1)),B2122*60,0)</f>
        <v/>
      </c>
      <c r="J2122" s="13">
        <f>IF(A2122="",0,B2122*(IF(C2122=DATE(2026,11,28),36,0)+IF(C2122=DATE(2026,12,1),36,0)+IF(C2122=DATE(2026,12,2),23,0)))</f>
        <v/>
      </c>
      <c r="K2122" s="13">
        <f>IF(C2122=Options!$B$9,B2122*12,0)</f>
        <v/>
      </c>
      <c r="L2122" s="13">
        <f>IF(C2122=Options!$B$9,B2122*Options!$Z$7,0)</f>
        <v/>
      </c>
      <c r="M2122" s="13" t="n">
        <v>0</v>
      </c>
      <c r="N2122" s="13">
        <f>SUM(E2122:M2122)</f>
        <v/>
      </c>
    </row>
    <row r="2123">
      <c r="A2123" s="5">
        <f>IF(AND(C2123&gt;=Options!$B$9,C2123&lt;=Options!$B$10),"Phoenix","")</f>
        <v/>
      </c>
      <c r="B2123" s="5">
        <f>IF(A2123="","",24)</f>
        <v/>
      </c>
      <c r="C2123" s="17" t="n">
        <v>46589</v>
      </c>
      <c r="D2123" s="5">
        <f>IF(A2123="","",IF(C2123=DATE(2026,11,29),"培训；注册午餐；早餐参数",IF(C2123=DATE(2026,11,30),"培训；注册午餐",IF(C2123=DATE(2026,12,1),"培训；注册午餐；机构晚餐",IF(C2123=Options!$B$9,"抵达；"&amp;IF(C2123=DATE(2026,11,28),"机构晚餐","无统一供餐"),IF(C2123=Options!$B$10,"返程；"&amp;IF(C2123=DATE(2026,12,2),"机构午餐","无统一供餐"),"差旅状态；无统一日程"))))))</f>
        <v/>
      </c>
      <c r="E2123" s="13">
        <f>IF(C2123=Options!$B$9,Options!$C$19,0)</f>
        <v/>
      </c>
      <c r="F2123" s="13">
        <f>IF(AND(A2123&lt;&gt;"",C2123&lt;Options!$B$10),B2123*Options!$X$7,0)</f>
        <v/>
      </c>
      <c r="G2123" s="13">
        <f>F2123*12%</f>
        <v/>
      </c>
      <c r="H2123" s="13">
        <f>IF(A2123="",0,B2123*(86*IF(OR(C2123=Options!$B$9,C2123=Options!$B$10),75%,100%)-IF(C2123=DATE(2026,11,29),23+IF(Options!$B$8="是",22,0),0)-IF(C2123=DATE(2026,11,30),23,0)-IF(C2123=DATE(2026,12,1),59,0)-IF(C2123=DATE(2026,11,28),36,0)-IF(C2123=DATE(2026,12,2),23,0)))</f>
        <v/>
      </c>
      <c r="I2123" s="13">
        <f>IF(AND(C2123&gt;=DATE(2026,11,29),C2123&lt;=DATE(2026,12,1)),B2123*60,0)</f>
        <v/>
      </c>
      <c r="J2123" s="13">
        <f>IF(A2123="",0,B2123*(IF(C2123=DATE(2026,11,28),36,0)+IF(C2123=DATE(2026,12,1),36,0)+IF(C2123=DATE(2026,12,2),23,0)))</f>
        <v/>
      </c>
      <c r="K2123" s="13">
        <f>IF(C2123=Options!$B$9,B2123*12,0)</f>
        <v/>
      </c>
      <c r="L2123" s="13">
        <f>IF(C2123=Options!$B$9,B2123*Options!$Z$7,0)</f>
        <v/>
      </c>
      <c r="M2123" s="13" t="n">
        <v>0</v>
      </c>
      <c r="N2123" s="13">
        <f>SUM(E2123:M2123)</f>
        <v/>
      </c>
    </row>
    <row r="2124">
      <c r="A2124" s="5">
        <f>IF(AND(C2124&gt;=Options!$B$9,C2124&lt;=Options!$B$10),"Phoenix","")</f>
        <v/>
      </c>
      <c r="B2124" s="5">
        <f>IF(A2124="","",24)</f>
        <v/>
      </c>
      <c r="C2124" s="17" t="n">
        <v>46590</v>
      </c>
      <c r="D2124" s="5">
        <f>IF(A2124="","",IF(C2124=DATE(2026,11,29),"培训；注册午餐；早餐参数",IF(C2124=DATE(2026,11,30),"培训；注册午餐",IF(C2124=DATE(2026,12,1),"培训；注册午餐；机构晚餐",IF(C2124=Options!$B$9,"抵达；"&amp;IF(C2124=DATE(2026,11,28),"机构晚餐","无统一供餐"),IF(C2124=Options!$B$10,"返程；"&amp;IF(C2124=DATE(2026,12,2),"机构午餐","无统一供餐"),"差旅状态；无统一日程"))))))</f>
        <v/>
      </c>
      <c r="E2124" s="13">
        <f>IF(C2124=Options!$B$9,Options!$C$19,0)</f>
        <v/>
      </c>
      <c r="F2124" s="13">
        <f>IF(AND(A2124&lt;&gt;"",C2124&lt;Options!$B$10),B2124*Options!$X$7,0)</f>
        <v/>
      </c>
      <c r="G2124" s="13">
        <f>F2124*12%</f>
        <v/>
      </c>
      <c r="H2124" s="13">
        <f>IF(A2124="",0,B2124*(86*IF(OR(C2124=Options!$B$9,C2124=Options!$B$10),75%,100%)-IF(C2124=DATE(2026,11,29),23+IF(Options!$B$8="是",22,0),0)-IF(C2124=DATE(2026,11,30),23,0)-IF(C2124=DATE(2026,12,1),59,0)-IF(C2124=DATE(2026,11,28),36,0)-IF(C2124=DATE(2026,12,2),23,0)))</f>
        <v/>
      </c>
      <c r="I2124" s="13">
        <f>IF(AND(C2124&gt;=DATE(2026,11,29),C2124&lt;=DATE(2026,12,1)),B2124*60,0)</f>
        <v/>
      </c>
      <c r="J2124" s="13">
        <f>IF(A2124="",0,B2124*(IF(C2124=DATE(2026,11,28),36,0)+IF(C2124=DATE(2026,12,1),36,0)+IF(C2124=DATE(2026,12,2),23,0)))</f>
        <v/>
      </c>
      <c r="K2124" s="13">
        <f>IF(C2124=Options!$B$9,B2124*12,0)</f>
        <v/>
      </c>
      <c r="L2124" s="13">
        <f>IF(C2124=Options!$B$9,B2124*Options!$Z$7,0)</f>
        <v/>
      </c>
      <c r="M2124" s="13" t="n">
        <v>0</v>
      </c>
      <c r="N2124" s="13">
        <f>SUM(E2124:M2124)</f>
        <v/>
      </c>
    </row>
    <row r="2125">
      <c r="A2125" s="5">
        <f>IF(AND(C2125&gt;=Options!$B$9,C2125&lt;=Options!$B$10),"Phoenix","")</f>
        <v/>
      </c>
      <c r="B2125" s="5">
        <f>IF(A2125="","",24)</f>
        <v/>
      </c>
      <c r="C2125" s="17" t="n">
        <v>46591</v>
      </c>
      <c r="D2125" s="5">
        <f>IF(A2125="","",IF(C2125=DATE(2026,11,29),"培训；注册午餐；早餐参数",IF(C2125=DATE(2026,11,30),"培训；注册午餐",IF(C2125=DATE(2026,12,1),"培训；注册午餐；机构晚餐",IF(C2125=Options!$B$9,"抵达；"&amp;IF(C2125=DATE(2026,11,28),"机构晚餐","无统一供餐"),IF(C2125=Options!$B$10,"返程；"&amp;IF(C2125=DATE(2026,12,2),"机构午餐","无统一供餐"),"差旅状态；无统一日程"))))))</f>
        <v/>
      </c>
      <c r="E2125" s="13">
        <f>IF(C2125=Options!$B$9,Options!$C$19,0)</f>
        <v/>
      </c>
      <c r="F2125" s="13">
        <f>IF(AND(A2125&lt;&gt;"",C2125&lt;Options!$B$10),B2125*Options!$X$7,0)</f>
        <v/>
      </c>
      <c r="G2125" s="13">
        <f>F2125*12%</f>
        <v/>
      </c>
      <c r="H2125" s="13">
        <f>IF(A2125="",0,B2125*(86*IF(OR(C2125=Options!$B$9,C2125=Options!$B$10),75%,100%)-IF(C2125=DATE(2026,11,29),23+IF(Options!$B$8="是",22,0),0)-IF(C2125=DATE(2026,11,30),23,0)-IF(C2125=DATE(2026,12,1),59,0)-IF(C2125=DATE(2026,11,28),36,0)-IF(C2125=DATE(2026,12,2),23,0)))</f>
        <v/>
      </c>
      <c r="I2125" s="13">
        <f>IF(AND(C2125&gt;=DATE(2026,11,29),C2125&lt;=DATE(2026,12,1)),B2125*60,0)</f>
        <v/>
      </c>
      <c r="J2125" s="13">
        <f>IF(A2125="",0,B2125*(IF(C2125=DATE(2026,11,28),36,0)+IF(C2125=DATE(2026,12,1),36,0)+IF(C2125=DATE(2026,12,2),23,0)))</f>
        <v/>
      </c>
      <c r="K2125" s="13">
        <f>IF(C2125=Options!$B$9,B2125*12,0)</f>
        <v/>
      </c>
      <c r="L2125" s="13">
        <f>IF(C2125=Options!$B$9,B2125*Options!$Z$7,0)</f>
        <v/>
      </c>
      <c r="M2125" s="13" t="n">
        <v>0</v>
      </c>
      <c r="N2125" s="13">
        <f>SUM(E2125:M2125)</f>
        <v/>
      </c>
    </row>
    <row r="2126">
      <c r="A2126" s="5">
        <f>IF(AND(C2126&gt;=Options!$B$9,C2126&lt;=Options!$B$10),"Phoenix","")</f>
        <v/>
      </c>
      <c r="B2126" s="5">
        <f>IF(A2126="","",24)</f>
        <v/>
      </c>
      <c r="C2126" s="17" t="n">
        <v>46592</v>
      </c>
      <c r="D2126" s="5">
        <f>IF(A2126="","",IF(C2126=DATE(2026,11,29),"培训；注册午餐；早餐参数",IF(C2126=DATE(2026,11,30),"培训；注册午餐",IF(C2126=DATE(2026,12,1),"培训；注册午餐；机构晚餐",IF(C2126=Options!$B$9,"抵达；"&amp;IF(C2126=DATE(2026,11,28),"机构晚餐","无统一供餐"),IF(C2126=Options!$B$10,"返程；"&amp;IF(C2126=DATE(2026,12,2),"机构午餐","无统一供餐"),"差旅状态；无统一日程"))))))</f>
        <v/>
      </c>
      <c r="E2126" s="13">
        <f>IF(C2126=Options!$B$9,Options!$C$19,0)</f>
        <v/>
      </c>
      <c r="F2126" s="13">
        <f>IF(AND(A2126&lt;&gt;"",C2126&lt;Options!$B$10),B2126*Options!$X$7,0)</f>
        <v/>
      </c>
      <c r="G2126" s="13">
        <f>F2126*12%</f>
        <v/>
      </c>
      <c r="H2126" s="13">
        <f>IF(A2126="",0,B2126*(86*IF(OR(C2126=Options!$B$9,C2126=Options!$B$10),75%,100%)-IF(C2126=DATE(2026,11,29),23+IF(Options!$B$8="是",22,0),0)-IF(C2126=DATE(2026,11,30),23,0)-IF(C2126=DATE(2026,12,1),59,0)-IF(C2126=DATE(2026,11,28),36,0)-IF(C2126=DATE(2026,12,2),23,0)))</f>
        <v/>
      </c>
      <c r="I2126" s="13">
        <f>IF(AND(C2126&gt;=DATE(2026,11,29),C2126&lt;=DATE(2026,12,1)),B2126*60,0)</f>
        <v/>
      </c>
      <c r="J2126" s="13">
        <f>IF(A2126="",0,B2126*(IF(C2126=DATE(2026,11,28),36,0)+IF(C2126=DATE(2026,12,1),36,0)+IF(C2126=DATE(2026,12,2),23,0)))</f>
        <v/>
      </c>
      <c r="K2126" s="13">
        <f>IF(C2126=Options!$B$9,B2126*12,0)</f>
        <v/>
      </c>
      <c r="L2126" s="13">
        <f>IF(C2126=Options!$B$9,B2126*Options!$Z$7,0)</f>
        <v/>
      </c>
      <c r="M2126" s="13" t="n">
        <v>0</v>
      </c>
      <c r="N2126" s="13">
        <f>SUM(E2126:M2126)</f>
        <v/>
      </c>
    </row>
    <row r="2127">
      <c r="A2127" s="5">
        <f>IF(AND(C2127&gt;=Options!$B$9,C2127&lt;=Options!$B$10),"Phoenix","")</f>
        <v/>
      </c>
      <c r="B2127" s="5">
        <f>IF(A2127="","",24)</f>
        <v/>
      </c>
      <c r="C2127" s="17" t="n">
        <v>46593</v>
      </c>
      <c r="D2127" s="5">
        <f>IF(A2127="","",IF(C2127=DATE(2026,11,29),"培训；注册午餐；早餐参数",IF(C2127=DATE(2026,11,30),"培训；注册午餐",IF(C2127=DATE(2026,12,1),"培训；注册午餐；机构晚餐",IF(C2127=Options!$B$9,"抵达；"&amp;IF(C2127=DATE(2026,11,28),"机构晚餐","无统一供餐"),IF(C2127=Options!$B$10,"返程；"&amp;IF(C2127=DATE(2026,12,2),"机构午餐","无统一供餐"),"差旅状态；无统一日程"))))))</f>
        <v/>
      </c>
      <c r="E2127" s="13">
        <f>IF(C2127=Options!$B$9,Options!$C$19,0)</f>
        <v/>
      </c>
      <c r="F2127" s="13">
        <f>IF(AND(A2127&lt;&gt;"",C2127&lt;Options!$B$10),B2127*Options!$X$7,0)</f>
        <v/>
      </c>
      <c r="G2127" s="13">
        <f>F2127*12%</f>
        <v/>
      </c>
      <c r="H2127" s="13">
        <f>IF(A2127="",0,B2127*(86*IF(OR(C2127=Options!$B$9,C2127=Options!$B$10),75%,100%)-IF(C2127=DATE(2026,11,29),23+IF(Options!$B$8="是",22,0),0)-IF(C2127=DATE(2026,11,30),23,0)-IF(C2127=DATE(2026,12,1),59,0)-IF(C2127=DATE(2026,11,28),36,0)-IF(C2127=DATE(2026,12,2),23,0)))</f>
        <v/>
      </c>
      <c r="I2127" s="13">
        <f>IF(AND(C2127&gt;=DATE(2026,11,29),C2127&lt;=DATE(2026,12,1)),B2127*60,0)</f>
        <v/>
      </c>
      <c r="J2127" s="13">
        <f>IF(A2127="",0,B2127*(IF(C2127=DATE(2026,11,28),36,0)+IF(C2127=DATE(2026,12,1),36,0)+IF(C2127=DATE(2026,12,2),23,0)))</f>
        <v/>
      </c>
      <c r="K2127" s="13">
        <f>IF(C2127=Options!$B$9,B2127*12,0)</f>
        <v/>
      </c>
      <c r="L2127" s="13">
        <f>IF(C2127=Options!$B$9,B2127*Options!$Z$7,0)</f>
        <v/>
      </c>
      <c r="M2127" s="13" t="n">
        <v>0</v>
      </c>
      <c r="N2127" s="13">
        <f>SUM(E2127:M2127)</f>
        <v/>
      </c>
    </row>
    <row r="2128">
      <c r="A2128" s="5">
        <f>IF(AND(C2128&gt;=Options!$B$9,C2128&lt;=Options!$B$10),"Phoenix","")</f>
        <v/>
      </c>
      <c r="B2128" s="5">
        <f>IF(A2128="","",24)</f>
        <v/>
      </c>
      <c r="C2128" s="17" t="n">
        <v>46594</v>
      </c>
      <c r="D2128" s="5">
        <f>IF(A2128="","",IF(C2128=DATE(2026,11,29),"培训；注册午餐；早餐参数",IF(C2128=DATE(2026,11,30),"培训；注册午餐",IF(C2128=DATE(2026,12,1),"培训；注册午餐；机构晚餐",IF(C2128=Options!$B$9,"抵达；"&amp;IF(C2128=DATE(2026,11,28),"机构晚餐","无统一供餐"),IF(C2128=Options!$B$10,"返程；"&amp;IF(C2128=DATE(2026,12,2),"机构午餐","无统一供餐"),"差旅状态；无统一日程"))))))</f>
        <v/>
      </c>
      <c r="E2128" s="13">
        <f>IF(C2128=Options!$B$9,Options!$C$19,0)</f>
        <v/>
      </c>
      <c r="F2128" s="13">
        <f>IF(AND(A2128&lt;&gt;"",C2128&lt;Options!$B$10),B2128*Options!$X$7,0)</f>
        <v/>
      </c>
      <c r="G2128" s="13">
        <f>F2128*12%</f>
        <v/>
      </c>
      <c r="H2128" s="13">
        <f>IF(A2128="",0,B2128*(86*IF(OR(C2128=Options!$B$9,C2128=Options!$B$10),75%,100%)-IF(C2128=DATE(2026,11,29),23+IF(Options!$B$8="是",22,0),0)-IF(C2128=DATE(2026,11,30),23,0)-IF(C2128=DATE(2026,12,1),59,0)-IF(C2128=DATE(2026,11,28),36,0)-IF(C2128=DATE(2026,12,2),23,0)))</f>
        <v/>
      </c>
      <c r="I2128" s="13">
        <f>IF(AND(C2128&gt;=DATE(2026,11,29),C2128&lt;=DATE(2026,12,1)),B2128*60,0)</f>
        <v/>
      </c>
      <c r="J2128" s="13">
        <f>IF(A2128="",0,B2128*(IF(C2128=DATE(2026,11,28),36,0)+IF(C2128=DATE(2026,12,1),36,0)+IF(C2128=DATE(2026,12,2),23,0)))</f>
        <v/>
      </c>
      <c r="K2128" s="13">
        <f>IF(C2128=Options!$B$9,B2128*12,0)</f>
        <v/>
      </c>
      <c r="L2128" s="13">
        <f>IF(C2128=Options!$B$9,B2128*Options!$Z$7,0)</f>
        <v/>
      </c>
      <c r="M2128" s="13" t="n">
        <v>0</v>
      </c>
      <c r="N2128" s="13">
        <f>SUM(E2128:M2128)</f>
        <v/>
      </c>
    </row>
    <row r="2129">
      <c r="A2129" s="5">
        <f>IF(AND(C2129&gt;=Options!$B$9,C2129&lt;=Options!$B$10),"Phoenix","")</f>
        <v/>
      </c>
      <c r="B2129" s="5">
        <f>IF(A2129="","",24)</f>
        <v/>
      </c>
      <c r="C2129" s="17" t="n">
        <v>46595</v>
      </c>
      <c r="D2129" s="5">
        <f>IF(A2129="","",IF(C2129=DATE(2026,11,29),"培训；注册午餐；早餐参数",IF(C2129=DATE(2026,11,30),"培训；注册午餐",IF(C2129=DATE(2026,12,1),"培训；注册午餐；机构晚餐",IF(C2129=Options!$B$9,"抵达；"&amp;IF(C2129=DATE(2026,11,28),"机构晚餐","无统一供餐"),IF(C2129=Options!$B$10,"返程；"&amp;IF(C2129=DATE(2026,12,2),"机构午餐","无统一供餐"),"差旅状态；无统一日程"))))))</f>
        <v/>
      </c>
      <c r="E2129" s="13">
        <f>IF(C2129=Options!$B$9,Options!$C$19,0)</f>
        <v/>
      </c>
      <c r="F2129" s="13">
        <f>IF(AND(A2129&lt;&gt;"",C2129&lt;Options!$B$10),B2129*Options!$X$7,0)</f>
        <v/>
      </c>
      <c r="G2129" s="13">
        <f>F2129*12%</f>
        <v/>
      </c>
      <c r="H2129" s="13">
        <f>IF(A2129="",0,B2129*(86*IF(OR(C2129=Options!$B$9,C2129=Options!$B$10),75%,100%)-IF(C2129=DATE(2026,11,29),23+IF(Options!$B$8="是",22,0),0)-IF(C2129=DATE(2026,11,30),23,0)-IF(C2129=DATE(2026,12,1),59,0)-IF(C2129=DATE(2026,11,28),36,0)-IF(C2129=DATE(2026,12,2),23,0)))</f>
        <v/>
      </c>
      <c r="I2129" s="13">
        <f>IF(AND(C2129&gt;=DATE(2026,11,29),C2129&lt;=DATE(2026,12,1)),B2129*60,0)</f>
        <v/>
      </c>
      <c r="J2129" s="13">
        <f>IF(A2129="",0,B2129*(IF(C2129=DATE(2026,11,28),36,0)+IF(C2129=DATE(2026,12,1),36,0)+IF(C2129=DATE(2026,12,2),23,0)))</f>
        <v/>
      </c>
      <c r="K2129" s="13">
        <f>IF(C2129=Options!$B$9,B2129*12,0)</f>
        <v/>
      </c>
      <c r="L2129" s="13">
        <f>IF(C2129=Options!$B$9,B2129*Options!$Z$7,0)</f>
        <v/>
      </c>
      <c r="M2129" s="13" t="n">
        <v>0</v>
      </c>
      <c r="N2129" s="13">
        <f>SUM(E2129:M2129)</f>
        <v/>
      </c>
    </row>
    <row r="2130">
      <c r="A2130" s="5">
        <f>IF(AND(C2130&gt;=Options!$B$9,C2130&lt;=Options!$B$10),"Phoenix","")</f>
        <v/>
      </c>
      <c r="B2130" s="5">
        <f>IF(A2130="","",24)</f>
        <v/>
      </c>
      <c r="C2130" s="17" t="n">
        <v>46596</v>
      </c>
      <c r="D2130" s="5">
        <f>IF(A2130="","",IF(C2130=DATE(2026,11,29),"培训；注册午餐；早餐参数",IF(C2130=DATE(2026,11,30),"培训；注册午餐",IF(C2130=DATE(2026,12,1),"培训；注册午餐；机构晚餐",IF(C2130=Options!$B$9,"抵达；"&amp;IF(C2130=DATE(2026,11,28),"机构晚餐","无统一供餐"),IF(C2130=Options!$B$10,"返程；"&amp;IF(C2130=DATE(2026,12,2),"机构午餐","无统一供餐"),"差旅状态；无统一日程"))))))</f>
        <v/>
      </c>
      <c r="E2130" s="13">
        <f>IF(C2130=Options!$B$9,Options!$C$19,0)</f>
        <v/>
      </c>
      <c r="F2130" s="13">
        <f>IF(AND(A2130&lt;&gt;"",C2130&lt;Options!$B$10),B2130*Options!$X$7,0)</f>
        <v/>
      </c>
      <c r="G2130" s="13">
        <f>F2130*12%</f>
        <v/>
      </c>
      <c r="H2130" s="13">
        <f>IF(A2130="",0,B2130*(86*IF(OR(C2130=Options!$B$9,C2130=Options!$B$10),75%,100%)-IF(C2130=DATE(2026,11,29),23+IF(Options!$B$8="是",22,0),0)-IF(C2130=DATE(2026,11,30),23,0)-IF(C2130=DATE(2026,12,1),59,0)-IF(C2130=DATE(2026,11,28),36,0)-IF(C2130=DATE(2026,12,2),23,0)))</f>
        <v/>
      </c>
      <c r="I2130" s="13">
        <f>IF(AND(C2130&gt;=DATE(2026,11,29),C2130&lt;=DATE(2026,12,1)),B2130*60,0)</f>
        <v/>
      </c>
      <c r="J2130" s="13">
        <f>IF(A2130="",0,B2130*(IF(C2130=DATE(2026,11,28),36,0)+IF(C2130=DATE(2026,12,1),36,0)+IF(C2130=DATE(2026,12,2),23,0)))</f>
        <v/>
      </c>
      <c r="K2130" s="13">
        <f>IF(C2130=Options!$B$9,B2130*12,0)</f>
        <v/>
      </c>
      <c r="L2130" s="13">
        <f>IF(C2130=Options!$B$9,B2130*Options!$Z$7,0)</f>
        <v/>
      </c>
      <c r="M2130" s="13" t="n">
        <v>0</v>
      </c>
      <c r="N2130" s="13">
        <f>SUM(E2130:M2130)</f>
        <v/>
      </c>
    </row>
    <row r="2131">
      <c r="A2131" s="5">
        <f>IF(AND(C2131&gt;=Options!$B$9,C2131&lt;=Options!$B$10),"Phoenix","")</f>
        <v/>
      </c>
      <c r="B2131" s="5">
        <f>IF(A2131="","",24)</f>
        <v/>
      </c>
      <c r="C2131" s="17" t="n">
        <v>46597</v>
      </c>
      <c r="D2131" s="5">
        <f>IF(A2131="","",IF(C2131=DATE(2026,11,29),"培训；注册午餐；早餐参数",IF(C2131=DATE(2026,11,30),"培训；注册午餐",IF(C2131=DATE(2026,12,1),"培训；注册午餐；机构晚餐",IF(C2131=Options!$B$9,"抵达；"&amp;IF(C2131=DATE(2026,11,28),"机构晚餐","无统一供餐"),IF(C2131=Options!$B$10,"返程；"&amp;IF(C2131=DATE(2026,12,2),"机构午餐","无统一供餐"),"差旅状态；无统一日程"))))))</f>
        <v/>
      </c>
      <c r="E2131" s="13">
        <f>IF(C2131=Options!$B$9,Options!$C$19,0)</f>
        <v/>
      </c>
      <c r="F2131" s="13">
        <f>IF(AND(A2131&lt;&gt;"",C2131&lt;Options!$B$10),B2131*Options!$X$7,0)</f>
        <v/>
      </c>
      <c r="G2131" s="13">
        <f>F2131*12%</f>
        <v/>
      </c>
      <c r="H2131" s="13">
        <f>IF(A2131="",0,B2131*(86*IF(OR(C2131=Options!$B$9,C2131=Options!$B$10),75%,100%)-IF(C2131=DATE(2026,11,29),23+IF(Options!$B$8="是",22,0),0)-IF(C2131=DATE(2026,11,30),23,0)-IF(C2131=DATE(2026,12,1),59,0)-IF(C2131=DATE(2026,11,28),36,0)-IF(C2131=DATE(2026,12,2),23,0)))</f>
        <v/>
      </c>
      <c r="I2131" s="13">
        <f>IF(AND(C2131&gt;=DATE(2026,11,29),C2131&lt;=DATE(2026,12,1)),B2131*60,0)</f>
        <v/>
      </c>
      <c r="J2131" s="13">
        <f>IF(A2131="",0,B2131*(IF(C2131=DATE(2026,11,28),36,0)+IF(C2131=DATE(2026,12,1),36,0)+IF(C2131=DATE(2026,12,2),23,0)))</f>
        <v/>
      </c>
      <c r="K2131" s="13">
        <f>IF(C2131=Options!$B$9,B2131*12,0)</f>
        <v/>
      </c>
      <c r="L2131" s="13">
        <f>IF(C2131=Options!$B$9,B2131*Options!$Z$7,0)</f>
        <v/>
      </c>
      <c r="M2131" s="13" t="n">
        <v>0</v>
      </c>
      <c r="N2131" s="13">
        <f>SUM(E2131:M2131)</f>
        <v/>
      </c>
    </row>
    <row r="2132">
      <c r="A2132" s="5">
        <f>IF(AND(C2132&gt;=Options!$B$9,C2132&lt;=Options!$B$10),"Phoenix","")</f>
        <v/>
      </c>
      <c r="B2132" s="5">
        <f>IF(A2132="","",24)</f>
        <v/>
      </c>
      <c r="C2132" s="17" t="n">
        <v>46598</v>
      </c>
      <c r="D2132" s="5">
        <f>IF(A2132="","",IF(C2132=DATE(2026,11,29),"培训；注册午餐；早餐参数",IF(C2132=DATE(2026,11,30),"培训；注册午餐",IF(C2132=DATE(2026,12,1),"培训；注册午餐；机构晚餐",IF(C2132=Options!$B$9,"抵达；"&amp;IF(C2132=DATE(2026,11,28),"机构晚餐","无统一供餐"),IF(C2132=Options!$B$10,"返程；"&amp;IF(C2132=DATE(2026,12,2),"机构午餐","无统一供餐"),"差旅状态；无统一日程"))))))</f>
        <v/>
      </c>
      <c r="E2132" s="13">
        <f>IF(C2132=Options!$B$9,Options!$C$19,0)</f>
        <v/>
      </c>
      <c r="F2132" s="13">
        <f>IF(AND(A2132&lt;&gt;"",C2132&lt;Options!$B$10),B2132*Options!$X$7,0)</f>
        <v/>
      </c>
      <c r="G2132" s="13">
        <f>F2132*12%</f>
        <v/>
      </c>
      <c r="H2132" s="13">
        <f>IF(A2132="",0,B2132*(86*IF(OR(C2132=Options!$B$9,C2132=Options!$B$10),75%,100%)-IF(C2132=DATE(2026,11,29),23+IF(Options!$B$8="是",22,0),0)-IF(C2132=DATE(2026,11,30),23,0)-IF(C2132=DATE(2026,12,1),59,0)-IF(C2132=DATE(2026,11,28),36,0)-IF(C2132=DATE(2026,12,2),23,0)))</f>
        <v/>
      </c>
      <c r="I2132" s="13">
        <f>IF(AND(C2132&gt;=DATE(2026,11,29),C2132&lt;=DATE(2026,12,1)),B2132*60,0)</f>
        <v/>
      </c>
      <c r="J2132" s="13">
        <f>IF(A2132="",0,B2132*(IF(C2132=DATE(2026,11,28),36,0)+IF(C2132=DATE(2026,12,1),36,0)+IF(C2132=DATE(2026,12,2),23,0)))</f>
        <v/>
      </c>
      <c r="K2132" s="13">
        <f>IF(C2132=Options!$B$9,B2132*12,0)</f>
        <v/>
      </c>
      <c r="L2132" s="13">
        <f>IF(C2132=Options!$B$9,B2132*Options!$Z$7,0)</f>
        <v/>
      </c>
      <c r="M2132" s="13" t="n">
        <v>0</v>
      </c>
      <c r="N2132" s="13">
        <f>SUM(E2132:M2132)</f>
        <v/>
      </c>
    </row>
    <row r="2133">
      <c r="A2133" s="5">
        <f>IF(AND(C2133&gt;=Options!$B$9,C2133&lt;=Options!$B$10),"Phoenix","")</f>
        <v/>
      </c>
      <c r="B2133" s="5">
        <f>IF(A2133="","",24)</f>
        <v/>
      </c>
      <c r="C2133" s="17" t="n">
        <v>46599</v>
      </c>
      <c r="D2133" s="5">
        <f>IF(A2133="","",IF(C2133=DATE(2026,11,29),"培训；注册午餐；早餐参数",IF(C2133=DATE(2026,11,30),"培训；注册午餐",IF(C2133=DATE(2026,12,1),"培训；注册午餐；机构晚餐",IF(C2133=Options!$B$9,"抵达；"&amp;IF(C2133=DATE(2026,11,28),"机构晚餐","无统一供餐"),IF(C2133=Options!$B$10,"返程；"&amp;IF(C2133=DATE(2026,12,2),"机构午餐","无统一供餐"),"差旅状态；无统一日程"))))))</f>
        <v/>
      </c>
      <c r="E2133" s="13">
        <f>IF(C2133=Options!$B$9,Options!$C$19,0)</f>
        <v/>
      </c>
      <c r="F2133" s="13">
        <f>IF(AND(A2133&lt;&gt;"",C2133&lt;Options!$B$10),B2133*Options!$X$7,0)</f>
        <v/>
      </c>
      <c r="G2133" s="13">
        <f>F2133*12%</f>
        <v/>
      </c>
      <c r="H2133" s="13">
        <f>IF(A2133="",0,B2133*(86*IF(OR(C2133=Options!$B$9,C2133=Options!$B$10),75%,100%)-IF(C2133=DATE(2026,11,29),23+IF(Options!$B$8="是",22,0),0)-IF(C2133=DATE(2026,11,30),23,0)-IF(C2133=DATE(2026,12,1),59,0)-IF(C2133=DATE(2026,11,28),36,0)-IF(C2133=DATE(2026,12,2),23,0)))</f>
        <v/>
      </c>
      <c r="I2133" s="13">
        <f>IF(AND(C2133&gt;=DATE(2026,11,29),C2133&lt;=DATE(2026,12,1)),B2133*60,0)</f>
        <v/>
      </c>
      <c r="J2133" s="13">
        <f>IF(A2133="",0,B2133*(IF(C2133=DATE(2026,11,28),36,0)+IF(C2133=DATE(2026,12,1),36,0)+IF(C2133=DATE(2026,12,2),23,0)))</f>
        <v/>
      </c>
      <c r="K2133" s="13">
        <f>IF(C2133=Options!$B$9,B2133*12,0)</f>
        <v/>
      </c>
      <c r="L2133" s="13">
        <f>IF(C2133=Options!$B$9,B2133*Options!$Z$7,0)</f>
        <v/>
      </c>
      <c r="M2133" s="13" t="n">
        <v>0</v>
      </c>
      <c r="N2133" s="13">
        <f>SUM(E2133:M2133)</f>
        <v/>
      </c>
    </row>
    <row r="2134">
      <c r="A2134" s="5">
        <f>IF(AND(C2134&gt;=Options!$B$9,C2134&lt;=Options!$B$10),"Phoenix","")</f>
        <v/>
      </c>
      <c r="B2134" s="5">
        <f>IF(A2134="","",24)</f>
        <v/>
      </c>
      <c r="C2134" s="17" t="n">
        <v>46600</v>
      </c>
      <c r="D2134" s="5">
        <f>IF(A2134="","",IF(C2134=DATE(2026,11,29),"培训；注册午餐；早餐参数",IF(C2134=DATE(2026,11,30),"培训；注册午餐",IF(C2134=DATE(2026,12,1),"培训；注册午餐；机构晚餐",IF(C2134=Options!$B$9,"抵达；"&amp;IF(C2134=DATE(2026,11,28),"机构晚餐","无统一供餐"),IF(C2134=Options!$B$10,"返程；"&amp;IF(C2134=DATE(2026,12,2),"机构午餐","无统一供餐"),"差旅状态；无统一日程"))))))</f>
        <v/>
      </c>
      <c r="E2134" s="13">
        <f>IF(C2134=Options!$B$9,Options!$C$19,0)</f>
        <v/>
      </c>
      <c r="F2134" s="13">
        <f>IF(AND(A2134&lt;&gt;"",C2134&lt;Options!$B$10),B2134*Options!$X$7,0)</f>
        <v/>
      </c>
      <c r="G2134" s="13">
        <f>F2134*12%</f>
        <v/>
      </c>
      <c r="H2134" s="13">
        <f>IF(A2134="",0,B2134*(86*IF(OR(C2134=Options!$B$9,C2134=Options!$B$10),75%,100%)-IF(C2134=DATE(2026,11,29),23+IF(Options!$B$8="是",22,0),0)-IF(C2134=DATE(2026,11,30),23,0)-IF(C2134=DATE(2026,12,1),59,0)-IF(C2134=DATE(2026,11,28),36,0)-IF(C2134=DATE(2026,12,2),23,0)))</f>
        <v/>
      </c>
      <c r="I2134" s="13">
        <f>IF(AND(C2134&gt;=DATE(2026,11,29),C2134&lt;=DATE(2026,12,1)),B2134*60,0)</f>
        <v/>
      </c>
      <c r="J2134" s="13">
        <f>IF(A2134="",0,B2134*(IF(C2134=DATE(2026,11,28),36,0)+IF(C2134=DATE(2026,12,1),36,0)+IF(C2134=DATE(2026,12,2),23,0)))</f>
        <v/>
      </c>
      <c r="K2134" s="13">
        <f>IF(C2134=Options!$B$9,B2134*12,0)</f>
        <v/>
      </c>
      <c r="L2134" s="13">
        <f>IF(C2134=Options!$B$9,B2134*Options!$Z$7,0)</f>
        <v/>
      </c>
      <c r="M2134" s="13" t="n">
        <v>0</v>
      </c>
      <c r="N2134" s="13">
        <f>SUM(E2134:M2134)</f>
        <v/>
      </c>
    </row>
    <row r="2135">
      <c r="A2135" s="5">
        <f>IF(AND(C2135&gt;=Options!$B$9,C2135&lt;=Options!$B$10),"Phoenix","")</f>
        <v/>
      </c>
      <c r="B2135" s="5">
        <f>IF(A2135="","",24)</f>
        <v/>
      </c>
      <c r="C2135" s="17" t="n">
        <v>46601</v>
      </c>
      <c r="D2135" s="5">
        <f>IF(A2135="","",IF(C2135=DATE(2026,11,29),"培训；注册午餐；早餐参数",IF(C2135=DATE(2026,11,30),"培训；注册午餐",IF(C2135=DATE(2026,12,1),"培训；注册午餐；机构晚餐",IF(C2135=Options!$B$9,"抵达；"&amp;IF(C2135=DATE(2026,11,28),"机构晚餐","无统一供餐"),IF(C2135=Options!$B$10,"返程；"&amp;IF(C2135=DATE(2026,12,2),"机构午餐","无统一供餐"),"差旅状态；无统一日程"))))))</f>
        <v/>
      </c>
      <c r="E2135" s="13">
        <f>IF(C2135=Options!$B$9,Options!$C$19,0)</f>
        <v/>
      </c>
      <c r="F2135" s="13">
        <f>IF(AND(A2135&lt;&gt;"",C2135&lt;Options!$B$10),B2135*Options!$X$7,0)</f>
        <v/>
      </c>
      <c r="G2135" s="13">
        <f>F2135*12%</f>
        <v/>
      </c>
      <c r="H2135" s="13">
        <f>IF(A2135="",0,B2135*(86*IF(OR(C2135=Options!$B$9,C2135=Options!$B$10),75%,100%)-IF(C2135=DATE(2026,11,29),23+IF(Options!$B$8="是",22,0),0)-IF(C2135=DATE(2026,11,30),23,0)-IF(C2135=DATE(2026,12,1),59,0)-IF(C2135=DATE(2026,11,28),36,0)-IF(C2135=DATE(2026,12,2),23,0)))</f>
        <v/>
      </c>
      <c r="I2135" s="13">
        <f>IF(AND(C2135&gt;=DATE(2026,11,29),C2135&lt;=DATE(2026,12,1)),B2135*60,0)</f>
        <v/>
      </c>
      <c r="J2135" s="13">
        <f>IF(A2135="",0,B2135*(IF(C2135=DATE(2026,11,28),36,0)+IF(C2135=DATE(2026,12,1),36,0)+IF(C2135=DATE(2026,12,2),23,0)))</f>
        <v/>
      </c>
      <c r="K2135" s="13">
        <f>IF(C2135=Options!$B$9,B2135*12,0)</f>
        <v/>
      </c>
      <c r="L2135" s="13">
        <f>IF(C2135=Options!$B$9,B2135*Options!$Z$7,0)</f>
        <v/>
      </c>
      <c r="M2135" s="13" t="n">
        <v>0</v>
      </c>
      <c r="N2135" s="13">
        <f>SUM(E2135:M2135)</f>
        <v/>
      </c>
    </row>
    <row r="2136">
      <c r="A2136" s="5">
        <f>IF(AND(C2136&gt;=Options!$B$9,C2136&lt;=Options!$B$10),"Phoenix","")</f>
        <v/>
      </c>
      <c r="B2136" s="5">
        <f>IF(A2136="","",24)</f>
        <v/>
      </c>
      <c r="C2136" s="17" t="n">
        <v>46602</v>
      </c>
      <c r="D2136" s="5">
        <f>IF(A2136="","",IF(C2136=DATE(2026,11,29),"培训；注册午餐；早餐参数",IF(C2136=DATE(2026,11,30),"培训；注册午餐",IF(C2136=DATE(2026,12,1),"培训；注册午餐；机构晚餐",IF(C2136=Options!$B$9,"抵达；"&amp;IF(C2136=DATE(2026,11,28),"机构晚餐","无统一供餐"),IF(C2136=Options!$B$10,"返程；"&amp;IF(C2136=DATE(2026,12,2),"机构午餐","无统一供餐"),"差旅状态；无统一日程"))))))</f>
        <v/>
      </c>
      <c r="E2136" s="13">
        <f>IF(C2136=Options!$B$9,Options!$C$19,0)</f>
        <v/>
      </c>
      <c r="F2136" s="13">
        <f>IF(AND(A2136&lt;&gt;"",C2136&lt;Options!$B$10),B2136*Options!$X$7,0)</f>
        <v/>
      </c>
      <c r="G2136" s="13">
        <f>F2136*12%</f>
        <v/>
      </c>
      <c r="H2136" s="13">
        <f>IF(A2136="",0,B2136*(86*IF(OR(C2136=Options!$B$9,C2136=Options!$B$10),75%,100%)-IF(C2136=DATE(2026,11,29),23+IF(Options!$B$8="是",22,0),0)-IF(C2136=DATE(2026,11,30),23,0)-IF(C2136=DATE(2026,12,1),59,0)-IF(C2136=DATE(2026,11,28),36,0)-IF(C2136=DATE(2026,12,2),23,0)))</f>
        <v/>
      </c>
      <c r="I2136" s="13">
        <f>IF(AND(C2136&gt;=DATE(2026,11,29),C2136&lt;=DATE(2026,12,1)),B2136*60,0)</f>
        <v/>
      </c>
      <c r="J2136" s="13">
        <f>IF(A2136="",0,B2136*(IF(C2136=DATE(2026,11,28),36,0)+IF(C2136=DATE(2026,12,1),36,0)+IF(C2136=DATE(2026,12,2),23,0)))</f>
        <v/>
      </c>
      <c r="K2136" s="13">
        <f>IF(C2136=Options!$B$9,B2136*12,0)</f>
        <v/>
      </c>
      <c r="L2136" s="13">
        <f>IF(C2136=Options!$B$9,B2136*Options!$Z$7,0)</f>
        <v/>
      </c>
      <c r="M2136" s="13" t="n">
        <v>0</v>
      </c>
      <c r="N2136" s="13">
        <f>SUM(E2136:M2136)</f>
        <v/>
      </c>
    </row>
    <row r="2137">
      <c r="A2137" s="5">
        <f>IF(AND(C2137&gt;=Options!$B$9,C2137&lt;=Options!$B$10),"Phoenix","")</f>
        <v/>
      </c>
      <c r="B2137" s="5">
        <f>IF(A2137="","",24)</f>
        <v/>
      </c>
      <c r="C2137" s="17" t="n">
        <v>46603</v>
      </c>
      <c r="D2137" s="5">
        <f>IF(A2137="","",IF(C2137=DATE(2026,11,29),"培训；注册午餐；早餐参数",IF(C2137=DATE(2026,11,30),"培训；注册午餐",IF(C2137=DATE(2026,12,1),"培训；注册午餐；机构晚餐",IF(C2137=Options!$B$9,"抵达；"&amp;IF(C2137=DATE(2026,11,28),"机构晚餐","无统一供餐"),IF(C2137=Options!$B$10,"返程；"&amp;IF(C2137=DATE(2026,12,2),"机构午餐","无统一供餐"),"差旅状态；无统一日程"))))))</f>
        <v/>
      </c>
      <c r="E2137" s="13">
        <f>IF(C2137=Options!$B$9,Options!$C$19,0)</f>
        <v/>
      </c>
      <c r="F2137" s="13">
        <f>IF(AND(A2137&lt;&gt;"",C2137&lt;Options!$B$10),B2137*Options!$X$7,0)</f>
        <v/>
      </c>
      <c r="G2137" s="13">
        <f>F2137*12%</f>
        <v/>
      </c>
      <c r="H2137" s="13">
        <f>IF(A2137="",0,B2137*(86*IF(OR(C2137=Options!$B$9,C2137=Options!$B$10),75%,100%)-IF(C2137=DATE(2026,11,29),23+IF(Options!$B$8="是",22,0),0)-IF(C2137=DATE(2026,11,30),23,0)-IF(C2137=DATE(2026,12,1),59,0)-IF(C2137=DATE(2026,11,28),36,0)-IF(C2137=DATE(2026,12,2),23,0)))</f>
        <v/>
      </c>
      <c r="I2137" s="13">
        <f>IF(AND(C2137&gt;=DATE(2026,11,29),C2137&lt;=DATE(2026,12,1)),B2137*60,0)</f>
        <v/>
      </c>
      <c r="J2137" s="13">
        <f>IF(A2137="",0,B2137*(IF(C2137=DATE(2026,11,28),36,0)+IF(C2137=DATE(2026,12,1),36,0)+IF(C2137=DATE(2026,12,2),23,0)))</f>
        <v/>
      </c>
      <c r="K2137" s="13">
        <f>IF(C2137=Options!$B$9,B2137*12,0)</f>
        <v/>
      </c>
      <c r="L2137" s="13">
        <f>IF(C2137=Options!$B$9,B2137*Options!$Z$7,0)</f>
        <v/>
      </c>
      <c r="M2137" s="13" t="n">
        <v>0</v>
      </c>
      <c r="N2137" s="13">
        <f>SUM(E2137:M2137)</f>
        <v/>
      </c>
    </row>
    <row r="2138">
      <c r="A2138" s="5">
        <f>IF(AND(C2138&gt;=Options!$B$9,C2138&lt;=Options!$B$10),"Phoenix","")</f>
        <v/>
      </c>
      <c r="B2138" s="5">
        <f>IF(A2138="","",24)</f>
        <v/>
      </c>
      <c r="C2138" s="17" t="n">
        <v>46604</v>
      </c>
      <c r="D2138" s="5">
        <f>IF(A2138="","",IF(C2138=DATE(2026,11,29),"培训；注册午餐；早餐参数",IF(C2138=DATE(2026,11,30),"培训；注册午餐",IF(C2138=DATE(2026,12,1),"培训；注册午餐；机构晚餐",IF(C2138=Options!$B$9,"抵达；"&amp;IF(C2138=DATE(2026,11,28),"机构晚餐","无统一供餐"),IF(C2138=Options!$B$10,"返程；"&amp;IF(C2138=DATE(2026,12,2),"机构午餐","无统一供餐"),"差旅状态；无统一日程"))))))</f>
        <v/>
      </c>
      <c r="E2138" s="13">
        <f>IF(C2138=Options!$B$9,Options!$C$19,0)</f>
        <v/>
      </c>
      <c r="F2138" s="13">
        <f>IF(AND(A2138&lt;&gt;"",C2138&lt;Options!$B$10),B2138*Options!$X$7,0)</f>
        <v/>
      </c>
      <c r="G2138" s="13">
        <f>F2138*12%</f>
        <v/>
      </c>
      <c r="H2138" s="13">
        <f>IF(A2138="",0,B2138*(86*IF(OR(C2138=Options!$B$9,C2138=Options!$B$10),75%,100%)-IF(C2138=DATE(2026,11,29),23+IF(Options!$B$8="是",22,0),0)-IF(C2138=DATE(2026,11,30),23,0)-IF(C2138=DATE(2026,12,1),59,0)-IF(C2138=DATE(2026,11,28),36,0)-IF(C2138=DATE(2026,12,2),23,0)))</f>
        <v/>
      </c>
      <c r="I2138" s="13">
        <f>IF(AND(C2138&gt;=DATE(2026,11,29),C2138&lt;=DATE(2026,12,1)),B2138*60,0)</f>
        <v/>
      </c>
      <c r="J2138" s="13">
        <f>IF(A2138="",0,B2138*(IF(C2138=DATE(2026,11,28),36,0)+IF(C2138=DATE(2026,12,1),36,0)+IF(C2138=DATE(2026,12,2),23,0)))</f>
        <v/>
      </c>
      <c r="K2138" s="13">
        <f>IF(C2138=Options!$B$9,B2138*12,0)</f>
        <v/>
      </c>
      <c r="L2138" s="13">
        <f>IF(C2138=Options!$B$9,B2138*Options!$Z$7,0)</f>
        <v/>
      </c>
      <c r="M2138" s="13" t="n">
        <v>0</v>
      </c>
      <c r="N2138" s="13">
        <f>SUM(E2138:M2138)</f>
        <v/>
      </c>
    </row>
    <row r="2139">
      <c r="A2139" s="5">
        <f>IF(AND(C2139&gt;=Options!$B$9,C2139&lt;=Options!$B$10),"Phoenix","")</f>
        <v/>
      </c>
      <c r="B2139" s="5">
        <f>IF(A2139="","",24)</f>
        <v/>
      </c>
      <c r="C2139" s="17" t="n">
        <v>46605</v>
      </c>
      <c r="D2139" s="5">
        <f>IF(A2139="","",IF(C2139=DATE(2026,11,29),"培训；注册午餐；早餐参数",IF(C2139=DATE(2026,11,30),"培训；注册午餐",IF(C2139=DATE(2026,12,1),"培训；注册午餐；机构晚餐",IF(C2139=Options!$B$9,"抵达；"&amp;IF(C2139=DATE(2026,11,28),"机构晚餐","无统一供餐"),IF(C2139=Options!$B$10,"返程；"&amp;IF(C2139=DATE(2026,12,2),"机构午餐","无统一供餐"),"差旅状态；无统一日程"))))))</f>
        <v/>
      </c>
      <c r="E2139" s="13">
        <f>IF(C2139=Options!$B$9,Options!$C$19,0)</f>
        <v/>
      </c>
      <c r="F2139" s="13">
        <f>IF(AND(A2139&lt;&gt;"",C2139&lt;Options!$B$10),B2139*Options!$X$7,0)</f>
        <v/>
      </c>
      <c r="G2139" s="13">
        <f>F2139*12%</f>
        <v/>
      </c>
      <c r="H2139" s="13">
        <f>IF(A2139="",0,B2139*(86*IF(OR(C2139=Options!$B$9,C2139=Options!$B$10),75%,100%)-IF(C2139=DATE(2026,11,29),23+IF(Options!$B$8="是",22,0),0)-IF(C2139=DATE(2026,11,30),23,0)-IF(C2139=DATE(2026,12,1),59,0)-IF(C2139=DATE(2026,11,28),36,0)-IF(C2139=DATE(2026,12,2),23,0)))</f>
        <v/>
      </c>
      <c r="I2139" s="13">
        <f>IF(AND(C2139&gt;=DATE(2026,11,29),C2139&lt;=DATE(2026,12,1)),B2139*60,0)</f>
        <v/>
      </c>
      <c r="J2139" s="13">
        <f>IF(A2139="",0,B2139*(IF(C2139=DATE(2026,11,28),36,0)+IF(C2139=DATE(2026,12,1),36,0)+IF(C2139=DATE(2026,12,2),23,0)))</f>
        <v/>
      </c>
      <c r="K2139" s="13">
        <f>IF(C2139=Options!$B$9,B2139*12,0)</f>
        <v/>
      </c>
      <c r="L2139" s="13">
        <f>IF(C2139=Options!$B$9,B2139*Options!$Z$7,0)</f>
        <v/>
      </c>
      <c r="M2139" s="13" t="n">
        <v>0</v>
      </c>
      <c r="N2139" s="13">
        <f>SUM(E2139:M2139)</f>
        <v/>
      </c>
    </row>
    <row r="2140">
      <c r="A2140" s="5">
        <f>IF(AND(C2140&gt;=Options!$B$9,C2140&lt;=Options!$B$10),"Phoenix","")</f>
        <v/>
      </c>
      <c r="B2140" s="5">
        <f>IF(A2140="","",24)</f>
        <v/>
      </c>
      <c r="C2140" s="17" t="n">
        <v>46606</v>
      </c>
      <c r="D2140" s="5">
        <f>IF(A2140="","",IF(C2140=DATE(2026,11,29),"培训；注册午餐；早餐参数",IF(C2140=DATE(2026,11,30),"培训；注册午餐",IF(C2140=DATE(2026,12,1),"培训；注册午餐；机构晚餐",IF(C2140=Options!$B$9,"抵达；"&amp;IF(C2140=DATE(2026,11,28),"机构晚餐","无统一供餐"),IF(C2140=Options!$B$10,"返程；"&amp;IF(C2140=DATE(2026,12,2),"机构午餐","无统一供餐"),"差旅状态；无统一日程"))))))</f>
        <v/>
      </c>
      <c r="E2140" s="13">
        <f>IF(C2140=Options!$B$9,Options!$C$19,0)</f>
        <v/>
      </c>
      <c r="F2140" s="13">
        <f>IF(AND(A2140&lt;&gt;"",C2140&lt;Options!$B$10),B2140*Options!$X$7,0)</f>
        <v/>
      </c>
      <c r="G2140" s="13">
        <f>F2140*12%</f>
        <v/>
      </c>
      <c r="H2140" s="13">
        <f>IF(A2140="",0,B2140*(86*IF(OR(C2140=Options!$B$9,C2140=Options!$B$10),75%,100%)-IF(C2140=DATE(2026,11,29),23+IF(Options!$B$8="是",22,0),0)-IF(C2140=DATE(2026,11,30),23,0)-IF(C2140=DATE(2026,12,1),59,0)-IF(C2140=DATE(2026,11,28),36,0)-IF(C2140=DATE(2026,12,2),23,0)))</f>
        <v/>
      </c>
      <c r="I2140" s="13">
        <f>IF(AND(C2140&gt;=DATE(2026,11,29),C2140&lt;=DATE(2026,12,1)),B2140*60,0)</f>
        <v/>
      </c>
      <c r="J2140" s="13">
        <f>IF(A2140="",0,B2140*(IF(C2140=DATE(2026,11,28),36,0)+IF(C2140=DATE(2026,12,1),36,0)+IF(C2140=DATE(2026,12,2),23,0)))</f>
        <v/>
      </c>
      <c r="K2140" s="13">
        <f>IF(C2140=Options!$B$9,B2140*12,0)</f>
        <v/>
      </c>
      <c r="L2140" s="13">
        <f>IF(C2140=Options!$B$9,B2140*Options!$Z$7,0)</f>
        <v/>
      </c>
      <c r="M2140" s="13" t="n">
        <v>0</v>
      </c>
      <c r="N2140" s="13">
        <f>SUM(E2140:M2140)</f>
        <v/>
      </c>
    </row>
    <row r="2141">
      <c r="A2141" s="5">
        <f>IF(AND(C2141&gt;=Options!$B$9,C2141&lt;=Options!$B$10),"Phoenix","")</f>
        <v/>
      </c>
      <c r="B2141" s="5">
        <f>IF(A2141="","",24)</f>
        <v/>
      </c>
      <c r="C2141" s="17" t="n">
        <v>46607</v>
      </c>
      <c r="D2141" s="5">
        <f>IF(A2141="","",IF(C2141=DATE(2026,11,29),"培训；注册午餐；早餐参数",IF(C2141=DATE(2026,11,30),"培训；注册午餐",IF(C2141=DATE(2026,12,1),"培训；注册午餐；机构晚餐",IF(C2141=Options!$B$9,"抵达；"&amp;IF(C2141=DATE(2026,11,28),"机构晚餐","无统一供餐"),IF(C2141=Options!$B$10,"返程；"&amp;IF(C2141=DATE(2026,12,2),"机构午餐","无统一供餐"),"差旅状态；无统一日程"))))))</f>
        <v/>
      </c>
      <c r="E2141" s="13">
        <f>IF(C2141=Options!$B$9,Options!$C$19,0)</f>
        <v/>
      </c>
      <c r="F2141" s="13">
        <f>IF(AND(A2141&lt;&gt;"",C2141&lt;Options!$B$10),B2141*Options!$X$7,0)</f>
        <v/>
      </c>
      <c r="G2141" s="13">
        <f>F2141*12%</f>
        <v/>
      </c>
      <c r="H2141" s="13">
        <f>IF(A2141="",0,B2141*(86*IF(OR(C2141=Options!$B$9,C2141=Options!$B$10),75%,100%)-IF(C2141=DATE(2026,11,29),23+IF(Options!$B$8="是",22,0),0)-IF(C2141=DATE(2026,11,30),23,0)-IF(C2141=DATE(2026,12,1),59,0)-IF(C2141=DATE(2026,11,28),36,0)-IF(C2141=DATE(2026,12,2),23,0)))</f>
        <v/>
      </c>
      <c r="I2141" s="13">
        <f>IF(AND(C2141&gt;=DATE(2026,11,29),C2141&lt;=DATE(2026,12,1)),B2141*60,0)</f>
        <v/>
      </c>
      <c r="J2141" s="13">
        <f>IF(A2141="",0,B2141*(IF(C2141=DATE(2026,11,28),36,0)+IF(C2141=DATE(2026,12,1),36,0)+IF(C2141=DATE(2026,12,2),23,0)))</f>
        <v/>
      </c>
      <c r="K2141" s="13">
        <f>IF(C2141=Options!$B$9,B2141*12,0)</f>
        <v/>
      </c>
      <c r="L2141" s="13">
        <f>IF(C2141=Options!$B$9,B2141*Options!$Z$7,0)</f>
        <v/>
      </c>
      <c r="M2141" s="13" t="n">
        <v>0</v>
      </c>
      <c r="N2141" s="13">
        <f>SUM(E2141:M2141)</f>
        <v/>
      </c>
    </row>
    <row r="2142">
      <c r="A2142" s="5">
        <f>IF(AND(C2142&gt;=Options!$B$9,C2142&lt;=Options!$B$10),"Phoenix","")</f>
        <v/>
      </c>
      <c r="B2142" s="5">
        <f>IF(A2142="","",24)</f>
        <v/>
      </c>
      <c r="C2142" s="17" t="n">
        <v>46608</v>
      </c>
      <c r="D2142" s="5">
        <f>IF(A2142="","",IF(C2142=DATE(2026,11,29),"培训；注册午餐；早餐参数",IF(C2142=DATE(2026,11,30),"培训；注册午餐",IF(C2142=DATE(2026,12,1),"培训；注册午餐；机构晚餐",IF(C2142=Options!$B$9,"抵达；"&amp;IF(C2142=DATE(2026,11,28),"机构晚餐","无统一供餐"),IF(C2142=Options!$B$10,"返程；"&amp;IF(C2142=DATE(2026,12,2),"机构午餐","无统一供餐"),"差旅状态；无统一日程"))))))</f>
        <v/>
      </c>
      <c r="E2142" s="13">
        <f>IF(C2142=Options!$B$9,Options!$C$19,0)</f>
        <v/>
      </c>
      <c r="F2142" s="13">
        <f>IF(AND(A2142&lt;&gt;"",C2142&lt;Options!$B$10),B2142*Options!$X$7,0)</f>
        <v/>
      </c>
      <c r="G2142" s="13">
        <f>F2142*12%</f>
        <v/>
      </c>
      <c r="H2142" s="13">
        <f>IF(A2142="",0,B2142*(86*IF(OR(C2142=Options!$B$9,C2142=Options!$B$10),75%,100%)-IF(C2142=DATE(2026,11,29),23+IF(Options!$B$8="是",22,0),0)-IF(C2142=DATE(2026,11,30),23,0)-IF(C2142=DATE(2026,12,1),59,0)-IF(C2142=DATE(2026,11,28),36,0)-IF(C2142=DATE(2026,12,2),23,0)))</f>
        <v/>
      </c>
      <c r="I2142" s="13">
        <f>IF(AND(C2142&gt;=DATE(2026,11,29),C2142&lt;=DATE(2026,12,1)),B2142*60,0)</f>
        <v/>
      </c>
      <c r="J2142" s="13">
        <f>IF(A2142="",0,B2142*(IF(C2142=DATE(2026,11,28),36,0)+IF(C2142=DATE(2026,12,1),36,0)+IF(C2142=DATE(2026,12,2),23,0)))</f>
        <v/>
      </c>
      <c r="K2142" s="13">
        <f>IF(C2142=Options!$B$9,B2142*12,0)</f>
        <v/>
      </c>
      <c r="L2142" s="13">
        <f>IF(C2142=Options!$B$9,B2142*Options!$Z$7,0)</f>
        <v/>
      </c>
      <c r="M2142" s="13" t="n">
        <v>0</v>
      </c>
      <c r="N2142" s="13">
        <f>SUM(E2142:M2142)</f>
        <v/>
      </c>
    </row>
    <row r="2143">
      <c r="A2143" s="5">
        <f>IF(AND(C2143&gt;=Options!$B$9,C2143&lt;=Options!$B$10),"Phoenix","")</f>
        <v/>
      </c>
      <c r="B2143" s="5">
        <f>IF(A2143="","",24)</f>
        <v/>
      </c>
      <c r="C2143" s="17" t="n">
        <v>46609</v>
      </c>
      <c r="D2143" s="5">
        <f>IF(A2143="","",IF(C2143=DATE(2026,11,29),"培训；注册午餐；早餐参数",IF(C2143=DATE(2026,11,30),"培训；注册午餐",IF(C2143=DATE(2026,12,1),"培训；注册午餐；机构晚餐",IF(C2143=Options!$B$9,"抵达；"&amp;IF(C2143=DATE(2026,11,28),"机构晚餐","无统一供餐"),IF(C2143=Options!$B$10,"返程；"&amp;IF(C2143=DATE(2026,12,2),"机构午餐","无统一供餐"),"差旅状态；无统一日程"))))))</f>
        <v/>
      </c>
      <c r="E2143" s="13">
        <f>IF(C2143=Options!$B$9,Options!$C$19,0)</f>
        <v/>
      </c>
      <c r="F2143" s="13">
        <f>IF(AND(A2143&lt;&gt;"",C2143&lt;Options!$B$10),B2143*Options!$X$7,0)</f>
        <v/>
      </c>
      <c r="G2143" s="13">
        <f>F2143*12%</f>
        <v/>
      </c>
      <c r="H2143" s="13">
        <f>IF(A2143="",0,B2143*(86*IF(OR(C2143=Options!$B$9,C2143=Options!$B$10),75%,100%)-IF(C2143=DATE(2026,11,29),23+IF(Options!$B$8="是",22,0),0)-IF(C2143=DATE(2026,11,30),23,0)-IF(C2143=DATE(2026,12,1),59,0)-IF(C2143=DATE(2026,11,28),36,0)-IF(C2143=DATE(2026,12,2),23,0)))</f>
        <v/>
      </c>
      <c r="I2143" s="13">
        <f>IF(AND(C2143&gt;=DATE(2026,11,29),C2143&lt;=DATE(2026,12,1)),B2143*60,0)</f>
        <v/>
      </c>
      <c r="J2143" s="13">
        <f>IF(A2143="",0,B2143*(IF(C2143=DATE(2026,11,28),36,0)+IF(C2143=DATE(2026,12,1),36,0)+IF(C2143=DATE(2026,12,2),23,0)))</f>
        <v/>
      </c>
      <c r="K2143" s="13">
        <f>IF(C2143=Options!$B$9,B2143*12,0)</f>
        <v/>
      </c>
      <c r="L2143" s="13">
        <f>IF(C2143=Options!$B$9,B2143*Options!$Z$7,0)</f>
        <v/>
      </c>
      <c r="M2143" s="13" t="n">
        <v>0</v>
      </c>
      <c r="N2143" s="13">
        <f>SUM(E2143:M2143)</f>
        <v/>
      </c>
    </row>
    <row r="2144">
      <c r="A2144" s="5">
        <f>IF(AND(C2144&gt;=Options!$B$9,C2144&lt;=Options!$B$10),"Phoenix","")</f>
        <v/>
      </c>
      <c r="B2144" s="5">
        <f>IF(A2144="","",24)</f>
        <v/>
      </c>
      <c r="C2144" s="17" t="n">
        <v>46610</v>
      </c>
      <c r="D2144" s="5">
        <f>IF(A2144="","",IF(C2144=DATE(2026,11,29),"培训；注册午餐；早餐参数",IF(C2144=DATE(2026,11,30),"培训；注册午餐",IF(C2144=DATE(2026,12,1),"培训；注册午餐；机构晚餐",IF(C2144=Options!$B$9,"抵达；"&amp;IF(C2144=DATE(2026,11,28),"机构晚餐","无统一供餐"),IF(C2144=Options!$B$10,"返程；"&amp;IF(C2144=DATE(2026,12,2),"机构午餐","无统一供餐"),"差旅状态；无统一日程"))))))</f>
        <v/>
      </c>
      <c r="E2144" s="13">
        <f>IF(C2144=Options!$B$9,Options!$C$19,0)</f>
        <v/>
      </c>
      <c r="F2144" s="13">
        <f>IF(AND(A2144&lt;&gt;"",C2144&lt;Options!$B$10),B2144*Options!$X$7,0)</f>
        <v/>
      </c>
      <c r="G2144" s="13">
        <f>F2144*12%</f>
        <v/>
      </c>
      <c r="H2144" s="13">
        <f>IF(A2144="",0,B2144*(86*IF(OR(C2144=Options!$B$9,C2144=Options!$B$10),75%,100%)-IF(C2144=DATE(2026,11,29),23+IF(Options!$B$8="是",22,0),0)-IF(C2144=DATE(2026,11,30),23,0)-IF(C2144=DATE(2026,12,1),59,0)-IF(C2144=DATE(2026,11,28),36,0)-IF(C2144=DATE(2026,12,2),23,0)))</f>
        <v/>
      </c>
      <c r="I2144" s="13">
        <f>IF(AND(C2144&gt;=DATE(2026,11,29),C2144&lt;=DATE(2026,12,1)),B2144*60,0)</f>
        <v/>
      </c>
      <c r="J2144" s="13">
        <f>IF(A2144="",0,B2144*(IF(C2144=DATE(2026,11,28),36,0)+IF(C2144=DATE(2026,12,1),36,0)+IF(C2144=DATE(2026,12,2),23,0)))</f>
        <v/>
      </c>
      <c r="K2144" s="13">
        <f>IF(C2144=Options!$B$9,B2144*12,0)</f>
        <v/>
      </c>
      <c r="L2144" s="13">
        <f>IF(C2144=Options!$B$9,B2144*Options!$Z$7,0)</f>
        <v/>
      </c>
      <c r="M2144" s="13" t="n">
        <v>0</v>
      </c>
      <c r="N2144" s="13">
        <f>SUM(E2144:M2144)</f>
        <v/>
      </c>
    </row>
    <row r="2145">
      <c r="A2145" s="5">
        <f>IF(AND(C2145&gt;=Options!$B$9,C2145&lt;=Options!$B$10),"Phoenix","")</f>
        <v/>
      </c>
      <c r="B2145" s="5">
        <f>IF(A2145="","",24)</f>
        <v/>
      </c>
      <c r="C2145" s="17" t="n">
        <v>46611</v>
      </c>
      <c r="D2145" s="5">
        <f>IF(A2145="","",IF(C2145=DATE(2026,11,29),"培训；注册午餐；早餐参数",IF(C2145=DATE(2026,11,30),"培训；注册午餐",IF(C2145=DATE(2026,12,1),"培训；注册午餐；机构晚餐",IF(C2145=Options!$B$9,"抵达；"&amp;IF(C2145=DATE(2026,11,28),"机构晚餐","无统一供餐"),IF(C2145=Options!$B$10,"返程；"&amp;IF(C2145=DATE(2026,12,2),"机构午餐","无统一供餐"),"差旅状态；无统一日程"))))))</f>
        <v/>
      </c>
      <c r="E2145" s="13">
        <f>IF(C2145=Options!$B$9,Options!$C$19,0)</f>
        <v/>
      </c>
      <c r="F2145" s="13">
        <f>IF(AND(A2145&lt;&gt;"",C2145&lt;Options!$B$10),B2145*Options!$X$7,0)</f>
        <v/>
      </c>
      <c r="G2145" s="13">
        <f>F2145*12%</f>
        <v/>
      </c>
      <c r="H2145" s="13">
        <f>IF(A2145="",0,B2145*(86*IF(OR(C2145=Options!$B$9,C2145=Options!$B$10),75%,100%)-IF(C2145=DATE(2026,11,29),23+IF(Options!$B$8="是",22,0),0)-IF(C2145=DATE(2026,11,30),23,0)-IF(C2145=DATE(2026,12,1),59,0)-IF(C2145=DATE(2026,11,28),36,0)-IF(C2145=DATE(2026,12,2),23,0)))</f>
        <v/>
      </c>
      <c r="I2145" s="13">
        <f>IF(AND(C2145&gt;=DATE(2026,11,29),C2145&lt;=DATE(2026,12,1)),B2145*60,0)</f>
        <v/>
      </c>
      <c r="J2145" s="13">
        <f>IF(A2145="",0,B2145*(IF(C2145=DATE(2026,11,28),36,0)+IF(C2145=DATE(2026,12,1),36,0)+IF(C2145=DATE(2026,12,2),23,0)))</f>
        <v/>
      </c>
      <c r="K2145" s="13">
        <f>IF(C2145=Options!$B$9,B2145*12,0)</f>
        <v/>
      </c>
      <c r="L2145" s="13">
        <f>IF(C2145=Options!$B$9,B2145*Options!$Z$7,0)</f>
        <v/>
      </c>
      <c r="M2145" s="13" t="n">
        <v>0</v>
      </c>
      <c r="N2145" s="13">
        <f>SUM(E2145:M2145)</f>
        <v/>
      </c>
    </row>
    <row r="2146">
      <c r="A2146" s="5">
        <f>IF(AND(C2146&gt;=Options!$B$9,C2146&lt;=Options!$B$10),"Phoenix","")</f>
        <v/>
      </c>
      <c r="B2146" s="5">
        <f>IF(A2146="","",24)</f>
        <v/>
      </c>
      <c r="C2146" s="17" t="n">
        <v>46612</v>
      </c>
      <c r="D2146" s="5">
        <f>IF(A2146="","",IF(C2146=DATE(2026,11,29),"培训；注册午餐；早餐参数",IF(C2146=DATE(2026,11,30),"培训；注册午餐",IF(C2146=DATE(2026,12,1),"培训；注册午餐；机构晚餐",IF(C2146=Options!$B$9,"抵达；"&amp;IF(C2146=DATE(2026,11,28),"机构晚餐","无统一供餐"),IF(C2146=Options!$B$10,"返程；"&amp;IF(C2146=DATE(2026,12,2),"机构午餐","无统一供餐"),"差旅状态；无统一日程"))))))</f>
        <v/>
      </c>
      <c r="E2146" s="13">
        <f>IF(C2146=Options!$B$9,Options!$C$19,0)</f>
        <v/>
      </c>
      <c r="F2146" s="13">
        <f>IF(AND(A2146&lt;&gt;"",C2146&lt;Options!$B$10),B2146*Options!$X$7,0)</f>
        <v/>
      </c>
      <c r="G2146" s="13">
        <f>F2146*12%</f>
        <v/>
      </c>
      <c r="H2146" s="13">
        <f>IF(A2146="",0,B2146*(86*IF(OR(C2146=Options!$B$9,C2146=Options!$B$10),75%,100%)-IF(C2146=DATE(2026,11,29),23+IF(Options!$B$8="是",22,0),0)-IF(C2146=DATE(2026,11,30),23,0)-IF(C2146=DATE(2026,12,1),59,0)-IF(C2146=DATE(2026,11,28),36,0)-IF(C2146=DATE(2026,12,2),23,0)))</f>
        <v/>
      </c>
      <c r="I2146" s="13">
        <f>IF(AND(C2146&gt;=DATE(2026,11,29),C2146&lt;=DATE(2026,12,1)),B2146*60,0)</f>
        <v/>
      </c>
      <c r="J2146" s="13">
        <f>IF(A2146="",0,B2146*(IF(C2146=DATE(2026,11,28),36,0)+IF(C2146=DATE(2026,12,1),36,0)+IF(C2146=DATE(2026,12,2),23,0)))</f>
        <v/>
      </c>
      <c r="K2146" s="13">
        <f>IF(C2146=Options!$B$9,B2146*12,0)</f>
        <v/>
      </c>
      <c r="L2146" s="13">
        <f>IF(C2146=Options!$B$9,B2146*Options!$Z$7,0)</f>
        <v/>
      </c>
      <c r="M2146" s="13" t="n">
        <v>0</v>
      </c>
      <c r="N2146" s="13">
        <f>SUM(E2146:M2146)</f>
        <v/>
      </c>
    </row>
    <row r="2147">
      <c r="A2147" s="5">
        <f>IF(AND(C2147&gt;=Options!$B$9,C2147&lt;=Options!$B$10),"Phoenix","")</f>
        <v/>
      </c>
      <c r="B2147" s="5">
        <f>IF(A2147="","",24)</f>
        <v/>
      </c>
      <c r="C2147" s="17" t="n">
        <v>46613</v>
      </c>
      <c r="D2147" s="5">
        <f>IF(A2147="","",IF(C2147=DATE(2026,11,29),"培训；注册午餐；早餐参数",IF(C2147=DATE(2026,11,30),"培训；注册午餐",IF(C2147=DATE(2026,12,1),"培训；注册午餐；机构晚餐",IF(C2147=Options!$B$9,"抵达；"&amp;IF(C2147=DATE(2026,11,28),"机构晚餐","无统一供餐"),IF(C2147=Options!$B$10,"返程；"&amp;IF(C2147=DATE(2026,12,2),"机构午餐","无统一供餐"),"差旅状态；无统一日程"))))))</f>
        <v/>
      </c>
      <c r="E2147" s="13">
        <f>IF(C2147=Options!$B$9,Options!$C$19,0)</f>
        <v/>
      </c>
      <c r="F2147" s="13">
        <f>IF(AND(A2147&lt;&gt;"",C2147&lt;Options!$B$10),B2147*Options!$X$7,0)</f>
        <v/>
      </c>
      <c r="G2147" s="13">
        <f>F2147*12%</f>
        <v/>
      </c>
      <c r="H2147" s="13">
        <f>IF(A2147="",0,B2147*(86*IF(OR(C2147=Options!$B$9,C2147=Options!$B$10),75%,100%)-IF(C2147=DATE(2026,11,29),23+IF(Options!$B$8="是",22,0),0)-IF(C2147=DATE(2026,11,30),23,0)-IF(C2147=DATE(2026,12,1),59,0)-IF(C2147=DATE(2026,11,28),36,0)-IF(C2147=DATE(2026,12,2),23,0)))</f>
        <v/>
      </c>
      <c r="I2147" s="13">
        <f>IF(AND(C2147&gt;=DATE(2026,11,29),C2147&lt;=DATE(2026,12,1)),B2147*60,0)</f>
        <v/>
      </c>
      <c r="J2147" s="13">
        <f>IF(A2147="",0,B2147*(IF(C2147=DATE(2026,11,28),36,0)+IF(C2147=DATE(2026,12,1),36,0)+IF(C2147=DATE(2026,12,2),23,0)))</f>
        <v/>
      </c>
      <c r="K2147" s="13">
        <f>IF(C2147=Options!$B$9,B2147*12,0)</f>
        <v/>
      </c>
      <c r="L2147" s="13">
        <f>IF(C2147=Options!$B$9,B2147*Options!$Z$7,0)</f>
        <v/>
      </c>
      <c r="M2147" s="13" t="n">
        <v>0</v>
      </c>
      <c r="N2147" s="13">
        <f>SUM(E2147:M2147)</f>
        <v/>
      </c>
    </row>
    <row r="2148">
      <c r="A2148" s="5">
        <f>IF(AND(C2148&gt;=Options!$B$9,C2148&lt;=Options!$B$10),"Phoenix","")</f>
        <v/>
      </c>
      <c r="B2148" s="5">
        <f>IF(A2148="","",24)</f>
        <v/>
      </c>
      <c r="C2148" s="17" t="n">
        <v>46614</v>
      </c>
      <c r="D2148" s="5">
        <f>IF(A2148="","",IF(C2148=DATE(2026,11,29),"培训；注册午餐；早餐参数",IF(C2148=DATE(2026,11,30),"培训；注册午餐",IF(C2148=DATE(2026,12,1),"培训；注册午餐；机构晚餐",IF(C2148=Options!$B$9,"抵达；"&amp;IF(C2148=DATE(2026,11,28),"机构晚餐","无统一供餐"),IF(C2148=Options!$B$10,"返程；"&amp;IF(C2148=DATE(2026,12,2),"机构午餐","无统一供餐"),"差旅状态；无统一日程"))))))</f>
        <v/>
      </c>
      <c r="E2148" s="13">
        <f>IF(C2148=Options!$B$9,Options!$C$19,0)</f>
        <v/>
      </c>
      <c r="F2148" s="13">
        <f>IF(AND(A2148&lt;&gt;"",C2148&lt;Options!$B$10),B2148*Options!$X$7,0)</f>
        <v/>
      </c>
      <c r="G2148" s="13">
        <f>F2148*12%</f>
        <v/>
      </c>
      <c r="H2148" s="13">
        <f>IF(A2148="",0,B2148*(86*IF(OR(C2148=Options!$B$9,C2148=Options!$B$10),75%,100%)-IF(C2148=DATE(2026,11,29),23+IF(Options!$B$8="是",22,0),0)-IF(C2148=DATE(2026,11,30),23,0)-IF(C2148=DATE(2026,12,1),59,0)-IF(C2148=DATE(2026,11,28),36,0)-IF(C2148=DATE(2026,12,2),23,0)))</f>
        <v/>
      </c>
      <c r="I2148" s="13">
        <f>IF(AND(C2148&gt;=DATE(2026,11,29),C2148&lt;=DATE(2026,12,1)),B2148*60,0)</f>
        <v/>
      </c>
      <c r="J2148" s="13">
        <f>IF(A2148="",0,B2148*(IF(C2148=DATE(2026,11,28),36,0)+IF(C2148=DATE(2026,12,1),36,0)+IF(C2148=DATE(2026,12,2),23,0)))</f>
        <v/>
      </c>
      <c r="K2148" s="13">
        <f>IF(C2148=Options!$B$9,B2148*12,0)</f>
        <v/>
      </c>
      <c r="L2148" s="13">
        <f>IF(C2148=Options!$B$9,B2148*Options!$Z$7,0)</f>
        <v/>
      </c>
      <c r="M2148" s="13" t="n">
        <v>0</v>
      </c>
      <c r="N2148" s="13">
        <f>SUM(E2148:M2148)</f>
        <v/>
      </c>
    </row>
    <row r="2149">
      <c r="A2149" s="5">
        <f>IF(AND(C2149&gt;=Options!$B$9,C2149&lt;=Options!$B$10),"Phoenix","")</f>
        <v/>
      </c>
      <c r="B2149" s="5">
        <f>IF(A2149="","",24)</f>
        <v/>
      </c>
      <c r="C2149" s="17" t="n">
        <v>46615</v>
      </c>
      <c r="D2149" s="5">
        <f>IF(A2149="","",IF(C2149=DATE(2026,11,29),"培训；注册午餐；早餐参数",IF(C2149=DATE(2026,11,30),"培训；注册午餐",IF(C2149=DATE(2026,12,1),"培训；注册午餐；机构晚餐",IF(C2149=Options!$B$9,"抵达；"&amp;IF(C2149=DATE(2026,11,28),"机构晚餐","无统一供餐"),IF(C2149=Options!$B$10,"返程；"&amp;IF(C2149=DATE(2026,12,2),"机构午餐","无统一供餐"),"差旅状态；无统一日程"))))))</f>
        <v/>
      </c>
      <c r="E2149" s="13">
        <f>IF(C2149=Options!$B$9,Options!$C$19,0)</f>
        <v/>
      </c>
      <c r="F2149" s="13">
        <f>IF(AND(A2149&lt;&gt;"",C2149&lt;Options!$B$10),B2149*Options!$X$7,0)</f>
        <v/>
      </c>
      <c r="G2149" s="13">
        <f>F2149*12%</f>
        <v/>
      </c>
      <c r="H2149" s="13">
        <f>IF(A2149="",0,B2149*(86*IF(OR(C2149=Options!$B$9,C2149=Options!$B$10),75%,100%)-IF(C2149=DATE(2026,11,29),23+IF(Options!$B$8="是",22,0),0)-IF(C2149=DATE(2026,11,30),23,0)-IF(C2149=DATE(2026,12,1),59,0)-IF(C2149=DATE(2026,11,28),36,0)-IF(C2149=DATE(2026,12,2),23,0)))</f>
        <v/>
      </c>
      <c r="I2149" s="13">
        <f>IF(AND(C2149&gt;=DATE(2026,11,29),C2149&lt;=DATE(2026,12,1)),B2149*60,0)</f>
        <v/>
      </c>
      <c r="J2149" s="13">
        <f>IF(A2149="",0,B2149*(IF(C2149=DATE(2026,11,28),36,0)+IF(C2149=DATE(2026,12,1),36,0)+IF(C2149=DATE(2026,12,2),23,0)))</f>
        <v/>
      </c>
      <c r="K2149" s="13">
        <f>IF(C2149=Options!$B$9,B2149*12,0)</f>
        <v/>
      </c>
      <c r="L2149" s="13">
        <f>IF(C2149=Options!$B$9,B2149*Options!$Z$7,0)</f>
        <v/>
      </c>
      <c r="M2149" s="13" t="n">
        <v>0</v>
      </c>
      <c r="N2149" s="13">
        <f>SUM(E2149:M2149)</f>
        <v/>
      </c>
    </row>
    <row r="2150">
      <c r="A2150" s="5">
        <f>IF(AND(C2150&gt;=Options!$B$9,C2150&lt;=Options!$B$10),"Phoenix","")</f>
        <v/>
      </c>
      <c r="B2150" s="5">
        <f>IF(A2150="","",24)</f>
        <v/>
      </c>
      <c r="C2150" s="17" t="n">
        <v>46616</v>
      </c>
      <c r="D2150" s="5">
        <f>IF(A2150="","",IF(C2150=DATE(2026,11,29),"培训；注册午餐；早餐参数",IF(C2150=DATE(2026,11,30),"培训；注册午餐",IF(C2150=DATE(2026,12,1),"培训；注册午餐；机构晚餐",IF(C2150=Options!$B$9,"抵达；"&amp;IF(C2150=DATE(2026,11,28),"机构晚餐","无统一供餐"),IF(C2150=Options!$B$10,"返程；"&amp;IF(C2150=DATE(2026,12,2),"机构午餐","无统一供餐"),"差旅状态；无统一日程"))))))</f>
        <v/>
      </c>
      <c r="E2150" s="13">
        <f>IF(C2150=Options!$B$9,Options!$C$19,0)</f>
        <v/>
      </c>
      <c r="F2150" s="13">
        <f>IF(AND(A2150&lt;&gt;"",C2150&lt;Options!$B$10),B2150*Options!$X$7,0)</f>
        <v/>
      </c>
      <c r="G2150" s="13">
        <f>F2150*12%</f>
        <v/>
      </c>
      <c r="H2150" s="13">
        <f>IF(A2150="",0,B2150*(86*IF(OR(C2150=Options!$B$9,C2150=Options!$B$10),75%,100%)-IF(C2150=DATE(2026,11,29),23+IF(Options!$B$8="是",22,0),0)-IF(C2150=DATE(2026,11,30),23,0)-IF(C2150=DATE(2026,12,1),59,0)-IF(C2150=DATE(2026,11,28),36,0)-IF(C2150=DATE(2026,12,2),23,0)))</f>
        <v/>
      </c>
      <c r="I2150" s="13">
        <f>IF(AND(C2150&gt;=DATE(2026,11,29),C2150&lt;=DATE(2026,12,1)),B2150*60,0)</f>
        <v/>
      </c>
      <c r="J2150" s="13">
        <f>IF(A2150="",0,B2150*(IF(C2150=DATE(2026,11,28),36,0)+IF(C2150=DATE(2026,12,1),36,0)+IF(C2150=DATE(2026,12,2),23,0)))</f>
        <v/>
      </c>
      <c r="K2150" s="13">
        <f>IF(C2150=Options!$B$9,B2150*12,0)</f>
        <v/>
      </c>
      <c r="L2150" s="13">
        <f>IF(C2150=Options!$B$9,B2150*Options!$Z$7,0)</f>
        <v/>
      </c>
      <c r="M2150" s="13" t="n">
        <v>0</v>
      </c>
      <c r="N2150" s="13">
        <f>SUM(E2150:M2150)</f>
        <v/>
      </c>
    </row>
    <row r="2151">
      <c r="A2151" s="5">
        <f>IF(AND(C2151&gt;=Options!$B$9,C2151&lt;=Options!$B$10),"Phoenix","")</f>
        <v/>
      </c>
      <c r="B2151" s="5">
        <f>IF(A2151="","",24)</f>
        <v/>
      </c>
      <c r="C2151" s="17" t="n">
        <v>46617</v>
      </c>
      <c r="D2151" s="5">
        <f>IF(A2151="","",IF(C2151=DATE(2026,11,29),"培训；注册午餐；早餐参数",IF(C2151=DATE(2026,11,30),"培训；注册午餐",IF(C2151=DATE(2026,12,1),"培训；注册午餐；机构晚餐",IF(C2151=Options!$B$9,"抵达；"&amp;IF(C2151=DATE(2026,11,28),"机构晚餐","无统一供餐"),IF(C2151=Options!$B$10,"返程；"&amp;IF(C2151=DATE(2026,12,2),"机构午餐","无统一供餐"),"差旅状态；无统一日程"))))))</f>
        <v/>
      </c>
      <c r="E2151" s="13">
        <f>IF(C2151=Options!$B$9,Options!$C$19,0)</f>
        <v/>
      </c>
      <c r="F2151" s="13">
        <f>IF(AND(A2151&lt;&gt;"",C2151&lt;Options!$B$10),B2151*Options!$X$7,0)</f>
        <v/>
      </c>
      <c r="G2151" s="13">
        <f>F2151*12%</f>
        <v/>
      </c>
      <c r="H2151" s="13">
        <f>IF(A2151="",0,B2151*(86*IF(OR(C2151=Options!$B$9,C2151=Options!$B$10),75%,100%)-IF(C2151=DATE(2026,11,29),23+IF(Options!$B$8="是",22,0),0)-IF(C2151=DATE(2026,11,30),23,0)-IF(C2151=DATE(2026,12,1),59,0)-IF(C2151=DATE(2026,11,28),36,0)-IF(C2151=DATE(2026,12,2),23,0)))</f>
        <v/>
      </c>
      <c r="I2151" s="13">
        <f>IF(AND(C2151&gt;=DATE(2026,11,29),C2151&lt;=DATE(2026,12,1)),B2151*60,0)</f>
        <v/>
      </c>
      <c r="J2151" s="13">
        <f>IF(A2151="",0,B2151*(IF(C2151=DATE(2026,11,28),36,0)+IF(C2151=DATE(2026,12,1),36,0)+IF(C2151=DATE(2026,12,2),23,0)))</f>
        <v/>
      </c>
      <c r="K2151" s="13">
        <f>IF(C2151=Options!$B$9,B2151*12,0)</f>
        <v/>
      </c>
      <c r="L2151" s="13">
        <f>IF(C2151=Options!$B$9,B2151*Options!$Z$7,0)</f>
        <v/>
      </c>
      <c r="M2151" s="13" t="n">
        <v>0</v>
      </c>
      <c r="N2151" s="13">
        <f>SUM(E2151:M2151)</f>
        <v/>
      </c>
    </row>
    <row r="2152">
      <c r="A2152" s="5">
        <f>IF(AND(C2152&gt;=Options!$B$9,C2152&lt;=Options!$B$10),"Phoenix","")</f>
        <v/>
      </c>
      <c r="B2152" s="5">
        <f>IF(A2152="","",24)</f>
        <v/>
      </c>
      <c r="C2152" s="17" t="n">
        <v>46618</v>
      </c>
      <c r="D2152" s="5">
        <f>IF(A2152="","",IF(C2152=DATE(2026,11,29),"培训；注册午餐；早餐参数",IF(C2152=DATE(2026,11,30),"培训；注册午餐",IF(C2152=DATE(2026,12,1),"培训；注册午餐；机构晚餐",IF(C2152=Options!$B$9,"抵达；"&amp;IF(C2152=DATE(2026,11,28),"机构晚餐","无统一供餐"),IF(C2152=Options!$B$10,"返程；"&amp;IF(C2152=DATE(2026,12,2),"机构午餐","无统一供餐"),"差旅状态；无统一日程"))))))</f>
        <v/>
      </c>
      <c r="E2152" s="13">
        <f>IF(C2152=Options!$B$9,Options!$C$19,0)</f>
        <v/>
      </c>
      <c r="F2152" s="13">
        <f>IF(AND(A2152&lt;&gt;"",C2152&lt;Options!$B$10),B2152*Options!$X$7,0)</f>
        <v/>
      </c>
      <c r="G2152" s="13">
        <f>F2152*12%</f>
        <v/>
      </c>
      <c r="H2152" s="13">
        <f>IF(A2152="",0,B2152*(86*IF(OR(C2152=Options!$B$9,C2152=Options!$B$10),75%,100%)-IF(C2152=DATE(2026,11,29),23+IF(Options!$B$8="是",22,0),0)-IF(C2152=DATE(2026,11,30),23,0)-IF(C2152=DATE(2026,12,1),59,0)-IF(C2152=DATE(2026,11,28),36,0)-IF(C2152=DATE(2026,12,2),23,0)))</f>
        <v/>
      </c>
      <c r="I2152" s="13">
        <f>IF(AND(C2152&gt;=DATE(2026,11,29),C2152&lt;=DATE(2026,12,1)),B2152*60,0)</f>
        <v/>
      </c>
      <c r="J2152" s="13">
        <f>IF(A2152="",0,B2152*(IF(C2152=DATE(2026,11,28),36,0)+IF(C2152=DATE(2026,12,1),36,0)+IF(C2152=DATE(2026,12,2),23,0)))</f>
        <v/>
      </c>
      <c r="K2152" s="13">
        <f>IF(C2152=Options!$B$9,B2152*12,0)</f>
        <v/>
      </c>
      <c r="L2152" s="13">
        <f>IF(C2152=Options!$B$9,B2152*Options!$Z$7,0)</f>
        <v/>
      </c>
      <c r="M2152" s="13" t="n">
        <v>0</v>
      </c>
      <c r="N2152" s="13">
        <f>SUM(E2152:M2152)</f>
        <v/>
      </c>
    </row>
    <row r="2153">
      <c r="A2153" s="5">
        <f>IF(AND(C2153&gt;=Options!$B$9,C2153&lt;=Options!$B$10),"Phoenix","")</f>
        <v/>
      </c>
      <c r="B2153" s="5">
        <f>IF(A2153="","",24)</f>
        <v/>
      </c>
      <c r="C2153" s="17" t="n">
        <v>46619</v>
      </c>
      <c r="D2153" s="5">
        <f>IF(A2153="","",IF(C2153=DATE(2026,11,29),"培训；注册午餐；早餐参数",IF(C2153=DATE(2026,11,30),"培训；注册午餐",IF(C2153=DATE(2026,12,1),"培训；注册午餐；机构晚餐",IF(C2153=Options!$B$9,"抵达；"&amp;IF(C2153=DATE(2026,11,28),"机构晚餐","无统一供餐"),IF(C2153=Options!$B$10,"返程；"&amp;IF(C2153=DATE(2026,12,2),"机构午餐","无统一供餐"),"差旅状态；无统一日程"))))))</f>
        <v/>
      </c>
      <c r="E2153" s="13">
        <f>IF(C2153=Options!$B$9,Options!$C$19,0)</f>
        <v/>
      </c>
      <c r="F2153" s="13">
        <f>IF(AND(A2153&lt;&gt;"",C2153&lt;Options!$B$10),B2153*Options!$X$7,0)</f>
        <v/>
      </c>
      <c r="G2153" s="13">
        <f>F2153*12%</f>
        <v/>
      </c>
      <c r="H2153" s="13">
        <f>IF(A2153="",0,B2153*(86*IF(OR(C2153=Options!$B$9,C2153=Options!$B$10),75%,100%)-IF(C2153=DATE(2026,11,29),23+IF(Options!$B$8="是",22,0),0)-IF(C2153=DATE(2026,11,30),23,0)-IF(C2153=DATE(2026,12,1),59,0)-IF(C2153=DATE(2026,11,28),36,0)-IF(C2153=DATE(2026,12,2),23,0)))</f>
        <v/>
      </c>
      <c r="I2153" s="13">
        <f>IF(AND(C2153&gt;=DATE(2026,11,29),C2153&lt;=DATE(2026,12,1)),B2153*60,0)</f>
        <v/>
      </c>
      <c r="J2153" s="13">
        <f>IF(A2153="",0,B2153*(IF(C2153=DATE(2026,11,28),36,0)+IF(C2153=DATE(2026,12,1),36,0)+IF(C2153=DATE(2026,12,2),23,0)))</f>
        <v/>
      </c>
      <c r="K2153" s="13">
        <f>IF(C2153=Options!$B$9,B2153*12,0)</f>
        <v/>
      </c>
      <c r="L2153" s="13">
        <f>IF(C2153=Options!$B$9,B2153*Options!$Z$7,0)</f>
        <v/>
      </c>
      <c r="M2153" s="13" t="n">
        <v>0</v>
      </c>
      <c r="N2153" s="13">
        <f>SUM(E2153:M2153)</f>
        <v/>
      </c>
    </row>
    <row r="2154">
      <c r="A2154" s="5">
        <f>IF(AND(C2154&gt;=Options!$B$9,C2154&lt;=Options!$B$10),"Phoenix","")</f>
        <v/>
      </c>
      <c r="B2154" s="5">
        <f>IF(A2154="","",24)</f>
        <v/>
      </c>
      <c r="C2154" s="17" t="n">
        <v>46620</v>
      </c>
      <c r="D2154" s="5">
        <f>IF(A2154="","",IF(C2154=DATE(2026,11,29),"培训；注册午餐；早餐参数",IF(C2154=DATE(2026,11,30),"培训；注册午餐",IF(C2154=DATE(2026,12,1),"培训；注册午餐；机构晚餐",IF(C2154=Options!$B$9,"抵达；"&amp;IF(C2154=DATE(2026,11,28),"机构晚餐","无统一供餐"),IF(C2154=Options!$B$10,"返程；"&amp;IF(C2154=DATE(2026,12,2),"机构午餐","无统一供餐"),"差旅状态；无统一日程"))))))</f>
        <v/>
      </c>
      <c r="E2154" s="13">
        <f>IF(C2154=Options!$B$9,Options!$C$19,0)</f>
        <v/>
      </c>
      <c r="F2154" s="13">
        <f>IF(AND(A2154&lt;&gt;"",C2154&lt;Options!$B$10),B2154*Options!$X$7,0)</f>
        <v/>
      </c>
      <c r="G2154" s="13">
        <f>F2154*12%</f>
        <v/>
      </c>
      <c r="H2154" s="13">
        <f>IF(A2154="",0,B2154*(86*IF(OR(C2154=Options!$B$9,C2154=Options!$B$10),75%,100%)-IF(C2154=DATE(2026,11,29),23+IF(Options!$B$8="是",22,0),0)-IF(C2154=DATE(2026,11,30),23,0)-IF(C2154=DATE(2026,12,1),59,0)-IF(C2154=DATE(2026,11,28),36,0)-IF(C2154=DATE(2026,12,2),23,0)))</f>
        <v/>
      </c>
      <c r="I2154" s="13">
        <f>IF(AND(C2154&gt;=DATE(2026,11,29),C2154&lt;=DATE(2026,12,1)),B2154*60,0)</f>
        <v/>
      </c>
      <c r="J2154" s="13">
        <f>IF(A2154="",0,B2154*(IF(C2154=DATE(2026,11,28),36,0)+IF(C2154=DATE(2026,12,1),36,0)+IF(C2154=DATE(2026,12,2),23,0)))</f>
        <v/>
      </c>
      <c r="K2154" s="13">
        <f>IF(C2154=Options!$B$9,B2154*12,0)</f>
        <v/>
      </c>
      <c r="L2154" s="13">
        <f>IF(C2154=Options!$B$9,B2154*Options!$Z$7,0)</f>
        <v/>
      </c>
      <c r="M2154" s="13" t="n">
        <v>0</v>
      </c>
      <c r="N2154" s="13">
        <f>SUM(E2154:M2154)</f>
        <v/>
      </c>
    </row>
    <row r="2155">
      <c r="A2155" s="5">
        <f>IF(AND(C2155&gt;=Options!$B$9,C2155&lt;=Options!$B$10),"Phoenix","")</f>
        <v/>
      </c>
      <c r="B2155" s="5">
        <f>IF(A2155="","",24)</f>
        <v/>
      </c>
      <c r="C2155" s="17" t="n">
        <v>46621</v>
      </c>
      <c r="D2155" s="5">
        <f>IF(A2155="","",IF(C2155=DATE(2026,11,29),"培训；注册午餐；早餐参数",IF(C2155=DATE(2026,11,30),"培训；注册午餐",IF(C2155=DATE(2026,12,1),"培训；注册午餐；机构晚餐",IF(C2155=Options!$B$9,"抵达；"&amp;IF(C2155=DATE(2026,11,28),"机构晚餐","无统一供餐"),IF(C2155=Options!$B$10,"返程；"&amp;IF(C2155=DATE(2026,12,2),"机构午餐","无统一供餐"),"差旅状态；无统一日程"))))))</f>
        <v/>
      </c>
      <c r="E2155" s="13">
        <f>IF(C2155=Options!$B$9,Options!$C$19,0)</f>
        <v/>
      </c>
      <c r="F2155" s="13">
        <f>IF(AND(A2155&lt;&gt;"",C2155&lt;Options!$B$10),B2155*Options!$X$7,0)</f>
        <v/>
      </c>
      <c r="G2155" s="13">
        <f>F2155*12%</f>
        <v/>
      </c>
      <c r="H2155" s="13">
        <f>IF(A2155="",0,B2155*(86*IF(OR(C2155=Options!$B$9,C2155=Options!$B$10),75%,100%)-IF(C2155=DATE(2026,11,29),23+IF(Options!$B$8="是",22,0),0)-IF(C2155=DATE(2026,11,30),23,0)-IF(C2155=DATE(2026,12,1),59,0)-IF(C2155=DATE(2026,11,28),36,0)-IF(C2155=DATE(2026,12,2),23,0)))</f>
        <v/>
      </c>
      <c r="I2155" s="13">
        <f>IF(AND(C2155&gt;=DATE(2026,11,29),C2155&lt;=DATE(2026,12,1)),B2155*60,0)</f>
        <v/>
      </c>
      <c r="J2155" s="13">
        <f>IF(A2155="",0,B2155*(IF(C2155=DATE(2026,11,28),36,0)+IF(C2155=DATE(2026,12,1),36,0)+IF(C2155=DATE(2026,12,2),23,0)))</f>
        <v/>
      </c>
      <c r="K2155" s="13">
        <f>IF(C2155=Options!$B$9,B2155*12,0)</f>
        <v/>
      </c>
      <c r="L2155" s="13">
        <f>IF(C2155=Options!$B$9,B2155*Options!$Z$7,0)</f>
        <v/>
      </c>
      <c r="M2155" s="13" t="n">
        <v>0</v>
      </c>
      <c r="N2155" s="13">
        <f>SUM(E2155:M2155)</f>
        <v/>
      </c>
    </row>
    <row r="2156">
      <c r="A2156" s="5">
        <f>IF(AND(C2156&gt;=Options!$B$9,C2156&lt;=Options!$B$10),"Phoenix","")</f>
        <v/>
      </c>
      <c r="B2156" s="5">
        <f>IF(A2156="","",24)</f>
        <v/>
      </c>
      <c r="C2156" s="17" t="n">
        <v>46622</v>
      </c>
      <c r="D2156" s="5">
        <f>IF(A2156="","",IF(C2156=DATE(2026,11,29),"培训；注册午餐；早餐参数",IF(C2156=DATE(2026,11,30),"培训；注册午餐",IF(C2156=DATE(2026,12,1),"培训；注册午餐；机构晚餐",IF(C2156=Options!$B$9,"抵达；"&amp;IF(C2156=DATE(2026,11,28),"机构晚餐","无统一供餐"),IF(C2156=Options!$B$10,"返程；"&amp;IF(C2156=DATE(2026,12,2),"机构午餐","无统一供餐"),"差旅状态；无统一日程"))))))</f>
        <v/>
      </c>
      <c r="E2156" s="13">
        <f>IF(C2156=Options!$B$9,Options!$C$19,0)</f>
        <v/>
      </c>
      <c r="F2156" s="13">
        <f>IF(AND(A2156&lt;&gt;"",C2156&lt;Options!$B$10),B2156*Options!$X$7,0)</f>
        <v/>
      </c>
      <c r="G2156" s="13">
        <f>F2156*12%</f>
        <v/>
      </c>
      <c r="H2156" s="13">
        <f>IF(A2156="",0,B2156*(86*IF(OR(C2156=Options!$B$9,C2156=Options!$B$10),75%,100%)-IF(C2156=DATE(2026,11,29),23+IF(Options!$B$8="是",22,0),0)-IF(C2156=DATE(2026,11,30),23,0)-IF(C2156=DATE(2026,12,1),59,0)-IF(C2156=DATE(2026,11,28),36,0)-IF(C2156=DATE(2026,12,2),23,0)))</f>
        <v/>
      </c>
      <c r="I2156" s="13">
        <f>IF(AND(C2156&gt;=DATE(2026,11,29),C2156&lt;=DATE(2026,12,1)),B2156*60,0)</f>
        <v/>
      </c>
      <c r="J2156" s="13">
        <f>IF(A2156="",0,B2156*(IF(C2156=DATE(2026,11,28),36,0)+IF(C2156=DATE(2026,12,1),36,0)+IF(C2156=DATE(2026,12,2),23,0)))</f>
        <v/>
      </c>
      <c r="K2156" s="13">
        <f>IF(C2156=Options!$B$9,B2156*12,0)</f>
        <v/>
      </c>
      <c r="L2156" s="13">
        <f>IF(C2156=Options!$B$9,B2156*Options!$Z$7,0)</f>
        <v/>
      </c>
      <c r="M2156" s="13" t="n">
        <v>0</v>
      </c>
      <c r="N2156" s="13">
        <f>SUM(E2156:M2156)</f>
        <v/>
      </c>
    </row>
    <row r="2157">
      <c r="A2157" s="5">
        <f>IF(AND(C2157&gt;=Options!$B$9,C2157&lt;=Options!$B$10),"Phoenix","")</f>
        <v/>
      </c>
      <c r="B2157" s="5">
        <f>IF(A2157="","",24)</f>
        <v/>
      </c>
      <c r="C2157" s="17" t="n">
        <v>46623</v>
      </c>
      <c r="D2157" s="5">
        <f>IF(A2157="","",IF(C2157=DATE(2026,11,29),"培训；注册午餐；早餐参数",IF(C2157=DATE(2026,11,30),"培训；注册午餐",IF(C2157=DATE(2026,12,1),"培训；注册午餐；机构晚餐",IF(C2157=Options!$B$9,"抵达；"&amp;IF(C2157=DATE(2026,11,28),"机构晚餐","无统一供餐"),IF(C2157=Options!$B$10,"返程；"&amp;IF(C2157=DATE(2026,12,2),"机构午餐","无统一供餐"),"差旅状态；无统一日程"))))))</f>
        <v/>
      </c>
      <c r="E2157" s="13">
        <f>IF(C2157=Options!$B$9,Options!$C$19,0)</f>
        <v/>
      </c>
      <c r="F2157" s="13">
        <f>IF(AND(A2157&lt;&gt;"",C2157&lt;Options!$B$10),B2157*Options!$X$7,0)</f>
        <v/>
      </c>
      <c r="G2157" s="13">
        <f>F2157*12%</f>
        <v/>
      </c>
      <c r="H2157" s="13">
        <f>IF(A2157="",0,B2157*(86*IF(OR(C2157=Options!$B$9,C2157=Options!$B$10),75%,100%)-IF(C2157=DATE(2026,11,29),23+IF(Options!$B$8="是",22,0),0)-IF(C2157=DATE(2026,11,30),23,0)-IF(C2157=DATE(2026,12,1),59,0)-IF(C2157=DATE(2026,11,28),36,0)-IF(C2157=DATE(2026,12,2),23,0)))</f>
        <v/>
      </c>
      <c r="I2157" s="13">
        <f>IF(AND(C2157&gt;=DATE(2026,11,29),C2157&lt;=DATE(2026,12,1)),B2157*60,0)</f>
        <v/>
      </c>
      <c r="J2157" s="13">
        <f>IF(A2157="",0,B2157*(IF(C2157=DATE(2026,11,28),36,0)+IF(C2157=DATE(2026,12,1),36,0)+IF(C2157=DATE(2026,12,2),23,0)))</f>
        <v/>
      </c>
      <c r="K2157" s="13">
        <f>IF(C2157=Options!$B$9,B2157*12,0)</f>
        <v/>
      </c>
      <c r="L2157" s="13">
        <f>IF(C2157=Options!$B$9,B2157*Options!$Z$7,0)</f>
        <v/>
      </c>
      <c r="M2157" s="13" t="n">
        <v>0</v>
      </c>
      <c r="N2157" s="13">
        <f>SUM(E2157:M2157)</f>
        <v/>
      </c>
    </row>
    <row r="2158">
      <c r="A2158" s="5">
        <f>IF(AND(C2158&gt;=Options!$B$9,C2158&lt;=Options!$B$10),"Phoenix","")</f>
        <v/>
      </c>
      <c r="B2158" s="5">
        <f>IF(A2158="","",24)</f>
        <v/>
      </c>
      <c r="C2158" s="17" t="n">
        <v>46624</v>
      </c>
      <c r="D2158" s="5">
        <f>IF(A2158="","",IF(C2158=DATE(2026,11,29),"培训；注册午餐；早餐参数",IF(C2158=DATE(2026,11,30),"培训；注册午餐",IF(C2158=DATE(2026,12,1),"培训；注册午餐；机构晚餐",IF(C2158=Options!$B$9,"抵达；"&amp;IF(C2158=DATE(2026,11,28),"机构晚餐","无统一供餐"),IF(C2158=Options!$B$10,"返程；"&amp;IF(C2158=DATE(2026,12,2),"机构午餐","无统一供餐"),"差旅状态；无统一日程"))))))</f>
        <v/>
      </c>
      <c r="E2158" s="13">
        <f>IF(C2158=Options!$B$9,Options!$C$19,0)</f>
        <v/>
      </c>
      <c r="F2158" s="13">
        <f>IF(AND(A2158&lt;&gt;"",C2158&lt;Options!$B$10),B2158*Options!$X$7,0)</f>
        <v/>
      </c>
      <c r="G2158" s="13">
        <f>F2158*12%</f>
        <v/>
      </c>
      <c r="H2158" s="13">
        <f>IF(A2158="",0,B2158*(86*IF(OR(C2158=Options!$B$9,C2158=Options!$B$10),75%,100%)-IF(C2158=DATE(2026,11,29),23+IF(Options!$B$8="是",22,0),0)-IF(C2158=DATE(2026,11,30),23,0)-IF(C2158=DATE(2026,12,1),59,0)-IF(C2158=DATE(2026,11,28),36,0)-IF(C2158=DATE(2026,12,2),23,0)))</f>
        <v/>
      </c>
      <c r="I2158" s="13">
        <f>IF(AND(C2158&gt;=DATE(2026,11,29),C2158&lt;=DATE(2026,12,1)),B2158*60,0)</f>
        <v/>
      </c>
      <c r="J2158" s="13">
        <f>IF(A2158="",0,B2158*(IF(C2158=DATE(2026,11,28),36,0)+IF(C2158=DATE(2026,12,1),36,0)+IF(C2158=DATE(2026,12,2),23,0)))</f>
        <v/>
      </c>
      <c r="K2158" s="13">
        <f>IF(C2158=Options!$B$9,B2158*12,0)</f>
        <v/>
      </c>
      <c r="L2158" s="13">
        <f>IF(C2158=Options!$B$9,B2158*Options!$Z$7,0)</f>
        <v/>
      </c>
      <c r="M2158" s="13" t="n">
        <v>0</v>
      </c>
      <c r="N2158" s="13">
        <f>SUM(E2158:M2158)</f>
        <v/>
      </c>
    </row>
    <row r="2159">
      <c r="A2159" s="5">
        <f>IF(AND(C2159&gt;=Options!$B$9,C2159&lt;=Options!$B$10),"Phoenix","")</f>
        <v/>
      </c>
      <c r="B2159" s="5">
        <f>IF(A2159="","",24)</f>
        <v/>
      </c>
      <c r="C2159" s="17" t="n">
        <v>46625</v>
      </c>
      <c r="D2159" s="5">
        <f>IF(A2159="","",IF(C2159=DATE(2026,11,29),"培训；注册午餐；早餐参数",IF(C2159=DATE(2026,11,30),"培训；注册午餐",IF(C2159=DATE(2026,12,1),"培训；注册午餐；机构晚餐",IF(C2159=Options!$B$9,"抵达；"&amp;IF(C2159=DATE(2026,11,28),"机构晚餐","无统一供餐"),IF(C2159=Options!$B$10,"返程；"&amp;IF(C2159=DATE(2026,12,2),"机构午餐","无统一供餐"),"差旅状态；无统一日程"))))))</f>
        <v/>
      </c>
      <c r="E2159" s="13">
        <f>IF(C2159=Options!$B$9,Options!$C$19,0)</f>
        <v/>
      </c>
      <c r="F2159" s="13">
        <f>IF(AND(A2159&lt;&gt;"",C2159&lt;Options!$B$10),B2159*Options!$X$7,0)</f>
        <v/>
      </c>
      <c r="G2159" s="13">
        <f>F2159*12%</f>
        <v/>
      </c>
      <c r="H2159" s="13">
        <f>IF(A2159="",0,B2159*(86*IF(OR(C2159=Options!$B$9,C2159=Options!$B$10),75%,100%)-IF(C2159=DATE(2026,11,29),23+IF(Options!$B$8="是",22,0),0)-IF(C2159=DATE(2026,11,30),23,0)-IF(C2159=DATE(2026,12,1),59,0)-IF(C2159=DATE(2026,11,28),36,0)-IF(C2159=DATE(2026,12,2),23,0)))</f>
        <v/>
      </c>
      <c r="I2159" s="13">
        <f>IF(AND(C2159&gt;=DATE(2026,11,29),C2159&lt;=DATE(2026,12,1)),B2159*60,0)</f>
        <v/>
      </c>
      <c r="J2159" s="13">
        <f>IF(A2159="",0,B2159*(IF(C2159=DATE(2026,11,28),36,0)+IF(C2159=DATE(2026,12,1),36,0)+IF(C2159=DATE(2026,12,2),23,0)))</f>
        <v/>
      </c>
      <c r="K2159" s="13">
        <f>IF(C2159=Options!$B$9,B2159*12,0)</f>
        <v/>
      </c>
      <c r="L2159" s="13">
        <f>IF(C2159=Options!$B$9,B2159*Options!$Z$7,0)</f>
        <v/>
      </c>
      <c r="M2159" s="13" t="n">
        <v>0</v>
      </c>
      <c r="N2159" s="13">
        <f>SUM(E2159:M2159)</f>
        <v/>
      </c>
    </row>
    <row r="2160">
      <c r="A2160" s="5">
        <f>IF(AND(C2160&gt;=Options!$B$9,C2160&lt;=Options!$B$10),"Phoenix","")</f>
        <v/>
      </c>
      <c r="B2160" s="5">
        <f>IF(A2160="","",24)</f>
        <v/>
      </c>
      <c r="C2160" s="17" t="n">
        <v>46626</v>
      </c>
      <c r="D2160" s="5">
        <f>IF(A2160="","",IF(C2160=DATE(2026,11,29),"培训；注册午餐；早餐参数",IF(C2160=DATE(2026,11,30),"培训；注册午餐",IF(C2160=DATE(2026,12,1),"培训；注册午餐；机构晚餐",IF(C2160=Options!$B$9,"抵达；"&amp;IF(C2160=DATE(2026,11,28),"机构晚餐","无统一供餐"),IF(C2160=Options!$B$10,"返程；"&amp;IF(C2160=DATE(2026,12,2),"机构午餐","无统一供餐"),"差旅状态；无统一日程"))))))</f>
        <v/>
      </c>
      <c r="E2160" s="13">
        <f>IF(C2160=Options!$B$9,Options!$C$19,0)</f>
        <v/>
      </c>
      <c r="F2160" s="13">
        <f>IF(AND(A2160&lt;&gt;"",C2160&lt;Options!$B$10),B2160*Options!$X$7,0)</f>
        <v/>
      </c>
      <c r="G2160" s="13">
        <f>F2160*12%</f>
        <v/>
      </c>
      <c r="H2160" s="13">
        <f>IF(A2160="",0,B2160*(86*IF(OR(C2160=Options!$B$9,C2160=Options!$B$10),75%,100%)-IF(C2160=DATE(2026,11,29),23+IF(Options!$B$8="是",22,0),0)-IF(C2160=DATE(2026,11,30),23,0)-IF(C2160=DATE(2026,12,1),59,0)-IF(C2160=DATE(2026,11,28),36,0)-IF(C2160=DATE(2026,12,2),23,0)))</f>
        <v/>
      </c>
      <c r="I2160" s="13">
        <f>IF(AND(C2160&gt;=DATE(2026,11,29),C2160&lt;=DATE(2026,12,1)),B2160*60,0)</f>
        <v/>
      </c>
      <c r="J2160" s="13">
        <f>IF(A2160="",0,B2160*(IF(C2160=DATE(2026,11,28),36,0)+IF(C2160=DATE(2026,12,1),36,0)+IF(C2160=DATE(2026,12,2),23,0)))</f>
        <v/>
      </c>
      <c r="K2160" s="13">
        <f>IF(C2160=Options!$B$9,B2160*12,0)</f>
        <v/>
      </c>
      <c r="L2160" s="13">
        <f>IF(C2160=Options!$B$9,B2160*Options!$Z$7,0)</f>
        <v/>
      </c>
      <c r="M2160" s="13" t="n">
        <v>0</v>
      </c>
      <c r="N2160" s="13">
        <f>SUM(E2160:M2160)</f>
        <v/>
      </c>
    </row>
    <row r="2161">
      <c r="A2161" s="5">
        <f>IF(AND(C2161&gt;=Options!$B$9,C2161&lt;=Options!$B$10),"Phoenix","")</f>
        <v/>
      </c>
      <c r="B2161" s="5">
        <f>IF(A2161="","",24)</f>
        <v/>
      </c>
      <c r="C2161" s="17" t="n">
        <v>46627</v>
      </c>
      <c r="D2161" s="5">
        <f>IF(A2161="","",IF(C2161=DATE(2026,11,29),"培训；注册午餐；早餐参数",IF(C2161=DATE(2026,11,30),"培训；注册午餐",IF(C2161=DATE(2026,12,1),"培训；注册午餐；机构晚餐",IF(C2161=Options!$B$9,"抵达；"&amp;IF(C2161=DATE(2026,11,28),"机构晚餐","无统一供餐"),IF(C2161=Options!$B$10,"返程；"&amp;IF(C2161=DATE(2026,12,2),"机构午餐","无统一供餐"),"差旅状态；无统一日程"))))))</f>
        <v/>
      </c>
      <c r="E2161" s="13">
        <f>IF(C2161=Options!$B$9,Options!$C$19,0)</f>
        <v/>
      </c>
      <c r="F2161" s="13">
        <f>IF(AND(A2161&lt;&gt;"",C2161&lt;Options!$B$10),B2161*Options!$X$7,0)</f>
        <v/>
      </c>
      <c r="G2161" s="13">
        <f>F2161*12%</f>
        <v/>
      </c>
      <c r="H2161" s="13">
        <f>IF(A2161="",0,B2161*(86*IF(OR(C2161=Options!$B$9,C2161=Options!$B$10),75%,100%)-IF(C2161=DATE(2026,11,29),23+IF(Options!$B$8="是",22,0),0)-IF(C2161=DATE(2026,11,30),23,0)-IF(C2161=DATE(2026,12,1),59,0)-IF(C2161=DATE(2026,11,28),36,0)-IF(C2161=DATE(2026,12,2),23,0)))</f>
        <v/>
      </c>
      <c r="I2161" s="13">
        <f>IF(AND(C2161&gt;=DATE(2026,11,29),C2161&lt;=DATE(2026,12,1)),B2161*60,0)</f>
        <v/>
      </c>
      <c r="J2161" s="13">
        <f>IF(A2161="",0,B2161*(IF(C2161=DATE(2026,11,28),36,0)+IF(C2161=DATE(2026,12,1),36,0)+IF(C2161=DATE(2026,12,2),23,0)))</f>
        <v/>
      </c>
      <c r="K2161" s="13">
        <f>IF(C2161=Options!$B$9,B2161*12,0)</f>
        <v/>
      </c>
      <c r="L2161" s="13">
        <f>IF(C2161=Options!$B$9,B2161*Options!$Z$7,0)</f>
        <v/>
      </c>
      <c r="M2161" s="13" t="n">
        <v>0</v>
      </c>
      <c r="N2161" s="13">
        <f>SUM(E2161:M2161)</f>
        <v/>
      </c>
    </row>
    <row r="2162">
      <c r="A2162" s="5">
        <f>IF(AND(C2162&gt;=Options!$B$9,C2162&lt;=Options!$B$10),"Phoenix","")</f>
        <v/>
      </c>
      <c r="B2162" s="5">
        <f>IF(A2162="","",24)</f>
        <v/>
      </c>
      <c r="C2162" s="17" t="n">
        <v>46628</v>
      </c>
      <c r="D2162" s="5">
        <f>IF(A2162="","",IF(C2162=DATE(2026,11,29),"培训；注册午餐；早餐参数",IF(C2162=DATE(2026,11,30),"培训；注册午餐",IF(C2162=DATE(2026,12,1),"培训；注册午餐；机构晚餐",IF(C2162=Options!$B$9,"抵达；"&amp;IF(C2162=DATE(2026,11,28),"机构晚餐","无统一供餐"),IF(C2162=Options!$B$10,"返程；"&amp;IF(C2162=DATE(2026,12,2),"机构午餐","无统一供餐"),"差旅状态；无统一日程"))))))</f>
        <v/>
      </c>
      <c r="E2162" s="13">
        <f>IF(C2162=Options!$B$9,Options!$C$19,0)</f>
        <v/>
      </c>
      <c r="F2162" s="13">
        <f>IF(AND(A2162&lt;&gt;"",C2162&lt;Options!$B$10),B2162*Options!$X$7,0)</f>
        <v/>
      </c>
      <c r="G2162" s="13">
        <f>F2162*12%</f>
        <v/>
      </c>
      <c r="H2162" s="13">
        <f>IF(A2162="",0,B2162*(86*IF(OR(C2162=Options!$B$9,C2162=Options!$B$10),75%,100%)-IF(C2162=DATE(2026,11,29),23+IF(Options!$B$8="是",22,0),0)-IF(C2162=DATE(2026,11,30),23,0)-IF(C2162=DATE(2026,12,1),59,0)-IF(C2162=DATE(2026,11,28),36,0)-IF(C2162=DATE(2026,12,2),23,0)))</f>
        <v/>
      </c>
      <c r="I2162" s="13">
        <f>IF(AND(C2162&gt;=DATE(2026,11,29),C2162&lt;=DATE(2026,12,1)),B2162*60,0)</f>
        <v/>
      </c>
      <c r="J2162" s="13">
        <f>IF(A2162="",0,B2162*(IF(C2162=DATE(2026,11,28),36,0)+IF(C2162=DATE(2026,12,1),36,0)+IF(C2162=DATE(2026,12,2),23,0)))</f>
        <v/>
      </c>
      <c r="K2162" s="13">
        <f>IF(C2162=Options!$B$9,B2162*12,0)</f>
        <v/>
      </c>
      <c r="L2162" s="13">
        <f>IF(C2162=Options!$B$9,B2162*Options!$Z$7,0)</f>
        <v/>
      </c>
      <c r="M2162" s="13" t="n">
        <v>0</v>
      </c>
      <c r="N2162" s="13">
        <f>SUM(E2162:M2162)</f>
        <v/>
      </c>
    </row>
    <row r="2163">
      <c r="A2163" s="5">
        <f>IF(AND(C2163&gt;=Options!$B$9,C2163&lt;=Options!$B$10),"Phoenix","")</f>
        <v/>
      </c>
      <c r="B2163" s="5">
        <f>IF(A2163="","",24)</f>
        <v/>
      </c>
      <c r="C2163" s="17" t="n">
        <v>46629</v>
      </c>
      <c r="D2163" s="5">
        <f>IF(A2163="","",IF(C2163=DATE(2026,11,29),"培训；注册午餐；早餐参数",IF(C2163=DATE(2026,11,30),"培训；注册午餐",IF(C2163=DATE(2026,12,1),"培训；注册午餐；机构晚餐",IF(C2163=Options!$B$9,"抵达；"&amp;IF(C2163=DATE(2026,11,28),"机构晚餐","无统一供餐"),IF(C2163=Options!$B$10,"返程；"&amp;IF(C2163=DATE(2026,12,2),"机构午餐","无统一供餐"),"差旅状态；无统一日程"))))))</f>
        <v/>
      </c>
      <c r="E2163" s="13">
        <f>IF(C2163=Options!$B$9,Options!$C$19,0)</f>
        <v/>
      </c>
      <c r="F2163" s="13">
        <f>IF(AND(A2163&lt;&gt;"",C2163&lt;Options!$B$10),B2163*Options!$X$7,0)</f>
        <v/>
      </c>
      <c r="G2163" s="13">
        <f>F2163*12%</f>
        <v/>
      </c>
      <c r="H2163" s="13">
        <f>IF(A2163="",0,B2163*(86*IF(OR(C2163=Options!$B$9,C2163=Options!$B$10),75%,100%)-IF(C2163=DATE(2026,11,29),23+IF(Options!$B$8="是",22,0),0)-IF(C2163=DATE(2026,11,30),23,0)-IF(C2163=DATE(2026,12,1),59,0)-IF(C2163=DATE(2026,11,28),36,0)-IF(C2163=DATE(2026,12,2),23,0)))</f>
        <v/>
      </c>
      <c r="I2163" s="13">
        <f>IF(AND(C2163&gt;=DATE(2026,11,29),C2163&lt;=DATE(2026,12,1)),B2163*60,0)</f>
        <v/>
      </c>
      <c r="J2163" s="13">
        <f>IF(A2163="",0,B2163*(IF(C2163=DATE(2026,11,28),36,0)+IF(C2163=DATE(2026,12,1),36,0)+IF(C2163=DATE(2026,12,2),23,0)))</f>
        <v/>
      </c>
      <c r="K2163" s="13">
        <f>IF(C2163=Options!$B$9,B2163*12,0)</f>
        <v/>
      </c>
      <c r="L2163" s="13">
        <f>IF(C2163=Options!$B$9,B2163*Options!$Z$7,0)</f>
        <v/>
      </c>
      <c r="M2163" s="13" t="n">
        <v>0</v>
      </c>
      <c r="N2163" s="13">
        <f>SUM(E2163:M2163)</f>
        <v/>
      </c>
    </row>
    <row r="2164">
      <c r="A2164" s="5">
        <f>IF(AND(C2164&gt;=Options!$B$9,C2164&lt;=Options!$B$10),"Phoenix","")</f>
        <v/>
      </c>
      <c r="B2164" s="5">
        <f>IF(A2164="","",24)</f>
        <v/>
      </c>
      <c r="C2164" s="17" t="n">
        <v>46630</v>
      </c>
      <c r="D2164" s="5">
        <f>IF(A2164="","",IF(C2164=DATE(2026,11,29),"培训；注册午餐；早餐参数",IF(C2164=DATE(2026,11,30),"培训；注册午餐",IF(C2164=DATE(2026,12,1),"培训；注册午餐；机构晚餐",IF(C2164=Options!$B$9,"抵达；"&amp;IF(C2164=DATE(2026,11,28),"机构晚餐","无统一供餐"),IF(C2164=Options!$B$10,"返程；"&amp;IF(C2164=DATE(2026,12,2),"机构午餐","无统一供餐"),"差旅状态；无统一日程"))))))</f>
        <v/>
      </c>
      <c r="E2164" s="13">
        <f>IF(C2164=Options!$B$9,Options!$C$19,0)</f>
        <v/>
      </c>
      <c r="F2164" s="13">
        <f>IF(AND(A2164&lt;&gt;"",C2164&lt;Options!$B$10),B2164*Options!$X$7,0)</f>
        <v/>
      </c>
      <c r="G2164" s="13">
        <f>F2164*12%</f>
        <v/>
      </c>
      <c r="H2164" s="13">
        <f>IF(A2164="",0,B2164*(86*IF(OR(C2164=Options!$B$9,C2164=Options!$B$10),75%,100%)-IF(C2164=DATE(2026,11,29),23+IF(Options!$B$8="是",22,0),0)-IF(C2164=DATE(2026,11,30),23,0)-IF(C2164=DATE(2026,12,1),59,0)-IF(C2164=DATE(2026,11,28),36,0)-IF(C2164=DATE(2026,12,2),23,0)))</f>
        <v/>
      </c>
      <c r="I2164" s="13">
        <f>IF(AND(C2164&gt;=DATE(2026,11,29),C2164&lt;=DATE(2026,12,1)),B2164*60,0)</f>
        <v/>
      </c>
      <c r="J2164" s="13">
        <f>IF(A2164="",0,B2164*(IF(C2164=DATE(2026,11,28),36,0)+IF(C2164=DATE(2026,12,1),36,0)+IF(C2164=DATE(2026,12,2),23,0)))</f>
        <v/>
      </c>
      <c r="K2164" s="13">
        <f>IF(C2164=Options!$B$9,B2164*12,0)</f>
        <v/>
      </c>
      <c r="L2164" s="13">
        <f>IF(C2164=Options!$B$9,B2164*Options!$Z$7,0)</f>
        <v/>
      </c>
      <c r="M2164" s="13" t="n">
        <v>0</v>
      </c>
      <c r="N2164" s="13">
        <f>SUM(E2164:M2164)</f>
        <v/>
      </c>
    </row>
    <row r="2165">
      <c r="A2165" s="5">
        <f>IF(AND(C2165&gt;=Options!$B$9,C2165&lt;=Options!$B$10),"Phoenix","")</f>
        <v/>
      </c>
      <c r="B2165" s="5">
        <f>IF(A2165="","",24)</f>
        <v/>
      </c>
      <c r="C2165" s="17" t="n">
        <v>46631</v>
      </c>
      <c r="D2165" s="5">
        <f>IF(A2165="","",IF(C2165=DATE(2026,11,29),"培训；注册午餐；早餐参数",IF(C2165=DATE(2026,11,30),"培训；注册午餐",IF(C2165=DATE(2026,12,1),"培训；注册午餐；机构晚餐",IF(C2165=Options!$B$9,"抵达；"&amp;IF(C2165=DATE(2026,11,28),"机构晚餐","无统一供餐"),IF(C2165=Options!$B$10,"返程；"&amp;IF(C2165=DATE(2026,12,2),"机构午餐","无统一供餐"),"差旅状态；无统一日程"))))))</f>
        <v/>
      </c>
      <c r="E2165" s="13">
        <f>IF(C2165=Options!$B$9,Options!$C$19,0)</f>
        <v/>
      </c>
      <c r="F2165" s="13">
        <f>IF(AND(A2165&lt;&gt;"",C2165&lt;Options!$B$10),B2165*Options!$X$7,0)</f>
        <v/>
      </c>
      <c r="G2165" s="13">
        <f>F2165*12%</f>
        <v/>
      </c>
      <c r="H2165" s="13">
        <f>IF(A2165="",0,B2165*(86*IF(OR(C2165=Options!$B$9,C2165=Options!$B$10),75%,100%)-IF(C2165=DATE(2026,11,29),23+IF(Options!$B$8="是",22,0),0)-IF(C2165=DATE(2026,11,30),23,0)-IF(C2165=DATE(2026,12,1),59,0)-IF(C2165=DATE(2026,11,28),36,0)-IF(C2165=DATE(2026,12,2),23,0)))</f>
        <v/>
      </c>
      <c r="I2165" s="13">
        <f>IF(AND(C2165&gt;=DATE(2026,11,29),C2165&lt;=DATE(2026,12,1)),B2165*60,0)</f>
        <v/>
      </c>
      <c r="J2165" s="13">
        <f>IF(A2165="",0,B2165*(IF(C2165=DATE(2026,11,28),36,0)+IF(C2165=DATE(2026,12,1),36,0)+IF(C2165=DATE(2026,12,2),23,0)))</f>
        <v/>
      </c>
      <c r="K2165" s="13">
        <f>IF(C2165=Options!$B$9,B2165*12,0)</f>
        <v/>
      </c>
      <c r="L2165" s="13">
        <f>IF(C2165=Options!$B$9,B2165*Options!$Z$7,0)</f>
        <v/>
      </c>
      <c r="M2165" s="13" t="n">
        <v>0</v>
      </c>
      <c r="N2165" s="13">
        <f>SUM(E2165:M2165)</f>
        <v/>
      </c>
    </row>
    <row r="2166">
      <c r="A2166" s="5">
        <f>IF(AND(C2166&gt;=Options!$B$9,C2166&lt;=Options!$B$10),"Phoenix","")</f>
        <v/>
      </c>
      <c r="B2166" s="5">
        <f>IF(A2166="","",24)</f>
        <v/>
      </c>
      <c r="C2166" s="17" t="n">
        <v>46632</v>
      </c>
      <c r="D2166" s="5">
        <f>IF(A2166="","",IF(C2166=DATE(2026,11,29),"培训；注册午餐；早餐参数",IF(C2166=DATE(2026,11,30),"培训；注册午餐",IF(C2166=DATE(2026,12,1),"培训；注册午餐；机构晚餐",IF(C2166=Options!$B$9,"抵达；"&amp;IF(C2166=DATE(2026,11,28),"机构晚餐","无统一供餐"),IF(C2166=Options!$B$10,"返程；"&amp;IF(C2166=DATE(2026,12,2),"机构午餐","无统一供餐"),"差旅状态；无统一日程"))))))</f>
        <v/>
      </c>
      <c r="E2166" s="13">
        <f>IF(C2166=Options!$B$9,Options!$C$19,0)</f>
        <v/>
      </c>
      <c r="F2166" s="13">
        <f>IF(AND(A2166&lt;&gt;"",C2166&lt;Options!$B$10),B2166*Options!$X$7,0)</f>
        <v/>
      </c>
      <c r="G2166" s="13">
        <f>F2166*12%</f>
        <v/>
      </c>
      <c r="H2166" s="13">
        <f>IF(A2166="",0,B2166*(86*IF(OR(C2166=Options!$B$9,C2166=Options!$B$10),75%,100%)-IF(C2166=DATE(2026,11,29),23+IF(Options!$B$8="是",22,0),0)-IF(C2166=DATE(2026,11,30),23,0)-IF(C2166=DATE(2026,12,1),59,0)-IF(C2166=DATE(2026,11,28),36,0)-IF(C2166=DATE(2026,12,2),23,0)))</f>
        <v/>
      </c>
      <c r="I2166" s="13">
        <f>IF(AND(C2166&gt;=DATE(2026,11,29),C2166&lt;=DATE(2026,12,1)),B2166*60,0)</f>
        <v/>
      </c>
      <c r="J2166" s="13">
        <f>IF(A2166="",0,B2166*(IF(C2166=DATE(2026,11,28),36,0)+IF(C2166=DATE(2026,12,1),36,0)+IF(C2166=DATE(2026,12,2),23,0)))</f>
        <v/>
      </c>
      <c r="K2166" s="13">
        <f>IF(C2166=Options!$B$9,B2166*12,0)</f>
        <v/>
      </c>
      <c r="L2166" s="13">
        <f>IF(C2166=Options!$B$9,B2166*Options!$Z$7,0)</f>
        <v/>
      </c>
      <c r="M2166" s="13" t="n">
        <v>0</v>
      </c>
      <c r="N2166" s="13">
        <f>SUM(E2166:M2166)</f>
        <v/>
      </c>
    </row>
    <row r="2167">
      <c r="A2167" s="5">
        <f>IF(AND(C2167&gt;=Options!$B$9,C2167&lt;=Options!$B$10),"Phoenix","")</f>
        <v/>
      </c>
      <c r="B2167" s="5">
        <f>IF(A2167="","",24)</f>
        <v/>
      </c>
      <c r="C2167" s="17" t="n">
        <v>46633</v>
      </c>
      <c r="D2167" s="5">
        <f>IF(A2167="","",IF(C2167=DATE(2026,11,29),"培训；注册午餐；早餐参数",IF(C2167=DATE(2026,11,30),"培训；注册午餐",IF(C2167=DATE(2026,12,1),"培训；注册午餐；机构晚餐",IF(C2167=Options!$B$9,"抵达；"&amp;IF(C2167=DATE(2026,11,28),"机构晚餐","无统一供餐"),IF(C2167=Options!$B$10,"返程；"&amp;IF(C2167=DATE(2026,12,2),"机构午餐","无统一供餐"),"差旅状态；无统一日程"))))))</f>
        <v/>
      </c>
      <c r="E2167" s="13">
        <f>IF(C2167=Options!$B$9,Options!$C$19,0)</f>
        <v/>
      </c>
      <c r="F2167" s="13">
        <f>IF(AND(A2167&lt;&gt;"",C2167&lt;Options!$B$10),B2167*Options!$X$7,0)</f>
        <v/>
      </c>
      <c r="G2167" s="13">
        <f>F2167*12%</f>
        <v/>
      </c>
      <c r="H2167" s="13">
        <f>IF(A2167="",0,B2167*(86*IF(OR(C2167=Options!$B$9,C2167=Options!$B$10),75%,100%)-IF(C2167=DATE(2026,11,29),23+IF(Options!$B$8="是",22,0),0)-IF(C2167=DATE(2026,11,30),23,0)-IF(C2167=DATE(2026,12,1),59,0)-IF(C2167=DATE(2026,11,28),36,0)-IF(C2167=DATE(2026,12,2),23,0)))</f>
        <v/>
      </c>
      <c r="I2167" s="13">
        <f>IF(AND(C2167&gt;=DATE(2026,11,29),C2167&lt;=DATE(2026,12,1)),B2167*60,0)</f>
        <v/>
      </c>
      <c r="J2167" s="13">
        <f>IF(A2167="",0,B2167*(IF(C2167=DATE(2026,11,28),36,0)+IF(C2167=DATE(2026,12,1),36,0)+IF(C2167=DATE(2026,12,2),23,0)))</f>
        <v/>
      </c>
      <c r="K2167" s="13">
        <f>IF(C2167=Options!$B$9,B2167*12,0)</f>
        <v/>
      </c>
      <c r="L2167" s="13">
        <f>IF(C2167=Options!$B$9,B2167*Options!$Z$7,0)</f>
        <v/>
      </c>
      <c r="M2167" s="13" t="n">
        <v>0</v>
      </c>
      <c r="N2167" s="13">
        <f>SUM(E2167:M2167)</f>
        <v/>
      </c>
    </row>
    <row r="2168">
      <c r="A2168" s="5">
        <f>IF(AND(C2168&gt;=Options!$B$9,C2168&lt;=Options!$B$10),"Phoenix","")</f>
        <v/>
      </c>
      <c r="B2168" s="5">
        <f>IF(A2168="","",24)</f>
        <v/>
      </c>
      <c r="C2168" s="17" t="n">
        <v>46634</v>
      </c>
      <c r="D2168" s="5">
        <f>IF(A2168="","",IF(C2168=DATE(2026,11,29),"培训；注册午餐；早餐参数",IF(C2168=DATE(2026,11,30),"培训；注册午餐",IF(C2168=DATE(2026,12,1),"培训；注册午餐；机构晚餐",IF(C2168=Options!$B$9,"抵达；"&amp;IF(C2168=DATE(2026,11,28),"机构晚餐","无统一供餐"),IF(C2168=Options!$B$10,"返程；"&amp;IF(C2168=DATE(2026,12,2),"机构午餐","无统一供餐"),"差旅状态；无统一日程"))))))</f>
        <v/>
      </c>
      <c r="E2168" s="13">
        <f>IF(C2168=Options!$B$9,Options!$C$19,0)</f>
        <v/>
      </c>
      <c r="F2168" s="13">
        <f>IF(AND(A2168&lt;&gt;"",C2168&lt;Options!$B$10),B2168*Options!$X$7,0)</f>
        <v/>
      </c>
      <c r="G2168" s="13">
        <f>F2168*12%</f>
        <v/>
      </c>
      <c r="H2168" s="13">
        <f>IF(A2168="",0,B2168*(86*IF(OR(C2168=Options!$B$9,C2168=Options!$B$10),75%,100%)-IF(C2168=DATE(2026,11,29),23+IF(Options!$B$8="是",22,0),0)-IF(C2168=DATE(2026,11,30),23,0)-IF(C2168=DATE(2026,12,1),59,0)-IF(C2168=DATE(2026,11,28),36,0)-IF(C2168=DATE(2026,12,2),23,0)))</f>
        <v/>
      </c>
      <c r="I2168" s="13">
        <f>IF(AND(C2168&gt;=DATE(2026,11,29),C2168&lt;=DATE(2026,12,1)),B2168*60,0)</f>
        <v/>
      </c>
      <c r="J2168" s="13">
        <f>IF(A2168="",0,B2168*(IF(C2168=DATE(2026,11,28),36,0)+IF(C2168=DATE(2026,12,1),36,0)+IF(C2168=DATE(2026,12,2),23,0)))</f>
        <v/>
      </c>
      <c r="K2168" s="13">
        <f>IF(C2168=Options!$B$9,B2168*12,0)</f>
        <v/>
      </c>
      <c r="L2168" s="13">
        <f>IF(C2168=Options!$B$9,B2168*Options!$Z$7,0)</f>
        <v/>
      </c>
      <c r="M2168" s="13" t="n">
        <v>0</v>
      </c>
      <c r="N2168" s="13">
        <f>SUM(E2168:M2168)</f>
        <v/>
      </c>
    </row>
    <row r="2169">
      <c r="A2169" s="5">
        <f>IF(AND(C2169&gt;=Options!$B$9,C2169&lt;=Options!$B$10),"Phoenix","")</f>
        <v/>
      </c>
      <c r="B2169" s="5">
        <f>IF(A2169="","",24)</f>
        <v/>
      </c>
      <c r="C2169" s="17" t="n">
        <v>46635</v>
      </c>
      <c r="D2169" s="5">
        <f>IF(A2169="","",IF(C2169=DATE(2026,11,29),"培训；注册午餐；早餐参数",IF(C2169=DATE(2026,11,30),"培训；注册午餐",IF(C2169=DATE(2026,12,1),"培训；注册午餐；机构晚餐",IF(C2169=Options!$B$9,"抵达；"&amp;IF(C2169=DATE(2026,11,28),"机构晚餐","无统一供餐"),IF(C2169=Options!$B$10,"返程；"&amp;IF(C2169=DATE(2026,12,2),"机构午餐","无统一供餐"),"差旅状态；无统一日程"))))))</f>
        <v/>
      </c>
      <c r="E2169" s="13">
        <f>IF(C2169=Options!$B$9,Options!$C$19,0)</f>
        <v/>
      </c>
      <c r="F2169" s="13">
        <f>IF(AND(A2169&lt;&gt;"",C2169&lt;Options!$B$10),B2169*Options!$X$7,0)</f>
        <v/>
      </c>
      <c r="G2169" s="13">
        <f>F2169*12%</f>
        <v/>
      </c>
      <c r="H2169" s="13">
        <f>IF(A2169="",0,B2169*(86*IF(OR(C2169=Options!$B$9,C2169=Options!$B$10),75%,100%)-IF(C2169=DATE(2026,11,29),23+IF(Options!$B$8="是",22,0),0)-IF(C2169=DATE(2026,11,30),23,0)-IF(C2169=DATE(2026,12,1),59,0)-IF(C2169=DATE(2026,11,28),36,0)-IF(C2169=DATE(2026,12,2),23,0)))</f>
        <v/>
      </c>
      <c r="I2169" s="13">
        <f>IF(AND(C2169&gt;=DATE(2026,11,29),C2169&lt;=DATE(2026,12,1)),B2169*60,0)</f>
        <v/>
      </c>
      <c r="J2169" s="13">
        <f>IF(A2169="",0,B2169*(IF(C2169=DATE(2026,11,28),36,0)+IF(C2169=DATE(2026,12,1),36,0)+IF(C2169=DATE(2026,12,2),23,0)))</f>
        <v/>
      </c>
      <c r="K2169" s="13">
        <f>IF(C2169=Options!$B$9,B2169*12,0)</f>
        <v/>
      </c>
      <c r="L2169" s="13">
        <f>IF(C2169=Options!$B$9,B2169*Options!$Z$7,0)</f>
        <v/>
      </c>
      <c r="M2169" s="13" t="n">
        <v>0</v>
      </c>
      <c r="N2169" s="13">
        <f>SUM(E2169:M2169)</f>
        <v/>
      </c>
    </row>
    <row r="2170">
      <c r="A2170" s="5">
        <f>IF(AND(C2170&gt;=Options!$B$9,C2170&lt;=Options!$B$10),"Phoenix","")</f>
        <v/>
      </c>
      <c r="B2170" s="5">
        <f>IF(A2170="","",24)</f>
        <v/>
      </c>
      <c r="C2170" s="17" t="n">
        <v>46636</v>
      </c>
      <c r="D2170" s="5">
        <f>IF(A2170="","",IF(C2170=DATE(2026,11,29),"培训；注册午餐；早餐参数",IF(C2170=DATE(2026,11,30),"培训；注册午餐",IF(C2170=DATE(2026,12,1),"培训；注册午餐；机构晚餐",IF(C2170=Options!$B$9,"抵达；"&amp;IF(C2170=DATE(2026,11,28),"机构晚餐","无统一供餐"),IF(C2170=Options!$B$10,"返程；"&amp;IF(C2170=DATE(2026,12,2),"机构午餐","无统一供餐"),"差旅状态；无统一日程"))))))</f>
        <v/>
      </c>
      <c r="E2170" s="13">
        <f>IF(C2170=Options!$B$9,Options!$C$19,0)</f>
        <v/>
      </c>
      <c r="F2170" s="13">
        <f>IF(AND(A2170&lt;&gt;"",C2170&lt;Options!$B$10),B2170*Options!$X$7,0)</f>
        <v/>
      </c>
      <c r="G2170" s="13">
        <f>F2170*12%</f>
        <v/>
      </c>
      <c r="H2170" s="13">
        <f>IF(A2170="",0,B2170*(86*IF(OR(C2170=Options!$B$9,C2170=Options!$B$10),75%,100%)-IF(C2170=DATE(2026,11,29),23+IF(Options!$B$8="是",22,0),0)-IF(C2170=DATE(2026,11,30),23,0)-IF(C2170=DATE(2026,12,1),59,0)-IF(C2170=DATE(2026,11,28),36,0)-IF(C2170=DATE(2026,12,2),23,0)))</f>
        <v/>
      </c>
      <c r="I2170" s="13">
        <f>IF(AND(C2170&gt;=DATE(2026,11,29),C2170&lt;=DATE(2026,12,1)),B2170*60,0)</f>
        <v/>
      </c>
      <c r="J2170" s="13">
        <f>IF(A2170="",0,B2170*(IF(C2170=DATE(2026,11,28),36,0)+IF(C2170=DATE(2026,12,1),36,0)+IF(C2170=DATE(2026,12,2),23,0)))</f>
        <v/>
      </c>
      <c r="K2170" s="13">
        <f>IF(C2170=Options!$B$9,B2170*12,0)</f>
        <v/>
      </c>
      <c r="L2170" s="13">
        <f>IF(C2170=Options!$B$9,B2170*Options!$Z$7,0)</f>
        <v/>
      </c>
      <c r="M2170" s="13" t="n">
        <v>0</v>
      </c>
      <c r="N2170" s="13">
        <f>SUM(E2170:M2170)</f>
        <v/>
      </c>
    </row>
    <row r="2171">
      <c r="A2171" s="5">
        <f>IF(AND(C2171&gt;=Options!$B$9,C2171&lt;=Options!$B$10),"Phoenix","")</f>
        <v/>
      </c>
      <c r="B2171" s="5">
        <f>IF(A2171="","",24)</f>
        <v/>
      </c>
      <c r="C2171" s="17" t="n">
        <v>46637</v>
      </c>
      <c r="D2171" s="5">
        <f>IF(A2171="","",IF(C2171=DATE(2026,11,29),"培训；注册午餐；早餐参数",IF(C2171=DATE(2026,11,30),"培训；注册午餐",IF(C2171=DATE(2026,12,1),"培训；注册午餐；机构晚餐",IF(C2171=Options!$B$9,"抵达；"&amp;IF(C2171=DATE(2026,11,28),"机构晚餐","无统一供餐"),IF(C2171=Options!$B$10,"返程；"&amp;IF(C2171=DATE(2026,12,2),"机构午餐","无统一供餐"),"差旅状态；无统一日程"))))))</f>
        <v/>
      </c>
      <c r="E2171" s="13">
        <f>IF(C2171=Options!$B$9,Options!$C$19,0)</f>
        <v/>
      </c>
      <c r="F2171" s="13">
        <f>IF(AND(A2171&lt;&gt;"",C2171&lt;Options!$B$10),B2171*Options!$X$7,0)</f>
        <v/>
      </c>
      <c r="G2171" s="13">
        <f>F2171*12%</f>
        <v/>
      </c>
      <c r="H2171" s="13">
        <f>IF(A2171="",0,B2171*(86*IF(OR(C2171=Options!$B$9,C2171=Options!$B$10),75%,100%)-IF(C2171=DATE(2026,11,29),23+IF(Options!$B$8="是",22,0),0)-IF(C2171=DATE(2026,11,30),23,0)-IF(C2171=DATE(2026,12,1),59,0)-IF(C2171=DATE(2026,11,28),36,0)-IF(C2171=DATE(2026,12,2),23,0)))</f>
        <v/>
      </c>
      <c r="I2171" s="13">
        <f>IF(AND(C2171&gt;=DATE(2026,11,29),C2171&lt;=DATE(2026,12,1)),B2171*60,0)</f>
        <v/>
      </c>
      <c r="J2171" s="13">
        <f>IF(A2171="",0,B2171*(IF(C2171=DATE(2026,11,28),36,0)+IF(C2171=DATE(2026,12,1),36,0)+IF(C2171=DATE(2026,12,2),23,0)))</f>
        <v/>
      </c>
      <c r="K2171" s="13">
        <f>IF(C2171=Options!$B$9,B2171*12,0)</f>
        <v/>
      </c>
      <c r="L2171" s="13">
        <f>IF(C2171=Options!$B$9,B2171*Options!$Z$7,0)</f>
        <v/>
      </c>
      <c r="M2171" s="13" t="n">
        <v>0</v>
      </c>
      <c r="N2171" s="13">
        <f>SUM(E2171:M2171)</f>
        <v/>
      </c>
    </row>
    <row r="2172">
      <c r="A2172" s="5">
        <f>IF(AND(C2172&gt;=Options!$B$9,C2172&lt;=Options!$B$10),"Phoenix","")</f>
        <v/>
      </c>
      <c r="B2172" s="5">
        <f>IF(A2172="","",24)</f>
        <v/>
      </c>
      <c r="C2172" s="17" t="n">
        <v>46638</v>
      </c>
      <c r="D2172" s="5">
        <f>IF(A2172="","",IF(C2172=DATE(2026,11,29),"培训；注册午餐；早餐参数",IF(C2172=DATE(2026,11,30),"培训；注册午餐",IF(C2172=DATE(2026,12,1),"培训；注册午餐；机构晚餐",IF(C2172=Options!$B$9,"抵达；"&amp;IF(C2172=DATE(2026,11,28),"机构晚餐","无统一供餐"),IF(C2172=Options!$B$10,"返程；"&amp;IF(C2172=DATE(2026,12,2),"机构午餐","无统一供餐"),"差旅状态；无统一日程"))))))</f>
        <v/>
      </c>
      <c r="E2172" s="13">
        <f>IF(C2172=Options!$B$9,Options!$C$19,0)</f>
        <v/>
      </c>
      <c r="F2172" s="13">
        <f>IF(AND(A2172&lt;&gt;"",C2172&lt;Options!$B$10),B2172*Options!$X$7,0)</f>
        <v/>
      </c>
      <c r="G2172" s="13">
        <f>F2172*12%</f>
        <v/>
      </c>
      <c r="H2172" s="13">
        <f>IF(A2172="",0,B2172*(86*IF(OR(C2172=Options!$B$9,C2172=Options!$B$10),75%,100%)-IF(C2172=DATE(2026,11,29),23+IF(Options!$B$8="是",22,0),0)-IF(C2172=DATE(2026,11,30),23,0)-IF(C2172=DATE(2026,12,1),59,0)-IF(C2172=DATE(2026,11,28),36,0)-IF(C2172=DATE(2026,12,2),23,0)))</f>
        <v/>
      </c>
      <c r="I2172" s="13">
        <f>IF(AND(C2172&gt;=DATE(2026,11,29),C2172&lt;=DATE(2026,12,1)),B2172*60,0)</f>
        <v/>
      </c>
      <c r="J2172" s="13">
        <f>IF(A2172="",0,B2172*(IF(C2172=DATE(2026,11,28),36,0)+IF(C2172=DATE(2026,12,1),36,0)+IF(C2172=DATE(2026,12,2),23,0)))</f>
        <v/>
      </c>
      <c r="K2172" s="13">
        <f>IF(C2172=Options!$B$9,B2172*12,0)</f>
        <v/>
      </c>
      <c r="L2172" s="13">
        <f>IF(C2172=Options!$B$9,B2172*Options!$Z$7,0)</f>
        <v/>
      </c>
      <c r="M2172" s="13" t="n">
        <v>0</v>
      </c>
      <c r="N2172" s="13">
        <f>SUM(E2172:M2172)</f>
        <v/>
      </c>
    </row>
    <row r="2173">
      <c r="A2173" s="5">
        <f>IF(AND(C2173&gt;=Options!$B$9,C2173&lt;=Options!$B$10),"Phoenix","")</f>
        <v/>
      </c>
      <c r="B2173" s="5">
        <f>IF(A2173="","",24)</f>
        <v/>
      </c>
      <c r="C2173" s="17" t="n">
        <v>46639</v>
      </c>
      <c r="D2173" s="5">
        <f>IF(A2173="","",IF(C2173=DATE(2026,11,29),"培训；注册午餐；早餐参数",IF(C2173=DATE(2026,11,30),"培训；注册午餐",IF(C2173=DATE(2026,12,1),"培训；注册午餐；机构晚餐",IF(C2173=Options!$B$9,"抵达；"&amp;IF(C2173=DATE(2026,11,28),"机构晚餐","无统一供餐"),IF(C2173=Options!$B$10,"返程；"&amp;IF(C2173=DATE(2026,12,2),"机构午餐","无统一供餐"),"差旅状态；无统一日程"))))))</f>
        <v/>
      </c>
      <c r="E2173" s="13">
        <f>IF(C2173=Options!$B$9,Options!$C$19,0)</f>
        <v/>
      </c>
      <c r="F2173" s="13">
        <f>IF(AND(A2173&lt;&gt;"",C2173&lt;Options!$B$10),B2173*Options!$X$7,0)</f>
        <v/>
      </c>
      <c r="G2173" s="13">
        <f>F2173*12%</f>
        <v/>
      </c>
      <c r="H2173" s="13">
        <f>IF(A2173="",0,B2173*(86*IF(OR(C2173=Options!$B$9,C2173=Options!$B$10),75%,100%)-IF(C2173=DATE(2026,11,29),23+IF(Options!$B$8="是",22,0),0)-IF(C2173=DATE(2026,11,30),23,0)-IF(C2173=DATE(2026,12,1),59,0)-IF(C2173=DATE(2026,11,28),36,0)-IF(C2173=DATE(2026,12,2),23,0)))</f>
        <v/>
      </c>
      <c r="I2173" s="13">
        <f>IF(AND(C2173&gt;=DATE(2026,11,29),C2173&lt;=DATE(2026,12,1)),B2173*60,0)</f>
        <v/>
      </c>
      <c r="J2173" s="13">
        <f>IF(A2173="",0,B2173*(IF(C2173=DATE(2026,11,28),36,0)+IF(C2173=DATE(2026,12,1),36,0)+IF(C2173=DATE(2026,12,2),23,0)))</f>
        <v/>
      </c>
      <c r="K2173" s="13">
        <f>IF(C2173=Options!$B$9,B2173*12,0)</f>
        <v/>
      </c>
      <c r="L2173" s="13">
        <f>IF(C2173=Options!$B$9,B2173*Options!$Z$7,0)</f>
        <v/>
      </c>
      <c r="M2173" s="13" t="n">
        <v>0</v>
      </c>
      <c r="N2173" s="13">
        <f>SUM(E2173:M2173)</f>
        <v/>
      </c>
    </row>
    <row r="2174">
      <c r="A2174" s="5">
        <f>IF(AND(C2174&gt;=Options!$B$9,C2174&lt;=Options!$B$10),"Phoenix","")</f>
        <v/>
      </c>
      <c r="B2174" s="5">
        <f>IF(A2174="","",24)</f>
        <v/>
      </c>
      <c r="C2174" s="17" t="n">
        <v>46640</v>
      </c>
      <c r="D2174" s="5">
        <f>IF(A2174="","",IF(C2174=DATE(2026,11,29),"培训；注册午餐；早餐参数",IF(C2174=DATE(2026,11,30),"培训；注册午餐",IF(C2174=DATE(2026,12,1),"培训；注册午餐；机构晚餐",IF(C2174=Options!$B$9,"抵达；"&amp;IF(C2174=DATE(2026,11,28),"机构晚餐","无统一供餐"),IF(C2174=Options!$B$10,"返程；"&amp;IF(C2174=DATE(2026,12,2),"机构午餐","无统一供餐"),"差旅状态；无统一日程"))))))</f>
        <v/>
      </c>
      <c r="E2174" s="13">
        <f>IF(C2174=Options!$B$9,Options!$C$19,0)</f>
        <v/>
      </c>
      <c r="F2174" s="13">
        <f>IF(AND(A2174&lt;&gt;"",C2174&lt;Options!$B$10),B2174*Options!$X$7,0)</f>
        <v/>
      </c>
      <c r="G2174" s="13">
        <f>F2174*12%</f>
        <v/>
      </c>
      <c r="H2174" s="13">
        <f>IF(A2174="",0,B2174*(86*IF(OR(C2174=Options!$B$9,C2174=Options!$B$10),75%,100%)-IF(C2174=DATE(2026,11,29),23+IF(Options!$B$8="是",22,0),0)-IF(C2174=DATE(2026,11,30),23,0)-IF(C2174=DATE(2026,12,1),59,0)-IF(C2174=DATE(2026,11,28),36,0)-IF(C2174=DATE(2026,12,2),23,0)))</f>
        <v/>
      </c>
      <c r="I2174" s="13">
        <f>IF(AND(C2174&gt;=DATE(2026,11,29),C2174&lt;=DATE(2026,12,1)),B2174*60,0)</f>
        <v/>
      </c>
      <c r="J2174" s="13">
        <f>IF(A2174="",0,B2174*(IF(C2174=DATE(2026,11,28),36,0)+IF(C2174=DATE(2026,12,1),36,0)+IF(C2174=DATE(2026,12,2),23,0)))</f>
        <v/>
      </c>
      <c r="K2174" s="13">
        <f>IF(C2174=Options!$B$9,B2174*12,0)</f>
        <v/>
      </c>
      <c r="L2174" s="13">
        <f>IF(C2174=Options!$B$9,B2174*Options!$Z$7,0)</f>
        <v/>
      </c>
      <c r="M2174" s="13" t="n">
        <v>0</v>
      </c>
      <c r="N2174" s="13">
        <f>SUM(E2174:M2174)</f>
        <v/>
      </c>
    </row>
    <row r="2175">
      <c r="A2175" s="5">
        <f>IF(AND(C2175&gt;=Options!$B$9,C2175&lt;=Options!$B$10),"Phoenix","")</f>
        <v/>
      </c>
      <c r="B2175" s="5">
        <f>IF(A2175="","",24)</f>
        <v/>
      </c>
      <c r="C2175" s="17" t="n">
        <v>46641</v>
      </c>
      <c r="D2175" s="5">
        <f>IF(A2175="","",IF(C2175=DATE(2026,11,29),"培训；注册午餐；早餐参数",IF(C2175=DATE(2026,11,30),"培训；注册午餐",IF(C2175=DATE(2026,12,1),"培训；注册午餐；机构晚餐",IF(C2175=Options!$B$9,"抵达；"&amp;IF(C2175=DATE(2026,11,28),"机构晚餐","无统一供餐"),IF(C2175=Options!$B$10,"返程；"&amp;IF(C2175=DATE(2026,12,2),"机构午餐","无统一供餐"),"差旅状态；无统一日程"))))))</f>
        <v/>
      </c>
      <c r="E2175" s="13">
        <f>IF(C2175=Options!$B$9,Options!$C$19,0)</f>
        <v/>
      </c>
      <c r="F2175" s="13">
        <f>IF(AND(A2175&lt;&gt;"",C2175&lt;Options!$B$10),B2175*Options!$X$7,0)</f>
        <v/>
      </c>
      <c r="G2175" s="13">
        <f>F2175*12%</f>
        <v/>
      </c>
      <c r="H2175" s="13">
        <f>IF(A2175="",0,B2175*(86*IF(OR(C2175=Options!$B$9,C2175=Options!$B$10),75%,100%)-IF(C2175=DATE(2026,11,29),23+IF(Options!$B$8="是",22,0),0)-IF(C2175=DATE(2026,11,30),23,0)-IF(C2175=DATE(2026,12,1),59,0)-IF(C2175=DATE(2026,11,28),36,0)-IF(C2175=DATE(2026,12,2),23,0)))</f>
        <v/>
      </c>
      <c r="I2175" s="13">
        <f>IF(AND(C2175&gt;=DATE(2026,11,29),C2175&lt;=DATE(2026,12,1)),B2175*60,0)</f>
        <v/>
      </c>
      <c r="J2175" s="13">
        <f>IF(A2175="",0,B2175*(IF(C2175=DATE(2026,11,28),36,0)+IF(C2175=DATE(2026,12,1),36,0)+IF(C2175=DATE(2026,12,2),23,0)))</f>
        <v/>
      </c>
      <c r="K2175" s="13">
        <f>IF(C2175=Options!$B$9,B2175*12,0)</f>
        <v/>
      </c>
      <c r="L2175" s="13">
        <f>IF(C2175=Options!$B$9,B2175*Options!$Z$7,0)</f>
        <v/>
      </c>
      <c r="M2175" s="13" t="n">
        <v>0</v>
      </c>
      <c r="N2175" s="13">
        <f>SUM(E2175:M2175)</f>
        <v/>
      </c>
    </row>
    <row r="2176">
      <c r="A2176" s="5">
        <f>IF(AND(C2176&gt;=Options!$B$9,C2176&lt;=Options!$B$10),"Phoenix","")</f>
        <v/>
      </c>
      <c r="B2176" s="5">
        <f>IF(A2176="","",24)</f>
        <v/>
      </c>
      <c r="C2176" s="17" t="n">
        <v>46642</v>
      </c>
      <c r="D2176" s="5">
        <f>IF(A2176="","",IF(C2176=DATE(2026,11,29),"培训；注册午餐；早餐参数",IF(C2176=DATE(2026,11,30),"培训；注册午餐",IF(C2176=DATE(2026,12,1),"培训；注册午餐；机构晚餐",IF(C2176=Options!$B$9,"抵达；"&amp;IF(C2176=DATE(2026,11,28),"机构晚餐","无统一供餐"),IF(C2176=Options!$B$10,"返程；"&amp;IF(C2176=DATE(2026,12,2),"机构午餐","无统一供餐"),"差旅状态；无统一日程"))))))</f>
        <v/>
      </c>
      <c r="E2176" s="13">
        <f>IF(C2176=Options!$B$9,Options!$C$19,0)</f>
        <v/>
      </c>
      <c r="F2176" s="13">
        <f>IF(AND(A2176&lt;&gt;"",C2176&lt;Options!$B$10),B2176*Options!$X$7,0)</f>
        <v/>
      </c>
      <c r="G2176" s="13">
        <f>F2176*12%</f>
        <v/>
      </c>
      <c r="H2176" s="13">
        <f>IF(A2176="",0,B2176*(86*IF(OR(C2176=Options!$B$9,C2176=Options!$B$10),75%,100%)-IF(C2176=DATE(2026,11,29),23+IF(Options!$B$8="是",22,0),0)-IF(C2176=DATE(2026,11,30),23,0)-IF(C2176=DATE(2026,12,1),59,0)-IF(C2176=DATE(2026,11,28),36,0)-IF(C2176=DATE(2026,12,2),23,0)))</f>
        <v/>
      </c>
      <c r="I2176" s="13">
        <f>IF(AND(C2176&gt;=DATE(2026,11,29),C2176&lt;=DATE(2026,12,1)),B2176*60,0)</f>
        <v/>
      </c>
      <c r="J2176" s="13">
        <f>IF(A2176="",0,B2176*(IF(C2176=DATE(2026,11,28),36,0)+IF(C2176=DATE(2026,12,1),36,0)+IF(C2176=DATE(2026,12,2),23,0)))</f>
        <v/>
      </c>
      <c r="K2176" s="13">
        <f>IF(C2176=Options!$B$9,B2176*12,0)</f>
        <v/>
      </c>
      <c r="L2176" s="13">
        <f>IF(C2176=Options!$B$9,B2176*Options!$Z$7,0)</f>
        <v/>
      </c>
      <c r="M2176" s="13" t="n">
        <v>0</v>
      </c>
      <c r="N2176" s="13">
        <f>SUM(E2176:M2176)</f>
        <v/>
      </c>
    </row>
    <row r="2177">
      <c r="A2177" s="5">
        <f>IF(AND(C2177&gt;=Options!$B$9,C2177&lt;=Options!$B$10),"Phoenix","")</f>
        <v/>
      </c>
      <c r="B2177" s="5">
        <f>IF(A2177="","",24)</f>
        <v/>
      </c>
      <c r="C2177" s="17" t="n">
        <v>46643</v>
      </c>
      <c r="D2177" s="5">
        <f>IF(A2177="","",IF(C2177=DATE(2026,11,29),"培训；注册午餐；早餐参数",IF(C2177=DATE(2026,11,30),"培训；注册午餐",IF(C2177=DATE(2026,12,1),"培训；注册午餐；机构晚餐",IF(C2177=Options!$B$9,"抵达；"&amp;IF(C2177=DATE(2026,11,28),"机构晚餐","无统一供餐"),IF(C2177=Options!$B$10,"返程；"&amp;IF(C2177=DATE(2026,12,2),"机构午餐","无统一供餐"),"差旅状态；无统一日程"))))))</f>
        <v/>
      </c>
      <c r="E2177" s="13">
        <f>IF(C2177=Options!$B$9,Options!$C$19,0)</f>
        <v/>
      </c>
      <c r="F2177" s="13">
        <f>IF(AND(A2177&lt;&gt;"",C2177&lt;Options!$B$10),B2177*Options!$X$7,0)</f>
        <v/>
      </c>
      <c r="G2177" s="13">
        <f>F2177*12%</f>
        <v/>
      </c>
      <c r="H2177" s="13">
        <f>IF(A2177="",0,B2177*(86*IF(OR(C2177=Options!$B$9,C2177=Options!$B$10),75%,100%)-IF(C2177=DATE(2026,11,29),23+IF(Options!$B$8="是",22,0),0)-IF(C2177=DATE(2026,11,30),23,0)-IF(C2177=DATE(2026,12,1),59,0)-IF(C2177=DATE(2026,11,28),36,0)-IF(C2177=DATE(2026,12,2),23,0)))</f>
        <v/>
      </c>
      <c r="I2177" s="13">
        <f>IF(AND(C2177&gt;=DATE(2026,11,29),C2177&lt;=DATE(2026,12,1)),B2177*60,0)</f>
        <v/>
      </c>
      <c r="J2177" s="13">
        <f>IF(A2177="",0,B2177*(IF(C2177=DATE(2026,11,28),36,0)+IF(C2177=DATE(2026,12,1),36,0)+IF(C2177=DATE(2026,12,2),23,0)))</f>
        <v/>
      </c>
      <c r="K2177" s="13">
        <f>IF(C2177=Options!$B$9,B2177*12,0)</f>
        <v/>
      </c>
      <c r="L2177" s="13">
        <f>IF(C2177=Options!$B$9,B2177*Options!$Z$7,0)</f>
        <v/>
      </c>
      <c r="M2177" s="13" t="n">
        <v>0</v>
      </c>
      <c r="N2177" s="13">
        <f>SUM(E2177:M2177)</f>
        <v/>
      </c>
    </row>
    <row r="2178">
      <c r="A2178" s="5">
        <f>IF(AND(C2178&gt;=Options!$B$9,C2178&lt;=Options!$B$10),"Phoenix","")</f>
        <v/>
      </c>
      <c r="B2178" s="5">
        <f>IF(A2178="","",24)</f>
        <v/>
      </c>
      <c r="C2178" s="17" t="n">
        <v>46644</v>
      </c>
      <c r="D2178" s="5">
        <f>IF(A2178="","",IF(C2178=DATE(2026,11,29),"培训；注册午餐；早餐参数",IF(C2178=DATE(2026,11,30),"培训；注册午餐",IF(C2178=DATE(2026,12,1),"培训；注册午餐；机构晚餐",IF(C2178=Options!$B$9,"抵达；"&amp;IF(C2178=DATE(2026,11,28),"机构晚餐","无统一供餐"),IF(C2178=Options!$B$10,"返程；"&amp;IF(C2178=DATE(2026,12,2),"机构午餐","无统一供餐"),"差旅状态；无统一日程"))))))</f>
        <v/>
      </c>
      <c r="E2178" s="13">
        <f>IF(C2178=Options!$B$9,Options!$C$19,0)</f>
        <v/>
      </c>
      <c r="F2178" s="13">
        <f>IF(AND(A2178&lt;&gt;"",C2178&lt;Options!$B$10),B2178*Options!$X$7,0)</f>
        <v/>
      </c>
      <c r="G2178" s="13">
        <f>F2178*12%</f>
        <v/>
      </c>
      <c r="H2178" s="13">
        <f>IF(A2178="",0,B2178*(86*IF(OR(C2178=Options!$B$9,C2178=Options!$B$10),75%,100%)-IF(C2178=DATE(2026,11,29),23+IF(Options!$B$8="是",22,0),0)-IF(C2178=DATE(2026,11,30),23,0)-IF(C2178=DATE(2026,12,1),59,0)-IF(C2178=DATE(2026,11,28),36,0)-IF(C2178=DATE(2026,12,2),23,0)))</f>
        <v/>
      </c>
      <c r="I2178" s="13">
        <f>IF(AND(C2178&gt;=DATE(2026,11,29),C2178&lt;=DATE(2026,12,1)),B2178*60,0)</f>
        <v/>
      </c>
      <c r="J2178" s="13">
        <f>IF(A2178="",0,B2178*(IF(C2178=DATE(2026,11,28),36,0)+IF(C2178=DATE(2026,12,1),36,0)+IF(C2178=DATE(2026,12,2),23,0)))</f>
        <v/>
      </c>
      <c r="K2178" s="13">
        <f>IF(C2178=Options!$B$9,B2178*12,0)</f>
        <v/>
      </c>
      <c r="L2178" s="13">
        <f>IF(C2178=Options!$B$9,B2178*Options!$Z$7,0)</f>
        <v/>
      </c>
      <c r="M2178" s="13" t="n">
        <v>0</v>
      </c>
      <c r="N2178" s="13">
        <f>SUM(E2178:M2178)</f>
        <v/>
      </c>
    </row>
    <row r="2179">
      <c r="A2179" s="5">
        <f>IF(AND(C2179&gt;=Options!$B$9,C2179&lt;=Options!$B$10),"Phoenix","")</f>
        <v/>
      </c>
      <c r="B2179" s="5">
        <f>IF(A2179="","",24)</f>
        <v/>
      </c>
      <c r="C2179" s="17" t="n">
        <v>46645</v>
      </c>
      <c r="D2179" s="5">
        <f>IF(A2179="","",IF(C2179=DATE(2026,11,29),"培训；注册午餐；早餐参数",IF(C2179=DATE(2026,11,30),"培训；注册午餐",IF(C2179=DATE(2026,12,1),"培训；注册午餐；机构晚餐",IF(C2179=Options!$B$9,"抵达；"&amp;IF(C2179=DATE(2026,11,28),"机构晚餐","无统一供餐"),IF(C2179=Options!$B$10,"返程；"&amp;IF(C2179=DATE(2026,12,2),"机构午餐","无统一供餐"),"差旅状态；无统一日程"))))))</f>
        <v/>
      </c>
      <c r="E2179" s="13">
        <f>IF(C2179=Options!$B$9,Options!$C$19,0)</f>
        <v/>
      </c>
      <c r="F2179" s="13">
        <f>IF(AND(A2179&lt;&gt;"",C2179&lt;Options!$B$10),B2179*Options!$X$7,0)</f>
        <v/>
      </c>
      <c r="G2179" s="13">
        <f>F2179*12%</f>
        <v/>
      </c>
      <c r="H2179" s="13">
        <f>IF(A2179="",0,B2179*(86*IF(OR(C2179=Options!$B$9,C2179=Options!$B$10),75%,100%)-IF(C2179=DATE(2026,11,29),23+IF(Options!$B$8="是",22,0),0)-IF(C2179=DATE(2026,11,30),23,0)-IF(C2179=DATE(2026,12,1),59,0)-IF(C2179=DATE(2026,11,28),36,0)-IF(C2179=DATE(2026,12,2),23,0)))</f>
        <v/>
      </c>
      <c r="I2179" s="13">
        <f>IF(AND(C2179&gt;=DATE(2026,11,29),C2179&lt;=DATE(2026,12,1)),B2179*60,0)</f>
        <v/>
      </c>
      <c r="J2179" s="13">
        <f>IF(A2179="",0,B2179*(IF(C2179=DATE(2026,11,28),36,0)+IF(C2179=DATE(2026,12,1),36,0)+IF(C2179=DATE(2026,12,2),23,0)))</f>
        <v/>
      </c>
      <c r="K2179" s="13">
        <f>IF(C2179=Options!$B$9,B2179*12,0)</f>
        <v/>
      </c>
      <c r="L2179" s="13">
        <f>IF(C2179=Options!$B$9,B2179*Options!$Z$7,0)</f>
        <v/>
      </c>
      <c r="M2179" s="13" t="n">
        <v>0</v>
      </c>
      <c r="N2179" s="13">
        <f>SUM(E2179:M2179)</f>
        <v/>
      </c>
    </row>
    <row r="2180">
      <c r="A2180" s="5">
        <f>IF(AND(C2180&gt;=Options!$B$9,C2180&lt;=Options!$B$10),"Phoenix","")</f>
        <v/>
      </c>
      <c r="B2180" s="5">
        <f>IF(A2180="","",24)</f>
        <v/>
      </c>
      <c r="C2180" s="17" t="n">
        <v>46646</v>
      </c>
      <c r="D2180" s="5">
        <f>IF(A2180="","",IF(C2180=DATE(2026,11,29),"培训；注册午餐；早餐参数",IF(C2180=DATE(2026,11,30),"培训；注册午餐",IF(C2180=DATE(2026,12,1),"培训；注册午餐；机构晚餐",IF(C2180=Options!$B$9,"抵达；"&amp;IF(C2180=DATE(2026,11,28),"机构晚餐","无统一供餐"),IF(C2180=Options!$B$10,"返程；"&amp;IF(C2180=DATE(2026,12,2),"机构午餐","无统一供餐"),"差旅状态；无统一日程"))))))</f>
        <v/>
      </c>
      <c r="E2180" s="13">
        <f>IF(C2180=Options!$B$9,Options!$C$19,0)</f>
        <v/>
      </c>
      <c r="F2180" s="13">
        <f>IF(AND(A2180&lt;&gt;"",C2180&lt;Options!$B$10),B2180*Options!$X$7,0)</f>
        <v/>
      </c>
      <c r="G2180" s="13">
        <f>F2180*12%</f>
        <v/>
      </c>
      <c r="H2180" s="13">
        <f>IF(A2180="",0,B2180*(86*IF(OR(C2180=Options!$B$9,C2180=Options!$B$10),75%,100%)-IF(C2180=DATE(2026,11,29),23+IF(Options!$B$8="是",22,0),0)-IF(C2180=DATE(2026,11,30),23,0)-IF(C2180=DATE(2026,12,1),59,0)-IF(C2180=DATE(2026,11,28),36,0)-IF(C2180=DATE(2026,12,2),23,0)))</f>
        <v/>
      </c>
      <c r="I2180" s="13">
        <f>IF(AND(C2180&gt;=DATE(2026,11,29),C2180&lt;=DATE(2026,12,1)),B2180*60,0)</f>
        <v/>
      </c>
      <c r="J2180" s="13">
        <f>IF(A2180="",0,B2180*(IF(C2180=DATE(2026,11,28),36,0)+IF(C2180=DATE(2026,12,1),36,0)+IF(C2180=DATE(2026,12,2),23,0)))</f>
        <v/>
      </c>
      <c r="K2180" s="13">
        <f>IF(C2180=Options!$B$9,B2180*12,0)</f>
        <v/>
      </c>
      <c r="L2180" s="13">
        <f>IF(C2180=Options!$B$9,B2180*Options!$Z$7,0)</f>
        <v/>
      </c>
      <c r="M2180" s="13" t="n">
        <v>0</v>
      </c>
      <c r="N2180" s="13">
        <f>SUM(E2180:M2180)</f>
        <v/>
      </c>
    </row>
    <row r="2181">
      <c r="A2181" s="5">
        <f>IF(AND(C2181&gt;=Options!$B$9,C2181&lt;=Options!$B$10),"Phoenix","")</f>
        <v/>
      </c>
      <c r="B2181" s="5">
        <f>IF(A2181="","",24)</f>
        <v/>
      </c>
      <c r="C2181" s="17" t="n">
        <v>46647</v>
      </c>
      <c r="D2181" s="5">
        <f>IF(A2181="","",IF(C2181=DATE(2026,11,29),"培训；注册午餐；早餐参数",IF(C2181=DATE(2026,11,30),"培训；注册午餐",IF(C2181=DATE(2026,12,1),"培训；注册午餐；机构晚餐",IF(C2181=Options!$B$9,"抵达；"&amp;IF(C2181=DATE(2026,11,28),"机构晚餐","无统一供餐"),IF(C2181=Options!$B$10,"返程；"&amp;IF(C2181=DATE(2026,12,2),"机构午餐","无统一供餐"),"差旅状态；无统一日程"))))))</f>
        <v/>
      </c>
      <c r="E2181" s="13">
        <f>IF(C2181=Options!$B$9,Options!$C$19,0)</f>
        <v/>
      </c>
      <c r="F2181" s="13">
        <f>IF(AND(A2181&lt;&gt;"",C2181&lt;Options!$B$10),B2181*Options!$X$7,0)</f>
        <v/>
      </c>
      <c r="G2181" s="13">
        <f>F2181*12%</f>
        <v/>
      </c>
      <c r="H2181" s="13">
        <f>IF(A2181="",0,B2181*(86*IF(OR(C2181=Options!$B$9,C2181=Options!$B$10),75%,100%)-IF(C2181=DATE(2026,11,29),23+IF(Options!$B$8="是",22,0),0)-IF(C2181=DATE(2026,11,30),23,0)-IF(C2181=DATE(2026,12,1),59,0)-IF(C2181=DATE(2026,11,28),36,0)-IF(C2181=DATE(2026,12,2),23,0)))</f>
        <v/>
      </c>
      <c r="I2181" s="13">
        <f>IF(AND(C2181&gt;=DATE(2026,11,29),C2181&lt;=DATE(2026,12,1)),B2181*60,0)</f>
        <v/>
      </c>
      <c r="J2181" s="13">
        <f>IF(A2181="",0,B2181*(IF(C2181=DATE(2026,11,28),36,0)+IF(C2181=DATE(2026,12,1),36,0)+IF(C2181=DATE(2026,12,2),23,0)))</f>
        <v/>
      </c>
      <c r="K2181" s="13">
        <f>IF(C2181=Options!$B$9,B2181*12,0)</f>
        <v/>
      </c>
      <c r="L2181" s="13">
        <f>IF(C2181=Options!$B$9,B2181*Options!$Z$7,0)</f>
        <v/>
      </c>
      <c r="M2181" s="13" t="n">
        <v>0</v>
      </c>
      <c r="N2181" s="13">
        <f>SUM(E2181:M2181)</f>
        <v/>
      </c>
    </row>
    <row r="2182">
      <c r="A2182" s="5">
        <f>IF(AND(C2182&gt;=Options!$B$9,C2182&lt;=Options!$B$10),"Phoenix","")</f>
        <v/>
      </c>
      <c r="B2182" s="5">
        <f>IF(A2182="","",24)</f>
        <v/>
      </c>
      <c r="C2182" s="17" t="n">
        <v>46648</v>
      </c>
      <c r="D2182" s="5">
        <f>IF(A2182="","",IF(C2182=DATE(2026,11,29),"培训；注册午餐；早餐参数",IF(C2182=DATE(2026,11,30),"培训；注册午餐",IF(C2182=DATE(2026,12,1),"培训；注册午餐；机构晚餐",IF(C2182=Options!$B$9,"抵达；"&amp;IF(C2182=DATE(2026,11,28),"机构晚餐","无统一供餐"),IF(C2182=Options!$B$10,"返程；"&amp;IF(C2182=DATE(2026,12,2),"机构午餐","无统一供餐"),"差旅状态；无统一日程"))))))</f>
        <v/>
      </c>
      <c r="E2182" s="13">
        <f>IF(C2182=Options!$B$9,Options!$C$19,0)</f>
        <v/>
      </c>
      <c r="F2182" s="13">
        <f>IF(AND(A2182&lt;&gt;"",C2182&lt;Options!$B$10),B2182*Options!$X$7,0)</f>
        <v/>
      </c>
      <c r="G2182" s="13">
        <f>F2182*12%</f>
        <v/>
      </c>
      <c r="H2182" s="13">
        <f>IF(A2182="",0,B2182*(86*IF(OR(C2182=Options!$B$9,C2182=Options!$B$10),75%,100%)-IF(C2182=DATE(2026,11,29),23+IF(Options!$B$8="是",22,0),0)-IF(C2182=DATE(2026,11,30),23,0)-IF(C2182=DATE(2026,12,1),59,0)-IF(C2182=DATE(2026,11,28),36,0)-IF(C2182=DATE(2026,12,2),23,0)))</f>
        <v/>
      </c>
      <c r="I2182" s="13">
        <f>IF(AND(C2182&gt;=DATE(2026,11,29),C2182&lt;=DATE(2026,12,1)),B2182*60,0)</f>
        <v/>
      </c>
      <c r="J2182" s="13">
        <f>IF(A2182="",0,B2182*(IF(C2182=DATE(2026,11,28),36,0)+IF(C2182=DATE(2026,12,1),36,0)+IF(C2182=DATE(2026,12,2),23,0)))</f>
        <v/>
      </c>
      <c r="K2182" s="13">
        <f>IF(C2182=Options!$B$9,B2182*12,0)</f>
        <v/>
      </c>
      <c r="L2182" s="13">
        <f>IF(C2182=Options!$B$9,B2182*Options!$Z$7,0)</f>
        <v/>
      </c>
      <c r="M2182" s="13" t="n">
        <v>0</v>
      </c>
      <c r="N2182" s="13">
        <f>SUM(E2182:M2182)</f>
        <v/>
      </c>
    </row>
    <row r="2183">
      <c r="A2183" s="5">
        <f>IF(AND(C2183&gt;=Options!$B$9,C2183&lt;=Options!$B$10),"Phoenix","")</f>
        <v/>
      </c>
      <c r="B2183" s="5">
        <f>IF(A2183="","",24)</f>
        <v/>
      </c>
      <c r="C2183" s="17" t="n">
        <v>46649</v>
      </c>
      <c r="D2183" s="5">
        <f>IF(A2183="","",IF(C2183=DATE(2026,11,29),"培训；注册午餐；早餐参数",IF(C2183=DATE(2026,11,30),"培训；注册午餐",IF(C2183=DATE(2026,12,1),"培训；注册午餐；机构晚餐",IF(C2183=Options!$B$9,"抵达；"&amp;IF(C2183=DATE(2026,11,28),"机构晚餐","无统一供餐"),IF(C2183=Options!$B$10,"返程；"&amp;IF(C2183=DATE(2026,12,2),"机构午餐","无统一供餐"),"差旅状态；无统一日程"))))))</f>
        <v/>
      </c>
      <c r="E2183" s="13">
        <f>IF(C2183=Options!$B$9,Options!$C$19,0)</f>
        <v/>
      </c>
      <c r="F2183" s="13">
        <f>IF(AND(A2183&lt;&gt;"",C2183&lt;Options!$B$10),B2183*Options!$X$7,0)</f>
        <v/>
      </c>
      <c r="G2183" s="13">
        <f>F2183*12%</f>
        <v/>
      </c>
      <c r="H2183" s="13">
        <f>IF(A2183="",0,B2183*(86*IF(OR(C2183=Options!$B$9,C2183=Options!$B$10),75%,100%)-IF(C2183=DATE(2026,11,29),23+IF(Options!$B$8="是",22,0),0)-IF(C2183=DATE(2026,11,30),23,0)-IF(C2183=DATE(2026,12,1),59,0)-IF(C2183=DATE(2026,11,28),36,0)-IF(C2183=DATE(2026,12,2),23,0)))</f>
        <v/>
      </c>
      <c r="I2183" s="13">
        <f>IF(AND(C2183&gt;=DATE(2026,11,29),C2183&lt;=DATE(2026,12,1)),B2183*60,0)</f>
        <v/>
      </c>
      <c r="J2183" s="13">
        <f>IF(A2183="",0,B2183*(IF(C2183=DATE(2026,11,28),36,0)+IF(C2183=DATE(2026,12,1),36,0)+IF(C2183=DATE(2026,12,2),23,0)))</f>
        <v/>
      </c>
      <c r="K2183" s="13">
        <f>IF(C2183=Options!$B$9,B2183*12,0)</f>
        <v/>
      </c>
      <c r="L2183" s="13">
        <f>IF(C2183=Options!$B$9,B2183*Options!$Z$7,0)</f>
        <v/>
      </c>
      <c r="M2183" s="13" t="n">
        <v>0</v>
      </c>
      <c r="N2183" s="13">
        <f>SUM(E2183:M2183)</f>
        <v/>
      </c>
    </row>
    <row r="2184">
      <c r="A2184" s="5">
        <f>IF(AND(C2184&gt;=Options!$B$9,C2184&lt;=Options!$B$10),"Phoenix","")</f>
        <v/>
      </c>
      <c r="B2184" s="5">
        <f>IF(A2184="","",24)</f>
        <v/>
      </c>
      <c r="C2184" s="17" t="n">
        <v>46650</v>
      </c>
      <c r="D2184" s="5">
        <f>IF(A2184="","",IF(C2184=DATE(2026,11,29),"培训；注册午餐；早餐参数",IF(C2184=DATE(2026,11,30),"培训；注册午餐",IF(C2184=DATE(2026,12,1),"培训；注册午餐；机构晚餐",IF(C2184=Options!$B$9,"抵达；"&amp;IF(C2184=DATE(2026,11,28),"机构晚餐","无统一供餐"),IF(C2184=Options!$B$10,"返程；"&amp;IF(C2184=DATE(2026,12,2),"机构午餐","无统一供餐"),"差旅状态；无统一日程"))))))</f>
        <v/>
      </c>
      <c r="E2184" s="13">
        <f>IF(C2184=Options!$B$9,Options!$C$19,0)</f>
        <v/>
      </c>
      <c r="F2184" s="13">
        <f>IF(AND(A2184&lt;&gt;"",C2184&lt;Options!$B$10),B2184*Options!$X$7,0)</f>
        <v/>
      </c>
      <c r="G2184" s="13">
        <f>F2184*12%</f>
        <v/>
      </c>
      <c r="H2184" s="13">
        <f>IF(A2184="",0,B2184*(86*IF(OR(C2184=Options!$B$9,C2184=Options!$B$10),75%,100%)-IF(C2184=DATE(2026,11,29),23+IF(Options!$B$8="是",22,0),0)-IF(C2184=DATE(2026,11,30),23,0)-IF(C2184=DATE(2026,12,1),59,0)-IF(C2184=DATE(2026,11,28),36,0)-IF(C2184=DATE(2026,12,2),23,0)))</f>
        <v/>
      </c>
      <c r="I2184" s="13">
        <f>IF(AND(C2184&gt;=DATE(2026,11,29),C2184&lt;=DATE(2026,12,1)),B2184*60,0)</f>
        <v/>
      </c>
      <c r="J2184" s="13">
        <f>IF(A2184="",0,B2184*(IF(C2184=DATE(2026,11,28),36,0)+IF(C2184=DATE(2026,12,1),36,0)+IF(C2184=DATE(2026,12,2),23,0)))</f>
        <v/>
      </c>
      <c r="K2184" s="13">
        <f>IF(C2184=Options!$B$9,B2184*12,0)</f>
        <v/>
      </c>
      <c r="L2184" s="13">
        <f>IF(C2184=Options!$B$9,B2184*Options!$Z$7,0)</f>
        <v/>
      </c>
      <c r="M2184" s="13" t="n">
        <v>0</v>
      </c>
      <c r="N2184" s="13">
        <f>SUM(E2184:M2184)</f>
        <v/>
      </c>
    </row>
    <row r="2185">
      <c r="A2185" s="5">
        <f>IF(AND(C2185&gt;=Options!$B$9,C2185&lt;=Options!$B$10),"Phoenix","")</f>
        <v/>
      </c>
      <c r="B2185" s="5">
        <f>IF(A2185="","",24)</f>
        <v/>
      </c>
      <c r="C2185" s="17" t="n">
        <v>46651</v>
      </c>
      <c r="D2185" s="5">
        <f>IF(A2185="","",IF(C2185=DATE(2026,11,29),"培训；注册午餐；早餐参数",IF(C2185=DATE(2026,11,30),"培训；注册午餐",IF(C2185=DATE(2026,12,1),"培训；注册午餐；机构晚餐",IF(C2185=Options!$B$9,"抵达；"&amp;IF(C2185=DATE(2026,11,28),"机构晚餐","无统一供餐"),IF(C2185=Options!$B$10,"返程；"&amp;IF(C2185=DATE(2026,12,2),"机构午餐","无统一供餐"),"差旅状态；无统一日程"))))))</f>
        <v/>
      </c>
      <c r="E2185" s="13">
        <f>IF(C2185=Options!$B$9,Options!$C$19,0)</f>
        <v/>
      </c>
      <c r="F2185" s="13">
        <f>IF(AND(A2185&lt;&gt;"",C2185&lt;Options!$B$10),B2185*Options!$X$7,0)</f>
        <v/>
      </c>
      <c r="G2185" s="13">
        <f>F2185*12%</f>
        <v/>
      </c>
      <c r="H2185" s="13">
        <f>IF(A2185="",0,B2185*(86*IF(OR(C2185=Options!$B$9,C2185=Options!$B$10),75%,100%)-IF(C2185=DATE(2026,11,29),23+IF(Options!$B$8="是",22,0),0)-IF(C2185=DATE(2026,11,30),23,0)-IF(C2185=DATE(2026,12,1),59,0)-IF(C2185=DATE(2026,11,28),36,0)-IF(C2185=DATE(2026,12,2),23,0)))</f>
        <v/>
      </c>
      <c r="I2185" s="13">
        <f>IF(AND(C2185&gt;=DATE(2026,11,29),C2185&lt;=DATE(2026,12,1)),B2185*60,0)</f>
        <v/>
      </c>
      <c r="J2185" s="13">
        <f>IF(A2185="",0,B2185*(IF(C2185=DATE(2026,11,28),36,0)+IF(C2185=DATE(2026,12,1),36,0)+IF(C2185=DATE(2026,12,2),23,0)))</f>
        <v/>
      </c>
      <c r="K2185" s="13">
        <f>IF(C2185=Options!$B$9,B2185*12,0)</f>
        <v/>
      </c>
      <c r="L2185" s="13">
        <f>IF(C2185=Options!$B$9,B2185*Options!$Z$7,0)</f>
        <v/>
      </c>
      <c r="M2185" s="13" t="n">
        <v>0</v>
      </c>
      <c r="N2185" s="13">
        <f>SUM(E2185:M2185)</f>
        <v/>
      </c>
    </row>
    <row r="2186">
      <c r="A2186" s="5">
        <f>IF(AND(C2186&gt;=Options!$B$9,C2186&lt;=Options!$B$10),"Phoenix","")</f>
        <v/>
      </c>
      <c r="B2186" s="5">
        <f>IF(A2186="","",24)</f>
        <v/>
      </c>
      <c r="C2186" s="17" t="n">
        <v>46652</v>
      </c>
      <c r="D2186" s="5">
        <f>IF(A2186="","",IF(C2186=DATE(2026,11,29),"培训；注册午餐；早餐参数",IF(C2186=DATE(2026,11,30),"培训；注册午餐",IF(C2186=DATE(2026,12,1),"培训；注册午餐；机构晚餐",IF(C2186=Options!$B$9,"抵达；"&amp;IF(C2186=DATE(2026,11,28),"机构晚餐","无统一供餐"),IF(C2186=Options!$B$10,"返程；"&amp;IF(C2186=DATE(2026,12,2),"机构午餐","无统一供餐"),"差旅状态；无统一日程"))))))</f>
        <v/>
      </c>
      <c r="E2186" s="13">
        <f>IF(C2186=Options!$B$9,Options!$C$19,0)</f>
        <v/>
      </c>
      <c r="F2186" s="13">
        <f>IF(AND(A2186&lt;&gt;"",C2186&lt;Options!$B$10),B2186*Options!$X$7,0)</f>
        <v/>
      </c>
      <c r="G2186" s="13">
        <f>F2186*12%</f>
        <v/>
      </c>
      <c r="H2186" s="13">
        <f>IF(A2186="",0,B2186*(86*IF(OR(C2186=Options!$B$9,C2186=Options!$B$10),75%,100%)-IF(C2186=DATE(2026,11,29),23+IF(Options!$B$8="是",22,0),0)-IF(C2186=DATE(2026,11,30),23,0)-IF(C2186=DATE(2026,12,1),59,0)-IF(C2186=DATE(2026,11,28),36,0)-IF(C2186=DATE(2026,12,2),23,0)))</f>
        <v/>
      </c>
      <c r="I2186" s="13">
        <f>IF(AND(C2186&gt;=DATE(2026,11,29),C2186&lt;=DATE(2026,12,1)),B2186*60,0)</f>
        <v/>
      </c>
      <c r="J2186" s="13">
        <f>IF(A2186="",0,B2186*(IF(C2186=DATE(2026,11,28),36,0)+IF(C2186=DATE(2026,12,1),36,0)+IF(C2186=DATE(2026,12,2),23,0)))</f>
        <v/>
      </c>
      <c r="K2186" s="13">
        <f>IF(C2186=Options!$B$9,B2186*12,0)</f>
        <v/>
      </c>
      <c r="L2186" s="13">
        <f>IF(C2186=Options!$B$9,B2186*Options!$Z$7,0)</f>
        <v/>
      </c>
      <c r="M2186" s="13" t="n">
        <v>0</v>
      </c>
      <c r="N2186" s="13">
        <f>SUM(E2186:M2186)</f>
        <v/>
      </c>
    </row>
    <row r="2187">
      <c r="A2187" s="5">
        <f>IF(AND(C2187&gt;=Options!$B$9,C2187&lt;=Options!$B$10),"Phoenix","")</f>
        <v/>
      </c>
      <c r="B2187" s="5">
        <f>IF(A2187="","",24)</f>
        <v/>
      </c>
      <c r="C2187" s="17" t="n">
        <v>46653</v>
      </c>
      <c r="D2187" s="5">
        <f>IF(A2187="","",IF(C2187=DATE(2026,11,29),"培训；注册午餐；早餐参数",IF(C2187=DATE(2026,11,30),"培训；注册午餐",IF(C2187=DATE(2026,12,1),"培训；注册午餐；机构晚餐",IF(C2187=Options!$B$9,"抵达；"&amp;IF(C2187=DATE(2026,11,28),"机构晚餐","无统一供餐"),IF(C2187=Options!$B$10,"返程；"&amp;IF(C2187=DATE(2026,12,2),"机构午餐","无统一供餐"),"差旅状态；无统一日程"))))))</f>
        <v/>
      </c>
      <c r="E2187" s="13">
        <f>IF(C2187=Options!$B$9,Options!$C$19,0)</f>
        <v/>
      </c>
      <c r="F2187" s="13">
        <f>IF(AND(A2187&lt;&gt;"",C2187&lt;Options!$B$10),B2187*Options!$X$7,0)</f>
        <v/>
      </c>
      <c r="G2187" s="13">
        <f>F2187*12%</f>
        <v/>
      </c>
      <c r="H2187" s="13">
        <f>IF(A2187="",0,B2187*(86*IF(OR(C2187=Options!$B$9,C2187=Options!$B$10),75%,100%)-IF(C2187=DATE(2026,11,29),23+IF(Options!$B$8="是",22,0),0)-IF(C2187=DATE(2026,11,30),23,0)-IF(C2187=DATE(2026,12,1),59,0)-IF(C2187=DATE(2026,11,28),36,0)-IF(C2187=DATE(2026,12,2),23,0)))</f>
        <v/>
      </c>
      <c r="I2187" s="13">
        <f>IF(AND(C2187&gt;=DATE(2026,11,29),C2187&lt;=DATE(2026,12,1)),B2187*60,0)</f>
        <v/>
      </c>
      <c r="J2187" s="13">
        <f>IF(A2187="",0,B2187*(IF(C2187=DATE(2026,11,28),36,0)+IF(C2187=DATE(2026,12,1),36,0)+IF(C2187=DATE(2026,12,2),23,0)))</f>
        <v/>
      </c>
      <c r="K2187" s="13">
        <f>IF(C2187=Options!$B$9,B2187*12,0)</f>
        <v/>
      </c>
      <c r="L2187" s="13">
        <f>IF(C2187=Options!$B$9,B2187*Options!$Z$7,0)</f>
        <v/>
      </c>
      <c r="M2187" s="13" t="n">
        <v>0</v>
      </c>
      <c r="N2187" s="13">
        <f>SUM(E2187:M2187)</f>
        <v/>
      </c>
    </row>
    <row r="2188">
      <c r="A2188" s="5">
        <f>IF(AND(C2188&gt;=Options!$B$9,C2188&lt;=Options!$B$10),"Phoenix","")</f>
        <v/>
      </c>
      <c r="B2188" s="5">
        <f>IF(A2188="","",24)</f>
        <v/>
      </c>
      <c r="C2188" s="17" t="n">
        <v>46654</v>
      </c>
      <c r="D2188" s="5">
        <f>IF(A2188="","",IF(C2188=DATE(2026,11,29),"培训；注册午餐；早餐参数",IF(C2188=DATE(2026,11,30),"培训；注册午餐",IF(C2188=DATE(2026,12,1),"培训；注册午餐；机构晚餐",IF(C2188=Options!$B$9,"抵达；"&amp;IF(C2188=DATE(2026,11,28),"机构晚餐","无统一供餐"),IF(C2188=Options!$B$10,"返程；"&amp;IF(C2188=DATE(2026,12,2),"机构午餐","无统一供餐"),"差旅状态；无统一日程"))))))</f>
        <v/>
      </c>
      <c r="E2188" s="13">
        <f>IF(C2188=Options!$B$9,Options!$C$19,0)</f>
        <v/>
      </c>
      <c r="F2188" s="13">
        <f>IF(AND(A2188&lt;&gt;"",C2188&lt;Options!$B$10),B2188*Options!$X$7,0)</f>
        <v/>
      </c>
      <c r="G2188" s="13">
        <f>F2188*12%</f>
        <v/>
      </c>
      <c r="H2188" s="13">
        <f>IF(A2188="",0,B2188*(86*IF(OR(C2188=Options!$B$9,C2188=Options!$B$10),75%,100%)-IF(C2188=DATE(2026,11,29),23+IF(Options!$B$8="是",22,0),0)-IF(C2188=DATE(2026,11,30),23,0)-IF(C2188=DATE(2026,12,1),59,0)-IF(C2188=DATE(2026,11,28),36,0)-IF(C2188=DATE(2026,12,2),23,0)))</f>
        <v/>
      </c>
      <c r="I2188" s="13">
        <f>IF(AND(C2188&gt;=DATE(2026,11,29),C2188&lt;=DATE(2026,12,1)),B2188*60,0)</f>
        <v/>
      </c>
      <c r="J2188" s="13">
        <f>IF(A2188="",0,B2188*(IF(C2188=DATE(2026,11,28),36,0)+IF(C2188=DATE(2026,12,1),36,0)+IF(C2188=DATE(2026,12,2),23,0)))</f>
        <v/>
      </c>
      <c r="K2188" s="13">
        <f>IF(C2188=Options!$B$9,B2188*12,0)</f>
        <v/>
      </c>
      <c r="L2188" s="13">
        <f>IF(C2188=Options!$B$9,B2188*Options!$Z$7,0)</f>
        <v/>
      </c>
      <c r="M2188" s="13" t="n">
        <v>0</v>
      </c>
      <c r="N2188" s="13">
        <f>SUM(E2188:M2188)</f>
        <v/>
      </c>
    </row>
    <row r="2189">
      <c r="A2189" s="5">
        <f>IF(AND(C2189&gt;=Options!$B$9,C2189&lt;=Options!$B$10),"Phoenix","")</f>
        <v/>
      </c>
      <c r="B2189" s="5">
        <f>IF(A2189="","",24)</f>
        <v/>
      </c>
      <c r="C2189" s="17" t="n">
        <v>46655</v>
      </c>
      <c r="D2189" s="5">
        <f>IF(A2189="","",IF(C2189=DATE(2026,11,29),"培训；注册午餐；早餐参数",IF(C2189=DATE(2026,11,30),"培训；注册午餐",IF(C2189=DATE(2026,12,1),"培训；注册午餐；机构晚餐",IF(C2189=Options!$B$9,"抵达；"&amp;IF(C2189=DATE(2026,11,28),"机构晚餐","无统一供餐"),IF(C2189=Options!$B$10,"返程；"&amp;IF(C2189=DATE(2026,12,2),"机构午餐","无统一供餐"),"差旅状态；无统一日程"))))))</f>
        <v/>
      </c>
      <c r="E2189" s="13">
        <f>IF(C2189=Options!$B$9,Options!$C$19,0)</f>
        <v/>
      </c>
      <c r="F2189" s="13">
        <f>IF(AND(A2189&lt;&gt;"",C2189&lt;Options!$B$10),B2189*Options!$X$7,0)</f>
        <v/>
      </c>
      <c r="G2189" s="13">
        <f>F2189*12%</f>
        <v/>
      </c>
      <c r="H2189" s="13">
        <f>IF(A2189="",0,B2189*(86*IF(OR(C2189=Options!$B$9,C2189=Options!$B$10),75%,100%)-IF(C2189=DATE(2026,11,29),23+IF(Options!$B$8="是",22,0),0)-IF(C2189=DATE(2026,11,30),23,0)-IF(C2189=DATE(2026,12,1),59,0)-IF(C2189=DATE(2026,11,28),36,0)-IF(C2189=DATE(2026,12,2),23,0)))</f>
        <v/>
      </c>
      <c r="I2189" s="13">
        <f>IF(AND(C2189&gt;=DATE(2026,11,29),C2189&lt;=DATE(2026,12,1)),B2189*60,0)</f>
        <v/>
      </c>
      <c r="J2189" s="13">
        <f>IF(A2189="",0,B2189*(IF(C2189=DATE(2026,11,28),36,0)+IF(C2189=DATE(2026,12,1),36,0)+IF(C2189=DATE(2026,12,2),23,0)))</f>
        <v/>
      </c>
      <c r="K2189" s="13">
        <f>IF(C2189=Options!$B$9,B2189*12,0)</f>
        <v/>
      </c>
      <c r="L2189" s="13">
        <f>IF(C2189=Options!$B$9,B2189*Options!$Z$7,0)</f>
        <v/>
      </c>
      <c r="M2189" s="13" t="n">
        <v>0</v>
      </c>
      <c r="N2189" s="13">
        <f>SUM(E2189:M2189)</f>
        <v/>
      </c>
    </row>
    <row r="2190">
      <c r="A2190" s="5">
        <f>IF(AND(C2190&gt;=Options!$B$9,C2190&lt;=Options!$B$10),"Phoenix","")</f>
        <v/>
      </c>
      <c r="B2190" s="5">
        <f>IF(A2190="","",24)</f>
        <v/>
      </c>
      <c r="C2190" s="17" t="n">
        <v>46656</v>
      </c>
      <c r="D2190" s="5">
        <f>IF(A2190="","",IF(C2190=DATE(2026,11,29),"培训；注册午餐；早餐参数",IF(C2190=DATE(2026,11,30),"培训；注册午餐",IF(C2190=DATE(2026,12,1),"培训；注册午餐；机构晚餐",IF(C2190=Options!$B$9,"抵达；"&amp;IF(C2190=DATE(2026,11,28),"机构晚餐","无统一供餐"),IF(C2190=Options!$B$10,"返程；"&amp;IF(C2190=DATE(2026,12,2),"机构午餐","无统一供餐"),"差旅状态；无统一日程"))))))</f>
        <v/>
      </c>
      <c r="E2190" s="13">
        <f>IF(C2190=Options!$B$9,Options!$C$19,0)</f>
        <v/>
      </c>
      <c r="F2190" s="13">
        <f>IF(AND(A2190&lt;&gt;"",C2190&lt;Options!$B$10),B2190*Options!$X$7,0)</f>
        <v/>
      </c>
      <c r="G2190" s="13">
        <f>F2190*12%</f>
        <v/>
      </c>
      <c r="H2190" s="13">
        <f>IF(A2190="",0,B2190*(86*IF(OR(C2190=Options!$B$9,C2190=Options!$B$10),75%,100%)-IF(C2190=DATE(2026,11,29),23+IF(Options!$B$8="是",22,0),0)-IF(C2190=DATE(2026,11,30),23,0)-IF(C2190=DATE(2026,12,1),59,0)-IF(C2190=DATE(2026,11,28),36,0)-IF(C2190=DATE(2026,12,2),23,0)))</f>
        <v/>
      </c>
      <c r="I2190" s="13">
        <f>IF(AND(C2190&gt;=DATE(2026,11,29),C2190&lt;=DATE(2026,12,1)),B2190*60,0)</f>
        <v/>
      </c>
      <c r="J2190" s="13">
        <f>IF(A2190="",0,B2190*(IF(C2190=DATE(2026,11,28),36,0)+IF(C2190=DATE(2026,12,1),36,0)+IF(C2190=DATE(2026,12,2),23,0)))</f>
        <v/>
      </c>
      <c r="K2190" s="13">
        <f>IF(C2190=Options!$B$9,B2190*12,0)</f>
        <v/>
      </c>
      <c r="L2190" s="13">
        <f>IF(C2190=Options!$B$9,B2190*Options!$Z$7,0)</f>
        <v/>
      </c>
      <c r="M2190" s="13" t="n">
        <v>0</v>
      </c>
      <c r="N2190" s="13">
        <f>SUM(E2190:M2190)</f>
        <v/>
      </c>
    </row>
    <row r="2191">
      <c r="A2191" s="5">
        <f>IF(AND(C2191&gt;=Options!$B$9,C2191&lt;=Options!$B$10),"Phoenix","")</f>
        <v/>
      </c>
      <c r="B2191" s="5">
        <f>IF(A2191="","",24)</f>
        <v/>
      </c>
      <c r="C2191" s="17" t="n">
        <v>46657</v>
      </c>
      <c r="D2191" s="5">
        <f>IF(A2191="","",IF(C2191=DATE(2026,11,29),"培训；注册午餐；早餐参数",IF(C2191=DATE(2026,11,30),"培训；注册午餐",IF(C2191=DATE(2026,12,1),"培训；注册午餐；机构晚餐",IF(C2191=Options!$B$9,"抵达；"&amp;IF(C2191=DATE(2026,11,28),"机构晚餐","无统一供餐"),IF(C2191=Options!$B$10,"返程；"&amp;IF(C2191=DATE(2026,12,2),"机构午餐","无统一供餐"),"差旅状态；无统一日程"))))))</f>
        <v/>
      </c>
      <c r="E2191" s="13">
        <f>IF(C2191=Options!$B$9,Options!$C$19,0)</f>
        <v/>
      </c>
      <c r="F2191" s="13">
        <f>IF(AND(A2191&lt;&gt;"",C2191&lt;Options!$B$10),B2191*Options!$X$7,0)</f>
        <v/>
      </c>
      <c r="G2191" s="13">
        <f>F2191*12%</f>
        <v/>
      </c>
      <c r="H2191" s="13">
        <f>IF(A2191="",0,B2191*(86*IF(OR(C2191=Options!$B$9,C2191=Options!$B$10),75%,100%)-IF(C2191=DATE(2026,11,29),23+IF(Options!$B$8="是",22,0),0)-IF(C2191=DATE(2026,11,30),23,0)-IF(C2191=DATE(2026,12,1),59,0)-IF(C2191=DATE(2026,11,28),36,0)-IF(C2191=DATE(2026,12,2),23,0)))</f>
        <v/>
      </c>
      <c r="I2191" s="13">
        <f>IF(AND(C2191&gt;=DATE(2026,11,29),C2191&lt;=DATE(2026,12,1)),B2191*60,0)</f>
        <v/>
      </c>
      <c r="J2191" s="13">
        <f>IF(A2191="",0,B2191*(IF(C2191=DATE(2026,11,28),36,0)+IF(C2191=DATE(2026,12,1),36,0)+IF(C2191=DATE(2026,12,2),23,0)))</f>
        <v/>
      </c>
      <c r="K2191" s="13">
        <f>IF(C2191=Options!$B$9,B2191*12,0)</f>
        <v/>
      </c>
      <c r="L2191" s="13">
        <f>IF(C2191=Options!$B$9,B2191*Options!$Z$7,0)</f>
        <v/>
      </c>
      <c r="M2191" s="13" t="n">
        <v>0</v>
      </c>
      <c r="N2191" s="13">
        <f>SUM(E2191:M2191)</f>
        <v/>
      </c>
    </row>
    <row r="2192">
      <c r="A2192" s="5">
        <f>IF(AND(C2192&gt;=Options!$B$9,C2192&lt;=Options!$B$10),"Phoenix","")</f>
        <v/>
      </c>
      <c r="B2192" s="5">
        <f>IF(A2192="","",24)</f>
        <v/>
      </c>
      <c r="C2192" s="17" t="n">
        <v>46658</v>
      </c>
      <c r="D2192" s="5">
        <f>IF(A2192="","",IF(C2192=DATE(2026,11,29),"培训；注册午餐；早餐参数",IF(C2192=DATE(2026,11,30),"培训；注册午餐",IF(C2192=DATE(2026,12,1),"培训；注册午餐；机构晚餐",IF(C2192=Options!$B$9,"抵达；"&amp;IF(C2192=DATE(2026,11,28),"机构晚餐","无统一供餐"),IF(C2192=Options!$B$10,"返程；"&amp;IF(C2192=DATE(2026,12,2),"机构午餐","无统一供餐"),"差旅状态；无统一日程"))))))</f>
        <v/>
      </c>
      <c r="E2192" s="13">
        <f>IF(C2192=Options!$B$9,Options!$C$19,0)</f>
        <v/>
      </c>
      <c r="F2192" s="13">
        <f>IF(AND(A2192&lt;&gt;"",C2192&lt;Options!$B$10),B2192*Options!$X$7,0)</f>
        <v/>
      </c>
      <c r="G2192" s="13">
        <f>F2192*12%</f>
        <v/>
      </c>
      <c r="H2192" s="13">
        <f>IF(A2192="",0,B2192*(86*IF(OR(C2192=Options!$B$9,C2192=Options!$B$10),75%,100%)-IF(C2192=DATE(2026,11,29),23+IF(Options!$B$8="是",22,0),0)-IF(C2192=DATE(2026,11,30),23,0)-IF(C2192=DATE(2026,12,1),59,0)-IF(C2192=DATE(2026,11,28),36,0)-IF(C2192=DATE(2026,12,2),23,0)))</f>
        <v/>
      </c>
      <c r="I2192" s="13">
        <f>IF(AND(C2192&gt;=DATE(2026,11,29),C2192&lt;=DATE(2026,12,1)),B2192*60,0)</f>
        <v/>
      </c>
      <c r="J2192" s="13">
        <f>IF(A2192="",0,B2192*(IF(C2192=DATE(2026,11,28),36,0)+IF(C2192=DATE(2026,12,1),36,0)+IF(C2192=DATE(2026,12,2),23,0)))</f>
        <v/>
      </c>
      <c r="K2192" s="13">
        <f>IF(C2192=Options!$B$9,B2192*12,0)</f>
        <v/>
      </c>
      <c r="L2192" s="13">
        <f>IF(C2192=Options!$B$9,B2192*Options!$Z$7,0)</f>
        <v/>
      </c>
      <c r="M2192" s="13" t="n">
        <v>0</v>
      </c>
      <c r="N2192" s="13">
        <f>SUM(E2192:M2192)</f>
        <v/>
      </c>
    </row>
    <row r="2193">
      <c r="A2193" s="5">
        <f>IF(AND(C2193&gt;=Options!$B$9,C2193&lt;=Options!$B$10),"Phoenix","")</f>
        <v/>
      </c>
      <c r="B2193" s="5">
        <f>IF(A2193="","",24)</f>
        <v/>
      </c>
      <c r="C2193" s="17" t="n">
        <v>46659</v>
      </c>
      <c r="D2193" s="5">
        <f>IF(A2193="","",IF(C2193=DATE(2026,11,29),"培训；注册午餐；早餐参数",IF(C2193=DATE(2026,11,30),"培训；注册午餐",IF(C2193=DATE(2026,12,1),"培训；注册午餐；机构晚餐",IF(C2193=Options!$B$9,"抵达；"&amp;IF(C2193=DATE(2026,11,28),"机构晚餐","无统一供餐"),IF(C2193=Options!$B$10,"返程；"&amp;IF(C2193=DATE(2026,12,2),"机构午餐","无统一供餐"),"差旅状态；无统一日程"))))))</f>
        <v/>
      </c>
      <c r="E2193" s="13">
        <f>IF(C2193=Options!$B$9,Options!$C$19,0)</f>
        <v/>
      </c>
      <c r="F2193" s="13">
        <f>IF(AND(A2193&lt;&gt;"",C2193&lt;Options!$B$10),B2193*Options!$X$7,0)</f>
        <v/>
      </c>
      <c r="G2193" s="13">
        <f>F2193*12%</f>
        <v/>
      </c>
      <c r="H2193" s="13">
        <f>IF(A2193="",0,B2193*(86*IF(OR(C2193=Options!$B$9,C2193=Options!$B$10),75%,100%)-IF(C2193=DATE(2026,11,29),23+IF(Options!$B$8="是",22,0),0)-IF(C2193=DATE(2026,11,30),23,0)-IF(C2193=DATE(2026,12,1),59,0)-IF(C2193=DATE(2026,11,28),36,0)-IF(C2193=DATE(2026,12,2),23,0)))</f>
        <v/>
      </c>
      <c r="I2193" s="13">
        <f>IF(AND(C2193&gt;=DATE(2026,11,29),C2193&lt;=DATE(2026,12,1)),B2193*60,0)</f>
        <v/>
      </c>
      <c r="J2193" s="13">
        <f>IF(A2193="",0,B2193*(IF(C2193=DATE(2026,11,28),36,0)+IF(C2193=DATE(2026,12,1),36,0)+IF(C2193=DATE(2026,12,2),23,0)))</f>
        <v/>
      </c>
      <c r="K2193" s="13">
        <f>IF(C2193=Options!$B$9,B2193*12,0)</f>
        <v/>
      </c>
      <c r="L2193" s="13">
        <f>IF(C2193=Options!$B$9,B2193*Options!$Z$7,0)</f>
        <v/>
      </c>
      <c r="M2193" s="13" t="n">
        <v>0</v>
      </c>
      <c r="N2193" s="13">
        <f>SUM(E2193:M2193)</f>
        <v/>
      </c>
    </row>
    <row r="2194">
      <c r="A2194" s="5">
        <f>IF(AND(C2194&gt;=Options!$B$9,C2194&lt;=Options!$B$10),"Phoenix","")</f>
        <v/>
      </c>
      <c r="B2194" s="5">
        <f>IF(A2194="","",24)</f>
        <v/>
      </c>
      <c r="C2194" s="17" t="n">
        <v>46660</v>
      </c>
      <c r="D2194" s="5">
        <f>IF(A2194="","",IF(C2194=DATE(2026,11,29),"培训；注册午餐；早餐参数",IF(C2194=DATE(2026,11,30),"培训；注册午餐",IF(C2194=DATE(2026,12,1),"培训；注册午餐；机构晚餐",IF(C2194=Options!$B$9,"抵达；"&amp;IF(C2194=DATE(2026,11,28),"机构晚餐","无统一供餐"),IF(C2194=Options!$B$10,"返程；"&amp;IF(C2194=DATE(2026,12,2),"机构午餐","无统一供餐"),"差旅状态；无统一日程"))))))</f>
        <v/>
      </c>
      <c r="E2194" s="13">
        <f>IF(C2194=Options!$B$9,Options!$C$19,0)</f>
        <v/>
      </c>
      <c r="F2194" s="13">
        <f>IF(AND(A2194&lt;&gt;"",C2194&lt;Options!$B$10),B2194*Options!$X$7,0)</f>
        <v/>
      </c>
      <c r="G2194" s="13">
        <f>F2194*12%</f>
        <v/>
      </c>
      <c r="H2194" s="13">
        <f>IF(A2194="",0,B2194*(86*IF(OR(C2194=Options!$B$9,C2194=Options!$B$10),75%,100%)-IF(C2194=DATE(2026,11,29),23+IF(Options!$B$8="是",22,0),0)-IF(C2194=DATE(2026,11,30),23,0)-IF(C2194=DATE(2026,12,1),59,0)-IF(C2194=DATE(2026,11,28),36,0)-IF(C2194=DATE(2026,12,2),23,0)))</f>
        <v/>
      </c>
      <c r="I2194" s="13">
        <f>IF(AND(C2194&gt;=DATE(2026,11,29),C2194&lt;=DATE(2026,12,1)),B2194*60,0)</f>
        <v/>
      </c>
      <c r="J2194" s="13">
        <f>IF(A2194="",0,B2194*(IF(C2194=DATE(2026,11,28),36,0)+IF(C2194=DATE(2026,12,1),36,0)+IF(C2194=DATE(2026,12,2),23,0)))</f>
        <v/>
      </c>
      <c r="K2194" s="13">
        <f>IF(C2194=Options!$B$9,B2194*12,0)</f>
        <v/>
      </c>
      <c r="L2194" s="13">
        <f>IF(C2194=Options!$B$9,B2194*Options!$Z$7,0)</f>
        <v/>
      </c>
      <c r="M2194" s="13" t="n">
        <v>0</v>
      </c>
      <c r="N2194" s="13">
        <f>SUM(E2194:M2194)</f>
        <v/>
      </c>
    </row>
    <row r="2195">
      <c r="A2195" s="5">
        <f>IF(AND(C2195&gt;=Options!$B$9,C2195&lt;=Options!$B$10),"Boston","")</f>
        <v/>
      </c>
      <c r="B2195" s="5">
        <f>IF(A2195="","",18)</f>
        <v/>
      </c>
      <c r="C2195" s="17" t="n">
        <v>46296</v>
      </c>
      <c r="D2195" s="5">
        <f>IF(A2195="","",IF(C2195=DATE(2026,11,29),"培训；注册午餐；早餐参数",IF(C2195=DATE(2026,11,30),"培训；注册午餐",IF(C2195=DATE(2026,12,1),"培训；注册午餐；机构晚餐",IF(C2195=Options!$B$9,"抵达；"&amp;IF(C2195=DATE(2026,11,28),"机构晚餐","无统一供餐"),IF(C2195=Options!$B$10,"返程；"&amp;IF(C2195=DATE(2026,12,2),"机构午餐","无统一供餐"),"差旅状态；无统一日程"))))))</f>
        <v/>
      </c>
      <c r="E2195" s="13">
        <f>IF(C2195=Options!$B$9,Options!$C$20,0)</f>
        <v/>
      </c>
      <c r="F2195" s="13">
        <f>IF(AND(A2195&lt;&gt;"",C2195&lt;Options!$B$10),B2195*Options!$X$8,0)</f>
        <v/>
      </c>
      <c r="G2195" s="13">
        <f>F2195*12%</f>
        <v/>
      </c>
      <c r="H2195" s="13">
        <f>IF(A2195="",0,B2195*(92*IF(OR(C2195=Options!$B$9,C2195=Options!$B$10),75%,100%)-IF(C2195=DATE(2026,11,29),26+IF(Options!$B$8="是",23,0),0)-IF(C2195=DATE(2026,11,30),26,0)-IF(C2195=DATE(2026,12,1),64,0)-IF(C2195=DATE(2026,11,28),38,0)-IF(C2195=DATE(2026,12,2),26,0)))</f>
        <v/>
      </c>
      <c r="I2195" s="13">
        <f>IF(AND(C2195&gt;=DATE(2026,11,29),C2195&lt;=DATE(2026,12,1)),B2195*60,0)</f>
        <v/>
      </c>
      <c r="J2195" s="13">
        <f>IF(A2195="",0,B2195*(IF(C2195=DATE(2026,11,28),38,0)+IF(C2195=DATE(2026,12,1),38,0)+IF(C2195=DATE(2026,12,2),26,0)))</f>
        <v/>
      </c>
      <c r="K2195" s="13">
        <f>IF(C2195=Options!$B$9,B2195*12,0)</f>
        <v/>
      </c>
      <c r="L2195" s="13">
        <f>IF(C2195=Options!$B$9,B2195*Options!$Z$8,0)</f>
        <v/>
      </c>
      <c r="M2195" s="13" t="n">
        <v>0</v>
      </c>
      <c r="N2195" s="13">
        <f>SUM(E2195:M2195)</f>
        <v/>
      </c>
    </row>
    <row r="2196">
      <c r="A2196" s="5">
        <f>IF(AND(C2196&gt;=Options!$B$9,C2196&lt;=Options!$B$10),"Boston","")</f>
        <v/>
      </c>
      <c r="B2196" s="5">
        <f>IF(A2196="","",18)</f>
        <v/>
      </c>
      <c r="C2196" s="17" t="n">
        <v>46297</v>
      </c>
      <c r="D2196" s="5">
        <f>IF(A2196="","",IF(C2196=DATE(2026,11,29),"培训；注册午餐；早餐参数",IF(C2196=DATE(2026,11,30),"培训；注册午餐",IF(C2196=DATE(2026,12,1),"培训；注册午餐；机构晚餐",IF(C2196=Options!$B$9,"抵达；"&amp;IF(C2196=DATE(2026,11,28),"机构晚餐","无统一供餐"),IF(C2196=Options!$B$10,"返程；"&amp;IF(C2196=DATE(2026,12,2),"机构午餐","无统一供餐"),"差旅状态；无统一日程"))))))</f>
        <v/>
      </c>
      <c r="E2196" s="13">
        <f>IF(C2196=Options!$B$9,Options!$C$20,0)</f>
        <v/>
      </c>
      <c r="F2196" s="13">
        <f>IF(AND(A2196&lt;&gt;"",C2196&lt;Options!$B$10),B2196*Options!$X$8,0)</f>
        <v/>
      </c>
      <c r="G2196" s="13">
        <f>F2196*12%</f>
        <v/>
      </c>
      <c r="H2196" s="13">
        <f>IF(A2196="",0,B2196*(92*IF(OR(C2196=Options!$B$9,C2196=Options!$B$10),75%,100%)-IF(C2196=DATE(2026,11,29),26+IF(Options!$B$8="是",23,0),0)-IF(C2196=DATE(2026,11,30),26,0)-IF(C2196=DATE(2026,12,1),64,0)-IF(C2196=DATE(2026,11,28),38,0)-IF(C2196=DATE(2026,12,2),26,0)))</f>
        <v/>
      </c>
      <c r="I2196" s="13">
        <f>IF(AND(C2196&gt;=DATE(2026,11,29),C2196&lt;=DATE(2026,12,1)),B2196*60,0)</f>
        <v/>
      </c>
      <c r="J2196" s="13">
        <f>IF(A2196="",0,B2196*(IF(C2196=DATE(2026,11,28),38,0)+IF(C2196=DATE(2026,12,1),38,0)+IF(C2196=DATE(2026,12,2),26,0)))</f>
        <v/>
      </c>
      <c r="K2196" s="13">
        <f>IF(C2196=Options!$B$9,B2196*12,0)</f>
        <v/>
      </c>
      <c r="L2196" s="13">
        <f>IF(C2196=Options!$B$9,B2196*Options!$Z$8,0)</f>
        <v/>
      </c>
      <c r="M2196" s="13" t="n">
        <v>0</v>
      </c>
      <c r="N2196" s="13">
        <f>SUM(E2196:M2196)</f>
        <v/>
      </c>
    </row>
    <row r="2197">
      <c r="A2197" s="5">
        <f>IF(AND(C2197&gt;=Options!$B$9,C2197&lt;=Options!$B$10),"Boston","")</f>
        <v/>
      </c>
      <c r="B2197" s="5">
        <f>IF(A2197="","",18)</f>
        <v/>
      </c>
      <c r="C2197" s="17" t="n">
        <v>46298</v>
      </c>
      <c r="D2197" s="5">
        <f>IF(A2197="","",IF(C2197=DATE(2026,11,29),"培训；注册午餐；早餐参数",IF(C2197=DATE(2026,11,30),"培训；注册午餐",IF(C2197=DATE(2026,12,1),"培训；注册午餐；机构晚餐",IF(C2197=Options!$B$9,"抵达；"&amp;IF(C2197=DATE(2026,11,28),"机构晚餐","无统一供餐"),IF(C2197=Options!$B$10,"返程；"&amp;IF(C2197=DATE(2026,12,2),"机构午餐","无统一供餐"),"差旅状态；无统一日程"))))))</f>
        <v/>
      </c>
      <c r="E2197" s="13">
        <f>IF(C2197=Options!$B$9,Options!$C$20,0)</f>
        <v/>
      </c>
      <c r="F2197" s="13">
        <f>IF(AND(A2197&lt;&gt;"",C2197&lt;Options!$B$10),B2197*Options!$X$8,0)</f>
        <v/>
      </c>
      <c r="G2197" s="13">
        <f>F2197*12%</f>
        <v/>
      </c>
      <c r="H2197" s="13">
        <f>IF(A2197="",0,B2197*(92*IF(OR(C2197=Options!$B$9,C2197=Options!$B$10),75%,100%)-IF(C2197=DATE(2026,11,29),26+IF(Options!$B$8="是",23,0),0)-IF(C2197=DATE(2026,11,30),26,0)-IF(C2197=DATE(2026,12,1),64,0)-IF(C2197=DATE(2026,11,28),38,0)-IF(C2197=DATE(2026,12,2),26,0)))</f>
        <v/>
      </c>
      <c r="I2197" s="13">
        <f>IF(AND(C2197&gt;=DATE(2026,11,29),C2197&lt;=DATE(2026,12,1)),B2197*60,0)</f>
        <v/>
      </c>
      <c r="J2197" s="13">
        <f>IF(A2197="",0,B2197*(IF(C2197=DATE(2026,11,28),38,0)+IF(C2197=DATE(2026,12,1),38,0)+IF(C2197=DATE(2026,12,2),26,0)))</f>
        <v/>
      </c>
      <c r="K2197" s="13">
        <f>IF(C2197=Options!$B$9,B2197*12,0)</f>
        <v/>
      </c>
      <c r="L2197" s="13">
        <f>IF(C2197=Options!$B$9,B2197*Options!$Z$8,0)</f>
        <v/>
      </c>
      <c r="M2197" s="13" t="n">
        <v>0</v>
      </c>
      <c r="N2197" s="13">
        <f>SUM(E2197:M2197)</f>
        <v/>
      </c>
    </row>
    <row r="2198">
      <c r="A2198" s="5">
        <f>IF(AND(C2198&gt;=Options!$B$9,C2198&lt;=Options!$B$10),"Boston","")</f>
        <v/>
      </c>
      <c r="B2198" s="5">
        <f>IF(A2198="","",18)</f>
        <v/>
      </c>
      <c r="C2198" s="17" t="n">
        <v>46299</v>
      </c>
      <c r="D2198" s="5">
        <f>IF(A2198="","",IF(C2198=DATE(2026,11,29),"培训；注册午餐；早餐参数",IF(C2198=DATE(2026,11,30),"培训；注册午餐",IF(C2198=DATE(2026,12,1),"培训；注册午餐；机构晚餐",IF(C2198=Options!$B$9,"抵达；"&amp;IF(C2198=DATE(2026,11,28),"机构晚餐","无统一供餐"),IF(C2198=Options!$B$10,"返程；"&amp;IF(C2198=DATE(2026,12,2),"机构午餐","无统一供餐"),"差旅状态；无统一日程"))))))</f>
        <v/>
      </c>
      <c r="E2198" s="13">
        <f>IF(C2198=Options!$B$9,Options!$C$20,0)</f>
        <v/>
      </c>
      <c r="F2198" s="13">
        <f>IF(AND(A2198&lt;&gt;"",C2198&lt;Options!$B$10),B2198*Options!$X$8,0)</f>
        <v/>
      </c>
      <c r="G2198" s="13">
        <f>F2198*12%</f>
        <v/>
      </c>
      <c r="H2198" s="13">
        <f>IF(A2198="",0,B2198*(92*IF(OR(C2198=Options!$B$9,C2198=Options!$B$10),75%,100%)-IF(C2198=DATE(2026,11,29),26+IF(Options!$B$8="是",23,0),0)-IF(C2198=DATE(2026,11,30),26,0)-IF(C2198=DATE(2026,12,1),64,0)-IF(C2198=DATE(2026,11,28),38,0)-IF(C2198=DATE(2026,12,2),26,0)))</f>
        <v/>
      </c>
      <c r="I2198" s="13">
        <f>IF(AND(C2198&gt;=DATE(2026,11,29),C2198&lt;=DATE(2026,12,1)),B2198*60,0)</f>
        <v/>
      </c>
      <c r="J2198" s="13">
        <f>IF(A2198="",0,B2198*(IF(C2198=DATE(2026,11,28),38,0)+IF(C2198=DATE(2026,12,1),38,0)+IF(C2198=DATE(2026,12,2),26,0)))</f>
        <v/>
      </c>
      <c r="K2198" s="13">
        <f>IF(C2198=Options!$B$9,B2198*12,0)</f>
        <v/>
      </c>
      <c r="L2198" s="13">
        <f>IF(C2198=Options!$B$9,B2198*Options!$Z$8,0)</f>
        <v/>
      </c>
      <c r="M2198" s="13" t="n">
        <v>0</v>
      </c>
      <c r="N2198" s="13">
        <f>SUM(E2198:M2198)</f>
        <v/>
      </c>
    </row>
    <row r="2199">
      <c r="A2199" s="5">
        <f>IF(AND(C2199&gt;=Options!$B$9,C2199&lt;=Options!$B$10),"Boston","")</f>
        <v/>
      </c>
      <c r="B2199" s="5">
        <f>IF(A2199="","",18)</f>
        <v/>
      </c>
      <c r="C2199" s="17" t="n">
        <v>46300</v>
      </c>
      <c r="D2199" s="5">
        <f>IF(A2199="","",IF(C2199=DATE(2026,11,29),"培训；注册午餐；早餐参数",IF(C2199=DATE(2026,11,30),"培训；注册午餐",IF(C2199=DATE(2026,12,1),"培训；注册午餐；机构晚餐",IF(C2199=Options!$B$9,"抵达；"&amp;IF(C2199=DATE(2026,11,28),"机构晚餐","无统一供餐"),IF(C2199=Options!$B$10,"返程；"&amp;IF(C2199=DATE(2026,12,2),"机构午餐","无统一供餐"),"差旅状态；无统一日程"))))))</f>
        <v/>
      </c>
      <c r="E2199" s="13">
        <f>IF(C2199=Options!$B$9,Options!$C$20,0)</f>
        <v/>
      </c>
      <c r="F2199" s="13">
        <f>IF(AND(A2199&lt;&gt;"",C2199&lt;Options!$B$10),B2199*Options!$X$8,0)</f>
        <v/>
      </c>
      <c r="G2199" s="13">
        <f>F2199*12%</f>
        <v/>
      </c>
      <c r="H2199" s="13">
        <f>IF(A2199="",0,B2199*(92*IF(OR(C2199=Options!$B$9,C2199=Options!$B$10),75%,100%)-IF(C2199=DATE(2026,11,29),26+IF(Options!$B$8="是",23,0),0)-IF(C2199=DATE(2026,11,30),26,0)-IF(C2199=DATE(2026,12,1),64,0)-IF(C2199=DATE(2026,11,28),38,0)-IF(C2199=DATE(2026,12,2),26,0)))</f>
        <v/>
      </c>
      <c r="I2199" s="13">
        <f>IF(AND(C2199&gt;=DATE(2026,11,29),C2199&lt;=DATE(2026,12,1)),B2199*60,0)</f>
        <v/>
      </c>
      <c r="J2199" s="13">
        <f>IF(A2199="",0,B2199*(IF(C2199=DATE(2026,11,28),38,0)+IF(C2199=DATE(2026,12,1),38,0)+IF(C2199=DATE(2026,12,2),26,0)))</f>
        <v/>
      </c>
      <c r="K2199" s="13">
        <f>IF(C2199=Options!$B$9,B2199*12,0)</f>
        <v/>
      </c>
      <c r="L2199" s="13">
        <f>IF(C2199=Options!$B$9,B2199*Options!$Z$8,0)</f>
        <v/>
      </c>
      <c r="M2199" s="13" t="n">
        <v>0</v>
      </c>
      <c r="N2199" s="13">
        <f>SUM(E2199:M2199)</f>
        <v/>
      </c>
    </row>
    <row r="2200">
      <c r="A2200" s="5">
        <f>IF(AND(C2200&gt;=Options!$B$9,C2200&lt;=Options!$B$10),"Boston","")</f>
        <v/>
      </c>
      <c r="B2200" s="5">
        <f>IF(A2200="","",18)</f>
        <v/>
      </c>
      <c r="C2200" s="17" t="n">
        <v>46301</v>
      </c>
      <c r="D2200" s="5">
        <f>IF(A2200="","",IF(C2200=DATE(2026,11,29),"培训；注册午餐；早餐参数",IF(C2200=DATE(2026,11,30),"培训；注册午餐",IF(C2200=DATE(2026,12,1),"培训；注册午餐；机构晚餐",IF(C2200=Options!$B$9,"抵达；"&amp;IF(C2200=DATE(2026,11,28),"机构晚餐","无统一供餐"),IF(C2200=Options!$B$10,"返程；"&amp;IF(C2200=DATE(2026,12,2),"机构午餐","无统一供餐"),"差旅状态；无统一日程"))))))</f>
        <v/>
      </c>
      <c r="E2200" s="13">
        <f>IF(C2200=Options!$B$9,Options!$C$20,0)</f>
        <v/>
      </c>
      <c r="F2200" s="13">
        <f>IF(AND(A2200&lt;&gt;"",C2200&lt;Options!$B$10),B2200*Options!$X$8,0)</f>
        <v/>
      </c>
      <c r="G2200" s="13">
        <f>F2200*12%</f>
        <v/>
      </c>
      <c r="H2200" s="13">
        <f>IF(A2200="",0,B2200*(92*IF(OR(C2200=Options!$B$9,C2200=Options!$B$10),75%,100%)-IF(C2200=DATE(2026,11,29),26+IF(Options!$B$8="是",23,0),0)-IF(C2200=DATE(2026,11,30),26,0)-IF(C2200=DATE(2026,12,1),64,0)-IF(C2200=DATE(2026,11,28),38,0)-IF(C2200=DATE(2026,12,2),26,0)))</f>
        <v/>
      </c>
      <c r="I2200" s="13">
        <f>IF(AND(C2200&gt;=DATE(2026,11,29),C2200&lt;=DATE(2026,12,1)),B2200*60,0)</f>
        <v/>
      </c>
      <c r="J2200" s="13">
        <f>IF(A2200="",0,B2200*(IF(C2200=DATE(2026,11,28),38,0)+IF(C2200=DATE(2026,12,1),38,0)+IF(C2200=DATE(2026,12,2),26,0)))</f>
        <v/>
      </c>
      <c r="K2200" s="13">
        <f>IF(C2200=Options!$B$9,B2200*12,0)</f>
        <v/>
      </c>
      <c r="L2200" s="13">
        <f>IF(C2200=Options!$B$9,B2200*Options!$Z$8,0)</f>
        <v/>
      </c>
      <c r="M2200" s="13" t="n">
        <v>0</v>
      </c>
      <c r="N2200" s="13">
        <f>SUM(E2200:M2200)</f>
        <v/>
      </c>
    </row>
    <row r="2201">
      <c r="A2201" s="5">
        <f>IF(AND(C2201&gt;=Options!$B$9,C2201&lt;=Options!$B$10),"Boston","")</f>
        <v/>
      </c>
      <c r="B2201" s="5">
        <f>IF(A2201="","",18)</f>
        <v/>
      </c>
      <c r="C2201" s="17" t="n">
        <v>46302</v>
      </c>
      <c r="D2201" s="5">
        <f>IF(A2201="","",IF(C2201=DATE(2026,11,29),"培训；注册午餐；早餐参数",IF(C2201=DATE(2026,11,30),"培训；注册午餐",IF(C2201=DATE(2026,12,1),"培训；注册午餐；机构晚餐",IF(C2201=Options!$B$9,"抵达；"&amp;IF(C2201=DATE(2026,11,28),"机构晚餐","无统一供餐"),IF(C2201=Options!$B$10,"返程；"&amp;IF(C2201=DATE(2026,12,2),"机构午餐","无统一供餐"),"差旅状态；无统一日程"))))))</f>
        <v/>
      </c>
      <c r="E2201" s="13">
        <f>IF(C2201=Options!$B$9,Options!$C$20,0)</f>
        <v/>
      </c>
      <c r="F2201" s="13">
        <f>IF(AND(A2201&lt;&gt;"",C2201&lt;Options!$B$10),B2201*Options!$X$8,0)</f>
        <v/>
      </c>
      <c r="G2201" s="13">
        <f>F2201*12%</f>
        <v/>
      </c>
      <c r="H2201" s="13">
        <f>IF(A2201="",0,B2201*(92*IF(OR(C2201=Options!$B$9,C2201=Options!$B$10),75%,100%)-IF(C2201=DATE(2026,11,29),26+IF(Options!$B$8="是",23,0),0)-IF(C2201=DATE(2026,11,30),26,0)-IF(C2201=DATE(2026,12,1),64,0)-IF(C2201=DATE(2026,11,28),38,0)-IF(C2201=DATE(2026,12,2),26,0)))</f>
        <v/>
      </c>
      <c r="I2201" s="13">
        <f>IF(AND(C2201&gt;=DATE(2026,11,29),C2201&lt;=DATE(2026,12,1)),B2201*60,0)</f>
        <v/>
      </c>
      <c r="J2201" s="13">
        <f>IF(A2201="",0,B2201*(IF(C2201=DATE(2026,11,28),38,0)+IF(C2201=DATE(2026,12,1),38,0)+IF(C2201=DATE(2026,12,2),26,0)))</f>
        <v/>
      </c>
      <c r="K2201" s="13">
        <f>IF(C2201=Options!$B$9,B2201*12,0)</f>
        <v/>
      </c>
      <c r="L2201" s="13">
        <f>IF(C2201=Options!$B$9,B2201*Options!$Z$8,0)</f>
        <v/>
      </c>
      <c r="M2201" s="13" t="n">
        <v>0</v>
      </c>
      <c r="N2201" s="13">
        <f>SUM(E2201:M2201)</f>
        <v/>
      </c>
    </row>
    <row r="2202">
      <c r="A2202" s="5">
        <f>IF(AND(C2202&gt;=Options!$B$9,C2202&lt;=Options!$B$10),"Boston","")</f>
        <v/>
      </c>
      <c r="B2202" s="5">
        <f>IF(A2202="","",18)</f>
        <v/>
      </c>
      <c r="C2202" s="17" t="n">
        <v>46303</v>
      </c>
      <c r="D2202" s="5">
        <f>IF(A2202="","",IF(C2202=DATE(2026,11,29),"培训；注册午餐；早餐参数",IF(C2202=DATE(2026,11,30),"培训；注册午餐",IF(C2202=DATE(2026,12,1),"培训；注册午餐；机构晚餐",IF(C2202=Options!$B$9,"抵达；"&amp;IF(C2202=DATE(2026,11,28),"机构晚餐","无统一供餐"),IF(C2202=Options!$B$10,"返程；"&amp;IF(C2202=DATE(2026,12,2),"机构午餐","无统一供餐"),"差旅状态；无统一日程"))))))</f>
        <v/>
      </c>
      <c r="E2202" s="13">
        <f>IF(C2202=Options!$B$9,Options!$C$20,0)</f>
        <v/>
      </c>
      <c r="F2202" s="13">
        <f>IF(AND(A2202&lt;&gt;"",C2202&lt;Options!$B$10),B2202*Options!$X$8,0)</f>
        <v/>
      </c>
      <c r="G2202" s="13">
        <f>F2202*12%</f>
        <v/>
      </c>
      <c r="H2202" s="13">
        <f>IF(A2202="",0,B2202*(92*IF(OR(C2202=Options!$B$9,C2202=Options!$B$10),75%,100%)-IF(C2202=DATE(2026,11,29),26+IF(Options!$B$8="是",23,0),0)-IF(C2202=DATE(2026,11,30),26,0)-IF(C2202=DATE(2026,12,1),64,0)-IF(C2202=DATE(2026,11,28),38,0)-IF(C2202=DATE(2026,12,2),26,0)))</f>
        <v/>
      </c>
      <c r="I2202" s="13">
        <f>IF(AND(C2202&gt;=DATE(2026,11,29),C2202&lt;=DATE(2026,12,1)),B2202*60,0)</f>
        <v/>
      </c>
      <c r="J2202" s="13">
        <f>IF(A2202="",0,B2202*(IF(C2202=DATE(2026,11,28),38,0)+IF(C2202=DATE(2026,12,1),38,0)+IF(C2202=DATE(2026,12,2),26,0)))</f>
        <v/>
      </c>
      <c r="K2202" s="13">
        <f>IF(C2202=Options!$B$9,B2202*12,0)</f>
        <v/>
      </c>
      <c r="L2202" s="13">
        <f>IF(C2202=Options!$B$9,B2202*Options!$Z$8,0)</f>
        <v/>
      </c>
      <c r="M2202" s="13" t="n">
        <v>0</v>
      </c>
      <c r="N2202" s="13">
        <f>SUM(E2202:M2202)</f>
        <v/>
      </c>
    </row>
    <row r="2203">
      <c r="A2203" s="5">
        <f>IF(AND(C2203&gt;=Options!$B$9,C2203&lt;=Options!$B$10),"Boston","")</f>
        <v/>
      </c>
      <c r="B2203" s="5">
        <f>IF(A2203="","",18)</f>
        <v/>
      </c>
      <c r="C2203" s="17" t="n">
        <v>46304</v>
      </c>
      <c r="D2203" s="5">
        <f>IF(A2203="","",IF(C2203=DATE(2026,11,29),"培训；注册午餐；早餐参数",IF(C2203=DATE(2026,11,30),"培训；注册午餐",IF(C2203=DATE(2026,12,1),"培训；注册午餐；机构晚餐",IF(C2203=Options!$B$9,"抵达；"&amp;IF(C2203=DATE(2026,11,28),"机构晚餐","无统一供餐"),IF(C2203=Options!$B$10,"返程；"&amp;IF(C2203=DATE(2026,12,2),"机构午餐","无统一供餐"),"差旅状态；无统一日程"))))))</f>
        <v/>
      </c>
      <c r="E2203" s="13">
        <f>IF(C2203=Options!$B$9,Options!$C$20,0)</f>
        <v/>
      </c>
      <c r="F2203" s="13">
        <f>IF(AND(A2203&lt;&gt;"",C2203&lt;Options!$B$10),B2203*Options!$X$8,0)</f>
        <v/>
      </c>
      <c r="G2203" s="13">
        <f>F2203*12%</f>
        <v/>
      </c>
      <c r="H2203" s="13">
        <f>IF(A2203="",0,B2203*(92*IF(OR(C2203=Options!$B$9,C2203=Options!$B$10),75%,100%)-IF(C2203=DATE(2026,11,29),26+IF(Options!$B$8="是",23,0),0)-IF(C2203=DATE(2026,11,30),26,0)-IF(C2203=DATE(2026,12,1),64,0)-IF(C2203=DATE(2026,11,28),38,0)-IF(C2203=DATE(2026,12,2),26,0)))</f>
        <v/>
      </c>
      <c r="I2203" s="13">
        <f>IF(AND(C2203&gt;=DATE(2026,11,29),C2203&lt;=DATE(2026,12,1)),B2203*60,0)</f>
        <v/>
      </c>
      <c r="J2203" s="13">
        <f>IF(A2203="",0,B2203*(IF(C2203=DATE(2026,11,28),38,0)+IF(C2203=DATE(2026,12,1),38,0)+IF(C2203=DATE(2026,12,2),26,0)))</f>
        <v/>
      </c>
      <c r="K2203" s="13">
        <f>IF(C2203=Options!$B$9,B2203*12,0)</f>
        <v/>
      </c>
      <c r="L2203" s="13">
        <f>IF(C2203=Options!$B$9,B2203*Options!$Z$8,0)</f>
        <v/>
      </c>
      <c r="M2203" s="13" t="n">
        <v>0</v>
      </c>
      <c r="N2203" s="13">
        <f>SUM(E2203:M2203)</f>
        <v/>
      </c>
    </row>
    <row r="2204">
      <c r="A2204" s="5">
        <f>IF(AND(C2204&gt;=Options!$B$9,C2204&lt;=Options!$B$10),"Boston","")</f>
        <v/>
      </c>
      <c r="B2204" s="5">
        <f>IF(A2204="","",18)</f>
        <v/>
      </c>
      <c r="C2204" s="17" t="n">
        <v>46305</v>
      </c>
      <c r="D2204" s="5">
        <f>IF(A2204="","",IF(C2204=DATE(2026,11,29),"培训；注册午餐；早餐参数",IF(C2204=DATE(2026,11,30),"培训；注册午餐",IF(C2204=DATE(2026,12,1),"培训；注册午餐；机构晚餐",IF(C2204=Options!$B$9,"抵达；"&amp;IF(C2204=DATE(2026,11,28),"机构晚餐","无统一供餐"),IF(C2204=Options!$B$10,"返程；"&amp;IF(C2204=DATE(2026,12,2),"机构午餐","无统一供餐"),"差旅状态；无统一日程"))))))</f>
        <v/>
      </c>
      <c r="E2204" s="13">
        <f>IF(C2204=Options!$B$9,Options!$C$20,0)</f>
        <v/>
      </c>
      <c r="F2204" s="13">
        <f>IF(AND(A2204&lt;&gt;"",C2204&lt;Options!$B$10),B2204*Options!$X$8,0)</f>
        <v/>
      </c>
      <c r="G2204" s="13">
        <f>F2204*12%</f>
        <v/>
      </c>
      <c r="H2204" s="13">
        <f>IF(A2204="",0,B2204*(92*IF(OR(C2204=Options!$B$9,C2204=Options!$B$10),75%,100%)-IF(C2204=DATE(2026,11,29),26+IF(Options!$B$8="是",23,0),0)-IF(C2204=DATE(2026,11,30),26,0)-IF(C2204=DATE(2026,12,1),64,0)-IF(C2204=DATE(2026,11,28),38,0)-IF(C2204=DATE(2026,12,2),26,0)))</f>
        <v/>
      </c>
      <c r="I2204" s="13">
        <f>IF(AND(C2204&gt;=DATE(2026,11,29),C2204&lt;=DATE(2026,12,1)),B2204*60,0)</f>
        <v/>
      </c>
      <c r="J2204" s="13">
        <f>IF(A2204="",0,B2204*(IF(C2204=DATE(2026,11,28),38,0)+IF(C2204=DATE(2026,12,1),38,0)+IF(C2204=DATE(2026,12,2),26,0)))</f>
        <v/>
      </c>
      <c r="K2204" s="13">
        <f>IF(C2204=Options!$B$9,B2204*12,0)</f>
        <v/>
      </c>
      <c r="L2204" s="13">
        <f>IF(C2204=Options!$B$9,B2204*Options!$Z$8,0)</f>
        <v/>
      </c>
      <c r="M2204" s="13" t="n">
        <v>0</v>
      </c>
      <c r="N2204" s="13">
        <f>SUM(E2204:M2204)</f>
        <v/>
      </c>
    </row>
    <row r="2205">
      <c r="A2205" s="5">
        <f>IF(AND(C2205&gt;=Options!$B$9,C2205&lt;=Options!$B$10),"Boston","")</f>
        <v/>
      </c>
      <c r="B2205" s="5">
        <f>IF(A2205="","",18)</f>
        <v/>
      </c>
      <c r="C2205" s="17" t="n">
        <v>46306</v>
      </c>
      <c r="D2205" s="5">
        <f>IF(A2205="","",IF(C2205=DATE(2026,11,29),"培训；注册午餐；早餐参数",IF(C2205=DATE(2026,11,30),"培训；注册午餐",IF(C2205=DATE(2026,12,1),"培训；注册午餐；机构晚餐",IF(C2205=Options!$B$9,"抵达；"&amp;IF(C2205=DATE(2026,11,28),"机构晚餐","无统一供餐"),IF(C2205=Options!$B$10,"返程；"&amp;IF(C2205=DATE(2026,12,2),"机构午餐","无统一供餐"),"差旅状态；无统一日程"))))))</f>
        <v/>
      </c>
      <c r="E2205" s="13">
        <f>IF(C2205=Options!$B$9,Options!$C$20,0)</f>
        <v/>
      </c>
      <c r="F2205" s="13">
        <f>IF(AND(A2205&lt;&gt;"",C2205&lt;Options!$B$10),B2205*Options!$X$8,0)</f>
        <v/>
      </c>
      <c r="G2205" s="13">
        <f>F2205*12%</f>
        <v/>
      </c>
      <c r="H2205" s="13">
        <f>IF(A2205="",0,B2205*(92*IF(OR(C2205=Options!$B$9,C2205=Options!$B$10),75%,100%)-IF(C2205=DATE(2026,11,29),26+IF(Options!$B$8="是",23,0),0)-IF(C2205=DATE(2026,11,30),26,0)-IF(C2205=DATE(2026,12,1),64,0)-IF(C2205=DATE(2026,11,28),38,0)-IF(C2205=DATE(2026,12,2),26,0)))</f>
        <v/>
      </c>
      <c r="I2205" s="13">
        <f>IF(AND(C2205&gt;=DATE(2026,11,29),C2205&lt;=DATE(2026,12,1)),B2205*60,0)</f>
        <v/>
      </c>
      <c r="J2205" s="13">
        <f>IF(A2205="",0,B2205*(IF(C2205=DATE(2026,11,28),38,0)+IF(C2205=DATE(2026,12,1),38,0)+IF(C2205=DATE(2026,12,2),26,0)))</f>
        <v/>
      </c>
      <c r="K2205" s="13">
        <f>IF(C2205=Options!$B$9,B2205*12,0)</f>
        <v/>
      </c>
      <c r="L2205" s="13">
        <f>IF(C2205=Options!$B$9,B2205*Options!$Z$8,0)</f>
        <v/>
      </c>
      <c r="M2205" s="13" t="n">
        <v>0</v>
      </c>
      <c r="N2205" s="13">
        <f>SUM(E2205:M2205)</f>
        <v/>
      </c>
    </row>
    <row r="2206">
      <c r="A2206" s="5">
        <f>IF(AND(C2206&gt;=Options!$B$9,C2206&lt;=Options!$B$10),"Boston","")</f>
        <v/>
      </c>
      <c r="B2206" s="5">
        <f>IF(A2206="","",18)</f>
        <v/>
      </c>
      <c r="C2206" s="17" t="n">
        <v>46307</v>
      </c>
      <c r="D2206" s="5">
        <f>IF(A2206="","",IF(C2206=DATE(2026,11,29),"培训；注册午餐；早餐参数",IF(C2206=DATE(2026,11,30),"培训；注册午餐",IF(C2206=DATE(2026,12,1),"培训；注册午餐；机构晚餐",IF(C2206=Options!$B$9,"抵达；"&amp;IF(C2206=DATE(2026,11,28),"机构晚餐","无统一供餐"),IF(C2206=Options!$B$10,"返程；"&amp;IF(C2206=DATE(2026,12,2),"机构午餐","无统一供餐"),"差旅状态；无统一日程"))))))</f>
        <v/>
      </c>
      <c r="E2206" s="13">
        <f>IF(C2206=Options!$B$9,Options!$C$20,0)</f>
        <v/>
      </c>
      <c r="F2206" s="13">
        <f>IF(AND(A2206&lt;&gt;"",C2206&lt;Options!$B$10),B2206*Options!$X$8,0)</f>
        <v/>
      </c>
      <c r="G2206" s="13">
        <f>F2206*12%</f>
        <v/>
      </c>
      <c r="H2206" s="13">
        <f>IF(A2206="",0,B2206*(92*IF(OR(C2206=Options!$B$9,C2206=Options!$B$10),75%,100%)-IF(C2206=DATE(2026,11,29),26+IF(Options!$B$8="是",23,0),0)-IF(C2206=DATE(2026,11,30),26,0)-IF(C2206=DATE(2026,12,1),64,0)-IF(C2206=DATE(2026,11,28),38,0)-IF(C2206=DATE(2026,12,2),26,0)))</f>
        <v/>
      </c>
      <c r="I2206" s="13">
        <f>IF(AND(C2206&gt;=DATE(2026,11,29),C2206&lt;=DATE(2026,12,1)),B2206*60,0)</f>
        <v/>
      </c>
      <c r="J2206" s="13">
        <f>IF(A2206="",0,B2206*(IF(C2206=DATE(2026,11,28),38,0)+IF(C2206=DATE(2026,12,1),38,0)+IF(C2206=DATE(2026,12,2),26,0)))</f>
        <v/>
      </c>
      <c r="K2206" s="13">
        <f>IF(C2206=Options!$B$9,B2206*12,0)</f>
        <v/>
      </c>
      <c r="L2206" s="13">
        <f>IF(C2206=Options!$B$9,B2206*Options!$Z$8,0)</f>
        <v/>
      </c>
      <c r="M2206" s="13" t="n">
        <v>0</v>
      </c>
      <c r="N2206" s="13">
        <f>SUM(E2206:M2206)</f>
        <v/>
      </c>
    </row>
    <row r="2207">
      <c r="A2207" s="5">
        <f>IF(AND(C2207&gt;=Options!$B$9,C2207&lt;=Options!$B$10),"Boston","")</f>
        <v/>
      </c>
      <c r="B2207" s="5">
        <f>IF(A2207="","",18)</f>
        <v/>
      </c>
      <c r="C2207" s="17" t="n">
        <v>46308</v>
      </c>
      <c r="D2207" s="5">
        <f>IF(A2207="","",IF(C2207=DATE(2026,11,29),"培训；注册午餐；早餐参数",IF(C2207=DATE(2026,11,30),"培训；注册午餐",IF(C2207=DATE(2026,12,1),"培训；注册午餐；机构晚餐",IF(C2207=Options!$B$9,"抵达；"&amp;IF(C2207=DATE(2026,11,28),"机构晚餐","无统一供餐"),IF(C2207=Options!$B$10,"返程；"&amp;IF(C2207=DATE(2026,12,2),"机构午餐","无统一供餐"),"差旅状态；无统一日程"))))))</f>
        <v/>
      </c>
      <c r="E2207" s="13">
        <f>IF(C2207=Options!$B$9,Options!$C$20,0)</f>
        <v/>
      </c>
      <c r="F2207" s="13">
        <f>IF(AND(A2207&lt;&gt;"",C2207&lt;Options!$B$10),B2207*Options!$X$8,0)</f>
        <v/>
      </c>
      <c r="G2207" s="13">
        <f>F2207*12%</f>
        <v/>
      </c>
      <c r="H2207" s="13">
        <f>IF(A2207="",0,B2207*(92*IF(OR(C2207=Options!$B$9,C2207=Options!$B$10),75%,100%)-IF(C2207=DATE(2026,11,29),26+IF(Options!$B$8="是",23,0),0)-IF(C2207=DATE(2026,11,30),26,0)-IF(C2207=DATE(2026,12,1),64,0)-IF(C2207=DATE(2026,11,28),38,0)-IF(C2207=DATE(2026,12,2),26,0)))</f>
        <v/>
      </c>
      <c r="I2207" s="13">
        <f>IF(AND(C2207&gt;=DATE(2026,11,29),C2207&lt;=DATE(2026,12,1)),B2207*60,0)</f>
        <v/>
      </c>
      <c r="J2207" s="13">
        <f>IF(A2207="",0,B2207*(IF(C2207=DATE(2026,11,28),38,0)+IF(C2207=DATE(2026,12,1),38,0)+IF(C2207=DATE(2026,12,2),26,0)))</f>
        <v/>
      </c>
      <c r="K2207" s="13">
        <f>IF(C2207=Options!$B$9,B2207*12,0)</f>
        <v/>
      </c>
      <c r="L2207" s="13">
        <f>IF(C2207=Options!$B$9,B2207*Options!$Z$8,0)</f>
        <v/>
      </c>
      <c r="M2207" s="13" t="n">
        <v>0</v>
      </c>
      <c r="N2207" s="13">
        <f>SUM(E2207:M2207)</f>
        <v/>
      </c>
    </row>
    <row r="2208">
      <c r="A2208" s="5">
        <f>IF(AND(C2208&gt;=Options!$B$9,C2208&lt;=Options!$B$10),"Boston","")</f>
        <v/>
      </c>
      <c r="B2208" s="5">
        <f>IF(A2208="","",18)</f>
        <v/>
      </c>
      <c r="C2208" s="17" t="n">
        <v>46309</v>
      </c>
      <c r="D2208" s="5">
        <f>IF(A2208="","",IF(C2208=DATE(2026,11,29),"培训；注册午餐；早餐参数",IF(C2208=DATE(2026,11,30),"培训；注册午餐",IF(C2208=DATE(2026,12,1),"培训；注册午餐；机构晚餐",IF(C2208=Options!$B$9,"抵达；"&amp;IF(C2208=DATE(2026,11,28),"机构晚餐","无统一供餐"),IF(C2208=Options!$B$10,"返程；"&amp;IF(C2208=DATE(2026,12,2),"机构午餐","无统一供餐"),"差旅状态；无统一日程"))))))</f>
        <v/>
      </c>
      <c r="E2208" s="13">
        <f>IF(C2208=Options!$B$9,Options!$C$20,0)</f>
        <v/>
      </c>
      <c r="F2208" s="13">
        <f>IF(AND(A2208&lt;&gt;"",C2208&lt;Options!$B$10),B2208*Options!$X$8,0)</f>
        <v/>
      </c>
      <c r="G2208" s="13">
        <f>F2208*12%</f>
        <v/>
      </c>
      <c r="H2208" s="13">
        <f>IF(A2208="",0,B2208*(92*IF(OR(C2208=Options!$B$9,C2208=Options!$B$10),75%,100%)-IF(C2208=DATE(2026,11,29),26+IF(Options!$B$8="是",23,0),0)-IF(C2208=DATE(2026,11,30),26,0)-IF(C2208=DATE(2026,12,1),64,0)-IF(C2208=DATE(2026,11,28),38,0)-IF(C2208=DATE(2026,12,2),26,0)))</f>
        <v/>
      </c>
      <c r="I2208" s="13">
        <f>IF(AND(C2208&gt;=DATE(2026,11,29),C2208&lt;=DATE(2026,12,1)),B2208*60,0)</f>
        <v/>
      </c>
      <c r="J2208" s="13">
        <f>IF(A2208="",0,B2208*(IF(C2208=DATE(2026,11,28),38,0)+IF(C2208=DATE(2026,12,1),38,0)+IF(C2208=DATE(2026,12,2),26,0)))</f>
        <v/>
      </c>
      <c r="K2208" s="13">
        <f>IF(C2208=Options!$B$9,B2208*12,0)</f>
        <v/>
      </c>
      <c r="L2208" s="13">
        <f>IF(C2208=Options!$B$9,B2208*Options!$Z$8,0)</f>
        <v/>
      </c>
      <c r="M2208" s="13" t="n">
        <v>0</v>
      </c>
      <c r="N2208" s="13">
        <f>SUM(E2208:M2208)</f>
        <v/>
      </c>
    </row>
    <row r="2209">
      <c r="A2209" s="5">
        <f>IF(AND(C2209&gt;=Options!$B$9,C2209&lt;=Options!$B$10),"Boston","")</f>
        <v/>
      </c>
      <c r="B2209" s="5">
        <f>IF(A2209="","",18)</f>
        <v/>
      </c>
      <c r="C2209" s="17" t="n">
        <v>46310</v>
      </c>
      <c r="D2209" s="5">
        <f>IF(A2209="","",IF(C2209=DATE(2026,11,29),"培训；注册午餐；早餐参数",IF(C2209=DATE(2026,11,30),"培训；注册午餐",IF(C2209=DATE(2026,12,1),"培训；注册午餐；机构晚餐",IF(C2209=Options!$B$9,"抵达；"&amp;IF(C2209=DATE(2026,11,28),"机构晚餐","无统一供餐"),IF(C2209=Options!$B$10,"返程；"&amp;IF(C2209=DATE(2026,12,2),"机构午餐","无统一供餐"),"差旅状态；无统一日程"))))))</f>
        <v/>
      </c>
      <c r="E2209" s="13">
        <f>IF(C2209=Options!$B$9,Options!$C$20,0)</f>
        <v/>
      </c>
      <c r="F2209" s="13">
        <f>IF(AND(A2209&lt;&gt;"",C2209&lt;Options!$B$10),B2209*Options!$X$8,0)</f>
        <v/>
      </c>
      <c r="G2209" s="13">
        <f>F2209*12%</f>
        <v/>
      </c>
      <c r="H2209" s="13">
        <f>IF(A2209="",0,B2209*(92*IF(OR(C2209=Options!$B$9,C2209=Options!$B$10),75%,100%)-IF(C2209=DATE(2026,11,29),26+IF(Options!$B$8="是",23,0),0)-IF(C2209=DATE(2026,11,30),26,0)-IF(C2209=DATE(2026,12,1),64,0)-IF(C2209=DATE(2026,11,28),38,0)-IF(C2209=DATE(2026,12,2),26,0)))</f>
        <v/>
      </c>
      <c r="I2209" s="13">
        <f>IF(AND(C2209&gt;=DATE(2026,11,29),C2209&lt;=DATE(2026,12,1)),B2209*60,0)</f>
        <v/>
      </c>
      <c r="J2209" s="13">
        <f>IF(A2209="",0,B2209*(IF(C2209=DATE(2026,11,28),38,0)+IF(C2209=DATE(2026,12,1),38,0)+IF(C2209=DATE(2026,12,2),26,0)))</f>
        <v/>
      </c>
      <c r="K2209" s="13">
        <f>IF(C2209=Options!$B$9,B2209*12,0)</f>
        <v/>
      </c>
      <c r="L2209" s="13">
        <f>IF(C2209=Options!$B$9,B2209*Options!$Z$8,0)</f>
        <v/>
      </c>
      <c r="M2209" s="13" t="n">
        <v>0</v>
      </c>
      <c r="N2209" s="13">
        <f>SUM(E2209:M2209)</f>
        <v/>
      </c>
    </row>
    <row r="2210">
      <c r="A2210" s="5">
        <f>IF(AND(C2210&gt;=Options!$B$9,C2210&lt;=Options!$B$10),"Boston","")</f>
        <v/>
      </c>
      <c r="B2210" s="5">
        <f>IF(A2210="","",18)</f>
        <v/>
      </c>
      <c r="C2210" s="17" t="n">
        <v>46311</v>
      </c>
      <c r="D2210" s="5">
        <f>IF(A2210="","",IF(C2210=DATE(2026,11,29),"培训；注册午餐；早餐参数",IF(C2210=DATE(2026,11,30),"培训；注册午餐",IF(C2210=DATE(2026,12,1),"培训；注册午餐；机构晚餐",IF(C2210=Options!$B$9,"抵达；"&amp;IF(C2210=DATE(2026,11,28),"机构晚餐","无统一供餐"),IF(C2210=Options!$B$10,"返程；"&amp;IF(C2210=DATE(2026,12,2),"机构午餐","无统一供餐"),"差旅状态；无统一日程"))))))</f>
        <v/>
      </c>
      <c r="E2210" s="13">
        <f>IF(C2210=Options!$B$9,Options!$C$20,0)</f>
        <v/>
      </c>
      <c r="F2210" s="13">
        <f>IF(AND(A2210&lt;&gt;"",C2210&lt;Options!$B$10),B2210*Options!$X$8,0)</f>
        <v/>
      </c>
      <c r="G2210" s="13">
        <f>F2210*12%</f>
        <v/>
      </c>
      <c r="H2210" s="13">
        <f>IF(A2210="",0,B2210*(92*IF(OR(C2210=Options!$B$9,C2210=Options!$B$10),75%,100%)-IF(C2210=DATE(2026,11,29),26+IF(Options!$B$8="是",23,0),0)-IF(C2210=DATE(2026,11,30),26,0)-IF(C2210=DATE(2026,12,1),64,0)-IF(C2210=DATE(2026,11,28),38,0)-IF(C2210=DATE(2026,12,2),26,0)))</f>
        <v/>
      </c>
      <c r="I2210" s="13">
        <f>IF(AND(C2210&gt;=DATE(2026,11,29),C2210&lt;=DATE(2026,12,1)),B2210*60,0)</f>
        <v/>
      </c>
      <c r="J2210" s="13">
        <f>IF(A2210="",0,B2210*(IF(C2210=DATE(2026,11,28),38,0)+IF(C2210=DATE(2026,12,1),38,0)+IF(C2210=DATE(2026,12,2),26,0)))</f>
        <v/>
      </c>
      <c r="K2210" s="13">
        <f>IF(C2210=Options!$B$9,B2210*12,0)</f>
        <v/>
      </c>
      <c r="L2210" s="13">
        <f>IF(C2210=Options!$B$9,B2210*Options!$Z$8,0)</f>
        <v/>
      </c>
      <c r="M2210" s="13" t="n">
        <v>0</v>
      </c>
      <c r="N2210" s="13">
        <f>SUM(E2210:M2210)</f>
        <v/>
      </c>
    </row>
    <row r="2211">
      <c r="A2211" s="5">
        <f>IF(AND(C2211&gt;=Options!$B$9,C2211&lt;=Options!$B$10),"Boston","")</f>
        <v/>
      </c>
      <c r="B2211" s="5">
        <f>IF(A2211="","",18)</f>
        <v/>
      </c>
      <c r="C2211" s="17" t="n">
        <v>46312</v>
      </c>
      <c r="D2211" s="5">
        <f>IF(A2211="","",IF(C2211=DATE(2026,11,29),"培训；注册午餐；早餐参数",IF(C2211=DATE(2026,11,30),"培训；注册午餐",IF(C2211=DATE(2026,12,1),"培训；注册午餐；机构晚餐",IF(C2211=Options!$B$9,"抵达；"&amp;IF(C2211=DATE(2026,11,28),"机构晚餐","无统一供餐"),IF(C2211=Options!$B$10,"返程；"&amp;IF(C2211=DATE(2026,12,2),"机构午餐","无统一供餐"),"差旅状态；无统一日程"))))))</f>
        <v/>
      </c>
      <c r="E2211" s="13">
        <f>IF(C2211=Options!$B$9,Options!$C$20,0)</f>
        <v/>
      </c>
      <c r="F2211" s="13">
        <f>IF(AND(A2211&lt;&gt;"",C2211&lt;Options!$B$10),B2211*Options!$X$8,0)</f>
        <v/>
      </c>
      <c r="G2211" s="13">
        <f>F2211*12%</f>
        <v/>
      </c>
      <c r="H2211" s="13">
        <f>IF(A2211="",0,B2211*(92*IF(OR(C2211=Options!$B$9,C2211=Options!$B$10),75%,100%)-IF(C2211=DATE(2026,11,29),26+IF(Options!$B$8="是",23,0),0)-IF(C2211=DATE(2026,11,30),26,0)-IF(C2211=DATE(2026,12,1),64,0)-IF(C2211=DATE(2026,11,28),38,0)-IF(C2211=DATE(2026,12,2),26,0)))</f>
        <v/>
      </c>
      <c r="I2211" s="13">
        <f>IF(AND(C2211&gt;=DATE(2026,11,29),C2211&lt;=DATE(2026,12,1)),B2211*60,0)</f>
        <v/>
      </c>
      <c r="J2211" s="13">
        <f>IF(A2211="",0,B2211*(IF(C2211=DATE(2026,11,28),38,0)+IF(C2211=DATE(2026,12,1),38,0)+IF(C2211=DATE(2026,12,2),26,0)))</f>
        <v/>
      </c>
      <c r="K2211" s="13">
        <f>IF(C2211=Options!$B$9,B2211*12,0)</f>
        <v/>
      </c>
      <c r="L2211" s="13">
        <f>IF(C2211=Options!$B$9,B2211*Options!$Z$8,0)</f>
        <v/>
      </c>
      <c r="M2211" s="13" t="n">
        <v>0</v>
      </c>
      <c r="N2211" s="13">
        <f>SUM(E2211:M2211)</f>
        <v/>
      </c>
    </row>
    <row r="2212">
      <c r="A2212" s="5">
        <f>IF(AND(C2212&gt;=Options!$B$9,C2212&lt;=Options!$B$10),"Boston","")</f>
        <v/>
      </c>
      <c r="B2212" s="5">
        <f>IF(A2212="","",18)</f>
        <v/>
      </c>
      <c r="C2212" s="17" t="n">
        <v>46313</v>
      </c>
      <c r="D2212" s="5">
        <f>IF(A2212="","",IF(C2212=DATE(2026,11,29),"培训；注册午餐；早餐参数",IF(C2212=DATE(2026,11,30),"培训；注册午餐",IF(C2212=DATE(2026,12,1),"培训；注册午餐；机构晚餐",IF(C2212=Options!$B$9,"抵达；"&amp;IF(C2212=DATE(2026,11,28),"机构晚餐","无统一供餐"),IF(C2212=Options!$B$10,"返程；"&amp;IF(C2212=DATE(2026,12,2),"机构午餐","无统一供餐"),"差旅状态；无统一日程"))))))</f>
        <v/>
      </c>
      <c r="E2212" s="13">
        <f>IF(C2212=Options!$B$9,Options!$C$20,0)</f>
        <v/>
      </c>
      <c r="F2212" s="13">
        <f>IF(AND(A2212&lt;&gt;"",C2212&lt;Options!$B$10),B2212*Options!$X$8,0)</f>
        <v/>
      </c>
      <c r="G2212" s="13">
        <f>F2212*12%</f>
        <v/>
      </c>
      <c r="H2212" s="13">
        <f>IF(A2212="",0,B2212*(92*IF(OR(C2212=Options!$B$9,C2212=Options!$B$10),75%,100%)-IF(C2212=DATE(2026,11,29),26+IF(Options!$B$8="是",23,0),0)-IF(C2212=DATE(2026,11,30),26,0)-IF(C2212=DATE(2026,12,1),64,0)-IF(C2212=DATE(2026,11,28),38,0)-IF(C2212=DATE(2026,12,2),26,0)))</f>
        <v/>
      </c>
      <c r="I2212" s="13">
        <f>IF(AND(C2212&gt;=DATE(2026,11,29),C2212&lt;=DATE(2026,12,1)),B2212*60,0)</f>
        <v/>
      </c>
      <c r="J2212" s="13">
        <f>IF(A2212="",0,B2212*(IF(C2212=DATE(2026,11,28),38,0)+IF(C2212=DATE(2026,12,1),38,0)+IF(C2212=DATE(2026,12,2),26,0)))</f>
        <v/>
      </c>
      <c r="K2212" s="13">
        <f>IF(C2212=Options!$B$9,B2212*12,0)</f>
        <v/>
      </c>
      <c r="L2212" s="13">
        <f>IF(C2212=Options!$B$9,B2212*Options!$Z$8,0)</f>
        <v/>
      </c>
      <c r="M2212" s="13" t="n">
        <v>0</v>
      </c>
      <c r="N2212" s="13">
        <f>SUM(E2212:M2212)</f>
        <v/>
      </c>
    </row>
    <row r="2213">
      <c r="A2213" s="5">
        <f>IF(AND(C2213&gt;=Options!$B$9,C2213&lt;=Options!$B$10),"Boston","")</f>
        <v/>
      </c>
      <c r="B2213" s="5">
        <f>IF(A2213="","",18)</f>
        <v/>
      </c>
      <c r="C2213" s="17" t="n">
        <v>46314</v>
      </c>
      <c r="D2213" s="5">
        <f>IF(A2213="","",IF(C2213=DATE(2026,11,29),"培训；注册午餐；早餐参数",IF(C2213=DATE(2026,11,30),"培训；注册午餐",IF(C2213=DATE(2026,12,1),"培训；注册午餐；机构晚餐",IF(C2213=Options!$B$9,"抵达；"&amp;IF(C2213=DATE(2026,11,28),"机构晚餐","无统一供餐"),IF(C2213=Options!$B$10,"返程；"&amp;IF(C2213=DATE(2026,12,2),"机构午餐","无统一供餐"),"差旅状态；无统一日程"))))))</f>
        <v/>
      </c>
      <c r="E2213" s="13">
        <f>IF(C2213=Options!$B$9,Options!$C$20,0)</f>
        <v/>
      </c>
      <c r="F2213" s="13">
        <f>IF(AND(A2213&lt;&gt;"",C2213&lt;Options!$B$10),B2213*Options!$X$8,0)</f>
        <v/>
      </c>
      <c r="G2213" s="13">
        <f>F2213*12%</f>
        <v/>
      </c>
      <c r="H2213" s="13">
        <f>IF(A2213="",0,B2213*(92*IF(OR(C2213=Options!$B$9,C2213=Options!$B$10),75%,100%)-IF(C2213=DATE(2026,11,29),26+IF(Options!$B$8="是",23,0),0)-IF(C2213=DATE(2026,11,30),26,0)-IF(C2213=DATE(2026,12,1),64,0)-IF(C2213=DATE(2026,11,28),38,0)-IF(C2213=DATE(2026,12,2),26,0)))</f>
        <v/>
      </c>
      <c r="I2213" s="13">
        <f>IF(AND(C2213&gt;=DATE(2026,11,29),C2213&lt;=DATE(2026,12,1)),B2213*60,0)</f>
        <v/>
      </c>
      <c r="J2213" s="13">
        <f>IF(A2213="",0,B2213*(IF(C2213=DATE(2026,11,28),38,0)+IF(C2213=DATE(2026,12,1),38,0)+IF(C2213=DATE(2026,12,2),26,0)))</f>
        <v/>
      </c>
      <c r="K2213" s="13">
        <f>IF(C2213=Options!$B$9,B2213*12,0)</f>
        <v/>
      </c>
      <c r="L2213" s="13">
        <f>IF(C2213=Options!$B$9,B2213*Options!$Z$8,0)</f>
        <v/>
      </c>
      <c r="M2213" s="13" t="n">
        <v>0</v>
      </c>
      <c r="N2213" s="13">
        <f>SUM(E2213:M2213)</f>
        <v/>
      </c>
    </row>
    <row r="2214">
      <c r="A2214" s="5">
        <f>IF(AND(C2214&gt;=Options!$B$9,C2214&lt;=Options!$B$10),"Boston","")</f>
        <v/>
      </c>
      <c r="B2214" s="5">
        <f>IF(A2214="","",18)</f>
        <v/>
      </c>
      <c r="C2214" s="17" t="n">
        <v>46315</v>
      </c>
      <c r="D2214" s="5">
        <f>IF(A2214="","",IF(C2214=DATE(2026,11,29),"培训；注册午餐；早餐参数",IF(C2214=DATE(2026,11,30),"培训；注册午餐",IF(C2214=DATE(2026,12,1),"培训；注册午餐；机构晚餐",IF(C2214=Options!$B$9,"抵达；"&amp;IF(C2214=DATE(2026,11,28),"机构晚餐","无统一供餐"),IF(C2214=Options!$B$10,"返程；"&amp;IF(C2214=DATE(2026,12,2),"机构午餐","无统一供餐"),"差旅状态；无统一日程"))))))</f>
        <v/>
      </c>
      <c r="E2214" s="13">
        <f>IF(C2214=Options!$B$9,Options!$C$20,0)</f>
        <v/>
      </c>
      <c r="F2214" s="13">
        <f>IF(AND(A2214&lt;&gt;"",C2214&lt;Options!$B$10),B2214*Options!$X$8,0)</f>
        <v/>
      </c>
      <c r="G2214" s="13">
        <f>F2214*12%</f>
        <v/>
      </c>
      <c r="H2214" s="13">
        <f>IF(A2214="",0,B2214*(92*IF(OR(C2214=Options!$B$9,C2214=Options!$B$10),75%,100%)-IF(C2214=DATE(2026,11,29),26+IF(Options!$B$8="是",23,0),0)-IF(C2214=DATE(2026,11,30),26,0)-IF(C2214=DATE(2026,12,1),64,0)-IF(C2214=DATE(2026,11,28),38,0)-IF(C2214=DATE(2026,12,2),26,0)))</f>
        <v/>
      </c>
      <c r="I2214" s="13">
        <f>IF(AND(C2214&gt;=DATE(2026,11,29),C2214&lt;=DATE(2026,12,1)),B2214*60,0)</f>
        <v/>
      </c>
      <c r="J2214" s="13">
        <f>IF(A2214="",0,B2214*(IF(C2214=DATE(2026,11,28),38,0)+IF(C2214=DATE(2026,12,1),38,0)+IF(C2214=DATE(2026,12,2),26,0)))</f>
        <v/>
      </c>
      <c r="K2214" s="13">
        <f>IF(C2214=Options!$B$9,B2214*12,0)</f>
        <v/>
      </c>
      <c r="L2214" s="13">
        <f>IF(C2214=Options!$B$9,B2214*Options!$Z$8,0)</f>
        <v/>
      </c>
      <c r="M2214" s="13" t="n">
        <v>0</v>
      </c>
      <c r="N2214" s="13">
        <f>SUM(E2214:M2214)</f>
        <v/>
      </c>
    </row>
    <row r="2215">
      <c r="A2215" s="5">
        <f>IF(AND(C2215&gt;=Options!$B$9,C2215&lt;=Options!$B$10),"Boston","")</f>
        <v/>
      </c>
      <c r="B2215" s="5">
        <f>IF(A2215="","",18)</f>
        <v/>
      </c>
      <c r="C2215" s="17" t="n">
        <v>46316</v>
      </c>
      <c r="D2215" s="5">
        <f>IF(A2215="","",IF(C2215=DATE(2026,11,29),"培训；注册午餐；早餐参数",IF(C2215=DATE(2026,11,30),"培训；注册午餐",IF(C2215=DATE(2026,12,1),"培训；注册午餐；机构晚餐",IF(C2215=Options!$B$9,"抵达；"&amp;IF(C2215=DATE(2026,11,28),"机构晚餐","无统一供餐"),IF(C2215=Options!$B$10,"返程；"&amp;IF(C2215=DATE(2026,12,2),"机构午餐","无统一供餐"),"差旅状态；无统一日程"))))))</f>
        <v/>
      </c>
      <c r="E2215" s="13">
        <f>IF(C2215=Options!$B$9,Options!$C$20,0)</f>
        <v/>
      </c>
      <c r="F2215" s="13">
        <f>IF(AND(A2215&lt;&gt;"",C2215&lt;Options!$B$10),B2215*Options!$X$8,0)</f>
        <v/>
      </c>
      <c r="G2215" s="13">
        <f>F2215*12%</f>
        <v/>
      </c>
      <c r="H2215" s="13">
        <f>IF(A2215="",0,B2215*(92*IF(OR(C2215=Options!$B$9,C2215=Options!$B$10),75%,100%)-IF(C2215=DATE(2026,11,29),26+IF(Options!$B$8="是",23,0),0)-IF(C2215=DATE(2026,11,30),26,0)-IF(C2215=DATE(2026,12,1),64,0)-IF(C2215=DATE(2026,11,28),38,0)-IF(C2215=DATE(2026,12,2),26,0)))</f>
        <v/>
      </c>
      <c r="I2215" s="13">
        <f>IF(AND(C2215&gt;=DATE(2026,11,29),C2215&lt;=DATE(2026,12,1)),B2215*60,0)</f>
        <v/>
      </c>
      <c r="J2215" s="13">
        <f>IF(A2215="",0,B2215*(IF(C2215=DATE(2026,11,28),38,0)+IF(C2215=DATE(2026,12,1),38,0)+IF(C2215=DATE(2026,12,2),26,0)))</f>
        <v/>
      </c>
      <c r="K2215" s="13">
        <f>IF(C2215=Options!$B$9,B2215*12,0)</f>
        <v/>
      </c>
      <c r="L2215" s="13">
        <f>IF(C2215=Options!$B$9,B2215*Options!$Z$8,0)</f>
        <v/>
      </c>
      <c r="M2215" s="13" t="n">
        <v>0</v>
      </c>
      <c r="N2215" s="13">
        <f>SUM(E2215:M2215)</f>
        <v/>
      </c>
    </row>
    <row r="2216">
      <c r="A2216" s="5">
        <f>IF(AND(C2216&gt;=Options!$B$9,C2216&lt;=Options!$B$10),"Boston","")</f>
        <v/>
      </c>
      <c r="B2216" s="5">
        <f>IF(A2216="","",18)</f>
        <v/>
      </c>
      <c r="C2216" s="17" t="n">
        <v>46317</v>
      </c>
      <c r="D2216" s="5">
        <f>IF(A2216="","",IF(C2216=DATE(2026,11,29),"培训；注册午餐；早餐参数",IF(C2216=DATE(2026,11,30),"培训；注册午餐",IF(C2216=DATE(2026,12,1),"培训；注册午餐；机构晚餐",IF(C2216=Options!$B$9,"抵达；"&amp;IF(C2216=DATE(2026,11,28),"机构晚餐","无统一供餐"),IF(C2216=Options!$B$10,"返程；"&amp;IF(C2216=DATE(2026,12,2),"机构午餐","无统一供餐"),"差旅状态；无统一日程"))))))</f>
        <v/>
      </c>
      <c r="E2216" s="13">
        <f>IF(C2216=Options!$B$9,Options!$C$20,0)</f>
        <v/>
      </c>
      <c r="F2216" s="13">
        <f>IF(AND(A2216&lt;&gt;"",C2216&lt;Options!$B$10),B2216*Options!$X$8,0)</f>
        <v/>
      </c>
      <c r="G2216" s="13">
        <f>F2216*12%</f>
        <v/>
      </c>
      <c r="H2216" s="13">
        <f>IF(A2216="",0,B2216*(92*IF(OR(C2216=Options!$B$9,C2216=Options!$B$10),75%,100%)-IF(C2216=DATE(2026,11,29),26+IF(Options!$B$8="是",23,0),0)-IF(C2216=DATE(2026,11,30),26,0)-IF(C2216=DATE(2026,12,1),64,0)-IF(C2216=DATE(2026,11,28),38,0)-IF(C2216=DATE(2026,12,2),26,0)))</f>
        <v/>
      </c>
      <c r="I2216" s="13">
        <f>IF(AND(C2216&gt;=DATE(2026,11,29),C2216&lt;=DATE(2026,12,1)),B2216*60,0)</f>
        <v/>
      </c>
      <c r="J2216" s="13">
        <f>IF(A2216="",0,B2216*(IF(C2216=DATE(2026,11,28),38,0)+IF(C2216=DATE(2026,12,1),38,0)+IF(C2216=DATE(2026,12,2),26,0)))</f>
        <v/>
      </c>
      <c r="K2216" s="13">
        <f>IF(C2216=Options!$B$9,B2216*12,0)</f>
        <v/>
      </c>
      <c r="L2216" s="13">
        <f>IF(C2216=Options!$B$9,B2216*Options!$Z$8,0)</f>
        <v/>
      </c>
      <c r="M2216" s="13" t="n">
        <v>0</v>
      </c>
      <c r="N2216" s="13">
        <f>SUM(E2216:M2216)</f>
        <v/>
      </c>
    </row>
    <row r="2217">
      <c r="A2217" s="5">
        <f>IF(AND(C2217&gt;=Options!$B$9,C2217&lt;=Options!$B$10),"Boston","")</f>
        <v/>
      </c>
      <c r="B2217" s="5">
        <f>IF(A2217="","",18)</f>
        <v/>
      </c>
      <c r="C2217" s="17" t="n">
        <v>46318</v>
      </c>
      <c r="D2217" s="5">
        <f>IF(A2217="","",IF(C2217=DATE(2026,11,29),"培训；注册午餐；早餐参数",IF(C2217=DATE(2026,11,30),"培训；注册午餐",IF(C2217=DATE(2026,12,1),"培训；注册午餐；机构晚餐",IF(C2217=Options!$B$9,"抵达；"&amp;IF(C2217=DATE(2026,11,28),"机构晚餐","无统一供餐"),IF(C2217=Options!$B$10,"返程；"&amp;IF(C2217=DATE(2026,12,2),"机构午餐","无统一供餐"),"差旅状态；无统一日程"))))))</f>
        <v/>
      </c>
      <c r="E2217" s="13">
        <f>IF(C2217=Options!$B$9,Options!$C$20,0)</f>
        <v/>
      </c>
      <c r="F2217" s="13">
        <f>IF(AND(A2217&lt;&gt;"",C2217&lt;Options!$B$10),B2217*Options!$X$8,0)</f>
        <v/>
      </c>
      <c r="G2217" s="13">
        <f>F2217*12%</f>
        <v/>
      </c>
      <c r="H2217" s="13">
        <f>IF(A2217="",0,B2217*(92*IF(OR(C2217=Options!$B$9,C2217=Options!$B$10),75%,100%)-IF(C2217=DATE(2026,11,29),26+IF(Options!$B$8="是",23,0),0)-IF(C2217=DATE(2026,11,30),26,0)-IF(C2217=DATE(2026,12,1),64,0)-IF(C2217=DATE(2026,11,28),38,0)-IF(C2217=DATE(2026,12,2),26,0)))</f>
        <v/>
      </c>
      <c r="I2217" s="13">
        <f>IF(AND(C2217&gt;=DATE(2026,11,29),C2217&lt;=DATE(2026,12,1)),B2217*60,0)</f>
        <v/>
      </c>
      <c r="J2217" s="13">
        <f>IF(A2217="",0,B2217*(IF(C2217=DATE(2026,11,28),38,0)+IF(C2217=DATE(2026,12,1),38,0)+IF(C2217=DATE(2026,12,2),26,0)))</f>
        <v/>
      </c>
      <c r="K2217" s="13">
        <f>IF(C2217=Options!$B$9,B2217*12,0)</f>
        <v/>
      </c>
      <c r="L2217" s="13">
        <f>IF(C2217=Options!$B$9,B2217*Options!$Z$8,0)</f>
        <v/>
      </c>
      <c r="M2217" s="13" t="n">
        <v>0</v>
      </c>
      <c r="N2217" s="13">
        <f>SUM(E2217:M2217)</f>
        <v/>
      </c>
    </row>
    <row r="2218">
      <c r="A2218" s="5">
        <f>IF(AND(C2218&gt;=Options!$B$9,C2218&lt;=Options!$B$10),"Boston","")</f>
        <v/>
      </c>
      <c r="B2218" s="5">
        <f>IF(A2218="","",18)</f>
        <v/>
      </c>
      <c r="C2218" s="17" t="n">
        <v>46319</v>
      </c>
      <c r="D2218" s="5">
        <f>IF(A2218="","",IF(C2218=DATE(2026,11,29),"培训；注册午餐；早餐参数",IF(C2218=DATE(2026,11,30),"培训；注册午餐",IF(C2218=DATE(2026,12,1),"培训；注册午餐；机构晚餐",IF(C2218=Options!$B$9,"抵达；"&amp;IF(C2218=DATE(2026,11,28),"机构晚餐","无统一供餐"),IF(C2218=Options!$B$10,"返程；"&amp;IF(C2218=DATE(2026,12,2),"机构午餐","无统一供餐"),"差旅状态；无统一日程"))))))</f>
        <v/>
      </c>
      <c r="E2218" s="13">
        <f>IF(C2218=Options!$B$9,Options!$C$20,0)</f>
        <v/>
      </c>
      <c r="F2218" s="13">
        <f>IF(AND(A2218&lt;&gt;"",C2218&lt;Options!$B$10),B2218*Options!$X$8,0)</f>
        <v/>
      </c>
      <c r="G2218" s="13">
        <f>F2218*12%</f>
        <v/>
      </c>
      <c r="H2218" s="13">
        <f>IF(A2218="",0,B2218*(92*IF(OR(C2218=Options!$B$9,C2218=Options!$B$10),75%,100%)-IF(C2218=DATE(2026,11,29),26+IF(Options!$B$8="是",23,0),0)-IF(C2218=DATE(2026,11,30),26,0)-IF(C2218=DATE(2026,12,1),64,0)-IF(C2218=DATE(2026,11,28),38,0)-IF(C2218=DATE(2026,12,2),26,0)))</f>
        <v/>
      </c>
      <c r="I2218" s="13">
        <f>IF(AND(C2218&gt;=DATE(2026,11,29),C2218&lt;=DATE(2026,12,1)),B2218*60,0)</f>
        <v/>
      </c>
      <c r="J2218" s="13">
        <f>IF(A2218="",0,B2218*(IF(C2218=DATE(2026,11,28),38,0)+IF(C2218=DATE(2026,12,1),38,0)+IF(C2218=DATE(2026,12,2),26,0)))</f>
        <v/>
      </c>
      <c r="K2218" s="13">
        <f>IF(C2218=Options!$B$9,B2218*12,0)</f>
        <v/>
      </c>
      <c r="L2218" s="13">
        <f>IF(C2218=Options!$B$9,B2218*Options!$Z$8,0)</f>
        <v/>
      </c>
      <c r="M2218" s="13" t="n">
        <v>0</v>
      </c>
      <c r="N2218" s="13">
        <f>SUM(E2218:M2218)</f>
        <v/>
      </c>
    </row>
    <row r="2219">
      <c r="A2219" s="5">
        <f>IF(AND(C2219&gt;=Options!$B$9,C2219&lt;=Options!$B$10),"Boston","")</f>
        <v/>
      </c>
      <c r="B2219" s="5">
        <f>IF(A2219="","",18)</f>
        <v/>
      </c>
      <c r="C2219" s="17" t="n">
        <v>46320</v>
      </c>
      <c r="D2219" s="5">
        <f>IF(A2219="","",IF(C2219=DATE(2026,11,29),"培训；注册午餐；早餐参数",IF(C2219=DATE(2026,11,30),"培训；注册午餐",IF(C2219=DATE(2026,12,1),"培训；注册午餐；机构晚餐",IF(C2219=Options!$B$9,"抵达；"&amp;IF(C2219=DATE(2026,11,28),"机构晚餐","无统一供餐"),IF(C2219=Options!$B$10,"返程；"&amp;IF(C2219=DATE(2026,12,2),"机构午餐","无统一供餐"),"差旅状态；无统一日程"))))))</f>
        <v/>
      </c>
      <c r="E2219" s="13">
        <f>IF(C2219=Options!$B$9,Options!$C$20,0)</f>
        <v/>
      </c>
      <c r="F2219" s="13">
        <f>IF(AND(A2219&lt;&gt;"",C2219&lt;Options!$B$10),B2219*Options!$X$8,0)</f>
        <v/>
      </c>
      <c r="G2219" s="13">
        <f>F2219*12%</f>
        <v/>
      </c>
      <c r="H2219" s="13">
        <f>IF(A2219="",0,B2219*(92*IF(OR(C2219=Options!$B$9,C2219=Options!$B$10),75%,100%)-IF(C2219=DATE(2026,11,29),26+IF(Options!$B$8="是",23,0),0)-IF(C2219=DATE(2026,11,30),26,0)-IF(C2219=DATE(2026,12,1),64,0)-IF(C2219=DATE(2026,11,28),38,0)-IF(C2219=DATE(2026,12,2),26,0)))</f>
        <v/>
      </c>
      <c r="I2219" s="13">
        <f>IF(AND(C2219&gt;=DATE(2026,11,29),C2219&lt;=DATE(2026,12,1)),B2219*60,0)</f>
        <v/>
      </c>
      <c r="J2219" s="13">
        <f>IF(A2219="",0,B2219*(IF(C2219=DATE(2026,11,28),38,0)+IF(C2219=DATE(2026,12,1),38,0)+IF(C2219=DATE(2026,12,2),26,0)))</f>
        <v/>
      </c>
      <c r="K2219" s="13">
        <f>IF(C2219=Options!$B$9,B2219*12,0)</f>
        <v/>
      </c>
      <c r="L2219" s="13">
        <f>IF(C2219=Options!$B$9,B2219*Options!$Z$8,0)</f>
        <v/>
      </c>
      <c r="M2219" s="13" t="n">
        <v>0</v>
      </c>
      <c r="N2219" s="13">
        <f>SUM(E2219:M2219)</f>
        <v/>
      </c>
    </row>
    <row r="2220">
      <c r="A2220" s="5">
        <f>IF(AND(C2220&gt;=Options!$B$9,C2220&lt;=Options!$B$10),"Boston","")</f>
        <v/>
      </c>
      <c r="B2220" s="5">
        <f>IF(A2220="","",18)</f>
        <v/>
      </c>
      <c r="C2220" s="17" t="n">
        <v>46321</v>
      </c>
      <c r="D2220" s="5">
        <f>IF(A2220="","",IF(C2220=DATE(2026,11,29),"培训；注册午餐；早餐参数",IF(C2220=DATE(2026,11,30),"培训；注册午餐",IF(C2220=DATE(2026,12,1),"培训；注册午餐；机构晚餐",IF(C2220=Options!$B$9,"抵达；"&amp;IF(C2220=DATE(2026,11,28),"机构晚餐","无统一供餐"),IF(C2220=Options!$B$10,"返程；"&amp;IF(C2220=DATE(2026,12,2),"机构午餐","无统一供餐"),"差旅状态；无统一日程"))))))</f>
        <v/>
      </c>
      <c r="E2220" s="13">
        <f>IF(C2220=Options!$B$9,Options!$C$20,0)</f>
        <v/>
      </c>
      <c r="F2220" s="13">
        <f>IF(AND(A2220&lt;&gt;"",C2220&lt;Options!$B$10),B2220*Options!$X$8,0)</f>
        <v/>
      </c>
      <c r="G2220" s="13">
        <f>F2220*12%</f>
        <v/>
      </c>
      <c r="H2220" s="13">
        <f>IF(A2220="",0,B2220*(92*IF(OR(C2220=Options!$B$9,C2220=Options!$B$10),75%,100%)-IF(C2220=DATE(2026,11,29),26+IF(Options!$B$8="是",23,0),0)-IF(C2220=DATE(2026,11,30),26,0)-IF(C2220=DATE(2026,12,1),64,0)-IF(C2220=DATE(2026,11,28),38,0)-IF(C2220=DATE(2026,12,2),26,0)))</f>
        <v/>
      </c>
      <c r="I2220" s="13">
        <f>IF(AND(C2220&gt;=DATE(2026,11,29),C2220&lt;=DATE(2026,12,1)),B2220*60,0)</f>
        <v/>
      </c>
      <c r="J2220" s="13">
        <f>IF(A2220="",0,B2220*(IF(C2220=DATE(2026,11,28),38,0)+IF(C2220=DATE(2026,12,1),38,0)+IF(C2220=DATE(2026,12,2),26,0)))</f>
        <v/>
      </c>
      <c r="K2220" s="13">
        <f>IF(C2220=Options!$B$9,B2220*12,0)</f>
        <v/>
      </c>
      <c r="L2220" s="13">
        <f>IF(C2220=Options!$B$9,B2220*Options!$Z$8,0)</f>
        <v/>
      </c>
      <c r="M2220" s="13" t="n">
        <v>0</v>
      </c>
      <c r="N2220" s="13">
        <f>SUM(E2220:M2220)</f>
        <v/>
      </c>
    </row>
    <row r="2221">
      <c r="A2221" s="5">
        <f>IF(AND(C2221&gt;=Options!$B$9,C2221&lt;=Options!$B$10),"Boston","")</f>
        <v/>
      </c>
      <c r="B2221" s="5">
        <f>IF(A2221="","",18)</f>
        <v/>
      </c>
      <c r="C2221" s="17" t="n">
        <v>46322</v>
      </c>
      <c r="D2221" s="5">
        <f>IF(A2221="","",IF(C2221=DATE(2026,11,29),"培训；注册午餐；早餐参数",IF(C2221=DATE(2026,11,30),"培训；注册午餐",IF(C2221=DATE(2026,12,1),"培训；注册午餐；机构晚餐",IF(C2221=Options!$B$9,"抵达；"&amp;IF(C2221=DATE(2026,11,28),"机构晚餐","无统一供餐"),IF(C2221=Options!$B$10,"返程；"&amp;IF(C2221=DATE(2026,12,2),"机构午餐","无统一供餐"),"差旅状态；无统一日程"))))))</f>
        <v/>
      </c>
      <c r="E2221" s="13">
        <f>IF(C2221=Options!$B$9,Options!$C$20,0)</f>
        <v/>
      </c>
      <c r="F2221" s="13">
        <f>IF(AND(A2221&lt;&gt;"",C2221&lt;Options!$B$10),B2221*Options!$X$8,0)</f>
        <v/>
      </c>
      <c r="G2221" s="13">
        <f>F2221*12%</f>
        <v/>
      </c>
      <c r="H2221" s="13">
        <f>IF(A2221="",0,B2221*(92*IF(OR(C2221=Options!$B$9,C2221=Options!$B$10),75%,100%)-IF(C2221=DATE(2026,11,29),26+IF(Options!$B$8="是",23,0),0)-IF(C2221=DATE(2026,11,30),26,0)-IF(C2221=DATE(2026,12,1),64,0)-IF(C2221=DATE(2026,11,28),38,0)-IF(C2221=DATE(2026,12,2),26,0)))</f>
        <v/>
      </c>
      <c r="I2221" s="13">
        <f>IF(AND(C2221&gt;=DATE(2026,11,29),C2221&lt;=DATE(2026,12,1)),B2221*60,0)</f>
        <v/>
      </c>
      <c r="J2221" s="13">
        <f>IF(A2221="",0,B2221*(IF(C2221=DATE(2026,11,28),38,0)+IF(C2221=DATE(2026,12,1),38,0)+IF(C2221=DATE(2026,12,2),26,0)))</f>
        <v/>
      </c>
      <c r="K2221" s="13">
        <f>IF(C2221=Options!$B$9,B2221*12,0)</f>
        <v/>
      </c>
      <c r="L2221" s="13">
        <f>IF(C2221=Options!$B$9,B2221*Options!$Z$8,0)</f>
        <v/>
      </c>
      <c r="M2221" s="13" t="n">
        <v>0</v>
      </c>
      <c r="N2221" s="13">
        <f>SUM(E2221:M2221)</f>
        <v/>
      </c>
    </row>
    <row r="2222">
      <c r="A2222" s="5">
        <f>IF(AND(C2222&gt;=Options!$B$9,C2222&lt;=Options!$B$10),"Boston","")</f>
        <v/>
      </c>
      <c r="B2222" s="5">
        <f>IF(A2222="","",18)</f>
        <v/>
      </c>
      <c r="C2222" s="17" t="n">
        <v>46323</v>
      </c>
      <c r="D2222" s="5">
        <f>IF(A2222="","",IF(C2222=DATE(2026,11,29),"培训；注册午餐；早餐参数",IF(C2222=DATE(2026,11,30),"培训；注册午餐",IF(C2222=DATE(2026,12,1),"培训；注册午餐；机构晚餐",IF(C2222=Options!$B$9,"抵达；"&amp;IF(C2222=DATE(2026,11,28),"机构晚餐","无统一供餐"),IF(C2222=Options!$B$10,"返程；"&amp;IF(C2222=DATE(2026,12,2),"机构午餐","无统一供餐"),"差旅状态；无统一日程"))))))</f>
        <v/>
      </c>
      <c r="E2222" s="13">
        <f>IF(C2222=Options!$B$9,Options!$C$20,0)</f>
        <v/>
      </c>
      <c r="F2222" s="13">
        <f>IF(AND(A2222&lt;&gt;"",C2222&lt;Options!$B$10),B2222*Options!$X$8,0)</f>
        <v/>
      </c>
      <c r="G2222" s="13">
        <f>F2222*12%</f>
        <v/>
      </c>
      <c r="H2222" s="13">
        <f>IF(A2222="",0,B2222*(92*IF(OR(C2222=Options!$B$9,C2222=Options!$B$10),75%,100%)-IF(C2222=DATE(2026,11,29),26+IF(Options!$B$8="是",23,0),0)-IF(C2222=DATE(2026,11,30),26,0)-IF(C2222=DATE(2026,12,1),64,0)-IF(C2222=DATE(2026,11,28),38,0)-IF(C2222=DATE(2026,12,2),26,0)))</f>
        <v/>
      </c>
      <c r="I2222" s="13">
        <f>IF(AND(C2222&gt;=DATE(2026,11,29),C2222&lt;=DATE(2026,12,1)),B2222*60,0)</f>
        <v/>
      </c>
      <c r="J2222" s="13">
        <f>IF(A2222="",0,B2222*(IF(C2222=DATE(2026,11,28),38,0)+IF(C2222=DATE(2026,12,1),38,0)+IF(C2222=DATE(2026,12,2),26,0)))</f>
        <v/>
      </c>
      <c r="K2222" s="13">
        <f>IF(C2222=Options!$B$9,B2222*12,0)</f>
        <v/>
      </c>
      <c r="L2222" s="13">
        <f>IF(C2222=Options!$B$9,B2222*Options!$Z$8,0)</f>
        <v/>
      </c>
      <c r="M2222" s="13" t="n">
        <v>0</v>
      </c>
      <c r="N2222" s="13">
        <f>SUM(E2222:M2222)</f>
        <v/>
      </c>
    </row>
    <row r="2223">
      <c r="A2223" s="5">
        <f>IF(AND(C2223&gt;=Options!$B$9,C2223&lt;=Options!$B$10),"Boston","")</f>
        <v/>
      </c>
      <c r="B2223" s="5">
        <f>IF(A2223="","",18)</f>
        <v/>
      </c>
      <c r="C2223" s="17" t="n">
        <v>46324</v>
      </c>
      <c r="D2223" s="5">
        <f>IF(A2223="","",IF(C2223=DATE(2026,11,29),"培训；注册午餐；早餐参数",IF(C2223=DATE(2026,11,30),"培训；注册午餐",IF(C2223=DATE(2026,12,1),"培训；注册午餐；机构晚餐",IF(C2223=Options!$B$9,"抵达；"&amp;IF(C2223=DATE(2026,11,28),"机构晚餐","无统一供餐"),IF(C2223=Options!$B$10,"返程；"&amp;IF(C2223=DATE(2026,12,2),"机构午餐","无统一供餐"),"差旅状态；无统一日程"))))))</f>
        <v/>
      </c>
      <c r="E2223" s="13">
        <f>IF(C2223=Options!$B$9,Options!$C$20,0)</f>
        <v/>
      </c>
      <c r="F2223" s="13">
        <f>IF(AND(A2223&lt;&gt;"",C2223&lt;Options!$B$10),B2223*Options!$X$8,0)</f>
        <v/>
      </c>
      <c r="G2223" s="13">
        <f>F2223*12%</f>
        <v/>
      </c>
      <c r="H2223" s="13">
        <f>IF(A2223="",0,B2223*(92*IF(OR(C2223=Options!$B$9,C2223=Options!$B$10),75%,100%)-IF(C2223=DATE(2026,11,29),26+IF(Options!$B$8="是",23,0),0)-IF(C2223=DATE(2026,11,30),26,0)-IF(C2223=DATE(2026,12,1),64,0)-IF(C2223=DATE(2026,11,28),38,0)-IF(C2223=DATE(2026,12,2),26,0)))</f>
        <v/>
      </c>
      <c r="I2223" s="13">
        <f>IF(AND(C2223&gt;=DATE(2026,11,29),C2223&lt;=DATE(2026,12,1)),B2223*60,0)</f>
        <v/>
      </c>
      <c r="J2223" s="13">
        <f>IF(A2223="",0,B2223*(IF(C2223=DATE(2026,11,28),38,0)+IF(C2223=DATE(2026,12,1),38,0)+IF(C2223=DATE(2026,12,2),26,0)))</f>
        <v/>
      </c>
      <c r="K2223" s="13">
        <f>IF(C2223=Options!$B$9,B2223*12,0)</f>
        <v/>
      </c>
      <c r="L2223" s="13">
        <f>IF(C2223=Options!$B$9,B2223*Options!$Z$8,0)</f>
        <v/>
      </c>
      <c r="M2223" s="13" t="n">
        <v>0</v>
      </c>
      <c r="N2223" s="13">
        <f>SUM(E2223:M2223)</f>
        <v/>
      </c>
    </row>
    <row r="2224">
      <c r="A2224" s="5">
        <f>IF(AND(C2224&gt;=Options!$B$9,C2224&lt;=Options!$B$10),"Boston","")</f>
        <v/>
      </c>
      <c r="B2224" s="5">
        <f>IF(A2224="","",18)</f>
        <v/>
      </c>
      <c r="C2224" s="17" t="n">
        <v>46325</v>
      </c>
      <c r="D2224" s="5">
        <f>IF(A2224="","",IF(C2224=DATE(2026,11,29),"培训；注册午餐；早餐参数",IF(C2224=DATE(2026,11,30),"培训；注册午餐",IF(C2224=DATE(2026,12,1),"培训；注册午餐；机构晚餐",IF(C2224=Options!$B$9,"抵达；"&amp;IF(C2224=DATE(2026,11,28),"机构晚餐","无统一供餐"),IF(C2224=Options!$B$10,"返程；"&amp;IF(C2224=DATE(2026,12,2),"机构午餐","无统一供餐"),"差旅状态；无统一日程"))))))</f>
        <v/>
      </c>
      <c r="E2224" s="13">
        <f>IF(C2224=Options!$B$9,Options!$C$20,0)</f>
        <v/>
      </c>
      <c r="F2224" s="13">
        <f>IF(AND(A2224&lt;&gt;"",C2224&lt;Options!$B$10),B2224*Options!$X$8,0)</f>
        <v/>
      </c>
      <c r="G2224" s="13">
        <f>F2224*12%</f>
        <v/>
      </c>
      <c r="H2224" s="13">
        <f>IF(A2224="",0,B2224*(92*IF(OR(C2224=Options!$B$9,C2224=Options!$B$10),75%,100%)-IF(C2224=DATE(2026,11,29),26+IF(Options!$B$8="是",23,0),0)-IF(C2224=DATE(2026,11,30),26,0)-IF(C2224=DATE(2026,12,1),64,0)-IF(C2224=DATE(2026,11,28),38,0)-IF(C2224=DATE(2026,12,2),26,0)))</f>
        <v/>
      </c>
      <c r="I2224" s="13">
        <f>IF(AND(C2224&gt;=DATE(2026,11,29),C2224&lt;=DATE(2026,12,1)),B2224*60,0)</f>
        <v/>
      </c>
      <c r="J2224" s="13">
        <f>IF(A2224="",0,B2224*(IF(C2224=DATE(2026,11,28),38,0)+IF(C2224=DATE(2026,12,1),38,0)+IF(C2224=DATE(2026,12,2),26,0)))</f>
        <v/>
      </c>
      <c r="K2224" s="13">
        <f>IF(C2224=Options!$B$9,B2224*12,0)</f>
        <v/>
      </c>
      <c r="L2224" s="13">
        <f>IF(C2224=Options!$B$9,B2224*Options!$Z$8,0)</f>
        <v/>
      </c>
      <c r="M2224" s="13" t="n">
        <v>0</v>
      </c>
      <c r="N2224" s="13">
        <f>SUM(E2224:M2224)</f>
        <v/>
      </c>
    </row>
    <row r="2225">
      <c r="A2225" s="5">
        <f>IF(AND(C2225&gt;=Options!$B$9,C2225&lt;=Options!$B$10),"Boston","")</f>
        <v/>
      </c>
      <c r="B2225" s="5">
        <f>IF(A2225="","",18)</f>
        <v/>
      </c>
      <c r="C2225" s="17" t="n">
        <v>46326</v>
      </c>
      <c r="D2225" s="5">
        <f>IF(A2225="","",IF(C2225=DATE(2026,11,29),"培训；注册午餐；早餐参数",IF(C2225=DATE(2026,11,30),"培训；注册午餐",IF(C2225=DATE(2026,12,1),"培训；注册午餐；机构晚餐",IF(C2225=Options!$B$9,"抵达；"&amp;IF(C2225=DATE(2026,11,28),"机构晚餐","无统一供餐"),IF(C2225=Options!$B$10,"返程；"&amp;IF(C2225=DATE(2026,12,2),"机构午餐","无统一供餐"),"差旅状态；无统一日程"))))))</f>
        <v/>
      </c>
      <c r="E2225" s="13">
        <f>IF(C2225=Options!$B$9,Options!$C$20,0)</f>
        <v/>
      </c>
      <c r="F2225" s="13">
        <f>IF(AND(A2225&lt;&gt;"",C2225&lt;Options!$B$10),B2225*Options!$X$8,0)</f>
        <v/>
      </c>
      <c r="G2225" s="13">
        <f>F2225*12%</f>
        <v/>
      </c>
      <c r="H2225" s="13">
        <f>IF(A2225="",0,B2225*(92*IF(OR(C2225=Options!$B$9,C2225=Options!$B$10),75%,100%)-IF(C2225=DATE(2026,11,29),26+IF(Options!$B$8="是",23,0),0)-IF(C2225=DATE(2026,11,30),26,0)-IF(C2225=DATE(2026,12,1),64,0)-IF(C2225=DATE(2026,11,28),38,0)-IF(C2225=DATE(2026,12,2),26,0)))</f>
        <v/>
      </c>
      <c r="I2225" s="13">
        <f>IF(AND(C2225&gt;=DATE(2026,11,29),C2225&lt;=DATE(2026,12,1)),B2225*60,0)</f>
        <v/>
      </c>
      <c r="J2225" s="13">
        <f>IF(A2225="",0,B2225*(IF(C2225=DATE(2026,11,28),38,0)+IF(C2225=DATE(2026,12,1),38,0)+IF(C2225=DATE(2026,12,2),26,0)))</f>
        <v/>
      </c>
      <c r="K2225" s="13">
        <f>IF(C2225=Options!$B$9,B2225*12,0)</f>
        <v/>
      </c>
      <c r="L2225" s="13">
        <f>IF(C2225=Options!$B$9,B2225*Options!$Z$8,0)</f>
        <v/>
      </c>
      <c r="M2225" s="13" t="n">
        <v>0</v>
      </c>
      <c r="N2225" s="13">
        <f>SUM(E2225:M2225)</f>
        <v/>
      </c>
    </row>
    <row r="2226">
      <c r="A2226" s="5">
        <f>IF(AND(C2226&gt;=Options!$B$9,C2226&lt;=Options!$B$10),"Boston","")</f>
        <v/>
      </c>
      <c r="B2226" s="5">
        <f>IF(A2226="","",18)</f>
        <v/>
      </c>
      <c r="C2226" s="17" t="n">
        <v>46327</v>
      </c>
      <c r="D2226" s="5">
        <f>IF(A2226="","",IF(C2226=DATE(2026,11,29),"培训；注册午餐；早餐参数",IF(C2226=DATE(2026,11,30),"培训；注册午餐",IF(C2226=DATE(2026,12,1),"培训；注册午餐；机构晚餐",IF(C2226=Options!$B$9,"抵达；"&amp;IF(C2226=DATE(2026,11,28),"机构晚餐","无统一供餐"),IF(C2226=Options!$B$10,"返程；"&amp;IF(C2226=DATE(2026,12,2),"机构午餐","无统一供餐"),"差旅状态；无统一日程"))))))</f>
        <v/>
      </c>
      <c r="E2226" s="13">
        <f>IF(C2226=Options!$B$9,Options!$C$20,0)</f>
        <v/>
      </c>
      <c r="F2226" s="13">
        <f>IF(AND(A2226&lt;&gt;"",C2226&lt;Options!$B$10),B2226*Options!$X$8,0)</f>
        <v/>
      </c>
      <c r="G2226" s="13">
        <f>F2226*12%</f>
        <v/>
      </c>
      <c r="H2226" s="13">
        <f>IF(A2226="",0,B2226*(92*IF(OR(C2226=Options!$B$9,C2226=Options!$B$10),75%,100%)-IF(C2226=DATE(2026,11,29),26+IF(Options!$B$8="是",23,0),0)-IF(C2226=DATE(2026,11,30),26,0)-IF(C2226=DATE(2026,12,1),64,0)-IF(C2226=DATE(2026,11,28),38,0)-IF(C2226=DATE(2026,12,2),26,0)))</f>
        <v/>
      </c>
      <c r="I2226" s="13">
        <f>IF(AND(C2226&gt;=DATE(2026,11,29),C2226&lt;=DATE(2026,12,1)),B2226*60,0)</f>
        <v/>
      </c>
      <c r="J2226" s="13">
        <f>IF(A2226="",0,B2226*(IF(C2226=DATE(2026,11,28),38,0)+IF(C2226=DATE(2026,12,1),38,0)+IF(C2226=DATE(2026,12,2),26,0)))</f>
        <v/>
      </c>
      <c r="K2226" s="13">
        <f>IF(C2226=Options!$B$9,B2226*12,0)</f>
        <v/>
      </c>
      <c r="L2226" s="13">
        <f>IF(C2226=Options!$B$9,B2226*Options!$Z$8,0)</f>
        <v/>
      </c>
      <c r="M2226" s="13" t="n">
        <v>0</v>
      </c>
      <c r="N2226" s="13">
        <f>SUM(E2226:M2226)</f>
        <v/>
      </c>
    </row>
    <row r="2227">
      <c r="A2227" s="5">
        <f>IF(AND(C2227&gt;=Options!$B$9,C2227&lt;=Options!$B$10),"Boston","")</f>
        <v/>
      </c>
      <c r="B2227" s="5">
        <f>IF(A2227="","",18)</f>
        <v/>
      </c>
      <c r="C2227" s="17" t="n">
        <v>46328</v>
      </c>
      <c r="D2227" s="5">
        <f>IF(A2227="","",IF(C2227=DATE(2026,11,29),"培训；注册午餐；早餐参数",IF(C2227=DATE(2026,11,30),"培训；注册午餐",IF(C2227=DATE(2026,12,1),"培训；注册午餐；机构晚餐",IF(C2227=Options!$B$9,"抵达；"&amp;IF(C2227=DATE(2026,11,28),"机构晚餐","无统一供餐"),IF(C2227=Options!$B$10,"返程；"&amp;IF(C2227=DATE(2026,12,2),"机构午餐","无统一供餐"),"差旅状态；无统一日程"))))))</f>
        <v/>
      </c>
      <c r="E2227" s="13">
        <f>IF(C2227=Options!$B$9,Options!$C$20,0)</f>
        <v/>
      </c>
      <c r="F2227" s="13">
        <f>IF(AND(A2227&lt;&gt;"",C2227&lt;Options!$B$10),B2227*Options!$X$8,0)</f>
        <v/>
      </c>
      <c r="G2227" s="13">
        <f>F2227*12%</f>
        <v/>
      </c>
      <c r="H2227" s="13">
        <f>IF(A2227="",0,B2227*(92*IF(OR(C2227=Options!$B$9,C2227=Options!$B$10),75%,100%)-IF(C2227=DATE(2026,11,29),26+IF(Options!$B$8="是",23,0),0)-IF(C2227=DATE(2026,11,30),26,0)-IF(C2227=DATE(2026,12,1),64,0)-IF(C2227=DATE(2026,11,28),38,0)-IF(C2227=DATE(2026,12,2),26,0)))</f>
        <v/>
      </c>
      <c r="I2227" s="13">
        <f>IF(AND(C2227&gt;=DATE(2026,11,29),C2227&lt;=DATE(2026,12,1)),B2227*60,0)</f>
        <v/>
      </c>
      <c r="J2227" s="13">
        <f>IF(A2227="",0,B2227*(IF(C2227=DATE(2026,11,28),38,0)+IF(C2227=DATE(2026,12,1),38,0)+IF(C2227=DATE(2026,12,2),26,0)))</f>
        <v/>
      </c>
      <c r="K2227" s="13">
        <f>IF(C2227=Options!$B$9,B2227*12,0)</f>
        <v/>
      </c>
      <c r="L2227" s="13">
        <f>IF(C2227=Options!$B$9,B2227*Options!$Z$8,0)</f>
        <v/>
      </c>
      <c r="M2227" s="13" t="n">
        <v>0</v>
      </c>
      <c r="N2227" s="13">
        <f>SUM(E2227:M2227)</f>
        <v/>
      </c>
    </row>
    <row r="2228">
      <c r="A2228" s="5">
        <f>IF(AND(C2228&gt;=Options!$B$9,C2228&lt;=Options!$B$10),"Boston","")</f>
        <v/>
      </c>
      <c r="B2228" s="5">
        <f>IF(A2228="","",18)</f>
        <v/>
      </c>
      <c r="C2228" s="17" t="n">
        <v>46329</v>
      </c>
      <c r="D2228" s="5">
        <f>IF(A2228="","",IF(C2228=DATE(2026,11,29),"培训；注册午餐；早餐参数",IF(C2228=DATE(2026,11,30),"培训；注册午餐",IF(C2228=DATE(2026,12,1),"培训；注册午餐；机构晚餐",IF(C2228=Options!$B$9,"抵达；"&amp;IF(C2228=DATE(2026,11,28),"机构晚餐","无统一供餐"),IF(C2228=Options!$B$10,"返程；"&amp;IF(C2228=DATE(2026,12,2),"机构午餐","无统一供餐"),"差旅状态；无统一日程"))))))</f>
        <v/>
      </c>
      <c r="E2228" s="13">
        <f>IF(C2228=Options!$B$9,Options!$C$20,0)</f>
        <v/>
      </c>
      <c r="F2228" s="13">
        <f>IF(AND(A2228&lt;&gt;"",C2228&lt;Options!$B$10),B2228*Options!$X$8,0)</f>
        <v/>
      </c>
      <c r="G2228" s="13">
        <f>F2228*12%</f>
        <v/>
      </c>
      <c r="H2228" s="13">
        <f>IF(A2228="",0,B2228*(92*IF(OR(C2228=Options!$B$9,C2228=Options!$B$10),75%,100%)-IF(C2228=DATE(2026,11,29),26+IF(Options!$B$8="是",23,0),0)-IF(C2228=DATE(2026,11,30),26,0)-IF(C2228=DATE(2026,12,1),64,0)-IF(C2228=DATE(2026,11,28),38,0)-IF(C2228=DATE(2026,12,2),26,0)))</f>
        <v/>
      </c>
      <c r="I2228" s="13">
        <f>IF(AND(C2228&gt;=DATE(2026,11,29),C2228&lt;=DATE(2026,12,1)),B2228*60,0)</f>
        <v/>
      </c>
      <c r="J2228" s="13">
        <f>IF(A2228="",0,B2228*(IF(C2228=DATE(2026,11,28),38,0)+IF(C2228=DATE(2026,12,1),38,0)+IF(C2228=DATE(2026,12,2),26,0)))</f>
        <v/>
      </c>
      <c r="K2228" s="13">
        <f>IF(C2228=Options!$B$9,B2228*12,0)</f>
        <v/>
      </c>
      <c r="L2228" s="13">
        <f>IF(C2228=Options!$B$9,B2228*Options!$Z$8,0)</f>
        <v/>
      </c>
      <c r="M2228" s="13" t="n">
        <v>0</v>
      </c>
      <c r="N2228" s="13">
        <f>SUM(E2228:M2228)</f>
        <v/>
      </c>
    </row>
    <row r="2229">
      <c r="A2229" s="5">
        <f>IF(AND(C2229&gt;=Options!$B$9,C2229&lt;=Options!$B$10),"Boston","")</f>
        <v/>
      </c>
      <c r="B2229" s="5">
        <f>IF(A2229="","",18)</f>
        <v/>
      </c>
      <c r="C2229" s="17" t="n">
        <v>46330</v>
      </c>
      <c r="D2229" s="5">
        <f>IF(A2229="","",IF(C2229=DATE(2026,11,29),"培训；注册午餐；早餐参数",IF(C2229=DATE(2026,11,30),"培训；注册午餐",IF(C2229=DATE(2026,12,1),"培训；注册午餐；机构晚餐",IF(C2229=Options!$B$9,"抵达；"&amp;IF(C2229=DATE(2026,11,28),"机构晚餐","无统一供餐"),IF(C2229=Options!$B$10,"返程；"&amp;IF(C2229=DATE(2026,12,2),"机构午餐","无统一供餐"),"差旅状态；无统一日程"))))))</f>
        <v/>
      </c>
      <c r="E2229" s="13">
        <f>IF(C2229=Options!$B$9,Options!$C$20,0)</f>
        <v/>
      </c>
      <c r="F2229" s="13">
        <f>IF(AND(A2229&lt;&gt;"",C2229&lt;Options!$B$10),B2229*Options!$X$8,0)</f>
        <v/>
      </c>
      <c r="G2229" s="13">
        <f>F2229*12%</f>
        <v/>
      </c>
      <c r="H2229" s="13">
        <f>IF(A2229="",0,B2229*(92*IF(OR(C2229=Options!$B$9,C2229=Options!$B$10),75%,100%)-IF(C2229=DATE(2026,11,29),26+IF(Options!$B$8="是",23,0),0)-IF(C2229=DATE(2026,11,30),26,0)-IF(C2229=DATE(2026,12,1),64,0)-IF(C2229=DATE(2026,11,28),38,0)-IF(C2229=DATE(2026,12,2),26,0)))</f>
        <v/>
      </c>
      <c r="I2229" s="13">
        <f>IF(AND(C2229&gt;=DATE(2026,11,29),C2229&lt;=DATE(2026,12,1)),B2229*60,0)</f>
        <v/>
      </c>
      <c r="J2229" s="13">
        <f>IF(A2229="",0,B2229*(IF(C2229=DATE(2026,11,28),38,0)+IF(C2229=DATE(2026,12,1),38,0)+IF(C2229=DATE(2026,12,2),26,0)))</f>
        <v/>
      </c>
      <c r="K2229" s="13">
        <f>IF(C2229=Options!$B$9,B2229*12,0)</f>
        <v/>
      </c>
      <c r="L2229" s="13">
        <f>IF(C2229=Options!$B$9,B2229*Options!$Z$8,0)</f>
        <v/>
      </c>
      <c r="M2229" s="13" t="n">
        <v>0</v>
      </c>
      <c r="N2229" s="13">
        <f>SUM(E2229:M2229)</f>
        <v/>
      </c>
    </row>
    <row r="2230">
      <c r="A2230" s="5">
        <f>IF(AND(C2230&gt;=Options!$B$9,C2230&lt;=Options!$B$10),"Boston","")</f>
        <v/>
      </c>
      <c r="B2230" s="5">
        <f>IF(A2230="","",18)</f>
        <v/>
      </c>
      <c r="C2230" s="17" t="n">
        <v>46331</v>
      </c>
      <c r="D2230" s="5">
        <f>IF(A2230="","",IF(C2230=DATE(2026,11,29),"培训；注册午餐；早餐参数",IF(C2230=DATE(2026,11,30),"培训；注册午餐",IF(C2230=DATE(2026,12,1),"培训；注册午餐；机构晚餐",IF(C2230=Options!$B$9,"抵达；"&amp;IF(C2230=DATE(2026,11,28),"机构晚餐","无统一供餐"),IF(C2230=Options!$B$10,"返程；"&amp;IF(C2230=DATE(2026,12,2),"机构午餐","无统一供餐"),"差旅状态；无统一日程"))))))</f>
        <v/>
      </c>
      <c r="E2230" s="13">
        <f>IF(C2230=Options!$B$9,Options!$C$20,0)</f>
        <v/>
      </c>
      <c r="F2230" s="13">
        <f>IF(AND(A2230&lt;&gt;"",C2230&lt;Options!$B$10),B2230*Options!$X$8,0)</f>
        <v/>
      </c>
      <c r="G2230" s="13">
        <f>F2230*12%</f>
        <v/>
      </c>
      <c r="H2230" s="13">
        <f>IF(A2230="",0,B2230*(92*IF(OR(C2230=Options!$B$9,C2230=Options!$B$10),75%,100%)-IF(C2230=DATE(2026,11,29),26+IF(Options!$B$8="是",23,0),0)-IF(C2230=DATE(2026,11,30),26,0)-IF(C2230=DATE(2026,12,1),64,0)-IF(C2230=DATE(2026,11,28),38,0)-IF(C2230=DATE(2026,12,2),26,0)))</f>
        <v/>
      </c>
      <c r="I2230" s="13">
        <f>IF(AND(C2230&gt;=DATE(2026,11,29),C2230&lt;=DATE(2026,12,1)),B2230*60,0)</f>
        <v/>
      </c>
      <c r="J2230" s="13">
        <f>IF(A2230="",0,B2230*(IF(C2230=DATE(2026,11,28),38,0)+IF(C2230=DATE(2026,12,1),38,0)+IF(C2230=DATE(2026,12,2),26,0)))</f>
        <v/>
      </c>
      <c r="K2230" s="13">
        <f>IF(C2230=Options!$B$9,B2230*12,0)</f>
        <v/>
      </c>
      <c r="L2230" s="13">
        <f>IF(C2230=Options!$B$9,B2230*Options!$Z$8,0)</f>
        <v/>
      </c>
      <c r="M2230" s="13" t="n">
        <v>0</v>
      </c>
      <c r="N2230" s="13">
        <f>SUM(E2230:M2230)</f>
        <v/>
      </c>
    </row>
    <row r="2231">
      <c r="A2231" s="5">
        <f>IF(AND(C2231&gt;=Options!$B$9,C2231&lt;=Options!$B$10),"Boston","")</f>
        <v/>
      </c>
      <c r="B2231" s="5">
        <f>IF(A2231="","",18)</f>
        <v/>
      </c>
      <c r="C2231" s="17" t="n">
        <v>46332</v>
      </c>
      <c r="D2231" s="5">
        <f>IF(A2231="","",IF(C2231=DATE(2026,11,29),"培训；注册午餐；早餐参数",IF(C2231=DATE(2026,11,30),"培训；注册午餐",IF(C2231=DATE(2026,12,1),"培训；注册午餐；机构晚餐",IF(C2231=Options!$B$9,"抵达；"&amp;IF(C2231=DATE(2026,11,28),"机构晚餐","无统一供餐"),IF(C2231=Options!$B$10,"返程；"&amp;IF(C2231=DATE(2026,12,2),"机构午餐","无统一供餐"),"差旅状态；无统一日程"))))))</f>
        <v/>
      </c>
      <c r="E2231" s="13">
        <f>IF(C2231=Options!$B$9,Options!$C$20,0)</f>
        <v/>
      </c>
      <c r="F2231" s="13">
        <f>IF(AND(A2231&lt;&gt;"",C2231&lt;Options!$B$10),B2231*Options!$X$8,0)</f>
        <v/>
      </c>
      <c r="G2231" s="13">
        <f>F2231*12%</f>
        <v/>
      </c>
      <c r="H2231" s="13">
        <f>IF(A2231="",0,B2231*(92*IF(OR(C2231=Options!$B$9,C2231=Options!$B$10),75%,100%)-IF(C2231=DATE(2026,11,29),26+IF(Options!$B$8="是",23,0),0)-IF(C2231=DATE(2026,11,30),26,0)-IF(C2231=DATE(2026,12,1),64,0)-IF(C2231=DATE(2026,11,28),38,0)-IF(C2231=DATE(2026,12,2),26,0)))</f>
        <v/>
      </c>
      <c r="I2231" s="13">
        <f>IF(AND(C2231&gt;=DATE(2026,11,29),C2231&lt;=DATE(2026,12,1)),B2231*60,0)</f>
        <v/>
      </c>
      <c r="J2231" s="13">
        <f>IF(A2231="",0,B2231*(IF(C2231=DATE(2026,11,28),38,0)+IF(C2231=DATE(2026,12,1),38,0)+IF(C2231=DATE(2026,12,2),26,0)))</f>
        <v/>
      </c>
      <c r="K2231" s="13">
        <f>IF(C2231=Options!$B$9,B2231*12,0)</f>
        <v/>
      </c>
      <c r="L2231" s="13">
        <f>IF(C2231=Options!$B$9,B2231*Options!$Z$8,0)</f>
        <v/>
      </c>
      <c r="M2231" s="13" t="n">
        <v>0</v>
      </c>
      <c r="N2231" s="13">
        <f>SUM(E2231:M2231)</f>
        <v/>
      </c>
    </row>
    <row r="2232">
      <c r="A2232" s="5">
        <f>IF(AND(C2232&gt;=Options!$B$9,C2232&lt;=Options!$B$10),"Boston","")</f>
        <v/>
      </c>
      <c r="B2232" s="5">
        <f>IF(A2232="","",18)</f>
        <v/>
      </c>
      <c r="C2232" s="17" t="n">
        <v>46333</v>
      </c>
      <c r="D2232" s="5">
        <f>IF(A2232="","",IF(C2232=DATE(2026,11,29),"培训；注册午餐；早餐参数",IF(C2232=DATE(2026,11,30),"培训；注册午餐",IF(C2232=DATE(2026,12,1),"培训；注册午餐；机构晚餐",IF(C2232=Options!$B$9,"抵达；"&amp;IF(C2232=DATE(2026,11,28),"机构晚餐","无统一供餐"),IF(C2232=Options!$B$10,"返程；"&amp;IF(C2232=DATE(2026,12,2),"机构午餐","无统一供餐"),"差旅状态；无统一日程"))))))</f>
        <v/>
      </c>
      <c r="E2232" s="13">
        <f>IF(C2232=Options!$B$9,Options!$C$20,0)</f>
        <v/>
      </c>
      <c r="F2232" s="13">
        <f>IF(AND(A2232&lt;&gt;"",C2232&lt;Options!$B$10),B2232*Options!$X$8,0)</f>
        <v/>
      </c>
      <c r="G2232" s="13">
        <f>F2232*12%</f>
        <v/>
      </c>
      <c r="H2232" s="13">
        <f>IF(A2232="",0,B2232*(92*IF(OR(C2232=Options!$B$9,C2232=Options!$B$10),75%,100%)-IF(C2232=DATE(2026,11,29),26+IF(Options!$B$8="是",23,0),0)-IF(C2232=DATE(2026,11,30),26,0)-IF(C2232=DATE(2026,12,1),64,0)-IF(C2232=DATE(2026,11,28),38,0)-IF(C2232=DATE(2026,12,2),26,0)))</f>
        <v/>
      </c>
      <c r="I2232" s="13">
        <f>IF(AND(C2232&gt;=DATE(2026,11,29),C2232&lt;=DATE(2026,12,1)),B2232*60,0)</f>
        <v/>
      </c>
      <c r="J2232" s="13">
        <f>IF(A2232="",0,B2232*(IF(C2232=DATE(2026,11,28),38,0)+IF(C2232=DATE(2026,12,1),38,0)+IF(C2232=DATE(2026,12,2),26,0)))</f>
        <v/>
      </c>
      <c r="K2232" s="13">
        <f>IF(C2232=Options!$B$9,B2232*12,0)</f>
        <v/>
      </c>
      <c r="L2232" s="13">
        <f>IF(C2232=Options!$B$9,B2232*Options!$Z$8,0)</f>
        <v/>
      </c>
      <c r="M2232" s="13" t="n">
        <v>0</v>
      </c>
      <c r="N2232" s="13">
        <f>SUM(E2232:M2232)</f>
        <v/>
      </c>
    </row>
    <row r="2233">
      <c r="A2233" s="5">
        <f>IF(AND(C2233&gt;=Options!$B$9,C2233&lt;=Options!$B$10),"Boston","")</f>
        <v/>
      </c>
      <c r="B2233" s="5">
        <f>IF(A2233="","",18)</f>
        <v/>
      </c>
      <c r="C2233" s="17" t="n">
        <v>46334</v>
      </c>
      <c r="D2233" s="5">
        <f>IF(A2233="","",IF(C2233=DATE(2026,11,29),"培训；注册午餐；早餐参数",IF(C2233=DATE(2026,11,30),"培训；注册午餐",IF(C2233=DATE(2026,12,1),"培训；注册午餐；机构晚餐",IF(C2233=Options!$B$9,"抵达；"&amp;IF(C2233=DATE(2026,11,28),"机构晚餐","无统一供餐"),IF(C2233=Options!$B$10,"返程；"&amp;IF(C2233=DATE(2026,12,2),"机构午餐","无统一供餐"),"差旅状态；无统一日程"))))))</f>
        <v/>
      </c>
      <c r="E2233" s="13">
        <f>IF(C2233=Options!$B$9,Options!$C$20,0)</f>
        <v/>
      </c>
      <c r="F2233" s="13">
        <f>IF(AND(A2233&lt;&gt;"",C2233&lt;Options!$B$10),B2233*Options!$X$8,0)</f>
        <v/>
      </c>
      <c r="G2233" s="13">
        <f>F2233*12%</f>
        <v/>
      </c>
      <c r="H2233" s="13">
        <f>IF(A2233="",0,B2233*(92*IF(OR(C2233=Options!$B$9,C2233=Options!$B$10),75%,100%)-IF(C2233=DATE(2026,11,29),26+IF(Options!$B$8="是",23,0),0)-IF(C2233=DATE(2026,11,30),26,0)-IF(C2233=DATE(2026,12,1),64,0)-IF(C2233=DATE(2026,11,28),38,0)-IF(C2233=DATE(2026,12,2),26,0)))</f>
        <v/>
      </c>
      <c r="I2233" s="13">
        <f>IF(AND(C2233&gt;=DATE(2026,11,29),C2233&lt;=DATE(2026,12,1)),B2233*60,0)</f>
        <v/>
      </c>
      <c r="J2233" s="13">
        <f>IF(A2233="",0,B2233*(IF(C2233=DATE(2026,11,28),38,0)+IF(C2233=DATE(2026,12,1),38,0)+IF(C2233=DATE(2026,12,2),26,0)))</f>
        <v/>
      </c>
      <c r="K2233" s="13">
        <f>IF(C2233=Options!$B$9,B2233*12,0)</f>
        <v/>
      </c>
      <c r="L2233" s="13">
        <f>IF(C2233=Options!$B$9,B2233*Options!$Z$8,0)</f>
        <v/>
      </c>
      <c r="M2233" s="13" t="n">
        <v>0</v>
      </c>
      <c r="N2233" s="13">
        <f>SUM(E2233:M2233)</f>
        <v/>
      </c>
    </row>
    <row r="2234">
      <c r="A2234" s="5">
        <f>IF(AND(C2234&gt;=Options!$B$9,C2234&lt;=Options!$B$10),"Boston","")</f>
        <v/>
      </c>
      <c r="B2234" s="5">
        <f>IF(A2234="","",18)</f>
        <v/>
      </c>
      <c r="C2234" s="17" t="n">
        <v>46335</v>
      </c>
      <c r="D2234" s="5">
        <f>IF(A2234="","",IF(C2234=DATE(2026,11,29),"培训；注册午餐；早餐参数",IF(C2234=DATE(2026,11,30),"培训；注册午餐",IF(C2234=DATE(2026,12,1),"培训；注册午餐；机构晚餐",IF(C2234=Options!$B$9,"抵达；"&amp;IF(C2234=DATE(2026,11,28),"机构晚餐","无统一供餐"),IF(C2234=Options!$B$10,"返程；"&amp;IF(C2234=DATE(2026,12,2),"机构午餐","无统一供餐"),"差旅状态；无统一日程"))))))</f>
        <v/>
      </c>
      <c r="E2234" s="13">
        <f>IF(C2234=Options!$B$9,Options!$C$20,0)</f>
        <v/>
      </c>
      <c r="F2234" s="13">
        <f>IF(AND(A2234&lt;&gt;"",C2234&lt;Options!$B$10),B2234*Options!$X$8,0)</f>
        <v/>
      </c>
      <c r="G2234" s="13">
        <f>F2234*12%</f>
        <v/>
      </c>
      <c r="H2234" s="13">
        <f>IF(A2234="",0,B2234*(92*IF(OR(C2234=Options!$B$9,C2234=Options!$B$10),75%,100%)-IF(C2234=DATE(2026,11,29),26+IF(Options!$B$8="是",23,0),0)-IF(C2234=DATE(2026,11,30),26,0)-IF(C2234=DATE(2026,12,1),64,0)-IF(C2234=DATE(2026,11,28),38,0)-IF(C2234=DATE(2026,12,2),26,0)))</f>
        <v/>
      </c>
      <c r="I2234" s="13">
        <f>IF(AND(C2234&gt;=DATE(2026,11,29),C2234&lt;=DATE(2026,12,1)),B2234*60,0)</f>
        <v/>
      </c>
      <c r="J2234" s="13">
        <f>IF(A2234="",0,B2234*(IF(C2234=DATE(2026,11,28),38,0)+IF(C2234=DATE(2026,12,1),38,0)+IF(C2234=DATE(2026,12,2),26,0)))</f>
        <v/>
      </c>
      <c r="K2234" s="13">
        <f>IF(C2234=Options!$B$9,B2234*12,0)</f>
        <v/>
      </c>
      <c r="L2234" s="13">
        <f>IF(C2234=Options!$B$9,B2234*Options!$Z$8,0)</f>
        <v/>
      </c>
      <c r="M2234" s="13" t="n">
        <v>0</v>
      </c>
      <c r="N2234" s="13">
        <f>SUM(E2234:M2234)</f>
        <v/>
      </c>
    </row>
    <row r="2235">
      <c r="A2235" s="5">
        <f>IF(AND(C2235&gt;=Options!$B$9,C2235&lt;=Options!$B$10),"Boston","")</f>
        <v/>
      </c>
      <c r="B2235" s="5">
        <f>IF(A2235="","",18)</f>
        <v/>
      </c>
      <c r="C2235" s="17" t="n">
        <v>46336</v>
      </c>
      <c r="D2235" s="5">
        <f>IF(A2235="","",IF(C2235=DATE(2026,11,29),"培训；注册午餐；早餐参数",IF(C2235=DATE(2026,11,30),"培训；注册午餐",IF(C2235=DATE(2026,12,1),"培训；注册午餐；机构晚餐",IF(C2235=Options!$B$9,"抵达；"&amp;IF(C2235=DATE(2026,11,28),"机构晚餐","无统一供餐"),IF(C2235=Options!$B$10,"返程；"&amp;IF(C2235=DATE(2026,12,2),"机构午餐","无统一供餐"),"差旅状态；无统一日程"))))))</f>
        <v/>
      </c>
      <c r="E2235" s="13">
        <f>IF(C2235=Options!$B$9,Options!$C$20,0)</f>
        <v/>
      </c>
      <c r="F2235" s="13">
        <f>IF(AND(A2235&lt;&gt;"",C2235&lt;Options!$B$10),B2235*Options!$X$8,0)</f>
        <v/>
      </c>
      <c r="G2235" s="13">
        <f>F2235*12%</f>
        <v/>
      </c>
      <c r="H2235" s="13">
        <f>IF(A2235="",0,B2235*(92*IF(OR(C2235=Options!$B$9,C2235=Options!$B$10),75%,100%)-IF(C2235=DATE(2026,11,29),26+IF(Options!$B$8="是",23,0),0)-IF(C2235=DATE(2026,11,30),26,0)-IF(C2235=DATE(2026,12,1),64,0)-IF(C2235=DATE(2026,11,28),38,0)-IF(C2235=DATE(2026,12,2),26,0)))</f>
        <v/>
      </c>
      <c r="I2235" s="13">
        <f>IF(AND(C2235&gt;=DATE(2026,11,29),C2235&lt;=DATE(2026,12,1)),B2235*60,0)</f>
        <v/>
      </c>
      <c r="J2235" s="13">
        <f>IF(A2235="",0,B2235*(IF(C2235=DATE(2026,11,28),38,0)+IF(C2235=DATE(2026,12,1),38,0)+IF(C2235=DATE(2026,12,2),26,0)))</f>
        <v/>
      </c>
      <c r="K2235" s="13">
        <f>IF(C2235=Options!$B$9,B2235*12,0)</f>
        <v/>
      </c>
      <c r="L2235" s="13">
        <f>IF(C2235=Options!$B$9,B2235*Options!$Z$8,0)</f>
        <v/>
      </c>
      <c r="M2235" s="13" t="n">
        <v>0</v>
      </c>
      <c r="N2235" s="13">
        <f>SUM(E2235:M2235)</f>
        <v/>
      </c>
    </row>
    <row r="2236">
      <c r="A2236" s="5">
        <f>IF(AND(C2236&gt;=Options!$B$9,C2236&lt;=Options!$B$10),"Boston","")</f>
        <v/>
      </c>
      <c r="B2236" s="5">
        <f>IF(A2236="","",18)</f>
        <v/>
      </c>
      <c r="C2236" s="17" t="n">
        <v>46337</v>
      </c>
      <c r="D2236" s="5">
        <f>IF(A2236="","",IF(C2236=DATE(2026,11,29),"培训；注册午餐；早餐参数",IF(C2236=DATE(2026,11,30),"培训；注册午餐",IF(C2236=DATE(2026,12,1),"培训；注册午餐；机构晚餐",IF(C2236=Options!$B$9,"抵达；"&amp;IF(C2236=DATE(2026,11,28),"机构晚餐","无统一供餐"),IF(C2236=Options!$B$10,"返程；"&amp;IF(C2236=DATE(2026,12,2),"机构午餐","无统一供餐"),"差旅状态；无统一日程"))))))</f>
        <v/>
      </c>
      <c r="E2236" s="13">
        <f>IF(C2236=Options!$B$9,Options!$C$20,0)</f>
        <v/>
      </c>
      <c r="F2236" s="13">
        <f>IF(AND(A2236&lt;&gt;"",C2236&lt;Options!$B$10),B2236*Options!$X$8,0)</f>
        <v/>
      </c>
      <c r="G2236" s="13">
        <f>F2236*12%</f>
        <v/>
      </c>
      <c r="H2236" s="13">
        <f>IF(A2236="",0,B2236*(92*IF(OR(C2236=Options!$B$9,C2236=Options!$B$10),75%,100%)-IF(C2236=DATE(2026,11,29),26+IF(Options!$B$8="是",23,0),0)-IF(C2236=DATE(2026,11,30),26,0)-IF(C2236=DATE(2026,12,1),64,0)-IF(C2236=DATE(2026,11,28),38,0)-IF(C2236=DATE(2026,12,2),26,0)))</f>
        <v/>
      </c>
      <c r="I2236" s="13">
        <f>IF(AND(C2236&gt;=DATE(2026,11,29),C2236&lt;=DATE(2026,12,1)),B2236*60,0)</f>
        <v/>
      </c>
      <c r="J2236" s="13">
        <f>IF(A2236="",0,B2236*(IF(C2236=DATE(2026,11,28),38,0)+IF(C2236=DATE(2026,12,1),38,0)+IF(C2236=DATE(2026,12,2),26,0)))</f>
        <v/>
      </c>
      <c r="K2236" s="13">
        <f>IF(C2236=Options!$B$9,B2236*12,0)</f>
        <v/>
      </c>
      <c r="L2236" s="13">
        <f>IF(C2236=Options!$B$9,B2236*Options!$Z$8,0)</f>
        <v/>
      </c>
      <c r="M2236" s="13" t="n">
        <v>0</v>
      </c>
      <c r="N2236" s="13">
        <f>SUM(E2236:M2236)</f>
        <v/>
      </c>
    </row>
    <row r="2237">
      <c r="A2237" s="5">
        <f>IF(AND(C2237&gt;=Options!$B$9,C2237&lt;=Options!$B$10),"Boston","")</f>
        <v/>
      </c>
      <c r="B2237" s="5">
        <f>IF(A2237="","",18)</f>
        <v/>
      </c>
      <c r="C2237" s="17" t="n">
        <v>46338</v>
      </c>
      <c r="D2237" s="5">
        <f>IF(A2237="","",IF(C2237=DATE(2026,11,29),"培训；注册午餐；早餐参数",IF(C2237=DATE(2026,11,30),"培训；注册午餐",IF(C2237=DATE(2026,12,1),"培训；注册午餐；机构晚餐",IF(C2237=Options!$B$9,"抵达；"&amp;IF(C2237=DATE(2026,11,28),"机构晚餐","无统一供餐"),IF(C2237=Options!$B$10,"返程；"&amp;IF(C2237=DATE(2026,12,2),"机构午餐","无统一供餐"),"差旅状态；无统一日程"))))))</f>
        <v/>
      </c>
      <c r="E2237" s="13">
        <f>IF(C2237=Options!$B$9,Options!$C$20,0)</f>
        <v/>
      </c>
      <c r="F2237" s="13">
        <f>IF(AND(A2237&lt;&gt;"",C2237&lt;Options!$B$10),B2237*Options!$X$8,0)</f>
        <v/>
      </c>
      <c r="G2237" s="13">
        <f>F2237*12%</f>
        <v/>
      </c>
      <c r="H2237" s="13">
        <f>IF(A2237="",0,B2237*(92*IF(OR(C2237=Options!$B$9,C2237=Options!$B$10),75%,100%)-IF(C2237=DATE(2026,11,29),26+IF(Options!$B$8="是",23,0),0)-IF(C2237=DATE(2026,11,30),26,0)-IF(C2237=DATE(2026,12,1),64,0)-IF(C2237=DATE(2026,11,28),38,0)-IF(C2237=DATE(2026,12,2),26,0)))</f>
        <v/>
      </c>
      <c r="I2237" s="13">
        <f>IF(AND(C2237&gt;=DATE(2026,11,29),C2237&lt;=DATE(2026,12,1)),B2237*60,0)</f>
        <v/>
      </c>
      <c r="J2237" s="13">
        <f>IF(A2237="",0,B2237*(IF(C2237=DATE(2026,11,28),38,0)+IF(C2237=DATE(2026,12,1),38,0)+IF(C2237=DATE(2026,12,2),26,0)))</f>
        <v/>
      </c>
      <c r="K2237" s="13">
        <f>IF(C2237=Options!$B$9,B2237*12,0)</f>
        <v/>
      </c>
      <c r="L2237" s="13">
        <f>IF(C2237=Options!$B$9,B2237*Options!$Z$8,0)</f>
        <v/>
      </c>
      <c r="M2237" s="13" t="n">
        <v>0</v>
      </c>
      <c r="N2237" s="13">
        <f>SUM(E2237:M2237)</f>
        <v/>
      </c>
    </row>
    <row r="2238">
      <c r="A2238" s="5">
        <f>IF(AND(C2238&gt;=Options!$B$9,C2238&lt;=Options!$B$10),"Boston","")</f>
        <v/>
      </c>
      <c r="B2238" s="5">
        <f>IF(A2238="","",18)</f>
        <v/>
      </c>
      <c r="C2238" s="17" t="n">
        <v>46339</v>
      </c>
      <c r="D2238" s="5">
        <f>IF(A2238="","",IF(C2238=DATE(2026,11,29),"培训；注册午餐；早餐参数",IF(C2238=DATE(2026,11,30),"培训；注册午餐",IF(C2238=DATE(2026,12,1),"培训；注册午餐；机构晚餐",IF(C2238=Options!$B$9,"抵达；"&amp;IF(C2238=DATE(2026,11,28),"机构晚餐","无统一供餐"),IF(C2238=Options!$B$10,"返程；"&amp;IF(C2238=DATE(2026,12,2),"机构午餐","无统一供餐"),"差旅状态；无统一日程"))))))</f>
        <v/>
      </c>
      <c r="E2238" s="13">
        <f>IF(C2238=Options!$B$9,Options!$C$20,0)</f>
        <v/>
      </c>
      <c r="F2238" s="13">
        <f>IF(AND(A2238&lt;&gt;"",C2238&lt;Options!$B$10),B2238*Options!$X$8,0)</f>
        <v/>
      </c>
      <c r="G2238" s="13">
        <f>F2238*12%</f>
        <v/>
      </c>
      <c r="H2238" s="13">
        <f>IF(A2238="",0,B2238*(92*IF(OR(C2238=Options!$B$9,C2238=Options!$B$10),75%,100%)-IF(C2238=DATE(2026,11,29),26+IF(Options!$B$8="是",23,0),0)-IF(C2238=DATE(2026,11,30),26,0)-IF(C2238=DATE(2026,12,1),64,0)-IF(C2238=DATE(2026,11,28),38,0)-IF(C2238=DATE(2026,12,2),26,0)))</f>
        <v/>
      </c>
      <c r="I2238" s="13">
        <f>IF(AND(C2238&gt;=DATE(2026,11,29),C2238&lt;=DATE(2026,12,1)),B2238*60,0)</f>
        <v/>
      </c>
      <c r="J2238" s="13">
        <f>IF(A2238="",0,B2238*(IF(C2238=DATE(2026,11,28),38,0)+IF(C2238=DATE(2026,12,1),38,0)+IF(C2238=DATE(2026,12,2),26,0)))</f>
        <v/>
      </c>
      <c r="K2238" s="13">
        <f>IF(C2238=Options!$B$9,B2238*12,0)</f>
        <v/>
      </c>
      <c r="L2238" s="13">
        <f>IF(C2238=Options!$B$9,B2238*Options!$Z$8,0)</f>
        <v/>
      </c>
      <c r="M2238" s="13" t="n">
        <v>0</v>
      </c>
      <c r="N2238" s="13">
        <f>SUM(E2238:M2238)</f>
        <v/>
      </c>
    </row>
    <row r="2239">
      <c r="A2239" s="5">
        <f>IF(AND(C2239&gt;=Options!$B$9,C2239&lt;=Options!$B$10),"Boston","")</f>
        <v/>
      </c>
      <c r="B2239" s="5">
        <f>IF(A2239="","",18)</f>
        <v/>
      </c>
      <c r="C2239" s="17" t="n">
        <v>46340</v>
      </c>
      <c r="D2239" s="5">
        <f>IF(A2239="","",IF(C2239=DATE(2026,11,29),"培训；注册午餐；早餐参数",IF(C2239=DATE(2026,11,30),"培训；注册午餐",IF(C2239=DATE(2026,12,1),"培训；注册午餐；机构晚餐",IF(C2239=Options!$B$9,"抵达；"&amp;IF(C2239=DATE(2026,11,28),"机构晚餐","无统一供餐"),IF(C2239=Options!$B$10,"返程；"&amp;IF(C2239=DATE(2026,12,2),"机构午餐","无统一供餐"),"差旅状态；无统一日程"))))))</f>
        <v/>
      </c>
      <c r="E2239" s="13">
        <f>IF(C2239=Options!$B$9,Options!$C$20,0)</f>
        <v/>
      </c>
      <c r="F2239" s="13">
        <f>IF(AND(A2239&lt;&gt;"",C2239&lt;Options!$B$10),B2239*Options!$X$8,0)</f>
        <v/>
      </c>
      <c r="G2239" s="13">
        <f>F2239*12%</f>
        <v/>
      </c>
      <c r="H2239" s="13">
        <f>IF(A2239="",0,B2239*(92*IF(OR(C2239=Options!$B$9,C2239=Options!$B$10),75%,100%)-IF(C2239=DATE(2026,11,29),26+IF(Options!$B$8="是",23,0),0)-IF(C2239=DATE(2026,11,30),26,0)-IF(C2239=DATE(2026,12,1),64,0)-IF(C2239=DATE(2026,11,28),38,0)-IF(C2239=DATE(2026,12,2),26,0)))</f>
        <v/>
      </c>
      <c r="I2239" s="13">
        <f>IF(AND(C2239&gt;=DATE(2026,11,29),C2239&lt;=DATE(2026,12,1)),B2239*60,0)</f>
        <v/>
      </c>
      <c r="J2239" s="13">
        <f>IF(A2239="",0,B2239*(IF(C2239=DATE(2026,11,28),38,0)+IF(C2239=DATE(2026,12,1),38,0)+IF(C2239=DATE(2026,12,2),26,0)))</f>
        <v/>
      </c>
      <c r="K2239" s="13">
        <f>IF(C2239=Options!$B$9,B2239*12,0)</f>
        <v/>
      </c>
      <c r="L2239" s="13">
        <f>IF(C2239=Options!$B$9,B2239*Options!$Z$8,0)</f>
        <v/>
      </c>
      <c r="M2239" s="13" t="n">
        <v>0</v>
      </c>
      <c r="N2239" s="13">
        <f>SUM(E2239:M2239)</f>
        <v/>
      </c>
    </row>
    <row r="2240">
      <c r="A2240" s="5">
        <f>IF(AND(C2240&gt;=Options!$B$9,C2240&lt;=Options!$B$10),"Boston","")</f>
        <v/>
      </c>
      <c r="B2240" s="5">
        <f>IF(A2240="","",18)</f>
        <v/>
      </c>
      <c r="C2240" s="17" t="n">
        <v>46341</v>
      </c>
      <c r="D2240" s="5">
        <f>IF(A2240="","",IF(C2240=DATE(2026,11,29),"培训；注册午餐；早餐参数",IF(C2240=DATE(2026,11,30),"培训；注册午餐",IF(C2240=DATE(2026,12,1),"培训；注册午餐；机构晚餐",IF(C2240=Options!$B$9,"抵达；"&amp;IF(C2240=DATE(2026,11,28),"机构晚餐","无统一供餐"),IF(C2240=Options!$B$10,"返程；"&amp;IF(C2240=DATE(2026,12,2),"机构午餐","无统一供餐"),"差旅状态；无统一日程"))))))</f>
        <v/>
      </c>
      <c r="E2240" s="13">
        <f>IF(C2240=Options!$B$9,Options!$C$20,0)</f>
        <v/>
      </c>
      <c r="F2240" s="13">
        <f>IF(AND(A2240&lt;&gt;"",C2240&lt;Options!$B$10),B2240*Options!$X$8,0)</f>
        <v/>
      </c>
      <c r="G2240" s="13">
        <f>F2240*12%</f>
        <v/>
      </c>
      <c r="H2240" s="13">
        <f>IF(A2240="",0,B2240*(92*IF(OR(C2240=Options!$B$9,C2240=Options!$B$10),75%,100%)-IF(C2240=DATE(2026,11,29),26+IF(Options!$B$8="是",23,0),0)-IF(C2240=DATE(2026,11,30),26,0)-IF(C2240=DATE(2026,12,1),64,0)-IF(C2240=DATE(2026,11,28),38,0)-IF(C2240=DATE(2026,12,2),26,0)))</f>
        <v/>
      </c>
      <c r="I2240" s="13">
        <f>IF(AND(C2240&gt;=DATE(2026,11,29),C2240&lt;=DATE(2026,12,1)),B2240*60,0)</f>
        <v/>
      </c>
      <c r="J2240" s="13">
        <f>IF(A2240="",0,B2240*(IF(C2240=DATE(2026,11,28),38,0)+IF(C2240=DATE(2026,12,1),38,0)+IF(C2240=DATE(2026,12,2),26,0)))</f>
        <v/>
      </c>
      <c r="K2240" s="13">
        <f>IF(C2240=Options!$B$9,B2240*12,0)</f>
        <v/>
      </c>
      <c r="L2240" s="13">
        <f>IF(C2240=Options!$B$9,B2240*Options!$Z$8,0)</f>
        <v/>
      </c>
      <c r="M2240" s="13" t="n">
        <v>0</v>
      </c>
      <c r="N2240" s="13">
        <f>SUM(E2240:M2240)</f>
        <v/>
      </c>
    </row>
    <row r="2241">
      <c r="A2241" s="5">
        <f>IF(AND(C2241&gt;=Options!$B$9,C2241&lt;=Options!$B$10),"Boston","")</f>
        <v/>
      </c>
      <c r="B2241" s="5">
        <f>IF(A2241="","",18)</f>
        <v/>
      </c>
      <c r="C2241" s="17" t="n">
        <v>46342</v>
      </c>
      <c r="D2241" s="5">
        <f>IF(A2241="","",IF(C2241=DATE(2026,11,29),"培训；注册午餐；早餐参数",IF(C2241=DATE(2026,11,30),"培训；注册午餐",IF(C2241=DATE(2026,12,1),"培训；注册午餐；机构晚餐",IF(C2241=Options!$B$9,"抵达；"&amp;IF(C2241=DATE(2026,11,28),"机构晚餐","无统一供餐"),IF(C2241=Options!$B$10,"返程；"&amp;IF(C2241=DATE(2026,12,2),"机构午餐","无统一供餐"),"差旅状态；无统一日程"))))))</f>
        <v/>
      </c>
      <c r="E2241" s="13">
        <f>IF(C2241=Options!$B$9,Options!$C$20,0)</f>
        <v/>
      </c>
      <c r="F2241" s="13">
        <f>IF(AND(A2241&lt;&gt;"",C2241&lt;Options!$B$10),B2241*Options!$X$8,0)</f>
        <v/>
      </c>
      <c r="G2241" s="13">
        <f>F2241*12%</f>
        <v/>
      </c>
      <c r="H2241" s="13">
        <f>IF(A2241="",0,B2241*(92*IF(OR(C2241=Options!$B$9,C2241=Options!$B$10),75%,100%)-IF(C2241=DATE(2026,11,29),26+IF(Options!$B$8="是",23,0),0)-IF(C2241=DATE(2026,11,30),26,0)-IF(C2241=DATE(2026,12,1),64,0)-IF(C2241=DATE(2026,11,28),38,0)-IF(C2241=DATE(2026,12,2),26,0)))</f>
        <v/>
      </c>
      <c r="I2241" s="13">
        <f>IF(AND(C2241&gt;=DATE(2026,11,29),C2241&lt;=DATE(2026,12,1)),B2241*60,0)</f>
        <v/>
      </c>
      <c r="J2241" s="13">
        <f>IF(A2241="",0,B2241*(IF(C2241=DATE(2026,11,28),38,0)+IF(C2241=DATE(2026,12,1),38,0)+IF(C2241=DATE(2026,12,2),26,0)))</f>
        <v/>
      </c>
      <c r="K2241" s="13">
        <f>IF(C2241=Options!$B$9,B2241*12,0)</f>
        <v/>
      </c>
      <c r="L2241" s="13">
        <f>IF(C2241=Options!$B$9,B2241*Options!$Z$8,0)</f>
        <v/>
      </c>
      <c r="M2241" s="13" t="n">
        <v>0</v>
      </c>
      <c r="N2241" s="13">
        <f>SUM(E2241:M2241)</f>
        <v/>
      </c>
    </row>
    <row r="2242">
      <c r="A2242" s="5">
        <f>IF(AND(C2242&gt;=Options!$B$9,C2242&lt;=Options!$B$10),"Boston","")</f>
        <v/>
      </c>
      <c r="B2242" s="5">
        <f>IF(A2242="","",18)</f>
        <v/>
      </c>
      <c r="C2242" s="17" t="n">
        <v>46343</v>
      </c>
      <c r="D2242" s="5">
        <f>IF(A2242="","",IF(C2242=DATE(2026,11,29),"培训；注册午餐；早餐参数",IF(C2242=DATE(2026,11,30),"培训；注册午餐",IF(C2242=DATE(2026,12,1),"培训；注册午餐；机构晚餐",IF(C2242=Options!$B$9,"抵达；"&amp;IF(C2242=DATE(2026,11,28),"机构晚餐","无统一供餐"),IF(C2242=Options!$B$10,"返程；"&amp;IF(C2242=DATE(2026,12,2),"机构午餐","无统一供餐"),"差旅状态；无统一日程"))))))</f>
        <v/>
      </c>
      <c r="E2242" s="13">
        <f>IF(C2242=Options!$B$9,Options!$C$20,0)</f>
        <v/>
      </c>
      <c r="F2242" s="13">
        <f>IF(AND(A2242&lt;&gt;"",C2242&lt;Options!$B$10),B2242*Options!$X$8,0)</f>
        <v/>
      </c>
      <c r="G2242" s="13">
        <f>F2242*12%</f>
        <v/>
      </c>
      <c r="H2242" s="13">
        <f>IF(A2242="",0,B2242*(92*IF(OR(C2242=Options!$B$9,C2242=Options!$B$10),75%,100%)-IF(C2242=DATE(2026,11,29),26+IF(Options!$B$8="是",23,0),0)-IF(C2242=DATE(2026,11,30),26,0)-IF(C2242=DATE(2026,12,1),64,0)-IF(C2242=DATE(2026,11,28),38,0)-IF(C2242=DATE(2026,12,2),26,0)))</f>
        <v/>
      </c>
      <c r="I2242" s="13">
        <f>IF(AND(C2242&gt;=DATE(2026,11,29),C2242&lt;=DATE(2026,12,1)),B2242*60,0)</f>
        <v/>
      </c>
      <c r="J2242" s="13">
        <f>IF(A2242="",0,B2242*(IF(C2242=DATE(2026,11,28),38,0)+IF(C2242=DATE(2026,12,1),38,0)+IF(C2242=DATE(2026,12,2),26,0)))</f>
        <v/>
      </c>
      <c r="K2242" s="13">
        <f>IF(C2242=Options!$B$9,B2242*12,0)</f>
        <v/>
      </c>
      <c r="L2242" s="13">
        <f>IF(C2242=Options!$B$9,B2242*Options!$Z$8,0)</f>
        <v/>
      </c>
      <c r="M2242" s="13" t="n">
        <v>0</v>
      </c>
      <c r="N2242" s="13">
        <f>SUM(E2242:M2242)</f>
        <v/>
      </c>
    </row>
    <row r="2243">
      <c r="A2243" s="5">
        <f>IF(AND(C2243&gt;=Options!$B$9,C2243&lt;=Options!$B$10),"Boston","")</f>
        <v/>
      </c>
      <c r="B2243" s="5">
        <f>IF(A2243="","",18)</f>
        <v/>
      </c>
      <c r="C2243" s="17" t="n">
        <v>46344</v>
      </c>
      <c r="D2243" s="5">
        <f>IF(A2243="","",IF(C2243=DATE(2026,11,29),"培训；注册午餐；早餐参数",IF(C2243=DATE(2026,11,30),"培训；注册午餐",IF(C2243=DATE(2026,12,1),"培训；注册午餐；机构晚餐",IF(C2243=Options!$B$9,"抵达；"&amp;IF(C2243=DATE(2026,11,28),"机构晚餐","无统一供餐"),IF(C2243=Options!$B$10,"返程；"&amp;IF(C2243=DATE(2026,12,2),"机构午餐","无统一供餐"),"差旅状态；无统一日程"))))))</f>
        <v/>
      </c>
      <c r="E2243" s="13">
        <f>IF(C2243=Options!$B$9,Options!$C$20,0)</f>
        <v/>
      </c>
      <c r="F2243" s="13">
        <f>IF(AND(A2243&lt;&gt;"",C2243&lt;Options!$B$10),B2243*Options!$X$8,0)</f>
        <v/>
      </c>
      <c r="G2243" s="13">
        <f>F2243*12%</f>
        <v/>
      </c>
      <c r="H2243" s="13">
        <f>IF(A2243="",0,B2243*(92*IF(OR(C2243=Options!$B$9,C2243=Options!$B$10),75%,100%)-IF(C2243=DATE(2026,11,29),26+IF(Options!$B$8="是",23,0),0)-IF(C2243=DATE(2026,11,30),26,0)-IF(C2243=DATE(2026,12,1),64,0)-IF(C2243=DATE(2026,11,28),38,0)-IF(C2243=DATE(2026,12,2),26,0)))</f>
        <v/>
      </c>
      <c r="I2243" s="13">
        <f>IF(AND(C2243&gt;=DATE(2026,11,29),C2243&lt;=DATE(2026,12,1)),B2243*60,0)</f>
        <v/>
      </c>
      <c r="J2243" s="13">
        <f>IF(A2243="",0,B2243*(IF(C2243=DATE(2026,11,28),38,0)+IF(C2243=DATE(2026,12,1),38,0)+IF(C2243=DATE(2026,12,2),26,0)))</f>
        <v/>
      </c>
      <c r="K2243" s="13">
        <f>IF(C2243=Options!$B$9,B2243*12,0)</f>
        <v/>
      </c>
      <c r="L2243" s="13">
        <f>IF(C2243=Options!$B$9,B2243*Options!$Z$8,0)</f>
        <v/>
      </c>
      <c r="M2243" s="13" t="n">
        <v>0</v>
      </c>
      <c r="N2243" s="13">
        <f>SUM(E2243:M2243)</f>
        <v/>
      </c>
    </row>
    <row r="2244">
      <c r="A2244" s="5">
        <f>IF(AND(C2244&gt;=Options!$B$9,C2244&lt;=Options!$B$10),"Boston","")</f>
        <v/>
      </c>
      <c r="B2244" s="5">
        <f>IF(A2244="","",18)</f>
        <v/>
      </c>
      <c r="C2244" s="17" t="n">
        <v>46345</v>
      </c>
      <c r="D2244" s="5">
        <f>IF(A2244="","",IF(C2244=DATE(2026,11,29),"培训；注册午餐；早餐参数",IF(C2244=DATE(2026,11,30),"培训；注册午餐",IF(C2244=DATE(2026,12,1),"培训；注册午餐；机构晚餐",IF(C2244=Options!$B$9,"抵达；"&amp;IF(C2244=DATE(2026,11,28),"机构晚餐","无统一供餐"),IF(C2244=Options!$B$10,"返程；"&amp;IF(C2244=DATE(2026,12,2),"机构午餐","无统一供餐"),"差旅状态；无统一日程"))))))</f>
        <v/>
      </c>
      <c r="E2244" s="13">
        <f>IF(C2244=Options!$B$9,Options!$C$20,0)</f>
        <v/>
      </c>
      <c r="F2244" s="13">
        <f>IF(AND(A2244&lt;&gt;"",C2244&lt;Options!$B$10),B2244*Options!$X$8,0)</f>
        <v/>
      </c>
      <c r="G2244" s="13">
        <f>F2244*12%</f>
        <v/>
      </c>
      <c r="H2244" s="13">
        <f>IF(A2244="",0,B2244*(92*IF(OR(C2244=Options!$B$9,C2244=Options!$B$10),75%,100%)-IF(C2244=DATE(2026,11,29),26+IF(Options!$B$8="是",23,0),0)-IF(C2244=DATE(2026,11,30),26,0)-IF(C2244=DATE(2026,12,1),64,0)-IF(C2244=DATE(2026,11,28),38,0)-IF(C2244=DATE(2026,12,2),26,0)))</f>
        <v/>
      </c>
      <c r="I2244" s="13">
        <f>IF(AND(C2244&gt;=DATE(2026,11,29),C2244&lt;=DATE(2026,12,1)),B2244*60,0)</f>
        <v/>
      </c>
      <c r="J2244" s="13">
        <f>IF(A2244="",0,B2244*(IF(C2244=DATE(2026,11,28),38,0)+IF(C2244=DATE(2026,12,1),38,0)+IF(C2244=DATE(2026,12,2),26,0)))</f>
        <v/>
      </c>
      <c r="K2244" s="13">
        <f>IF(C2244=Options!$B$9,B2244*12,0)</f>
        <v/>
      </c>
      <c r="L2244" s="13">
        <f>IF(C2244=Options!$B$9,B2244*Options!$Z$8,0)</f>
        <v/>
      </c>
      <c r="M2244" s="13" t="n">
        <v>0</v>
      </c>
      <c r="N2244" s="13">
        <f>SUM(E2244:M2244)</f>
        <v/>
      </c>
    </row>
    <row r="2245">
      <c r="A2245" s="5">
        <f>IF(AND(C2245&gt;=Options!$B$9,C2245&lt;=Options!$B$10),"Boston","")</f>
        <v/>
      </c>
      <c r="B2245" s="5">
        <f>IF(A2245="","",18)</f>
        <v/>
      </c>
      <c r="C2245" s="17" t="n">
        <v>46346</v>
      </c>
      <c r="D2245" s="5">
        <f>IF(A2245="","",IF(C2245=DATE(2026,11,29),"培训；注册午餐；早餐参数",IF(C2245=DATE(2026,11,30),"培训；注册午餐",IF(C2245=DATE(2026,12,1),"培训；注册午餐；机构晚餐",IF(C2245=Options!$B$9,"抵达；"&amp;IF(C2245=DATE(2026,11,28),"机构晚餐","无统一供餐"),IF(C2245=Options!$B$10,"返程；"&amp;IF(C2245=DATE(2026,12,2),"机构午餐","无统一供餐"),"差旅状态；无统一日程"))))))</f>
        <v/>
      </c>
      <c r="E2245" s="13">
        <f>IF(C2245=Options!$B$9,Options!$C$20,0)</f>
        <v/>
      </c>
      <c r="F2245" s="13">
        <f>IF(AND(A2245&lt;&gt;"",C2245&lt;Options!$B$10),B2245*Options!$X$8,0)</f>
        <v/>
      </c>
      <c r="G2245" s="13">
        <f>F2245*12%</f>
        <v/>
      </c>
      <c r="H2245" s="13">
        <f>IF(A2245="",0,B2245*(92*IF(OR(C2245=Options!$B$9,C2245=Options!$B$10),75%,100%)-IF(C2245=DATE(2026,11,29),26+IF(Options!$B$8="是",23,0),0)-IF(C2245=DATE(2026,11,30),26,0)-IF(C2245=DATE(2026,12,1),64,0)-IF(C2245=DATE(2026,11,28),38,0)-IF(C2245=DATE(2026,12,2),26,0)))</f>
        <v/>
      </c>
      <c r="I2245" s="13">
        <f>IF(AND(C2245&gt;=DATE(2026,11,29),C2245&lt;=DATE(2026,12,1)),B2245*60,0)</f>
        <v/>
      </c>
      <c r="J2245" s="13">
        <f>IF(A2245="",0,B2245*(IF(C2245=DATE(2026,11,28),38,0)+IF(C2245=DATE(2026,12,1),38,0)+IF(C2245=DATE(2026,12,2),26,0)))</f>
        <v/>
      </c>
      <c r="K2245" s="13">
        <f>IF(C2245=Options!$B$9,B2245*12,0)</f>
        <v/>
      </c>
      <c r="L2245" s="13">
        <f>IF(C2245=Options!$B$9,B2245*Options!$Z$8,0)</f>
        <v/>
      </c>
      <c r="M2245" s="13" t="n">
        <v>0</v>
      </c>
      <c r="N2245" s="13">
        <f>SUM(E2245:M2245)</f>
        <v/>
      </c>
    </row>
    <row r="2246">
      <c r="A2246" s="5">
        <f>IF(AND(C2246&gt;=Options!$B$9,C2246&lt;=Options!$B$10),"Boston","")</f>
        <v/>
      </c>
      <c r="B2246" s="5">
        <f>IF(A2246="","",18)</f>
        <v/>
      </c>
      <c r="C2246" s="17" t="n">
        <v>46347</v>
      </c>
      <c r="D2246" s="5">
        <f>IF(A2246="","",IF(C2246=DATE(2026,11,29),"培训；注册午餐；早餐参数",IF(C2246=DATE(2026,11,30),"培训；注册午餐",IF(C2246=DATE(2026,12,1),"培训；注册午餐；机构晚餐",IF(C2246=Options!$B$9,"抵达；"&amp;IF(C2246=DATE(2026,11,28),"机构晚餐","无统一供餐"),IF(C2246=Options!$B$10,"返程；"&amp;IF(C2246=DATE(2026,12,2),"机构午餐","无统一供餐"),"差旅状态；无统一日程"))))))</f>
        <v/>
      </c>
      <c r="E2246" s="13">
        <f>IF(C2246=Options!$B$9,Options!$C$20,0)</f>
        <v/>
      </c>
      <c r="F2246" s="13">
        <f>IF(AND(A2246&lt;&gt;"",C2246&lt;Options!$B$10),B2246*Options!$X$8,0)</f>
        <v/>
      </c>
      <c r="G2246" s="13">
        <f>F2246*12%</f>
        <v/>
      </c>
      <c r="H2246" s="13">
        <f>IF(A2246="",0,B2246*(92*IF(OR(C2246=Options!$B$9,C2246=Options!$B$10),75%,100%)-IF(C2246=DATE(2026,11,29),26+IF(Options!$B$8="是",23,0),0)-IF(C2246=DATE(2026,11,30),26,0)-IF(C2246=DATE(2026,12,1),64,0)-IF(C2246=DATE(2026,11,28),38,0)-IF(C2246=DATE(2026,12,2),26,0)))</f>
        <v/>
      </c>
      <c r="I2246" s="13">
        <f>IF(AND(C2246&gt;=DATE(2026,11,29),C2246&lt;=DATE(2026,12,1)),B2246*60,0)</f>
        <v/>
      </c>
      <c r="J2246" s="13">
        <f>IF(A2246="",0,B2246*(IF(C2246=DATE(2026,11,28),38,0)+IF(C2246=DATE(2026,12,1),38,0)+IF(C2246=DATE(2026,12,2),26,0)))</f>
        <v/>
      </c>
      <c r="K2246" s="13">
        <f>IF(C2246=Options!$B$9,B2246*12,0)</f>
        <v/>
      </c>
      <c r="L2246" s="13">
        <f>IF(C2246=Options!$B$9,B2246*Options!$Z$8,0)</f>
        <v/>
      </c>
      <c r="M2246" s="13" t="n">
        <v>0</v>
      </c>
      <c r="N2246" s="13">
        <f>SUM(E2246:M2246)</f>
        <v/>
      </c>
    </row>
    <row r="2247">
      <c r="A2247" s="5">
        <f>IF(AND(C2247&gt;=Options!$B$9,C2247&lt;=Options!$B$10),"Boston","")</f>
        <v/>
      </c>
      <c r="B2247" s="5">
        <f>IF(A2247="","",18)</f>
        <v/>
      </c>
      <c r="C2247" s="17" t="n">
        <v>46348</v>
      </c>
      <c r="D2247" s="5">
        <f>IF(A2247="","",IF(C2247=DATE(2026,11,29),"培训；注册午餐；早餐参数",IF(C2247=DATE(2026,11,30),"培训；注册午餐",IF(C2247=DATE(2026,12,1),"培训；注册午餐；机构晚餐",IF(C2247=Options!$B$9,"抵达；"&amp;IF(C2247=DATE(2026,11,28),"机构晚餐","无统一供餐"),IF(C2247=Options!$B$10,"返程；"&amp;IF(C2247=DATE(2026,12,2),"机构午餐","无统一供餐"),"差旅状态；无统一日程"))))))</f>
        <v/>
      </c>
      <c r="E2247" s="13">
        <f>IF(C2247=Options!$B$9,Options!$C$20,0)</f>
        <v/>
      </c>
      <c r="F2247" s="13">
        <f>IF(AND(A2247&lt;&gt;"",C2247&lt;Options!$B$10),B2247*Options!$X$8,0)</f>
        <v/>
      </c>
      <c r="G2247" s="13">
        <f>F2247*12%</f>
        <v/>
      </c>
      <c r="H2247" s="13">
        <f>IF(A2247="",0,B2247*(92*IF(OR(C2247=Options!$B$9,C2247=Options!$B$10),75%,100%)-IF(C2247=DATE(2026,11,29),26+IF(Options!$B$8="是",23,0),0)-IF(C2247=DATE(2026,11,30),26,0)-IF(C2247=DATE(2026,12,1),64,0)-IF(C2247=DATE(2026,11,28),38,0)-IF(C2247=DATE(2026,12,2),26,0)))</f>
        <v/>
      </c>
      <c r="I2247" s="13">
        <f>IF(AND(C2247&gt;=DATE(2026,11,29),C2247&lt;=DATE(2026,12,1)),B2247*60,0)</f>
        <v/>
      </c>
      <c r="J2247" s="13">
        <f>IF(A2247="",0,B2247*(IF(C2247=DATE(2026,11,28),38,0)+IF(C2247=DATE(2026,12,1),38,0)+IF(C2247=DATE(2026,12,2),26,0)))</f>
        <v/>
      </c>
      <c r="K2247" s="13">
        <f>IF(C2247=Options!$B$9,B2247*12,0)</f>
        <v/>
      </c>
      <c r="L2247" s="13">
        <f>IF(C2247=Options!$B$9,B2247*Options!$Z$8,0)</f>
        <v/>
      </c>
      <c r="M2247" s="13" t="n">
        <v>0</v>
      </c>
      <c r="N2247" s="13">
        <f>SUM(E2247:M2247)</f>
        <v/>
      </c>
    </row>
    <row r="2248">
      <c r="A2248" s="5">
        <f>IF(AND(C2248&gt;=Options!$B$9,C2248&lt;=Options!$B$10),"Boston","")</f>
        <v/>
      </c>
      <c r="B2248" s="5">
        <f>IF(A2248="","",18)</f>
        <v/>
      </c>
      <c r="C2248" s="17" t="n">
        <v>46349</v>
      </c>
      <c r="D2248" s="5">
        <f>IF(A2248="","",IF(C2248=DATE(2026,11,29),"培训；注册午餐；早餐参数",IF(C2248=DATE(2026,11,30),"培训；注册午餐",IF(C2248=DATE(2026,12,1),"培训；注册午餐；机构晚餐",IF(C2248=Options!$B$9,"抵达；"&amp;IF(C2248=DATE(2026,11,28),"机构晚餐","无统一供餐"),IF(C2248=Options!$B$10,"返程；"&amp;IF(C2248=DATE(2026,12,2),"机构午餐","无统一供餐"),"差旅状态；无统一日程"))))))</f>
        <v/>
      </c>
      <c r="E2248" s="13">
        <f>IF(C2248=Options!$B$9,Options!$C$20,0)</f>
        <v/>
      </c>
      <c r="F2248" s="13">
        <f>IF(AND(A2248&lt;&gt;"",C2248&lt;Options!$B$10),B2248*Options!$X$8,0)</f>
        <v/>
      </c>
      <c r="G2248" s="13">
        <f>F2248*12%</f>
        <v/>
      </c>
      <c r="H2248" s="13">
        <f>IF(A2248="",0,B2248*(92*IF(OR(C2248=Options!$B$9,C2248=Options!$B$10),75%,100%)-IF(C2248=DATE(2026,11,29),26+IF(Options!$B$8="是",23,0),0)-IF(C2248=DATE(2026,11,30),26,0)-IF(C2248=DATE(2026,12,1),64,0)-IF(C2248=DATE(2026,11,28),38,0)-IF(C2248=DATE(2026,12,2),26,0)))</f>
        <v/>
      </c>
      <c r="I2248" s="13">
        <f>IF(AND(C2248&gt;=DATE(2026,11,29),C2248&lt;=DATE(2026,12,1)),B2248*60,0)</f>
        <v/>
      </c>
      <c r="J2248" s="13">
        <f>IF(A2248="",0,B2248*(IF(C2248=DATE(2026,11,28),38,0)+IF(C2248=DATE(2026,12,1),38,0)+IF(C2248=DATE(2026,12,2),26,0)))</f>
        <v/>
      </c>
      <c r="K2248" s="13">
        <f>IF(C2248=Options!$B$9,B2248*12,0)</f>
        <v/>
      </c>
      <c r="L2248" s="13">
        <f>IF(C2248=Options!$B$9,B2248*Options!$Z$8,0)</f>
        <v/>
      </c>
      <c r="M2248" s="13" t="n">
        <v>0</v>
      </c>
      <c r="N2248" s="13">
        <f>SUM(E2248:M2248)</f>
        <v/>
      </c>
    </row>
    <row r="2249">
      <c r="A2249" s="5">
        <f>IF(AND(C2249&gt;=Options!$B$9,C2249&lt;=Options!$B$10),"Boston","")</f>
        <v/>
      </c>
      <c r="B2249" s="5">
        <f>IF(A2249="","",18)</f>
        <v/>
      </c>
      <c r="C2249" s="17" t="n">
        <v>46350</v>
      </c>
      <c r="D2249" s="5">
        <f>IF(A2249="","",IF(C2249=DATE(2026,11,29),"培训；注册午餐；早餐参数",IF(C2249=DATE(2026,11,30),"培训；注册午餐",IF(C2249=DATE(2026,12,1),"培训；注册午餐；机构晚餐",IF(C2249=Options!$B$9,"抵达；"&amp;IF(C2249=DATE(2026,11,28),"机构晚餐","无统一供餐"),IF(C2249=Options!$B$10,"返程；"&amp;IF(C2249=DATE(2026,12,2),"机构午餐","无统一供餐"),"差旅状态；无统一日程"))))))</f>
        <v/>
      </c>
      <c r="E2249" s="13">
        <f>IF(C2249=Options!$B$9,Options!$C$20,0)</f>
        <v/>
      </c>
      <c r="F2249" s="13">
        <f>IF(AND(A2249&lt;&gt;"",C2249&lt;Options!$B$10),B2249*Options!$X$8,0)</f>
        <v/>
      </c>
      <c r="G2249" s="13">
        <f>F2249*12%</f>
        <v/>
      </c>
      <c r="H2249" s="13">
        <f>IF(A2249="",0,B2249*(92*IF(OR(C2249=Options!$B$9,C2249=Options!$B$10),75%,100%)-IF(C2249=DATE(2026,11,29),26+IF(Options!$B$8="是",23,0),0)-IF(C2249=DATE(2026,11,30),26,0)-IF(C2249=DATE(2026,12,1),64,0)-IF(C2249=DATE(2026,11,28),38,0)-IF(C2249=DATE(2026,12,2),26,0)))</f>
        <v/>
      </c>
      <c r="I2249" s="13">
        <f>IF(AND(C2249&gt;=DATE(2026,11,29),C2249&lt;=DATE(2026,12,1)),B2249*60,0)</f>
        <v/>
      </c>
      <c r="J2249" s="13">
        <f>IF(A2249="",0,B2249*(IF(C2249=DATE(2026,11,28),38,0)+IF(C2249=DATE(2026,12,1),38,0)+IF(C2249=DATE(2026,12,2),26,0)))</f>
        <v/>
      </c>
      <c r="K2249" s="13">
        <f>IF(C2249=Options!$B$9,B2249*12,0)</f>
        <v/>
      </c>
      <c r="L2249" s="13">
        <f>IF(C2249=Options!$B$9,B2249*Options!$Z$8,0)</f>
        <v/>
      </c>
      <c r="M2249" s="13" t="n">
        <v>0</v>
      </c>
      <c r="N2249" s="13">
        <f>SUM(E2249:M2249)</f>
        <v/>
      </c>
    </row>
    <row r="2250">
      <c r="A2250" s="5">
        <f>IF(AND(C2250&gt;=Options!$B$9,C2250&lt;=Options!$B$10),"Boston","")</f>
        <v/>
      </c>
      <c r="B2250" s="5">
        <f>IF(A2250="","",18)</f>
        <v/>
      </c>
      <c r="C2250" s="17" t="n">
        <v>46351</v>
      </c>
      <c r="D2250" s="5">
        <f>IF(A2250="","",IF(C2250=DATE(2026,11,29),"培训；注册午餐；早餐参数",IF(C2250=DATE(2026,11,30),"培训；注册午餐",IF(C2250=DATE(2026,12,1),"培训；注册午餐；机构晚餐",IF(C2250=Options!$B$9,"抵达；"&amp;IF(C2250=DATE(2026,11,28),"机构晚餐","无统一供餐"),IF(C2250=Options!$B$10,"返程；"&amp;IF(C2250=DATE(2026,12,2),"机构午餐","无统一供餐"),"差旅状态；无统一日程"))))))</f>
        <v/>
      </c>
      <c r="E2250" s="13">
        <f>IF(C2250=Options!$B$9,Options!$C$20,0)</f>
        <v/>
      </c>
      <c r="F2250" s="13">
        <f>IF(AND(A2250&lt;&gt;"",C2250&lt;Options!$B$10),B2250*Options!$X$8,0)</f>
        <v/>
      </c>
      <c r="G2250" s="13">
        <f>F2250*12%</f>
        <v/>
      </c>
      <c r="H2250" s="13">
        <f>IF(A2250="",0,B2250*(92*IF(OR(C2250=Options!$B$9,C2250=Options!$B$10),75%,100%)-IF(C2250=DATE(2026,11,29),26+IF(Options!$B$8="是",23,0),0)-IF(C2250=DATE(2026,11,30),26,0)-IF(C2250=DATE(2026,12,1),64,0)-IF(C2250=DATE(2026,11,28),38,0)-IF(C2250=DATE(2026,12,2),26,0)))</f>
        <v/>
      </c>
      <c r="I2250" s="13">
        <f>IF(AND(C2250&gt;=DATE(2026,11,29),C2250&lt;=DATE(2026,12,1)),B2250*60,0)</f>
        <v/>
      </c>
      <c r="J2250" s="13">
        <f>IF(A2250="",0,B2250*(IF(C2250=DATE(2026,11,28),38,0)+IF(C2250=DATE(2026,12,1),38,0)+IF(C2250=DATE(2026,12,2),26,0)))</f>
        <v/>
      </c>
      <c r="K2250" s="13">
        <f>IF(C2250=Options!$B$9,B2250*12,0)</f>
        <v/>
      </c>
      <c r="L2250" s="13">
        <f>IF(C2250=Options!$B$9,B2250*Options!$Z$8,0)</f>
        <v/>
      </c>
      <c r="M2250" s="13" t="n">
        <v>0</v>
      </c>
      <c r="N2250" s="13">
        <f>SUM(E2250:M2250)</f>
        <v/>
      </c>
    </row>
    <row r="2251">
      <c r="A2251" s="5">
        <f>IF(AND(C2251&gt;=Options!$B$9,C2251&lt;=Options!$B$10),"Boston","")</f>
        <v/>
      </c>
      <c r="B2251" s="5">
        <f>IF(A2251="","",18)</f>
        <v/>
      </c>
      <c r="C2251" s="17" t="n">
        <v>46352</v>
      </c>
      <c r="D2251" s="5">
        <f>IF(A2251="","",IF(C2251=DATE(2026,11,29),"培训；注册午餐；早餐参数",IF(C2251=DATE(2026,11,30),"培训；注册午餐",IF(C2251=DATE(2026,12,1),"培训；注册午餐；机构晚餐",IF(C2251=Options!$B$9,"抵达；"&amp;IF(C2251=DATE(2026,11,28),"机构晚餐","无统一供餐"),IF(C2251=Options!$B$10,"返程；"&amp;IF(C2251=DATE(2026,12,2),"机构午餐","无统一供餐"),"差旅状态；无统一日程"))))))</f>
        <v/>
      </c>
      <c r="E2251" s="13">
        <f>IF(C2251=Options!$B$9,Options!$C$20,0)</f>
        <v/>
      </c>
      <c r="F2251" s="13">
        <f>IF(AND(A2251&lt;&gt;"",C2251&lt;Options!$B$10),B2251*Options!$X$8,0)</f>
        <v/>
      </c>
      <c r="G2251" s="13">
        <f>F2251*12%</f>
        <v/>
      </c>
      <c r="H2251" s="13">
        <f>IF(A2251="",0,B2251*(92*IF(OR(C2251=Options!$B$9,C2251=Options!$B$10),75%,100%)-IF(C2251=DATE(2026,11,29),26+IF(Options!$B$8="是",23,0),0)-IF(C2251=DATE(2026,11,30),26,0)-IF(C2251=DATE(2026,12,1),64,0)-IF(C2251=DATE(2026,11,28),38,0)-IF(C2251=DATE(2026,12,2),26,0)))</f>
        <v/>
      </c>
      <c r="I2251" s="13">
        <f>IF(AND(C2251&gt;=DATE(2026,11,29),C2251&lt;=DATE(2026,12,1)),B2251*60,0)</f>
        <v/>
      </c>
      <c r="J2251" s="13">
        <f>IF(A2251="",0,B2251*(IF(C2251=DATE(2026,11,28),38,0)+IF(C2251=DATE(2026,12,1),38,0)+IF(C2251=DATE(2026,12,2),26,0)))</f>
        <v/>
      </c>
      <c r="K2251" s="13">
        <f>IF(C2251=Options!$B$9,B2251*12,0)</f>
        <v/>
      </c>
      <c r="L2251" s="13">
        <f>IF(C2251=Options!$B$9,B2251*Options!$Z$8,0)</f>
        <v/>
      </c>
      <c r="M2251" s="13" t="n">
        <v>0</v>
      </c>
      <c r="N2251" s="13">
        <f>SUM(E2251:M2251)</f>
        <v/>
      </c>
    </row>
    <row r="2252">
      <c r="A2252" s="5">
        <f>IF(AND(C2252&gt;=Options!$B$9,C2252&lt;=Options!$B$10),"Boston","")</f>
        <v/>
      </c>
      <c r="B2252" s="5">
        <f>IF(A2252="","",18)</f>
        <v/>
      </c>
      <c r="C2252" s="17" t="n">
        <v>46353</v>
      </c>
      <c r="D2252" s="5">
        <f>IF(A2252="","",IF(C2252=DATE(2026,11,29),"培训；注册午餐；早餐参数",IF(C2252=DATE(2026,11,30),"培训；注册午餐",IF(C2252=DATE(2026,12,1),"培训；注册午餐；机构晚餐",IF(C2252=Options!$B$9,"抵达；"&amp;IF(C2252=DATE(2026,11,28),"机构晚餐","无统一供餐"),IF(C2252=Options!$B$10,"返程；"&amp;IF(C2252=DATE(2026,12,2),"机构午餐","无统一供餐"),"差旅状态；无统一日程"))))))</f>
        <v/>
      </c>
      <c r="E2252" s="13">
        <f>IF(C2252=Options!$B$9,Options!$C$20,0)</f>
        <v/>
      </c>
      <c r="F2252" s="13">
        <f>IF(AND(A2252&lt;&gt;"",C2252&lt;Options!$B$10),B2252*Options!$X$8,0)</f>
        <v/>
      </c>
      <c r="G2252" s="13">
        <f>F2252*12%</f>
        <v/>
      </c>
      <c r="H2252" s="13">
        <f>IF(A2252="",0,B2252*(92*IF(OR(C2252=Options!$B$9,C2252=Options!$B$10),75%,100%)-IF(C2252=DATE(2026,11,29),26+IF(Options!$B$8="是",23,0),0)-IF(C2252=DATE(2026,11,30),26,0)-IF(C2252=DATE(2026,12,1),64,0)-IF(C2252=DATE(2026,11,28),38,0)-IF(C2252=DATE(2026,12,2),26,0)))</f>
        <v/>
      </c>
      <c r="I2252" s="13">
        <f>IF(AND(C2252&gt;=DATE(2026,11,29),C2252&lt;=DATE(2026,12,1)),B2252*60,0)</f>
        <v/>
      </c>
      <c r="J2252" s="13">
        <f>IF(A2252="",0,B2252*(IF(C2252=DATE(2026,11,28),38,0)+IF(C2252=DATE(2026,12,1),38,0)+IF(C2252=DATE(2026,12,2),26,0)))</f>
        <v/>
      </c>
      <c r="K2252" s="13">
        <f>IF(C2252=Options!$B$9,B2252*12,0)</f>
        <v/>
      </c>
      <c r="L2252" s="13">
        <f>IF(C2252=Options!$B$9,B2252*Options!$Z$8,0)</f>
        <v/>
      </c>
      <c r="M2252" s="13" t="n">
        <v>0</v>
      </c>
      <c r="N2252" s="13">
        <f>SUM(E2252:M2252)</f>
        <v/>
      </c>
    </row>
    <row r="2253">
      <c r="A2253" s="5">
        <f>IF(AND(C2253&gt;=Options!$B$9,C2253&lt;=Options!$B$10),"Boston","")</f>
        <v/>
      </c>
      <c r="B2253" s="5">
        <f>IF(A2253="","",18)</f>
        <v/>
      </c>
      <c r="C2253" s="17" t="n">
        <v>46354</v>
      </c>
      <c r="D2253" s="5">
        <f>IF(A2253="","",IF(C2253=DATE(2026,11,29),"培训；注册午餐；早餐参数",IF(C2253=DATE(2026,11,30),"培训；注册午餐",IF(C2253=DATE(2026,12,1),"培训；注册午餐；机构晚餐",IF(C2253=Options!$B$9,"抵达；"&amp;IF(C2253=DATE(2026,11,28),"机构晚餐","无统一供餐"),IF(C2253=Options!$B$10,"返程；"&amp;IF(C2253=DATE(2026,12,2),"机构午餐","无统一供餐"),"差旅状态；无统一日程"))))))</f>
        <v/>
      </c>
      <c r="E2253" s="13">
        <f>IF(C2253=Options!$B$9,Options!$C$20,0)</f>
        <v/>
      </c>
      <c r="F2253" s="13">
        <f>IF(AND(A2253&lt;&gt;"",C2253&lt;Options!$B$10),B2253*Options!$X$8,0)</f>
        <v/>
      </c>
      <c r="G2253" s="13">
        <f>F2253*12%</f>
        <v/>
      </c>
      <c r="H2253" s="13">
        <f>IF(A2253="",0,B2253*(92*IF(OR(C2253=Options!$B$9,C2253=Options!$B$10),75%,100%)-IF(C2253=DATE(2026,11,29),26+IF(Options!$B$8="是",23,0),0)-IF(C2253=DATE(2026,11,30),26,0)-IF(C2253=DATE(2026,12,1),64,0)-IF(C2253=DATE(2026,11,28),38,0)-IF(C2253=DATE(2026,12,2),26,0)))</f>
        <v/>
      </c>
      <c r="I2253" s="13">
        <f>IF(AND(C2253&gt;=DATE(2026,11,29),C2253&lt;=DATE(2026,12,1)),B2253*60,0)</f>
        <v/>
      </c>
      <c r="J2253" s="13">
        <f>IF(A2253="",0,B2253*(IF(C2253=DATE(2026,11,28),38,0)+IF(C2253=DATE(2026,12,1),38,0)+IF(C2253=DATE(2026,12,2),26,0)))</f>
        <v/>
      </c>
      <c r="K2253" s="13">
        <f>IF(C2253=Options!$B$9,B2253*12,0)</f>
        <v/>
      </c>
      <c r="L2253" s="13">
        <f>IF(C2253=Options!$B$9,B2253*Options!$Z$8,0)</f>
        <v/>
      </c>
      <c r="M2253" s="13" t="n">
        <v>0</v>
      </c>
      <c r="N2253" s="13">
        <f>SUM(E2253:M2253)</f>
        <v/>
      </c>
    </row>
    <row r="2254">
      <c r="A2254" s="5">
        <f>IF(AND(C2254&gt;=Options!$B$9,C2254&lt;=Options!$B$10),"Boston","")</f>
        <v/>
      </c>
      <c r="B2254" s="5">
        <f>IF(A2254="","",18)</f>
        <v/>
      </c>
      <c r="C2254" s="17" t="n">
        <v>46355</v>
      </c>
      <c r="D2254" s="5">
        <f>IF(A2254="","",IF(C2254=DATE(2026,11,29),"培训；注册午餐；早餐参数",IF(C2254=DATE(2026,11,30),"培训；注册午餐",IF(C2254=DATE(2026,12,1),"培训；注册午餐；机构晚餐",IF(C2254=Options!$B$9,"抵达；"&amp;IF(C2254=DATE(2026,11,28),"机构晚餐","无统一供餐"),IF(C2254=Options!$B$10,"返程；"&amp;IF(C2254=DATE(2026,12,2),"机构午餐","无统一供餐"),"差旅状态；无统一日程"))))))</f>
        <v/>
      </c>
      <c r="E2254" s="13">
        <f>IF(C2254=Options!$B$9,Options!$C$20,0)</f>
        <v/>
      </c>
      <c r="F2254" s="13">
        <f>IF(AND(A2254&lt;&gt;"",C2254&lt;Options!$B$10),B2254*Options!$X$8,0)</f>
        <v/>
      </c>
      <c r="G2254" s="13">
        <f>F2254*12%</f>
        <v/>
      </c>
      <c r="H2254" s="13">
        <f>IF(A2254="",0,B2254*(92*IF(OR(C2254=Options!$B$9,C2254=Options!$B$10),75%,100%)-IF(C2254=DATE(2026,11,29),26+IF(Options!$B$8="是",23,0),0)-IF(C2254=DATE(2026,11,30),26,0)-IF(C2254=DATE(2026,12,1),64,0)-IF(C2254=DATE(2026,11,28),38,0)-IF(C2254=DATE(2026,12,2),26,0)))</f>
        <v/>
      </c>
      <c r="I2254" s="13">
        <f>IF(AND(C2254&gt;=DATE(2026,11,29),C2254&lt;=DATE(2026,12,1)),B2254*60,0)</f>
        <v/>
      </c>
      <c r="J2254" s="13">
        <f>IF(A2254="",0,B2254*(IF(C2254=DATE(2026,11,28),38,0)+IF(C2254=DATE(2026,12,1),38,0)+IF(C2254=DATE(2026,12,2),26,0)))</f>
        <v/>
      </c>
      <c r="K2254" s="13">
        <f>IF(C2254=Options!$B$9,B2254*12,0)</f>
        <v/>
      </c>
      <c r="L2254" s="13">
        <f>IF(C2254=Options!$B$9,B2254*Options!$Z$8,0)</f>
        <v/>
      </c>
      <c r="M2254" s="13" t="n">
        <v>0</v>
      </c>
      <c r="N2254" s="13">
        <f>SUM(E2254:M2254)</f>
        <v/>
      </c>
    </row>
    <row r="2255">
      <c r="A2255" s="5">
        <f>IF(AND(C2255&gt;=Options!$B$9,C2255&lt;=Options!$B$10),"Boston","")</f>
        <v/>
      </c>
      <c r="B2255" s="5">
        <f>IF(A2255="","",18)</f>
        <v/>
      </c>
      <c r="C2255" s="17" t="n">
        <v>46356</v>
      </c>
      <c r="D2255" s="5">
        <f>IF(A2255="","",IF(C2255=DATE(2026,11,29),"培训；注册午餐；早餐参数",IF(C2255=DATE(2026,11,30),"培训；注册午餐",IF(C2255=DATE(2026,12,1),"培训；注册午餐；机构晚餐",IF(C2255=Options!$B$9,"抵达；"&amp;IF(C2255=DATE(2026,11,28),"机构晚餐","无统一供餐"),IF(C2255=Options!$B$10,"返程；"&amp;IF(C2255=DATE(2026,12,2),"机构午餐","无统一供餐"),"差旅状态；无统一日程"))))))</f>
        <v/>
      </c>
      <c r="E2255" s="13">
        <f>IF(C2255=Options!$B$9,Options!$C$20,0)</f>
        <v/>
      </c>
      <c r="F2255" s="13">
        <f>IF(AND(A2255&lt;&gt;"",C2255&lt;Options!$B$10),B2255*Options!$X$8,0)</f>
        <v/>
      </c>
      <c r="G2255" s="13">
        <f>F2255*12%</f>
        <v/>
      </c>
      <c r="H2255" s="13">
        <f>IF(A2255="",0,B2255*(92*IF(OR(C2255=Options!$B$9,C2255=Options!$B$10),75%,100%)-IF(C2255=DATE(2026,11,29),26+IF(Options!$B$8="是",23,0),0)-IF(C2255=DATE(2026,11,30),26,0)-IF(C2255=DATE(2026,12,1),64,0)-IF(C2255=DATE(2026,11,28),38,0)-IF(C2255=DATE(2026,12,2),26,0)))</f>
        <v/>
      </c>
      <c r="I2255" s="13">
        <f>IF(AND(C2255&gt;=DATE(2026,11,29),C2255&lt;=DATE(2026,12,1)),B2255*60,0)</f>
        <v/>
      </c>
      <c r="J2255" s="13">
        <f>IF(A2255="",0,B2255*(IF(C2255=DATE(2026,11,28),38,0)+IF(C2255=DATE(2026,12,1),38,0)+IF(C2255=DATE(2026,12,2),26,0)))</f>
        <v/>
      </c>
      <c r="K2255" s="13">
        <f>IF(C2255=Options!$B$9,B2255*12,0)</f>
        <v/>
      </c>
      <c r="L2255" s="13">
        <f>IF(C2255=Options!$B$9,B2255*Options!$Z$8,0)</f>
        <v/>
      </c>
      <c r="M2255" s="13" t="n">
        <v>0</v>
      </c>
      <c r="N2255" s="13">
        <f>SUM(E2255:M2255)</f>
        <v/>
      </c>
    </row>
    <row r="2256">
      <c r="A2256" s="5">
        <f>IF(AND(C2256&gt;=Options!$B$9,C2256&lt;=Options!$B$10),"Boston","")</f>
        <v/>
      </c>
      <c r="B2256" s="5">
        <f>IF(A2256="","",18)</f>
        <v/>
      </c>
      <c r="C2256" s="17" t="n">
        <v>46357</v>
      </c>
      <c r="D2256" s="5">
        <f>IF(A2256="","",IF(C2256=DATE(2026,11,29),"培训；注册午餐；早餐参数",IF(C2256=DATE(2026,11,30),"培训；注册午餐",IF(C2256=DATE(2026,12,1),"培训；注册午餐；机构晚餐",IF(C2256=Options!$B$9,"抵达；"&amp;IF(C2256=DATE(2026,11,28),"机构晚餐","无统一供餐"),IF(C2256=Options!$B$10,"返程；"&amp;IF(C2256=DATE(2026,12,2),"机构午餐","无统一供餐"),"差旅状态；无统一日程"))))))</f>
        <v/>
      </c>
      <c r="E2256" s="13">
        <f>IF(C2256=Options!$B$9,Options!$C$20,0)</f>
        <v/>
      </c>
      <c r="F2256" s="13">
        <f>IF(AND(A2256&lt;&gt;"",C2256&lt;Options!$B$10),B2256*Options!$X$8,0)</f>
        <v/>
      </c>
      <c r="G2256" s="13">
        <f>F2256*12%</f>
        <v/>
      </c>
      <c r="H2256" s="13">
        <f>IF(A2256="",0,B2256*(92*IF(OR(C2256=Options!$B$9,C2256=Options!$B$10),75%,100%)-IF(C2256=DATE(2026,11,29),26+IF(Options!$B$8="是",23,0),0)-IF(C2256=DATE(2026,11,30),26,0)-IF(C2256=DATE(2026,12,1),64,0)-IF(C2256=DATE(2026,11,28),38,0)-IF(C2256=DATE(2026,12,2),26,0)))</f>
        <v/>
      </c>
      <c r="I2256" s="13">
        <f>IF(AND(C2256&gt;=DATE(2026,11,29),C2256&lt;=DATE(2026,12,1)),B2256*60,0)</f>
        <v/>
      </c>
      <c r="J2256" s="13">
        <f>IF(A2256="",0,B2256*(IF(C2256=DATE(2026,11,28),38,0)+IF(C2256=DATE(2026,12,1),38,0)+IF(C2256=DATE(2026,12,2),26,0)))</f>
        <v/>
      </c>
      <c r="K2256" s="13">
        <f>IF(C2256=Options!$B$9,B2256*12,0)</f>
        <v/>
      </c>
      <c r="L2256" s="13">
        <f>IF(C2256=Options!$B$9,B2256*Options!$Z$8,0)</f>
        <v/>
      </c>
      <c r="M2256" s="13" t="n">
        <v>0</v>
      </c>
      <c r="N2256" s="13">
        <f>SUM(E2256:M2256)</f>
        <v/>
      </c>
    </row>
    <row r="2257">
      <c r="A2257" s="5">
        <f>IF(AND(C2257&gt;=Options!$B$9,C2257&lt;=Options!$B$10),"Boston","")</f>
        <v/>
      </c>
      <c r="B2257" s="5">
        <f>IF(A2257="","",18)</f>
        <v/>
      </c>
      <c r="C2257" s="17" t="n">
        <v>46358</v>
      </c>
      <c r="D2257" s="5">
        <f>IF(A2257="","",IF(C2257=DATE(2026,11,29),"培训；注册午餐；早餐参数",IF(C2257=DATE(2026,11,30),"培训；注册午餐",IF(C2257=DATE(2026,12,1),"培训；注册午餐；机构晚餐",IF(C2257=Options!$B$9,"抵达；"&amp;IF(C2257=DATE(2026,11,28),"机构晚餐","无统一供餐"),IF(C2257=Options!$B$10,"返程；"&amp;IF(C2257=DATE(2026,12,2),"机构午餐","无统一供餐"),"差旅状态；无统一日程"))))))</f>
        <v/>
      </c>
      <c r="E2257" s="13">
        <f>IF(C2257=Options!$B$9,Options!$C$20,0)</f>
        <v/>
      </c>
      <c r="F2257" s="13">
        <f>IF(AND(A2257&lt;&gt;"",C2257&lt;Options!$B$10),B2257*Options!$X$8,0)</f>
        <v/>
      </c>
      <c r="G2257" s="13">
        <f>F2257*12%</f>
        <v/>
      </c>
      <c r="H2257" s="13">
        <f>IF(A2257="",0,B2257*(92*IF(OR(C2257=Options!$B$9,C2257=Options!$B$10),75%,100%)-IF(C2257=DATE(2026,11,29),26+IF(Options!$B$8="是",23,0),0)-IF(C2257=DATE(2026,11,30),26,0)-IF(C2257=DATE(2026,12,1),64,0)-IF(C2257=DATE(2026,11,28),38,0)-IF(C2257=DATE(2026,12,2),26,0)))</f>
        <v/>
      </c>
      <c r="I2257" s="13">
        <f>IF(AND(C2257&gt;=DATE(2026,11,29),C2257&lt;=DATE(2026,12,1)),B2257*60,0)</f>
        <v/>
      </c>
      <c r="J2257" s="13">
        <f>IF(A2257="",0,B2257*(IF(C2257=DATE(2026,11,28),38,0)+IF(C2257=DATE(2026,12,1),38,0)+IF(C2257=DATE(2026,12,2),26,0)))</f>
        <v/>
      </c>
      <c r="K2257" s="13">
        <f>IF(C2257=Options!$B$9,B2257*12,0)</f>
        <v/>
      </c>
      <c r="L2257" s="13">
        <f>IF(C2257=Options!$B$9,B2257*Options!$Z$8,0)</f>
        <v/>
      </c>
      <c r="M2257" s="13" t="n">
        <v>0</v>
      </c>
      <c r="N2257" s="13">
        <f>SUM(E2257:M2257)</f>
        <v/>
      </c>
    </row>
    <row r="2258">
      <c r="A2258" s="5">
        <f>IF(AND(C2258&gt;=Options!$B$9,C2258&lt;=Options!$B$10),"Boston","")</f>
        <v/>
      </c>
      <c r="B2258" s="5">
        <f>IF(A2258="","",18)</f>
        <v/>
      </c>
      <c r="C2258" s="17" t="n">
        <v>46359</v>
      </c>
      <c r="D2258" s="5">
        <f>IF(A2258="","",IF(C2258=DATE(2026,11,29),"培训；注册午餐；早餐参数",IF(C2258=DATE(2026,11,30),"培训；注册午餐",IF(C2258=DATE(2026,12,1),"培训；注册午餐；机构晚餐",IF(C2258=Options!$B$9,"抵达；"&amp;IF(C2258=DATE(2026,11,28),"机构晚餐","无统一供餐"),IF(C2258=Options!$B$10,"返程；"&amp;IF(C2258=DATE(2026,12,2),"机构午餐","无统一供餐"),"差旅状态；无统一日程"))))))</f>
        <v/>
      </c>
      <c r="E2258" s="13">
        <f>IF(C2258=Options!$B$9,Options!$C$20,0)</f>
        <v/>
      </c>
      <c r="F2258" s="13">
        <f>IF(AND(A2258&lt;&gt;"",C2258&lt;Options!$B$10),B2258*Options!$X$8,0)</f>
        <v/>
      </c>
      <c r="G2258" s="13">
        <f>F2258*12%</f>
        <v/>
      </c>
      <c r="H2258" s="13">
        <f>IF(A2258="",0,B2258*(92*IF(OR(C2258=Options!$B$9,C2258=Options!$B$10),75%,100%)-IF(C2258=DATE(2026,11,29),26+IF(Options!$B$8="是",23,0),0)-IF(C2258=DATE(2026,11,30),26,0)-IF(C2258=DATE(2026,12,1),64,0)-IF(C2258=DATE(2026,11,28),38,0)-IF(C2258=DATE(2026,12,2),26,0)))</f>
        <v/>
      </c>
      <c r="I2258" s="13">
        <f>IF(AND(C2258&gt;=DATE(2026,11,29),C2258&lt;=DATE(2026,12,1)),B2258*60,0)</f>
        <v/>
      </c>
      <c r="J2258" s="13">
        <f>IF(A2258="",0,B2258*(IF(C2258=DATE(2026,11,28),38,0)+IF(C2258=DATE(2026,12,1),38,0)+IF(C2258=DATE(2026,12,2),26,0)))</f>
        <v/>
      </c>
      <c r="K2258" s="13">
        <f>IF(C2258=Options!$B$9,B2258*12,0)</f>
        <v/>
      </c>
      <c r="L2258" s="13">
        <f>IF(C2258=Options!$B$9,B2258*Options!$Z$8,0)</f>
        <v/>
      </c>
      <c r="M2258" s="13" t="n">
        <v>0</v>
      </c>
      <c r="N2258" s="13">
        <f>SUM(E2258:M2258)</f>
        <v/>
      </c>
    </row>
    <row r="2259">
      <c r="A2259" s="5">
        <f>IF(AND(C2259&gt;=Options!$B$9,C2259&lt;=Options!$B$10),"Boston","")</f>
        <v/>
      </c>
      <c r="B2259" s="5">
        <f>IF(A2259="","",18)</f>
        <v/>
      </c>
      <c r="C2259" s="17" t="n">
        <v>46360</v>
      </c>
      <c r="D2259" s="5">
        <f>IF(A2259="","",IF(C2259=DATE(2026,11,29),"培训；注册午餐；早餐参数",IF(C2259=DATE(2026,11,30),"培训；注册午餐",IF(C2259=DATE(2026,12,1),"培训；注册午餐；机构晚餐",IF(C2259=Options!$B$9,"抵达；"&amp;IF(C2259=DATE(2026,11,28),"机构晚餐","无统一供餐"),IF(C2259=Options!$B$10,"返程；"&amp;IF(C2259=DATE(2026,12,2),"机构午餐","无统一供餐"),"差旅状态；无统一日程"))))))</f>
        <v/>
      </c>
      <c r="E2259" s="13">
        <f>IF(C2259=Options!$B$9,Options!$C$20,0)</f>
        <v/>
      </c>
      <c r="F2259" s="13">
        <f>IF(AND(A2259&lt;&gt;"",C2259&lt;Options!$B$10),B2259*Options!$X$8,0)</f>
        <v/>
      </c>
      <c r="G2259" s="13">
        <f>F2259*12%</f>
        <v/>
      </c>
      <c r="H2259" s="13">
        <f>IF(A2259="",0,B2259*(92*IF(OR(C2259=Options!$B$9,C2259=Options!$B$10),75%,100%)-IF(C2259=DATE(2026,11,29),26+IF(Options!$B$8="是",23,0),0)-IF(C2259=DATE(2026,11,30),26,0)-IF(C2259=DATE(2026,12,1),64,0)-IF(C2259=DATE(2026,11,28),38,0)-IF(C2259=DATE(2026,12,2),26,0)))</f>
        <v/>
      </c>
      <c r="I2259" s="13">
        <f>IF(AND(C2259&gt;=DATE(2026,11,29),C2259&lt;=DATE(2026,12,1)),B2259*60,0)</f>
        <v/>
      </c>
      <c r="J2259" s="13">
        <f>IF(A2259="",0,B2259*(IF(C2259=DATE(2026,11,28),38,0)+IF(C2259=DATE(2026,12,1),38,0)+IF(C2259=DATE(2026,12,2),26,0)))</f>
        <v/>
      </c>
      <c r="K2259" s="13">
        <f>IF(C2259=Options!$B$9,B2259*12,0)</f>
        <v/>
      </c>
      <c r="L2259" s="13">
        <f>IF(C2259=Options!$B$9,B2259*Options!$Z$8,0)</f>
        <v/>
      </c>
      <c r="M2259" s="13" t="n">
        <v>0</v>
      </c>
      <c r="N2259" s="13">
        <f>SUM(E2259:M2259)</f>
        <v/>
      </c>
    </row>
    <row r="2260">
      <c r="A2260" s="5">
        <f>IF(AND(C2260&gt;=Options!$B$9,C2260&lt;=Options!$B$10),"Boston","")</f>
        <v/>
      </c>
      <c r="B2260" s="5">
        <f>IF(A2260="","",18)</f>
        <v/>
      </c>
      <c r="C2260" s="17" t="n">
        <v>46361</v>
      </c>
      <c r="D2260" s="5">
        <f>IF(A2260="","",IF(C2260=DATE(2026,11,29),"培训；注册午餐；早餐参数",IF(C2260=DATE(2026,11,30),"培训；注册午餐",IF(C2260=DATE(2026,12,1),"培训；注册午餐；机构晚餐",IF(C2260=Options!$B$9,"抵达；"&amp;IF(C2260=DATE(2026,11,28),"机构晚餐","无统一供餐"),IF(C2260=Options!$B$10,"返程；"&amp;IF(C2260=DATE(2026,12,2),"机构午餐","无统一供餐"),"差旅状态；无统一日程"))))))</f>
        <v/>
      </c>
      <c r="E2260" s="13">
        <f>IF(C2260=Options!$B$9,Options!$C$20,0)</f>
        <v/>
      </c>
      <c r="F2260" s="13">
        <f>IF(AND(A2260&lt;&gt;"",C2260&lt;Options!$B$10),B2260*Options!$X$8,0)</f>
        <v/>
      </c>
      <c r="G2260" s="13">
        <f>F2260*12%</f>
        <v/>
      </c>
      <c r="H2260" s="13">
        <f>IF(A2260="",0,B2260*(92*IF(OR(C2260=Options!$B$9,C2260=Options!$B$10),75%,100%)-IF(C2260=DATE(2026,11,29),26+IF(Options!$B$8="是",23,0),0)-IF(C2260=DATE(2026,11,30),26,0)-IF(C2260=DATE(2026,12,1),64,0)-IF(C2260=DATE(2026,11,28),38,0)-IF(C2260=DATE(2026,12,2),26,0)))</f>
        <v/>
      </c>
      <c r="I2260" s="13">
        <f>IF(AND(C2260&gt;=DATE(2026,11,29),C2260&lt;=DATE(2026,12,1)),B2260*60,0)</f>
        <v/>
      </c>
      <c r="J2260" s="13">
        <f>IF(A2260="",0,B2260*(IF(C2260=DATE(2026,11,28),38,0)+IF(C2260=DATE(2026,12,1),38,0)+IF(C2260=DATE(2026,12,2),26,0)))</f>
        <v/>
      </c>
      <c r="K2260" s="13">
        <f>IF(C2260=Options!$B$9,B2260*12,0)</f>
        <v/>
      </c>
      <c r="L2260" s="13">
        <f>IF(C2260=Options!$B$9,B2260*Options!$Z$8,0)</f>
        <v/>
      </c>
      <c r="M2260" s="13" t="n">
        <v>0</v>
      </c>
      <c r="N2260" s="13">
        <f>SUM(E2260:M2260)</f>
        <v/>
      </c>
    </row>
    <row r="2261">
      <c r="A2261" s="5">
        <f>IF(AND(C2261&gt;=Options!$B$9,C2261&lt;=Options!$B$10),"Boston","")</f>
        <v/>
      </c>
      <c r="B2261" s="5">
        <f>IF(A2261="","",18)</f>
        <v/>
      </c>
      <c r="C2261" s="17" t="n">
        <v>46362</v>
      </c>
      <c r="D2261" s="5">
        <f>IF(A2261="","",IF(C2261=DATE(2026,11,29),"培训；注册午餐；早餐参数",IF(C2261=DATE(2026,11,30),"培训；注册午餐",IF(C2261=DATE(2026,12,1),"培训；注册午餐；机构晚餐",IF(C2261=Options!$B$9,"抵达；"&amp;IF(C2261=DATE(2026,11,28),"机构晚餐","无统一供餐"),IF(C2261=Options!$B$10,"返程；"&amp;IF(C2261=DATE(2026,12,2),"机构午餐","无统一供餐"),"差旅状态；无统一日程"))))))</f>
        <v/>
      </c>
      <c r="E2261" s="13">
        <f>IF(C2261=Options!$B$9,Options!$C$20,0)</f>
        <v/>
      </c>
      <c r="F2261" s="13">
        <f>IF(AND(A2261&lt;&gt;"",C2261&lt;Options!$B$10),B2261*Options!$X$8,0)</f>
        <v/>
      </c>
      <c r="G2261" s="13">
        <f>F2261*12%</f>
        <v/>
      </c>
      <c r="H2261" s="13">
        <f>IF(A2261="",0,B2261*(92*IF(OR(C2261=Options!$B$9,C2261=Options!$B$10),75%,100%)-IF(C2261=DATE(2026,11,29),26+IF(Options!$B$8="是",23,0),0)-IF(C2261=DATE(2026,11,30),26,0)-IF(C2261=DATE(2026,12,1),64,0)-IF(C2261=DATE(2026,11,28),38,0)-IF(C2261=DATE(2026,12,2),26,0)))</f>
        <v/>
      </c>
      <c r="I2261" s="13">
        <f>IF(AND(C2261&gt;=DATE(2026,11,29),C2261&lt;=DATE(2026,12,1)),B2261*60,0)</f>
        <v/>
      </c>
      <c r="J2261" s="13">
        <f>IF(A2261="",0,B2261*(IF(C2261=DATE(2026,11,28),38,0)+IF(C2261=DATE(2026,12,1),38,0)+IF(C2261=DATE(2026,12,2),26,0)))</f>
        <v/>
      </c>
      <c r="K2261" s="13">
        <f>IF(C2261=Options!$B$9,B2261*12,0)</f>
        <v/>
      </c>
      <c r="L2261" s="13">
        <f>IF(C2261=Options!$B$9,B2261*Options!$Z$8,0)</f>
        <v/>
      </c>
      <c r="M2261" s="13" t="n">
        <v>0</v>
      </c>
      <c r="N2261" s="13">
        <f>SUM(E2261:M2261)</f>
        <v/>
      </c>
    </row>
    <row r="2262">
      <c r="A2262" s="5">
        <f>IF(AND(C2262&gt;=Options!$B$9,C2262&lt;=Options!$B$10),"Boston","")</f>
        <v/>
      </c>
      <c r="B2262" s="5">
        <f>IF(A2262="","",18)</f>
        <v/>
      </c>
      <c r="C2262" s="17" t="n">
        <v>46363</v>
      </c>
      <c r="D2262" s="5">
        <f>IF(A2262="","",IF(C2262=DATE(2026,11,29),"培训；注册午餐；早餐参数",IF(C2262=DATE(2026,11,30),"培训；注册午餐",IF(C2262=DATE(2026,12,1),"培训；注册午餐；机构晚餐",IF(C2262=Options!$B$9,"抵达；"&amp;IF(C2262=DATE(2026,11,28),"机构晚餐","无统一供餐"),IF(C2262=Options!$B$10,"返程；"&amp;IF(C2262=DATE(2026,12,2),"机构午餐","无统一供餐"),"差旅状态；无统一日程"))))))</f>
        <v/>
      </c>
      <c r="E2262" s="13">
        <f>IF(C2262=Options!$B$9,Options!$C$20,0)</f>
        <v/>
      </c>
      <c r="F2262" s="13">
        <f>IF(AND(A2262&lt;&gt;"",C2262&lt;Options!$B$10),B2262*Options!$X$8,0)</f>
        <v/>
      </c>
      <c r="G2262" s="13">
        <f>F2262*12%</f>
        <v/>
      </c>
      <c r="H2262" s="13">
        <f>IF(A2262="",0,B2262*(92*IF(OR(C2262=Options!$B$9,C2262=Options!$B$10),75%,100%)-IF(C2262=DATE(2026,11,29),26+IF(Options!$B$8="是",23,0),0)-IF(C2262=DATE(2026,11,30),26,0)-IF(C2262=DATE(2026,12,1),64,0)-IF(C2262=DATE(2026,11,28),38,0)-IF(C2262=DATE(2026,12,2),26,0)))</f>
        <v/>
      </c>
      <c r="I2262" s="13">
        <f>IF(AND(C2262&gt;=DATE(2026,11,29),C2262&lt;=DATE(2026,12,1)),B2262*60,0)</f>
        <v/>
      </c>
      <c r="J2262" s="13">
        <f>IF(A2262="",0,B2262*(IF(C2262=DATE(2026,11,28),38,0)+IF(C2262=DATE(2026,12,1),38,0)+IF(C2262=DATE(2026,12,2),26,0)))</f>
        <v/>
      </c>
      <c r="K2262" s="13">
        <f>IF(C2262=Options!$B$9,B2262*12,0)</f>
        <v/>
      </c>
      <c r="L2262" s="13">
        <f>IF(C2262=Options!$B$9,B2262*Options!$Z$8,0)</f>
        <v/>
      </c>
      <c r="M2262" s="13" t="n">
        <v>0</v>
      </c>
      <c r="N2262" s="13">
        <f>SUM(E2262:M2262)</f>
        <v/>
      </c>
    </row>
    <row r="2263">
      <c r="A2263" s="5">
        <f>IF(AND(C2263&gt;=Options!$B$9,C2263&lt;=Options!$B$10),"Boston","")</f>
        <v/>
      </c>
      <c r="B2263" s="5">
        <f>IF(A2263="","",18)</f>
        <v/>
      </c>
      <c r="C2263" s="17" t="n">
        <v>46364</v>
      </c>
      <c r="D2263" s="5">
        <f>IF(A2263="","",IF(C2263=DATE(2026,11,29),"培训；注册午餐；早餐参数",IF(C2263=DATE(2026,11,30),"培训；注册午餐",IF(C2263=DATE(2026,12,1),"培训；注册午餐；机构晚餐",IF(C2263=Options!$B$9,"抵达；"&amp;IF(C2263=DATE(2026,11,28),"机构晚餐","无统一供餐"),IF(C2263=Options!$B$10,"返程；"&amp;IF(C2263=DATE(2026,12,2),"机构午餐","无统一供餐"),"差旅状态；无统一日程"))))))</f>
        <v/>
      </c>
      <c r="E2263" s="13">
        <f>IF(C2263=Options!$B$9,Options!$C$20,0)</f>
        <v/>
      </c>
      <c r="F2263" s="13">
        <f>IF(AND(A2263&lt;&gt;"",C2263&lt;Options!$B$10),B2263*Options!$X$8,0)</f>
        <v/>
      </c>
      <c r="G2263" s="13">
        <f>F2263*12%</f>
        <v/>
      </c>
      <c r="H2263" s="13">
        <f>IF(A2263="",0,B2263*(92*IF(OR(C2263=Options!$B$9,C2263=Options!$B$10),75%,100%)-IF(C2263=DATE(2026,11,29),26+IF(Options!$B$8="是",23,0),0)-IF(C2263=DATE(2026,11,30),26,0)-IF(C2263=DATE(2026,12,1),64,0)-IF(C2263=DATE(2026,11,28),38,0)-IF(C2263=DATE(2026,12,2),26,0)))</f>
        <v/>
      </c>
      <c r="I2263" s="13">
        <f>IF(AND(C2263&gt;=DATE(2026,11,29),C2263&lt;=DATE(2026,12,1)),B2263*60,0)</f>
        <v/>
      </c>
      <c r="J2263" s="13">
        <f>IF(A2263="",0,B2263*(IF(C2263=DATE(2026,11,28),38,0)+IF(C2263=DATE(2026,12,1),38,0)+IF(C2263=DATE(2026,12,2),26,0)))</f>
        <v/>
      </c>
      <c r="K2263" s="13">
        <f>IF(C2263=Options!$B$9,B2263*12,0)</f>
        <v/>
      </c>
      <c r="L2263" s="13">
        <f>IF(C2263=Options!$B$9,B2263*Options!$Z$8,0)</f>
        <v/>
      </c>
      <c r="M2263" s="13" t="n">
        <v>0</v>
      </c>
      <c r="N2263" s="13">
        <f>SUM(E2263:M2263)</f>
        <v/>
      </c>
    </row>
    <row r="2264">
      <c r="A2264" s="5">
        <f>IF(AND(C2264&gt;=Options!$B$9,C2264&lt;=Options!$B$10),"Boston","")</f>
        <v/>
      </c>
      <c r="B2264" s="5">
        <f>IF(A2264="","",18)</f>
        <v/>
      </c>
      <c r="C2264" s="17" t="n">
        <v>46365</v>
      </c>
      <c r="D2264" s="5">
        <f>IF(A2264="","",IF(C2264=DATE(2026,11,29),"培训；注册午餐；早餐参数",IF(C2264=DATE(2026,11,30),"培训；注册午餐",IF(C2264=DATE(2026,12,1),"培训；注册午餐；机构晚餐",IF(C2264=Options!$B$9,"抵达；"&amp;IF(C2264=DATE(2026,11,28),"机构晚餐","无统一供餐"),IF(C2264=Options!$B$10,"返程；"&amp;IF(C2264=DATE(2026,12,2),"机构午餐","无统一供餐"),"差旅状态；无统一日程"))))))</f>
        <v/>
      </c>
      <c r="E2264" s="13">
        <f>IF(C2264=Options!$B$9,Options!$C$20,0)</f>
        <v/>
      </c>
      <c r="F2264" s="13">
        <f>IF(AND(A2264&lt;&gt;"",C2264&lt;Options!$B$10),B2264*Options!$X$8,0)</f>
        <v/>
      </c>
      <c r="G2264" s="13">
        <f>F2264*12%</f>
        <v/>
      </c>
      <c r="H2264" s="13">
        <f>IF(A2264="",0,B2264*(92*IF(OR(C2264=Options!$B$9,C2264=Options!$B$10),75%,100%)-IF(C2264=DATE(2026,11,29),26+IF(Options!$B$8="是",23,0),0)-IF(C2264=DATE(2026,11,30),26,0)-IF(C2264=DATE(2026,12,1),64,0)-IF(C2264=DATE(2026,11,28),38,0)-IF(C2264=DATE(2026,12,2),26,0)))</f>
        <v/>
      </c>
      <c r="I2264" s="13">
        <f>IF(AND(C2264&gt;=DATE(2026,11,29),C2264&lt;=DATE(2026,12,1)),B2264*60,0)</f>
        <v/>
      </c>
      <c r="J2264" s="13">
        <f>IF(A2264="",0,B2264*(IF(C2264=DATE(2026,11,28),38,0)+IF(C2264=DATE(2026,12,1),38,0)+IF(C2264=DATE(2026,12,2),26,0)))</f>
        <v/>
      </c>
      <c r="K2264" s="13">
        <f>IF(C2264=Options!$B$9,B2264*12,0)</f>
        <v/>
      </c>
      <c r="L2264" s="13">
        <f>IF(C2264=Options!$B$9,B2264*Options!$Z$8,0)</f>
        <v/>
      </c>
      <c r="M2264" s="13" t="n">
        <v>0</v>
      </c>
      <c r="N2264" s="13">
        <f>SUM(E2264:M2264)</f>
        <v/>
      </c>
    </row>
    <row r="2265">
      <c r="A2265" s="5">
        <f>IF(AND(C2265&gt;=Options!$B$9,C2265&lt;=Options!$B$10),"Boston","")</f>
        <v/>
      </c>
      <c r="B2265" s="5">
        <f>IF(A2265="","",18)</f>
        <v/>
      </c>
      <c r="C2265" s="17" t="n">
        <v>46366</v>
      </c>
      <c r="D2265" s="5">
        <f>IF(A2265="","",IF(C2265=DATE(2026,11,29),"培训；注册午餐；早餐参数",IF(C2265=DATE(2026,11,30),"培训；注册午餐",IF(C2265=DATE(2026,12,1),"培训；注册午餐；机构晚餐",IF(C2265=Options!$B$9,"抵达；"&amp;IF(C2265=DATE(2026,11,28),"机构晚餐","无统一供餐"),IF(C2265=Options!$B$10,"返程；"&amp;IF(C2265=DATE(2026,12,2),"机构午餐","无统一供餐"),"差旅状态；无统一日程"))))))</f>
        <v/>
      </c>
      <c r="E2265" s="13">
        <f>IF(C2265=Options!$B$9,Options!$C$20,0)</f>
        <v/>
      </c>
      <c r="F2265" s="13">
        <f>IF(AND(A2265&lt;&gt;"",C2265&lt;Options!$B$10),B2265*Options!$X$8,0)</f>
        <v/>
      </c>
      <c r="G2265" s="13">
        <f>F2265*12%</f>
        <v/>
      </c>
      <c r="H2265" s="13">
        <f>IF(A2265="",0,B2265*(92*IF(OR(C2265=Options!$B$9,C2265=Options!$B$10),75%,100%)-IF(C2265=DATE(2026,11,29),26+IF(Options!$B$8="是",23,0),0)-IF(C2265=DATE(2026,11,30),26,0)-IF(C2265=DATE(2026,12,1),64,0)-IF(C2265=DATE(2026,11,28),38,0)-IF(C2265=DATE(2026,12,2),26,0)))</f>
        <v/>
      </c>
      <c r="I2265" s="13">
        <f>IF(AND(C2265&gt;=DATE(2026,11,29),C2265&lt;=DATE(2026,12,1)),B2265*60,0)</f>
        <v/>
      </c>
      <c r="J2265" s="13">
        <f>IF(A2265="",0,B2265*(IF(C2265=DATE(2026,11,28),38,0)+IF(C2265=DATE(2026,12,1),38,0)+IF(C2265=DATE(2026,12,2),26,0)))</f>
        <v/>
      </c>
      <c r="K2265" s="13">
        <f>IF(C2265=Options!$B$9,B2265*12,0)</f>
        <v/>
      </c>
      <c r="L2265" s="13">
        <f>IF(C2265=Options!$B$9,B2265*Options!$Z$8,0)</f>
        <v/>
      </c>
      <c r="M2265" s="13" t="n">
        <v>0</v>
      </c>
      <c r="N2265" s="13">
        <f>SUM(E2265:M2265)</f>
        <v/>
      </c>
    </row>
    <row r="2266">
      <c r="A2266" s="5">
        <f>IF(AND(C2266&gt;=Options!$B$9,C2266&lt;=Options!$B$10),"Boston","")</f>
        <v/>
      </c>
      <c r="B2266" s="5">
        <f>IF(A2266="","",18)</f>
        <v/>
      </c>
      <c r="C2266" s="17" t="n">
        <v>46367</v>
      </c>
      <c r="D2266" s="5">
        <f>IF(A2266="","",IF(C2266=DATE(2026,11,29),"培训；注册午餐；早餐参数",IF(C2266=DATE(2026,11,30),"培训；注册午餐",IF(C2266=DATE(2026,12,1),"培训；注册午餐；机构晚餐",IF(C2266=Options!$B$9,"抵达；"&amp;IF(C2266=DATE(2026,11,28),"机构晚餐","无统一供餐"),IF(C2266=Options!$B$10,"返程；"&amp;IF(C2266=DATE(2026,12,2),"机构午餐","无统一供餐"),"差旅状态；无统一日程"))))))</f>
        <v/>
      </c>
      <c r="E2266" s="13">
        <f>IF(C2266=Options!$B$9,Options!$C$20,0)</f>
        <v/>
      </c>
      <c r="F2266" s="13">
        <f>IF(AND(A2266&lt;&gt;"",C2266&lt;Options!$B$10),B2266*Options!$X$8,0)</f>
        <v/>
      </c>
      <c r="G2266" s="13">
        <f>F2266*12%</f>
        <v/>
      </c>
      <c r="H2266" s="13">
        <f>IF(A2266="",0,B2266*(92*IF(OR(C2266=Options!$B$9,C2266=Options!$B$10),75%,100%)-IF(C2266=DATE(2026,11,29),26+IF(Options!$B$8="是",23,0),0)-IF(C2266=DATE(2026,11,30),26,0)-IF(C2266=DATE(2026,12,1),64,0)-IF(C2266=DATE(2026,11,28),38,0)-IF(C2266=DATE(2026,12,2),26,0)))</f>
        <v/>
      </c>
      <c r="I2266" s="13">
        <f>IF(AND(C2266&gt;=DATE(2026,11,29),C2266&lt;=DATE(2026,12,1)),B2266*60,0)</f>
        <v/>
      </c>
      <c r="J2266" s="13">
        <f>IF(A2266="",0,B2266*(IF(C2266=DATE(2026,11,28),38,0)+IF(C2266=DATE(2026,12,1),38,0)+IF(C2266=DATE(2026,12,2),26,0)))</f>
        <v/>
      </c>
      <c r="K2266" s="13">
        <f>IF(C2266=Options!$B$9,B2266*12,0)</f>
        <v/>
      </c>
      <c r="L2266" s="13">
        <f>IF(C2266=Options!$B$9,B2266*Options!$Z$8,0)</f>
        <v/>
      </c>
      <c r="M2266" s="13" t="n">
        <v>0</v>
      </c>
      <c r="N2266" s="13">
        <f>SUM(E2266:M2266)</f>
        <v/>
      </c>
    </row>
    <row r="2267">
      <c r="A2267" s="5">
        <f>IF(AND(C2267&gt;=Options!$B$9,C2267&lt;=Options!$B$10),"Boston","")</f>
        <v/>
      </c>
      <c r="B2267" s="5">
        <f>IF(A2267="","",18)</f>
        <v/>
      </c>
      <c r="C2267" s="17" t="n">
        <v>46368</v>
      </c>
      <c r="D2267" s="5">
        <f>IF(A2267="","",IF(C2267=DATE(2026,11,29),"培训；注册午餐；早餐参数",IF(C2267=DATE(2026,11,30),"培训；注册午餐",IF(C2267=DATE(2026,12,1),"培训；注册午餐；机构晚餐",IF(C2267=Options!$B$9,"抵达；"&amp;IF(C2267=DATE(2026,11,28),"机构晚餐","无统一供餐"),IF(C2267=Options!$B$10,"返程；"&amp;IF(C2267=DATE(2026,12,2),"机构午餐","无统一供餐"),"差旅状态；无统一日程"))))))</f>
        <v/>
      </c>
      <c r="E2267" s="13">
        <f>IF(C2267=Options!$B$9,Options!$C$20,0)</f>
        <v/>
      </c>
      <c r="F2267" s="13">
        <f>IF(AND(A2267&lt;&gt;"",C2267&lt;Options!$B$10),B2267*Options!$X$8,0)</f>
        <v/>
      </c>
      <c r="G2267" s="13">
        <f>F2267*12%</f>
        <v/>
      </c>
      <c r="H2267" s="13">
        <f>IF(A2267="",0,B2267*(92*IF(OR(C2267=Options!$B$9,C2267=Options!$B$10),75%,100%)-IF(C2267=DATE(2026,11,29),26+IF(Options!$B$8="是",23,0),0)-IF(C2267=DATE(2026,11,30),26,0)-IF(C2267=DATE(2026,12,1),64,0)-IF(C2267=DATE(2026,11,28),38,0)-IF(C2267=DATE(2026,12,2),26,0)))</f>
        <v/>
      </c>
      <c r="I2267" s="13">
        <f>IF(AND(C2267&gt;=DATE(2026,11,29),C2267&lt;=DATE(2026,12,1)),B2267*60,0)</f>
        <v/>
      </c>
      <c r="J2267" s="13">
        <f>IF(A2267="",0,B2267*(IF(C2267=DATE(2026,11,28),38,0)+IF(C2267=DATE(2026,12,1),38,0)+IF(C2267=DATE(2026,12,2),26,0)))</f>
        <v/>
      </c>
      <c r="K2267" s="13">
        <f>IF(C2267=Options!$B$9,B2267*12,0)</f>
        <v/>
      </c>
      <c r="L2267" s="13">
        <f>IF(C2267=Options!$B$9,B2267*Options!$Z$8,0)</f>
        <v/>
      </c>
      <c r="M2267" s="13" t="n">
        <v>0</v>
      </c>
      <c r="N2267" s="13">
        <f>SUM(E2267:M2267)</f>
        <v/>
      </c>
    </row>
    <row r="2268">
      <c r="A2268" s="5">
        <f>IF(AND(C2268&gt;=Options!$B$9,C2268&lt;=Options!$B$10),"Boston","")</f>
        <v/>
      </c>
      <c r="B2268" s="5">
        <f>IF(A2268="","",18)</f>
        <v/>
      </c>
      <c r="C2268" s="17" t="n">
        <v>46369</v>
      </c>
      <c r="D2268" s="5">
        <f>IF(A2268="","",IF(C2268=DATE(2026,11,29),"培训；注册午餐；早餐参数",IF(C2268=DATE(2026,11,30),"培训；注册午餐",IF(C2268=DATE(2026,12,1),"培训；注册午餐；机构晚餐",IF(C2268=Options!$B$9,"抵达；"&amp;IF(C2268=DATE(2026,11,28),"机构晚餐","无统一供餐"),IF(C2268=Options!$B$10,"返程；"&amp;IF(C2268=DATE(2026,12,2),"机构午餐","无统一供餐"),"差旅状态；无统一日程"))))))</f>
        <v/>
      </c>
      <c r="E2268" s="13">
        <f>IF(C2268=Options!$B$9,Options!$C$20,0)</f>
        <v/>
      </c>
      <c r="F2268" s="13">
        <f>IF(AND(A2268&lt;&gt;"",C2268&lt;Options!$B$10),B2268*Options!$X$8,0)</f>
        <v/>
      </c>
      <c r="G2268" s="13">
        <f>F2268*12%</f>
        <v/>
      </c>
      <c r="H2268" s="13">
        <f>IF(A2268="",0,B2268*(92*IF(OR(C2268=Options!$B$9,C2268=Options!$B$10),75%,100%)-IF(C2268=DATE(2026,11,29),26+IF(Options!$B$8="是",23,0),0)-IF(C2268=DATE(2026,11,30),26,0)-IF(C2268=DATE(2026,12,1),64,0)-IF(C2268=DATE(2026,11,28),38,0)-IF(C2268=DATE(2026,12,2),26,0)))</f>
        <v/>
      </c>
      <c r="I2268" s="13">
        <f>IF(AND(C2268&gt;=DATE(2026,11,29),C2268&lt;=DATE(2026,12,1)),B2268*60,0)</f>
        <v/>
      </c>
      <c r="J2268" s="13">
        <f>IF(A2268="",0,B2268*(IF(C2268=DATE(2026,11,28),38,0)+IF(C2268=DATE(2026,12,1),38,0)+IF(C2268=DATE(2026,12,2),26,0)))</f>
        <v/>
      </c>
      <c r="K2268" s="13">
        <f>IF(C2268=Options!$B$9,B2268*12,0)</f>
        <v/>
      </c>
      <c r="L2268" s="13">
        <f>IF(C2268=Options!$B$9,B2268*Options!$Z$8,0)</f>
        <v/>
      </c>
      <c r="M2268" s="13" t="n">
        <v>0</v>
      </c>
      <c r="N2268" s="13">
        <f>SUM(E2268:M2268)</f>
        <v/>
      </c>
    </row>
    <row r="2269">
      <c r="A2269" s="5">
        <f>IF(AND(C2269&gt;=Options!$B$9,C2269&lt;=Options!$B$10),"Boston","")</f>
        <v/>
      </c>
      <c r="B2269" s="5">
        <f>IF(A2269="","",18)</f>
        <v/>
      </c>
      <c r="C2269" s="17" t="n">
        <v>46370</v>
      </c>
      <c r="D2269" s="5">
        <f>IF(A2269="","",IF(C2269=DATE(2026,11,29),"培训；注册午餐；早餐参数",IF(C2269=DATE(2026,11,30),"培训；注册午餐",IF(C2269=DATE(2026,12,1),"培训；注册午餐；机构晚餐",IF(C2269=Options!$B$9,"抵达；"&amp;IF(C2269=DATE(2026,11,28),"机构晚餐","无统一供餐"),IF(C2269=Options!$B$10,"返程；"&amp;IF(C2269=DATE(2026,12,2),"机构午餐","无统一供餐"),"差旅状态；无统一日程"))))))</f>
        <v/>
      </c>
      <c r="E2269" s="13">
        <f>IF(C2269=Options!$B$9,Options!$C$20,0)</f>
        <v/>
      </c>
      <c r="F2269" s="13">
        <f>IF(AND(A2269&lt;&gt;"",C2269&lt;Options!$B$10),B2269*Options!$X$8,0)</f>
        <v/>
      </c>
      <c r="G2269" s="13">
        <f>F2269*12%</f>
        <v/>
      </c>
      <c r="H2269" s="13">
        <f>IF(A2269="",0,B2269*(92*IF(OR(C2269=Options!$B$9,C2269=Options!$B$10),75%,100%)-IF(C2269=DATE(2026,11,29),26+IF(Options!$B$8="是",23,0),0)-IF(C2269=DATE(2026,11,30),26,0)-IF(C2269=DATE(2026,12,1),64,0)-IF(C2269=DATE(2026,11,28),38,0)-IF(C2269=DATE(2026,12,2),26,0)))</f>
        <v/>
      </c>
      <c r="I2269" s="13">
        <f>IF(AND(C2269&gt;=DATE(2026,11,29),C2269&lt;=DATE(2026,12,1)),B2269*60,0)</f>
        <v/>
      </c>
      <c r="J2269" s="13">
        <f>IF(A2269="",0,B2269*(IF(C2269=DATE(2026,11,28),38,0)+IF(C2269=DATE(2026,12,1),38,0)+IF(C2269=DATE(2026,12,2),26,0)))</f>
        <v/>
      </c>
      <c r="K2269" s="13">
        <f>IF(C2269=Options!$B$9,B2269*12,0)</f>
        <v/>
      </c>
      <c r="L2269" s="13">
        <f>IF(C2269=Options!$B$9,B2269*Options!$Z$8,0)</f>
        <v/>
      </c>
      <c r="M2269" s="13" t="n">
        <v>0</v>
      </c>
      <c r="N2269" s="13">
        <f>SUM(E2269:M2269)</f>
        <v/>
      </c>
    </row>
    <row r="2270">
      <c r="A2270" s="5">
        <f>IF(AND(C2270&gt;=Options!$B$9,C2270&lt;=Options!$B$10),"Boston","")</f>
        <v/>
      </c>
      <c r="B2270" s="5">
        <f>IF(A2270="","",18)</f>
        <v/>
      </c>
      <c r="C2270" s="17" t="n">
        <v>46371</v>
      </c>
      <c r="D2270" s="5">
        <f>IF(A2270="","",IF(C2270=DATE(2026,11,29),"培训；注册午餐；早餐参数",IF(C2270=DATE(2026,11,30),"培训；注册午餐",IF(C2270=DATE(2026,12,1),"培训；注册午餐；机构晚餐",IF(C2270=Options!$B$9,"抵达；"&amp;IF(C2270=DATE(2026,11,28),"机构晚餐","无统一供餐"),IF(C2270=Options!$B$10,"返程；"&amp;IF(C2270=DATE(2026,12,2),"机构午餐","无统一供餐"),"差旅状态；无统一日程"))))))</f>
        <v/>
      </c>
      <c r="E2270" s="13">
        <f>IF(C2270=Options!$B$9,Options!$C$20,0)</f>
        <v/>
      </c>
      <c r="F2270" s="13">
        <f>IF(AND(A2270&lt;&gt;"",C2270&lt;Options!$B$10),B2270*Options!$X$8,0)</f>
        <v/>
      </c>
      <c r="G2270" s="13">
        <f>F2270*12%</f>
        <v/>
      </c>
      <c r="H2270" s="13">
        <f>IF(A2270="",0,B2270*(92*IF(OR(C2270=Options!$B$9,C2270=Options!$B$10),75%,100%)-IF(C2270=DATE(2026,11,29),26+IF(Options!$B$8="是",23,0),0)-IF(C2270=DATE(2026,11,30),26,0)-IF(C2270=DATE(2026,12,1),64,0)-IF(C2270=DATE(2026,11,28),38,0)-IF(C2270=DATE(2026,12,2),26,0)))</f>
        <v/>
      </c>
      <c r="I2270" s="13">
        <f>IF(AND(C2270&gt;=DATE(2026,11,29),C2270&lt;=DATE(2026,12,1)),B2270*60,0)</f>
        <v/>
      </c>
      <c r="J2270" s="13">
        <f>IF(A2270="",0,B2270*(IF(C2270=DATE(2026,11,28),38,0)+IF(C2270=DATE(2026,12,1),38,0)+IF(C2270=DATE(2026,12,2),26,0)))</f>
        <v/>
      </c>
      <c r="K2270" s="13">
        <f>IF(C2270=Options!$B$9,B2270*12,0)</f>
        <v/>
      </c>
      <c r="L2270" s="13">
        <f>IF(C2270=Options!$B$9,B2270*Options!$Z$8,0)</f>
        <v/>
      </c>
      <c r="M2270" s="13" t="n">
        <v>0</v>
      </c>
      <c r="N2270" s="13">
        <f>SUM(E2270:M2270)</f>
        <v/>
      </c>
    </row>
    <row r="2271">
      <c r="A2271" s="5">
        <f>IF(AND(C2271&gt;=Options!$B$9,C2271&lt;=Options!$B$10),"Boston","")</f>
        <v/>
      </c>
      <c r="B2271" s="5">
        <f>IF(A2271="","",18)</f>
        <v/>
      </c>
      <c r="C2271" s="17" t="n">
        <v>46372</v>
      </c>
      <c r="D2271" s="5">
        <f>IF(A2271="","",IF(C2271=DATE(2026,11,29),"培训；注册午餐；早餐参数",IF(C2271=DATE(2026,11,30),"培训；注册午餐",IF(C2271=DATE(2026,12,1),"培训；注册午餐；机构晚餐",IF(C2271=Options!$B$9,"抵达；"&amp;IF(C2271=DATE(2026,11,28),"机构晚餐","无统一供餐"),IF(C2271=Options!$B$10,"返程；"&amp;IF(C2271=DATE(2026,12,2),"机构午餐","无统一供餐"),"差旅状态；无统一日程"))))))</f>
        <v/>
      </c>
      <c r="E2271" s="13">
        <f>IF(C2271=Options!$B$9,Options!$C$20,0)</f>
        <v/>
      </c>
      <c r="F2271" s="13">
        <f>IF(AND(A2271&lt;&gt;"",C2271&lt;Options!$B$10),B2271*Options!$X$8,0)</f>
        <v/>
      </c>
      <c r="G2271" s="13">
        <f>F2271*12%</f>
        <v/>
      </c>
      <c r="H2271" s="13">
        <f>IF(A2271="",0,B2271*(92*IF(OR(C2271=Options!$B$9,C2271=Options!$B$10),75%,100%)-IF(C2271=DATE(2026,11,29),26+IF(Options!$B$8="是",23,0),0)-IF(C2271=DATE(2026,11,30),26,0)-IF(C2271=DATE(2026,12,1),64,0)-IF(C2271=DATE(2026,11,28),38,0)-IF(C2271=DATE(2026,12,2),26,0)))</f>
        <v/>
      </c>
      <c r="I2271" s="13">
        <f>IF(AND(C2271&gt;=DATE(2026,11,29),C2271&lt;=DATE(2026,12,1)),B2271*60,0)</f>
        <v/>
      </c>
      <c r="J2271" s="13">
        <f>IF(A2271="",0,B2271*(IF(C2271=DATE(2026,11,28),38,0)+IF(C2271=DATE(2026,12,1),38,0)+IF(C2271=DATE(2026,12,2),26,0)))</f>
        <v/>
      </c>
      <c r="K2271" s="13">
        <f>IF(C2271=Options!$B$9,B2271*12,0)</f>
        <v/>
      </c>
      <c r="L2271" s="13">
        <f>IF(C2271=Options!$B$9,B2271*Options!$Z$8,0)</f>
        <v/>
      </c>
      <c r="M2271" s="13" t="n">
        <v>0</v>
      </c>
      <c r="N2271" s="13">
        <f>SUM(E2271:M2271)</f>
        <v/>
      </c>
    </row>
    <row r="2272">
      <c r="A2272" s="5">
        <f>IF(AND(C2272&gt;=Options!$B$9,C2272&lt;=Options!$B$10),"Boston","")</f>
        <v/>
      </c>
      <c r="B2272" s="5">
        <f>IF(A2272="","",18)</f>
        <v/>
      </c>
      <c r="C2272" s="17" t="n">
        <v>46373</v>
      </c>
      <c r="D2272" s="5">
        <f>IF(A2272="","",IF(C2272=DATE(2026,11,29),"培训；注册午餐；早餐参数",IF(C2272=DATE(2026,11,30),"培训；注册午餐",IF(C2272=DATE(2026,12,1),"培训；注册午餐；机构晚餐",IF(C2272=Options!$B$9,"抵达；"&amp;IF(C2272=DATE(2026,11,28),"机构晚餐","无统一供餐"),IF(C2272=Options!$B$10,"返程；"&amp;IF(C2272=DATE(2026,12,2),"机构午餐","无统一供餐"),"差旅状态；无统一日程"))))))</f>
        <v/>
      </c>
      <c r="E2272" s="13">
        <f>IF(C2272=Options!$B$9,Options!$C$20,0)</f>
        <v/>
      </c>
      <c r="F2272" s="13">
        <f>IF(AND(A2272&lt;&gt;"",C2272&lt;Options!$B$10),B2272*Options!$X$8,0)</f>
        <v/>
      </c>
      <c r="G2272" s="13">
        <f>F2272*12%</f>
        <v/>
      </c>
      <c r="H2272" s="13">
        <f>IF(A2272="",0,B2272*(92*IF(OR(C2272=Options!$B$9,C2272=Options!$B$10),75%,100%)-IF(C2272=DATE(2026,11,29),26+IF(Options!$B$8="是",23,0),0)-IF(C2272=DATE(2026,11,30),26,0)-IF(C2272=DATE(2026,12,1),64,0)-IF(C2272=DATE(2026,11,28),38,0)-IF(C2272=DATE(2026,12,2),26,0)))</f>
        <v/>
      </c>
      <c r="I2272" s="13">
        <f>IF(AND(C2272&gt;=DATE(2026,11,29),C2272&lt;=DATE(2026,12,1)),B2272*60,0)</f>
        <v/>
      </c>
      <c r="J2272" s="13">
        <f>IF(A2272="",0,B2272*(IF(C2272=DATE(2026,11,28),38,0)+IF(C2272=DATE(2026,12,1),38,0)+IF(C2272=DATE(2026,12,2),26,0)))</f>
        <v/>
      </c>
      <c r="K2272" s="13">
        <f>IF(C2272=Options!$B$9,B2272*12,0)</f>
        <v/>
      </c>
      <c r="L2272" s="13">
        <f>IF(C2272=Options!$B$9,B2272*Options!$Z$8,0)</f>
        <v/>
      </c>
      <c r="M2272" s="13" t="n">
        <v>0</v>
      </c>
      <c r="N2272" s="13">
        <f>SUM(E2272:M2272)</f>
        <v/>
      </c>
    </row>
    <row r="2273">
      <c r="A2273" s="5">
        <f>IF(AND(C2273&gt;=Options!$B$9,C2273&lt;=Options!$B$10),"Boston","")</f>
        <v/>
      </c>
      <c r="B2273" s="5">
        <f>IF(A2273="","",18)</f>
        <v/>
      </c>
      <c r="C2273" s="17" t="n">
        <v>46374</v>
      </c>
      <c r="D2273" s="5">
        <f>IF(A2273="","",IF(C2273=DATE(2026,11,29),"培训；注册午餐；早餐参数",IF(C2273=DATE(2026,11,30),"培训；注册午餐",IF(C2273=DATE(2026,12,1),"培训；注册午餐；机构晚餐",IF(C2273=Options!$B$9,"抵达；"&amp;IF(C2273=DATE(2026,11,28),"机构晚餐","无统一供餐"),IF(C2273=Options!$B$10,"返程；"&amp;IF(C2273=DATE(2026,12,2),"机构午餐","无统一供餐"),"差旅状态；无统一日程"))))))</f>
        <v/>
      </c>
      <c r="E2273" s="13">
        <f>IF(C2273=Options!$B$9,Options!$C$20,0)</f>
        <v/>
      </c>
      <c r="F2273" s="13">
        <f>IF(AND(A2273&lt;&gt;"",C2273&lt;Options!$B$10),B2273*Options!$X$8,0)</f>
        <v/>
      </c>
      <c r="G2273" s="13">
        <f>F2273*12%</f>
        <v/>
      </c>
      <c r="H2273" s="13">
        <f>IF(A2273="",0,B2273*(92*IF(OR(C2273=Options!$B$9,C2273=Options!$B$10),75%,100%)-IF(C2273=DATE(2026,11,29),26+IF(Options!$B$8="是",23,0),0)-IF(C2273=DATE(2026,11,30),26,0)-IF(C2273=DATE(2026,12,1),64,0)-IF(C2273=DATE(2026,11,28),38,0)-IF(C2273=DATE(2026,12,2),26,0)))</f>
        <v/>
      </c>
      <c r="I2273" s="13">
        <f>IF(AND(C2273&gt;=DATE(2026,11,29),C2273&lt;=DATE(2026,12,1)),B2273*60,0)</f>
        <v/>
      </c>
      <c r="J2273" s="13">
        <f>IF(A2273="",0,B2273*(IF(C2273=DATE(2026,11,28),38,0)+IF(C2273=DATE(2026,12,1),38,0)+IF(C2273=DATE(2026,12,2),26,0)))</f>
        <v/>
      </c>
      <c r="K2273" s="13">
        <f>IF(C2273=Options!$B$9,B2273*12,0)</f>
        <v/>
      </c>
      <c r="L2273" s="13">
        <f>IF(C2273=Options!$B$9,B2273*Options!$Z$8,0)</f>
        <v/>
      </c>
      <c r="M2273" s="13" t="n">
        <v>0</v>
      </c>
      <c r="N2273" s="13">
        <f>SUM(E2273:M2273)</f>
        <v/>
      </c>
    </row>
    <row r="2274">
      <c r="A2274" s="5">
        <f>IF(AND(C2274&gt;=Options!$B$9,C2274&lt;=Options!$B$10),"Boston","")</f>
        <v/>
      </c>
      <c r="B2274" s="5">
        <f>IF(A2274="","",18)</f>
        <v/>
      </c>
      <c r="C2274" s="17" t="n">
        <v>46375</v>
      </c>
      <c r="D2274" s="5">
        <f>IF(A2274="","",IF(C2274=DATE(2026,11,29),"培训；注册午餐；早餐参数",IF(C2274=DATE(2026,11,30),"培训；注册午餐",IF(C2274=DATE(2026,12,1),"培训；注册午餐；机构晚餐",IF(C2274=Options!$B$9,"抵达；"&amp;IF(C2274=DATE(2026,11,28),"机构晚餐","无统一供餐"),IF(C2274=Options!$B$10,"返程；"&amp;IF(C2274=DATE(2026,12,2),"机构午餐","无统一供餐"),"差旅状态；无统一日程"))))))</f>
        <v/>
      </c>
      <c r="E2274" s="13">
        <f>IF(C2274=Options!$B$9,Options!$C$20,0)</f>
        <v/>
      </c>
      <c r="F2274" s="13">
        <f>IF(AND(A2274&lt;&gt;"",C2274&lt;Options!$B$10),B2274*Options!$X$8,0)</f>
        <v/>
      </c>
      <c r="G2274" s="13">
        <f>F2274*12%</f>
        <v/>
      </c>
      <c r="H2274" s="13">
        <f>IF(A2274="",0,B2274*(92*IF(OR(C2274=Options!$B$9,C2274=Options!$B$10),75%,100%)-IF(C2274=DATE(2026,11,29),26+IF(Options!$B$8="是",23,0),0)-IF(C2274=DATE(2026,11,30),26,0)-IF(C2274=DATE(2026,12,1),64,0)-IF(C2274=DATE(2026,11,28),38,0)-IF(C2274=DATE(2026,12,2),26,0)))</f>
        <v/>
      </c>
      <c r="I2274" s="13">
        <f>IF(AND(C2274&gt;=DATE(2026,11,29),C2274&lt;=DATE(2026,12,1)),B2274*60,0)</f>
        <v/>
      </c>
      <c r="J2274" s="13">
        <f>IF(A2274="",0,B2274*(IF(C2274=DATE(2026,11,28),38,0)+IF(C2274=DATE(2026,12,1),38,0)+IF(C2274=DATE(2026,12,2),26,0)))</f>
        <v/>
      </c>
      <c r="K2274" s="13">
        <f>IF(C2274=Options!$B$9,B2274*12,0)</f>
        <v/>
      </c>
      <c r="L2274" s="13">
        <f>IF(C2274=Options!$B$9,B2274*Options!$Z$8,0)</f>
        <v/>
      </c>
      <c r="M2274" s="13" t="n">
        <v>0</v>
      </c>
      <c r="N2274" s="13">
        <f>SUM(E2274:M2274)</f>
        <v/>
      </c>
    </row>
    <row r="2275">
      <c r="A2275" s="5">
        <f>IF(AND(C2275&gt;=Options!$B$9,C2275&lt;=Options!$B$10),"Boston","")</f>
        <v/>
      </c>
      <c r="B2275" s="5">
        <f>IF(A2275="","",18)</f>
        <v/>
      </c>
      <c r="C2275" s="17" t="n">
        <v>46376</v>
      </c>
      <c r="D2275" s="5">
        <f>IF(A2275="","",IF(C2275=DATE(2026,11,29),"培训；注册午餐；早餐参数",IF(C2275=DATE(2026,11,30),"培训；注册午餐",IF(C2275=DATE(2026,12,1),"培训；注册午餐；机构晚餐",IF(C2275=Options!$B$9,"抵达；"&amp;IF(C2275=DATE(2026,11,28),"机构晚餐","无统一供餐"),IF(C2275=Options!$B$10,"返程；"&amp;IF(C2275=DATE(2026,12,2),"机构午餐","无统一供餐"),"差旅状态；无统一日程"))))))</f>
        <v/>
      </c>
      <c r="E2275" s="13">
        <f>IF(C2275=Options!$B$9,Options!$C$20,0)</f>
        <v/>
      </c>
      <c r="F2275" s="13">
        <f>IF(AND(A2275&lt;&gt;"",C2275&lt;Options!$B$10),B2275*Options!$X$8,0)</f>
        <v/>
      </c>
      <c r="G2275" s="13">
        <f>F2275*12%</f>
        <v/>
      </c>
      <c r="H2275" s="13">
        <f>IF(A2275="",0,B2275*(92*IF(OR(C2275=Options!$B$9,C2275=Options!$B$10),75%,100%)-IF(C2275=DATE(2026,11,29),26+IF(Options!$B$8="是",23,0),0)-IF(C2275=DATE(2026,11,30),26,0)-IF(C2275=DATE(2026,12,1),64,0)-IF(C2275=DATE(2026,11,28),38,0)-IF(C2275=DATE(2026,12,2),26,0)))</f>
        <v/>
      </c>
      <c r="I2275" s="13">
        <f>IF(AND(C2275&gt;=DATE(2026,11,29),C2275&lt;=DATE(2026,12,1)),B2275*60,0)</f>
        <v/>
      </c>
      <c r="J2275" s="13">
        <f>IF(A2275="",0,B2275*(IF(C2275=DATE(2026,11,28),38,0)+IF(C2275=DATE(2026,12,1),38,0)+IF(C2275=DATE(2026,12,2),26,0)))</f>
        <v/>
      </c>
      <c r="K2275" s="13">
        <f>IF(C2275=Options!$B$9,B2275*12,0)</f>
        <v/>
      </c>
      <c r="L2275" s="13">
        <f>IF(C2275=Options!$B$9,B2275*Options!$Z$8,0)</f>
        <v/>
      </c>
      <c r="M2275" s="13" t="n">
        <v>0</v>
      </c>
      <c r="N2275" s="13">
        <f>SUM(E2275:M2275)</f>
        <v/>
      </c>
    </row>
    <row r="2276">
      <c r="A2276" s="5">
        <f>IF(AND(C2276&gt;=Options!$B$9,C2276&lt;=Options!$B$10),"Boston","")</f>
        <v/>
      </c>
      <c r="B2276" s="5">
        <f>IF(A2276="","",18)</f>
        <v/>
      </c>
      <c r="C2276" s="17" t="n">
        <v>46377</v>
      </c>
      <c r="D2276" s="5">
        <f>IF(A2276="","",IF(C2276=DATE(2026,11,29),"培训；注册午餐；早餐参数",IF(C2276=DATE(2026,11,30),"培训；注册午餐",IF(C2276=DATE(2026,12,1),"培训；注册午餐；机构晚餐",IF(C2276=Options!$B$9,"抵达；"&amp;IF(C2276=DATE(2026,11,28),"机构晚餐","无统一供餐"),IF(C2276=Options!$B$10,"返程；"&amp;IF(C2276=DATE(2026,12,2),"机构午餐","无统一供餐"),"差旅状态；无统一日程"))))))</f>
        <v/>
      </c>
      <c r="E2276" s="13">
        <f>IF(C2276=Options!$B$9,Options!$C$20,0)</f>
        <v/>
      </c>
      <c r="F2276" s="13">
        <f>IF(AND(A2276&lt;&gt;"",C2276&lt;Options!$B$10),B2276*Options!$X$8,0)</f>
        <v/>
      </c>
      <c r="G2276" s="13">
        <f>F2276*12%</f>
        <v/>
      </c>
      <c r="H2276" s="13">
        <f>IF(A2276="",0,B2276*(92*IF(OR(C2276=Options!$B$9,C2276=Options!$B$10),75%,100%)-IF(C2276=DATE(2026,11,29),26+IF(Options!$B$8="是",23,0),0)-IF(C2276=DATE(2026,11,30),26,0)-IF(C2276=DATE(2026,12,1),64,0)-IF(C2276=DATE(2026,11,28),38,0)-IF(C2276=DATE(2026,12,2),26,0)))</f>
        <v/>
      </c>
      <c r="I2276" s="13">
        <f>IF(AND(C2276&gt;=DATE(2026,11,29),C2276&lt;=DATE(2026,12,1)),B2276*60,0)</f>
        <v/>
      </c>
      <c r="J2276" s="13">
        <f>IF(A2276="",0,B2276*(IF(C2276=DATE(2026,11,28),38,0)+IF(C2276=DATE(2026,12,1),38,0)+IF(C2276=DATE(2026,12,2),26,0)))</f>
        <v/>
      </c>
      <c r="K2276" s="13">
        <f>IF(C2276=Options!$B$9,B2276*12,0)</f>
        <v/>
      </c>
      <c r="L2276" s="13">
        <f>IF(C2276=Options!$B$9,B2276*Options!$Z$8,0)</f>
        <v/>
      </c>
      <c r="M2276" s="13" t="n">
        <v>0</v>
      </c>
      <c r="N2276" s="13">
        <f>SUM(E2276:M2276)</f>
        <v/>
      </c>
    </row>
    <row r="2277">
      <c r="A2277" s="5">
        <f>IF(AND(C2277&gt;=Options!$B$9,C2277&lt;=Options!$B$10),"Boston","")</f>
        <v/>
      </c>
      <c r="B2277" s="5">
        <f>IF(A2277="","",18)</f>
        <v/>
      </c>
      <c r="C2277" s="17" t="n">
        <v>46378</v>
      </c>
      <c r="D2277" s="5">
        <f>IF(A2277="","",IF(C2277=DATE(2026,11,29),"培训；注册午餐；早餐参数",IF(C2277=DATE(2026,11,30),"培训；注册午餐",IF(C2277=DATE(2026,12,1),"培训；注册午餐；机构晚餐",IF(C2277=Options!$B$9,"抵达；"&amp;IF(C2277=DATE(2026,11,28),"机构晚餐","无统一供餐"),IF(C2277=Options!$B$10,"返程；"&amp;IF(C2277=DATE(2026,12,2),"机构午餐","无统一供餐"),"差旅状态；无统一日程"))))))</f>
        <v/>
      </c>
      <c r="E2277" s="13">
        <f>IF(C2277=Options!$B$9,Options!$C$20,0)</f>
        <v/>
      </c>
      <c r="F2277" s="13">
        <f>IF(AND(A2277&lt;&gt;"",C2277&lt;Options!$B$10),B2277*Options!$X$8,0)</f>
        <v/>
      </c>
      <c r="G2277" s="13">
        <f>F2277*12%</f>
        <v/>
      </c>
      <c r="H2277" s="13">
        <f>IF(A2277="",0,B2277*(92*IF(OR(C2277=Options!$B$9,C2277=Options!$B$10),75%,100%)-IF(C2277=DATE(2026,11,29),26+IF(Options!$B$8="是",23,0),0)-IF(C2277=DATE(2026,11,30),26,0)-IF(C2277=DATE(2026,12,1),64,0)-IF(C2277=DATE(2026,11,28),38,0)-IF(C2277=DATE(2026,12,2),26,0)))</f>
        <v/>
      </c>
      <c r="I2277" s="13">
        <f>IF(AND(C2277&gt;=DATE(2026,11,29),C2277&lt;=DATE(2026,12,1)),B2277*60,0)</f>
        <v/>
      </c>
      <c r="J2277" s="13">
        <f>IF(A2277="",0,B2277*(IF(C2277=DATE(2026,11,28),38,0)+IF(C2277=DATE(2026,12,1),38,0)+IF(C2277=DATE(2026,12,2),26,0)))</f>
        <v/>
      </c>
      <c r="K2277" s="13">
        <f>IF(C2277=Options!$B$9,B2277*12,0)</f>
        <v/>
      </c>
      <c r="L2277" s="13">
        <f>IF(C2277=Options!$B$9,B2277*Options!$Z$8,0)</f>
        <v/>
      </c>
      <c r="M2277" s="13" t="n">
        <v>0</v>
      </c>
      <c r="N2277" s="13">
        <f>SUM(E2277:M2277)</f>
        <v/>
      </c>
    </row>
    <row r="2278">
      <c r="A2278" s="5">
        <f>IF(AND(C2278&gt;=Options!$B$9,C2278&lt;=Options!$B$10),"Boston","")</f>
        <v/>
      </c>
      <c r="B2278" s="5">
        <f>IF(A2278="","",18)</f>
        <v/>
      </c>
      <c r="C2278" s="17" t="n">
        <v>46379</v>
      </c>
      <c r="D2278" s="5">
        <f>IF(A2278="","",IF(C2278=DATE(2026,11,29),"培训；注册午餐；早餐参数",IF(C2278=DATE(2026,11,30),"培训；注册午餐",IF(C2278=DATE(2026,12,1),"培训；注册午餐；机构晚餐",IF(C2278=Options!$B$9,"抵达；"&amp;IF(C2278=DATE(2026,11,28),"机构晚餐","无统一供餐"),IF(C2278=Options!$B$10,"返程；"&amp;IF(C2278=DATE(2026,12,2),"机构午餐","无统一供餐"),"差旅状态；无统一日程"))))))</f>
        <v/>
      </c>
      <c r="E2278" s="13">
        <f>IF(C2278=Options!$B$9,Options!$C$20,0)</f>
        <v/>
      </c>
      <c r="F2278" s="13">
        <f>IF(AND(A2278&lt;&gt;"",C2278&lt;Options!$B$10),B2278*Options!$X$8,0)</f>
        <v/>
      </c>
      <c r="G2278" s="13">
        <f>F2278*12%</f>
        <v/>
      </c>
      <c r="H2278" s="13">
        <f>IF(A2278="",0,B2278*(92*IF(OR(C2278=Options!$B$9,C2278=Options!$B$10),75%,100%)-IF(C2278=DATE(2026,11,29),26+IF(Options!$B$8="是",23,0),0)-IF(C2278=DATE(2026,11,30),26,0)-IF(C2278=DATE(2026,12,1),64,0)-IF(C2278=DATE(2026,11,28),38,0)-IF(C2278=DATE(2026,12,2),26,0)))</f>
        <v/>
      </c>
      <c r="I2278" s="13">
        <f>IF(AND(C2278&gt;=DATE(2026,11,29),C2278&lt;=DATE(2026,12,1)),B2278*60,0)</f>
        <v/>
      </c>
      <c r="J2278" s="13">
        <f>IF(A2278="",0,B2278*(IF(C2278=DATE(2026,11,28),38,0)+IF(C2278=DATE(2026,12,1),38,0)+IF(C2278=DATE(2026,12,2),26,0)))</f>
        <v/>
      </c>
      <c r="K2278" s="13">
        <f>IF(C2278=Options!$B$9,B2278*12,0)</f>
        <v/>
      </c>
      <c r="L2278" s="13">
        <f>IF(C2278=Options!$B$9,B2278*Options!$Z$8,0)</f>
        <v/>
      </c>
      <c r="M2278" s="13" t="n">
        <v>0</v>
      </c>
      <c r="N2278" s="13">
        <f>SUM(E2278:M2278)</f>
        <v/>
      </c>
    </row>
    <row r="2279">
      <c r="A2279" s="5">
        <f>IF(AND(C2279&gt;=Options!$B$9,C2279&lt;=Options!$B$10),"Boston","")</f>
        <v/>
      </c>
      <c r="B2279" s="5">
        <f>IF(A2279="","",18)</f>
        <v/>
      </c>
      <c r="C2279" s="17" t="n">
        <v>46380</v>
      </c>
      <c r="D2279" s="5">
        <f>IF(A2279="","",IF(C2279=DATE(2026,11,29),"培训；注册午餐；早餐参数",IF(C2279=DATE(2026,11,30),"培训；注册午餐",IF(C2279=DATE(2026,12,1),"培训；注册午餐；机构晚餐",IF(C2279=Options!$B$9,"抵达；"&amp;IF(C2279=DATE(2026,11,28),"机构晚餐","无统一供餐"),IF(C2279=Options!$B$10,"返程；"&amp;IF(C2279=DATE(2026,12,2),"机构午餐","无统一供餐"),"差旅状态；无统一日程"))))))</f>
        <v/>
      </c>
      <c r="E2279" s="13">
        <f>IF(C2279=Options!$B$9,Options!$C$20,0)</f>
        <v/>
      </c>
      <c r="F2279" s="13">
        <f>IF(AND(A2279&lt;&gt;"",C2279&lt;Options!$B$10),B2279*Options!$X$8,0)</f>
        <v/>
      </c>
      <c r="G2279" s="13">
        <f>F2279*12%</f>
        <v/>
      </c>
      <c r="H2279" s="13">
        <f>IF(A2279="",0,B2279*(92*IF(OR(C2279=Options!$B$9,C2279=Options!$B$10),75%,100%)-IF(C2279=DATE(2026,11,29),26+IF(Options!$B$8="是",23,0),0)-IF(C2279=DATE(2026,11,30),26,0)-IF(C2279=DATE(2026,12,1),64,0)-IF(C2279=DATE(2026,11,28),38,0)-IF(C2279=DATE(2026,12,2),26,0)))</f>
        <v/>
      </c>
      <c r="I2279" s="13">
        <f>IF(AND(C2279&gt;=DATE(2026,11,29),C2279&lt;=DATE(2026,12,1)),B2279*60,0)</f>
        <v/>
      </c>
      <c r="J2279" s="13">
        <f>IF(A2279="",0,B2279*(IF(C2279=DATE(2026,11,28),38,0)+IF(C2279=DATE(2026,12,1),38,0)+IF(C2279=DATE(2026,12,2),26,0)))</f>
        <v/>
      </c>
      <c r="K2279" s="13">
        <f>IF(C2279=Options!$B$9,B2279*12,0)</f>
        <v/>
      </c>
      <c r="L2279" s="13">
        <f>IF(C2279=Options!$B$9,B2279*Options!$Z$8,0)</f>
        <v/>
      </c>
      <c r="M2279" s="13" t="n">
        <v>0</v>
      </c>
      <c r="N2279" s="13">
        <f>SUM(E2279:M2279)</f>
        <v/>
      </c>
    </row>
    <row r="2280">
      <c r="A2280" s="5">
        <f>IF(AND(C2280&gt;=Options!$B$9,C2280&lt;=Options!$B$10),"Boston","")</f>
        <v/>
      </c>
      <c r="B2280" s="5">
        <f>IF(A2280="","",18)</f>
        <v/>
      </c>
      <c r="C2280" s="17" t="n">
        <v>46381</v>
      </c>
      <c r="D2280" s="5">
        <f>IF(A2280="","",IF(C2280=DATE(2026,11,29),"培训；注册午餐；早餐参数",IF(C2280=DATE(2026,11,30),"培训；注册午餐",IF(C2280=DATE(2026,12,1),"培训；注册午餐；机构晚餐",IF(C2280=Options!$B$9,"抵达；"&amp;IF(C2280=DATE(2026,11,28),"机构晚餐","无统一供餐"),IF(C2280=Options!$B$10,"返程；"&amp;IF(C2280=DATE(2026,12,2),"机构午餐","无统一供餐"),"差旅状态；无统一日程"))))))</f>
        <v/>
      </c>
      <c r="E2280" s="13">
        <f>IF(C2280=Options!$B$9,Options!$C$20,0)</f>
        <v/>
      </c>
      <c r="F2280" s="13">
        <f>IF(AND(A2280&lt;&gt;"",C2280&lt;Options!$B$10),B2280*Options!$X$8,0)</f>
        <v/>
      </c>
      <c r="G2280" s="13">
        <f>F2280*12%</f>
        <v/>
      </c>
      <c r="H2280" s="13">
        <f>IF(A2280="",0,B2280*(92*IF(OR(C2280=Options!$B$9,C2280=Options!$B$10),75%,100%)-IF(C2280=DATE(2026,11,29),26+IF(Options!$B$8="是",23,0),0)-IF(C2280=DATE(2026,11,30),26,0)-IF(C2280=DATE(2026,12,1),64,0)-IF(C2280=DATE(2026,11,28),38,0)-IF(C2280=DATE(2026,12,2),26,0)))</f>
        <v/>
      </c>
      <c r="I2280" s="13">
        <f>IF(AND(C2280&gt;=DATE(2026,11,29),C2280&lt;=DATE(2026,12,1)),B2280*60,0)</f>
        <v/>
      </c>
      <c r="J2280" s="13">
        <f>IF(A2280="",0,B2280*(IF(C2280=DATE(2026,11,28),38,0)+IF(C2280=DATE(2026,12,1),38,0)+IF(C2280=DATE(2026,12,2),26,0)))</f>
        <v/>
      </c>
      <c r="K2280" s="13">
        <f>IF(C2280=Options!$B$9,B2280*12,0)</f>
        <v/>
      </c>
      <c r="L2280" s="13">
        <f>IF(C2280=Options!$B$9,B2280*Options!$Z$8,0)</f>
        <v/>
      </c>
      <c r="M2280" s="13" t="n">
        <v>0</v>
      </c>
      <c r="N2280" s="13">
        <f>SUM(E2280:M2280)</f>
        <v/>
      </c>
    </row>
    <row r="2281">
      <c r="A2281" s="5">
        <f>IF(AND(C2281&gt;=Options!$B$9,C2281&lt;=Options!$B$10),"Boston","")</f>
        <v/>
      </c>
      <c r="B2281" s="5">
        <f>IF(A2281="","",18)</f>
        <v/>
      </c>
      <c r="C2281" s="17" t="n">
        <v>46382</v>
      </c>
      <c r="D2281" s="5">
        <f>IF(A2281="","",IF(C2281=DATE(2026,11,29),"培训；注册午餐；早餐参数",IF(C2281=DATE(2026,11,30),"培训；注册午餐",IF(C2281=DATE(2026,12,1),"培训；注册午餐；机构晚餐",IF(C2281=Options!$B$9,"抵达；"&amp;IF(C2281=DATE(2026,11,28),"机构晚餐","无统一供餐"),IF(C2281=Options!$B$10,"返程；"&amp;IF(C2281=DATE(2026,12,2),"机构午餐","无统一供餐"),"差旅状态；无统一日程"))))))</f>
        <v/>
      </c>
      <c r="E2281" s="13">
        <f>IF(C2281=Options!$B$9,Options!$C$20,0)</f>
        <v/>
      </c>
      <c r="F2281" s="13">
        <f>IF(AND(A2281&lt;&gt;"",C2281&lt;Options!$B$10),B2281*Options!$X$8,0)</f>
        <v/>
      </c>
      <c r="G2281" s="13">
        <f>F2281*12%</f>
        <v/>
      </c>
      <c r="H2281" s="13">
        <f>IF(A2281="",0,B2281*(92*IF(OR(C2281=Options!$B$9,C2281=Options!$B$10),75%,100%)-IF(C2281=DATE(2026,11,29),26+IF(Options!$B$8="是",23,0),0)-IF(C2281=DATE(2026,11,30),26,0)-IF(C2281=DATE(2026,12,1),64,0)-IF(C2281=DATE(2026,11,28),38,0)-IF(C2281=DATE(2026,12,2),26,0)))</f>
        <v/>
      </c>
      <c r="I2281" s="13">
        <f>IF(AND(C2281&gt;=DATE(2026,11,29),C2281&lt;=DATE(2026,12,1)),B2281*60,0)</f>
        <v/>
      </c>
      <c r="J2281" s="13">
        <f>IF(A2281="",0,B2281*(IF(C2281=DATE(2026,11,28),38,0)+IF(C2281=DATE(2026,12,1),38,0)+IF(C2281=DATE(2026,12,2),26,0)))</f>
        <v/>
      </c>
      <c r="K2281" s="13">
        <f>IF(C2281=Options!$B$9,B2281*12,0)</f>
        <v/>
      </c>
      <c r="L2281" s="13">
        <f>IF(C2281=Options!$B$9,B2281*Options!$Z$8,0)</f>
        <v/>
      </c>
      <c r="M2281" s="13" t="n">
        <v>0</v>
      </c>
      <c r="N2281" s="13">
        <f>SUM(E2281:M2281)</f>
        <v/>
      </c>
    </row>
    <row r="2282">
      <c r="A2282" s="5">
        <f>IF(AND(C2282&gt;=Options!$B$9,C2282&lt;=Options!$B$10),"Boston","")</f>
        <v/>
      </c>
      <c r="B2282" s="5">
        <f>IF(A2282="","",18)</f>
        <v/>
      </c>
      <c r="C2282" s="17" t="n">
        <v>46383</v>
      </c>
      <c r="D2282" s="5">
        <f>IF(A2282="","",IF(C2282=DATE(2026,11,29),"培训；注册午餐；早餐参数",IF(C2282=DATE(2026,11,30),"培训；注册午餐",IF(C2282=DATE(2026,12,1),"培训；注册午餐；机构晚餐",IF(C2282=Options!$B$9,"抵达；"&amp;IF(C2282=DATE(2026,11,28),"机构晚餐","无统一供餐"),IF(C2282=Options!$B$10,"返程；"&amp;IF(C2282=DATE(2026,12,2),"机构午餐","无统一供餐"),"差旅状态；无统一日程"))))))</f>
        <v/>
      </c>
      <c r="E2282" s="13">
        <f>IF(C2282=Options!$B$9,Options!$C$20,0)</f>
        <v/>
      </c>
      <c r="F2282" s="13">
        <f>IF(AND(A2282&lt;&gt;"",C2282&lt;Options!$B$10),B2282*Options!$X$8,0)</f>
        <v/>
      </c>
      <c r="G2282" s="13">
        <f>F2282*12%</f>
        <v/>
      </c>
      <c r="H2282" s="13">
        <f>IF(A2282="",0,B2282*(92*IF(OR(C2282=Options!$B$9,C2282=Options!$B$10),75%,100%)-IF(C2282=DATE(2026,11,29),26+IF(Options!$B$8="是",23,0),0)-IF(C2282=DATE(2026,11,30),26,0)-IF(C2282=DATE(2026,12,1),64,0)-IF(C2282=DATE(2026,11,28),38,0)-IF(C2282=DATE(2026,12,2),26,0)))</f>
        <v/>
      </c>
      <c r="I2282" s="13">
        <f>IF(AND(C2282&gt;=DATE(2026,11,29),C2282&lt;=DATE(2026,12,1)),B2282*60,0)</f>
        <v/>
      </c>
      <c r="J2282" s="13">
        <f>IF(A2282="",0,B2282*(IF(C2282=DATE(2026,11,28),38,0)+IF(C2282=DATE(2026,12,1),38,0)+IF(C2282=DATE(2026,12,2),26,0)))</f>
        <v/>
      </c>
      <c r="K2282" s="13">
        <f>IF(C2282=Options!$B$9,B2282*12,0)</f>
        <v/>
      </c>
      <c r="L2282" s="13">
        <f>IF(C2282=Options!$B$9,B2282*Options!$Z$8,0)</f>
        <v/>
      </c>
      <c r="M2282" s="13" t="n">
        <v>0</v>
      </c>
      <c r="N2282" s="13">
        <f>SUM(E2282:M2282)</f>
        <v/>
      </c>
    </row>
    <row r="2283">
      <c r="A2283" s="5">
        <f>IF(AND(C2283&gt;=Options!$B$9,C2283&lt;=Options!$B$10),"Boston","")</f>
        <v/>
      </c>
      <c r="B2283" s="5">
        <f>IF(A2283="","",18)</f>
        <v/>
      </c>
      <c r="C2283" s="17" t="n">
        <v>46384</v>
      </c>
      <c r="D2283" s="5">
        <f>IF(A2283="","",IF(C2283=DATE(2026,11,29),"培训；注册午餐；早餐参数",IF(C2283=DATE(2026,11,30),"培训；注册午餐",IF(C2283=DATE(2026,12,1),"培训；注册午餐；机构晚餐",IF(C2283=Options!$B$9,"抵达；"&amp;IF(C2283=DATE(2026,11,28),"机构晚餐","无统一供餐"),IF(C2283=Options!$B$10,"返程；"&amp;IF(C2283=DATE(2026,12,2),"机构午餐","无统一供餐"),"差旅状态；无统一日程"))))))</f>
        <v/>
      </c>
      <c r="E2283" s="13">
        <f>IF(C2283=Options!$B$9,Options!$C$20,0)</f>
        <v/>
      </c>
      <c r="F2283" s="13">
        <f>IF(AND(A2283&lt;&gt;"",C2283&lt;Options!$B$10),B2283*Options!$X$8,0)</f>
        <v/>
      </c>
      <c r="G2283" s="13">
        <f>F2283*12%</f>
        <v/>
      </c>
      <c r="H2283" s="13">
        <f>IF(A2283="",0,B2283*(92*IF(OR(C2283=Options!$B$9,C2283=Options!$B$10),75%,100%)-IF(C2283=DATE(2026,11,29),26+IF(Options!$B$8="是",23,0),0)-IF(C2283=DATE(2026,11,30),26,0)-IF(C2283=DATE(2026,12,1),64,0)-IF(C2283=DATE(2026,11,28),38,0)-IF(C2283=DATE(2026,12,2),26,0)))</f>
        <v/>
      </c>
      <c r="I2283" s="13">
        <f>IF(AND(C2283&gt;=DATE(2026,11,29),C2283&lt;=DATE(2026,12,1)),B2283*60,0)</f>
        <v/>
      </c>
      <c r="J2283" s="13">
        <f>IF(A2283="",0,B2283*(IF(C2283=DATE(2026,11,28),38,0)+IF(C2283=DATE(2026,12,1),38,0)+IF(C2283=DATE(2026,12,2),26,0)))</f>
        <v/>
      </c>
      <c r="K2283" s="13">
        <f>IF(C2283=Options!$B$9,B2283*12,0)</f>
        <v/>
      </c>
      <c r="L2283" s="13">
        <f>IF(C2283=Options!$B$9,B2283*Options!$Z$8,0)</f>
        <v/>
      </c>
      <c r="M2283" s="13" t="n">
        <v>0</v>
      </c>
      <c r="N2283" s="13">
        <f>SUM(E2283:M2283)</f>
        <v/>
      </c>
    </row>
    <row r="2284">
      <c r="A2284" s="5">
        <f>IF(AND(C2284&gt;=Options!$B$9,C2284&lt;=Options!$B$10),"Boston","")</f>
        <v/>
      </c>
      <c r="B2284" s="5">
        <f>IF(A2284="","",18)</f>
        <v/>
      </c>
      <c r="C2284" s="17" t="n">
        <v>46385</v>
      </c>
      <c r="D2284" s="5">
        <f>IF(A2284="","",IF(C2284=DATE(2026,11,29),"培训；注册午餐；早餐参数",IF(C2284=DATE(2026,11,30),"培训；注册午餐",IF(C2284=DATE(2026,12,1),"培训；注册午餐；机构晚餐",IF(C2284=Options!$B$9,"抵达；"&amp;IF(C2284=DATE(2026,11,28),"机构晚餐","无统一供餐"),IF(C2284=Options!$B$10,"返程；"&amp;IF(C2284=DATE(2026,12,2),"机构午餐","无统一供餐"),"差旅状态；无统一日程"))))))</f>
        <v/>
      </c>
      <c r="E2284" s="13">
        <f>IF(C2284=Options!$B$9,Options!$C$20,0)</f>
        <v/>
      </c>
      <c r="F2284" s="13">
        <f>IF(AND(A2284&lt;&gt;"",C2284&lt;Options!$B$10),B2284*Options!$X$8,0)</f>
        <v/>
      </c>
      <c r="G2284" s="13">
        <f>F2284*12%</f>
        <v/>
      </c>
      <c r="H2284" s="13">
        <f>IF(A2284="",0,B2284*(92*IF(OR(C2284=Options!$B$9,C2284=Options!$B$10),75%,100%)-IF(C2284=DATE(2026,11,29),26+IF(Options!$B$8="是",23,0),0)-IF(C2284=DATE(2026,11,30),26,0)-IF(C2284=DATE(2026,12,1),64,0)-IF(C2284=DATE(2026,11,28),38,0)-IF(C2284=DATE(2026,12,2),26,0)))</f>
        <v/>
      </c>
      <c r="I2284" s="13">
        <f>IF(AND(C2284&gt;=DATE(2026,11,29),C2284&lt;=DATE(2026,12,1)),B2284*60,0)</f>
        <v/>
      </c>
      <c r="J2284" s="13">
        <f>IF(A2284="",0,B2284*(IF(C2284=DATE(2026,11,28),38,0)+IF(C2284=DATE(2026,12,1),38,0)+IF(C2284=DATE(2026,12,2),26,0)))</f>
        <v/>
      </c>
      <c r="K2284" s="13">
        <f>IF(C2284=Options!$B$9,B2284*12,0)</f>
        <v/>
      </c>
      <c r="L2284" s="13">
        <f>IF(C2284=Options!$B$9,B2284*Options!$Z$8,0)</f>
        <v/>
      </c>
      <c r="M2284" s="13" t="n">
        <v>0</v>
      </c>
      <c r="N2284" s="13">
        <f>SUM(E2284:M2284)</f>
        <v/>
      </c>
    </row>
    <row r="2285">
      <c r="A2285" s="5">
        <f>IF(AND(C2285&gt;=Options!$B$9,C2285&lt;=Options!$B$10),"Boston","")</f>
        <v/>
      </c>
      <c r="B2285" s="5">
        <f>IF(A2285="","",18)</f>
        <v/>
      </c>
      <c r="C2285" s="17" t="n">
        <v>46386</v>
      </c>
      <c r="D2285" s="5">
        <f>IF(A2285="","",IF(C2285=DATE(2026,11,29),"培训；注册午餐；早餐参数",IF(C2285=DATE(2026,11,30),"培训；注册午餐",IF(C2285=DATE(2026,12,1),"培训；注册午餐；机构晚餐",IF(C2285=Options!$B$9,"抵达；"&amp;IF(C2285=DATE(2026,11,28),"机构晚餐","无统一供餐"),IF(C2285=Options!$B$10,"返程；"&amp;IF(C2285=DATE(2026,12,2),"机构午餐","无统一供餐"),"差旅状态；无统一日程"))))))</f>
        <v/>
      </c>
      <c r="E2285" s="13">
        <f>IF(C2285=Options!$B$9,Options!$C$20,0)</f>
        <v/>
      </c>
      <c r="F2285" s="13">
        <f>IF(AND(A2285&lt;&gt;"",C2285&lt;Options!$B$10),B2285*Options!$X$8,0)</f>
        <v/>
      </c>
      <c r="G2285" s="13">
        <f>F2285*12%</f>
        <v/>
      </c>
      <c r="H2285" s="13">
        <f>IF(A2285="",0,B2285*(92*IF(OR(C2285=Options!$B$9,C2285=Options!$B$10),75%,100%)-IF(C2285=DATE(2026,11,29),26+IF(Options!$B$8="是",23,0),0)-IF(C2285=DATE(2026,11,30),26,0)-IF(C2285=DATE(2026,12,1),64,0)-IF(C2285=DATE(2026,11,28),38,0)-IF(C2285=DATE(2026,12,2),26,0)))</f>
        <v/>
      </c>
      <c r="I2285" s="13">
        <f>IF(AND(C2285&gt;=DATE(2026,11,29),C2285&lt;=DATE(2026,12,1)),B2285*60,0)</f>
        <v/>
      </c>
      <c r="J2285" s="13">
        <f>IF(A2285="",0,B2285*(IF(C2285=DATE(2026,11,28),38,0)+IF(C2285=DATE(2026,12,1),38,0)+IF(C2285=DATE(2026,12,2),26,0)))</f>
        <v/>
      </c>
      <c r="K2285" s="13">
        <f>IF(C2285=Options!$B$9,B2285*12,0)</f>
        <v/>
      </c>
      <c r="L2285" s="13">
        <f>IF(C2285=Options!$B$9,B2285*Options!$Z$8,0)</f>
        <v/>
      </c>
      <c r="M2285" s="13" t="n">
        <v>0</v>
      </c>
      <c r="N2285" s="13">
        <f>SUM(E2285:M2285)</f>
        <v/>
      </c>
    </row>
    <row r="2286">
      <c r="A2286" s="5">
        <f>IF(AND(C2286&gt;=Options!$B$9,C2286&lt;=Options!$B$10),"Boston","")</f>
        <v/>
      </c>
      <c r="B2286" s="5">
        <f>IF(A2286="","",18)</f>
        <v/>
      </c>
      <c r="C2286" s="17" t="n">
        <v>46387</v>
      </c>
      <c r="D2286" s="5">
        <f>IF(A2286="","",IF(C2286=DATE(2026,11,29),"培训；注册午餐；早餐参数",IF(C2286=DATE(2026,11,30),"培训；注册午餐",IF(C2286=DATE(2026,12,1),"培训；注册午餐；机构晚餐",IF(C2286=Options!$B$9,"抵达；"&amp;IF(C2286=DATE(2026,11,28),"机构晚餐","无统一供餐"),IF(C2286=Options!$B$10,"返程；"&amp;IF(C2286=DATE(2026,12,2),"机构午餐","无统一供餐"),"差旅状态；无统一日程"))))))</f>
        <v/>
      </c>
      <c r="E2286" s="13">
        <f>IF(C2286=Options!$B$9,Options!$C$20,0)</f>
        <v/>
      </c>
      <c r="F2286" s="13">
        <f>IF(AND(A2286&lt;&gt;"",C2286&lt;Options!$B$10),B2286*Options!$X$8,0)</f>
        <v/>
      </c>
      <c r="G2286" s="13">
        <f>F2286*12%</f>
        <v/>
      </c>
      <c r="H2286" s="13">
        <f>IF(A2286="",0,B2286*(92*IF(OR(C2286=Options!$B$9,C2286=Options!$B$10),75%,100%)-IF(C2286=DATE(2026,11,29),26+IF(Options!$B$8="是",23,0),0)-IF(C2286=DATE(2026,11,30),26,0)-IF(C2286=DATE(2026,12,1),64,0)-IF(C2286=DATE(2026,11,28),38,0)-IF(C2286=DATE(2026,12,2),26,0)))</f>
        <v/>
      </c>
      <c r="I2286" s="13">
        <f>IF(AND(C2286&gt;=DATE(2026,11,29),C2286&lt;=DATE(2026,12,1)),B2286*60,0)</f>
        <v/>
      </c>
      <c r="J2286" s="13">
        <f>IF(A2286="",0,B2286*(IF(C2286=DATE(2026,11,28),38,0)+IF(C2286=DATE(2026,12,1),38,0)+IF(C2286=DATE(2026,12,2),26,0)))</f>
        <v/>
      </c>
      <c r="K2286" s="13">
        <f>IF(C2286=Options!$B$9,B2286*12,0)</f>
        <v/>
      </c>
      <c r="L2286" s="13">
        <f>IF(C2286=Options!$B$9,B2286*Options!$Z$8,0)</f>
        <v/>
      </c>
      <c r="M2286" s="13" t="n">
        <v>0</v>
      </c>
      <c r="N2286" s="13">
        <f>SUM(E2286:M2286)</f>
        <v/>
      </c>
    </row>
    <row r="2287">
      <c r="A2287" s="5">
        <f>IF(AND(C2287&gt;=Options!$B$9,C2287&lt;=Options!$B$10),"Boston","")</f>
        <v/>
      </c>
      <c r="B2287" s="5">
        <f>IF(A2287="","",18)</f>
        <v/>
      </c>
      <c r="C2287" s="17" t="n">
        <v>46388</v>
      </c>
      <c r="D2287" s="5">
        <f>IF(A2287="","",IF(C2287=DATE(2026,11,29),"培训；注册午餐；早餐参数",IF(C2287=DATE(2026,11,30),"培训；注册午餐",IF(C2287=DATE(2026,12,1),"培训；注册午餐；机构晚餐",IF(C2287=Options!$B$9,"抵达；"&amp;IF(C2287=DATE(2026,11,28),"机构晚餐","无统一供餐"),IF(C2287=Options!$B$10,"返程；"&amp;IF(C2287=DATE(2026,12,2),"机构午餐","无统一供餐"),"差旅状态；无统一日程"))))))</f>
        <v/>
      </c>
      <c r="E2287" s="13">
        <f>IF(C2287=Options!$B$9,Options!$C$20,0)</f>
        <v/>
      </c>
      <c r="F2287" s="13">
        <f>IF(AND(A2287&lt;&gt;"",C2287&lt;Options!$B$10),B2287*Options!$X$8,0)</f>
        <v/>
      </c>
      <c r="G2287" s="13">
        <f>F2287*12%</f>
        <v/>
      </c>
      <c r="H2287" s="13">
        <f>IF(A2287="",0,B2287*(92*IF(OR(C2287=Options!$B$9,C2287=Options!$B$10),75%,100%)-IF(C2287=DATE(2026,11,29),26+IF(Options!$B$8="是",23,0),0)-IF(C2287=DATE(2026,11,30),26,0)-IF(C2287=DATE(2026,12,1),64,0)-IF(C2287=DATE(2026,11,28),38,0)-IF(C2287=DATE(2026,12,2),26,0)))</f>
        <v/>
      </c>
      <c r="I2287" s="13">
        <f>IF(AND(C2287&gt;=DATE(2026,11,29),C2287&lt;=DATE(2026,12,1)),B2287*60,0)</f>
        <v/>
      </c>
      <c r="J2287" s="13">
        <f>IF(A2287="",0,B2287*(IF(C2287=DATE(2026,11,28),38,0)+IF(C2287=DATE(2026,12,1),38,0)+IF(C2287=DATE(2026,12,2),26,0)))</f>
        <v/>
      </c>
      <c r="K2287" s="13">
        <f>IF(C2287=Options!$B$9,B2287*12,0)</f>
        <v/>
      </c>
      <c r="L2287" s="13">
        <f>IF(C2287=Options!$B$9,B2287*Options!$Z$8,0)</f>
        <v/>
      </c>
      <c r="M2287" s="13" t="n">
        <v>0</v>
      </c>
      <c r="N2287" s="13">
        <f>SUM(E2287:M2287)</f>
        <v/>
      </c>
    </row>
    <row r="2288">
      <c r="A2288" s="5">
        <f>IF(AND(C2288&gt;=Options!$B$9,C2288&lt;=Options!$B$10),"Boston","")</f>
        <v/>
      </c>
      <c r="B2288" s="5">
        <f>IF(A2288="","",18)</f>
        <v/>
      </c>
      <c r="C2288" s="17" t="n">
        <v>46389</v>
      </c>
      <c r="D2288" s="5">
        <f>IF(A2288="","",IF(C2288=DATE(2026,11,29),"培训；注册午餐；早餐参数",IF(C2288=DATE(2026,11,30),"培训；注册午餐",IF(C2288=DATE(2026,12,1),"培训；注册午餐；机构晚餐",IF(C2288=Options!$B$9,"抵达；"&amp;IF(C2288=DATE(2026,11,28),"机构晚餐","无统一供餐"),IF(C2288=Options!$B$10,"返程；"&amp;IF(C2288=DATE(2026,12,2),"机构午餐","无统一供餐"),"差旅状态；无统一日程"))))))</f>
        <v/>
      </c>
      <c r="E2288" s="13">
        <f>IF(C2288=Options!$B$9,Options!$C$20,0)</f>
        <v/>
      </c>
      <c r="F2288" s="13">
        <f>IF(AND(A2288&lt;&gt;"",C2288&lt;Options!$B$10),B2288*Options!$X$8,0)</f>
        <v/>
      </c>
      <c r="G2288" s="13">
        <f>F2288*12%</f>
        <v/>
      </c>
      <c r="H2288" s="13">
        <f>IF(A2288="",0,B2288*(92*IF(OR(C2288=Options!$B$9,C2288=Options!$B$10),75%,100%)-IF(C2288=DATE(2026,11,29),26+IF(Options!$B$8="是",23,0),0)-IF(C2288=DATE(2026,11,30),26,0)-IF(C2288=DATE(2026,12,1),64,0)-IF(C2288=DATE(2026,11,28),38,0)-IF(C2288=DATE(2026,12,2),26,0)))</f>
        <v/>
      </c>
      <c r="I2288" s="13">
        <f>IF(AND(C2288&gt;=DATE(2026,11,29),C2288&lt;=DATE(2026,12,1)),B2288*60,0)</f>
        <v/>
      </c>
      <c r="J2288" s="13">
        <f>IF(A2288="",0,B2288*(IF(C2288=DATE(2026,11,28),38,0)+IF(C2288=DATE(2026,12,1),38,0)+IF(C2288=DATE(2026,12,2),26,0)))</f>
        <v/>
      </c>
      <c r="K2288" s="13">
        <f>IF(C2288=Options!$B$9,B2288*12,0)</f>
        <v/>
      </c>
      <c r="L2288" s="13">
        <f>IF(C2288=Options!$B$9,B2288*Options!$Z$8,0)</f>
        <v/>
      </c>
      <c r="M2288" s="13" t="n">
        <v>0</v>
      </c>
      <c r="N2288" s="13">
        <f>SUM(E2288:M2288)</f>
        <v/>
      </c>
    </row>
    <row r="2289">
      <c r="A2289" s="5">
        <f>IF(AND(C2289&gt;=Options!$B$9,C2289&lt;=Options!$B$10),"Boston","")</f>
        <v/>
      </c>
      <c r="B2289" s="5">
        <f>IF(A2289="","",18)</f>
        <v/>
      </c>
      <c r="C2289" s="17" t="n">
        <v>46390</v>
      </c>
      <c r="D2289" s="5">
        <f>IF(A2289="","",IF(C2289=DATE(2026,11,29),"培训；注册午餐；早餐参数",IF(C2289=DATE(2026,11,30),"培训；注册午餐",IF(C2289=DATE(2026,12,1),"培训；注册午餐；机构晚餐",IF(C2289=Options!$B$9,"抵达；"&amp;IF(C2289=DATE(2026,11,28),"机构晚餐","无统一供餐"),IF(C2289=Options!$B$10,"返程；"&amp;IF(C2289=DATE(2026,12,2),"机构午餐","无统一供餐"),"差旅状态；无统一日程"))))))</f>
        <v/>
      </c>
      <c r="E2289" s="13">
        <f>IF(C2289=Options!$B$9,Options!$C$20,0)</f>
        <v/>
      </c>
      <c r="F2289" s="13">
        <f>IF(AND(A2289&lt;&gt;"",C2289&lt;Options!$B$10),B2289*Options!$X$8,0)</f>
        <v/>
      </c>
      <c r="G2289" s="13">
        <f>F2289*12%</f>
        <v/>
      </c>
      <c r="H2289" s="13">
        <f>IF(A2289="",0,B2289*(92*IF(OR(C2289=Options!$B$9,C2289=Options!$B$10),75%,100%)-IF(C2289=DATE(2026,11,29),26+IF(Options!$B$8="是",23,0),0)-IF(C2289=DATE(2026,11,30),26,0)-IF(C2289=DATE(2026,12,1),64,0)-IF(C2289=DATE(2026,11,28),38,0)-IF(C2289=DATE(2026,12,2),26,0)))</f>
        <v/>
      </c>
      <c r="I2289" s="13">
        <f>IF(AND(C2289&gt;=DATE(2026,11,29),C2289&lt;=DATE(2026,12,1)),B2289*60,0)</f>
        <v/>
      </c>
      <c r="J2289" s="13">
        <f>IF(A2289="",0,B2289*(IF(C2289=DATE(2026,11,28),38,0)+IF(C2289=DATE(2026,12,1),38,0)+IF(C2289=DATE(2026,12,2),26,0)))</f>
        <v/>
      </c>
      <c r="K2289" s="13">
        <f>IF(C2289=Options!$B$9,B2289*12,0)</f>
        <v/>
      </c>
      <c r="L2289" s="13">
        <f>IF(C2289=Options!$B$9,B2289*Options!$Z$8,0)</f>
        <v/>
      </c>
      <c r="M2289" s="13" t="n">
        <v>0</v>
      </c>
      <c r="N2289" s="13">
        <f>SUM(E2289:M2289)</f>
        <v/>
      </c>
    </row>
    <row r="2290">
      <c r="A2290" s="5">
        <f>IF(AND(C2290&gt;=Options!$B$9,C2290&lt;=Options!$B$10),"Boston","")</f>
        <v/>
      </c>
      <c r="B2290" s="5">
        <f>IF(A2290="","",18)</f>
        <v/>
      </c>
      <c r="C2290" s="17" t="n">
        <v>46391</v>
      </c>
      <c r="D2290" s="5">
        <f>IF(A2290="","",IF(C2290=DATE(2026,11,29),"培训；注册午餐；早餐参数",IF(C2290=DATE(2026,11,30),"培训；注册午餐",IF(C2290=DATE(2026,12,1),"培训；注册午餐；机构晚餐",IF(C2290=Options!$B$9,"抵达；"&amp;IF(C2290=DATE(2026,11,28),"机构晚餐","无统一供餐"),IF(C2290=Options!$B$10,"返程；"&amp;IF(C2290=DATE(2026,12,2),"机构午餐","无统一供餐"),"差旅状态；无统一日程"))))))</f>
        <v/>
      </c>
      <c r="E2290" s="13">
        <f>IF(C2290=Options!$B$9,Options!$C$20,0)</f>
        <v/>
      </c>
      <c r="F2290" s="13">
        <f>IF(AND(A2290&lt;&gt;"",C2290&lt;Options!$B$10),B2290*Options!$X$8,0)</f>
        <v/>
      </c>
      <c r="G2290" s="13">
        <f>F2290*12%</f>
        <v/>
      </c>
      <c r="H2290" s="13">
        <f>IF(A2290="",0,B2290*(92*IF(OR(C2290=Options!$B$9,C2290=Options!$B$10),75%,100%)-IF(C2290=DATE(2026,11,29),26+IF(Options!$B$8="是",23,0),0)-IF(C2290=DATE(2026,11,30),26,0)-IF(C2290=DATE(2026,12,1),64,0)-IF(C2290=DATE(2026,11,28),38,0)-IF(C2290=DATE(2026,12,2),26,0)))</f>
        <v/>
      </c>
      <c r="I2290" s="13">
        <f>IF(AND(C2290&gt;=DATE(2026,11,29),C2290&lt;=DATE(2026,12,1)),B2290*60,0)</f>
        <v/>
      </c>
      <c r="J2290" s="13">
        <f>IF(A2290="",0,B2290*(IF(C2290=DATE(2026,11,28),38,0)+IF(C2290=DATE(2026,12,1),38,0)+IF(C2290=DATE(2026,12,2),26,0)))</f>
        <v/>
      </c>
      <c r="K2290" s="13">
        <f>IF(C2290=Options!$B$9,B2290*12,0)</f>
        <v/>
      </c>
      <c r="L2290" s="13">
        <f>IF(C2290=Options!$B$9,B2290*Options!$Z$8,0)</f>
        <v/>
      </c>
      <c r="M2290" s="13" t="n">
        <v>0</v>
      </c>
      <c r="N2290" s="13">
        <f>SUM(E2290:M2290)</f>
        <v/>
      </c>
    </row>
    <row r="2291">
      <c r="A2291" s="5">
        <f>IF(AND(C2291&gt;=Options!$B$9,C2291&lt;=Options!$B$10),"Boston","")</f>
        <v/>
      </c>
      <c r="B2291" s="5">
        <f>IF(A2291="","",18)</f>
        <v/>
      </c>
      <c r="C2291" s="17" t="n">
        <v>46392</v>
      </c>
      <c r="D2291" s="5">
        <f>IF(A2291="","",IF(C2291=DATE(2026,11,29),"培训；注册午餐；早餐参数",IF(C2291=DATE(2026,11,30),"培训；注册午餐",IF(C2291=DATE(2026,12,1),"培训；注册午餐；机构晚餐",IF(C2291=Options!$B$9,"抵达；"&amp;IF(C2291=DATE(2026,11,28),"机构晚餐","无统一供餐"),IF(C2291=Options!$B$10,"返程；"&amp;IF(C2291=DATE(2026,12,2),"机构午餐","无统一供餐"),"差旅状态；无统一日程"))))))</f>
        <v/>
      </c>
      <c r="E2291" s="13">
        <f>IF(C2291=Options!$B$9,Options!$C$20,0)</f>
        <v/>
      </c>
      <c r="F2291" s="13">
        <f>IF(AND(A2291&lt;&gt;"",C2291&lt;Options!$B$10),B2291*Options!$X$8,0)</f>
        <v/>
      </c>
      <c r="G2291" s="13">
        <f>F2291*12%</f>
        <v/>
      </c>
      <c r="H2291" s="13">
        <f>IF(A2291="",0,B2291*(92*IF(OR(C2291=Options!$B$9,C2291=Options!$B$10),75%,100%)-IF(C2291=DATE(2026,11,29),26+IF(Options!$B$8="是",23,0),0)-IF(C2291=DATE(2026,11,30),26,0)-IF(C2291=DATE(2026,12,1),64,0)-IF(C2291=DATE(2026,11,28),38,0)-IF(C2291=DATE(2026,12,2),26,0)))</f>
        <v/>
      </c>
      <c r="I2291" s="13">
        <f>IF(AND(C2291&gt;=DATE(2026,11,29),C2291&lt;=DATE(2026,12,1)),B2291*60,0)</f>
        <v/>
      </c>
      <c r="J2291" s="13">
        <f>IF(A2291="",0,B2291*(IF(C2291=DATE(2026,11,28),38,0)+IF(C2291=DATE(2026,12,1),38,0)+IF(C2291=DATE(2026,12,2),26,0)))</f>
        <v/>
      </c>
      <c r="K2291" s="13">
        <f>IF(C2291=Options!$B$9,B2291*12,0)</f>
        <v/>
      </c>
      <c r="L2291" s="13">
        <f>IF(C2291=Options!$B$9,B2291*Options!$Z$8,0)</f>
        <v/>
      </c>
      <c r="M2291" s="13" t="n">
        <v>0</v>
      </c>
      <c r="N2291" s="13">
        <f>SUM(E2291:M2291)</f>
        <v/>
      </c>
    </row>
    <row r="2292">
      <c r="A2292" s="5">
        <f>IF(AND(C2292&gt;=Options!$B$9,C2292&lt;=Options!$B$10),"Boston","")</f>
        <v/>
      </c>
      <c r="B2292" s="5">
        <f>IF(A2292="","",18)</f>
        <v/>
      </c>
      <c r="C2292" s="17" t="n">
        <v>46393</v>
      </c>
      <c r="D2292" s="5">
        <f>IF(A2292="","",IF(C2292=DATE(2026,11,29),"培训；注册午餐；早餐参数",IF(C2292=DATE(2026,11,30),"培训；注册午餐",IF(C2292=DATE(2026,12,1),"培训；注册午餐；机构晚餐",IF(C2292=Options!$B$9,"抵达；"&amp;IF(C2292=DATE(2026,11,28),"机构晚餐","无统一供餐"),IF(C2292=Options!$B$10,"返程；"&amp;IF(C2292=DATE(2026,12,2),"机构午餐","无统一供餐"),"差旅状态；无统一日程"))))))</f>
        <v/>
      </c>
      <c r="E2292" s="13">
        <f>IF(C2292=Options!$B$9,Options!$C$20,0)</f>
        <v/>
      </c>
      <c r="F2292" s="13">
        <f>IF(AND(A2292&lt;&gt;"",C2292&lt;Options!$B$10),B2292*Options!$X$8,0)</f>
        <v/>
      </c>
      <c r="G2292" s="13">
        <f>F2292*12%</f>
        <v/>
      </c>
      <c r="H2292" s="13">
        <f>IF(A2292="",0,B2292*(92*IF(OR(C2292=Options!$B$9,C2292=Options!$B$10),75%,100%)-IF(C2292=DATE(2026,11,29),26+IF(Options!$B$8="是",23,0),0)-IF(C2292=DATE(2026,11,30),26,0)-IF(C2292=DATE(2026,12,1),64,0)-IF(C2292=DATE(2026,11,28),38,0)-IF(C2292=DATE(2026,12,2),26,0)))</f>
        <v/>
      </c>
      <c r="I2292" s="13">
        <f>IF(AND(C2292&gt;=DATE(2026,11,29),C2292&lt;=DATE(2026,12,1)),B2292*60,0)</f>
        <v/>
      </c>
      <c r="J2292" s="13">
        <f>IF(A2292="",0,B2292*(IF(C2292=DATE(2026,11,28),38,0)+IF(C2292=DATE(2026,12,1),38,0)+IF(C2292=DATE(2026,12,2),26,0)))</f>
        <v/>
      </c>
      <c r="K2292" s="13">
        <f>IF(C2292=Options!$B$9,B2292*12,0)</f>
        <v/>
      </c>
      <c r="L2292" s="13">
        <f>IF(C2292=Options!$B$9,B2292*Options!$Z$8,0)</f>
        <v/>
      </c>
      <c r="M2292" s="13" t="n">
        <v>0</v>
      </c>
      <c r="N2292" s="13">
        <f>SUM(E2292:M2292)</f>
        <v/>
      </c>
    </row>
    <row r="2293">
      <c r="A2293" s="5">
        <f>IF(AND(C2293&gt;=Options!$B$9,C2293&lt;=Options!$B$10),"Boston","")</f>
        <v/>
      </c>
      <c r="B2293" s="5">
        <f>IF(A2293="","",18)</f>
        <v/>
      </c>
      <c r="C2293" s="17" t="n">
        <v>46394</v>
      </c>
      <c r="D2293" s="5">
        <f>IF(A2293="","",IF(C2293=DATE(2026,11,29),"培训；注册午餐；早餐参数",IF(C2293=DATE(2026,11,30),"培训；注册午餐",IF(C2293=DATE(2026,12,1),"培训；注册午餐；机构晚餐",IF(C2293=Options!$B$9,"抵达；"&amp;IF(C2293=DATE(2026,11,28),"机构晚餐","无统一供餐"),IF(C2293=Options!$B$10,"返程；"&amp;IF(C2293=DATE(2026,12,2),"机构午餐","无统一供餐"),"差旅状态；无统一日程"))))))</f>
        <v/>
      </c>
      <c r="E2293" s="13">
        <f>IF(C2293=Options!$B$9,Options!$C$20,0)</f>
        <v/>
      </c>
      <c r="F2293" s="13">
        <f>IF(AND(A2293&lt;&gt;"",C2293&lt;Options!$B$10),B2293*Options!$X$8,0)</f>
        <v/>
      </c>
      <c r="G2293" s="13">
        <f>F2293*12%</f>
        <v/>
      </c>
      <c r="H2293" s="13">
        <f>IF(A2293="",0,B2293*(92*IF(OR(C2293=Options!$B$9,C2293=Options!$B$10),75%,100%)-IF(C2293=DATE(2026,11,29),26+IF(Options!$B$8="是",23,0),0)-IF(C2293=DATE(2026,11,30),26,0)-IF(C2293=DATE(2026,12,1),64,0)-IF(C2293=DATE(2026,11,28),38,0)-IF(C2293=DATE(2026,12,2),26,0)))</f>
        <v/>
      </c>
      <c r="I2293" s="13">
        <f>IF(AND(C2293&gt;=DATE(2026,11,29),C2293&lt;=DATE(2026,12,1)),B2293*60,0)</f>
        <v/>
      </c>
      <c r="J2293" s="13">
        <f>IF(A2293="",0,B2293*(IF(C2293=DATE(2026,11,28),38,0)+IF(C2293=DATE(2026,12,1),38,0)+IF(C2293=DATE(2026,12,2),26,0)))</f>
        <v/>
      </c>
      <c r="K2293" s="13">
        <f>IF(C2293=Options!$B$9,B2293*12,0)</f>
        <v/>
      </c>
      <c r="L2293" s="13">
        <f>IF(C2293=Options!$B$9,B2293*Options!$Z$8,0)</f>
        <v/>
      </c>
      <c r="M2293" s="13" t="n">
        <v>0</v>
      </c>
      <c r="N2293" s="13">
        <f>SUM(E2293:M2293)</f>
        <v/>
      </c>
    </row>
    <row r="2294">
      <c r="A2294" s="5">
        <f>IF(AND(C2294&gt;=Options!$B$9,C2294&lt;=Options!$B$10),"Boston","")</f>
        <v/>
      </c>
      <c r="B2294" s="5">
        <f>IF(A2294="","",18)</f>
        <v/>
      </c>
      <c r="C2294" s="17" t="n">
        <v>46395</v>
      </c>
      <c r="D2294" s="5">
        <f>IF(A2294="","",IF(C2294=DATE(2026,11,29),"培训；注册午餐；早餐参数",IF(C2294=DATE(2026,11,30),"培训；注册午餐",IF(C2294=DATE(2026,12,1),"培训；注册午餐；机构晚餐",IF(C2294=Options!$B$9,"抵达；"&amp;IF(C2294=DATE(2026,11,28),"机构晚餐","无统一供餐"),IF(C2294=Options!$B$10,"返程；"&amp;IF(C2294=DATE(2026,12,2),"机构午餐","无统一供餐"),"差旅状态；无统一日程"))))))</f>
        <v/>
      </c>
      <c r="E2294" s="13">
        <f>IF(C2294=Options!$B$9,Options!$C$20,0)</f>
        <v/>
      </c>
      <c r="F2294" s="13">
        <f>IF(AND(A2294&lt;&gt;"",C2294&lt;Options!$B$10),B2294*Options!$X$8,0)</f>
        <v/>
      </c>
      <c r="G2294" s="13">
        <f>F2294*12%</f>
        <v/>
      </c>
      <c r="H2294" s="13">
        <f>IF(A2294="",0,B2294*(92*IF(OR(C2294=Options!$B$9,C2294=Options!$B$10),75%,100%)-IF(C2294=DATE(2026,11,29),26+IF(Options!$B$8="是",23,0),0)-IF(C2294=DATE(2026,11,30),26,0)-IF(C2294=DATE(2026,12,1),64,0)-IF(C2294=DATE(2026,11,28),38,0)-IF(C2294=DATE(2026,12,2),26,0)))</f>
        <v/>
      </c>
      <c r="I2294" s="13">
        <f>IF(AND(C2294&gt;=DATE(2026,11,29),C2294&lt;=DATE(2026,12,1)),B2294*60,0)</f>
        <v/>
      </c>
      <c r="J2294" s="13">
        <f>IF(A2294="",0,B2294*(IF(C2294=DATE(2026,11,28),38,0)+IF(C2294=DATE(2026,12,1),38,0)+IF(C2294=DATE(2026,12,2),26,0)))</f>
        <v/>
      </c>
      <c r="K2294" s="13">
        <f>IF(C2294=Options!$B$9,B2294*12,0)</f>
        <v/>
      </c>
      <c r="L2294" s="13">
        <f>IF(C2294=Options!$B$9,B2294*Options!$Z$8,0)</f>
        <v/>
      </c>
      <c r="M2294" s="13" t="n">
        <v>0</v>
      </c>
      <c r="N2294" s="13">
        <f>SUM(E2294:M2294)</f>
        <v/>
      </c>
    </row>
    <row r="2295">
      <c r="A2295" s="5">
        <f>IF(AND(C2295&gt;=Options!$B$9,C2295&lt;=Options!$B$10),"Boston","")</f>
        <v/>
      </c>
      <c r="B2295" s="5">
        <f>IF(A2295="","",18)</f>
        <v/>
      </c>
      <c r="C2295" s="17" t="n">
        <v>46396</v>
      </c>
      <c r="D2295" s="5">
        <f>IF(A2295="","",IF(C2295=DATE(2026,11,29),"培训；注册午餐；早餐参数",IF(C2295=DATE(2026,11,30),"培训；注册午餐",IF(C2295=DATE(2026,12,1),"培训；注册午餐；机构晚餐",IF(C2295=Options!$B$9,"抵达；"&amp;IF(C2295=DATE(2026,11,28),"机构晚餐","无统一供餐"),IF(C2295=Options!$B$10,"返程；"&amp;IF(C2295=DATE(2026,12,2),"机构午餐","无统一供餐"),"差旅状态；无统一日程"))))))</f>
        <v/>
      </c>
      <c r="E2295" s="13">
        <f>IF(C2295=Options!$B$9,Options!$C$20,0)</f>
        <v/>
      </c>
      <c r="F2295" s="13">
        <f>IF(AND(A2295&lt;&gt;"",C2295&lt;Options!$B$10),B2295*Options!$X$8,0)</f>
        <v/>
      </c>
      <c r="G2295" s="13">
        <f>F2295*12%</f>
        <v/>
      </c>
      <c r="H2295" s="13">
        <f>IF(A2295="",0,B2295*(92*IF(OR(C2295=Options!$B$9,C2295=Options!$B$10),75%,100%)-IF(C2295=DATE(2026,11,29),26+IF(Options!$B$8="是",23,0),0)-IF(C2295=DATE(2026,11,30),26,0)-IF(C2295=DATE(2026,12,1),64,0)-IF(C2295=DATE(2026,11,28),38,0)-IF(C2295=DATE(2026,12,2),26,0)))</f>
        <v/>
      </c>
      <c r="I2295" s="13">
        <f>IF(AND(C2295&gt;=DATE(2026,11,29),C2295&lt;=DATE(2026,12,1)),B2295*60,0)</f>
        <v/>
      </c>
      <c r="J2295" s="13">
        <f>IF(A2295="",0,B2295*(IF(C2295=DATE(2026,11,28),38,0)+IF(C2295=DATE(2026,12,1),38,0)+IF(C2295=DATE(2026,12,2),26,0)))</f>
        <v/>
      </c>
      <c r="K2295" s="13">
        <f>IF(C2295=Options!$B$9,B2295*12,0)</f>
        <v/>
      </c>
      <c r="L2295" s="13">
        <f>IF(C2295=Options!$B$9,B2295*Options!$Z$8,0)</f>
        <v/>
      </c>
      <c r="M2295" s="13" t="n">
        <v>0</v>
      </c>
      <c r="N2295" s="13">
        <f>SUM(E2295:M2295)</f>
        <v/>
      </c>
    </row>
    <row r="2296">
      <c r="A2296" s="5">
        <f>IF(AND(C2296&gt;=Options!$B$9,C2296&lt;=Options!$B$10),"Boston","")</f>
        <v/>
      </c>
      <c r="B2296" s="5">
        <f>IF(A2296="","",18)</f>
        <v/>
      </c>
      <c r="C2296" s="17" t="n">
        <v>46397</v>
      </c>
      <c r="D2296" s="5">
        <f>IF(A2296="","",IF(C2296=DATE(2026,11,29),"培训；注册午餐；早餐参数",IF(C2296=DATE(2026,11,30),"培训；注册午餐",IF(C2296=DATE(2026,12,1),"培训；注册午餐；机构晚餐",IF(C2296=Options!$B$9,"抵达；"&amp;IF(C2296=DATE(2026,11,28),"机构晚餐","无统一供餐"),IF(C2296=Options!$B$10,"返程；"&amp;IF(C2296=DATE(2026,12,2),"机构午餐","无统一供餐"),"差旅状态；无统一日程"))))))</f>
        <v/>
      </c>
      <c r="E2296" s="13">
        <f>IF(C2296=Options!$B$9,Options!$C$20,0)</f>
        <v/>
      </c>
      <c r="F2296" s="13">
        <f>IF(AND(A2296&lt;&gt;"",C2296&lt;Options!$B$10),B2296*Options!$X$8,0)</f>
        <v/>
      </c>
      <c r="G2296" s="13">
        <f>F2296*12%</f>
        <v/>
      </c>
      <c r="H2296" s="13">
        <f>IF(A2296="",0,B2296*(92*IF(OR(C2296=Options!$B$9,C2296=Options!$B$10),75%,100%)-IF(C2296=DATE(2026,11,29),26+IF(Options!$B$8="是",23,0),0)-IF(C2296=DATE(2026,11,30),26,0)-IF(C2296=DATE(2026,12,1),64,0)-IF(C2296=DATE(2026,11,28),38,0)-IF(C2296=DATE(2026,12,2),26,0)))</f>
        <v/>
      </c>
      <c r="I2296" s="13">
        <f>IF(AND(C2296&gt;=DATE(2026,11,29),C2296&lt;=DATE(2026,12,1)),B2296*60,0)</f>
        <v/>
      </c>
      <c r="J2296" s="13">
        <f>IF(A2296="",0,B2296*(IF(C2296=DATE(2026,11,28),38,0)+IF(C2296=DATE(2026,12,1),38,0)+IF(C2296=DATE(2026,12,2),26,0)))</f>
        <v/>
      </c>
      <c r="K2296" s="13">
        <f>IF(C2296=Options!$B$9,B2296*12,0)</f>
        <v/>
      </c>
      <c r="L2296" s="13">
        <f>IF(C2296=Options!$B$9,B2296*Options!$Z$8,0)</f>
        <v/>
      </c>
      <c r="M2296" s="13" t="n">
        <v>0</v>
      </c>
      <c r="N2296" s="13">
        <f>SUM(E2296:M2296)</f>
        <v/>
      </c>
    </row>
    <row r="2297">
      <c r="A2297" s="5">
        <f>IF(AND(C2297&gt;=Options!$B$9,C2297&lt;=Options!$B$10),"Boston","")</f>
        <v/>
      </c>
      <c r="B2297" s="5">
        <f>IF(A2297="","",18)</f>
        <v/>
      </c>
      <c r="C2297" s="17" t="n">
        <v>46398</v>
      </c>
      <c r="D2297" s="5">
        <f>IF(A2297="","",IF(C2297=DATE(2026,11,29),"培训；注册午餐；早餐参数",IF(C2297=DATE(2026,11,30),"培训；注册午餐",IF(C2297=DATE(2026,12,1),"培训；注册午餐；机构晚餐",IF(C2297=Options!$B$9,"抵达；"&amp;IF(C2297=DATE(2026,11,28),"机构晚餐","无统一供餐"),IF(C2297=Options!$B$10,"返程；"&amp;IF(C2297=DATE(2026,12,2),"机构午餐","无统一供餐"),"差旅状态；无统一日程"))))))</f>
        <v/>
      </c>
      <c r="E2297" s="13">
        <f>IF(C2297=Options!$B$9,Options!$C$20,0)</f>
        <v/>
      </c>
      <c r="F2297" s="13">
        <f>IF(AND(A2297&lt;&gt;"",C2297&lt;Options!$B$10),B2297*Options!$X$8,0)</f>
        <v/>
      </c>
      <c r="G2297" s="13">
        <f>F2297*12%</f>
        <v/>
      </c>
      <c r="H2297" s="13">
        <f>IF(A2297="",0,B2297*(92*IF(OR(C2297=Options!$B$9,C2297=Options!$B$10),75%,100%)-IF(C2297=DATE(2026,11,29),26+IF(Options!$B$8="是",23,0),0)-IF(C2297=DATE(2026,11,30),26,0)-IF(C2297=DATE(2026,12,1),64,0)-IF(C2297=DATE(2026,11,28),38,0)-IF(C2297=DATE(2026,12,2),26,0)))</f>
        <v/>
      </c>
      <c r="I2297" s="13">
        <f>IF(AND(C2297&gt;=DATE(2026,11,29),C2297&lt;=DATE(2026,12,1)),B2297*60,0)</f>
        <v/>
      </c>
      <c r="J2297" s="13">
        <f>IF(A2297="",0,B2297*(IF(C2297=DATE(2026,11,28),38,0)+IF(C2297=DATE(2026,12,1),38,0)+IF(C2297=DATE(2026,12,2),26,0)))</f>
        <v/>
      </c>
      <c r="K2297" s="13">
        <f>IF(C2297=Options!$B$9,B2297*12,0)</f>
        <v/>
      </c>
      <c r="L2297" s="13">
        <f>IF(C2297=Options!$B$9,B2297*Options!$Z$8,0)</f>
        <v/>
      </c>
      <c r="M2297" s="13" t="n">
        <v>0</v>
      </c>
      <c r="N2297" s="13">
        <f>SUM(E2297:M2297)</f>
        <v/>
      </c>
    </row>
    <row r="2298">
      <c r="A2298" s="5">
        <f>IF(AND(C2298&gt;=Options!$B$9,C2298&lt;=Options!$B$10),"Boston","")</f>
        <v/>
      </c>
      <c r="B2298" s="5">
        <f>IF(A2298="","",18)</f>
        <v/>
      </c>
      <c r="C2298" s="17" t="n">
        <v>46399</v>
      </c>
      <c r="D2298" s="5">
        <f>IF(A2298="","",IF(C2298=DATE(2026,11,29),"培训；注册午餐；早餐参数",IF(C2298=DATE(2026,11,30),"培训；注册午餐",IF(C2298=DATE(2026,12,1),"培训；注册午餐；机构晚餐",IF(C2298=Options!$B$9,"抵达；"&amp;IF(C2298=DATE(2026,11,28),"机构晚餐","无统一供餐"),IF(C2298=Options!$B$10,"返程；"&amp;IF(C2298=DATE(2026,12,2),"机构午餐","无统一供餐"),"差旅状态；无统一日程"))))))</f>
        <v/>
      </c>
      <c r="E2298" s="13">
        <f>IF(C2298=Options!$B$9,Options!$C$20,0)</f>
        <v/>
      </c>
      <c r="F2298" s="13">
        <f>IF(AND(A2298&lt;&gt;"",C2298&lt;Options!$B$10),B2298*Options!$X$8,0)</f>
        <v/>
      </c>
      <c r="G2298" s="13">
        <f>F2298*12%</f>
        <v/>
      </c>
      <c r="H2298" s="13">
        <f>IF(A2298="",0,B2298*(92*IF(OR(C2298=Options!$B$9,C2298=Options!$B$10),75%,100%)-IF(C2298=DATE(2026,11,29),26+IF(Options!$B$8="是",23,0),0)-IF(C2298=DATE(2026,11,30),26,0)-IF(C2298=DATE(2026,12,1),64,0)-IF(C2298=DATE(2026,11,28),38,0)-IF(C2298=DATE(2026,12,2),26,0)))</f>
        <v/>
      </c>
      <c r="I2298" s="13">
        <f>IF(AND(C2298&gt;=DATE(2026,11,29),C2298&lt;=DATE(2026,12,1)),B2298*60,0)</f>
        <v/>
      </c>
      <c r="J2298" s="13">
        <f>IF(A2298="",0,B2298*(IF(C2298=DATE(2026,11,28),38,0)+IF(C2298=DATE(2026,12,1),38,0)+IF(C2298=DATE(2026,12,2),26,0)))</f>
        <v/>
      </c>
      <c r="K2298" s="13">
        <f>IF(C2298=Options!$B$9,B2298*12,0)</f>
        <v/>
      </c>
      <c r="L2298" s="13">
        <f>IF(C2298=Options!$B$9,B2298*Options!$Z$8,0)</f>
        <v/>
      </c>
      <c r="M2298" s="13" t="n">
        <v>0</v>
      </c>
      <c r="N2298" s="13">
        <f>SUM(E2298:M2298)</f>
        <v/>
      </c>
    </row>
    <row r="2299">
      <c r="A2299" s="5">
        <f>IF(AND(C2299&gt;=Options!$B$9,C2299&lt;=Options!$B$10),"Boston","")</f>
        <v/>
      </c>
      <c r="B2299" s="5">
        <f>IF(A2299="","",18)</f>
        <v/>
      </c>
      <c r="C2299" s="17" t="n">
        <v>46400</v>
      </c>
      <c r="D2299" s="5">
        <f>IF(A2299="","",IF(C2299=DATE(2026,11,29),"培训；注册午餐；早餐参数",IF(C2299=DATE(2026,11,30),"培训；注册午餐",IF(C2299=DATE(2026,12,1),"培训；注册午餐；机构晚餐",IF(C2299=Options!$B$9,"抵达；"&amp;IF(C2299=DATE(2026,11,28),"机构晚餐","无统一供餐"),IF(C2299=Options!$B$10,"返程；"&amp;IF(C2299=DATE(2026,12,2),"机构午餐","无统一供餐"),"差旅状态；无统一日程"))))))</f>
        <v/>
      </c>
      <c r="E2299" s="13">
        <f>IF(C2299=Options!$B$9,Options!$C$20,0)</f>
        <v/>
      </c>
      <c r="F2299" s="13">
        <f>IF(AND(A2299&lt;&gt;"",C2299&lt;Options!$B$10),B2299*Options!$X$8,0)</f>
        <v/>
      </c>
      <c r="G2299" s="13">
        <f>F2299*12%</f>
        <v/>
      </c>
      <c r="H2299" s="13">
        <f>IF(A2299="",0,B2299*(92*IF(OR(C2299=Options!$B$9,C2299=Options!$B$10),75%,100%)-IF(C2299=DATE(2026,11,29),26+IF(Options!$B$8="是",23,0),0)-IF(C2299=DATE(2026,11,30),26,0)-IF(C2299=DATE(2026,12,1),64,0)-IF(C2299=DATE(2026,11,28),38,0)-IF(C2299=DATE(2026,12,2),26,0)))</f>
        <v/>
      </c>
      <c r="I2299" s="13">
        <f>IF(AND(C2299&gt;=DATE(2026,11,29),C2299&lt;=DATE(2026,12,1)),B2299*60,0)</f>
        <v/>
      </c>
      <c r="J2299" s="13">
        <f>IF(A2299="",0,B2299*(IF(C2299=DATE(2026,11,28),38,0)+IF(C2299=DATE(2026,12,1),38,0)+IF(C2299=DATE(2026,12,2),26,0)))</f>
        <v/>
      </c>
      <c r="K2299" s="13">
        <f>IF(C2299=Options!$B$9,B2299*12,0)</f>
        <v/>
      </c>
      <c r="L2299" s="13">
        <f>IF(C2299=Options!$B$9,B2299*Options!$Z$8,0)</f>
        <v/>
      </c>
      <c r="M2299" s="13" t="n">
        <v>0</v>
      </c>
      <c r="N2299" s="13">
        <f>SUM(E2299:M2299)</f>
        <v/>
      </c>
    </row>
    <row r="2300">
      <c r="A2300" s="5">
        <f>IF(AND(C2300&gt;=Options!$B$9,C2300&lt;=Options!$B$10),"Boston","")</f>
        <v/>
      </c>
      <c r="B2300" s="5">
        <f>IF(A2300="","",18)</f>
        <v/>
      </c>
      <c r="C2300" s="17" t="n">
        <v>46401</v>
      </c>
      <c r="D2300" s="5">
        <f>IF(A2300="","",IF(C2300=DATE(2026,11,29),"培训；注册午餐；早餐参数",IF(C2300=DATE(2026,11,30),"培训；注册午餐",IF(C2300=DATE(2026,12,1),"培训；注册午餐；机构晚餐",IF(C2300=Options!$B$9,"抵达；"&amp;IF(C2300=DATE(2026,11,28),"机构晚餐","无统一供餐"),IF(C2300=Options!$B$10,"返程；"&amp;IF(C2300=DATE(2026,12,2),"机构午餐","无统一供餐"),"差旅状态；无统一日程"))))))</f>
        <v/>
      </c>
      <c r="E2300" s="13">
        <f>IF(C2300=Options!$B$9,Options!$C$20,0)</f>
        <v/>
      </c>
      <c r="F2300" s="13">
        <f>IF(AND(A2300&lt;&gt;"",C2300&lt;Options!$B$10),B2300*Options!$X$8,0)</f>
        <v/>
      </c>
      <c r="G2300" s="13">
        <f>F2300*12%</f>
        <v/>
      </c>
      <c r="H2300" s="13">
        <f>IF(A2300="",0,B2300*(92*IF(OR(C2300=Options!$B$9,C2300=Options!$B$10),75%,100%)-IF(C2300=DATE(2026,11,29),26+IF(Options!$B$8="是",23,0),0)-IF(C2300=DATE(2026,11,30),26,0)-IF(C2300=DATE(2026,12,1),64,0)-IF(C2300=DATE(2026,11,28),38,0)-IF(C2300=DATE(2026,12,2),26,0)))</f>
        <v/>
      </c>
      <c r="I2300" s="13">
        <f>IF(AND(C2300&gt;=DATE(2026,11,29),C2300&lt;=DATE(2026,12,1)),B2300*60,0)</f>
        <v/>
      </c>
      <c r="J2300" s="13">
        <f>IF(A2300="",0,B2300*(IF(C2300=DATE(2026,11,28),38,0)+IF(C2300=DATE(2026,12,1),38,0)+IF(C2300=DATE(2026,12,2),26,0)))</f>
        <v/>
      </c>
      <c r="K2300" s="13">
        <f>IF(C2300=Options!$B$9,B2300*12,0)</f>
        <v/>
      </c>
      <c r="L2300" s="13">
        <f>IF(C2300=Options!$B$9,B2300*Options!$Z$8,0)</f>
        <v/>
      </c>
      <c r="M2300" s="13" t="n">
        <v>0</v>
      </c>
      <c r="N2300" s="13">
        <f>SUM(E2300:M2300)</f>
        <v/>
      </c>
    </row>
    <row r="2301">
      <c r="A2301" s="5">
        <f>IF(AND(C2301&gt;=Options!$B$9,C2301&lt;=Options!$B$10),"Boston","")</f>
        <v/>
      </c>
      <c r="B2301" s="5">
        <f>IF(A2301="","",18)</f>
        <v/>
      </c>
      <c r="C2301" s="17" t="n">
        <v>46402</v>
      </c>
      <c r="D2301" s="5">
        <f>IF(A2301="","",IF(C2301=DATE(2026,11,29),"培训；注册午餐；早餐参数",IF(C2301=DATE(2026,11,30),"培训；注册午餐",IF(C2301=DATE(2026,12,1),"培训；注册午餐；机构晚餐",IF(C2301=Options!$B$9,"抵达；"&amp;IF(C2301=DATE(2026,11,28),"机构晚餐","无统一供餐"),IF(C2301=Options!$B$10,"返程；"&amp;IF(C2301=DATE(2026,12,2),"机构午餐","无统一供餐"),"差旅状态；无统一日程"))))))</f>
        <v/>
      </c>
      <c r="E2301" s="13">
        <f>IF(C2301=Options!$B$9,Options!$C$20,0)</f>
        <v/>
      </c>
      <c r="F2301" s="13">
        <f>IF(AND(A2301&lt;&gt;"",C2301&lt;Options!$B$10),B2301*Options!$X$8,0)</f>
        <v/>
      </c>
      <c r="G2301" s="13">
        <f>F2301*12%</f>
        <v/>
      </c>
      <c r="H2301" s="13">
        <f>IF(A2301="",0,B2301*(92*IF(OR(C2301=Options!$B$9,C2301=Options!$B$10),75%,100%)-IF(C2301=DATE(2026,11,29),26+IF(Options!$B$8="是",23,0),0)-IF(C2301=DATE(2026,11,30),26,0)-IF(C2301=DATE(2026,12,1),64,0)-IF(C2301=DATE(2026,11,28),38,0)-IF(C2301=DATE(2026,12,2),26,0)))</f>
        <v/>
      </c>
      <c r="I2301" s="13">
        <f>IF(AND(C2301&gt;=DATE(2026,11,29),C2301&lt;=DATE(2026,12,1)),B2301*60,0)</f>
        <v/>
      </c>
      <c r="J2301" s="13">
        <f>IF(A2301="",0,B2301*(IF(C2301=DATE(2026,11,28),38,0)+IF(C2301=DATE(2026,12,1),38,0)+IF(C2301=DATE(2026,12,2),26,0)))</f>
        <v/>
      </c>
      <c r="K2301" s="13">
        <f>IF(C2301=Options!$B$9,B2301*12,0)</f>
        <v/>
      </c>
      <c r="L2301" s="13">
        <f>IF(C2301=Options!$B$9,B2301*Options!$Z$8,0)</f>
        <v/>
      </c>
      <c r="M2301" s="13" t="n">
        <v>0</v>
      </c>
      <c r="N2301" s="13">
        <f>SUM(E2301:M2301)</f>
        <v/>
      </c>
    </row>
    <row r="2302">
      <c r="A2302" s="5">
        <f>IF(AND(C2302&gt;=Options!$B$9,C2302&lt;=Options!$B$10),"Boston","")</f>
        <v/>
      </c>
      <c r="B2302" s="5">
        <f>IF(A2302="","",18)</f>
        <v/>
      </c>
      <c r="C2302" s="17" t="n">
        <v>46403</v>
      </c>
      <c r="D2302" s="5">
        <f>IF(A2302="","",IF(C2302=DATE(2026,11,29),"培训；注册午餐；早餐参数",IF(C2302=DATE(2026,11,30),"培训；注册午餐",IF(C2302=DATE(2026,12,1),"培训；注册午餐；机构晚餐",IF(C2302=Options!$B$9,"抵达；"&amp;IF(C2302=DATE(2026,11,28),"机构晚餐","无统一供餐"),IF(C2302=Options!$B$10,"返程；"&amp;IF(C2302=DATE(2026,12,2),"机构午餐","无统一供餐"),"差旅状态；无统一日程"))))))</f>
        <v/>
      </c>
      <c r="E2302" s="13">
        <f>IF(C2302=Options!$B$9,Options!$C$20,0)</f>
        <v/>
      </c>
      <c r="F2302" s="13">
        <f>IF(AND(A2302&lt;&gt;"",C2302&lt;Options!$B$10),B2302*Options!$X$8,0)</f>
        <v/>
      </c>
      <c r="G2302" s="13">
        <f>F2302*12%</f>
        <v/>
      </c>
      <c r="H2302" s="13">
        <f>IF(A2302="",0,B2302*(92*IF(OR(C2302=Options!$B$9,C2302=Options!$B$10),75%,100%)-IF(C2302=DATE(2026,11,29),26+IF(Options!$B$8="是",23,0),0)-IF(C2302=DATE(2026,11,30),26,0)-IF(C2302=DATE(2026,12,1),64,0)-IF(C2302=DATE(2026,11,28),38,0)-IF(C2302=DATE(2026,12,2),26,0)))</f>
        <v/>
      </c>
      <c r="I2302" s="13">
        <f>IF(AND(C2302&gt;=DATE(2026,11,29),C2302&lt;=DATE(2026,12,1)),B2302*60,0)</f>
        <v/>
      </c>
      <c r="J2302" s="13">
        <f>IF(A2302="",0,B2302*(IF(C2302=DATE(2026,11,28),38,0)+IF(C2302=DATE(2026,12,1),38,0)+IF(C2302=DATE(2026,12,2),26,0)))</f>
        <v/>
      </c>
      <c r="K2302" s="13">
        <f>IF(C2302=Options!$B$9,B2302*12,0)</f>
        <v/>
      </c>
      <c r="L2302" s="13">
        <f>IF(C2302=Options!$B$9,B2302*Options!$Z$8,0)</f>
        <v/>
      </c>
      <c r="M2302" s="13" t="n">
        <v>0</v>
      </c>
      <c r="N2302" s="13">
        <f>SUM(E2302:M2302)</f>
        <v/>
      </c>
    </row>
    <row r="2303">
      <c r="A2303" s="5">
        <f>IF(AND(C2303&gt;=Options!$B$9,C2303&lt;=Options!$B$10),"Boston","")</f>
        <v/>
      </c>
      <c r="B2303" s="5">
        <f>IF(A2303="","",18)</f>
        <v/>
      </c>
      <c r="C2303" s="17" t="n">
        <v>46404</v>
      </c>
      <c r="D2303" s="5">
        <f>IF(A2303="","",IF(C2303=DATE(2026,11,29),"培训；注册午餐；早餐参数",IF(C2303=DATE(2026,11,30),"培训；注册午餐",IF(C2303=DATE(2026,12,1),"培训；注册午餐；机构晚餐",IF(C2303=Options!$B$9,"抵达；"&amp;IF(C2303=DATE(2026,11,28),"机构晚餐","无统一供餐"),IF(C2303=Options!$B$10,"返程；"&amp;IF(C2303=DATE(2026,12,2),"机构午餐","无统一供餐"),"差旅状态；无统一日程"))))))</f>
        <v/>
      </c>
      <c r="E2303" s="13">
        <f>IF(C2303=Options!$B$9,Options!$C$20,0)</f>
        <v/>
      </c>
      <c r="F2303" s="13">
        <f>IF(AND(A2303&lt;&gt;"",C2303&lt;Options!$B$10),B2303*Options!$X$8,0)</f>
        <v/>
      </c>
      <c r="G2303" s="13">
        <f>F2303*12%</f>
        <v/>
      </c>
      <c r="H2303" s="13">
        <f>IF(A2303="",0,B2303*(92*IF(OR(C2303=Options!$B$9,C2303=Options!$B$10),75%,100%)-IF(C2303=DATE(2026,11,29),26+IF(Options!$B$8="是",23,0),0)-IF(C2303=DATE(2026,11,30),26,0)-IF(C2303=DATE(2026,12,1),64,0)-IF(C2303=DATE(2026,11,28),38,0)-IF(C2303=DATE(2026,12,2),26,0)))</f>
        <v/>
      </c>
      <c r="I2303" s="13">
        <f>IF(AND(C2303&gt;=DATE(2026,11,29),C2303&lt;=DATE(2026,12,1)),B2303*60,0)</f>
        <v/>
      </c>
      <c r="J2303" s="13">
        <f>IF(A2303="",0,B2303*(IF(C2303=DATE(2026,11,28),38,0)+IF(C2303=DATE(2026,12,1),38,0)+IF(C2303=DATE(2026,12,2),26,0)))</f>
        <v/>
      </c>
      <c r="K2303" s="13">
        <f>IF(C2303=Options!$B$9,B2303*12,0)</f>
        <v/>
      </c>
      <c r="L2303" s="13">
        <f>IF(C2303=Options!$B$9,B2303*Options!$Z$8,0)</f>
        <v/>
      </c>
      <c r="M2303" s="13" t="n">
        <v>0</v>
      </c>
      <c r="N2303" s="13">
        <f>SUM(E2303:M2303)</f>
        <v/>
      </c>
    </row>
    <row r="2304">
      <c r="A2304" s="5">
        <f>IF(AND(C2304&gt;=Options!$B$9,C2304&lt;=Options!$B$10),"Boston","")</f>
        <v/>
      </c>
      <c r="B2304" s="5">
        <f>IF(A2304="","",18)</f>
        <v/>
      </c>
      <c r="C2304" s="17" t="n">
        <v>46405</v>
      </c>
      <c r="D2304" s="5">
        <f>IF(A2304="","",IF(C2304=DATE(2026,11,29),"培训；注册午餐；早餐参数",IF(C2304=DATE(2026,11,30),"培训；注册午餐",IF(C2304=DATE(2026,12,1),"培训；注册午餐；机构晚餐",IF(C2304=Options!$B$9,"抵达；"&amp;IF(C2304=DATE(2026,11,28),"机构晚餐","无统一供餐"),IF(C2304=Options!$B$10,"返程；"&amp;IF(C2304=DATE(2026,12,2),"机构午餐","无统一供餐"),"差旅状态；无统一日程"))))))</f>
        <v/>
      </c>
      <c r="E2304" s="13">
        <f>IF(C2304=Options!$B$9,Options!$C$20,0)</f>
        <v/>
      </c>
      <c r="F2304" s="13">
        <f>IF(AND(A2304&lt;&gt;"",C2304&lt;Options!$B$10),B2304*Options!$X$8,0)</f>
        <v/>
      </c>
      <c r="G2304" s="13">
        <f>F2304*12%</f>
        <v/>
      </c>
      <c r="H2304" s="13">
        <f>IF(A2304="",0,B2304*(92*IF(OR(C2304=Options!$B$9,C2304=Options!$B$10),75%,100%)-IF(C2304=DATE(2026,11,29),26+IF(Options!$B$8="是",23,0),0)-IF(C2304=DATE(2026,11,30),26,0)-IF(C2304=DATE(2026,12,1),64,0)-IF(C2304=DATE(2026,11,28),38,0)-IF(C2304=DATE(2026,12,2),26,0)))</f>
        <v/>
      </c>
      <c r="I2304" s="13">
        <f>IF(AND(C2304&gt;=DATE(2026,11,29),C2304&lt;=DATE(2026,12,1)),B2304*60,0)</f>
        <v/>
      </c>
      <c r="J2304" s="13">
        <f>IF(A2304="",0,B2304*(IF(C2304=DATE(2026,11,28),38,0)+IF(C2304=DATE(2026,12,1),38,0)+IF(C2304=DATE(2026,12,2),26,0)))</f>
        <v/>
      </c>
      <c r="K2304" s="13">
        <f>IF(C2304=Options!$B$9,B2304*12,0)</f>
        <v/>
      </c>
      <c r="L2304" s="13">
        <f>IF(C2304=Options!$B$9,B2304*Options!$Z$8,0)</f>
        <v/>
      </c>
      <c r="M2304" s="13" t="n">
        <v>0</v>
      </c>
      <c r="N2304" s="13">
        <f>SUM(E2304:M2304)</f>
        <v/>
      </c>
    </row>
    <row r="2305">
      <c r="A2305" s="5">
        <f>IF(AND(C2305&gt;=Options!$B$9,C2305&lt;=Options!$B$10),"Boston","")</f>
        <v/>
      </c>
      <c r="B2305" s="5">
        <f>IF(A2305="","",18)</f>
        <v/>
      </c>
      <c r="C2305" s="17" t="n">
        <v>46406</v>
      </c>
      <c r="D2305" s="5">
        <f>IF(A2305="","",IF(C2305=DATE(2026,11,29),"培训；注册午餐；早餐参数",IF(C2305=DATE(2026,11,30),"培训；注册午餐",IF(C2305=DATE(2026,12,1),"培训；注册午餐；机构晚餐",IF(C2305=Options!$B$9,"抵达；"&amp;IF(C2305=DATE(2026,11,28),"机构晚餐","无统一供餐"),IF(C2305=Options!$B$10,"返程；"&amp;IF(C2305=DATE(2026,12,2),"机构午餐","无统一供餐"),"差旅状态；无统一日程"))))))</f>
        <v/>
      </c>
      <c r="E2305" s="13">
        <f>IF(C2305=Options!$B$9,Options!$C$20,0)</f>
        <v/>
      </c>
      <c r="F2305" s="13">
        <f>IF(AND(A2305&lt;&gt;"",C2305&lt;Options!$B$10),B2305*Options!$X$8,0)</f>
        <v/>
      </c>
      <c r="G2305" s="13">
        <f>F2305*12%</f>
        <v/>
      </c>
      <c r="H2305" s="13">
        <f>IF(A2305="",0,B2305*(92*IF(OR(C2305=Options!$B$9,C2305=Options!$B$10),75%,100%)-IF(C2305=DATE(2026,11,29),26+IF(Options!$B$8="是",23,0),0)-IF(C2305=DATE(2026,11,30),26,0)-IF(C2305=DATE(2026,12,1),64,0)-IF(C2305=DATE(2026,11,28),38,0)-IF(C2305=DATE(2026,12,2),26,0)))</f>
        <v/>
      </c>
      <c r="I2305" s="13">
        <f>IF(AND(C2305&gt;=DATE(2026,11,29),C2305&lt;=DATE(2026,12,1)),B2305*60,0)</f>
        <v/>
      </c>
      <c r="J2305" s="13">
        <f>IF(A2305="",0,B2305*(IF(C2305=DATE(2026,11,28),38,0)+IF(C2305=DATE(2026,12,1),38,0)+IF(C2305=DATE(2026,12,2),26,0)))</f>
        <v/>
      </c>
      <c r="K2305" s="13">
        <f>IF(C2305=Options!$B$9,B2305*12,0)</f>
        <v/>
      </c>
      <c r="L2305" s="13">
        <f>IF(C2305=Options!$B$9,B2305*Options!$Z$8,0)</f>
        <v/>
      </c>
      <c r="M2305" s="13" t="n">
        <v>0</v>
      </c>
      <c r="N2305" s="13">
        <f>SUM(E2305:M2305)</f>
        <v/>
      </c>
    </row>
    <row r="2306">
      <c r="A2306" s="5">
        <f>IF(AND(C2306&gt;=Options!$B$9,C2306&lt;=Options!$B$10),"Boston","")</f>
        <v/>
      </c>
      <c r="B2306" s="5">
        <f>IF(A2306="","",18)</f>
        <v/>
      </c>
      <c r="C2306" s="17" t="n">
        <v>46407</v>
      </c>
      <c r="D2306" s="5">
        <f>IF(A2306="","",IF(C2306=DATE(2026,11,29),"培训；注册午餐；早餐参数",IF(C2306=DATE(2026,11,30),"培训；注册午餐",IF(C2306=DATE(2026,12,1),"培训；注册午餐；机构晚餐",IF(C2306=Options!$B$9,"抵达；"&amp;IF(C2306=DATE(2026,11,28),"机构晚餐","无统一供餐"),IF(C2306=Options!$B$10,"返程；"&amp;IF(C2306=DATE(2026,12,2),"机构午餐","无统一供餐"),"差旅状态；无统一日程"))))))</f>
        <v/>
      </c>
      <c r="E2306" s="13">
        <f>IF(C2306=Options!$B$9,Options!$C$20,0)</f>
        <v/>
      </c>
      <c r="F2306" s="13">
        <f>IF(AND(A2306&lt;&gt;"",C2306&lt;Options!$B$10),B2306*Options!$X$8,0)</f>
        <v/>
      </c>
      <c r="G2306" s="13">
        <f>F2306*12%</f>
        <v/>
      </c>
      <c r="H2306" s="13">
        <f>IF(A2306="",0,B2306*(92*IF(OR(C2306=Options!$B$9,C2306=Options!$B$10),75%,100%)-IF(C2306=DATE(2026,11,29),26+IF(Options!$B$8="是",23,0),0)-IF(C2306=DATE(2026,11,30),26,0)-IF(C2306=DATE(2026,12,1),64,0)-IF(C2306=DATE(2026,11,28),38,0)-IF(C2306=DATE(2026,12,2),26,0)))</f>
        <v/>
      </c>
      <c r="I2306" s="13">
        <f>IF(AND(C2306&gt;=DATE(2026,11,29),C2306&lt;=DATE(2026,12,1)),B2306*60,0)</f>
        <v/>
      </c>
      <c r="J2306" s="13">
        <f>IF(A2306="",0,B2306*(IF(C2306=DATE(2026,11,28),38,0)+IF(C2306=DATE(2026,12,1),38,0)+IF(C2306=DATE(2026,12,2),26,0)))</f>
        <v/>
      </c>
      <c r="K2306" s="13">
        <f>IF(C2306=Options!$B$9,B2306*12,0)</f>
        <v/>
      </c>
      <c r="L2306" s="13">
        <f>IF(C2306=Options!$B$9,B2306*Options!$Z$8,0)</f>
        <v/>
      </c>
      <c r="M2306" s="13" t="n">
        <v>0</v>
      </c>
      <c r="N2306" s="13">
        <f>SUM(E2306:M2306)</f>
        <v/>
      </c>
    </row>
    <row r="2307">
      <c r="A2307" s="5">
        <f>IF(AND(C2307&gt;=Options!$B$9,C2307&lt;=Options!$B$10),"Boston","")</f>
        <v/>
      </c>
      <c r="B2307" s="5">
        <f>IF(A2307="","",18)</f>
        <v/>
      </c>
      <c r="C2307" s="17" t="n">
        <v>46408</v>
      </c>
      <c r="D2307" s="5">
        <f>IF(A2307="","",IF(C2307=DATE(2026,11,29),"培训；注册午餐；早餐参数",IF(C2307=DATE(2026,11,30),"培训；注册午餐",IF(C2307=DATE(2026,12,1),"培训；注册午餐；机构晚餐",IF(C2307=Options!$B$9,"抵达；"&amp;IF(C2307=DATE(2026,11,28),"机构晚餐","无统一供餐"),IF(C2307=Options!$B$10,"返程；"&amp;IF(C2307=DATE(2026,12,2),"机构午餐","无统一供餐"),"差旅状态；无统一日程"))))))</f>
        <v/>
      </c>
      <c r="E2307" s="13">
        <f>IF(C2307=Options!$B$9,Options!$C$20,0)</f>
        <v/>
      </c>
      <c r="F2307" s="13">
        <f>IF(AND(A2307&lt;&gt;"",C2307&lt;Options!$B$10),B2307*Options!$X$8,0)</f>
        <v/>
      </c>
      <c r="G2307" s="13">
        <f>F2307*12%</f>
        <v/>
      </c>
      <c r="H2307" s="13">
        <f>IF(A2307="",0,B2307*(92*IF(OR(C2307=Options!$B$9,C2307=Options!$B$10),75%,100%)-IF(C2307=DATE(2026,11,29),26+IF(Options!$B$8="是",23,0),0)-IF(C2307=DATE(2026,11,30),26,0)-IF(C2307=DATE(2026,12,1),64,0)-IF(C2307=DATE(2026,11,28),38,0)-IF(C2307=DATE(2026,12,2),26,0)))</f>
        <v/>
      </c>
      <c r="I2307" s="13">
        <f>IF(AND(C2307&gt;=DATE(2026,11,29),C2307&lt;=DATE(2026,12,1)),B2307*60,0)</f>
        <v/>
      </c>
      <c r="J2307" s="13">
        <f>IF(A2307="",0,B2307*(IF(C2307=DATE(2026,11,28),38,0)+IF(C2307=DATE(2026,12,1),38,0)+IF(C2307=DATE(2026,12,2),26,0)))</f>
        <v/>
      </c>
      <c r="K2307" s="13">
        <f>IF(C2307=Options!$B$9,B2307*12,0)</f>
        <v/>
      </c>
      <c r="L2307" s="13">
        <f>IF(C2307=Options!$B$9,B2307*Options!$Z$8,0)</f>
        <v/>
      </c>
      <c r="M2307" s="13" t="n">
        <v>0</v>
      </c>
      <c r="N2307" s="13">
        <f>SUM(E2307:M2307)</f>
        <v/>
      </c>
    </row>
    <row r="2308">
      <c r="A2308" s="5">
        <f>IF(AND(C2308&gt;=Options!$B$9,C2308&lt;=Options!$B$10),"Boston","")</f>
        <v/>
      </c>
      <c r="B2308" s="5">
        <f>IF(A2308="","",18)</f>
        <v/>
      </c>
      <c r="C2308" s="17" t="n">
        <v>46409</v>
      </c>
      <c r="D2308" s="5">
        <f>IF(A2308="","",IF(C2308=DATE(2026,11,29),"培训；注册午餐；早餐参数",IF(C2308=DATE(2026,11,30),"培训；注册午餐",IF(C2308=DATE(2026,12,1),"培训；注册午餐；机构晚餐",IF(C2308=Options!$B$9,"抵达；"&amp;IF(C2308=DATE(2026,11,28),"机构晚餐","无统一供餐"),IF(C2308=Options!$B$10,"返程；"&amp;IF(C2308=DATE(2026,12,2),"机构午餐","无统一供餐"),"差旅状态；无统一日程"))))))</f>
        <v/>
      </c>
      <c r="E2308" s="13">
        <f>IF(C2308=Options!$B$9,Options!$C$20,0)</f>
        <v/>
      </c>
      <c r="F2308" s="13">
        <f>IF(AND(A2308&lt;&gt;"",C2308&lt;Options!$B$10),B2308*Options!$X$8,0)</f>
        <v/>
      </c>
      <c r="G2308" s="13">
        <f>F2308*12%</f>
        <v/>
      </c>
      <c r="H2308" s="13">
        <f>IF(A2308="",0,B2308*(92*IF(OR(C2308=Options!$B$9,C2308=Options!$B$10),75%,100%)-IF(C2308=DATE(2026,11,29),26+IF(Options!$B$8="是",23,0),0)-IF(C2308=DATE(2026,11,30),26,0)-IF(C2308=DATE(2026,12,1),64,0)-IF(C2308=DATE(2026,11,28),38,0)-IF(C2308=DATE(2026,12,2),26,0)))</f>
        <v/>
      </c>
      <c r="I2308" s="13">
        <f>IF(AND(C2308&gt;=DATE(2026,11,29),C2308&lt;=DATE(2026,12,1)),B2308*60,0)</f>
        <v/>
      </c>
      <c r="J2308" s="13">
        <f>IF(A2308="",0,B2308*(IF(C2308=DATE(2026,11,28),38,0)+IF(C2308=DATE(2026,12,1),38,0)+IF(C2308=DATE(2026,12,2),26,0)))</f>
        <v/>
      </c>
      <c r="K2308" s="13">
        <f>IF(C2308=Options!$B$9,B2308*12,0)</f>
        <v/>
      </c>
      <c r="L2308" s="13">
        <f>IF(C2308=Options!$B$9,B2308*Options!$Z$8,0)</f>
        <v/>
      </c>
      <c r="M2308" s="13" t="n">
        <v>0</v>
      </c>
      <c r="N2308" s="13">
        <f>SUM(E2308:M2308)</f>
        <v/>
      </c>
    </row>
    <row r="2309">
      <c r="A2309" s="5">
        <f>IF(AND(C2309&gt;=Options!$B$9,C2309&lt;=Options!$B$10),"Boston","")</f>
        <v/>
      </c>
      <c r="B2309" s="5">
        <f>IF(A2309="","",18)</f>
        <v/>
      </c>
      <c r="C2309" s="17" t="n">
        <v>46410</v>
      </c>
      <c r="D2309" s="5">
        <f>IF(A2309="","",IF(C2309=DATE(2026,11,29),"培训；注册午餐；早餐参数",IF(C2309=DATE(2026,11,30),"培训；注册午餐",IF(C2309=DATE(2026,12,1),"培训；注册午餐；机构晚餐",IF(C2309=Options!$B$9,"抵达；"&amp;IF(C2309=DATE(2026,11,28),"机构晚餐","无统一供餐"),IF(C2309=Options!$B$10,"返程；"&amp;IF(C2309=DATE(2026,12,2),"机构午餐","无统一供餐"),"差旅状态；无统一日程"))))))</f>
        <v/>
      </c>
      <c r="E2309" s="13">
        <f>IF(C2309=Options!$B$9,Options!$C$20,0)</f>
        <v/>
      </c>
      <c r="F2309" s="13">
        <f>IF(AND(A2309&lt;&gt;"",C2309&lt;Options!$B$10),B2309*Options!$X$8,0)</f>
        <v/>
      </c>
      <c r="G2309" s="13">
        <f>F2309*12%</f>
        <v/>
      </c>
      <c r="H2309" s="13">
        <f>IF(A2309="",0,B2309*(92*IF(OR(C2309=Options!$B$9,C2309=Options!$B$10),75%,100%)-IF(C2309=DATE(2026,11,29),26+IF(Options!$B$8="是",23,0),0)-IF(C2309=DATE(2026,11,30),26,0)-IF(C2309=DATE(2026,12,1),64,0)-IF(C2309=DATE(2026,11,28),38,0)-IF(C2309=DATE(2026,12,2),26,0)))</f>
        <v/>
      </c>
      <c r="I2309" s="13">
        <f>IF(AND(C2309&gt;=DATE(2026,11,29),C2309&lt;=DATE(2026,12,1)),B2309*60,0)</f>
        <v/>
      </c>
      <c r="J2309" s="13">
        <f>IF(A2309="",0,B2309*(IF(C2309=DATE(2026,11,28),38,0)+IF(C2309=DATE(2026,12,1),38,0)+IF(C2309=DATE(2026,12,2),26,0)))</f>
        <v/>
      </c>
      <c r="K2309" s="13">
        <f>IF(C2309=Options!$B$9,B2309*12,0)</f>
        <v/>
      </c>
      <c r="L2309" s="13">
        <f>IF(C2309=Options!$B$9,B2309*Options!$Z$8,0)</f>
        <v/>
      </c>
      <c r="M2309" s="13" t="n">
        <v>0</v>
      </c>
      <c r="N2309" s="13">
        <f>SUM(E2309:M2309)</f>
        <v/>
      </c>
    </row>
    <row r="2310">
      <c r="A2310" s="5">
        <f>IF(AND(C2310&gt;=Options!$B$9,C2310&lt;=Options!$B$10),"Boston","")</f>
        <v/>
      </c>
      <c r="B2310" s="5">
        <f>IF(A2310="","",18)</f>
        <v/>
      </c>
      <c r="C2310" s="17" t="n">
        <v>46411</v>
      </c>
      <c r="D2310" s="5">
        <f>IF(A2310="","",IF(C2310=DATE(2026,11,29),"培训；注册午餐；早餐参数",IF(C2310=DATE(2026,11,30),"培训；注册午餐",IF(C2310=DATE(2026,12,1),"培训；注册午餐；机构晚餐",IF(C2310=Options!$B$9,"抵达；"&amp;IF(C2310=DATE(2026,11,28),"机构晚餐","无统一供餐"),IF(C2310=Options!$B$10,"返程；"&amp;IF(C2310=DATE(2026,12,2),"机构午餐","无统一供餐"),"差旅状态；无统一日程"))))))</f>
        <v/>
      </c>
      <c r="E2310" s="13">
        <f>IF(C2310=Options!$B$9,Options!$C$20,0)</f>
        <v/>
      </c>
      <c r="F2310" s="13">
        <f>IF(AND(A2310&lt;&gt;"",C2310&lt;Options!$B$10),B2310*Options!$X$8,0)</f>
        <v/>
      </c>
      <c r="G2310" s="13">
        <f>F2310*12%</f>
        <v/>
      </c>
      <c r="H2310" s="13">
        <f>IF(A2310="",0,B2310*(92*IF(OR(C2310=Options!$B$9,C2310=Options!$B$10),75%,100%)-IF(C2310=DATE(2026,11,29),26+IF(Options!$B$8="是",23,0),0)-IF(C2310=DATE(2026,11,30),26,0)-IF(C2310=DATE(2026,12,1),64,0)-IF(C2310=DATE(2026,11,28),38,0)-IF(C2310=DATE(2026,12,2),26,0)))</f>
        <v/>
      </c>
      <c r="I2310" s="13">
        <f>IF(AND(C2310&gt;=DATE(2026,11,29),C2310&lt;=DATE(2026,12,1)),B2310*60,0)</f>
        <v/>
      </c>
      <c r="J2310" s="13">
        <f>IF(A2310="",0,B2310*(IF(C2310=DATE(2026,11,28),38,0)+IF(C2310=DATE(2026,12,1),38,0)+IF(C2310=DATE(2026,12,2),26,0)))</f>
        <v/>
      </c>
      <c r="K2310" s="13">
        <f>IF(C2310=Options!$B$9,B2310*12,0)</f>
        <v/>
      </c>
      <c r="L2310" s="13">
        <f>IF(C2310=Options!$B$9,B2310*Options!$Z$8,0)</f>
        <v/>
      </c>
      <c r="M2310" s="13" t="n">
        <v>0</v>
      </c>
      <c r="N2310" s="13">
        <f>SUM(E2310:M2310)</f>
        <v/>
      </c>
    </row>
    <row r="2311">
      <c r="A2311" s="5">
        <f>IF(AND(C2311&gt;=Options!$B$9,C2311&lt;=Options!$B$10),"Boston","")</f>
        <v/>
      </c>
      <c r="B2311" s="5">
        <f>IF(A2311="","",18)</f>
        <v/>
      </c>
      <c r="C2311" s="17" t="n">
        <v>46412</v>
      </c>
      <c r="D2311" s="5">
        <f>IF(A2311="","",IF(C2311=DATE(2026,11,29),"培训；注册午餐；早餐参数",IF(C2311=DATE(2026,11,30),"培训；注册午餐",IF(C2311=DATE(2026,12,1),"培训；注册午餐；机构晚餐",IF(C2311=Options!$B$9,"抵达；"&amp;IF(C2311=DATE(2026,11,28),"机构晚餐","无统一供餐"),IF(C2311=Options!$B$10,"返程；"&amp;IF(C2311=DATE(2026,12,2),"机构午餐","无统一供餐"),"差旅状态；无统一日程"))))))</f>
        <v/>
      </c>
      <c r="E2311" s="13">
        <f>IF(C2311=Options!$B$9,Options!$C$20,0)</f>
        <v/>
      </c>
      <c r="F2311" s="13">
        <f>IF(AND(A2311&lt;&gt;"",C2311&lt;Options!$B$10),B2311*Options!$X$8,0)</f>
        <v/>
      </c>
      <c r="G2311" s="13">
        <f>F2311*12%</f>
        <v/>
      </c>
      <c r="H2311" s="13">
        <f>IF(A2311="",0,B2311*(92*IF(OR(C2311=Options!$B$9,C2311=Options!$B$10),75%,100%)-IF(C2311=DATE(2026,11,29),26+IF(Options!$B$8="是",23,0),0)-IF(C2311=DATE(2026,11,30),26,0)-IF(C2311=DATE(2026,12,1),64,0)-IF(C2311=DATE(2026,11,28),38,0)-IF(C2311=DATE(2026,12,2),26,0)))</f>
        <v/>
      </c>
      <c r="I2311" s="13">
        <f>IF(AND(C2311&gt;=DATE(2026,11,29),C2311&lt;=DATE(2026,12,1)),B2311*60,0)</f>
        <v/>
      </c>
      <c r="J2311" s="13">
        <f>IF(A2311="",0,B2311*(IF(C2311=DATE(2026,11,28),38,0)+IF(C2311=DATE(2026,12,1),38,0)+IF(C2311=DATE(2026,12,2),26,0)))</f>
        <v/>
      </c>
      <c r="K2311" s="13">
        <f>IF(C2311=Options!$B$9,B2311*12,0)</f>
        <v/>
      </c>
      <c r="L2311" s="13">
        <f>IF(C2311=Options!$B$9,B2311*Options!$Z$8,0)</f>
        <v/>
      </c>
      <c r="M2311" s="13" t="n">
        <v>0</v>
      </c>
      <c r="N2311" s="13">
        <f>SUM(E2311:M2311)</f>
        <v/>
      </c>
    </row>
    <row r="2312">
      <c r="A2312" s="5">
        <f>IF(AND(C2312&gt;=Options!$B$9,C2312&lt;=Options!$B$10),"Boston","")</f>
        <v/>
      </c>
      <c r="B2312" s="5">
        <f>IF(A2312="","",18)</f>
        <v/>
      </c>
      <c r="C2312" s="17" t="n">
        <v>46413</v>
      </c>
      <c r="D2312" s="5">
        <f>IF(A2312="","",IF(C2312=DATE(2026,11,29),"培训；注册午餐；早餐参数",IF(C2312=DATE(2026,11,30),"培训；注册午餐",IF(C2312=DATE(2026,12,1),"培训；注册午餐；机构晚餐",IF(C2312=Options!$B$9,"抵达；"&amp;IF(C2312=DATE(2026,11,28),"机构晚餐","无统一供餐"),IF(C2312=Options!$B$10,"返程；"&amp;IF(C2312=DATE(2026,12,2),"机构午餐","无统一供餐"),"差旅状态；无统一日程"))))))</f>
        <v/>
      </c>
      <c r="E2312" s="13">
        <f>IF(C2312=Options!$B$9,Options!$C$20,0)</f>
        <v/>
      </c>
      <c r="F2312" s="13">
        <f>IF(AND(A2312&lt;&gt;"",C2312&lt;Options!$B$10),B2312*Options!$X$8,0)</f>
        <v/>
      </c>
      <c r="G2312" s="13">
        <f>F2312*12%</f>
        <v/>
      </c>
      <c r="H2312" s="13">
        <f>IF(A2312="",0,B2312*(92*IF(OR(C2312=Options!$B$9,C2312=Options!$B$10),75%,100%)-IF(C2312=DATE(2026,11,29),26+IF(Options!$B$8="是",23,0),0)-IF(C2312=DATE(2026,11,30),26,0)-IF(C2312=DATE(2026,12,1),64,0)-IF(C2312=DATE(2026,11,28),38,0)-IF(C2312=DATE(2026,12,2),26,0)))</f>
        <v/>
      </c>
      <c r="I2312" s="13">
        <f>IF(AND(C2312&gt;=DATE(2026,11,29),C2312&lt;=DATE(2026,12,1)),B2312*60,0)</f>
        <v/>
      </c>
      <c r="J2312" s="13">
        <f>IF(A2312="",0,B2312*(IF(C2312=DATE(2026,11,28),38,0)+IF(C2312=DATE(2026,12,1),38,0)+IF(C2312=DATE(2026,12,2),26,0)))</f>
        <v/>
      </c>
      <c r="K2312" s="13">
        <f>IF(C2312=Options!$B$9,B2312*12,0)</f>
        <v/>
      </c>
      <c r="L2312" s="13">
        <f>IF(C2312=Options!$B$9,B2312*Options!$Z$8,0)</f>
        <v/>
      </c>
      <c r="M2312" s="13" t="n">
        <v>0</v>
      </c>
      <c r="N2312" s="13">
        <f>SUM(E2312:M2312)</f>
        <v/>
      </c>
    </row>
    <row r="2313">
      <c r="A2313" s="5">
        <f>IF(AND(C2313&gt;=Options!$B$9,C2313&lt;=Options!$B$10),"Boston","")</f>
        <v/>
      </c>
      <c r="B2313" s="5">
        <f>IF(A2313="","",18)</f>
        <v/>
      </c>
      <c r="C2313" s="17" t="n">
        <v>46414</v>
      </c>
      <c r="D2313" s="5">
        <f>IF(A2313="","",IF(C2313=DATE(2026,11,29),"培训；注册午餐；早餐参数",IF(C2313=DATE(2026,11,30),"培训；注册午餐",IF(C2313=DATE(2026,12,1),"培训；注册午餐；机构晚餐",IF(C2313=Options!$B$9,"抵达；"&amp;IF(C2313=DATE(2026,11,28),"机构晚餐","无统一供餐"),IF(C2313=Options!$B$10,"返程；"&amp;IF(C2313=DATE(2026,12,2),"机构午餐","无统一供餐"),"差旅状态；无统一日程"))))))</f>
        <v/>
      </c>
      <c r="E2313" s="13">
        <f>IF(C2313=Options!$B$9,Options!$C$20,0)</f>
        <v/>
      </c>
      <c r="F2313" s="13">
        <f>IF(AND(A2313&lt;&gt;"",C2313&lt;Options!$B$10),B2313*Options!$X$8,0)</f>
        <v/>
      </c>
      <c r="G2313" s="13">
        <f>F2313*12%</f>
        <v/>
      </c>
      <c r="H2313" s="13">
        <f>IF(A2313="",0,B2313*(92*IF(OR(C2313=Options!$B$9,C2313=Options!$B$10),75%,100%)-IF(C2313=DATE(2026,11,29),26+IF(Options!$B$8="是",23,0),0)-IF(C2313=DATE(2026,11,30),26,0)-IF(C2313=DATE(2026,12,1),64,0)-IF(C2313=DATE(2026,11,28),38,0)-IF(C2313=DATE(2026,12,2),26,0)))</f>
        <v/>
      </c>
      <c r="I2313" s="13">
        <f>IF(AND(C2313&gt;=DATE(2026,11,29),C2313&lt;=DATE(2026,12,1)),B2313*60,0)</f>
        <v/>
      </c>
      <c r="J2313" s="13">
        <f>IF(A2313="",0,B2313*(IF(C2313=DATE(2026,11,28),38,0)+IF(C2313=DATE(2026,12,1),38,0)+IF(C2313=DATE(2026,12,2),26,0)))</f>
        <v/>
      </c>
      <c r="K2313" s="13">
        <f>IF(C2313=Options!$B$9,B2313*12,0)</f>
        <v/>
      </c>
      <c r="L2313" s="13">
        <f>IF(C2313=Options!$B$9,B2313*Options!$Z$8,0)</f>
        <v/>
      </c>
      <c r="M2313" s="13" t="n">
        <v>0</v>
      </c>
      <c r="N2313" s="13">
        <f>SUM(E2313:M2313)</f>
        <v/>
      </c>
    </row>
    <row r="2314">
      <c r="A2314" s="5">
        <f>IF(AND(C2314&gt;=Options!$B$9,C2314&lt;=Options!$B$10),"Boston","")</f>
        <v/>
      </c>
      <c r="B2314" s="5">
        <f>IF(A2314="","",18)</f>
        <v/>
      </c>
      <c r="C2314" s="17" t="n">
        <v>46415</v>
      </c>
      <c r="D2314" s="5">
        <f>IF(A2314="","",IF(C2314=DATE(2026,11,29),"培训；注册午餐；早餐参数",IF(C2314=DATE(2026,11,30),"培训；注册午餐",IF(C2314=DATE(2026,12,1),"培训；注册午餐；机构晚餐",IF(C2314=Options!$B$9,"抵达；"&amp;IF(C2314=DATE(2026,11,28),"机构晚餐","无统一供餐"),IF(C2314=Options!$B$10,"返程；"&amp;IF(C2314=DATE(2026,12,2),"机构午餐","无统一供餐"),"差旅状态；无统一日程"))))))</f>
        <v/>
      </c>
      <c r="E2314" s="13">
        <f>IF(C2314=Options!$B$9,Options!$C$20,0)</f>
        <v/>
      </c>
      <c r="F2314" s="13">
        <f>IF(AND(A2314&lt;&gt;"",C2314&lt;Options!$B$10),B2314*Options!$X$8,0)</f>
        <v/>
      </c>
      <c r="G2314" s="13">
        <f>F2314*12%</f>
        <v/>
      </c>
      <c r="H2314" s="13">
        <f>IF(A2314="",0,B2314*(92*IF(OR(C2314=Options!$B$9,C2314=Options!$B$10),75%,100%)-IF(C2314=DATE(2026,11,29),26+IF(Options!$B$8="是",23,0),0)-IF(C2314=DATE(2026,11,30),26,0)-IF(C2314=DATE(2026,12,1),64,0)-IF(C2314=DATE(2026,11,28),38,0)-IF(C2314=DATE(2026,12,2),26,0)))</f>
        <v/>
      </c>
      <c r="I2314" s="13">
        <f>IF(AND(C2314&gt;=DATE(2026,11,29),C2314&lt;=DATE(2026,12,1)),B2314*60,0)</f>
        <v/>
      </c>
      <c r="J2314" s="13">
        <f>IF(A2314="",0,B2314*(IF(C2314=DATE(2026,11,28),38,0)+IF(C2314=DATE(2026,12,1),38,0)+IF(C2314=DATE(2026,12,2),26,0)))</f>
        <v/>
      </c>
      <c r="K2314" s="13">
        <f>IF(C2314=Options!$B$9,B2314*12,0)</f>
        <v/>
      </c>
      <c r="L2314" s="13">
        <f>IF(C2314=Options!$B$9,B2314*Options!$Z$8,0)</f>
        <v/>
      </c>
      <c r="M2314" s="13" t="n">
        <v>0</v>
      </c>
      <c r="N2314" s="13">
        <f>SUM(E2314:M2314)</f>
        <v/>
      </c>
    </row>
    <row r="2315">
      <c r="A2315" s="5">
        <f>IF(AND(C2315&gt;=Options!$B$9,C2315&lt;=Options!$B$10),"Boston","")</f>
        <v/>
      </c>
      <c r="B2315" s="5">
        <f>IF(A2315="","",18)</f>
        <v/>
      </c>
      <c r="C2315" s="17" t="n">
        <v>46416</v>
      </c>
      <c r="D2315" s="5">
        <f>IF(A2315="","",IF(C2315=DATE(2026,11,29),"培训；注册午餐；早餐参数",IF(C2315=DATE(2026,11,30),"培训；注册午餐",IF(C2315=DATE(2026,12,1),"培训；注册午餐；机构晚餐",IF(C2315=Options!$B$9,"抵达；"&amp;IF(C2315=DATE(2026,11,28),"机构晚餐","无统一供餐"),IF(C2315=Options!$B$10,"返程；"&amp;IF(C2315=DATE(2026,12,2),"机构午餐","无统一供餐"),"差旅状态；无统一日程"))))))</f>
        <v/>
      </c>
      <c r="E2315" s="13">
        <f>IF(C2315=Options!$B$9,Options!$C$20,0)</f>
        <v/>
      </c>
      <c r="F2315" s="13">
        <f>IF(AND(A2315&lt;&gt;"",C2315&lt;Options!$B$10),B2315*Options!$X$8,0)</f>
        <v/>
      </c>
      <c r="G2315" s="13">
        <f>F2315*12%</f>
        <v/>
      </c>
      <c r="H2315" s="13">
        <f>IF(A2315="",0,B2315*(92*IF(OR(C2315=Options!$B$9,C2315=Options!$B$10),75%,100%)-IF(C2315=DATE(2026,11,29),26+IF(Options!$B$8="是",23,0),0)-IF(C2315=DATE(2026,11,30),26,0)-IF(C2315=DATE(2026,12,1),64,0)-IF(C2315=DATE(2026,11,28),38,0)-IF(C2315=DATE(2026,12,2),26,0)))</f>
        <v/>
      </c>
      <c r="I2315" s="13">
        <f>IF(AND(C2315&gt;=DATE(2026,11,29),C2315&lt;=DATE(2026,12,1)),B2315*60,0)</f>
        <v/>
      </c>
      <c r="J2315" s="13">
        <f>IF(A2315="",0,B2315*(IF(C2315=DATE(2026,11,28),38,0)+IF(C2315=DATE(2026,12,1),38,0)+IF(C2315=DATE(2026,12,2),26,0)))</f>
        <v/>
      </c>
      <c r="K2315" s="13">
        <f>IF(C2315=Options!$B$9,B2315*12,0)</f>
        <v/>
      </c>
      <c r="L2315" s="13">
        <f>IF(C2315=Options!$B$9,B2315*Options!$Z$8,0)</f>
        <v/>
      </c>
      <c r="M2315" s="13" t="n">
        <v>0</v>
      </c>
      <c r="N2315" s="13">
        <f>SUM(E2315:M2315)</f>
        <v/>
      </c>
    </row>
    <row r="2316">
      <c r="A2316" s="5">
        <f>IF(AND(C2316&gt;=Options!$B$9,C2316&lt;=Options!$B$10),"Boston","")</f>
        <v/>
      </c>
      <c r="B2316" s="5">
        <f>IF(A2316="","",18)</f>
        <v/>
      </c>
      <c r="C2316" s="17" t="n">
        <v>46417</v>
      </c>
      <c r="D2316" s="5">
        <f>IF(A2316="","",IF(C2316=DATE(2026,11,29),"培训；注册午餐；早餐参数",IF(C2316=DATE(2026,11,30),"培训；注册午餐",IF(C2316=DATE(2026,12,1),"培训；注册午餐；机构晚餐",IF(C2316=Options!$B$9,"抵达；"&amp;IF(C2316=DATE(2026,11,28),"机构晚餐","无统一供餐"),IF(C2316=Options!$B$10,"返程；"&amp;IF(C2316=DATE(2026,12,2),"机构午餐","无统一供餐"),"差旅状态；无统一日程"))))))</f>
        <v/>
      </c>
      <c r="E2316" s="13">
        <f>IF(C2316=Options!$B$9,Options!$C$20,0)</f>
        <v/>
      </c>
      <c r="F2316" s="13">
        <f>IF(AND(A2316&lt;&gt;"",C2316&lt;Options!$B$10),B2316*Options!$X$8,0)</f>
        <v/>
      </c>
      <c r="G2316" s="13">
        <f>F2316*12%</f>
        <v/>
      </c>
      <c r="H2316" s="13">
        <f>IF(A2316="",0,B2316*(92*IF(OR(C2316=Options!$B$9,C2316=Options!$B$10),75%,100%)-IF(C2316=DATE(2026,11,29),26+IF(Options!$B$8="是",23,0),0)-IF(C2316=DATE(2026,11,30),26,0)-IF(C2316=DATE(2026,12,1),64,0)-IF(C2316=DATE(2026,11,28),38,0)-IF(C2316=DATE(2026,12,2),26,0)))</f>
        <v/>
      </c>
      <c r="I2316" s="13">
        <f>IF(AND(C2316&gt;=DATE(2026,11,29),C2316&lt;=DATE(2026,12,1)),B2316*60,0)</f>
        <v/>
      </c>
      <c r="J2316" s="13">
        <f>IF(A2316="",0,B2316*(IF(C2316=DATE(2026,11,28),38,0)+IF(C2316=DATE(2026,12,1),38,0)+IF(C2316=DATE(2026,12,2),26,0)))</f>
        <v/>
      </c>
      <c r="K2316" s="13">
        <f>IF(C2316=Options!$B$9,B2316*12,0)</f>
        <v/>
      </c>
      <c r="L2316" s="13">
        <f>IF(C2316=Options!$B$9,B2316*Options!$Z$8,0)</f>
        <v/>
      </c>
      <c r="M2316" s="13" t="n">
        <v>0</v>
      </c>
      <c r="N2316" s="13">
        <f>SUM(E2316:M2316)</f>
        <v/>
      </c>
    </row>
    <row r="2317">
      <c r="A2317" s="5">
        <f>IF(AND(C2317&gt;=Options!$B$9,C2317&lt;=Options!$B$10),"Boston","")</f>
        <v/>
      </c>
      <c r="B2317" s="5">
        <f>IF(A2317="","",18)</f>
        <v/>
      </c>
      <c r="C2317" s="17" t="n">
        <v>46418</v>
      </c>
      <c r="D2317" s="5">
        <f>IF(A2317="","",IF(C2317=DATE(2026,11,29),"培训；注册午餐；早餐参数",IF(C2317=DATE(2026,11,30),"培训；注册午餐",IF(C2317=DATE(2026,12,1),"培训；注册午餐；机构晚餐",IF(C2317=Options!$B$9,"抵达；"&amp;IF(C2317=DATE(2026,11,28),"机构晚餐","无统一供餐"),IF(C2317=Options!$B$10,"返程；"&amp;IF(C2317=DATE(2026,12,2),"机构午餐","无统一供餐"),"差旅状态；无统一日程"))))))</f>
        <v/>
      </c>
      <c r="E2317" s="13">
        <f>IF(C2317=Options!$B$9,Options!$C$20,0)</f>
        <v/>
      </c>
      <c r="F2317" s="13">
        <f>IF(AND(A2317&lt;&gt;"",C2317&lt;Options!$B$10),B2317*Options!$X$8,0)</f>
        <v/>
      </c>
      <c r="G2317" s="13">
        <f>F2317*12%</f>
        <v/>
      </c>
      <c r="H2317" s="13">
        <f>IF(A2317="",0,B2317*(92*IF(OR(C2317=Options!$B$9,C2317=Options!$B$10),75%,100%)-IF(C2317=DATE(2026,11,29),26+IF(Options!$B$8="是",23,0),0)-IF(C2317=DATE(2026,11,30),26,0)-IF(C2317=DATE(2026,12,1),64,0)-IF(C2317=DATE(2026,11,28),38,0)-IF(C2317=DATE(2026,12,2),26,0)))</f>
        <v/>
      </c>
      <c r="I2317" s="13">
        <f>IF(AND(C2317&gt;=DATE(2026,11,29),C2317&lt;=DATE(2026,12,1)),B2317*60,0)</f>
        <v/>
      </c>
      <c r="J2317" s="13">
        <f>IF(A2317="",0,B2317*(IF(C2317=DATE(2026,11,28),38,0)+IF(C2317=DATE(2026,12,1),38,0)+IF(C2317=DATE(2026,12,2),26,0)))</f>
        <v/>
      </c>
      <c r="K2317" s="13">
        <f>IF(C2317=Options!$B$9,B2317*12,0)</f>
        <v/>
      </c>
      <c r="L2317" s="13">
        <f>IF(C2317=Options!$B$9,B2317*Options!$Z$8,0)</f>
        <v/>
      </c>
      <c r="M2317" s="13" t="n">
        <v>0</v>
      </c>
      <c r="N2317" s="13">
        <f>SUM(E2317:M2317)</f>
        <v/>
      </c>
    </row>
    <row r="2318">
      <c r="A2318" s="5">
        <f>IF(AND(C2318&gt;=Options!$B$9,C2318&lt;=Options!$B$10),"Boston","")</f>
        <v/>
      </c>
      <c r="B2318" s="5">
        <f>IF(A2318="","",18)</f>
        <v/>
      </c>
      <c r="C2318" s="17" t="n">
        <v>46419</v>
      </c>
      <c r="D2318" s="5">
        <f>IF(A2318="","",IF(C2318=DATE(2026,11,29),"培训；注册午餐；早餐参数",IF(C2318=DATE(2026,11,30),"培训；注册午餐",IF(C2318=DATE(2026,12,1),"培训；注册午餐；机构晚餐",IF(C2318=Options!$B$9,"抵达；"&amp;IF(C2318=DATE(2026,11,28),"机构晚餐","无统一供餐"),IF(C2318=Options!$B$10,"返程；"&amp;IF(C2318=DATE(2026,12,2),"机构午餐","无统一供餐"),"差旅状态；无统一日程"))))))</f>
        <v/>
      </c>
      <c r="E2318" s="13">
        <f>IF(C2318=Options!$B$9,Options!$C$20,0)</f>
        <v/>
      </c>
      <c r="F2318" s="13">
        <f>IF(AND(A2318&lt;&gt;"",C2318&lt;Options!$B$10),B2318*Options!$X$8,0)</f>
        <v/>
      </c>
      <c r="G2318" s="13">
        <f>F2318*12%</f>
        <v/>
      </c>
      <c r="H2318" s="13">
        <f>IF(A2318="",0,B2318*(92*IF(OR(C2318=Options!$B$9,C2318=Options!$B$10),75%,100%)-IF(C2318=DATE(2026,11,29),26+IF(Options!$B$8="是",23,0),0)-IF(C2318=DATE(2026,11,30),26,0)-IF(C2318=DATE(2026,12,1),64,0)-IF(C2318=DATE(2026,11,28),38,0)-IF(C2318=DATE(2026,12,2),26,0)))</f>
        <v/>
      </c>
      <c r="I2318" s="13">
        <f>IF(AND(C2318&gt;=DATE(2026,11,29),C2318&lt;=DATE(2026,12,1)),B2318*60,0)</f>
        <v/>
      </c>
      <c r="J2318" s="13">
        <f>IF(A2318="",0,B2318*(IF(C2318=DATE(2026,11,28),38,0)+IF(C2318=DATE(2026,12,1),38,0)+IF(C2318=DATE(2026,12,2),26,0)))</f>
        <v/>
      </c>
      <c r="K2318" s="13">
        <f>IF(C2318=Options!$B$9,B2318*12,0)</f>
        <v/>
      </c>
      <c r="L2318" s="13">
        <f>IF(C2318=Options!$B$9,B2318*Options!$Z$8,0)</f>
        <v/>
      </c>
      <c r="M2318" s="13" t="n">
        <v>0</v>
      </c>
      <c r="N2318" s="13">
        <f>SUM(E2318:M2318)</f>
        <v/>
      </c>
    </row>
    <row r="2319">
      <c r="A2319" s="5">
        <f>IF(AND(C2319&gt;=Options!$B$9,C2319&lt;=Options!$B$10),"Boston","")</f>
        <v/>
      </c>
      <c r="B2319" s="5">
        <f>IF(A2319="","",18)</f>
        <v/>
      </c>
      <c r="C2319" s="17" t="n">
        <v>46420</v>
      </c>
      <c r="D2319" s="5">
        <f>IF(A2319="","",IF(C2319=DATE(2026,11,29),"培训；注册午餐；早餐参数",IF(C2319=DATE(2026,11,30),"培训；注册午餐",IF(C2319=DATE(2026,12,1),"培训；注册午餐；机构晚餐",IF(C2319=Options!$B$9,"抵达；"&amp;IF(C2319=DATE(2026,11,28),"机构晚餐","无统一供餐"),IF(C2319=Options!$B$10,"返程；"&amp;IF(C2319=DATE(2026,12,2),"机构午餐","无统一供餐"),"差旅状态；无统一日程"))))))</f>
        <v/>
      </c>
      <c r="E2319" s="13">
        <f>IF(C2319=Options!$B$9,Options!$C$20,0)</f>
        <v/>
      </c>
      <c r="F2319" s="13">
        <f>IF(AND(A2319&lt;&gt;"",C2319&lt;Options!$B$10),B2319*Options!$X$8,0)</f>
        <v/>
      </c>
      <c r="G2319" s="13">
        <f>F2319*12%</f>
        <v/>
      </c>
      <c r="H2319" s="13">
        <f>IF(A2319="",0,B2319*(92*IF(OR(C2319=Options!$B$9,C2319=Options!$B$10),75%,100%)-IF(C2319=DATE(2026,11,29),26+IF(Options!$B$8="是",23,0),0)-IF(C2319=DATE(2026,11,30),26,0)-IF(C2319=DATE(2026,12,1),64,0)-IF(C2319=DATE(2026,11,28),38,0)-IF(C2319=DATE(2026,12,2),26,0)))</f>
        <v/>
      </c>
      <c r="I2319" s="13">
        <f>IF(AND(C2319&gt;=DATE(2026,11,29),C2319&lt;=DATE(2026,12,1)),B2319*60,0)</f>
        <v/>
      </c>
      <c r="J2319" s="13">
        <f>IF(A2319="",0,B2319*(IF(C2319=DATE(2026,11,28),38,0)+IF(C2319=DATE(2026,12,1),38,0)+IF(C2319=DATE(2026,12,2),26,0)))</f>
        <v/>
      </c>
      <c r="K2319" s="13">
        <f>IF(C2319=Options!$B$9,B2319*12,0)</f>
        <v/>
      </c>
      <c r="L2319" s="13">
        <f>IF(C2319=Options!$B$9,B2319*Options!$Z$8,0)</f>
        <v/>
      </c>
      <c r="M2319" s="13" t="n">
        <v>0</v>
      </c>
      <c r="N2319" s="13">
        <f>SUM(E2319:M2319)</f>
        <v/>
      </c>
    </row>
    <row r="2320">
      <c r="A2320" s="5">
        <f>IF(AND(C2320&gt;=Options!$B$9,C2320&lt;=Options!$B$10),"Boston","")</f>
        <v/>
      </c>
      <c r="B2320" s="5">
        <f>IF(A2320="","",18)</f>
        <v/>
      </c>
      <c r="C2320" s="17" t="n">
        <v>46421</v>
      </c>
      <c r="D2320" s="5">
        <f>IF(A2320="","",IF(C2320=DATE(2026,11,29),"培训；注册午餐；早餐参数",IF(C2320=DATE(2026,11,30),"培训；注册午餐",IF(C2320=DATE(2026,12,1),"培训；注册午餐；机构晚餐",IF(C2320=Options!$B$9,"抵达；"&amp;IF(C2320=DATE(2026,11,28),"机构晚餐","无统一供餐"),IF(C2320=Options!$B$10,"返程；"&amp;IF(C2320=DATE(2026,12,2),"机构午餐","无统一供餐"),"差旅状态；无统一日程"))))))</f>
        <v/>
      </c>
      <c r="E2320" s="13">
        <f>IF(C2320=Options!$B$9,Options!$C$20,0)</f>
        <v/>
      </c>
      <c r="F2320" s="13">
        <f>IF(AND(A2320&lt;&gt;"",C2320&lt;Options!$B$10),B2320*Options!$X$8,0)</f>
        <v/>
      </c>
      <c r="G2320" s="13">
        <f>F2320*12%</f>
        <v/>
      </c>
      <c r="H2320" s="13">
        <f>IF(A2320="",0,B2320*(92*IF(OR(C2320=Options!$B$9,C2320=Options!$B$10),75%,100%)-IF(C2320=DATE(2026,11,29),26+IF(Options!$B$8="是",23,0),0)-IF(C2320=DATE(2026,11,30),26,0)-IF(C2320=DATE(2026,12,1),64,0)-IF(C2320=DATE(2026,11,28),38,0)-IF(C2320=DATE(2026,12,2),26,0)))</f>
        <v/>
      </c>
      <c r="I2320" s="13">
        <f>IF(AND(C2320&gt;=DATE(2026,11,29),C2320&lt;=DATE(2026,12,1)),B2320*60,0)</f>
        <v/>
      </c>
      <c r="J2320" s="13">
        <f>IF(A2320="",0,B2320*(IF(C2320=DATE(2026,11,28),38,0)+IF(C2320=DATE(2026,12,1),38,0)+IF(C2320=DATE(2026,12,2),26,0)))</f>
        <v/>
      </c>
      <c r="K2320" s="13">
        <f>IF(C2320=Options!$B$9,B2320*12,0)</f>
        <v/>
      </c>
      <c r="L2320" s="13">
        <f>IF(C2320=Options!$B$9,B2320*Options!$Z$8,0)</f>
        <v/>
      </c>
      <c r="M2320" s="13" t="n">
        <v>0</v>
      </c>
      <c r="N2320" s="13">
        <f>SUM(E2320:M2320)</f>
        <v/>
      </c>
    </row>
    <row r="2321">
      <c r="A2321" s="5">
        <f>IF(AND(C2321&gt;=Options!$B$9,C2321&lt;=Options!$B$10),"Boston","")</f>
        <v/>
      </c>
      <c r="B2321" s="5">
        <f>IF(A2321="","",18)</f>
        <v/>
      </c>
      <c r="C2321" s="17" t="n">
        <v>46422</v>
      </c>
      <c r="D2321" s="5">
        <f>IF(A2321="","",IF(C2321=DATE(2026,11,29),"培训；注册午餐；早餐参数",IF(C2321=DATE(2026,11,30),"培训；注册午餐",IF(C2321=DATE(2026,12,1),"培训；注册午餐；机构晚餐",IF(C2321=Options!$B$9,"抵达；"&amp;IF(C2321=DATE(2026,11,28),"机构晚餐","无统一供餐"),IF(C2321=Options!$B$10,"返程；"&amp;IF(C2321=DATE(2026,12,2),"机构午餐","无统一供餐"),"差旅状态；无统一日程"))))))</f>
        <v/>
      </c>
      <c r="E2321" s="13">
        <f>IF(C2321=Options!$B$9,Options!$C$20,0)</f>
        <v/>
      </c>
      <c r="F2321" s="13">
        <f>IF(AND(A2321&lt;&gt;"",C2321&lt;Options!$B$10),B2321*Options!$X$8,0)</f>
        <v/>
      </c>
      <c r="G2321" s="13">
        <f>F2321*12%</f>
        <v/>
      </c>
      <c r="H2321" s="13">
        <f>IF(A2321="",0,B2321*(92*IF(OR(C2321=Options!$B$9,C2321=Options!$B$10),75%,100%)-IF(C2321=DATE(2026,11,29),26+IF(Options!$B$8="是",23,0),0)-IF(C2321=DATE(2026,11,30),26,0)-IF(C2321=DATE(2026,12,1),64,0)-IF(C2321=DATE(2026,11,28),38,0)-IF(C2321=DATE(2026,12,2),26,0)))</f>
        <v/>
      </c>
      <c r="I2321" s="13">
        <f>IF(AND(C2321&gt;=DATE(2026,11,29),C2321&lt;=DATE(2026,12,1)),B2321*60,0)</f>
        <v/>
      </c>
      <c r="J2321" s="13">
        <f>IF(A2321="",0,B2321*(IF(C2321=DATE(2026,11,28),38,0)+IF(C2321=DATE(2026,12,1),38,0)+IF(C2321=DATE(2026,12,2),26,0)))</f>
        <v/>
      </c>
      <c r="K2321" s="13">
        <f>IF(C2321=Options!$B$9,B2321*12,0)</f>
        <v/>
      </c>
      <c r="L2321" s="13">
        <f>IF(C2321=Options!$B$9,B2321*Options!$Z$8,0)</f>
        <v/>
      </c>
      <c r="M2321" s="13" t="n">
        <v>0</v>
      </c>
      <c r="N2321" s="13">
        <f>SUM(E2321:M2321)</f>
        <v/>
      </c>
    </row>
    <row r="2322">
      <c r="A2322" s="5">
        <f>IF(AND(C2322&gt;=Options!$B$9,C2322&lt;=Options!$B$10),"Boston","")</f>
        <v/>
      </c>
      <c r="B2322" s="5">
        <f>IF(A2322="","",18)</f>
        <v/>
      </c>
      <c r="C2322" s="17" t="n">
        <v>46423</v>
      </c>
      <c r="D2322" s="5">
        <f>IF(A2322="","",IF(C2322=DATE(2026,11,29),"培训；注册午餐；早餐参数",IF(C2322=DATE(2026,11,30),"培训；注册午餐",IF(C2322=DATE(2026,12,1),"培训；注册午餐；机构晚餐",IF(C2322=Options!$B$9,"抵达；"&amp;IF(C2322=DATE(2026,11,28),"机构晚餐","无统一供餐"),IF(C2322=Options!$B$10,"返程；"&amp;IF(C2322=DATE(2026,12,2),"机构午餐","无统一供餐"),"差旅状态；无统一日程"))))))</f>
        <v/>
      </c>
      <c r="E2322" s="13">
        <f>IF(C2322=Options!$B$9,Options!$C$20,0)</f>
        <v/>
      </c>
      <c r="F2322" s="13">
        <f>IF(AND(A2322&lt;&gt;"",C2322&lt;Options!$B$10),B2322*Options!$X$8,0)</f>
        <v/>
      </c>
      <c r="G2322" s="13">
        <f>F2322*12%</f>
        <v/>
      </c>
      <c r="H2322" s="13">
        <f>IF(A2322="",0,B2322*(92*IF(OR(C2322=Options!$B$9,C2322=Options!$B$10),75%,100%)-IF(C2322=DATE(2026,11,29),26+IF(Options!$B$8="是",23,0),0)-IF(C2322=DATE(2026,11,30),26,0)-IF(C2322=DATE(2026,12,1),64,0)-IF(C2322=DATE(2026,11,28),38,0)-IF(C2322=DATE(2026,12,2),26,0)))</f>
        <v/>
      </c>
      <c r="I2322" s="13">
        <f>IF(AND(C2322&gt;=DATE(2026,11,29),C2322&lt;=DATE(2026,12,1)),B2322*60,0)</f>
        <v/>
      </c>
      <c r="J2322" s="13">
        <f>IF(A2322="",0,B2322*(IF(C2322=DATE(2026,11,28),38,0)+IF(C2322=DATE(2026,12,1),38,0)+IF(C2322=DATE(2026,12,2),26,0)))</f>
        <v/>
      </c>
      <c r="K2322" s="13">
        <f>IF(C2322=Options!$B$9,B2322*12,0)</f>
        <v/>
      </c>
      <c r="L2322" s="13">
        <f>IF(C2322=Options!$B$9,B2322*Options!$Z$8,0)</f>
        <v/>
      </c>
      <c r="M2322" s="13" t="n">
        <v>0</v>
      </c>
      <c r="N2322" s="13">
        <f>SUM(E2322:M2322)</f>
        <v/>
      </c>
    </row>
    <row r="2323">
      <c r="A2323" s="5">
        <f>IF(AND(C2323&gt;=Options!$B$9,C2323&lt;=Options!$B$10),"Boston","")</f>
        <v/>
      </c>
      <c r="B2323" s="5">
        <f>IF(A2323="","",18)</f>
        <v/>
      </c>
      <c r="C2323" s="17" t="n">
        <v>46424</v>
      </c>
      <c r="D2323" s="5">
        <f>IF(A2323="","",IF(C2323=DATE(2026,11,29),"培训；注册午餐；早餐参数",IF(C2323=DATE(2026,11,30),"培训；注册午餐",IF(C2323=DATE(2026,12,1),"培训；注册午餐；机构晚餐",IF(C2323=Options!$B$9,"抵达；"&amp;IF(C2323=DATE(2026,11,28),"机构晚餐","无统一供餐"),IF(C2323=Options!$B$10,"返程；"&amp;IF(C2323=DATE(2026,12,2),"机构午餐","无统一供餐"),"差旅状态；无统一日程"))))))</f>
        <v/>
      </c>
      <c r="E2323" s="13">
        <f>IF(C2323=Options!$B$9,Options!$C$20,0)</f>
        <v/>
      </c>
      <c r="F2323" s="13">
        <f>IF(AND(A2323&lt;&gt;"",C2323&lt;Options!$B$10),B2323*Options!$X$8,0)</f>
        <v/>
      </c>
      <c r="G2323" s="13">
        <f>F2323*12%</f>
        <v/>
      </c>
      <c r="H2323" s="13">
        <f>IF(A2323="",0,B2323*(92*IF(OR(C2323=Options!$B$9,C2323=Options!$B$10),75%,100%)-IF(C2323=DATE(2026,11,29),26+IF(Options!$B$8="是",23,0),0)-IF(C2323=DATE(2026,11,30),26,0)-IF(C2323=DATE(2026,12,1),64,0)-IF(C2323=DATE(2026,11,28),38,0)-IF(C2323=DATE(2026,12,2),26,0)))</f>
        <v/>
      </c>
      <c r="I2323" s="13">
        <f>IF(AND(C2323&gt;=DATE(2026,11,29),C2323&lt;=DATE(2026,12,1)),B2323*60,0)</f>
        <v/>
      </c>
      <c r="J2323" s="13">
        <f>IF(A2323="",0,B2323*(IF(C2323=DATE(2026,11,28),38,0)+IF(C2323=DATE(2026,12,1),38,0)+IF(C2323=DATE(2026,12,2),26,0)))</f>
        <v/>
      </c>
      <c r="K2323" s="13">
        <f>IF(C2323=Options!$B$9,B2323*12,0)</f>
        <v/>
      </c>
      <c r="L2323" s="13">
        <f>IF(C2323=Options!$B$9,B2323*Options!$Z$8,0)</f>
        <v/>
      </c>
      <c r="M2323" s="13" t="n">
        <v>0</v>
      </c>
      <c r="N2323" s="13">
        <f>SUM(E2323:M2323)</f>
        <v/>
      </c>
    </row>
    <row r="2324">
      <c r="A2324" s="5">
        <f>IF(AND(C2324&gt;=Options!$B$9,C2324&lt;=Options!$B$10),"Boston","")</f>
        <v/>
      </c>
      <c r="B2324" s="5">
        <f>IF(A2324="","",18)</f>
        <v/>
      </c>
      <c r="C2324" s="17" t="n">
        <v>46425</v>
      </c>
      <c r="D2324" s="5">
        <f>IF(A2324="","",IF(C2324=DATE(2026,11,29),"培训；注册午餐；早餐参数",IF(C2324=DATE(2026,11,30),"培训；注册午餐",IF(C2324=DATE(2026,12,1),"培训；注册午餐；机构晚餐",IF(C2324=Options!$B$9,"抵达；"&amp;IF(C2324=DATE(2026,11,28),"机构晚餐","无统一供餐"),IF(C2324=Options!$B$10,"返程；"&amp;IF(C2324=DATE(2026,12,2),"机构午餐","无统一供餐"),"差旅状态；无统一日程"))))))</f>
        <v/>
      </c>
      <c r="E2324" s="13">
        <f>IF(C2324=Options!$B$9,Options!$C$20,0)</f>
        <v/>
      </c>
      <c r="F2324" s="13">
        <f>IF(AND(A2324&lt;&gt;"",C2324&lt;Options!$B$10),B2324*Options!$X$8,0)</f>
        <v/>
      </c>
      <c r="G2324" s="13">
        <f>F2324*12%</f>
        <v/>
      </c>
      <c r="H2324" s="13">
        <f>IF(A2324="",0,B2324*(92*IF(OR(C2324=Options!$B$9,C2324=Options!$B$10),75%,100%)-IF(C2324=DATE(2026,11,29),26+IF(Options!$B$8="是",23,0),0)-IF(C2324=DATE(2026,11,30),26,0)-IF(C2324=DATE(2026,12,1),64,0)-IF(C2324=DATE(2026,11,28),38,0)-IF(C2324=DATE(2026,12,2),26,0)))</f>
        <v/>
      </c>
      <c r="I2324" s="13">
        <f>IF(AND(C2324&gt;=DATE(2026,11,29),C2324&lt;=DATE(2026,12,1)),B2324*60,0)</f>
        <v/>
      </c>
      <c r="J2324" s="13">
        <f>IF(A2324="",0,B2324*(IF(C2324=DATE(2026,11,28),38,0)+IF(C2324=DATE(2026,12,1),38,0)+IF(C2324=DATE(2026,12,2),26,0)))</f>
        <v/>
      </c>
      <c r="K2324" s="13">
        <f>IF(C2324=Options!$B$9,B2324*12,0)</f>
        <v/>
      </c>
      <c r="L2324" s="13">
        <f>IF(C2324=Options!$B$9,B2324*Options!$Z$8,0)</f>
        <v/>
      </c>
      <c r="M2324" s="13" t="n">
        <v>0</v>
      </c>
      <c r="N2324" s="13">
        <f>SUM(E2324:M2324)</f>
        <v/>
      </c>
    </row>
    <row r="2325">
      <c r="A2325" s="5">
        <f>IF(AND(C2325&gt;=Options!$B$9,C2325&lt;=Options!$B$10),"Boston","")</f>
        <v/>
      </c>
      <c r="B2325" s="5">
        <f>IF(A2325="","",18)</f>
        <v/>
      </c>
      <c r="C2325" s="17" t="n">
        <v>46426</v>
      </c>
      <c r="D2325" s="5">
        <f>IF(A2325="","",IF(C2325=DATE(2026,11,29),"培训；注册午餐；早餐参数",IF(C2325=DATE(2026,11,30),"培训；注册午餐",IF(C2325=DATE(2026,12,1),"培训；注册午餐；机构晚餐",IF(C2325=Options!$B$9,"抵达；"&amp;IF(C2325=DATE(2026,11,28),"机构晚餐","无统一供餐"),IF(C2325=Options!$B$10,"返程；"&amp;IF(C2325=DATE(2026,12,2),"机构午餐","无统一供餐"),"差旅状态；无统一日程"))))))</f>
        <v/>
      </c>
      <c r="E2325" s="13">
        <f>IF(C2325=Options!$B$9,Options!$C$20,0)</f>
        <v/>
      </c>
      <c r="F2325" s="13">
        <f>IF(AND(A2325&lt;&gt;"",C2325&lt;Options!$B$10),B2325*Options!$X$8,0)</f>
        <v/>
      </c>
      <c r="G2325" s="13">
        <f>F2325*12%</f>
        <v/>
      </c>
      <c r="H2325" s="13">
        <f>IF(A2325="",0,B2325*(92*IF(OR(C2325=Options!$B$9,C2325=Options!$B$10),75%,100%)-IF(C2325=DATE(2026,11,29),26+IF(Options!$B$8="是",23,0),0)-IF(C2325=DATE(2026,11,30),26,0)-IF(C2325=DATE(2026,12,1),64,0)-IF(C2325=DATE(2026,11,28),38,0)-IF(C2325=DATE(2026,12,2),26,0)))</f>
        <v/>
      </c>
      <c r="I2325" s="13">
        <f>IF(AND(C2325&gt;=DATE(2026,11,29),C2325&lt;=DATE(2026,12,1)),B2325*60,0)</f>
        <v/>
      </c>
      <c r="J2325" s="13">
        <f>IF(A2325="",0,B2325*(IF(C2325=DATE(2026,11,28),38,0)+IF(C2325=DATE(2026,12,1),38,0)+IF(C2325=DATE(2026,12,2),26,0)))</f>
        <v/>
      </c>
      <c r="K2325" s="13">
        <f>IF(C2325=Options!$B$9,B2325*12,0)</f>
        <v/>
      </c>
      <c r="L2325" s="13">
        <f>IF(C2325=Options!$B$9,B2325*Options!$Z$8,0)</f>
        <v/>
      </c>
      <c r="M2325" s="13" t="n">
        <v>0</v>
      </c>
      <c r="N2325" s="13">
        <f>SUM(E2325:M2325)</f>
        <v/>
      </c>
    </row>
    <row r="2326">
      <c r="A2326" s="5">
        <f>IF(AND(C2326&gt;=Options!$B$9,C2326&lt;=Options!$B$10),"Boston","")</f>
        <v/>
      </c>
      <c r="B2326" s="5">
        <f>IF(A2326="","",18)</f>
        <v/>
      </c>
      <c r="C2326" s="17" t="n">
        <v>46427</v>
      </c>
      <c r="D2326" s="5">
        <f>IF(A2326="","",IF(C2326=DATE(2026,11,29),"培训；注册午餐；早餐参数",IF(C2326=DATE(2026,11,30),"培训；注册午餐",IF(C2326=DATE(2026,12,1),"培训；注册午餐；机构晚餐",IF(C2326=Options!$B$9,"抵达；"&amp;IF(C2326=DATE(2026,11,28),"机构晚餐","无统一供餐"),IF(C2326=Options!$B$10,"返程；"&amp;IF(C2326=DATE(2026,12,2),"机构午餐","无统一供餐"),"差旅状态；无统一日程"))))))</f>
        <v/>
      </c>
      <c r="E2326" s="13">
        <f>IF(C2326=Options!$B$9,Options!$C$20,0)</f>
        <v/>
      </c>
      <c r="F2326" s="13">
        <f>IF(AND(A2326&lt;&gt;"",C2326&lt;Options!$B$10),B2326*Options!$X$8,0)</f>
        <v/>
      </c>
      <c r="G2326" s="13">
        <f>F2326*12%</f>
        <v/>
      </c>
      <c r="H2326" s="13">
        <f>IF(A2326="",0,B2326*(92*IF(OR(C2326=Options!$B$9,C2326=Options!$B$10),75%,100%)-IF(C2326=DATE(2026,11,29),26+IF(Options!$B$8="是",23,0),0)-IF(C2326=DATE(2026,11,30),26,0)-IF(C2326=DATE(2026,12,1),64,0)-IF(C2326=DATE(2026,11,28),38,0)-IF(C2326=DATE(2026,12,2),26,0)))</f>
        <v/>
      </c>
      <c r="I2326" s="13">
        <f>IF(AND(C2326&gt;=DATE(2026,11,29),C2326&lt;=DATE(2026,12,1)),B2326*60,0)</f>
        <v/>
      </c>
      <c r="J2326" s="13">
        <f>IF(A2326="",0,B2326*(IF(C2326=DATE(2026,11,28),38,0)+IF(C2326=DATE(2026,12,1),38,0)+IF(C2326=DATE(2026,12,2),26,0)))</f>
        <v/>
      </c>
      <c r="K2326" s="13">
        <f>IF(C2326=Options!$B$9,B2326*12,0)</f>
        <v/>
      </c>
      <c r="L2326" s="13">
        <f>IF(C2326=Options!$B$9,B2326*Options!$Z$8,0)</f>
        <v/>
      </c>
      <c r="M2326" s="13" t="n">
        <v>0</v>
      </c>
      <c r="N2326" s="13">
        <f>SUM(E2326:M2326)</f>
        <v/>
      </c>
    </row>
    <row r="2327">
      <c r="A2327" s="5">
        <f>IF(AND(C2327&gt;=Options!$B$9,C2327&lt;=Options!$B$10),"Boston","")</f>
        <v/>
      </c>
      <c r="B2327" s="5">
        <f>IF(A2327="","",18)</f>
        <v/>
      </c>
      <c r="C2327" s="17" t="n">
        <v>46428</v>
      </c>
      <c r="D2327" s="5">
        <f>IF(A2327="","",IF(C2327=DATE(2026,11,29),"培训；注册午餐；早餐参数",IF(C2327=DATE(2026,11,30),"培训；注册午餐",IF(C2327=DATE(2026,12,1),"培训；注册午餐；机构晚餐",IF(C2327=Options!$B$9,"抵达；"&amp;IF(C2327=DATE(2026,11,28),"机构晚餐","无统一供餐"),IF(C2327=Options!$B$10,"返程；"&amp;IF(C2327=DATE(2026,12,2),"机构午餐","无统一供餐"),"差旅状态；无统一日程"))))))</f>
        <v/>
      </c>
      <c r="E2327" s="13">
        <f>IF(C2327=Options!$B$9,Options!$C$20,0)</f>
        <v/>
      </c>
      <c r="F2327" s="13">
        <f>IF(AND(A2327&lt;&gt;"",C2327&lt;Options!$B$10),B2327*Options!$X$8,0)</f>
        <v/>
      </c>
      <c r="G2327" s="13">
        <f>F2327*12%</f>
        <v/>
      </c>
      <c r="H2327" s="13">
        <f>IF(A2327="",0,B2327*(92*IF(OR(C2327=Options!$B$9,C2327=Options!$B$10),75%,100%)-IF(C2327=DATE(2026,11,29),26+IF(Options!$B$8="是",23,0),0)-IF(C2327=DATE(2026,11,30),26,0)-IF(C2327=DATE(2026,12,1),64,0)-IF(C2327=DATE(2026,11,28),38,0)-IF(C2327=DATE(2026,12,2),26,0)))</f>
        <v/>
      </c>
      <c r="I2327" s="13">
        <f>IF(AND(C2327&gt;=DATE(2026,11,29),C2327&lt;=DATE(2026,12,1)),B2327*60,0)</f>
        <v/>
      </c>
      <c r="J2327" s="13">
        <f>IF(A2327="",0,B2327*(IF(C2327=DATE(2026,11,28),38,0)+IF(C2327=DATE(2026,12,1),38,0)+IF(C2327=DATE(2026,12,2),26,0)))</f>
        <v/>
      </c>
      <c r="K2327" s="13">
        <f>IF(C2327=Options!$B$9,B2327*12,0)</f>
        <v/>
      </c>
      <c r="L2327" s="13">
        <f>IF(C2327=Options!$B$9,B2327*Options!$Z$8,0)</f>
        <v/>
      </c>
      <c r="M2327" s="13" t="n">
        <v>0</v>
      </c>
      <c r="N2327" s="13">
        <f>SUM(E2327:M2327)</f>
        <v/>
      </c>
    </row>
    <row r="2328">
      <c r="A2328" s="5">
        <f>IF(AND(C2328&gt;=Options!$B$9,C2328&lt;=Options!$B$10),"Boston","")</f>
        <v/>
      </c>
      <c r="B2328" s="5">
        <f>IF(A2328="","",18)</f>
        <v/>
      </c>
      <c r="C2328" s="17" t="n">
        <v>46429</v>
      </c>
      <c r="D2328" s="5">
        <f>IF(A2328="","",IF(C2328=DATE(2026,11,29),"培训；注册午餐；早餐参数",IF(C2328=DATE(2026,11,30),"培训；注册午餐",IF(C2328=DATE(2026,12,1),"培训；注册午餐；机构晚餐",IF(C2328=Options!$B$9,"抵达；"&amp;IF(C2328=DATE(2026,11,28),"机构晚餐","无统一供餐"),IF(C2328=Options!$B$10,"返程；"&amp;IF(C2328=DATE(2026,12,2),"机构午餐","无统一供餐"),"差旅状态；无统一日程"))))))</f>
        <v/>
      </c>
      <c r="E2328" s="13">
        <f>IF(C2328=Options!$B$9,Options!$C$20,0)</f>
        <v/>
      </c>
      <c r="F2328" s="13">
        <f>IF(AND(A2328&lt;&gt;"",C2328&lt;Options!$B$10),B2328*Options!$X$8,0)</f>
        <v/>
      </c>
      <c r="G2328" s="13">
        <f>F2328*12%</f>
        <v/>
      </c>
      <c r="H2328" s="13">
        <f>IF(A2328="",0,B2328*(92*IF(OR(C2328=Options!$B$9,C2328=Options!$B$10),75%,100%)-IF(C2328=DATE(2026,11,29),26+IF(Options!$B$8="是",23,0),0)-IF(C2328=DATE(2026,11,30),26,0)-IF(C2328=DATE(2026,12,1),64,0)-IF(C2328=DATE(2026,11,28),38,0)-IF(C2328=DATE(2026,12,2),26,0)))</f>
        <v/>
      </c>
      <c r="I2328" s="13">
        <f>IF(AND(C2328&gt;=DATE(2026,11,29),C2328&lt;=DATE(2026,12,1)),B2328*60,0)</f>
        <v/>
      </c>
      <c r="J2328" s="13">
        <f>IF(A2328="",0,B2328*(IF(C2328=DATE(2026,11,28),38,0)+IF(C2328=DATE(2026,12,1),38,0)+IF(C2328=DATE(2026,12,2),26,0)))</f>
        <v/>
      </c>
      <c r="K2328" s="13">
        <f>IF(C2328=Options!$B$9,B2328*12,0)</f>
        <v/>
      </c>
      <c r="L2328" s="13">
        <f>IF(C2328=Options!$B$9,B2328*Options!$Z$8,0)</f>
        <v/>
      </c>
      <c r="M2328" s="13" t="n">
        <v>0</v>
      </c>
      <c r="N2328" s="13">
        <f>SUM(E2328:M2328)</f>
        <v/>
      </c>
    </row>
    <row r="2329">
      <c r="A2329" s="5">
        <f>IF(AND(C2329&gt;=Options!$B$9,C2329&lt;=Options!$B$10),"Boston","")</f>
        <v/>
      </c>
      <c r="B2329" s="5">
        <f>IF(A2329="","",18)</f>
        <v/>
      </c>
      <c r="C2329" s="17" t="n">
        <v>46430</v>
      </c>
      <c r="D2329" s="5">
        <f>IF(A2329="","",IF(C2329=DATE(2026,11,29),"培训；注册午餐；早餐参数",IF(C2329=DATE(2026,11,30),"培训；注册午餐",IF(C2329=DATE(2026,12,1),"培训；注册午餐；机构晚餐",IF(C2329=Options!$B$9,"抵达；"&amp;IF(C2329=DATE(2026,11,28),"机构晚餐","无统一供餐"),IF(C2329=Options!$B$10,"返程；"&amp;IF(C2329=DATE(2026,12,2),"机构午餐","无统一供餐"),"差旅状态；无统一日程"))))))</f>
        <v/>
      </c>
      <c r="E2329" s="13">
        <f>IF(C2329=Options!$B$9,Options!$C$20,0)</f>
        <v/>
      </c>
      <c r="F2329" s="13">
        <f>IF(AND(A2329&lt;&gt;"",C2329&lt;Options!$B$10),B2329*Options!$X$8,0)</f>
        <v/>
      </c>
      <c r="G2329" s="13">
        <f>F2329*12%</f>
        <v/>
      </c>
      <c r="H2329" s="13">
        <f>IF(A2329="",0,B2329*(92*IF(OR(C2329=Options!$B$9,C2329=Options!$B$10),75%,100%)-IF(C2329=DATE(2026,11,29),26+IF(Options!$B$8="是",23,0),0)-IF(C2329=DATE(2026,11,30),26,0)-IF(C2329=DATE(2026,12,1),64,0)-IF(C2329=DATE(2026,11,28),38,0)-IF(C2329=DATE(2026,12,2),26,0)))</f>
        <v/>
      </c>
      <c r="I2329" s="13">
        <f>IF(AND(C2329&gt;=DATE(2026,11,29),C2329&lt;=DATE(2026,12,1)),B2329*60,0)</f>
        <v/>
      </c>
      <c r="J2329" s="13">
        <f>IF(A2329="",0,B2329*(IF(C2329=DATE(2026,11,28),38,0)+IF(C2329=DATE(2026,12,1),38,0)+IF(C2329=DATE(2026,12,2),26,0)))</f>
        <v/>
      </c>
      <c r="K2329" s="13">
        <f>IF(C2329=Options!$B$9,B2329*12,0)</f>
        <v/>
      </c>
      <c r="L2329" s="13">
        <f>IF(C2329=Options!$B$9,B2329*Options!$Z$8,0)</f>
        <v/>
      </c>
      <c r="M2329" s="13" t="n">
        <v>0</v>
      </c>
      <c r="N2329" s="13">
        <f>SUM(E2329:M2329)</f>
        <v/>
      </c>
    </row>
    <row r="2330">
      <c r="A2330" s="5">
        <f>IF(AND(C2330&gt;=Options!$B$9,C2330&lt;=Options!$B$10),"Boston","")</f>
        <v/>
      </c>
      <c r="B2330" s="5">
        <f>IF(A2330="","",18)</f>
        <v/>
      </c>
      <c r="C2330" s="17" t="n">
        <v>46431</v>
      </c>
      <c r="D2330" s="5">
        <f>IF(A2330="","",IF(C2330=DATE(2026,11,29),"培训；注册午餐；早餐参数",IF(C2330=DATE(2026,11,30),"培训；注册午餐",IF(C2330=DATE(2026,12,1),"培训；注册午餐；机构晚餐",IF(C2330=Options!$B$9,"抵达；"&amp;IF(C2330=DATE(2026,11,28),"机构晚餐","无统一供餐"),IF(C2330=Options!$B$10,"返程；"&amp;IF(C2330=DATE(2026,12,2),"机构午餐","无统一供餐"),"差旅状态；无统一日程"))))))</f>
        <v/>
      </c>
      <c r="E2330" s="13">
        <f>IF(C2330=Options!$B$9,Options!$C$20,0)</f>
        <v/>
      </c>
      <c r="F2330" s="13">
        <f>IF(AND(A2330&lt;&gt;"",C2330&lt;Options!$B$10),B2330*Options!$X$8,0)</f>
        <v/>
      </c>
      <c r="G2330" s="13">
        <f>F2330*12%</f>
        <v/>
      </c>
      <c r="H2330" s="13">
        <f>IF(A2330="",0,B2330*(92*IF(OR(C2330=Options!$B$9,C2330=Options!$B$10),75%,100%)-IF(C2330=DATE(2026,11,29),26+IF(Options!$B$8="是",23,0),0)-IF(C2330=DATE(2026,11,30),26,0)-IF(C2330=DATE(2026,12,1),64,0)-IF(C2330=DATE(2026,11,28),38,0)-IF(C2330=DATE(2026,12,2),26,0)))</f>
        <v/>
      </c>
      <c r="I2330" s="13">
        <f>IF(AND(C2330&gt;=DATE(2026,11,29),C2330&lt;=DATE(2026,12,1)),B2330*60,0)</f>
        <v/>
      </c>
      <c r="J2330" s="13">
        <f>IF(A2330="",0,B2330*(IF(C2330=DATE(2026,11,28),38,0)+IF(C2330=DATE(2026,12,1),38,0)+IF(C2330=DATE(2026,12,2),26,0)))</f>
        <v/>
      </c>
      <c r="K2330" s="13">
        <f>IF(C2330=Options!$B$9,B2330*12,0)</f>
        <v/>
      </c>
      <c r="L2330" s="13">
        <f>IF(C2330=Options!$B$9,B2330*Options!$Z$8,0)</f>
        <v/>
      </c>
      <c r="M2330" s="13" t="n">
        <v>0</v>
      </c>
      <c r="N2330" s="13">
        <f>SUM(E2330:M2330)</f>
        <v/>
      </c>
    </row>
    <row r="2331">
      <c r="A2331" s="5">
        <f>IF(AND(C2331&gt;=Options!$B$9,C2331&lt;=Options!$B$10),"Boston","")</f>
        <v/>
      </c>
      <c r="B2331" s="5">
        <f>IF(A2331="","",18)</f>
        <v/>
      </c>
      <c r="C2331" s="17" t="n">
        <v>46432</v>
      </c>
      <c r="D2331" s="5">
        <f>IF(A2331="","",IF(C2331=DATE(2026,11,29),"培训；注册午餐；早餐参数",IF(C2331=DATE(2026,11,30),"培训；注册午餐",IF(C2331=DATE(2026,12,1),"培训；注册午餐；机构晚餐",IF(C2331=Options!$B$9,"抵达；"&amp;IF(C2331=DATE(2026,11,28),"机构晚餐","无统一供餐"),IF(C2331=Options!$B$10,"返程；"&amp;IF(C2331=DATE(2026,12,2),"机构午餐","无统一供餐"),"差旅状态；无统一日程"))))))</f>
        <v/>
      </c>
      <c r="E2331" s="13">
        <f>IF(C2331=Options!$B$9,Options!$C$20,0)</f>
        <v/>
      </c>
      <c r="F2331" s="13">
        <f>IF(AND(A2331&lt;&gt;"",C2331&lt;Options!$B$10),B2331*Options!$X$8,0)</f>
        <v/>
      </c>
      <c r="G2331" s="13">
        <f>F2331*12%</f>
        <v/>
      </c>
      <c r="H2331" s="13">
        <f>IF(A2331="",0,B2331*(92*IF(OR(C2331=Options!$B$9,C2331=Options!$B$10),75%,100%)-IF(C2331=DATE(2026,11,29),26+IF(Options!$B$8="是",23,0),0)-IF(C2331=DATE(2026,11,30),26,0)-IF(C2331=DATE(2026,12,1),64,0)-IF(C2331=DATE(2026,11,28),38,0)-IF(C2331=DATE(2026,12,2),26,0)))</f>
        <v/>
      </c>
      <c r="I2331" s="13">
        <f>IF(AND(C2331&gt;=DATE(2026,11,29),C2331&lt;=DATE(2026,12,1)),B2331*60,0)</f>
        <v/>
      </c>
      <c r="J2331" s="13">
        <f>IF(A2331="",0,B2331*(IF(C2331=DATE(2026,11,28),38,0)+IF(C2331=DATE(2026,12,1),38,0)+IF(C2331=DATE(2026,12,2),26,0)))</f>
        <v/>
      </c>
      <c r="K2331" s="13">
        <f>IF(C2331=Options!$B$9,B2331*12,0)</f>
        <v/>
      </c>
      <c r="L2331" s="13">
        <f>IF(C2331=Options!$B$9,B2331*Options!$Z$8,0)</f>
        <v/>
      </c>
      <c r="M2331" s="13" t="n">
        <v>0</v>
      </c>
      <c r="N2331" s="13">
        <f>SUM(E2331:M2331)</f>
        <v/>
      </c>
    </row>
    <row r="2332">
      <c r="A2332" s="5">
        <f>IF(AND(C2332&gt;=Options!$B$9,C2332&lt;=Options!$B$10),"Boston","")</f>
        <v/>
      </c>
      <c r="B2332" s="5">
        <f>IF(A2332="","",18)</f>
        <v/>
      </c>
      <c r="C2332" s="17" t="n">
        <v>46433</v>
      </c>
      <c r="D2332" s="5">
        <f>IF(A2332="","",IF(C2332=DATE(2026,11,29),"培训；注册午餐；早餐参数",IF(C2332=DATE(2026,11,30),"培训；注册午餐",IF(C2332=DATE(2026,12,1),"培训；注册午餐；机构晚餐",IF(C2332=Options!$B$9,"抵达；"&amp;IF(C2332=DATE(2026,11,28),"机构晚餐","无统一供餐"),IF(C2332=Options!$B$10,"返程；"&amp;IF(C2332=DATE(2026,12,2),"机构午餐","无统一供餐"),"差旅状态；无统一日程"))))))</f>
        <v/>
      </c>
      <c r="E2332" s="13">
        <f>IF(C2332=Options!$B$9,Options!$C$20,0)</f>
        <v/>
      </c>
      <c r="F2332" s="13">
        <f>IF(AND(A2332&lt;&gt;"",C2332&lt;Options!$B$10),B2332*Options!$X$8,0)</f>
        <v/>
      </c>
      <c r="G2332" s="13">
        <f>F2332*12%</f>
        <v/>
      </c>
      <c r="H2332" s="13">
        <f>IF(A2332="",0,B2332*(92*IF(OR(C2332=Options!$B$9,C2332=Options!$B$10),75%,100%)-IF(C2332=DATE(2026,11,29),26+IF(Options!$B$8="是",23,0),0)-IF(C2332=DATE(2026,11,30),26,0)-IF(C2332=DATE(2026,12,1),64,0)-IF(C2332=DATE(2026,11,28),38,0)-IF(C2332=DATE(2026,12,2),26,0)))</f>
        <v/>
      </c>
      <c r="I2332" s="13">
        <f>IF(AND(C2332&gt;=DATE(2026,11,29),C2332&lt;=DATE(2026,12,1)),B2332*60,0)</f>
        <v/>
      </c>
      <c r="J2332" s="13">
        <f>IF(A2332="",0,B2332*(IF(C2332=DATE(2026,11,28),38,0)+IF(C2332=DATE(2026,12,1),38,0)+IF(C2332=DATE(2026,12,2),26,0)))</f>
        <v/>
      </c>
      <c r="K2332" s="13">
        <f>IF(C2332=Options!$B$9,B2332*12,0)</f>
        <v/>
      </c>
      <c r="L2332" s="13">
        <f>IF(C2332=Options!$B$9,B2332*Options!$Z$8,0)</f>
        <v/>
      </c>
      <c r="M2332" s="13" t="n">
        <v>0</v>
      </c>
      <c r="N2332" s="13">
        <f>SUM(E2332:M2332)</f>
        <v/>
      </c>
    </row>
    <row r="2333">
      <c r="A2333" s="5">
        <f>IF(AND(C2333&gt;=Options!$B$9,C2333&lt;=Options!$B$10),"Boston","")</f>
        <v/>
      </c>
      <c r="B2333" s="5">
        <f>IF(A2333="","",18)</f>
        <v/>
      </c>
      <c r="C2333" s="17" t="n">
        <v>46434</v>
      </c>
      <c r="D2333" s="5">
        <f>IF(A2333="","",IF(C2333=DATE(2026,11,29),"培训；注册午餐；早餐参数",IF(C2333=DATE(2026,11,30),"培训；注册午餐",IF(C2333=DATE(2026,12,1),"培训；注册午餐；机构晚餐",IF(C2333=Options!$B$9,"抵达；"&amp;IF(C2333=DATE(2026,11,28),"机构晚餐","无统一供餐"),IF(C2333=Options!$B$10,"返程；"&amp;IF(C2333=DATE(2026,12,2),"机构午餐","无统一供餐"),"差旅状态；无统一日程"))))))</f>
        <v/>
      </c>
      <c r="E2333" s="13">
        <f>IF(C2333=Options!$B$9,Options!$C$20,0)</f>
        <v/>
      </c>
      <c r="F2333" s="13">
        <f>IF(AND(A2333&lt;&gt;"",C2333&lt;Options!$B$10),B2333*Options!$X$8,0)</f>
        <v/>
      </c>
      <c r="G2333" s="13">
        <f>F2333*12%</f>
        <v/>
      </c>
      <c r="H2333" s="13">
        <f>IF(A2333="",0,B2333*(92*IF(OR(C2333=Options!$B$9,C2333=Options!$B$10),75%,100%)-IF(C2333=DATE(2026,11,29),26+IF(Options!$B$8="是",23,0),0)-IF(C2333=DATE(2026,11,30),26,0)-IF(C2333=DATE(2026,12,1),64,0)-IF(C2333=DATE(2026,11,28),38,0)-IF(C2333=DATE(2026,12,2),26,0)))</f>
        <v/>
      </c>
      <c r="I2333" s="13">
        <f>IF(AND(C2333&gt;=DATE(2026,11,29),C2333&lt;=DATE(2026,12,1)),B2333*60,0)</f>
        <v/>
      </c>
      <c r="J2333" s="13">
        <f>IF(A2333="",0,B2333*(IF(C2333=DATE(2026,11,28),38,0)+IF(C2333=DATE(2026,12,1),38,0)+IF(C2333=DATE(2026,12,2),26,0)))</f>
        <v/>
      </c>
      <c r="K2333" s="13">
        <f>IF(C2333=Options!$B$9,B2333*12,0)</f>
        <v/>
      </c>
      <c r="L2333" s="13">
        <f>IF(C2333=Options!$B$9,B2333*Options!$Z$8,0)</f>
        <v/>
      </c>
      <c r="M2333" s="13" t="n">
        <v>0</v>
      </c>
      <c r="N2333" s="13">
        <f>SUM(E2333:M2333)</f>
        <v/>
      </c>
    </row>
    <row r="2334">
      <c r="A2334" s="5">
        <f>IF(AND(C2334&gt;=Options!$B$9,C2334&lt;=Options!$B$10),"Boston","")</f>
        <v/>
      </c>
      <c r="B2334" s="5">
        <f>IF(A2334="","",18)</f>
        <v/>
      </c>
      <c r="C2334" s="17" t="n">
        <v>46435</v>
      </c>
      <c r="D2334" s="5">
        <f>IF(A2334="","",IF(C2334=DATE(2026,11,29),"培训；注册午餐；早餐参数",IF(C2334=DATE(2026,11,30),"培训；注册午餐",IF(C2334=DATE(2026,12,1),"培训；注册午餐；机构晚餐",IF(C2334=Options!$B$9,"抵达；"&amp;IF(C2334=DATE(2026,11,28),"机构晚餐","无统一供餐"),IF(C2334=Options!$B$10,"返程；"&amp;IF(C2334=DATE(2026,12,2),"机构午餐","无统一供餐"),"差旅状态；无统一日程"))))))</f>
        <v/>
      </c>
      <c r="E2334" s="13">
        <f>IF(C2334=Options!$B$9,Options!$C$20,0)</f>
        <v/>
      </c>
      <c r="F2334" s="13">
        <f>IF(AND(A2334&lt;&gt;"",C2334&lt;Options!$B$10),B2334*Options!$X$8,0)</f>
        <v/>
      </c>
      <c r="G2334" s="13">
        <f>F2334*12%</f>
        <v/>
      </c>
      <c r="H2334" s="13">
        <f>IF(A2334="",0,B2334*(92*IF(OR(C2334=Options!$B$9,C2334=Options!$B$10),75%,100%)-IF(C2334=DATE(2026,11,29),26+IF(Options!$B$8="是",23,0),0)-IF(C2334=DATE(2026,11,30),26,0)-IF(C2334=DATE(2026,12,1),64,0)-IF(C2334=DATE(2026,11,28),38,0)-IF(C2334=DATE(2026,12,2),26,0)))</f>
        <v/>
      </c>
      <c r="I2334" s="13">
        <f>IF(AND(C2334&gt;=DATE(2026,11,29),C2334&lt;=DATE(2026,12,1)),B2334*60,0)</f>
        <v/>
      </c>
      <c r="J2334" s="13">
        <f>IF(A2334="",0,B2334*(IF(C2334=DATE(2026,11,28),38,0)+IF(C2334=DATE(2026,12,1),38,0)+IF(C2334=DATE(2026,12,2),26,0)))</f>
        <v/>
      </c>
      <c r="K2334" s="13">
        <f>IF(C2334=Options!$B$9,B2334*12,0)</f>
        <v/>
      </c>
      <c r="L2334" s="13">
        <f>IF(C2334=Options!$B$9,B2334*Options!$Z$8,0)</f>
        <v/>
      </c>
      <c r="M2334" s="13" t="n">
        <v>0</v>
      </c>
      <c r="N2334" s="13">
        <f>SUM(E2334:M2334)</f>
        <v/>
      </c>
    </row>
    <row r="2335">
      <c r="A2335" s="5">
        <f>IF(AND(C2335&gt;=Options!$B$9,C2335&lt;=Options!$B$10),"Boston","")</f>
        <v/>
      </c>
      <c r="B2335" s="5">
        <f>IF(A2335="","",18)</f>
        <v/>
      </c>
      <c r="C2335" s="17" t="n">
        <v>46436</v>
      </c>
      <c r="D2335" s="5">
        <f>IF(A2335="","",IF(C2335=DATE(2026,11,29),"培训；注册午餐；早餐参数",IF(C2335=DATE(2026,11,30),"培训；注册午餐",IF(C2335=DATE(2026,12,1),"培训；注册午餐；机构晚餐",IF(C2335=Options!$B$9,"抵达；"&amp;IF(C2335=DATE(2026,11,28),"机构晚餐","无统一供餐"),IF(C2335=Options!$B$10,"返程；"&amp;IF(C2335=DATE(2026,12,2),"机构午餐","无统一供餐"),"差旅状态；无统一日程"))))))</f>
        <v/>
      </c>
      <c r="E2335" s="13">
        <f>IF(C2335=Options!$B$9,Options!$C$20,0)</f>
        <v/>
      </c>
      <c r="F2335" s="13">
        <f>IF(AND(A2335&lt;&gt;"",C2335&lt;Options!$B$10),B2335*Options!$X$8,0)</f>
        <v/>
      </c>
      <c r="G2335" s="13">
        <f>F2335*12%</f>
        <v/>
      </c>
      <c r="H2335" s="13">
        <f>IF(A2335="",0,B2335*(92*IF(OR(C2335=Options!$B$9,C2335=Options!$B$10),75%,100%)-IF(C2335=DATE(2026,11,29),26+IF(Options!$B$8="是",23,0),0)-IF(C2335=DATE(2026,11,30),26,0)-IF(C2335=DATE(2026,12,1),64,0)-IF(C2335=DATE(2026,11,28),38,0)-IF(C2335=DATE(2026,12,2),26,0)))</f>
        <v/>
      </c>
      <c r="I2335" s="13">
        <f>IF(AND(C2335&gt;=DATE(2026,11,29),C2335&lt;=DATE(2026,12,1)),B2335*60,0)</f>
        <v/>
      </c>
      <c r="J2335" s="13">
        <f>IF(A2335="",0,B2335*(IF(C2335=DATE(2026,11,28),38,0)+IF(C2335=DATE(2026,12,1),38,0)+IF(C2335=DATE(2026,12,2),26,0)))</f>
        <v/>
      </c>
      <c r="K2335" s="13">
        <f>IF(C2335=Options!$B$9,B2335*12,0)</f>
        <v/>
      </c>
      <c r="L2335" s="13">
        <f>IF(C2335=Options!$B$9,B2335*Options!$Z$8,0)</f>
        <v/>
      </c>
      <c r="M2335" s="13" t="n">
        <v>0</v>
      </c>
      <c r="N2335" s="13">
        <f>SUM(E2335:M2335)</f>
        <v/>
      </c>
    </row>
    <row r="2336">
      <c r="A2336" s="5">
        <f>IF(AND(C2336&gt;=Options!$B$9,C2336&lt;=Options!$B$10),"Boston","")</f>
        <v/>
      </c>
      <c r="B2336" s="5">
        <f>IF(A2336="","",18)</f>
        <v/>
      </c>
      <c r="C2336" s="17" t="n">
        <v>46437</v>
      </c>
      <c r="D2336" s="5">
        <f>IF(A2336="","",IF(C2336=DATE(2026,11,29),"培训；注册午餐；早餐参数",IF(C2336=DATE(2026,11,30),"培训；注册午餐",IF(C2336=DATE(2026,12,1),"培训；注册午餐；机构晚餐",IF(C2336=Options!$B$9,"抵达；"&amp;IF(C2336=DATE(2026,11,28),"机构晚餐","无统一供餐"),IF(C2336=Options!$B$10,"返程；"&amp;IF(C2336=DATE(2026,12,2),"机构午餐","无统一供餐"),"差旅状态；无统一日程"))))))</f>
        <v/>
      </c>
      <c r="E2336" s="13">
        <f>IF(C2336=Options!$B$9,Options!$C$20,0)</f>
        <v/>
      </c>
      <c r="F2336" s="13">
        <f>IF(AND(A2336&lt;&gt;"",C2336&lt;Options!$B$10),B2336*Options!$X$8,0)</f>
        <v/>
      </c>
      <c r="G2336" s="13">
        <f>F2336*12%</f>
        <v/>
      </c>
      <c r="H2336" s="13">
        <f>IF(A2336="",0,B2336*(92*IF(OR(C2336=Options!$B$9,C2336=Options!$B$10),75%,100%)-IF(C2336=DATE(2026,11,29),26+IF(Options!$B$8="是",23,0),0)-IF(C2336=DATE(2026,11,30),26,0)-IF(C2336=DATE(2026,12,1),64,0)-IF(C2336=DATE(2026,11,28),38,0)-IF(C2336=DATE(2026,12,2),26,0)))</f>
        <v/>
      </c>
      <c r="I2336" s="13">
        <f>IF(AND(C2336&gt;=DATE(2026,11,29),C2336&lt;=DATE(2026,12,1)),B2336*60,0)</f>
        <v/>
      </c>
      <c r="J2336" s="13">
        <f>IF(A2336="",0,B2336*(IF(C2336=DATE(2026,11,28),38,0)+IF(C2336=DATE(2026,12,1),38,0)+IF(C2336=DATE(2026,12,2),26,0)))</f>
        <v/>
      </c>
      <c r="K2336" s="13">
        <f>IF(C2336=Options!$B$9,B2336*12,0)</f>
        <v/>
      </c>
      <c r="L2336" s="13">
        <f>IF(C2336=Options!$B$9,B2336*Options!$Z$8,0)</f>
        <v/>
      </c>
      <c r="M2336" s="13" t="n">
        <v>0</v>
      </c>
      <c r="N2336" s="13">
        <f>SUM(E2336:M2336)</f>
        <v/>
      </c>
    </row>
    <row r="2337">
      <c r="A2337" s="5">
        <f>IF(AND(C2337&gt;=Options!$B$9,C2337&lt;=Options!$B$10),"Boston","")</f>
        <v/>
      </c>
      <c r="B2337" s="5">
        <f>IF(A2337="","",18)</f>
        <v/>
      </c>
      <c r="C2337" s="17" t="n">
        <v>46438</v>
      </c>
      <c r="D2337" s="5">
        <f>IF(A2337="","",IF(C2337=DATE(2026,11,29),"培训；注册午餐；早餐参数",IF(C2337=DATE(2026,11,30),"培训；注册午餐",IF(C2337=DATE(2026,12,1),"培训；注册午餐；机构晚餐",IF(C2337=Options!$B$9,"抵达；"&amp;IF(C2337=DATE(2026,11,28),"机构晚餐","无统一供餐"),IF(C2337=Options!$B$10,"返程；"&amp;IF(C2337=DATE(2026,12,2),"机构午餐","无统一供餐"),"差旅状态；无统一日程"))))))</f>
        <v/>
      </c>
      <c r="E2337" s="13">
        <f>IF(C2337=Options!$B$9,Options!$C$20,0)</f>
        <v/>
      </c>
      <c r="F2337" s="13">
        <f>IF(AND(A2337&lt;&gt;"",C2337&lt;Options!$B$10),B2337*Options!$X$8,0)</f>
        <v/>
      </c>
      <c r="G2337" s="13">
        <f>F2337*12%</f>
        <v/>
      </c>
      <c r="H2337" s="13">
        <f>IF(A2337="",0,B2337*(92*IF(OR(C2337=Options!$B$9,C2337=Options!$B$10),75%,100%)-IF(C2337=DATE(2026,11,29),26+IF(Options!$B$8="是",23,0),0)-IF(C2337=DATE(2026,11,30),26,0)-IF(C2337=DATE(2026,12,1),64,0)-IF(C2337=DATE(2026,11,28),38,0)-IF(C2337=DATE(2026,12,2),26,0)))</f>
        <v/>
      </c>
      <c r="I2337" s="13">
        <f>IF(AND(C2337&gt;=DATE(2026,11,29),C2337&lt;=DATE(2026,12,1)),B2337*60,0)</f>
        <v/>
      </c>
      <c r="J2337" s="13">
        <f>IF(A2337="",0,B2337*(IF(C2337=DATE(2026,11,28),38,0)+IF(C2337=DATE(2026,12,1),38,0)+IF(C2337=DATE(2026,12,2),26,0)))</f>
        <v/>
      </c>
      <c r="K2337" s="13">
        <f>IF(C2337=Options!$B$9,B2337*12,0)</f>
        <v/>
      </c>
      <c r="L2337" s="13">
        <f>IF(C2337=Options!$B$9,B2337*Options!$Z$8,0)</f>
        <v/>
      </c>
      <c r="M2337" s="13" t="n">
        <v>0</v>
      </c>
      <c r="N2337" s="13">
        <f>SUM(E2337:M2337)</f>
        <v/>
      </c>
    </row>
    <row r="2338">
      <c r="A2338" s="5">
        <f>IF(AND(C2338&gt;=Options!$B$9,C2338&lt;=Options!$B$10),"Boston","")</f>
        <v/>
      </c>
      <c r="B2338" s="5">
        <f>IF(A2338="","",18)</f>
        <v/>
      </c>
      <c r="C2338" s="17" t="n">
        <v>46439</v>
      </c>
      <c r="D2338" s="5">
        <f>IF(A2338="","",IF(C2338=DATE(2026,11,29),"培训；注册午餐；早餐参数",IF(C2338=DATE(2026,11,30),"培训；注册午餐",IF(C2338=DATE(2026,12,1),"培训；注册午餐；机构晚餐",IF(C2338=Options!$B$9,"抵达；"&amp;IF(C2338=DATE(2026,11,28),"机构晚餐","无统一供餐"),IF(C2338=Options!$B$10,"返程；"&amp;IF(C2338=DATE(2026,12,2),"机构午餐","无统一供餐"),"差旅状态；无统一日程"))))))</f>
        <v/>
      </c>
      <c r="E2338" s="13">
        <f>IF(C2338=Options!$B$9,Options!$C$20,0)</f>
        <v/>
      </c>
      <c r="F2338" s="13">
        <f>IF(AND(A2338&lt;&gt;"",C2338&lt;Options!$B$10),B2338*Options!$X$8,0)</f>
        <v/>
      </c>
      <c r="G2338" s="13">
        <f>F2338*12%</f>
        <v/>
      </c>
      <c r="H2338" s="13">
        <f>IF(A2338="",0,B2338*(92*IF(OR(C2338=Options!$B$9,C2338=Options!$B$10),75%,100%)-IF(C2338=DATE(2026,11,29),26+IF(Options!$B$8="是",23,0),0)-IF(C2338=DATE(2026,11,30),26,0)-IF(C2338=DATE(2026,12,1),64,0)-IF(C2338=DATE(2026,11,28),38,0)-IF(C2338=DATE(2026,12,2),26,0)))</f>
        <v/>
      </c>
      <c r="I2338" s="13">
        <f>IF(AND(C2338&gt;=DATE(2026,11,29),C2338&lt;=DATE(2026,12,1)),B2338*60,0)</f>
        <v/>
      </c>
      <c r="J2338" s="13">
        <f>IF(A2338="",0,B2338*(IF(C2338=DATE(2026,11,28),38,0)+IF(C2338=DATE(2026,12,1),38,0)+IF(C2338=DATE(2026,12,2),26,0)))</f>
        <v/>
      </c>
      <c r="K2338" s="13">
        <f>IF(C2338=Options!$B$9,B2338*12,0)</f>
        <v/>
      </c>
      <c r="L2338" s="13">
        <f>IF(C2338=Options!$B$9,B2338*Options!$Z$8,0)</f>
        <v/>
      </c>
      <c r="M2338" s="13" t="n">
        <v>0</v>
      </c>
      <c r="N2338" s="13">
        <f>SUM(E2338:M2338)</f>
        <v/>
      </c>
    </row>
    <row r="2339">
      <c r="A2339" s="5">
        <f>IF(AND(C2339&gt;=Options!$B$9,C2339&lt;=Options!$B$10),"Boston","")</f>
        <v/>
      </c>
      <c r="B2339" s="5">
        <f>IF(A2339="","",18)</f>
        <v/>
      </c>
      <c r="C2339" s="17" t="n">
        <v>46440</v>
      </c>
      <c r="D2339" s="5">
        <f>IF(A2339="","",IF(C2339=DATE(2026,11,29),"培训；注册午餐；早餐参数",IF(C2339=DATE(2026,11,30),"培训；注册午餐",IF(C2339=DATE(2026,12,1),"培训；注册午餐；机构晚餐",IF(C2339=Options!$B$9,"抵达；"&amp;IF(C2339=DATE(2026,11,28),"机构晚餐","无统一供餐"),IF(C2339=Options!$B$10,"返程；"&amp;IF(C2339=DATE(2026,12,2),"机构午餐","无统一供餐"),"差旅状态；无统一日程"))))))</f>
        <v/>
      </c>
      <c r="E2339" s="13">
        <f>IF(C2339=Options!$B$9,Options!$C$20,0)</f>
        <v/>
      </c>
      <c r="F2339" s="13">
        <f>IF(AND(A2339&lt;&gt;"",C2339&lt;Options!$B$10),B2339*Options!$X$8,0)</f>
        <v/>
      </c>
      <c r="G2339" s="13">
        <f>F2339*12%</f>
        <v/>
      </c>
      <c r="H2339" s="13">
        <f>IF(A2339="",0,B2339*(92*IF(OR(C2339=Options!$B$9,C2339=Options!$B$10),75%,100%)-IF(C2339=DATE(2026,11,29),26+IF(Options!$B$8="是",23,0),0)-IF(C2339=DATE(2026,11,30),26,0)-IF(C2339=DATE(2026,12,1),64,0)-IF(C2339=DATE(2026,11,28),38,0)-IF(C2339=DATE(2026,12,2),26,0)))</f>
        <v/>
      </c>
      <c r="I2339" s="13">
        <f>IF(AND(C2339&gt;=DATE(2026,11,29),C2339&lt;=DATE(2026,12,1)),B2339*60,0)</f>
        <v/>
      </c>
      <c r="J2339" s="13">
        <f>IF(A2339="",0,B2339*(IF(C2339=DATE(2026,11,28),38,0)+IF(C2339=DATE(2026,12,1),38,0)+IF(C2339=DATE(2026,12,2),26,0)))</f>
        <v/>
      </c>
      <c r="K2339" s="13">
        <f>IF(C2339=Options!$B$9,B2339*12,0)</f>
        <v/>
      </c>
      <c r="L2339" s="13">
        <f>IF(C2339=Options!$B$9,B2339*Options!$Z$8,0)</f>
        <v/>
      </c>
      <c r="M2339" s="13" t="n">
        <v>0</v>
      </c>
      <c r="N2339" s="13">
        <f>SUM(E2339:M2339)</f>
        <v/>
      </c>
    </row>
    <row r="2340">
      <c r="A2340" s="5">
        <f>IF(AND(C2340&gt;=Options!$B$9,C2340&lt;=Options!$B$10),"Boston","")</f>
        <v/>
      </c>
      <c r="B2340" s="5">
        <f>IF(A2340="","",18)</f>
        <v/>
      </c>
      <c r="C2340" s="17" t="n">
        <v>46441</v>
      </c>
      <c r="D2340" s="5">
        <f>IF(A2340="","",IF(C2340=DATE(2026,11,29),"培训；注册午餐；早餐参数",IF(C2340=DATE(2026,11,30),"培训；注册午餐",IF(C2340=DATE(2026,12,1),"培训；注册午餐；机构晚餐",IF(C2340=Options!$B$9,"抵达；"&amp;IF(C2340=DATE(2026,11,28),"机构晚餐","无统一供餐"),IF(C2340=Options!$B$10,"返程；"&amp;IF(C2340=DATE(2026,12,2),"机构午餐","无统一供餐"),"差旅状态；无统一日程"))))))</f>
        <v/>
      </c>
      <c r="E2340" s="13">
        <f>IF(C2340=Options!$B$9,Options!$C$20,0)</f>
        <v/>
      </c>
      <c r="F2340" s="13">
        <f>IF(AND(A2340&lt;&gt;"",C2340&lt;Options!$B$10),B2340*Options!$X$8,0)</f>
        <v/>
      </c>
      <c r="G2340" s="13">
        <f>F2340*12%</f>
        <v/>
      </c>
      <c r="H2340" s="13">
        <f>IF(A2340="",0,B2340*(92*IF(OR(C2340=Options!$B$9,C2340=Options!$B$10),75%,100%)-IF(C2340=DATE(2026,11,29),26+IF(Options!$B$8="是",23,0),0)-IF(C2340=DATE(2026,11,30),26,0)-IF(C2340=DATE(2026,12,1),64,0)-IF(C2340=DATE(2026,11,28),38,0)-IF(C2340=DATE(2026,12,2),26,0)))</f>
        <v/>
      </c>
      <c r="I2340" s="13">
        <f>IF(AND(C2340&gt;=DATE(2026,11,29),C2340&lt;=DATE(2026,12,1)),B2340*60,0)</f>
        <v/>
      </c>
      <c r="J2340" s="13">
        <f>IF(A2340="",0,B2340*(IF(C2340=DATE(2026,11,28),38,0)+IF(C2340=DATE(2026,12,1),38,0)+IF(C2340=DATE(2026,12,2),26,0)))</f>
        <v/>
      </c>
      <c r="K2340" s="13">
        <f>IF(C2340=Options!$B$9,B2340*12,0)</f>
        <v/>
      </c>
      <c r="L2340" s="13">
        <f>IF(C2340=Options!$B$9,B2340*Options!$Z$8,0)</f>
        <v/>
      </c>
      <c r="M2340" s="13" t="n">
        <v>0</v>
      </c>
      <c r="N2340" s="13">
        <f>SUM(E2340:M2340)</f>
        <v/>
      </c>
    </row>
    <row r="2341">
      <c r="A2341" s="5">
        <f>IF(AND(C2341&gt;=Options!$B$9,C2341&lt;=Options!$B$10),"Boston","")</f>
        <v/>
      </c>
      <c r="B2341" s="5">
        <f>IF(A2341="","",18)</f>
        <v/>
      </c>
      <c r="C2341" s="17" t="n">
        <v>46442</v>
      </c>
      <c r="D2341" s="5">
        <f>IF(A2341="","",IF(C2341=DATE(2026,11,29),"培训；注册午餐；早餐参数",IF(C2341=DATE(2026,11,30),"培训；注册午餐",IF(C2341=DATE(2026,12,1),"培训；注册午餐；机构晚餐",IF(C2341=Options!$B$9,"抵达；"&amp;IF(C2341=DATE(2026,11,28),"机构晚餐","无统一供餐"),IF(C2341=Options!$B$10,"返程；"&amp;IF(C2341=DATE(2026,12,2),"机构午餐","无统一供餐"),"差旅状态；无统一日程"))))))</f>
        <v/>
      </c>
      <c r="E2341" s="13">
        <f>IF(C2341=Options!$B$9,Options!$C$20,0)</f>
        <v/>
      </c>
      <c r="F2341" s="13">
        <f>IF(AND(A2341&lt;&gt;"",C2341&lt;Options!$B$10),B2341*Options!$X$8,0)</f>
        <v/>
      </c>
      <c r="G2341" s="13">
        <f>F2341*12%</f>
        <v/>
      </c>
      <c r="H2341" s="13">
        <f>IF(A2341="",0,B2341*(92*IF(OR(C2341=Options!$B$9,C2341=Options!$B$10),75%,100%)-IF(C2341=DATE(2026,11,29),26+IF(Options!$B$8="是",23,0),0)-IF(C2341=DATE(2026,11,30),26,0)-IF(C2341=DATE(2026,12,1),64,0)-IF(C2341=DATE(2026,11,28),38,0)-IF(C2341=DATE(2026,12,2),26,0)))</f>
        <v/>
      </c>
      <c r="I2341" s="13">
        <f>IF(AND(C2341&gt;=DATE(2026,11,29),C2341&lt;=DATE(2026,12,1)),B2341*60,0)</f>
        <v/>
      </c>
      <c r="J2341" s="13">
        <f>IF(A2341="",0,B2341*(IF(C2341=DATE(2026,11,28),38,0)+IF(C2341=DATE(2026,12,1),38,0)+IF(C2341=DATE(2026,12,2),26,0)))</f>
        <v/>
      </c>
      <c r="K2341" s="13">
        <f>IF(C2341=Options!$B$9,B2341*12,0)</f>
        <v/>
      </c>
      <c r="L2341" s="13">
        <f>IF(C2341=Options!$B$9,B2341*Options!$Z$8,0)</f>
        <v/>
      </c>
      <c r="M2341" s="13" t="n">
        <v>0</v>
      </c>
      <c r="N2341" s="13">
        <f>SUM(E2341:M2341)</f>
        <v/>
      </c>
    </row>
    <row r="2342">
      <c r="A2342" s="5">
        <f>IF(AND(C2342&gt;=Options!$B$9,C2342&lt;=Options!$B$10),"Boston","")</f>
        <v/>
      </c>
      <c r="B2342" s="5">
        <f>IF(A2342="","",18)</f>
        <v/>
      </c>
      <c r="C2342" s="17" t="n">
        <v>46443</v>
      </c>
      <c r="D2342" s="5">
        <f>IF(A2342="","",IF(C2342=DATE(2026,11,29),"培训；注册午餐；早餐参数",IF(C2342=DATE(2026,11,30),"培训；注册午餐",IF(C2342=DATE(2026,12,1),"培训；注册午餐；机构晚餐",IF(C2342=Options!$B$9,"抵达；"&amp;IF(C2342=DATE(2026,11,28),"机构晚餐","无统一供餐"),IF(C2342=Options!$B$10,"返程；"&amp;IF(C2342=DATE(2026,12,2),"机构午餐","无统一供餐"),"差旅状态；无统一日程"))))))</f>
        <v/>
      </c>
      <c r="E2342" s="13">
        <f>IF(C2342=Options!$B$9,Options!$C$20,0)</f>
        <v/>
      </c>
      <c r="F2342" s="13">
        <f>IF(AND(A2342&lt;&gt;"",C2342&lt;Options!$B$10),B2342*Options!$X$8,0)</f>
        <v/>
      </c>
      <c r="G2342" s="13">
        <f>F2342*12%</f>
        <v/>
      </c>
      <c r="H2342" s="13">
        <f>IF(A2342="",0,B2342*(92*IF(OR(C2342=Options!$B$9,C2342=Options!$B$10),75%,100%)-IF(C2342=DATE(2026,11,29),26+IF(Options!$B$8="是",23,0),0)-IF(C2342=DATE(2026,11,30),26,0)-IF(C2342=DATE(2026,12,1),64,0)-IF(C2342=DATE(2026,11,28),38,0)-IF(C2342=DATE(2026,12,2),26,0)))</f>
        <v/>
      </c>
      <c r="I2342" s="13">
        <f>IF(AND(C2342&gt;=DATE(2026,11,29),C2342&lt;=DATE(2026,12,1)),B2342*60,0)</f>
        <v/>
      </c>
      <c r="J2342" s="13">
        <f>IF(A2342="",0,B2342*(IF(C2342=DATE(2026,11,28),38,0)+IF(C2342=DATE(2026,12,1),38,0)+IF(C2342=DATE(2026,12,2),26,0)))</f>
        <v/>
      </c>
      <c r="K2342" s="13">
        <f>IF(C2342=Options!$B$9,B2342*12,0)</f>
        <v/>
      </c>
      <c r="L2342" s="13">
        <f>IF(C2342=Options!$B$9,B2342*Options!$Z$8,0)</f>
        <v/>
      </c>
      <c r="M2342" s="13" t="n">
        <v>0</v>
      </c>
      <c r="N2342" s="13">
        <f>SUM(E2342:M2342)</f>
        <v/>
      </c>
    </row>
    <row r="2343">
      <c r="A2343" s="5">
        <f>IF(AND(C2343&gt;=Options!$B$9,C2343&lt;=Options!$B$10),"Boston","")</f>
        <v/>
      </c>
      <c r="B2343" s="5">
        <f>IF(A2343="","",18)</f>
        <v/>
      </c>
      <c r="C2343" s="17" t="n">
        <v>46444</v>
      </c>
      <c r="D2343" s="5">
        <f>IF(A2343="","",IF(C2343=DATE(2026,11,29),"培训；注册午餐；早餐参数",IF(C2343=DATE(2026,11,30),"培训；注册午餐",IF(C2343=DATE(2026,12,1),"培训；注册午餐；机构晚餐",IF(C2343=Options!$B$9,"抵达；"&amp;IF(C2343=DATE(2026,11,28),"机构晚餐","无统一供餐"),IF(C2343=Options!$B$10,"返程；"&amp;IF(C2343=DATE(2026,12,2),"机构午餐","无统一供餐"),"差旅状态；无统一日程"))))))</f>
        <v/>
      </c>
      <c r="E2343" s="13">
        <f>IF(C2343=Options!$B$9,Options!$C$20,0)</f>
        <v/>
      </c>
      <c r="F2343" s="13">
        <f>IF(AND(A2343&lt;&gt;"",C2343&lt;Options!$B$10),B2343*Options!$X$8,0)</f>
        <v/>
      </c>
      <c r="G2343" s="13">
        <f>F2343*12%</f>
        <v/>
      </c>
      <c r="H2343" s="13">
        <f>IF(A2343="",0,B2343*(92*IF(OR(C2343=Options!$B$9,C2343=Options!$B$10),75%,100%)-IF(C2343=DATE(2026,11,29),26+IF(Options!$B$8="是",23,0),0)-IF(C2343=DATE(2026,11,30),26,0)-IF(C2343=DATE(2026,12,1),64,0)-IF(C2343=DATE(2026,11,28),38,0)-IF(C2343=DATE(2026,12,2),26,0)))</f>
        <v/>
      </c>
      <c r="I2343" s="13">
        <f>IF(AND(C2343&gt;=DATE(2026,11,29),C2343&lt;=DATE(2026,12,1)),B2343*60,0)</f>
        <v/>
      </c>
      <c r="J2343" s="13">
        <f>IF(A2343="",0,B2343*(IF(C2343=DATE(2026,11,28),38,0)+IF(C2343=DATE(2026,12,1),38,0)+IF(C2343=DATE(2026,12,2),26,0)))</f>
        <v/>
      </c>
      <c r="K2343" s="13">
        <f>IF(C2343=Options!$B$9,B2343*12,0)</f>
        <v/>
      </c>
      <c r="L2343" s="13">
        <f>IF(C2343=Options!$B$9,B2343*Options!$Z$8,0)</f>
        <v/>
      </c>
      <c r="M2343" s="13" t="n">
        <v>0</v>
      </c>
      <c r="N2343" s="13">
        <f>SUM(E2343:M2343)</f>
        <v/>
      </c>
    </row>
    <row r="2344">
      <c r="A2344" s="5">
        <f>IF(AND(C2344&gt;=Options!$B$9,C2344&lt;=Options!$B$10),"Boston","")</f>
        <v/>
      </c>
      <c r="B2344" s="5">
        <f>IF(A2344="","",18)</f>
        <v/>
      </c>
      <c r="C2344" s="17" t="n">
        <v>46445</v>
      </c>
      <c r="D2344" s="5">
        <f>IF(A2344="","",IF(C2344=DATE(2026,11,29),"培训；注册午餐；早餐参数",IF(C2344=DATE(2026,11,30),"培训；注册午餐",IF(C2344=DATE(2026,12,1),"培训；注册午餐；机构晚餐",IF(C2344=Options!$B$9,"抵达；"&amp;IF(C2344=DATE(2026,11,28),"机构晚餐","无统一供餐"),IF(C2344=Options!$B$10,"返程；"&amp;IF(C2344=DATE(2026,12,2),"机构午餐","无统一供餐"),"差旅状态；无统一日程"))))))</f>
        <v/>
      </c>
      <c r="E2344" s="13">
        <f>IF(C2344=Options!$B$9,Options!$C$20,0)</f>
        <v/>
      </c>
      <c r="F2344" s="13">
        <f>IF(AND(A2344&lt;&gt;"",C2344&lt;Options!$B$10),B2344*Options!$X$8,0)</f>
        <v/>
      </c>
      <c r="G2344" s="13">
        <f>F2344*12%</f>
        <v/>
      </c>
      <c r="H2344" s="13">
        <f>IF(A2344="",0,B2344*(92*IF(OR(C2344=Options!$B$9,C2344=Options!$B$10),75%,100%)-IF(C2344=DATE(2026,11,29),26+IF(Options!$B$8="是",23,0),0)-IF(C2344=DATE(2026,11,30),26,0)-IF(C2344=DATE(2026,12,1),64,0)-IF(C2344=DATE(2026,11,28),38,0)-IF(C2344=DATE(2026,12,2),26,0)))</f>
        <v/>
      </c>
      <c r="I2344" s="13">
        <f>IF(AND(C2344&gt;=DATE(2026,11,29),C2344&lt;=DATE(2026,12,1)),B2344*60,0)</f>
        <v/>
      </c>
      <c r="J2344" s="13">
        <f>IF(A2344="",0,B2344*(IF(C2344=DATE(2026,11,28),38,0)+IF(C2344=DATE(2026,12,1),38,0)+IF(C2344=DATE(2026,12,2),26,0)))</f>
        <v/>
      </c>
      <c r="K2344" s="13">
        <f>IF(C2344=Options!$B$9,B2344*12,0)</f>
        <v/>
      </c>
      <c r="L2344" s="13">
        <f>IF(C2344=Options!$B$9,B2344*Options!$Z$8,0)</f>
        <v/>
      </c>
      <c r="M2344" s="13" t="n">
        <v>0</v>
      </c>
      <c r="N2344" s="13">
        <f>SUM(E2344:M2344)</f>
        <v/>
      </c>
    </row>
    <row r="2345">
      <c r="A2345" s="5">
        <f>IF(AND(C2345&gt;=Options!$B$9,C2345&lt;=Options!$B$10),"Boston","")</f>
        <v/>
      </c>
      <c r="B2345" s="5">
        <f>IF(A2345="","",18)</f>
        <v/>
      </c>
      <c r="C2345" s="17" t="n">
        <v>46446</v>
      </c>
      <c r="D2345" s="5">
        <f>IF(A2345="","",IF(C2345=DATE(2026,11,29),"培训；注册午餐；早餐参数",IF(C2345=DATE(2026,11,30),"培训；注册午餐",IF(C2345=DATE(2026,12,1),"培训；注册午餐；机构晚餐",IF(C2345=Options!$B$9,"抵达；"&amp;IF(C2345=DATE(2026,11,28),"机构晚餐","无统一供餐"),IF(C2345=Options!$B$10,"返程；"&amp;IF(C2345=DATE(2026,12,2),"机构午餐","无统一供餐"),"差旅状态；无统一日程"))))))</f>
        <v/>
      </c>
      <c r="E2345" s="13">
        <f>IF(C2345=Options!$B$9,Options!$C$20,0)</f>
        <v/>
      </c>
      <c r="F2345" s="13">
        <f>IF(AND(A2345&lt;&gt;"",C2345&lt;Options!$B$10),B2345*Options!$X$8,0)</f>
        <v/>
      </c>
      <c r="G2345" s="13">
        <f>F2345*12%</f>
        <v/>
      </c>
      <c r="H2345" s="13">
        <f>IF(A2345="",0,B2345*(92*IF(OR(C2345=Options!$B$9,C2345=Options!$B$10),75%,100%)-IF(C2345=DATE(2026,11,29),26+IF(Options!$B$8="是",23,0),0)-IF(C2345=DATE(2026,11,30),26,0)-IF(C2345=DATE(2026,12,1),64,0)-IF(C2345=DATE(2026,11,28),38,0)-IF(C2345=DATE(2026,12,2),26,0)))</f>
        <v/>
      </c>
      <c r="I2345" s="13">
        <f>IF(AND(C2345&gt;=DATE(2026,11,29),C2345&lt;=DATE(2026,12,1)),B2345*60,0)</f>
        <v/>
      </c>
      <c r="J2345" s="13">
        <f>IF(A2345="",0,B2345*(IF(C2345=DATE(2026,11,28),38,0)+IF(C2345=DATE(2026,12,1),38,0)+IF(C2345=DATE(2026,12,2),26,0)))</f>
        <v/>
      </c>
      <c r="K2345" s="13">
        <f>IF(C2345=Options!$B$9,B2345*12,0)</f>
        <v/>
      </c>
      <c r="L2345" s="13">
        <f>IF(C2345=Options!$B$9,B2345*Options!$Z$8,0)</f>
        <v/>
      </c>
      <c r="M2345" s="13" t="n">
        <v>0</v>
      </c>
      <c r="N2345" s="13">
        <f>SUM(E2345:M2345)</f>
        <v/>
      </c>
    </row>
    <row r="2346">
      <c r="A2346" s="5">
        <f>IF(AND(C2346&gt;=Options!$B$9,C2346&lt;=Options!$B$10),"Boston","")</f>
        <v/>
      </c>
      <c r="B2346" s="5">
        <f>IF(A2346="","",18)</f>
        <v/>
      </c>
      <c r="C2346" s="17" t="n">
        <v>46447</v>
      </c>
      <c r="D2346" s="5">
        <f>IF(A2346="","",IF(C2346=DATE(2026,11,29),"培训；注册午餐；早餐参数",IF(C2346=DATE(2026,11,30),"培训；注册午餐",IF(C2346=DATE(2026,12,1),"培训；注册午餐；机构晚餐",IF(C2346=Options!$B$9,"抵达；"&amp;IF(C2346=DATE(2026,11,28),"机构晚餐","无统一供餐"),IF(C2346=Options!$B$10,"返程；"&amp;IF(C2346=DATE(2026,12,2),"机构午餐","无统一供餐"),"差旅状态；无统一日程"))))))</f>
        <v/>
      </c>
      <c r="E2346" s="13">
        <f>IF(C2346=Options!$B$9,Options!$C$20,0)</f>
        <v/>
      </c>
      <c r="F2346" s="13">
        <f>IF(AND(A2346&lt;&gt;"",C2346&lt;Options!$B$10),B2346*Options!$X$8,0)</f>
        <v/>
      </c>
      <c r="G2346" s="13">
        <f>F2346*12%</f>
        <v/>
      </c>
      <c r="H2346" s="13">
        <f>IF(A2346="",0,B2346*(92*IF(OR(C2346=Options!$B$9,C2346=Options!$B$10),75%,100%)-IF(C2346=DATE(2026,11,29),26+IF(Options!$B$8="是",23,0),0)-IF(C2346=DATE(2026,11,30),26,0)-IF(C2346=DATE(2026,12,1),64,0)-IF(C2346=DATE(2026,11,28),38,0)-IF(C2346=DATE(2026,12,2),26,0)))</f>
        <v/>
      </c>
      <c r="I2346" s="13">
        <f>IF(AND(C2346&gt;=DATE(2026,11,29),C2346&lt;=DATE(2026,12,1)),B2346*60,0)</f>
        <v/>
      </c>
      <c r="J2346" s="13">
        <f>IF(A2346="",0,B2346*(IF(C2346=DATE(2026,11,28),38,0)+IF(C2346=DATE(2026,12,1),38,0)+IF(C2346=DATE(2026,12,2),26,0)))</f>
        <v/>
      </c>
      <c r="K2346" s="13">
        <f>IF(C2346=Options!$B$9,B2346*12,0)</f>
        <v/>
      </c>
      <c r="L2346" s="13">
        <f>IF(C2346=Options!$B$9,B2346*Options!$Z$8,0)</f>
        <v/>
      </c>
      <c r="M2346" s="13" t="n">
        <v>0</v>
      </c>
      <c r="N2346" s="13">
        <f>SUM(E2346:M2346)</f>
        <v/>
      </c>
    </row>
    <row r="2347">
      <c r="A2347" s="5">
        <f>IF(AND(C2347&gt;=Options!$B$9,C2347&lt;=Options!$B$10),"Boston","")</f>
        <v/>
      </c>
      <c r="B2347" s="5">
        <f>IF(A2347="","",18)</f>
        <v/>
      </c>
      <c r="C2347" s="17" t="n">
        <v>46448</v>
      </c>
      <c r="D2347" s="5">
        <f>IF(A2347="","",IF(C2347=DATE(2026,11,29),"培训；注册午餐；早餐参数",IF(C2347=DATE(2026,11,30),"培训；注册午餐",IF(C2347=DATE(2026,12,1),"培训；注册午餐；机构晚餐",IF(C2347=Options!$B$9,"抵达；"&amp;IF(C2347=DATE(2026,11,28),"机构晚餐","无统一供餐"),IF(C2347=Options!$B$10,"返程；"&amp;IF(C2347=DATE(2026,12,2),"机构午餐","无统一供餐"),"差旅状态；无统一日程"))))))</f>
        <v/>
      </c>
      <c r="E2347" s="13">
        <f>IF(C2347=Options!$B$9,Options!$C$20,0)</f>
        <v/>
      </c>
      <c r="F2347" s="13">
        <f>IF(AND(A2347&lt;&gt;"",C2347&lt;Options!$B$10),B2347*Options!$X$8,0)</f>
        <v/>
      </c>
      <c r="G2347" s="13">
        <f>F2347*12%</f>
        <v/>
      </c>
      <c r="H2347" s="13">
        <f>IF(A2347="",0,B2347*(92*IF(OR(C2347=Options!$B$9,C2347=Options!$B$10),75%,100%)-IF(C2347=DATE(2026,11,29),26+IF(Options!$B$8="是",23,0),0)-IF(C2347=DATE(2026,11,30),26,0)-IF(C2347=DATE(2026,12,1),64,0)-IF(C2347=DATE(2026,11,28),38,0)-IF(C2347=DATE(2026,12,2),26,0)))</f>
        <v/>
      </c>
      <c r="I2347" s="13">
        <f>IF(AND(C2347&gt;=DATE(2026,11,29),C2347&lt;=DATE(2026,12,1)),B2347*60,0)</f>
        <v/>
      </c>
      <c r="J2347" s="13">
        <f>IF(A2347="",0,B2347*(IF(C2347=DATE(2026,11,28),38,0)+IF(C2347=DATE(2026,12,1),38,0)+IF(C2347=DATE(2026,12,2),26,0)))</f>
        <v/>
      </c>
      <c r="K2347" s="13">
        <f>IF(C2347=Options!$B$9,B2347*12,0)</f>
        <v/>
      </c>
      <c r="L2347" s="13">
        <f>IF(C2347=Options!$B$9,B2347*Options!$Z$8,0)</f>
        <v/>
      </c>
      <c r="M2347" s="13" t="n">
        <v>0</v>
      </c>
      <c r="N2347" s="13">
        <f>SUM(E2347:M2347)</f>
        <v/>
      </c>
    </row>
    <row r="2348">
      <c r="A2348" s="5">
        <f>IF(AND(C2348&gt;=Options!$B$9,C2348&lt;=Options!$B$10),"Boston","")</f>
        <v/>
      </c>
      <c r="B2348" s="5">
        <f>IF(A2348="","",18)</f>
        <v/>
      </c>
      <c r="C2348" s="17" t="n">
        <v>46449</v>
      </c>
      <c r="D2348" s="5">
        <f>IF(A2348="","",IF(C2348=DATE(2026,11,29),"培训；注册午餐；早餐参数",IF(C2348=DATE(2026,11,30),"培训；注册午餐",IF(C2348=DATE(2026,12,1),"培训；注册午餐；机构晚餐",IF(C2348=Options!$B$9,"抵达；"&amp;IF(C2348=DATE(2026,11,28),"机构晚餐","无统一供餐"),IF(C2348=Options!$B$10,"返程；"&amp;IF(C2348=DATE(2026,12,2),"机构午餐","无统一供餐"),"差旅状态；无统一日程"))))))</f>
        <v/>
      </c>
      <c r="E2348" s="13">
        <f>IF(C2348=Options!$B$9,Options!$C$20,0)</f>
        <v/>
      </c>
      <c r="F2348" s="13">
        <f>IF(AND(A2348&lt;&gt;"",C2348&lt;Options!$B$10),B2348*Options!$X$8,0)</f>
        <v/>
      </c>
      <c r="G2348" s="13">
        <f>F2348*12%</f>
        <v/>
      </c>
      <c r="H2348" s="13">
        <f>IF(A2348="",0,B2348*(92*IF(OR(C2348=Options!$B$9,C2348=Options!$B$10),75%,100%)-IF(C2348=DATE(2026,11,29),26+IF(Options!$B$8="是",23,0),0)-IF(C2348=DATE(2026,11,30),26,0)-IF(C2348=DATE(2026,12,1),64,0)-IF(C2348=DATE(2026,11,28),38,0)-IF(C2348=DATE(2026,12,2),26,0)))</f>
        <v/>
      </c>
      <c r="I2348" s="13">
        <f>IF(AND(C2348&gt;=DATE(2026,11,29),C2348&lt;=DATE(2026,12,1)),B2348*60,0)</f>
        <v/>
      </c>
      <c r="J2348" s="13">
        <f>IF(A2348="",0,B2348*(IF(C2348=DATE(2026,11,28),38,0)+IF(C2348=DATE(2026,12,1),38,0)+IF(C2348=DATE(2026,12,2),26,0)))</f>
        <v/>
      </c>
      <c r="K2348" s="13">
        <f>IF(C2348=Options!$B$9,B2348*12,0)</f>
        <v/>
      </c>
      <c r="L2348" s="13">
        <f>IF(C2348=Options!$B$9,B2348*Options!$Z$8,0)</f>
        <v/>
      </c>
      <c r="M2348" s="13" t="n">
        <v>0</v>
      </c>
      <c r="N2348" s="13">
        <f>SUM(E2348:M2348)</f>
        <v/>
      </c>
    </row>
    <row r="2349">
      <c r="A2349" s="5">
        <f>IF(AND(C2349&gt;=Options!$B$9,C2349&lt;=Options!$B$10),"Boston","")</f>
        <v/>
      </c>
      <c r="B2349" s="5">
        <f>IF(A2349="","",18)</f>
        <v/>
      </c>
      <c r="C2349" s="17" t="n">
        <v>46450</v>
      </c>
      <c r="D2349" s="5">
        <f>IF(A2349="","",IF(C2349=DATE(2026,11,29),"培训；注册午餐；早餐参数",IF(C2349=DATE(2026,11,30),"培训；注册午餐",IF(C2349=DATE(2026,12,1),"培训；注册午餐；机构晚餐",IF(C2349=Options!$B$9,"抵达；"&amp;IF(C2349=DATE(2026,11,28),"机构晚餐","无统一供餐"),IF(C2349=Options!$B$10,"返程；"&amp;IF(C2349=DATE(2026,12,2),"机构午餐","无统一供餐"),"差旅状态；无统一日程"))))))</f>
        <v/>
      </c>
      <c r="E2349" s="13">
        <f>IF(C2349=Options!$B$9,Options!$C$20,0)</f>
        <v/>
      </c>
      <c r="F2349" s="13">
        <f>IF(AND(A2349&lt;&gt;"",C2349&lt;Options!$B$10),B2349*Options!$X$8,0)</f>
        <v/>
      </c>
      <c r="G2349" s="13">
        <f>F2349*12%</f>
        <v/>
      </c>
      <c r="H2349" s="13">
        <f>IF(A2349="",0,B2349*(92*IF(OR(C2349=Options!$B$9,C2349=Options!$B$10),75%,100%)-IF(C2349=DATE(2026,11,29),26+IF(Options!$B$8="是",23,0),0)-IF(C2349=DATE(2026,11,30),26,0)-IF(C2349=DATE(2026,12,1),64,0)-IF(C2349=DATE(2026,11,28),38,0)-IF(C2349=DATE(2026,12,2),26,0)))</f>
        <v/>
      </c>
      <c r="I2349" s="13">
        <f>IF(AND(C2349&gt;=DATE(2026,11,29),C2349&lt;=DATE(2026,12,1)),B2349*60,0)</f>
        <v/>
      </c>
      <c r="J2349" s="13">
        <f>IF(A2349="",0,B2349*(IF(C2349=DATE(2026,11,28),38,0)+IF(C2349=DATE(2026,12,1),38,0)+IF(C2349=DATE(2026,12,2),26,0)))</f>
        <v/>
      </c>
      <c r="K2349" s="13">
        <f>IF(C2349=Options!$B$9,B2349*12,0)</f>
        <v/>
      </c>
      <c r="L2349" s="13">
        <f>IF(C2349=Options!$B$9,B2349*Options!$Z$8,0)</f>
        <v/>
      </c>
      <c r="M2349" s="13" t="n">
        <v>0</v>
      </c>
      <c r="N2349" s="13">
        <f>SUM(E2349:M2349)</f>
        <v/>
      </c>
    </row>
    <row r="2350">
      <c r="A2350" s="5">
        <f>IF(AND(C2350&gt;=Options!$B$9,C2350&lt;=Options!$B$10),"Boston","")</f>
        <v/>
      </c>
      <c r="B2350" s="5">
        <f>IF(A2350="","",18)</f>
        <v/>
      </c>
      <c r="C2350" s="17" t="n">
        <v>46451</v>
      </c>
      <c r="D2350" s="5">
        <f>IF(A2350="","",IF(C2350=DATE(2026,11,29),"培训；注册午餐；早餐参数",IF(C2350=DATE(2026,11,30),"培训；注册午餐",IF(C2350=DATE(2026,12,1),"培训；注册午餐；机构晚餐",IF(C2350=Options!$B$9,"抵达；"&amp;IF(C2350=DATE(2026,11,28),"机构晚餐","无统一供餐"),IF(C2350=Options!$B$10,"返程；"&amp;IF(C2350=DATE(2026,12,2),"机构午餐","无统一供餐"),"差旅状态；无统一日程"))))))</f>
        <v/>
      </c>
      <c r="E2350" s="13">
        <f>IF(C2350=Options!$B$9,Options!$C$20,0)</f>
        <v/>
      </c>
      <c r="F2350" s="13">
        <f>IF(AND(A2350&lt;&gt;"",C2350&lt;Options!$B$10),B2350*Options!$X$8,0)</f>
        <v/>
      </c>
      <c r="G2350" s="13">
        <f>F2350*12%</f>
        <v/>
      </c>
      <c r="H2350" s="13">
        <f>IF(A2350="",0,B2350*(92*IF(OR(C2350=Options!$B$9,C2350=Options!$B$10),75%,100%)-IF(C2350=DATE(2026,11,29),26+IF(Options!$B$8="是",23,0),0)-IF(C2350=DATE(2026,11,30),26,0)-IF(C2350=DATE(2026,12,1),64,0)-IF(C2350=DATE(2026,11,28),38,0)-IF(C2350=DATE(2026,12,2),26,0)))</f>
        <v/>
      </c>
      <c r="I2350" s="13">
        <f>IF(AND(C2350&gt;=DATE(2026,11,29),C2350&lt;=DATE(2026,12,1)),B2350*60,0)</f>
        <v/>
      </c>
      <c r="J2350" s="13">
        <f>IF(A2350="",0,B2350*(IF(C2350=DATE(2026,11,28),38,0)+IF(C2350=DATE(2026,12,1),38,0)+IF(C2350=DATE(2026,12,2),26,0)))</f>
        <v/>
      </c>
      <c r="K2350" s="13">
        <f>IF(C2350=Options!$B$9,B2350*12,0)</f>
        <v/>
      </c>
      <c r="L2350" s="13">
        <f>IF(C2350=Options!$B$9,B2350*Options!$Z$8,0)</f>
        <v/>
      </c>
      <c r="M2350" s="13" t="n">
        <v>0</v>
      </c>
      <c r="N2350" s="13">
        <f>SUM(E2350:M2350)</f>
        <v/>
      </c>
    </row>
    <row r="2351">
      <c r="A2351" s="5">
        <f>IF(AND(C2351&gt;=Options!$B$9,C2351&lt;=Options!$B$10),"Boston","")</f>
        <v/>
      </c>
      <c r="B2351" s="5">
        <f>IF(A2351="","",18)</f>
        <v/>
      </c>
      <c r="C2351" s="17" t="n">
        <v>46452</v>
      </c>
      <c r="D2351" s="5">
        <f>IF(A2351="","",IF(C2351=DATE(2026,11,29),"培训；注册午餐；早餐参数",IF(C2351=DATE(2026,11,30),"培训；注册午餐",IF(C2351=DATE(2026,12,1),"培训；注册午餐；机构晚餐",IF(C2351=Options!$B$9,"抵达；"&amp;IF(C2351=DATE(2026,11,28),"机构晚餐","无统一供餐"),IF(C2351=Options!$B$10,"返程；"&amp;IF(C2351=DATE(2026,12,2),"机构午餐","无统一供餐"),"差旅状态；无统一日程"))))))</f>
        <v/>
      </c>
      <c r="E2351" s="13">
        <f>IF(C2351=Options!$B$9,Options!$C$20,0)</f>
        <v/>
      </c>
      <c r="F2351" s="13">
        <f>IF(AND(A2351&lt;&gt;"",C2351&lt;Options!$B$10),B2351*Options!$X$8,0)</f>
        <v/>
      </c>
      <c r="G2351" s="13">
        <f>F2351*12%</f>
        <v/>
      </c>
      <c r="H2351" s="13">
        <f>IF(A2351="",0,B2351*(92*IF(OR(C2351=Options!$B$9,C2351=Options!$B$10),75%,100%)-IF(C2351=DATE(2026,11,29),26+IF(Options!$B$8="是",23,0),0)-IF(C2351=DATE(2026,11,30),26,0)-IF(C2351=DATE(2026,12,1),64,0)-IF(C2351=DATE(2026,11,28),38,0)-IF(C2351=DATE(2026,12,2),26,0)))</f>
        <v/>
      </c>
      <c r="I2351" s="13">
        <f>IF(AND(C2351&gt;=DATE(2026,11,29),C2351&lt;=DATE(2026,12,1)),B2351*60,0)</f>
        <v/>
      </c>
      <c r="J2351" s="13">
        <f>IF(A2351="",0,B2351*(IF(C2351=DATE(2026,11,28),38,0)+IF(C2351=DATE(2026,12,1),38,0)+IF(C2351=DATE(2026,12,2),26,0)))</f>
        <v/>
      </c>
      <c r="K2351" s="13">
        <f>IF(C2351=Options!$B$9,B2351*12,0)</f>
        <v/>
      </c>
      <c r="L2351" s="13">
        <f>IF(C2351=Options!$B$9,B2351*Options!$Z$8,0)</f>
        <v/>
      </c>
      <c r="M2351" s="13" t="n">
        <v>0</v>
      </c>
      <c r="N2351" s="13">
        <f>SUM(E2351:M2351)</f>
        <v/>
      </c>
    </row>
    <row r="2352">
      <c r="A2352" s="5">
        <f>IF(AND(C2352&gt;=Options!$B$9,C2352&lt;=Options!$B$10),"Boston","")</f>
        <v/>
      </c>
      <c r="B2352" s="5">
        <f>IF(A2352="","",18)</f>
        <v/>
      </c>
      <c r="C2352" s="17" t="n">
        <v>46453</v>
      </c>
      <c r="D2352" s="5">
        <f>IF(A2352="","",IF(C2352=DATE(2026,11,29),"培训；注册午餐；早餐参数",IF(C2352=DATE(2026,11,30),"培训；注册午餐",IF(C2352=DATE(2026,12,1),"培训；注册午餐；机构晚餐",IF(C2352=Options!$B$9,"抵达；"&amp;IF(C2352=DATE(2026,11,28),"机构晚餐","无统一供餐"),IF(C2352=Options!$B$10,"返程；"&amp;IF(C2352=DATE(2026,12,2),"机构午餐","无统一供餐"),"差旅状态；无统一日程"))))))</f>
        <v/>
      </c>
      <c r="E2352" s="13">
        <f>IF(C2352=Options!$B$9,Options!$C$20,0)</f>
        <v/>
      </c>
      <c r="F2352" s="13">
        <f>IF(AND(A2352&lt;&gt;"",C2352&lt;Options!$B$10),B2352*Options!$X$8,0)</f>
        <v/>
      </c>
      <c r="G2352" s="13">
        <f>F2352*12%</f>
        <v/>
      </c>
      <c r="H2352" s="13">
        <f>IF(A2352="",0,B2352*(92*IF(OR(C2352=Options!$B$9,C2352=Options!$B$10),75%,100%)-IF(C2352=DATE(2026,11,29),26+IF(Options!$B$8="是",23,0),0)-IF(C2352=DATE(2026,11,30),26,0)-IF(C2352=DATE(2026,12,1),64,0)-IF(C2352=DATE(2026,11,28),38,0)-IF(C2352=DATE(2026,12,2),26,0)))</f>
        <v/>
      </c>
      <c r="I2352" s="13">
        <f>IF(AND(C2352&gt;=DATE(2026,11,29),C2352&lt;=DATE(2026,12,1)),B2352*60,0)</f>
        <v/>
      </c>
      <c r="J2352" s="13">
        <f>IF(A2352="",0,B2352*(IF(C2352=DATE(2026,11,28),38,0)+IF(C2352=DATE(2026,12,1),38,0)+IF(C2352=DATE(2026,12,2),26,0)))</f>
        <v/>
      </c>
      <c r="K2352" s="13">
        <f>IF(C2352=Options!$B$9,B2352*12,0)</f>
        <v/>
      </c>
      <c r="L2352" s="13">
        <f>IF(C2352=Options!$B$9,B2352*Options!$Z$8,0)</f>
        <v/>
      </c>
      <c r="M2352" s="13" t="n">
        <v>0</v>
      </c>
      <c r="N2352" s="13">
        <f>SUM(E2352:M2352)</f>
        <v/>
      </c>
    </row>
    <row r="2353">
      <c r="A2353" s="5">
        <f>IF(AND(C2353&gt;=Options!$B$9,C2353&lt;=Options!$B$10),"Boston","")</f>
        <v/>
      </c>
      <c r="B2353" s="5">
        <f>IF(A2353="","",18)</f>
        <v/>
      </c>
      <c r="C2353" s="17" t="n">
        <v>46454</v>
      </c>
      <c r="D2353" s="5">
        <f>IF(A2353="","",IF(C2353=DATE(2026,11,29),"培训；注册午餐；早餐参数",IF(C2353=DATE(2026,11,30),"培训；注册午餐",IF(C2353=DATE(2026,12,1),"培训；注册午餐；机构晚餐",IF(C2353=Options!$B$9,"抵达；"&amp;IF(C2353=DATE(2026,11,28),"机构晚餐","无统一供餐"),IF(C2353=Options!$B$10,"返程；"&amp;IF(C2353=DATE(2026,12,2),"机构午餐","无统一供餐"),"差旅状态；无统一日程"))))))</f>
        <v/>
      </c>
      <c r="E2353" s="13">
        <f>IF(C2353=Options!$B$9,Options!$C$20,0)</f>
        <v/>
      </c>
      <c r="F2353" s="13">
        <f>IF(AND(A2353&lt;&gt;"",C2353&lt;Options!$B$10),B2353*Options!$X$8,0)</f>
        <v/>
      </c>
      <c r="G2353" s="13">
        <f>F2353*12%</f>
        <v/>
      </c>
      <c r="H2353" s="13">
        <f>IF(A2353="",0,B2353*(92*IF(OR(C2353=Options!$B$9,C2353=Options!$B$10),75%,100%)-IF(C2353=DATE(2026,11,29),26+IF(Options!$B$8="是",23,0),0)-IF(C2353=DATE(2026,11,30),26,0)-IF(C2353=DATE(2026,12,1),64,0)-IF(C2353=DATE(2026,11,28),38,0)-IF(C2353=DATE(2026,12,2),26,0)))</f>
        <v/>
      </c>
      <c r="I2353" s="13">
        <f>IF(AND(C2353&gt;=DATE(2026,11,29),C2353&lt;=DATE(2026,12,1)),B2353*60,0)</f>
        <v/>
      </c>
      <c r="J2353" s="13">
        <f>IF(A2353="",0,B2353*(IF(C2353=DATE(2026,11,28),38,0)+IF(C2353=DATE(2026,12,1),38,0)+IF(C2353=DATE(2026,12,2),26,0)))</f>
        <v/>
      </c>
      <c r="K2353" s="13">
        <f>IF(C2353=Options!$B$9,B2353*12,0)</f>
        <v/>
      </c>
      <c r="L2353" s="13">
        <f>IF(C2353=Options!$B$9,B2353*Options!$Z$8,0)</f>
        <v/>
      </c>
      <c r="M2353" s="13" t="n">
        <v>0</v>
      </c>
      <c r="N2353" s="13">
        <f>SUM(E2353:M2353)</f>
        <v/>
      </c>
    </row>
    <row r="2354">
      <c r="A2354" s="5">
        <f>IF(AND(C2354&gt;=Options!$B$9,C2354&lt;=Options!$B$10),"Boston","")</f>
        <v/>
      </c>
      <c r="B2354" s="5">
        <f>IF(A2354="","",18)</f>
        <v/>
      </c>
      <c r="C2354" s="17" t="n">
        <v>46455</v>
      </c>
      <c r="D2354" s="5">
        <f>IF(A2354="","",IF(C2354=DATE(2026,11,29),"培训；注册午餐；早餐参数",IF(C2354=DATE(2026,11,30),"培训；注册午餐",IF(C2354=DATE(2026,12,1),"培训；注册午餐；机构晚餐",IF(C2354=Options!$B$9,"抵达；"&amp;IF(C2354=DATE(2026,11,28),"机构晚餐","无统一供餐"),IF(C2354=Options!$B$10,"返程；"&amp;IF(C2354=DATE(2026,12,2),"机构午餐","无统一供餐"),"差旅状态；无统一日程"))))))</f>
        <v/>
      </c>
      <c r="E2354" s="13">
        <f>IF(C2354=Options!$B$9,Options!$C$20,0)</f>
        <v/>
      </c>
      <c r="F2354" s="13">
        <f>IF(AND(A2354&lt;&gt;"",C2354&lt;Options!$B$10),B2354*Options!$X$8,0)</f>
        <v/>
      </c>
      <c r="G2354" s="13">
        <f>F2354*12%</f>
        <v/>
      </c>
      <c r="H2354" s="13">
        <f>IF(A2354="",0,B2354*(92*IF(OR(C2354=Options!$B$9,C2354=Options!$B$10),75%,100%)-IF(C2354=DATE(2026,11,29),26+IF(Options!$B$8="是",23,0),0)-IF(C2354=DATE(2026,11,30),26,0)-IF(C2354=DATE(2026,12,1),64,0)-IF(C2354=DATE(2026,11,28),38,0)-IF(C2354=DATE(2026,12,2),26,0)))</f>
        <v/>
      </c>
      <c r="I2354" s="13">
        <f>IF(AND(C2354&gt;=DATE(2026,11,29),C2354&lt;=DATE(2026,12,1)),B2354*60,0)</f>
        <v/>
      </c>
      <c r="J2354" s="13">
        <f>IF(A2354="",0,B2354*(IF(C2354=DATE(2026,11,28),38,0)+IF(C2354=DATE(2026,12,1),38,0)+IF(C2354=DATE(2026,12,2),26,0)))</f>
        <v/>
      </c>
      <c r="K2354" s="13">
        <f>IF(C2354=Options!$B$9,B2354*12,0)</f>
        <v/>
      </c>
      <c r="L2354" s="13">
        <f>IF(C2354=Options!$B$9,B2354*Options!$Z$8,0)</f>
        <v/>
      </c>
      <c r="M2354" s="13" t="n">
        <v>0</v>
      </c>
      <c r="N2354" s="13">
        <f>SUM(E2354:M2354)</f>
        <v/>
      </c>
    </row>
    <row r="2355">
      <c r="A2355" s="5">
        <f>IF(AND(C2355&gt;=Options!$B$9,C2355&lt;=Options!$B$10),"Boston","")</f>
        <v/>
      </c>
      <c r="B2355" s="5">
        <f>IF(A2355="","",18)</f>
        <v/>
      </c>
      <c r="C2355" s="17" t="n">
        <v>46456</v>
      </c>
      <c r="D2355" s="5">
        <f>IF(A2355="","",IF(C2355=DATE(2026,11,29),"培训；注册午餐；早餐参数",IF(C2355=DATE(2026,11,30),"培训；注册午餐",IF(C2355=DATE(2026,12,1),"培训；注册午餐；机构晚餐",IF(C2355=Options!$B$9,"抵达；"&amp;IF(C2355=DATE(2026,11,28),"机构晚餐","无统一供餐"),IF(C2355=Options!$B$10,"返程；"&amp;IF(C2355=DATE(2026,12,2),"机构午餐","无统一供餐"),"差旅状态；无统一日程"))))))</f>
        <v/>
      </c>
      <c r="E2355" s="13">
        <f>IF(C2355=Options!$B$9,Options!$C$20,0)</f>
        <v/>
      </c>
      <c r="F2355" s="13">
        <f>IF(AND(A2355&lt;&gt;"",C2355&lt;Options!$B$10),B2355*Options!$X$8,0)</f>
        <v/>
      </c>
      <c r="G2355" s="13">
        <f>F2355*12%</f>
        <v/>
      </c>
      <c r="H2355" s="13">
        <f>IF(A2355="",0,B2355*(92*IF(OR(C2355=Options!$B$9,C2355=Options!$B$10),75%,100%)-IF(C2355=DATE(2026,11,29),26+IF(Options!$B$8="是",23,0),0)-IF(C2355=DATE(2026,11,30),26,0)-IF(C2355=DATE(2026,12,1),64,0)-IF(C2355=DATE(2026,11,28),38,0)-IF(C2355=DATE(2026,12,2),26,0)))</f>
        <v/>
      </c>
      <c r="I2355" s="13">
        <f>IF(AND(C2355&gt;=DATE(2026,11,29),C2355&lt;=DATE(2026,12,1)),B2355*60,0)</f>
        <v/>
      </c>
      <c r="J2355" s="13">
        <f>IF(A2355="",0,B2355*(IF(C2355=DATE(2026,11,28),38,0)+IF(C2355=DATE(2026,12,1),38,0)+IF(C2355=DATE(2026,12,2),26,0)))</f>
        <v/>
      </c>
      <c r="K2355" s="13">
        <f>IF(C2355=Options!$B$9,B2355*12,0)</f>
        <v/>
      </c>
      <c r="L2355" s="13">
        <f>IF(C2355=Options!$B$9,B2355*Options!$Z$8,0)</f>
        <v/>
      </c>
      <c r="M2355" s="13" t="n">
        <v>0</v>
      </c>
      <c r="N2355" s="13">
        <f>SUM(E2355:M2355)</f>
        <v/>
      </c>
    </row>
    <row r="2356">
      <c r="A2356" s="5">
        <f>IF(AND(C2356&gt;=Options!$B$9,C2356&lt;=Options!$B$10),"Boston","")</f>
        <v/>
      </c>
      <c r="B2356" s="5">
        <f>IF(A2356="","",18)</f>
        <v/>
      </c>
      <c r="C2356" s="17" t="n">
        <v>46457</v>
      </c>
      <c r="D2356" s="5">
        <f>IF(A2356="","",IF(C2356=DATE(2026,11,29),"培训；注册午餐；早餐参数",IF(C2356=DATE(2026,11,30),"培训；注册午餐",IF(C2356=DATE(2026,12,1),"培训；注册午餐；机构晚餐",IF(C2356=Options!$B$9,"抵达；"&amp;IF(C2356=DATE(2026,11,28),"机构晚餐","无统一供餐"),IF(C2356=Options!$B$10,"返程；"&amp;IF(C2356=DATE(2026,12,2),"机构午餐","无统一供餐"),"差旅状态；无统一日程"))))))</f>
        <v/>
      </c>
      <c r="E2356" s="13">
        <f>IF(C2356=Options!$B$9,Options!$C$20,0)</f>
        <v/>
      </c>
      <c r="F2356" s="13">
        <f>IF(AND(A2356&lt;&gt;"",C2356&lt;Options!$B$10),B2356*Options!$X$8,0)</f>
        <v/>
      </c>
      <c r="G2356" s="13">
        <f>F2356*12%</f>
        <v/>
      </c>
      <c r="H2356" s="13">
        <f>IF(A2356="",0,B2356*(92*IF(OR(C2356=Options!$B$9,C2356=Options!$B$10),75%,100%)-IF(C2356=DATE(2026,11,29),26+IF(Options!$B$8="是",23,0),0)-IF(C2356=DATE(2026,11,30),26,0)-IF(C2356=DATE(2026,12,1),64,0)-IF(C2356=DATE(2026,11,28),38,0)-IF(C2356=DATE(2026,12,2),26,0)))</f>
        <v/>
      </c>
      <c r="I2356" s="13">
        <f>IF(AND(C2356&gt;=DATE(2026,11,29),C2356&lt;=DATE(2026,12,1)),B2356*60,0)</f>
        <v/>
      </c>
      <c r="J2356" s="13">
        <f>IF(A2356="",0,B2356*(IF(C2356=DATE(2026,11,28),38,0)+IF(C2356=DATE(2026,12,1),38,0)+IF(C2356=DATE(2026,12,2),26,0)))</f>
        <v/>
      </c>
      <c r="K2356" s="13">
        <f>IF(C2356=Options!$B$9,B2356*12,0)</f>
        <v/>
      </c>
      <c r="L2356" s="13">
        <f>IF(C2356=Options!$B$9,B2356*Options!$Z$8,0)</f>
        <v/>
      </c>
      <c r="M2356" s="13" t="n">
        <v>0</v>
      </c>
      <c r="N2356" s="13">
        <f>SUM(E2356:M2356)</f>
        <v/>
      </c>
    </row>
    <row r="2357">
      <c r="A2357" s="5">
        <f>IF(AND(C2357&gt;=Options!$B$9,C2357&lt;=Options!$B$10),"Boston","")</f>
        <v/>
      </c>
      <c r="B2357" s="5">
        <f>IF(A2357="","",18)</f>
        <v/>
      </c>
      <c r="C2357" s="17" t="n">
        <v>46458</v>
      </c>
      <c r="D2357" s="5">
        <f>IF(A2357="","",IF(C2357=DATE(2026,11,29),"培训；注册午餐；早餐参数",IF(C2357=DATE(2026,11,30),"培训；注册午餐",IF(C2357=DATE(2026,12,1),"培训；注册午餐；机构晚餐",IF(C2357=Options!$B$9,"抵达；"&amp;IF(C2357=DATE(2026,11,28),"机构晚餐","无统一供餐"),IF(C2357=Options!$B$10,"返程；"&amp;IF(C2357=DATE(2026,12,2),"机构午餐","无统一供餐"),"差旅状态；无统一日程"))))))</f>
        <v/>
      </c>
      <c r="E2357" s="13">
        <f>IF(C2357=Options!$B$9,Options!$C$20,0)</f>
        <v/>
      </c>
      <c r="F2357" s="13">
        <f>IF(AND(A2357&lt;&gt;"",C2357&lt;Options!$B$10),B2357*Options!$X$8,0)</f>
        <v/>
      </c>
      <c r="G2357" s="13">
        <f>F2357*12%</f>
        <v/>
      </c>
      <c r="H2357" s="13">
        <f>IF(A2357="",0,B2357*(92*IF(OR(C2357=Options!$B$9,C2357=Options!$B$10),75%,100%)-IF(C2357=DATE(2026,11,29),26+IF(Options!$B$8="是",23,0),0)-IF(C2357=DATE(2026,11,30),26,0)-IF(C2357=DATE(2026,12,1),64,0)-IF(C2357=DATE(2026,11,28),38,0)-IF(C2357=DATE(2026,12,2),26,0)))</f>
        <v/>
      </c>
      <c r="I2357" s="13">
        <f>IF(AND(C2357&gt;=DATE(2026,11,29),C2357&lt;=DATE(2026,12,1)),B2357*60,0)</f>
        <v/>
      </c>
      <c r="J2357" s="13">
        <f>IF(A2357="",0,B2357*(IF(C2357=DATE(2026,11,28),38,0)+IF(C2357=DATE(2026,12,1),38,0)+IF(C2357=DATE(2026,12,2),26,0)))</f>
        <v/>
      </c>
      <c r="K2357" s="13">
        <f>IF(C2357=Options!$B$9,B2357*12,0)</f>
        <v/>
      </c>
      <c r="L2357" s="13">
        <f>IF(C2357=Options!$B$9,B2357*Options!$Z$8,0)</f>
        <v/>
      </c>
      <c r="M2357" s="13" t="n">
        <v>0</v>
      </c>
      <c r="N2357" s="13">
        <f>SUM(E2357:M2357)</f>
        <v/>
      </c>
    </row>
    <row r="2358">
      <c r="A2358" s="5">
        <f>IF(AND(C2358&gt;=Options!$B$9,C2358&lt;=Options!$B$10),"Boston","")</f>
        <v/>
      </c>
      <c r="B2358" s="5">
        <f>IF(A2358="","",18)</f>
        <v/>
      </c>
      <c r="C2358" s="17" t="n">
        <v>46459</v>
      </c>
      <c r="D2358" s="5">
        <f>IF(A2358="","",IF(C2358=DATE(2026,11,29),"培训；注册午餐；早餐参数",IF(C2358=DATE(2026,11,30),"培训；注册午餐",IF(C2358=DATE(2026,12,1),"培训；注册午餐；机构晚餐",IF(C2358=Options!$B$9,"抵达；"&amp;IF(C2358=DATE(2026,11,28),"机构晚餐","无统一供餐"),IF(C2358=Options!$B$10,"返程；"&amp;IF(C2358=DATE(2026,12,2),"机构午餐","无统一供餐"),"差旅状态；无统一日程"))))))</f>
        <v/>
      </c>
      <c r="E2358" s="13">
        <f>IF(C2358=Options!$B$9,Options!$C$20,0)</f>
        <v/>
      </c>
      <c r="F2358" s="13">
        <f>IF(AND(A2358&lt;&gt;"",C2358&lt;Options!$B$10),B2358*Options!$X$8,0)</f>
        <v/>
      </c>
      <c r="G2358" s="13">
        <f>F2358*12%</f>
        <v/>
      </c>
      <c r="H2358" s="13">
        <f>IF(A2358="",0,B2358*(92*IF(OR(C2358=Options!$B$9,C2358=Options!$B$10),75%,100%)-IF(C2358=DATE(2026,11,29),26+IF(Options!$B$8="是",23,0),0)-IF(C2358=DATE(2026,11,30),26,0)-IF(C2358=DATE(2026,12,1),64,0)-IF(C2358=DATE(2026,11,28),38,0)-IF(C2358=DATE(2026,12,2),26,0)))</f>
        <v/>
      </c>
      <c r="I2358" s="13">
        <f>IF(AND(C2358&gt;=DATE(2026,11,29),C2358&lt;=DATE(2026,12,1)),B2358*60,0)</f>
        <v/>
      </c>
      <c r="J2358" s="13">
        <f>IF(A2358="",0,B2358*(IF(C2358=DATE(2026,11,28),38,0)+IF(C2358=DATE(2026,12,1),38,0)+IF(C2358=DATE(2026,12,2),26,0)))</f>
        <v/>
      </c>
      <c r="K2358" s="13">
        <f>IF(C2358=Options!$B$9,B2358*12,0)</f>
        <v/>
      </c>
      <c r="L2358" s="13">
        <f>IF(C2358=Options!$B$9,B2358*Options!$Z$8,0)</f>
        <v/>
      </c>
      <c r="M2358" s="13" t="n">
        <v>0</v>
      </c>
      <c r="N2358" s="13">
        <f>SUM(E2358:M2358)</f>
        <v/>
      </c>
    </row>
    <row r="2359">
      <c r="A2359" s="5">
        <f>IF(AND(C2359&gt;=Options!$B$9,C2359&lt;=Options!$B$10),"Boston","")</f>
        <v/>
      </c>
      <c r="B2359" s="5">
        <f>IF(A2359="","",18)</f>
        <v/>
      </c>
      <c r="C2359" s="17" t="n">
        <v>46460</v>
      </c>
      <c r="D2359" s="5">
        <f>IF(A2359="","",IF(C2359=DATE(2026,11,29),"培训；注册午餐；早餐参数",IF(C2359=DATE(2026,11,30),"培训；注册午餐",IF(C2359=DATE(2026,12,1),"培训；注册午餐；机构晚餐",IF(C2359=Options!$B$9,"抵达；"&amp;IF(C2359=DATE(2026,11,28),"机构晚餐","无统一供餐"),IF(C2359=Options!$B$10,"返程；"&amp;IF(C2359=DATE(2026,12,2),"机构午餐","无统一供餐"),"差旅状态；无统一日程"))))))</f>
        <v/>
      </c>
      <c r="E2359" s="13">
        <f>IF(C2359=Options!$B$9,Options!$C$20,0)</f>
        <v/>
      </c>
      <c r="F2359" s="13">
        <f>IF(AND(A2359&lt;&gt;"",C2359&lt;Options!$B$10),B2359*Options!$X$8,0)</f>
        <v/>
      </c>
      <c r="G2359" s="13">
        <f>F2359*12%</f>
        <v/>
      </c>
      <c r="H2359" s="13">
        <f>IF(A2359="",0,B2359*(92*IF(OR(C2359=Options!$B$9,C2359=Options!$B$10),75%,100%)-IF(C2359=DATE(2026,11,29),26+IF(Options!$B$8="是",23,0),0)-IF(C2359=DATE(2026,11,30),26,0)-IF(C2359=DATE(2026,12,1),64,0)-IF(C2359=DATE(2026,11,28),38,0)-IF(C2359=DATE(2026,12,2),26,0)))</f>
        <v/>
      </c>
      <c r="I2359" s="13">
        <f>IF(AND(C2359&gt;=DATE(2026,11,29),C2359&lt;=DATE(2026,12,1)),B2359*60,0)</f>
        <v/>
      </c>
      <c r="J2359" s="13">
        <f>IF(A2359="",0,B2359*(IF(C2359=DATE(2026,11,28),38,0)+IF(C2359=DATE(2026,12,1),38,0)+IF(C2359=DATE(2026,12,2),26,0)))</f>
        <v/>
      </c>
      <c r="K2359" s="13">
        <f>IF(C2359=Options!$B$9,B2359*12,0)</f>
        <v/>
      </c>
      <c r="L2359" s="13">
        <f>IF(C2359=Options!$B$9,B2359*Options!$Z$8,0)</f>
        <v/>
      </c>
      <c r="M2359" s="13" t="n">
        <v>0</v>
      </c>
      <c r="N2359" s="13">
        <f>SUM(E2359:M2359)</f>
        <v/>
      </c>
    </row>
    <row r="2360">
      <c r="A2360" s="5">
        <f>IF(AND(C2360&gt;=Options!$B$9,C2360&lt;=Options!$B$10),"Boston","")</f>
        <v/>
      </c>
      <c r="B2360" s="5">
        <f>IF(A2360="","",18)</f>
        <v/>
      </c>
      <c r="C2360" s="17" t="n">
        <v>46461</v>
      </c>
      <c r="D2360" s="5">
        <f>IF(A2360="","",IF(C2360=DATE(2026,11,29),"培训；注册午餐；早餐参数",IF(C2360=DATE(2026,11,30),"培训；注册午餐",IF(C2360=DATE(2026,12,1),"培训；注册午餐；机构晚餐",IF(C2360=Options!$B$9,"抵达；"&amp;IF(C2360=DATE(2026,11,28),"机构晚餐","无统一供餐"),IF(C2360=Options!$B$10,"返程；"&amp;IF(C2360=DATE(2026,12,2),"机构午餐","无统一供餐"),"差旅状态；无统一日程"))))))</f>
        <v/>
      </c>
      <c r="E2360" s="13">
        <f>IF(C2360=Options!$B$9,Options!$C$20,0)</f>
        <v/>
      </c>
      <c r="F2360" s="13">
        <f>IF(AND(A2360&lt;&gt;"",C2360&lt;Options!$B$10),B2360*Options!$X$8,0)</f>
        <v/>
      </c>
      <c r="G2360" s="13">
        <f>F2360*12%</f>
        <v/>
      </c>
      <c r="H2360" s="13">
        <f>IF(A2360="",0,B2360*(92*IF(OR(C2360=Options!$B$9,C2360=Options!$B$10),75%,100%)-IF(C2360=DATE(2026,11,29),26+IF(Options!$B$8="是",23,0),0)-IF(C2360=DATE(2026,11,30),26,0)-IF(C2360=DATE(2026,12,1),64,0)-IF(C2360=DATE(2026,11,28),38,0)-IF(C2360=DATE(2026,12,2),26,0)))</f>
        <v/>
      </c>
      <c r="I2360" s="13">
        <f>IF(AND(C2360&gt;=DATE(2026,11,29),C2360&lt;=DATE(2026,12,1)),B2360*60,0)</f>
        <v/>
      </c>
      <c r="J2360" s="13">
        <f>IF(A2360="",0,B2360*(IF(C2360=DATE(2026,11,28),38,0)+IF(C2360=DATE(2026,12,1),38,0)+IF(C2360=DATE(2026,12,2),26,0)))</f>
        <v/>
      </c>
      <c r="K2360" s="13">
        <f>IF(C2360=Options!$B$9,B2360*12,0)</f>
        <v/>
      </c>
      <c r="L2360" s="13">
        <f>IF(C2360=Options!$B$9,B2360*Options!$Z$8,0)</f>
        <v/>
      </c>
      <c r="M2360" s="13" t="n">
        <v>0</v>
      </c>
      <c r="N2360" s="13">
        <f>SUM(E2360:M2360)</f>
        <v/>
      </c>
    </row>
    <row r="2361">
      <c r="A2361" s="5">
        <f>IF(AND(C2361&gt;=Options!$B$9,C2361&lt;=Options!$B$10),"Boston","")</f>
        <v/>
      </c>
      <c r="B2361" s="5">
        <f>IF(A2361="","",18)</f>
        <v/>
      </c>
      <c r="C2361" s="17" t="n">
        <v>46462</v>
      </c>
      <c r="D2361" s="5">
        <f>IF(A2361="","",IF(C2361=DATE(2026,11,29),"培训；注册午餐；早餐参数",IF(C2361=DATE(2026,11,30),"培训；注册午餐",IF(C2361=DATE(2026,12,1),"培训；注册午餐；机构晚餐",IF(C2361=Options!$B$9,"抵达；"&amp;IF(C2361=DATE(2026,11,28),"机构晚餐","无统一供餐"),IF(C2361=Options!$B$10,"返程；"&amp;IF(C2361=DATE(2026,12,2),"机构午餐","无统一供餐"),"差旅状态；无统一日程"))))))</f>
        <v/>
      </c>
      <c r="E2361" s="13">
        <f>IF(C2361=Options!$B$9,Options!$C$20,0)</f>
        <v/>
      </c>
      <c r="F2361" s="13">
        <f>IF(AND(A2361&lt;&gt;"",C2361&lt;Options!$B$10),B2361*Options!$X$8,0)</f>
        <v/>
      </c>
      <c r="G2361" s="13">
        <f>F2361*12%</f>
        <v/>
      </c>
      <c r="H2361" s="13">
        <f>IF(A2361="",0,B2361*(92*IF(OR(C2361=Options!$B$9,C2361=Options!$B$10),75%,100%)-IF(C2361=DATE(2026,11,29),26+IF(Options!$B$8="是",23,0),0)-IF(C2361=DATE(2026,11,30),26,0)-IF(C2361=DATE(2026,12,1),64,0)-IF(C2361=DATE(2026,11,28),38,0)-IF(C2361=DATE(2026,12,2),26,0)))</f>
        <v/>
      </c>
      <c r="I2361" s="13">
        <f>IF(AND(C2361&gt;=DATE(2026,11,29),C2361&lt;=DATE(2026,12,1)),B2361*60,0)</f>
        <v/>
      </c>
      <c r="J2361" s="13">
        <f>IF(A2361="",0,B2361*(IF(C2361=DATE(2026,11,28),38,0)+IF(C2361=DATE(2026,12,1),38,0)+IF(C2361=DATE(2026,12,2),26,0)))</f>
        <v/>
      </c>
      <c r="K2361" s="13">
        <f>IF(C2361=Options!$B$9,B2361*12,0)</f>
        <v/>
      </c>
      <c r="L2361" s="13">
        <f>IF(C2361=Options!$B$9,B2361*Options!$Z$8,0)</f>
        <v/>
      </c>
      <c r="M2361" s="13" t="n">
        <v>0</v>
      </c>
      <c r="N2361" s="13">
        <f>SUM(E2361:M2361)</f>
        <v/>
      </c>
    </row>
    <row r="2362">
      <c r="A2362" s="5">
        <f>IF(AND(C2362&gt;=Options!$B$9,C2362&lt;=Options!$B$10),"Boston","")</f>
        <v/>
      </c>
      <c r="B2362" s="5">
        <f>IF(A2362="","",18)</f>
        <v/>
      </c>
      <c r="C2362" s="17" t="n">
        <v>46463</v>
      </c>
      <c r="D2362" s="5">
        <f>IF(A2362="","",IF(C2362=DATE(2026,11,29),"培训；注册午餐；早餐参数",IF(C2362=DATE(2026,11,30),"培训；注册午餐",IF(C2362=DATE(2026,12,1),"培训；注册午餐；机构晚餐",IF(C2362=Options!$B$9,"抵达；"&amp;IF(C2362=DATE(2026,11,28),"机构晚餐","无统一供餐"),IF(C2362=Options!$B$10,"返程；"&amp;IF(C2362=DATE(2026,12,2),"机构午餐","无统一供餐"),"差旅状态；无统一日程"))))))</f>
        <v/>
      </c>
      <c r="E2362" s="13">
        <f>IF(C2362=Options!$B$9,Options!$C$20,0)</f>
        <v/>
      </c>
      <c r="F2362" s="13">
        <f>IF(AND(A2362&lt;&gt;"",C2362&lt;Options!$B$10),B2362*Options!$X$8,0)</f>
        <v/>
      </c>
      <c r="G2362" s="13">
        <f>F2362*12%</f>
        <v/>
      </c>
      <c r="H2362" s="13">
        <f>IF(A2362="",0,B2362*(92*IF(OR(C2362=Options!$B$9,C2362=Options!$B$10),75%,100%)-IF(C2362=DATE(2026,11,29),26+IF(Options!$B$8="是",23,0),0)-IF(C2362=DATE(2026,11,30),26,0)-IF(C2362=DATE(2026,12,1),64,0)-IF(C2362=DATE(2026,11,28),38,0)-IF(C2362=DATE(2026,12,2),26,0)))</f>
        <v/>
      </c>
      <c r="I2362" s="13">
        <f>IF(AND(C2362&gt;=DATE(2026,11,29),C2362&lt;=DATE(2026,12,1)),B2362*60,0)</f>
        <v/>
      </c>
      <c r="J2362" s="13">
        <f>IF(A2362="",0,B2362*(IF(C2362=DATE(2026,11,28),38,0)+IF(C2362=DATE(2026,12,1),38,0)+IF(C2362=DATE(2026,12,2),26,0)))</f>
        <v/>
      </c>
      <c r="K2362" s="13">
        <f>IF(C2362=Options!$B$9,B2362*12,0)</f>
        <v/>
      </c>
      <c r="L2362" s="13">
        <f>IF(C2362=Options!$B$9,B2362*Options!$Z$8,0)</f>
        <v/>
      </c>
      <c r="M2362" s="13" t="n">
        <v>0</v>
      </c>
      <c r="N2362" s="13">
        <f>SUM(E2362:M2362)</f>
        <v/>
      </c>
    </row>
    <row r="2363">
      <c r="A2363" s="5">
        <f>IF(AND(C2363&gt;=Options!$B$9,C2363&lt;=Options!$B$10),"Boston","")</f>
        <v/>
      </c>
      <c r="B2363" s="5">
        <f>IF(A2363="","",18)</f>
        <v/>
      </c>
      <c r="C2363" s="17" t="n">
        <v>46464</v>
      </c>
      <c r="D2363" s="5">
        <f>IF(A2363="","",IF(C2363=DATE(2026,11,29),"培训；注册午餐；早餐参数",IF(C2363=DATE(2026,11,30),"培训；注册午餐",IF(C2363=DATE(2026,12,1),"培训；注册午餐；机构晚餐",IF(C2363=Options!$B$9,"抵达；"&amp;IF(C2363=DATE(2026,11,28),"机构晚餐","无统一供餐"),IF(C2363=Options!$B$10,"返程；"&amp;IF(C2363=DATE(2026,12,2),"机构午餐","无统一供餐"),"差旅状态；无统一日程"))))))</f>
        <v/>
      </c>
      <c r="E2363" s="13">
        <f>IF(C2363=Options!$B$9,Options!$C$20,0)</f>
        <v/>
      </c>
      <c r="F2363" s="13">
        <f>IF(AND(A2363&lt;&gt;"",C2363&lt;Options!$B$10),B2363*Options!$X$8,0)</f>
        <v/>
      </c>
      <c r="G2363" s="13">
        <f>F2363*12%</f>
        <v/>
      </c>
      <c r="H2363" s="13">
        <f>IF(A2363="",0,B2363*(92*IF(OR(C2363=Options!$B$9,C2363=Options!$B$10),75%,100%)-IF(C2363=DATE(2026,11,29),26+IF(Options!$B$8="是",23,0),0)-IF(C2363=DATE(2026,11,30),26,0)-IF(C2363=DATE(2026,12,1),64,0)-IF(C2363=DATE(2026,11,28),38,0)-IF(C2363=DATE(2026,12,2),26,0)))</f>
        <v/>
      </c>
      <c r="I2363" s="13">
        <f>IF(AND(C2363&gt;=DATE(2026,11,29),C2363&lt;=DATE(2026,12,1)),B2363*60,0)</f>
        <v/>
      </c>
      <c r="J2363" s="13">
        <f>IF(A2363="",0,B2363*(IF(C2363=DATE(2026,11,28),38,0)+IF(C2363=DATE(2026,12,1),38,0)+IF(C2363=DATE(2026,12,2),26,0)))</f>
        <v/>
      </c>
      <c r="K2363" s="13">
        <f>IF(C2363=Options!$B$9,B2363*12,0)</f>
        <v/>
      </c>
      <c r="L2363" s="13">
        <f>IF(C2363=Options!$B$9,B2363*Options!$Z$8,0)</f>
        <v/>
      </c>
      <c r="M2363" s="13" t="n">
        <v>0</v>
      </c>
      <c r="N2363" s="13">
        <f>SUM(E2363:M2363)</f>
        <v/>
      </c>
    </row>
    <row r="2364">
      <c r="A2364" s="5">
        <f>IF(AND(C2364&gt;=Options!$B$9,C2364&lt;=Options!$B$10),"Boston","")</f>
        <v/>
      </c>
      <c r="B2364" s="5">
        <f>IF(A2364="","",18)</f>
        <v/>
      </c>
      <c r="C2364" s="17" t="n">
        <v>46465</v>
      </c>
      <c r="D2364" s="5">
        <f>IF(A2364="","",IF(C2364=DATE(2026,11,29),"培训；注册午餐；早餐参数",IF(C2364=DATE(2026,11,30),"培训；注册午餐",IF(C2364=DATE(2026,12,1),"培训；注册午餐；机构晚餐",IF(C2364=Options!$B$9,"抵达；"&amp;IF(C2364=DATE(2026,11,28),"机构晚餐","无统一供餐"),IF(C2364=Options!$B$10,"返程；"&amp;IF(C2364=DATE(2026,12,2),"机构午餐","无统一供餐"),"差旅状态；无统一日程"))))))</f>
        <v/>
      </c>
      <c r="E2364" s="13">
        <f>IF(C2364=Options!$B$9,Options!$C$20,0)</f>
        <v/>
      </c>
      <c r="F2364" s="13">
        <f>IF(AND(A2364&lt;&gt;"",C2364&lt;Options!$B$10),B2364*Options!$X$8,0)</f>
        <v/>
      </c>
      <c r="G2364" s="13">
        <f>F2364*12%</f>
        <v/>
      </c>
      <c r="H2364" s="13">
        <f>IF(A2364="",0,B2364*(92*IF(OR(C2364=Options!$B$9,C2364=Options!$B$10),75%,100%)-IF(C2364=DATE(2026,11,29),26+IF(Options!$B$8="是",23,0),0)-IF(C2364=DATE(2026,11,30),26,0)-IF(C2364=DATE(2026,12,1),64,0)-IF(C2364=DATE(2026,11,28),38,0)-IF(C2364=DATE(2026,12,2),26,0)))</f>
        <v/>
      </c>
      <c r="I2364" s="13">
        <f>IF(AND(C2364&gt;=DATE(2026,11,29),C2364&lt;=DATE(2026,12,1)),B2364*60,0)</f>
        <v/>
      </c>
      <c r="J2364" s="13">
        <f>IF(A2364="",0,B2364*(IF(C2364=DATE(2026,11,28),38,0)+IF(C2364=DATE(2026,12,1),38,0)+IF(C2364=DATE(2026,12,2),26,0)))</f>
        <v/>
      </c>
      <c r="K2364" s="13">
        <f>IF(C2364=Options!$B$9,B2364*12,0)</f>
        <v/>
      </c>
      <c r="L2364" s="13">
        <f>IF(C2364=Options!$B$9,B2364*Options!$Z$8,0)</f>
        <v/>
      </c>
      <c r="M2364" s="13" t="n">
        <v>0</v>
      </c>
      <c r="N2364" s="13">
        <f>SUM(E2364:M2364)</f>
        <v/>
      </c>
    </row>
    <row r="2365">
      <c r="A2365" s="5">
        <f>IF(AND(C2365&gt;=Options!$B$9,C2365&lt;=Options!$B$10),"Boston","")</f>
        <v/>
      </c>
      <c r="B2365" s="5">
        <f>IF(A2365="","",18)</f>
        <v/>
      </c>
      <c r="C2365" s="17" t="n">
        <v>46466</v>
      </c>
      <c r="D2365" s="5">
        <f>IF(A2365="","",IF(C2365=DATE(2026,11,29),"培训；注册午餐；早餐参数",IF(C2365=DATE(2026,11,30),"培训；注册午餐",IF(C2365=DATE(2026,12,1),"培训；注册午餐；机构晚餐",IF(C2365=Options!$B$9,"抵达；"&amp;IF(C2365=DATE(2026,11,28),"机构晚餐","无统一供餐"),IF(C2365=Options!$B$10,"返程；"&amp;IF(C2365=DATE(2026,12,2),"机构午餐","无统一供餐"),"差旅状态；无统一日程"))))))</f>
        <v/>
      </c>
      <c r="E2365" s="13">
        <f>IF(C2365=Options!$B$9,Options!$C$20,0)</f>
        <v/>
      </c>
      <c r="F2365" s="13">
        <f>IF(AND(A2365&lt;&gt;"",C2365&lt;Options!$B$10),B2365*Options!$X$8,0)</f>
        <v/>
      </c>
      <c r="G2365" s="13">
        <f>F2365*12%</f>
        <v/>
      </c>
      <c r="H2365" s="13">
        <f>IF(A2365="",0,B2365*(92*IF(OR(C2365=Options!$B$9,C2365=Options!$B$10),75%,100%)-IF(C2365=DATE(2026,11,29),26+IF(Options!$B$8="是",23,0),0)-IF(C2365=DATE(2026,11,30),26,0)-IF(C2365=DATE(2026,12,1),64,0)-IF(C2365=DATE(2026,11,28),38,0)-IF(C2365=DATE(2026,12,2),26,0)))</f>
        <v/>
      </c>
      <c r="I2365" s="13">
        <f>IF(AND(C2365&gt;=DATE(2026,11,29),C2365&lt;=DATE(2026,12,1)),B2365*60,0)</f>
        <v/>
      </c>
      <c r="J2365" s="13">
        <f>IF(A2365="",0,B2365*(IF(C2365=DATE(2026,11,28),38,0)+IF(C2365=DATE(2026,12,1),38,0)+IF(C2365=DATE(2026,12,2),26,0)))</f>
        <v/>
      </c>
      <c r="K2365" s="13">
        <f>IF(C2365=Options!$B$9,B2365*12,0)</f>
        <v/>
      </c>
      <c r="L2365" s="13">
        <f>IF(C2365=Options!$B$9,B2365*Options!$Z$8,0)</f>
        <v/>
      </c>
      <c r="M2365" s="13" t="n">
        <v>0</v>
      </c>
      <c r="N2365" s="13">
        <f>SUM(E2365:M2365)</f>
        <v/>
      </c>
    </row>
    <row r="2366">
      <c r="A2366" s="5">
        <f>IF(AND(C2366&gt;=Options!$B$9,C2366&lt;=Options!$B$10),"Boston","")</f>
        <v/>
      </c>
      <c r="B2366" s="5">
        <f>IF(A2366="","",18)</f>
        <v/>
      </c>
      <c r="C2366" s="17" t="n">
        <v>46467</v>
      </c>
      <c r="D2366" s="5">
        <f>IF(A2366="","",IF(C2366=DATE(2026,11,29),"培训；注册午餐；早餐参数",IF(C2366=DATE(2026,11,30),"培训；注册午餐",IF(C2366=DATE(2026,12,1),"培训；注册午餐；机构晚餐",IF(C2366=Options!$B$9,"抵达；"&amp;IF(C2366=DATE(2026,11,28),"机构晚餐","无统一供餐"),IF(C2366=Options!$B$10,"返程；"&amp;IF(C2366=DATE(2026,12,2),"机构午餐","无统一供餐"),"差旅状态；无统一日程"))))))</f>
        <v/>
      </c>
      <c r="E2366" s="13">
        <f>IF(C2366=Options!$B$9,Options!$C$20,0)</f>
        <v/>
      </c>
      <c r="F2366" s="13">
        <f>IF(AND(A2366&lt;&gt;"",C2366&lt;Options!$B$10),B2366*Options!$X$8,0)</f>
        <v/>
      </c>
      <c r="G2366" s="13">
        <f>F2366*12%</f>
        <v/>
      </c>
      <c r="H2366" s="13">
        <f>IF(A2366="",0,B2366*(92*IF(OR(C2366=Options!$B$9,C2366=Options!$B$10),75%,100%)-IF(C2366=DATE(2026,11,29),26+IF(Options!$B$8="是",23,0),0)-IF(C2366=DATE(2026,11,30),26,0)-IF(C2366=DATE(2026,12,1),64,0)-IF(C2366=DATE(2026,11,28),38,0)-IF(C2366=DATE(2026,12,2),26,0)))</f>
        <v/>
      </c>
      <c r="I2366" s="13">
        <f>IF(AND(C2366&gt;=DATE(2026,11,29),C2366&lt;=DATE(2026,12,1)),B2366*60,0)</f>
        <v/>
      </c>
      <c r="J2366" s="13">
        <f>IF(A2366="",0,B2366*(IF(C2366=DATE(2026,11,28),38,0)+IF(C2366=DATE(2026,12,1),38,0)+IF(C2366=DATE(2026,12,2),26,0)))</f>
        <v/>
      </c>
      <c r="K2366" s="13">
        <f>IF(C2366=Options!$B$9,B2366*12,0)</f>
        <v/>
      </c>
      <c r="L2366" s="13">
        <f>IF(C2366=Options!$B$9,B2366*Options!$Z$8,0)</f>
        <v/>
      </c>
      <c r="M2366" s="13" t="n">
        <v>0</v>
      </c>
      <c r="N2366" s="13">
        <f>SUM(E2366:M2366)</f>
        <v/>
      </c>
    </row>
    <row r="2367">
      <c r="A2367" s="5">
        <f>IF(AND(C2367&gt;=Options!$B$9,C2367&lt;=Options!$B$10),"Boston","")</f>
        <v/>
      </c>
      <c r="B2367" s="5">
        <f>IF(A2367="","",18)</f>
        <v/>
      </c>
      <c r="C2367" s="17" t="n">
        <v>46468</v>
      </c>
      <c r="D2367" s="5">
        <f>IF(A2367="","",IF(C2367=DATE(2026,11,29),"培训；注册午餐；早餐参数",IF(C2367=DATE(2026,11,30),"培训；注册午餐",IF(C2367=DATE(2026,12,1),"培训；注册午餐；机构晚餐",IF(C2367=Options!$B$9,"抵达；"&amp;IF(C2367=DATE(2026,11,28),"机构晚餐","无统一供餐"),IF(C2367=Options!$B$10,"返程；"&amp;IF(C2367=DATE(2026,12,2),"机构午餐","无统一供餐"),"差旅状态；无统一日程"))))))</f>
        <v/>
      </c>
      <c r="E2367" s="13">
        <f>IF(C2367=Options!$B$9,Options!$C$20,0)</f>
        <v/>
      </c>
      <c r="F2367" s="13">
        <f>IF(AND(A2367&lt;&gt;"",C2367&lt;Options!$B$10),B2367*Options!$X$8,0)</f>
        <v/>
      </c>
      <c r="G2367" s="13">
        <f>F2367*12%</f>
        <v/>
      </c>
      <c r="H2367" s="13">
        <f>IF(A2367="",0,B2367*(92*IF(OR(C2367=Options!$B$9,C2367=Options!$B$10),75%,100%)-IF(C2367=DATE(2026,11,29),26+IF(Options!$B$8="是",23,0),0)-IF(C2367=DATE(2026,11,30),26,0)-IF(C2367=DATE(2026,12,1),64,0)-IF(C2367=DATE(2026,11,28),38,0)-IF(C2367=DATE(2026,12,2),26,0)))</f>
        <v/>
      </c>
      <c r="I2367" s="13">
        <f>IF(AND(C2367&gt;=DATE(2026,11,29),C2367&lt;=DATE(2026,12,1)),B2367*60,0)</f>
        <v/>
      </c>
      <c r="J2367" s="13">
        <f>IF(A2367="",0,B2367*(IF(C2367=DATE(2026,11,28),38,0)+IF(C2367=DATE(2026,12,1),38,0)+IF(C2367=DATE(2026,12,2),26,0)))</f>
        <v/>
      </c>
      <c r="K2367" s="13">
        <f>IF(C2367=Options!$B$9,B2367*12,0)</f>
        <v/>
      </c>
      <c r="L2367" s="13">
        <f>IF(C2367=Options!$B$9,B2367*Options!$Z$8,0)</f>
        <v/>
      </c>
      <c r="M2367" s="13" t="n">
        <v>0</v>
      </c>
      <c r="N2367" s="13">
        <f>SUM(E2367:M2367)</f>
        <v/>
      </c>
    </row>
    <row r="2368">
      <c r="A2368" s="5">
        <f>IF(AND(C2368&gt;=Options!$B$9,C2368&lt;=Options!$B$10),"Boston","")</f>
        <v/>
      </c>
      <c r="B2368" s="5">
        <f>IF(A2368="","",18)</f>
        <v/>
      </c>
      <c r="C2368" s="17" t="n">
        <v>46469</v>
      </c>
      <c r="D2368" s="5">
        <f>IF(A2368="","",IF(C2368=DATE(2026,11,29),"培训；注册午餐；早餐参数",IF(C2368=DATE(2026,11,30),"培训；注册午餐",IF(C2368=DATE(2026,12,1),"培训；注册午餐；机构晚餐",IF(C2368=Options!$B$9,"抵达；"&amp;IF(C2368=DATE(2026,11,28),"机构晚餐","无统一供餐"),IF(C2368=Options!$B$10,"返程；"&amp;IF(C2368=DATE(2026,12,2),"机构午餐","无统一供餐"),"差旅状态；无统一日程"))))))</f>
        <v/>
      </c>
      <c r="E2368" s="13">
        <f>IF(C2368=Options!$B$9,Options!$C$20,0)</f>
        <v/>
      </c>
      <c r="F2368" s="13">
        <f>IF(AND(A2368&lt;&gt;"",C2368&lt;Options!$B$10),B2368*Options!$X$8,0)</f>
        <v/>
      </c>
      <c r="G2368" s="13">
        <f>F2368*12%</f>
        <v/>
      </c>
      <c r="H2368" s="13">
        <f>IF(A2368="",0,B2368*(92*IF(OR(C2368=Options!$B$9,C2368=Options!$B$10),75%,100%)-IF(C2368=DATE(2026,11,29),26+IF(Options!$B$8="是",23,0),0)-IF(C2368=DATE(2026,11,30),26,0)-IF(C2368=DATE(2026,12,1),64,0)-IF(C2368=DATE(2026,11,28),38,0)-IF(C2368=DATE(2026,12,2),26,0)))</f>
        <v/>
      </c>
      <c r="I2368" s="13">
        <f>IF(AND(C2368&gt;=DATE(2026,11,29),C2368&lt;=DATE(2026,12,1)),B2368*60,0)</f>
        <v/>
      </c>
      <c r="J2368" s="13">
        <f>IF(A2368="",0,B2368*(IF(C2368=DATE(2026,11,28),38,0)+IF(C2368=DATE(2026,12,1),38,0)+IF(C2368=DATE(2026,12,2),26,0)))</f>
        <v/>
      </c>
      <c r="K2368" s="13">
        <f>IF(C2368=Options!$B$9,B2368*12,0)</f>
        <v/>
      </c>
      <c r="L2368" s="13">
        <f>IF(C2368=Options!$B$9,B2368*Options!$Z$8,0)</f>
        <v/>
      </c>
      <c r="M2368" s="13" t="n">
        <v>0</v>
      </c>
      <c r="N2368" s="13">
        <f>SUM(E2368:M2368)</f>
        <v/>
      </c>
    </row>
    <row r="2369">
      <c r="A2369" s="5">
        <f>IF(AND(C2369&gt;=Options!$B$9,C2369&lt;=Options!$B$10),"Boston","")</f>
        <v/>
      </c>
      <c r="B2369" s="5">
        <f>IF(A2369="","",18)</f>
        <v/>
      </c>
      <c r="C2369" s="17" t="n">
        <v>46470</v>
      </c>
      <c r="D2369" s="5">
        <f>IF(A2369="","",IF(C2369=DATE(2026,11,29),"培训；注册午餐；早餐参数",IF(C2369=DATE(2026,11,30),"培训；注册午餐",IF(C2369=DATE(2026,12,1),"培训；注册午餐；机构晚餐",IF(C2369=Options!$B$9,"抵达；"&amp;IF(C2369=DATE(2026,11,28),"机构晚餐","无统一供餐"),IF(C2369=Options!$B$10,"返程；"&amp;IF(C2369=DATE(2026,12,2),"机构午餐","无统一供餐"),"差旅状态；无统一日程"))))))</f>
        <v/>
      </c>
      <c r="E2369" s="13">
        <f>IF(C2369=Options!$B$9,Options!$C$20,0)</f>
        <v/>
      </c>
      <c r="F2369" s="13">
        <f>IF(AND(A2369&lt;&gt;"",C2369&lt;Options!$B$10),B2369*Options!$X$8,0)</f>
        <v/>
      </c>
      <c r="G2369" s="13">
        <f>F2369*12%</f>
        <v/>
      </c>
      <c r="H2369" s="13">
        <f>IF(A2369="",0,B2369*(92*IF(OR(C2369=Options!$B$9,C2369=Options!$B$10),75%,100%)-IF(C2369=DATE(2026,11,29),26+IF(Options!$B$8="是",23,0),0)-IF(C2369=DATE(2026,11,30),26,0)-IF(C2369=DATE(2026,12,1),64,0)-IF(C2369=DATE(2026,11,28),38,0)-IF(C2369=DATE(2026,12,2),26,0)))</f>
        <v/>
      </c>
      <c r="I2369" s="13">
        <f>IF(AND(C2369&gt;=DATE(2026,11,29),C2369&lt;=DATE(2026,12,1)),B2369*60,0)</f>
        <v/>
      </c>
      <c r="J2369" s="13">
        <f>IF(A2369="",0,B2369*(IF(C2369=DATE(2026,11,28),38,0)+IF(C2369=DATE(2026,12,1),38,0)+IF(C2369=DATE(2026,12,2),26,0)))</f>
        <v/>
      </c>
      <c r="K2369" s="13">
        <f>IF(C2369=Options!$B$9,B2369*12,0)</f>
        <v/>
      </c>
      <c r="L2369" s="13">
        <f>IF(C2369=Options!$B$9,B2369*Options!$Z$8,0)</f>
        <v/>
      </c>
      <c r="M2369" s="13" t="n">
        <v>0</v>
      </c>
      <c r="N2369" s="13">
        <f>SUM(E2369:M2369)</f>
        <v/>
      </c>
    </row>
    <row r="2370">
      <c r="A2370" s="5">
        <f>IF(AND(C2370&gt;=Options!$B$9,C2370&lt;=Options!$B$10),"Boston","")</f>
        <v/>
      </c>
      <c r="B2370" s="5">
        <f>IF(A2370="","",18)</f>
        <v/>
      </c>
      <c r="C2370" s="17" t="n">
        <v>46471</v>
      </c>
      <c r="D2370" s="5">
        <f>IF(A2370="","",IF(C2370=DATE(2026,11,29),"培训；注册午餐；早餐参数",IF(C2370=DATE(2026,11,30),"培训；注册午餐",IF(C2370=DATE(2026,12,1),"培训；注册午餐；机构晚餐",IF(C2370=Options!$B$9,"抵达；"&amp;IF(C2370=DATE(2026,11,28),"机构晚餐","无统一供餐"),IF(C2370=Options!$B$10,"返程；"&amp;IF(C2370=DATE(2026,12,2),"机构午餐","无统一供餐"),"差旅状态；无统一日程"))))))</f>
        <v/>
      </c>
      <c r="E2370" s="13">
        <f>IF(C2370=Options!$B$9,Options!$C$20,0)</f>
        <v/>
      </c>
      <c r="F2370" s="13">
        <f>IF(AND(A2370&lt;&gt;"",C2370&lt;Options!$B$10),B2370*Options!$X$8,0)</f>
        <v/>
      </c>
      <c r="G2370" s="13">
        <f>F2370*12%</f>
        <v/>
      </c>
      <c r="H2370" s="13">
        <f>IF(A2370="",0,B2370*(92*IF(OR(C2370=Options!$B$9,C2370=Options!$B$10),75%,100%)-IF(C2370=DATE(2026,11,29),26+IF(Options!$B$8="是",23,0),0)-IF(C2370=DATE(2026,11,30),26,0)-IF(C2370=DATE(2026,12,1),64,0)-IF(C2370=DATE(2026,11,28),38,0)-IF(C2370=DATE(2026,12,2),26,0)))</f>
        <v/>
      </c>
      <c r="I2370" s="13">
        <f>IF(AND(C2370&gt;=DATE(2026,11,29),C2370&lt;=DATE(2026,12,1)),B2370*60,0)</f>
        <v/>
      </c>
      <c r="J2370" s="13">
        <f>IF(A2370="",0,B2370*(IF(C2370=DATE(2026,11,28),38,0)+IF(C2370=DATE(2026,12,1),38,0)+IF(C2370=DATE(2026,12,2),26,0)))</f>
        <v/>
      </c>
      <c r="K2370" s="13">
        <f>IF(C2370=Options!$B$9,B2370*12,0)</f>
        <v/>
      </c>
      <c r="L2370" s="13">
        <f>IF(C2370=Options!$B$9,B2370*Options!$Z$8,0)</f>
        <v/>
      </c>
      <c r="M2370" s="13" t="n">
        <v>0</v>
      </c>
      <c r="N2370" s="13">
        <f>SUM(E2370:M2370)</f>
        <v/>
      </c>
    </row>
    <row r="2371">
      <c r="A2371" s="5">
        <f>IF(AND(C2371&gt;=Options!$B$9,C2371&lt;=Options!$B$10),"Boston","")</f>
        <v/>
      </c>
      <c r="B2371" s="5">
        <f>IF(A2371="","",18)</f>
        <v/>
      </c>
      <c r="C2371" s="17" t="n">
        <v>46472</v>
      </c>
      <c r="D2371" s="5">
        <f>IF(A2371="","",IF(C2371=DATE(2026,11,29),"培训；注册午餐；早餐参数",IF(C2371=DATE(2026,11,30),"培训；注册午餐",IF(C2371=DATE(2026,12,1),"培训；注册午餐；机构晚餐",IF(C2371=Options!$B$9,"抵达；"&amp;IF(C2371=DATE(2026,11,28),"机构晚餐","无统一供餐"),IF(C2371=Options!$B$10,"返程；"&amp;IF(C2371=DATE(2026,12,2),"机构午餐","无统一供餐"),"差旅状态；无统一日程"))))))</f>
        <v/>
      </c>
      <c r="E2371" s="13">
        <f>IF(C2371=Options!$B$9,Options!$C$20,0)</f>
        <v/>
      </c>
      <c r="F2371" s="13">
        <f>IF(AND(A2371&lt;&gt;"",C2371&lt;Options!$B$10),B2371*Options!$X$8,0)</f>
        <v/>
      </c>
      <c r="G2371" s="13">
        <f>F2371*12%</f>
        <v/>
      </c>
      <c r="H2371" s="13">
        <f>IF(A2371="",0,B2371*(92*IF(OR(C2371=Options!$B$9,C2371=Options!$B$10),75%,100%)-IF(C2371=DATE(2026,11,29),26+IF(Options!$B$8="是",23,0),0)-IF(C2371=DATE(2026,11,30),26,0)-IF(C2371=DATE(2026,12,1),64,0)-IF(C2371=DATE(2026,11,28),38,0)-IF(C2371=DATE(2026,12,2),26,0)))</f>
        <v/>
      </c>
      <c r="I2371" s="13">
        <f>IF(AND(C2371&gt;=DATE(2026,11,29),C2371&lt;=DATE(2026,12,1)),B2371*60,0)</f>
        <v/>
      </c>
      <c r="J2371" s="13">
        <f>IF(A2371="",0,B2371*(IF(C2371=DATE(2026,11,28),38,0)+IF(C2371=DATE(2026,12,1),38,0)+IF(C2371=DATE(2026,12,2),26,0)))</f>
        <v/>
      </c>
      <c r="K2371" s="13">
        <f>IF(C2371=Options!$B$9,B2371*12,0)</f>
        <v/>
      </c>
      <c r="L2371" s="13">
        <f>IF(C2371=Options!$B$9,B2371*Options!$Z$8,0)</f>
        <v/>
      </c>
      <c r="M2371" s="13" t="n">
        <v>0</v>
      </c>
      <c r="N2371" s="13">
        <f>SUM(E2371:M2371)</f>
        <v/>
      </c>
    </row>
    <row r="2372">
      <c r="A2372" s="5">
        <f>IF(AND(C2372&gt;=Options!$B$9,C2372&lt;=Options!$B$10),"Boston","")</f>
        <v/>
      </c>
      <c r="B2372" s="5">
        <f>IF(A2372="","",18)</f>
        <v/>
      </c>
      <c r="C2372" s="17" t="n">
        <v>46473</v>
      </c>
      <c r="D2372" s="5">
        <f>IF(A2372="","",IF(C2372=DATE(2026,11,29),"培训；注册午餐；早餐参数",IF(C2372=DATE(2026,11,30),"培训；注册午餐",IF(C2372=DATE(2026,12,1),"培训；注册午餐；机构晚餐",IF(C2372=Options!$B$9,"抵达；"&amp;IF(C2372=DATE(2026,11,28),"机构晚餐","无统一供餐"),IF(C2372=Options!$B$10,"返程；"&amp;IF(C2372=DATE(2026,12,2),"机构午餐","无统一供餐"),"差旅状态；无统一日程"))))))</f>
        <v/>
      </c>
      <c r="E2372" s="13">
        <f>IF(C2372=Options!$B$9,Options!$C$20,0)</f>
        <v/>
      </c>
      <c r="F2372" s="13">
        <f>IF(AND(A2372&lt;&gt;"",C2372&lt;Options!$B$10),B2372*Options!$X$8,0)</f>
        <v/>
      </c>
      <c r="G2372" s="13">
        <f>F2372*12%</f>
        <v/>
      </c>
      <c r="H2372" s="13">
        <f>IF(A2372="",0,B2372*(92*IF(OR(C2372=Options!$B$9,C2372=Options!$B$10),75%,100%)-IF(C2372=DATE(2026,11,29),26+IF(Options!$B$8="是",23,0),0)-IF(C2372=DATE(2026,11,30),26,0)-IF(C2372=DATE(2026,12,1),64,0)-IF(C2372=DATE(2026,11,28),38,0)-IF(C2372=DATE(2026,12,2),26,0)))</f>
        <v/>
      </c>
      <c r="I2372" s="13">
        <f>IF(AND(C2372&gt;=DATE(2026,11,29),C2372&lt;=DATE(2026,12,1)),B2372*60,0)</f>
        <v/>
      </c>
      <c r="J2372" s="13">
        <f>IF(A2372="",0,B2372*(IF(C2372=DATE(2026,11,28),38,0)+IF(C2372=DATE(2026,12,1),38,0)+IF(C2372=DATE(2026,12,2),26,0)))</f>
        <v/>
      </c>
      <c r="K2372" s="13">
        <f>IF(C2372=Options!$B$9,B2372*12,0)</f>
        <v/>
      </c>
      <c r="L2372" s="13">
        <f>IF(C2372=Options!$B$9,B2372*Options!$Z$8,0)</f>
        <v/>
      </c>
      <c r="M2372" s="13" t="n">
        <v>0</v>
      </c>
      <c r="N2372" s="13">
        <f>SUM(E2372:M2372)</f>
        <v/>
      </c>
    </row>
    <row r="2373">
      <c r="A2373" s="5">
        <f>IF(AND(C2373&gt;=Options!$B$9,C2373&lt;=Options!$B$10),"Boston","")</f>
        <v/>
      </c>
      <c r="B2373" s="5">
        <f>IF(A2373="","",18)</f>
        <v/>
      </c>
      <c r="C2373" s="17" t="n">
        <v>46474</v>
      </c>
      <c r="D2373" s="5">
        <f>IF(A2373="","",IF(C2373=DATE(2026,11,29),"培训；注册午餐；早餐参数",IF(C2373=DATE(2026,11,30),"培训；注册午餐",IF(C2373=DATE(2026,12,1),"培训；注册午餐；机构晚餐",IF(C2373=Options!$B$9,"抵达；"&amp;IF(C2373=DATE(2026,11,28),"机构晚餐","无统一供餐"),IF(C2373=Options!$B$10,"返程；"&amp;IF(C2373=DATE(2026,12,2),"机构午餐","无统一供餐"),"差旅状态；无统一日程"))))))</f>
        <v/>
      </c>
      <c r="E2373" s="13">
        <f>IF(C2373=Options!$B$9,Options!$C$20,0)</f>
        <v/>
      </c>
      <c r="F2373" s="13">
        <f>IF(AND(A2373&lt;&gt;"",C2373&lt;Options!$B$10),B2373*Options!$X$8,0)</f>
        <v/>
      </c>
      <c r="G2373" s="13">
        <f>F2373*12%</f>
        <v/>
      </c>
      <c r="H2373" s="13">
        <f>IF(A2373="",0,B2373*(92*IF(OR(C2373=Options!$B$9,C2373=Options!$B$10),75%,100%)-IF(C2373=DATE(2026,11,29),26+IF(Options!$B$8="是",23,0),0)-IF(C2373=DATE(2026,11,30),26,0)-IF(C2373=DATE(2026,12,1),64,0)-IF(C2373=DATE(2026,11,28),38,0)-IF(C2373=DATE(2026,12,2),26,0)))</f>
        <v/>
      </c>
      <c r="I2373" s="13">
        <f>IF(AND(C2373&gt;=DATE(2026,11,29),C2373&lt;=DATE(2026,12,1)),B2373*60,0)</f>
        <v/>
      </c>
      <c r="J2373" s="13">
        <f>IF(A2373="",0,B2373*(IF(C2373=DATE(2026,11,28),38,0)+IF(C2373=DATE(2026,12,1),38,0)+IF(C2373=DATE(2026,12,2),26,0)))</f>
        <v/>
      </c>
      <c r="K2373" s="13">
        <f>IF(C2373=Options!$B$9,B2373*12,0)</f>
        <v/>
      </c>
      <c r="L2373" s="13">
        <f>IF(C2373=Options!$B$9,B2373*Options!$Z$8,0)</f>
        <v/>
      </c>
      <c r="M2373" s="13" t="n">
        <v>0</v>
      </c>
      <c r="N2373" s="13">
        <f>SUM(E2373:M2373)</f>
        <v/>
      </c>
    </row>
    <row r="2374">
      <c r="A2374" s="5">
        <f>IF(AND(C2374&gt;=Options!$B$9,C2374&lt;=Options!$B$10),"Boston","")</f>
        <v/>
      </c>
      <c r="B2374" s="5">
        <f>IF(A2374="","",18)</f>
        <v/>
      </c>
      <c r="C2374" s="17" t="n">
        <v>46475</v>
      </c>
      <c r="D2374" s="5">
        <f>IF(A2374="","",IF(C2374=DATE(2026,11,29),"培训；注册午餐；早餐参数",IF(C2374=DATE(2026,11,30),"培训；注册午餐",IF(C2374=DATE(2026,12,1),"培训；注册午餐；机构晚餐",IF(C2374=Options!$B$9,"抵达；"&amp;IF(C2374=DATE(2026,11,28),"机构晚餐","无统一供餐"),IF(C2374=Options!$B$10,"返程；"&amp;IF(C2374=DATE(2026,12,2),"机构午餐","无统一供餐"),"差旅状态；无统一日程"))))))</f>
        <v/>
      </c>
      <c r="E2374" s="13">
        <f>IF(C2374=Options!$B$9,Options!$C$20,0)</f>
        <v/>
      </c>
      <c r="F2374" s="13">
        <f>IF(AND(A2374&lt;&gt;"",C2374&lt;Options!$B$10),B2374*Options!$X$8,0)</f>
        <v/>
      </c>
      <c r="G2374" s="13">
        <f>F2374*12%</f>
        <v/>
      </c>
      <c r="H2374" s="13">
        <f>IF(A2374="",0,B2374*(92*IF(OR(C2374=Options!$B$9,C2374=Options!$B$10),75%,100%)-IF(C2374=DATE(2026,11,29),26+IF(Options!$B$8="是",23,0),0)-IF(C2374=DATE(2026,11,30),26,0)-IF(C2374=DATE(2026,12,1),64,0)-IF(C2374=DATE(2026,11,28),38,0)-IF(C2374=DATE(2026,12,2),26,0)))</f>
        <v/>
      </c>
      <c r="I2374" s="13">
        <f>IF(AND(C2374&gt;=DATE(2026,11,29),C2374&lt;=DATE(2026,12,1)),B2374*60,0)</f>
        <v/>
      </c>
      <c r="J2374" s="13">
        <f>IF(A2374="",0,B2374*(IF(C2374=DATE(2026,11,28),38,0)+IF(C2374=DATE(2026,12,1),38,0)+IF(C2374=DATE(2026,12,2),26,0)))</f>
        <v/>
      </c>
      <c r="K2374" s="13">
        <f>IF(C2374=Options!$B$9,B2374*12,0)</f>
        <v/>
      </c>
      <c r="L2374" s="13">
        <f>IF(C2374=Options!$B$9,B2374*Options!$Z$8,0)</f>
        <v/>
      </c>
      <c r="M2374" s="13" t="n">
        <v>0</v>
      </c>
      <c r="N2374" s="13">
        <f>SUM(E2374:M2374)</f>
        <v/>
      </c>
    </row>
    <row r="2375">
      <c r="A2375" s="5">
        <f>IF(AND(C2375&gt;=Options!$B$9,C2375&lt;=Options!$B$10),"Boston","")</f>
        <v/>
      </c>
      <c r="B2375" s="5">
        <f>IF(A2375="","",18)</f>
        <v/>
      </c>
      <c r="C2375" s="17" t="n">
        <v>46476</v>
      </c>
      <c r="D2375" s="5">
        <f>IF(A2375="","",IF(C2375=DATE(2026,11,29),"培训；注册午餐；早餐参数",IF(C2375=DATE(2026,11,30),"培训；注册午餐",IF(C2375=DATE(2026,12,1),"培训；注册午餐；机构晚餐",IF(C2375=Options!$B$9,"抵达；"&amp;IF(C2375=DATE(2026,11,28),"机构晚餐","无统一供餐"),IF(C2375=Options!$B$10,"返程；"&amp;IF(C2375=DATE(2026,12,2),"机构午餐","无统一供餐"),"差旅状态；无统一日程"))))))</f>
        <v/>
      </c>
      <c r="E2375" s="13">
        <f>IF(C2375=Options!$B$9,Options!$C$20,0)</f>
        <v/>
      </c>
      <c r="F2375" s="13">
        <f>IF(AND(A2375&lt;&gt;"",C2375&lt;Options!$B$10),B2375*Options!$X$8,0)</f>
        <v/>
      </c>
      <c r="G2375" s="13">
        <f>F2375*12%</f>
        <v/>
      </c>
      <c r="H2375" s="13">
        <f>IF(A2375="",0,B2375*(92*IF(OR(C2375=Options!$B$9,C2375=Options!$B$10),75%,100%)-IF(C2375=DATE(2026,11,29),26+IF(Options!$B$8="是",23,0),0)-IF(C2375=DATE(2026,11,30),26,0)-IF(C2375=DATE(2026,12,1),64,0)-IF(C2375=DATE(2026,11,28),38,0)-IF(C2375=DATE(2026,12,2),26,0)))</f>
        <v/>
      </c>
      <c r="I2375" s="13">
        <f>IF(AND(C2375&gt;=DATE(2026,11,29),C2375&lt;=DATE(2026,12,1)),B2375*60,0)</f>
        <v/>
      </c>
      <c r="J2375" s="13">
        <f>IF(A2375="",0,B2375*(IF(C2375=DATE(2026,11,28),38,0)+IF(C2375=DATE(2026,12,1),38,0)+IF(C2375=DATE(2026,12,2),26,0)))</f>
        <v/>
      </c>
      <c r="K2375" s="13">
        <f>IF(C2375=Options!$B$9,B2375*12,0)</f>
        <v/>
      </c>
      <c r="L2375" s="13">
        <f>IF(C2375=Options!$B$9,B2375*Options!$Z$8,0)</f>
        <v/>
      </c>
      <c r="M2375" s="13" t="n">
        <v>0</v>
      </c>
      <c r="N2375" s="13">
        <f>SUM(E2375:M2375)</f>
        <v/>
      </c>
    </row>
    <row r="2376">
      <c r="A2376" s="5">
        <f>IF(AND(C2376&gt;=Options!$B$9,C2376&lt;=Options!$B$10),"Boston","")</f>
        <v/>
      </c>
      <c r="B2376" s="5">
        <f>IF(A2376="","",18)</f>
        <v/>
      </c>
      <c r="C2376" s="17" t="n">
        <v>46477</v>
      </c>
      <c r="D2376" s="5">
        <f>IF(A2376="","",IF(C2376=DATE(2026,11,29),"培训；注册午餐；早餐参数",IF(C2376=DATE(2026,11,30),"培训；注册午餐",IF(C2376=DATE(2026,12,1),"培训；注册午餐；机构晚餐",IF(C2376=Options!$B$9,"抵达；"&amp;IF(C2376=DATE(2026,11,28),"机构晚餐","无统一供餐"),IF(C2376=Options!$B$10,"返程；"&amp;IF(C2376=DATE(2026,12,2),"机构午餐","无统一供餐"),"差旅状态；无统一日程"))))))</f>
        <v/>
      </c>
      <c r="E2376" s="13">
        <f>IF(C2376=Options!$B$9,Options!$C$20,0)</f>
        <v/>
      </c>
      <c r="F2376" s="13">
        <f>IF(AND(A2376&lt;&gt;"",C2376&lt;Options!$B$10),B2376*Options!$X$8,0)</f>
        <v/>
      </c>
      <c r="G2376" s="13">
        <f>F2376*12%</f>
        <v/>
      </c>
      <c r="H2376" s="13">
        <f>IF(A2376="",0,B2376*(92*IF(OR(C2376=Options!$B$9,C2376=Options!$B$10),75%,100%)-IF(C2376=DATE(2026,11,29),26+IF(Options!$B$8="是",23,0),0)-IF(C2376=DATE(2026,11,30),26,0)-IF(C2376=DATE(2026,12,1),64,0)-IF(C2376=DATE(2026,11,28),38,0)-IF(C2376=DATE(2026,12,2),26,0)))</f>
        <v/>
      </c>
      <c r="I2376" s="13">
        <f>IF(AND(C2376&gt;=DATE(2026,11,29),C2376&lt;=DATE(2026,12,1)),B2376*60,0)</f>
        <v/>
      </c>
      <c r="J2376" s="13">
        <f>IF(A2376="",0,B2376*(IF(C2376=DATE(2026,11,28),38,0)+IF(C2376=DATE(2026,12,1),38,0)+IF(C2376=DATE(2026,12,2),26,0)))</f>
        <v/>
      </c>
      <c r="K2376" s="13">
        <f>IF(C2376=Options!$B$9,B2376*12,0)</f>
        <v/>
      </c>
      <c r="L2376" s="13">
        <f>IF(C2376=Options!$B$9,B2376*Options!$Z$8,0)</f>
        <v/>
      </c>
      <c r="M2376" s="13" t="n">
        <v>0</v>
      </c>
      <c r="N2376" s="13">
        <f>SUM(E2376:M2376)</f>
        <v/>
      </c>
    </row>
    <row r="2377">
      <c r="A2377" s="5">
        <f>IF(AND(C2377&gt;=Options!$B$9,C2377&lt;=Options!$B$10),"Boston","")</f>
        <v/>
      </c>
      <c r="B2377" s="5">
        <f>IF(A2377="","",18)</f>
        <v/>
      </c>
      <c r="C2377" s="17" t="n">
        <v>46478</v>
      </c>
      <c r="D2377" s="5">
        <f>IF(A2377="","",IF(C2377=DATE(2026,11,29),"培训；注册午餐；早餐参数",IF(C2377=DATE(2026,11,30),"培训；注册午餐",IF(C2377=DATE(2026,12,1),"培训；注册午餐；机构晚餐",IF(C2377=Options!$B$9,"抵达；"&amp;IF(C2377=DATE(2026,11,28),"机构晚餐","无统一供餐"),IF(C2377=Options!$B$10,"返程；"&amp;IF(C2377=DATE(2026,12,2),"机构午餐","无统一供餐"),"差旅状态；无统一日程"))))))</f>
        <v/>
      </c>
      <c r="E2377" s="13">
        <f>IF(C2377=Options!$B$9,Options!$C$20,0)</f>
        <v/>
      </c>
      <c r="F2377" s="13">
        <f>IF(AND(A2377&lt;&gt;"",C2377&lt;Options!$B$10),B2377*Options!$X$8,0)</f>
        <v/>
      </c>
      <c r="G2377" s="13">
        <f>F2377*12%</f>
        <v/>
      </c>
      <c r="H2377" s="13">
        <f>IF(A2377="",0,B2377*(92*IF(OR(C2377=Options!$B$9,C2377=Options!$B$10),75%,100%)-IF(C2377=DATE(2026,11,29),26+IF(Options!$B$8="是",23,0),0)-IF(C2377=DATE(2026,11,30),26,0)-IF(C2377=DATE(2026,12,1),64,0)-IF(C2377=DATE(2026,11,28),38,0)-IF(C2377=DATE(2026,12,2),26,0)))</f>
        <v/>
      </c>
      <c r="I2377" s="13">
        <f>IF(AND(C2377&gt;=DATE(2026,11,29),C2377&lt;=DATE(2026,12,1)),B2377*60,0)</f>
        <v/>
      </c>
      <c r="J2377" s="13">
        <f>IF(A2377="",0,B2377*(IF(C2377=DATE(2026,11,28),38,0)+IF(C2377=DATE(2026,12,1),38,0)+IF(C2377=DATE(2026,12,2),26,0)))</f>
        <v/>
      </c>
      <c r="K2377" s="13">
        <f>IF(C2377=Options!$B$9,B2377*12,0)</f>
        <v/>
      </c>
      <c r="L2377" s="13">
        <f>IF(C2377=Options!$B$9,B2377*Options!$Z$8,0)</f>
        <v/>
      </c>
      <c r="M2377" s="13" t="n">
        <v>0</v>
      </c>
      <c r="N2377" s="13">
        <f>SUM(E2377:M2377)</f>
        <v/>
      </c>
    </row>
    <row r="2378">
      <c r="A2378" s="5">
        <f>IF(AND(C2378&gt;=Options!$B$9,C2378&lt;=Options!$B$10),"Boston","")</f>
        <v/>
      </c>
      <c r="B2378" s="5">
        <f>IF(A2378="","",18)</f>
        <v/>
      </c>
      <c r="C2378" s="17" t="n">
        <v>46479</v>
      </c>
      <c r="D2378" s="5">
        <f>IF(A2378="","",IF(C2378=DATE(2026,11,29),"培训；注册午餐；早餐参数",IF(C2378=DATE(2026,11,30),"培训；注册午餐",IF(C2378=DATE(2026,12,1),"培训；注册午餐；机构晚餐",IF(C2378=Options!$B$9,"抵达；"&amp;IF(C2378=DATE(2026,11,28),"机构晚餐","无统一供餐"),IF(C2378=Options!$B$10,"返程；"&amp;IF(C2378=DATE(2026,12,2),"机构午餐","无统一供餐"),"差旅状态；无统一日程"))))))</f>
        <v/>
      </c>
      <c r="E2378" s="13">
        <f>IF(C2378=Options!$B$9,Options!$C$20,0)</f>
        <v/>
      </c>
      <c r="F2378" s="13">
        <f>IF(AND(A2378&lt;&gt;"",C2378&lt;Options!$B$10),B2378*Options!$X$8,0)</f>
        <v/>
      </c>
      <c r="G2378" s="13">
        <f>F2378*12%</f>
        <v/>
      </c>
      <c r="H2378" s="13">
        <f>IF(A2378="",0,B2378*(92*IF(OR(C2378=Options!$B$9,C2378=Options!$B$10),75%,100%)-IF(C2378=DATE(2026,11,29),26+IF(Options!$B$8="是",23,0),0)-IF(C2378=DATE(2026,11,30),26,0)-IF(C2378=DATE(2026,12,1),64,0)-IF(C2378=DATE(2026,11,28),38,0)-IF(C2378=DATE(2026,12,2),26,0)))</f>
        <v/>
      </c>
      <c r="I2378" s="13">
        <f>IF(AND(C2378&gt;=DATE(2026,11,29),C2378&lt;=DATE(2026,12,1)),B2378*60,0)</f>
        <v/>
      </c>
      <c r="J2378" s="13">
        <f>IF(A2378="",0,B2378*(IF(C2378=DATE(2026,11,28),38,0)+IF(C2378=DATE(2026,12,1),38,0)+IF(C2378=DATE(2026,12,2),26,0)))</f>
        <v/>
      </c>
      <c r="K2378" s="13">
        <f>IF(C2378=Options!$B$9,B2378*12,0)</f>
        <v/>
      </c>
      <c r="L2378" s="13">
        <f>IF(C2378=Options!$B$9,B2378*Options!$Z$8,0)</f>
        <v/>
      </c>
      <c r="M2378" s="13" t="n">
        <v>0</v>
      </c>
      <c r="N2378" s="13">
        <f>SUM(E2378:M2378)</f>
        <v/>
      </c>
    </row>
    <row r="2379">
      <c r="A2379" s="5">
        <f>IF(AND(C2379&gt;=Options!$B$9,C2379&lt;=Options!$B$10),"Boston","")</f>
        <v/>
      </c>
      <c r="B2379" s="5">
        <f>IF(A2379="","",18)</f>
        <v/>
      </c>
      <c r="C2379" s="17" t="n">
        <v>46480</v>
      </c>
      <c r="D2379" s="5">
        <f>IF(A2379="","",IF(C2379=DATE(2026,11,29),"培训；注册午餐；早餐参数",IF(C2379=DATE(2026,11,30),"培训；注册午餐",IF(C2379=DATE(2026,12,1),"培训；注册午餐；机构晚餐",IF(C2379=Options!$B$9,"抵达；"&amp;IF(C2379=DATE(2026,11,28),"机构晚餐","无统一供餐"),IF(C2379=Options!$B$10,"返程；"&amp;IF(C2379=DATE(2026,12,2),"机构午餐","无统一供餐"),"差旅状态；无统一日程"))))))</f>
        <v/>
      </c>
      <c r="E2379" s="13">
        <f>IF(C2379=Options!$B$9,Options!$C$20,0)</f>
        <v/>
      </c>
      <c r="F2379" s="13">
        <f>IF(AND(A2379&lt;&gt;"",C2379&lt;Options!$B$10),B2379*Options!$X$8,0)</f>
        <v/>
      </c>
      <c r="G2379" s="13">
        <f>F2379*12%</f>
        <v/>
      </c>
      <c r="H2379" s="13">
        <f>IF(A2379="",0,B2379*(92*IF(OR(C2379=Options!$B$9,C2379=Options!$B$10),75%,100%)-IF(C2379=DATE(2026,11,29),26+IF(Options!$B$8="是",23,0),0)-IF(C2379=DATE(2026,11,30),26,0)-IF(C2379=DATE(2026,12,1),64,0)-IF(C2379=DATE(2026,11,28),38,0)-IF(C2379=DATE(2026,12,2),26,0)))</f>
        <v/>
      </c>
      <c r="I2379" s="13">
        <f>IF(AND(C2379&gt;=DATE(2026,11,29),C2379&lt;=DATE(2026,12,1)),B2379*60,0)</f>
        <v/>
      </c>
      <c r="J2379" s="13">
        <f>IF(A2379="",0,B2379*(IF(C2379=DATE(2026,11,28),38,0)+IF(C2379=DATE(2026,12,1),38,0)+IF(C2379=DATE(2026,12,2),26,0)))</f>
        <v/>
      </c>
      <c r="K2379" s="13">
        <f>IF(C2379=Options!$B$9,B2379*12,0)</f>
        <v/>
      </c>
      <c r="L2379" s="13">
        <f>IF(C2379=Options!$B$9,B2379*Options!$Z$8,0)</f>
        <v/>
      </c>
      <c r="M2379" s="13" t="n">
        <v>0</v>
      </c>
      <c r="N2379" s="13">
        <f>SUM(E2379:M2379)</f>
        <v/>
      </c>
    </row>
    <row r="2380">
      <c r="A2380" s="5">
        <f>IF(AND(C2380&gt;=Options!$B$9,C2380&lt;=Options!$B$10),"Boston","")</f>
        <v/>
      </c>
      <c r="B2380" s="5">
        <f>IF(A2380="","",18)</f>
        <v/>
      </c>
      <c r="C2380" s="17" t="n">
        <v>46481</v>
      </c>
      <c r="D2380" s="5">
        <f>IF(A2380="","",IF(C2380=DATE(2026,11,29),"培训；注册午餐；早餐参数",IF(C2380=DATE(2026,11,30),"培训；注册午餐",IF(C2380=DATE(2026,12,1),"培训；注册午餐；机构晚餐",IF(C2380=Options!$B$9,"抵达；"&amp;IF(C2380=DATE(2026,11,28),"机构晚餐","无统一供餐"),IF(C2380=Options!$B$10,"返程；"&amp;IF(C2380=DATE(2026,12,2),"机构午餐","无统一供餐"),"差旅状态；无统一日程"))))))</f>
        <v/>
      </c>
      <c r="E2380" s="13">
        <f>IF(C2380=Options!$B$9,Options!$C$20,0)</f>
        <v/>
      </c>
      <c r="F2380" s="13">
        <f>IF(AND(A2380&lt;&gt;"",C2380&lt;Options!$B$10),B2380*Options!$X$8,0)</f>
        <v/>
      </c>
      <c r="G2380" s="13">
        <f>F2380*12%</f>
        <v/>
      </c>
      <c r="H2380" s="13">
        <f>IF(A2380="",0,B2380*(92*IF(OR(C2380=Options!$B$9,C2380=Options!$B$10),75%,100%)-IF(C2380=DATE(2026,11,29),26+IF(Options!$B$8="是",23,0),0)-IF(C2380=DATE(2026,11,30),26,0)-IF(C2380=DATE(2026,12,1),64,0)-IF(C2380=DATE(2026,11,28),38,0)-IF(C2380=DATE(2026,12,2),26,0)))</f>
        <v/>
      </c>
      <c r="I2380" s="13">
        <f>IF(AND(C2380&gt;=DATE(2026,11,29),C2380&lt;=DATE(2026,12,1)),B2380*60,0)</f>
        <v/>
      </c>
      <c r="J2380" s="13">
        <f>IF(A2380="",0,B2380*(IF(C2380=DATE(2026,11,28),38,0)+IF(C2380=DATE(2026,12,1),38,0)+IF(C2380=DATE(2026,12,2),26,0)))</f>
        <v/>
      </c>
      <c r="K2380" s="13">
        <f>IF(C2380=Options!$B$9,B2380*12,0)</f>
        <v/>
      </c>
      <c r="L2380" s="13">
        <f>IF(C2380=Options!$B$9,B2380*Options!$Z$8,0)</f>
        <v/>
      </c>
      <c r="M2380" s="13" t="n">
        <v>0</v>
      </c>
      <c r="N2380" s="13">
        <f>SUM(E2380:M2380)</f>
        <v/>
      </c>
    </row>
    <row r="2381">
      <c r="A2381" s="5">
        <f>IF(AND(C2381&gt;=Options!$B$9,C2381&lt;=Options!$B$10),"Boston","")</f>
        <v/>
      </c>
      <c r="B2381" s="5">
        <f>IF(A2381="","",18)</f>
        <v/>
      </c>
      <c r="C2381" s="17" t="n">
        <v>46482</v>
      </c>
      <c r="D2381" s="5">
        <f>IF(A2381="","",IF(C2381=DATE(2026,11,29),"培训；注册午餐；早餐参数",IF(C2381=DATE(2026,11,30),"培训；注册午餐",IF(C2381=DATE(2026,12,1),"培训；注册午餐；机构晚餐",IF(C2381=Options!$B$9,"抵达；"&amp;IF(C2381=DATE(2026,11,28),"机构晚餐","无统一供餐"),IF(C2381=Options!$B$10,"返程；"&amp;IF(C2381=DATE(2026,12,2),"机构午餐","无统一供餐"),"差旅状态；无统一日程"))))))</f>
        <v/>
      </c>
      <c r="E2381" s="13">
        <f>IF(C2381=Options!$B$9,Options!$C$20,0)</f>
        <v/>
      </c>
      <c r="F2381" s="13">
        <f>IF(AND(A2381&lt;&gt;"",C2381&lt;Options!$B$10),B2381*Options!$X$8,0)</f>
        <v/>
      </c>
      <c r="G2381" s="13">
        <f>F2381*12%</f>
        <v/>
      </c>
      <c r="H2381" s="13">
        <f>IF(A2381="",0,B2381*(92*IF(OR(C2381=Options!$B$9,C2381=Options!$B$10),75%,100%)-IF(C2381=DATE(2026,11,29),26+IF(Options!$B$8="是",23,0),0)-IF(C2381=DATE(2026,11,30),26,0)-IF(C2381=DATE(2026,12,1),64,0)-IF(C2381=DATE(2026,11,28),38,0)-IF(C2381=DATE(2026,12,2),26,0)))</f>
        <v/>
      </c>
      <c r="I2381" s="13">
        <f>IF(AND(C2381&gt;=DATE(2026,11,29),C2381&lt;=DATE(2026,12,1)),B2381*60,0)</f>
        <v/>
      </c>
      <c r="J2381" s="13">
        <f>IF(A2381="",0,B2381*(IF(C2381=DATE(2026,11,28),38,0)+IF(C2381=DATE(2026,12,1),38,0)+IF(C2381=DATE(2026,12,2),26,0)))</f>
        <v/>
      </c>
      <c r="K2381" s="13">
        <f>IF(C2381=Options!$B$9,B2381*12,0)</f>
        <v/>
      </c>
      <c r="L2381" s="13">
        <f>IF(C2381=Options!$B$9,B2381*Options!$Z$8,0)</f>
        <v/>
      </c>
      <c r="M2381" s="13" t="n">
        <v>0</v>
      </c>
      <c r="N2381" s="13">
        <f>SUM(E2381:M2381)</f>
        <v/>
      </c>
    </row>
    <row r="2382">
      <c r="A2382" s="5">
        <f>IF(AND(C2382&gt;=Options!$B$9,C2382&lt;=Options!$B$10),"Boston","")</f>
        <v/>
      </c>
      <c r="B2382" s="5">
        <f>IF(A2382="","",18)</f>
        <v/>
      </c>
      <c r="C2382" s="17" t="n">
        <v>46483</v>
      </c>
      <c r="D2382" s="5">
        <f>IF(A2382="","",IF(C2382=DATE(2026,11,29),"培训；注册午餐；早餐参数",IF(C2382=DATE(2026,11,30),"培训；注册午餐",IF(C2382=DATE(2026,12,1),"培训；注册午餐；机构晚餐",IF(C2382=Options!$B$9,"抵达；"&amp;IF(C2382=DATE(2026,11,28),"机构晚餐","无统一供餐"),IF(C2382=Options!$B$10,"返程；"&amp;IF(C2382=DATE(2026,12,2),"机构午餐","无统一供餐"),"差旅状态；无统一日程"))))))</f>
        <v/>
      </c>
      <c r="E2382" s="13">
        <f>IF(C2382=Options!$B$9,Options!$C$20,0)</f>
        <v/>
      </c>
      <c r="F2382" s="13">
        <f>IF(AND(A2382&lt;&gt;"",C2382&lt;Options!$B$10),B2382*Options!$X$8,0)</f>
        <v/>
      </c>
      <c r="G2382" s="13">
        <f>F2382*12%</f>
        <v/>
      </c>
      <c r="H2382" s="13">
        <f>IF(A2382="",0,B2382*(92*IF(OR(C2382=Options!$B$9,C2382=Options!$B$10),75%,100%)-IF(C2382=DATE(2026,11,29),26+IF(Options!$B$8="是",23,0),0)-IF(C2382=DATE(2026,11,30),26,0)-IF(C2382=DATE(2026,12,1),64,0)-IF(C2382=DATE(2026,11,28),38,0)-IF(C2382=DATE(2026,12,2),26,0)))</f>
        <v/>
      </c>
      <c r="I2382" s="13">
        <f>IF(AND(C2382&gt;=DATE(2026,11,29),C2382&lt;=DATE(2026,12,1)),B2382*60,0)</f>
        <v/>
      </c>
      <c r="J2382" s="13">
        <f>IF(A2382="",0,B2382*(IF(C2382=DATE(2026,11,28),38,0)+IF(C2382=DATE(2026,12,1),38,0)+IF(C2382=DATE(2026,12,2),26,0)))</f>
        <v/>
      </c>
      <c r="K2382" s="13">
        <f>IF(C2382=Options!$B$9,B2382*12,0)</f>
        <v/>
      </c>
      <c r="L2382" s="13">
        <f>IF(C2382=Options!$B$9,B2382*Options!$Z$8,0)</f>
        <v/>
      </c>
      <c r="M2382" s="13" t="n">
        <v>0</v>
      </c>
      <c r="N2382" s="13">
        <f>SUM(E2382:M2382)</f>
        <v/>
      </c>
    </row>
    <row r="2383">
      <c r="A2383" s="5">
        <f>IF(AND(C2383&gt;=Options!$B$9,C2383&lt;=Options!$B$10),"Boston","")</f>
        <v/>
      </c>
      <c r="B2383" s="5">
        <f>IF(A2383="","",18)</f>
        <v/>
      </c>
      <c r="C2383" s="17" t="n">
        <v>46484</v>
      </c>
      <c r="D2383" s="5">
        <f>IF(A2383="","",IF(C2383=DATE(2026,11,29),"培训；注册午餐；早餐参数",IF(C2383=DATE(2026,11,30),"培训；注册午餐",IF(C2383=DATE(2026,12,1),"培训；注册午餐；机构晚餐",IF(C2383=Options!$B$9,"抵达；"&amp;IF(C2383=DATE(2026,11,28),"机构晚餐","无统一供餐"),IF(C2383=Options!$B$10,"返程；"&amp;IF(C2383=DATE(2026,12,2),"机构午餐","无统一供餐"),"差旅状态；无统一日程"))))))</f>
        <v/>
      </c>
      <c r="E2383" s="13">
        <f>IF(C2383=Options!$B$9,Options!$C$20,0)</f>
        <v/>
      </c>
      <c r="F2383" s="13">
        <f>IF(AND(A2383&lt;&gt;"",C2383&lt;Options!$B$10),B2383*Options!$X$8,0)</f>
        <v/>
      </c>
      <c r="G2383" s="13">
        <f>F2383*12%</f>
        <v/>
      </c>
      <c r="H2383" s="13">
        <f>IF(A2383="",0,B2383*(92*IF(OR(C2383=Options!$B$9,C2383=Options!$B$10),75%,100%)-IF(C2383=DATE(2026,11,29),26+IF(Options!$B$8="是",23,0),0)-IF(C2383=DATE(2026,11,30),26,0)-IF(C2383=DATE(2026,12,1),64,0)-IF(C2383=DATE(2026,11,28),38,0)-IF(C2383=DATE(2026,12,2),26,0)))</f>
        <v/>
      </c>
      <c r="I2383" s="13">
        <f>IF(AND(C2383&gt;=DATE(2026,11,29),C2383&lt;=DATE(2026,12,1)),B2383*60,0)</f>
        <v/>
      </c>
      <c r="J2383" s="13">
        <f>IF(A2383="",0,B2383*(IF(C2383=DATE(2026,11,28),38,0)+IF(C2383=DATE(2026,12,1),38,0)+IF(C2383=DATE(2026,12,2),26,0)))</f>
        <v/>
      </c>
      <c r="K2383" s="13">
        <f>IF(C2383=Options!$B$9,B2383*12,0)</f>
        <v/>
      </c>
      <c r="L2383" s="13">
        <f>IF(C2383=Options!$B$9,B2383*Options!$Z$8,0)</f>
        <v/>
      </c>
      <c r="M2383" s="13" t="n">
        <v>0</v>
      </c>
      <c r="N2383" s="13">
        <f>SUM(E2383:M2383)</f>
        <v/>
      </c>
    </row>
    <row r="2384">
      <c r="A2384" s="5">
        <f>IF(AND(C2384&gt;=Options!$B$9,C2384&lt;=Options!$B$10),"Boston","")</f>
        <v/>
      </c>
      <c r="B2384" s="5">
        <f>IF(A2384="","",18)</f>
        <v/>
      </c>
      <c r="C2384" s="17" t="n">
        <v>46485</v>
      </c>
      <c r="D2384" s="5">
        <f>IF(A2384="","",IF(C2384=DATE(2026,11,29),"培训；注册午餐；早餐参数",IF(C2384=DATE(2026,11,30),"培训；注册午餐",IF(C2384=DATE(2026,12,1),"培训；注册午餐；机构晚餐",IF(C2384=Options!$B$9,"抵达；"&amp;IF(C2384=DATE(2026,11,28),"机构晚餐","无统一供餐"),IF(C2384=Options!$B$10,"返程；"&amp;IF(C2384=DATE(2026,12,2),"机构午餐","无统一供餐"),"差旅状态；无统一日程"))))))</f>
        <v/>
      </c>
      <c r="E2384" s="13">
        <f>IF(C2384=Options!$B$9,Options!$C$20,0)</f>
        <v/>
      </c>
      <c r="F2384" s="13">
        <f>IF(AND(A2384&lt;&gt;"",C2384&lt;Options!$B$10),B2384*Options!$X$8,0)</f>
        <v/>
      </c>
      <c r="G2384" s="13">
        <f>F2384*12%</f>
        <v/>
      </c>
      <c r="H2384" s="13">
        <f>IF(A2384="",0,B2384*(92*IF(OR(C2384=Options!$B$9,C2384=Options!$B$10),75%,100%)-IF(C2384=DATE(2026,11,29),26+IF(Options!$B$8="是",23,0),0)-IF(C2384=DATE(2026,11,30),26,0)-IF(C2384=DATE(2026,12,1),64,0)-IF(C2384=DATE(2026,11,28),38,0)-IF(C2384=DATE(2026,12,2),26,0)))</f>
        <v/>
      </c>
      <c r="I2384" s="13">
        <f>IF(AND(C2384&gt;=DATE(2026,11,29),C2384&lt;=DATE(2026,12,1)),B2384*60,0)</f>
        <v/>
      </c>
      <c r="J2384" s="13">
        <f>IF(A2384="",0,B2384*(IF(C2384=DATE(2026,11,28),38,0)+IF(C2384=DATE(2026,12,1),38,0)+IF(C2384=DATE(2026,12,2),26,0)))</f>
        <v/>
      </c>
      <c r="K2384" s="13">
        <f>IF(C2384=Options!$B$9,B2384*12,0)</f>
        <v/>
      </c>
      <c r="L2384" s="13">
        <f>IF(C2384=Options!$B$9,B2384*Options!$Z$8,0)</f>
        <v/>
      </c>
      <c r="M2384" s="13" t="n">
        <v>0</v>
      </c>
      <c r="N2384" s="13">
        <f>SUM(E2384:M2384)</f>
        <v/>
      </c>
    </row>
    <row r="2385">
      <c r="A2385" s="5">
        <f>IF(AND(C2385&gt;=Options!$B$9,C2385&lt;=Options!$B$10),"Boston","")</f>
        <v/>
      </c>
      <c r="B2385" s="5">
        <f>IF(A2385="","",18)</f>
        <v/>
      </c>
      <c r="C2385" s="17" t="n">
        <v>46486</v>
      </c>
      <c r="D2385" s="5">
        <f>IF(A2385="","",IF(C2385=DATE(2026,11,29),"培训；注册午餐；早餐参数",IF(C2385=DATE(2026,11,30),"培训；注册午餐",IF(C2385=DATE(2026,12,1),"培训；注册午餐；机构晚餐",IF(C2385=Options!$B$9,"抵达；"&amp;IF(C2385=DATE(2026,11,28),"机构晚餐","无统一供餐"),IF(C2385=Options!$B$10,"返程；"&amp;IF(C2385=DATE(2026,12,2),"机构午餐","无统一供餐"),"差旅状态；无统一日程"))))))</f>
        <v/>
      </c>
      <c r="E2385" s="13">
        <f>IF(C2385=Options!$B$9,Options!$C$20,0)</f>
        <v/>
      </c>
      <c r="F2385" s="13">
        <f>IF(AND(A2385&lt;&gt;"",C2385&lt;Options!$B$10),B2385*Options!$X$8,0)</f>
        <v/>
      </c>
      <c r="G2385" s="13">
        <f>F2385*12%</f>
        <v/>
      </c>
      <c r="H2385" s="13">
        <f>IF(A2385="",0,B2385*(92*IF(OR(C2385=Options!$B$9,C2385=Options!$B$10),75%,100%)-IF(C2385=DATE(2026,11,29),26+IF(Options!$B$8="是",23,0),0)-IF(C2385=DATE(2026,11,30),26,0)-IF(C2385=DATE(2026,12,1),64,0)-IF(C2385=DATE(2026,11,28),38,0)-IF(C2385=DATE(2026,12,2),26,0)))</f>
        <v/>
      </c>
      <c r="I2385" s="13">
        <f>IF(AND(C2385&gt;=DATE(2026,11,29),C2385&lt;=DATE(2026,12,1)),B2385*60,0)</f>
        <v/>
      </c>
      <c r="J2385" s="13">
        <f>IF(A2385="",0,B2385*(IF(C2385=DATE(2026,11,28),38,0)+IF(C2385=DATE(2026,12,1),38,0)+IF(C2385=DATE(2026,12,2),26,0)))</f>
        <v/>
      </c>
      <c r="K2385" s="13">
        <f>IF(C2385=Options!$B$9,B2385*12,0)</f>
        <v/>
      </c>
      <c r="L2385" s="13">
        <f>IF(C2385=Options!$B$9,B2385*Options!$Z$8,0)</f>
        <v/>
      </c>
      <c r="M2385" s="13" t="n">
        <v>0</v>
      </c>
      <c r="N2385" s="13">
        <f>SUM(E2385:M2385)</f>
        <v/>
      </c>
    </row>
    <row r="2386">
      <c r="A2386" s="5">
        <f>IF(AND(C2386&gt;=Options!$B$9,C2386&lt;=Options!$B$10),"Boston","")</f>
        <v/>
      </c>
      <c r="B2386" s="5">
        <f>IF(A2386="","",18)</f>
        <v/>
      </c>
      <c r="C2386" s="17" t="n">
        <v>46487</v>
      </c>
      <c r="D2386" s="5">
        <f>IF(A2386="","",IF(C2386=DATE(2026,11,29),"培训；注册午餐；早餐参数",IF(C2386=DATE(2026,11,30),"培训；注册午餐",IF(C2386=DATE(2026,12,1),"培训；注册午餐；机构晚餐",IF(C2386=Options!$B$9,"抵达；"&amp;IF(C2386=DATE(2026,11,28),"机构晚餐","无统一供餐"),IF(C2386=Options!$B$10,"返程；"&amp;IF(C2386=DATE(2026,12,2),"机构午餐","无统一供餐"),"差旅状态；无统一日程"))))))</f>
        <v/>
      </c>
      <c r="E2386" s="13">
        <f>IF(C2386=Options!$B$9,Options!$C$20,0)</f>
        <v/>
      </c>
      <c r="F2386" s="13">
        <f>IF(AND(A2386&lt;&gt;"",C2386&lt;Options!$B$10),B2386*Options!$X$8,0)</f>
        <v/>
      </c>
      <c r="G2386" s="13">
        <f>F2386*12%</f>
        <v/>
      </c>
      <c r="H2386" s="13">
        <f>IF(A2386="",0,B2386*(92*IF(OR(C2386=Options!$B$9,C2386=Options!$B$10),75%,100%)-IF(C2386=DATE(2026,11,29),26+IF(Options!$B$8="是",23,0),0)-IF(C2386=DATE(2026,11,30),26,0)-IF(C2386=DATE(2026,12,1),64,0)-IF(C2386=DATE(2026,11,28),38,0)-IF(C2386=DATE(2026,12,2),26,0)))</f>
        <v/>
      </c>
      <c r="I2386" s="13">
        <f>IF(AND(C2386&gt;=DATE(2026,11,29),C2386&lt;=DATE(2026,12,1)),B2386*60,0)</f>
        <v/>
      </c>
      <c r="J2386" s="13">
        <f>IF(A2386="",0,B2386*(IF(C2386=DATE(2026,11,28),38,0)+IF(C2386=DATE(2026,12,1),38,0)+IF(C2386=DATE(2026,12,2),26,0)))</f>
        <v/>
      </c>
      <c r="K2386" s="13">
        <f>IF(C2386=Options!$B$9,B2386*12,0)</f>
        <v/>
      </c>
      <c r="L2386" s="13">
        <f>IF(C2386=Options!$B$9,B2386*Options!$Z$8,0)</f>
        <v/>
      </c>
      <c r="M2386" s="13" t="n">
        <v>0</v>
      </c>
      <c r="N2386" s="13">
        <f>SUM(E2386:M2386)</f>
        <v/>
      </c>
    </row>
    <row r="2387">
      <c r="A2387" s="5">
        <f>IF(AND(C2387&gt;=Options!$B$9,C2387&lt;=Options!$B$10),"Boston","")</f>
        <v/>
      </c>
      <c r="B2387" s="5">
        <f>IF(A2387="","",18)</f>
        <v/>
      </c>
      <c r="C2387" s="17" t="n">
        <v>46488</v>
      </c>
      <c r="D2387" s="5">
        <f>IF(A2387="","",IF(C2387=DATE(2026,11,29),"培训；注册午餐；早餐参数",IF(C2387=DATE(2026,11,30),"培训；注册午餐",IF(C2387=DATE(2026,12,1),"培训；注册午餐；机构晚餐",IF(C2387=Options!$B$9,"抵达；"&amp;IF(C2387=DATE(2026,11,28),"机构晚餐","无统一供餐"),IF(C2387=Options!$B$10,"返程；"&amp;IF(C2387=DATE(2026,12,2),"机构午餐","无统一供餐"),"差旅状态；无统一日程"))))))</f>
        <v/>
      </c>
      <c r="E2387" s="13">
        <f>IF(C2387=Options!$B$9,Options!$C$20,0)</f>
        <v/>
      </c>
      <c r="F2387" s="13">
        <f>IF(AND(A2387&lt;&gt;"",C2387&lt;Options!$B$10),B2387*Options!$X$8,0)</f>
        <v/>
      </c>
      <c r="G2387" s="13">
        <f>F2387*12%</f>
        <v/>
      </c>
      <c r="H2387" s="13">
        <f>IF(A2387="",0,B2387*(92*IF(OR(C2387=Options!$B$9,C2387=Options!$B$10),75%,100%)-IF(C2387=DATE(2026,11,29),26+IF(Options!$B$8="是",23,0),0)-IF(C2387=DATE(2026,11,30),26,0)-IF(C2387=DATE(2026,12,1),64,0)-IF(C2387=DATE(2026,11,28),38,0)-IF(C2387=DATE(2026,12,2),26,0)))</f>
        <v/>
      </c>
      <c r="I2387" s="13">
        <f>IF(AND(C2387&gt;=DATE(2026,11,29),C2387&lt;=DATE(2026,12,1)),B2387*60,0)</f>
        <v/>
      </c>
      <c r="J2387" s="13">
        <f>IF(A2387="",0,B2387*(IF(C2387=DATE(2026,11,28),38,0)+IF(C2387=DATE(2026,12,1),38,0)+IF(C2387=DATE(2026,12,2),26,0)))</f>
        <v/>
      </c>
      <c r="K2387" s="13">
        <f>IF(C2387=Options!$B$9,B2387*12,0)</f>
        <v/>
      </c>
      <c r="L2387" s="13">
        <f>IF(C2387=Options!$B$9,B2387*Options!$Z$8,0)</f>
        <v/>
      </c>
      <c r="M2387" s="13" t="n">
        <v>0</v>
      </c>
      <c r="N2387" s="13">
        <f>SUM(E2387:M2387)</f>
        <v/>
      </c>
    </row>
    <row r="2388">
      <c r="A2388" s="5">
        <f>IF(AND(C2388&gt;=Options!$B$9,C2388&lt;=Options!$B$10),"Boston","")</f>
        <v/>
      </c>
      <c r="B2388" s="5">
        <f>IF(A2388="","",18)</f>
        <v/>
      </c>
      <c r="C2388" s="17" t="n">
        <v>46489</v>
      </c>
      <c r="D2388" s="5">
        <f>IF(A2388="","",IF(C2388=DATE(2026,11,29),"培训；注册午餐；早餐参数",IF(C2388=DATE(2026,11,30),"培训；注册午餐",IF(C2388=DATE(2026,12,1),"培训；注册午餐；机构晚餐",IF(C2388=Options!$B$9,"抵达；"&amp;IF(C2388=DATE(2026,11,28),"机构晚餐","无统一供餐"),IF(C2388=Options!$B$10,"返程；"&amp;IF(C2388=DATE(2026,12,2),"机构午餐","无统一供餐"),"差旅状态；无统一日程"))))))</f>
        <v/>
      </c>
      <c r="E2388" s="13">
        <f>IF(C2388=Options!$B$9,Options!$C$20,0)</f>
        <v/>
      </c>
      <c r="F2388" s="13">
        <f>IF(AND(A2388&lt;&gt;"",C2388&lt;Options!$B$10),B2388*Options!$X$8,0)</f>
        <v/>
      </c>
      <c r="G2388" s="13">
        <f>F2388*12%</f>
        <v/>
      </c>
      <c r="H2388" s="13">
        <f>IF(A2388="",0,B2388*(92*IF(OR(C2388=Options!$B$9,C2388=Options!$B$10),75%,100%)-IF(C2388=DATE(2026,11,29),26+IF(Options!$B$8="是",23,0),0)-IF(C2388=DATE(2026,11,30),26,0)-IF(C2388=DATE(2026,12,1),64,0)-IF(C2388=DATE(2026,11,28),38,0)-IF(C2388=DATE(2026,12,2),26,0)))</f>
        <v/>
      </c>
      <c r="I2388" s="13">
        <f>IF(AND(C2388&gt;=DATE(2026,11,29),C2388&lt;=DATE(2026,12,1)),B2388*60,0)</f>
        <v/>
      </c>
      <c r="J2388" s="13">
        <f>IF(A2388="",0,B2388*(IF(C2388=DATE(2026,11,28),38,0)+IF(C2388=DATE(2026,12,1),38,0)+IF(C2388=DATE(2026,12,2),26,0)))</f>
        <v/>
      </c>
      <c r="K2388" s="13">
        <f>IF(C2388=Options!$B$9,B2388*12,0)</f>
        <v/>
      </c>
      <c r="L2388" s="13">
        <f>IF(C2388=Options!$B$9,B2388*Options!$Z$8,0)</f>
        <v/>
      </c>
      <c r="M2388" s="13" t="n">
        <v>0</v>
      </c>
      <c r="N2388" s="13">
        <f>SUM(E2388:M2388)</f>
        <v/>
      </c>
    </row>
    <row r="2389">
      <c r="A2389" s="5">
        <f>IF(AND(C2389&gt;=Options!$B$9,C2389&lt;=Options!$B$10),"Boston","")</f>
        <v/>
      </c>
      <c r="B2389" s="5">
        <f>IF(A2389="","",18)</f>
        <v/>
      </c>
      <c r="C2389" s="17" t="n">
        <v>46490</v>
      </c>
      <c r="D2389" s="5">
        <f>IF(A2389="","",IF(C2389=DATE(2026,11,29),"培训；注册午餐；早餐参数",IF(C2389=DATE(2026,11,30),"培训；注册午餐",IF(C2389=DATE(2026,12,1),"培训；注册午餐；机构晚餐",IF(C2389=Options!$B$9,"抵达；"&amp;IF(C2389=DATE(2026,11,28),"机构晚餐","无统一供餐"),IF(C2389=Options!$B$10,"返程；"&amp;IF(C2389=DATE(2026,12,2),"机构午餐","无统一供餐"),"差旅状态；无统一日程"))))))</f>
        <v/>
      </c>
      <c r="E2389" s="13">
        <f>IF(C2389=Options!$B$9,Options!$C$20,0)</f>
        <v/>
      </c>
      <c r="F2389" s="13">
        <f>IF(AND(A2389&lt;&gt;"",C2389&lt;Options!$B$10),B2389*Options!$X$8,0)</f>
        <v/>
      </c>
      <c r="G2389" s="13">
        <f>F2389*12%</f>
        <v/>
      </c>
      <c r="H2389" s="13">
        <f>IF(A2389="",0,B2389*(92*IF(OR(C2389=Options!$B$9,C2389=Options!$B$10),75%,100%)-IF(C2389=DATE(2026,11,29),26+IF(Options!$B$8="是",23,0),0)-IF(C2389=DATE(2026,11,30),26,0)-IF(C2389=DATE(2026,12,1),64,0)-IF(C2389=DATE(2026,11,28),38,0)-IF(C2389=DATE(2026,12,2),26,0)))</f>
        <v/>
      </c>
      <c r="I2389" s="13">
        <f>IF(AND(C2389&gt;=DATE(2026,11,29),C2389&lt;=DATE(2026,12,1)),B2389*60,0)</f>
        <v/>
      </c>
      <c r="J2389" s="13">
        <f>IF(A2389="",0,B2389*(IF(C2389=DATE(2026,11,28),38,0)+IF(C2389=DATE(2026,12,1),38,0)+IF(C2389=DATE(2026,12,2),26,0)))</f>
        <v/>
      </c>
      <c r="K2389" s="13">
        <f>IF(C2389=Options!$B$9,B2389*12,0)</f>
        <v/>
      </c>
      <c r="L2389" s="13">
        <f>IF(C2389=Options!$B$9,B2389*Options!$Z$8,0)</f>
        <v/>
      </c>
      <c r="M2389" s="13" t="n">
        <v>0</v>
      </c>
      <c r="N2389" s="13">
        <f>SUM(E2389:M2389)</f>
        <v/>
      </c>
    </row>
    <row r="2390">
      <c r="A2390" s="5">
        <f>IF(AND(C2390&gt;=Options!$B$9,C2390&lt;=Options!$B$10),"Boston","")</f>
        <v/>
      </c>
      <c r="B2390" s="5">
        <f>IF(A2390="","",18)</f>
        <v/>
      </c>
      <c r="C2390" s="17" t="n">
        <v>46491</v>
      </c>
      <c r="D2390" s="5">
        <f>IF(A2390="","",IF(C2390=DATE(2026,11,29),"培训；注册午餐；早餐参数",IF(C2390=DATE(2026,11,30),"培训；注册午餐",IF(C2390=DATE(2026,12,1),"培训；注册午餐；机构晚餐",IF(C2390=Options!$B$9,"抵达；"&amp;IF(C2390=DATE(2026,11,28),"机构晚餐","无统一供餐"),IF(C2390=Options!$B$10,"返程；"&amp;IF(C2390=DATE(2026,12,2),"机构午餐","无统一供餐"),"差旅状态；无统一日程"))))))</f>
        <v/>
      </c>
      <c r="E2390" s="13">
        <f>IF(C2390=Options!$B$9,Options!$C$20,0)</f>
        <v/>
      </c>
      <c r="F2390" s="13">
        <f>IF(AND(A2390&lt;&gt;"",C2390&lt;Options!$B$10),B2390*Options!$X$8,0)</f>
        <v/>
      </c>
      <c r="G2390" s="13">
        <f>F2390*12%</f>
        <v/>
      </c>
      <c r="H2390" s="13">
        <f>IF(A2390="",0,B2390*(92*IF(OR(C2390=Options!$B$9,C2390=Options!$B$10),75%,100%)-IF(C2390=DATE(2026,11,29),26+IF(Options!$B$8="是",23,0),0)-IF(C2390=DATE(2026,11,30),26,0)-IF(C2390=DATE(2026,12,1),64,0)-IF(C2390=DATE(2026,11,28),38,0)-IF(C2390=DATE(2026,12,2),26,0)))</f>
        <v/>
      </c>
      <c r="I2390" s="13">
        <f>IF(AND(C2390&gt;=DATE(2026,11,29),C2390&lt;=DATE(2026,12,1)),B2390*60,0)</f>
        <v/>
      </c>
      <c r="J2390" s="13">
        <f>IF(A2390="",0,B2390*(IF(C2390=DATE(2026,11,28),38,0)+IF(C2390=DATE(2026,12,1),38,0)+IF(C2390=DATE(2026,12,2),26,0)))</f>
        <v/>
      </c>
      <c r="K2390" s="13">
        <f>IF(C2390=Options!$B$9,B2390*12,0)</f>
        <v/>
      </c>
      <c r="L2390" s="13">
        <f>IF(C2390=Options!$B$9,B2390*Options!$Z$8,0)</f>
        <v/>
      </c>
      <c r="M2390" s="13" t="n">
        <v>0</v>
      </c>
      <c r="N2390" s="13">
        <f>SUM(E2390:M2390)</f>
        <v/>
      </c>
    </row>
    <row r="2391">
      <c r="A2391" s="5">
        <f>IF(AND(C2391&gt;=Options!$B$9,C2391&lt;=Options!$B$10),"Boston","")</f>
        <v/>
      </c>
      <c r="B2391" s="5">
        <f>IF(A2391="","",18)</f>
        <v/>
      </c>
      <c r="C2391" s="17" t="n">
        <v>46492</v>
      </c>
      <c r="D2391" s="5">
        <f>IF(A2391="","",IF(C2391=DATE(2026,11,29),"培训；注册午餐；早餐参数",IF(C2391=DATE(2026,11,30),"培训；注册午餐",IF(C2391=DATE(2026,12,1),"培训；注册午餐；机构晚餐",IF(C2391=Options!$B$9,"抵达；"&amp;IF(C2391=DATE(2026,11,28),"机构晚餐","无统一供餐"),IF(C2391=Options!$B$10,"返程；"&amp;IF(C2391=DATE(2026,12,2),"机构午餐","无统一供餐"),"差旅状态；无统一日程"))))))</f>
        <v/>
      </c>
      <c r="E2391" s="13">
        <f>IF(C2391=Options!$B$9,Options!$C$20,0)</f>
        <v/>
      </c>
      <c r="F2391" s="13">
        <f>IF(AND(A2391&lt;&gt;"",C2391&lt;Options!$B$10),B2391*Options!$X$8,0)</f>
        <v/>
      </c>
      <c r="G2391" s="13">
        <f>F2391*12%</f>
        <v/>
      </c>
      <c r="H2391" s="13">
        <f>IF(A2391="",0,B2391*(92*IF(OR(C2391=Options!$B$9,C2391=Options!$B$10),75%,100%)-IF(C2391=DATE(2026,11,29),26+IF(Options!$B$8="是",23,0),0)-IF(C2391=DATE(2026,11,30),26,0)-IF(C2391=DATE(2026,12,1),64,0)-IF(C2391=DATE(2026,11,28),38,0)-IF(C2391=DATE(2026,12,2),26,0)))</f>
        <v/>
      </c>
      <c r="I2391" s="13">
        <f>IF(AND(C2391&gt;=DATE(2026,11,29),C2391&lt;=DATE(2026,12,1)),B2391*60,0)</f>
        <v/>
      </c>
      <c r="J2391" s="13">
        <f>IF(A2391="",0,B2391*(IF(C2391=DATE(2026,11,28),38,0)+IF(C2391=DATE(2026,12,1),38,0)+IF(C2391=DATE(2026,12,2),26,0)))</f>
        <v/>
      </c>
      <c r="K2391" s="13">
        <f>IF(C2391=Options!$B$9,B2391*12,0)</f>
        <v/>
      </c>
      <c r="L2391" s="13">
        <f>IF(C2391=Options!$B$9,B2391*Options!$Z$8,0)</f>
        <v/>
      </c>
      <c r="M2391" s="13" t="n">
        <v>0</v>
      </c>
      <c r="N2391" s="13">
        <f>SUM(E2391:M2391)</f>
        <v/>
      </c>
    </row>
    <row r="2392">
      <c r="A2392" s="5">
        <f>IF(AND(C2392&gt;=Options!$B$9,C2392&lt;=Options!$B$10),"Boston","")</f>
        <v/>
      </c>
      <c r="B2392" s="5">
        <f>IF(A2392="","",18)</f>
        <v/>
      </c>
      <c r="C2392" s="17" t="n">
        <v>46493</v>
      </c>
      <c r="D2392" s="5">
        <f>IF(A2392="","",IF(C2392=DATE(2026,11,29),"培训；注册午餐；早餐参数",IF(C2392=DATE(2026,11,30),"培训；注册午餐",IF(C2392=DATE(2026,12,1),"培训；注册午餐；机构晚餐",IF(C2392=Options!$B$9,"抵达；"&amp;IF(C2392=DATE(2026,11,28),"机构晚餐","无统一供餐"),IF(C2392=Options!$B$10,"返程；"&amp;IF(C2392=DATE(2026,12,2),"机构午餐","无统一供餐"),"差旅状态；无统一日程"))))))</f>
        <v/>
      </c>
      <c r="E2392" s="13">
        <f>IF(C2392=Options!$B$9,Options!$C$20,0)</f>
        <v/>
      </c>
      <c r="F2392" s="13">
        <f>IF(AND(A2392&lt;&gt;"",C2392&lt;Options!$B$10),B2392*Options!$X$8,0)</f>
        <v/>
      </c>
      <c r="G2392" s="13">
        <f>F2392*12%</f>
        <v/>
      </c>
      <c r="H2392" s="13">
        <f>IF(A2392="",0,B2392*(92*IF(OR(C2392=Options!$B$9,C2392=Options!$B$10),75%,100%)-IF(C2392=DATE(2026,11,29),26+IF(Options!$B$8="是",23,0),0)-IF(C2392=DATE(2026,11,30),26,0)-IF(C2392=DATE(2026,12,1),64,0)-IF(C2392=DATE(2026,11,28),38,0)-IF(C2392=DATE(2026,12,2),26,0)))</f>
        <v/>
      </c>
      <c r="I2392" s="13">
        <f>IF(AND(C2392&gt;=DATE(2026,11,29),C2392&lt;=DATE(2026,12,1)),B2392*60,0)</f>
        <v/>
      </c>
      <c r="J2392" s="13">
        <f>IF(A2392="",0,B2392*(IF(C2392=DATE(2026,11,28),38,0)+IF(C2392=DATE(2026,12,1),38,0)+IF(C2392=DATE(2026,12,2),26,0)))</f>
        <v/>
      </c>
      <c r="K2392" s="13">
        <f>IF(C2392=Options!$B$9,B2392*12,0)</f>
        <v/>
      </c>
      <c r="L2392" s="13">
        <f>IF(C2392=Options!$B$9,B2392*Options!$Z$8,0)</f>
        <v/>
      </c>
      <c r="M2392" s="13" t="n">
        <v>0</v>
      </c>
      <c r="N2392" s="13">
        <f>SUM(E2392:M2392)</f>
        <v/>
      </c>
    </row>
    <row r="2393">
      <c r="A2393" s="5">
        <f>IF(AND(C2393&gt;=Options!$B$9,C2393&lt;=Options!$B$10),"Boston","")</f>
        <v/>
      </c>
      <c r="B2393" s="5">
        <f>IF(A2393="","",18)</f>
        <v/>
      </c>
      <c r="C2393" s="17" t="n">
        <v>46494</v>
      </c>
      <c r="D2393" s="5">
        <f>IF(A2393="","",IF(C2393=DATE(2026,11,29),"培训；注册午餐；早餐参数",IF(C2393=DATE(2026,11,30),"培训；注册午餐",IF(C2393=DATE(2026,12,1),"培训；注册午餐；机构晚餐",IF(C2393=Options!$B$9,"抵达；"&amp;IF(C2393=DATE(2026,11,28),"机构晚餐","无统一供餐"),IF(C2393=Options!$B$10,"返程；"&amp;IF(C2393=DATE(2026,12,2),"机构午餐","无统一供餐"),"差旅状态；无统一日程"))))))</f>
        <v/>
      </c>
      <c r="E2393" s="13">
        <f>IF(C2393=Options!$B$9,Options!$C$20,0)</f>
        <v/>
      </c>
      <c r="F2393" s="13">
        <f>IF(AND(A2393&lt;&gt;"",C2393&lt;Options!$B$10),B2393*Options!$X$8,0)</f>
        <v/>
      </c>
      <c r="G2393" s="13">
        <f>F2393*12%</f>
        <v/>
      </c>
      <c r="H2393" s="13">
        <f>IF(A2393="",0,B2393*(92*IF(OR(C2393=Options!$B$9,C2393=Options!$B$10),75%,100%)-IF(C2393=DATE(2026,11,29),26+IF(Options!$B$8="是",23,0),0)-IF(C2393=DATE(2026,11,30),26,0)-IF(C2393=DATE(2026,12,1),64,0)-IF(C2393=DATE(2026,11,28),38,0)-IF(C2393=DATE(2026,12,2),26,0)))</f>
        <v/>
      </c>
      <c r="I2393" s="13">
        <f>IF(AND(C2393&gt;=DATE(2026,11,29),C2393&lt;=DATE(2026,12,1)),B2393*60,0)</f>
        <v/>
      </c>
      <c r="J2393" s="13">
        <f>IF(A2393="",0,B2393*(IF(C2393=DATE(2026,11,28),38,0)+IF(C2393=DATE(2026,12,1),38,0)+IF(C2393=DATE(2026,12,2),26,0)))</f>
        <v/>
      </c>
      <c r="K2393" s="13">
        <f>IF(C2393=Options!$B$9,B2393*12,0)</f>
        <v/>
      </c>
      <c r="L2393" s="13">
        <f>IF(C2393=Options!$B$9,B2393*Options!$Z$8,0)</f>
        <v/>
      </c>
      <c r="M2393" s="13" t="n">
        <v>0</v>
      </c>
      <c r="N2393" s="13">
        <f>SUM(E2393:M2393)</f>
        <v/>
      </c>
    </row>
    <row r="2394">
      <c r="A2394" s="5">
        <f>IF(AND(C2394&gt;=Options!$B$9,C2394&lt;=Options!$B$10),"Boston","")</f>
        <v/>
      </c>
      <c r="B2394" s="5">
        <f>IF(A2394="","",18)</f>
        <v/>
      </c>
      <c r="C2394" s="17" t="n">
        <v>46495</v>
      </c>
      <c r="D2394" s="5">
        <f>IF(A2394="","",IF(C2394=DATE(2026,11,29),"培训；注册午餐；早餐参数",IF(C2394=DATE(2026,11,30),"培训；注册午餐",IF(C2394=DATE(2026,12,1),"培训；注册午餐；机构晚餐",IF(C2394=Options!$B$9,"抵达；"&amp;IF(C2394=DATE(2026,11,28),"机构晚餐","无统一供餐"),IF(C2394=Options!$B$10,"返程；"&amp;IF(C2394=DATE(2026,12,2),"机构午餐","无统一供餐"),"差旅状态；无统一日程"))))))</f>
        <v/>
      </c>
      <c r="E2394" s="13">
        <f>IF(C2394=Options!$B$9,Options!$C$20,0)</f>
        <v/>
      </c>
      <c r="F2394" s="13">
        <f>IF(AND(A2394&lt;&gt;"",C2394&lt;Options!$B$10),B2394*Options!$X$8,0)</f>
        <v/>
      </c>
      <c r="G2394" s="13">
        <f>F2394*12%</f>
        <v/>
      </c>
      <c r="H2394" s="13">
        <f>IF(A2394="",0,B2394*(92*IF(OR(C2394=Options!$B$9,C2394=Options!$B$10),75%,100%)-IF(C2394=DATE(2026,11,29),26+IF(Options!$B$8="是",23,0),0)-IF(C2394=DATE(2026,11,30),26,0)-IF(C2394=DATE(2026,12,1),64,0)-IF(C2394=DATE(2026,11,28),38,0)-IF(C2394=DATE(2026,12,2),26,0)))</f>
        <v/>
      </c>
      <c r="I2394" s="13">
        <f>IF(AND(C2394&gt;=DATE(2026,11,29),C2394&lt;=DATE(2026,12,1)),B2394*60,0)</f>
        <v/>
      </c>
      <c r="J2394" s="13">
        <f>IF(A2394="",0,B2394*(IF(C2394=DATE(2026,11,28),38,0)+IF(C2394=DATE(2026,12,1),38,0)+IF(C2394=DATE(2026,12,2),26,0)))</f>
        <v/>
      </c>
      <c r="K2394" s="13">
        <f>IF(C2394=Options!$B$9,B2394*12,0)</f>
        <v/>
      </c>
      <c r="L2394" s="13">
        <f>IF(C2394=Options!$B$9,B2394*Options!$Z$8,0)</f>
        <v/>
      </c>
      <c r="M2394" s="13" t="n">
        <v>0</v>
      </c>
      <c r="N2394" s="13">
        <f>SUM(E2394:M2394)</f>
        <v/>
      </c>
    </row>
    <row r="2395">
      <c r="A2395" s="5">
        <f>IF(AND(C2395&gt;=Options!$B$9,C2395&lt;=Options!$B$10),"Boston","")</f>
        <v/>
      </c>
      <c r="B2395" s="5">
        <f>IF(A2395="","",18)</f>
        <v/>
      </c>
      <c r="C2395" s="17" t="n">
        <v>46496</v>
      </c>
      <c r="D2395" s="5">
        <f>IF(A2395="","",IF(C2395=DATE(2026,11,29),"培训；注册午餐；早餐参数",IF(C2395=DATE(2026,11,30),"培训；注册午餐",IF(C2395=DATE(2026,12,1),"培训；注册午餐；机构晚餐",IF(C2395=Options!$B$9,"抵达；"&amp;IF(C2395=DATE(2026,11,28),"机构晚餐","无统一供餐"),IF(C2395=Options!$B$10,"返程；"&amp;IF(C2395=DATE(2026,12,2),"机构午餐","无统一供餐"),"差旅状态；无统一日程"))))))</f>
        <v/>
      </c>
      <c r="E2395" s="13">
        <f>IF(C2395=Options!$B$9,Options!$C$20,0)</f>
        <v/>
      </c>
      <c r="F2395" s="13">
        <f>IF(AND(A2395&lt;&gt;"",C2395&lt;Options!$B$10),B2395*Options!$X$8,0)</f>
        <v/>
      </c>
      <c r="G2395" s="13">
        <f>F2395*12%</f>
        <v/>
      </c>
      <c r="H2395" s="13">
        <f>IF(A2395="",0,B2395*(92*IF(OR(C2395=Options!$B$9,C2395=Options!$B$10),75%,100%)-IF(C2395=DATE(2026,11,29),26+IF(Options!$B$8="是",23,0),0)-IF(C2395=DATE(2026,11,30),26,0)-IF(C2395=DATE(2026,12,1),64,0)-IF(C2395=DATE(2026,11,28),38,0)-IF(C2395=DATE(2026,12,2),26,0)))</f>
        <v/>
      </c>
      <c r="I2395" s="13">
        <f>IF(AND(C2395&gt;=DATE(2026,11,29),C2395&lt;=DATE(2026,12,1)),B2395*60,0)</f>
        <v/>
      </c>
      <c r="J2395" s="13">
        <f>IF(A2395="",0,B2395*(IF(C2395=DATE(2026,11,28),38,0)+IF(C2395=DATE(2026,12,1),38,0)+IF(C2395=DATE(2026,12,2),26,0)))</f>
        <v/>
      </c>
      <c r="K2395" s="13">
        <f>IF(C2395=Options!$B$9,B2395*12,0)</f>
        <v/>
      </c>
      <c r="L2395" s="13">
        <f>IF(C2395=Options!$B$9,B2395*Options!$Z$8,0)</f>
        <v/>
      </c>
      <c r="M2395" s="13" t="n">
        <v>0</v>
      </c>
      <c r="N2395" s="13">
        <f>SUM(E2395:M2395)</f>
        <v/>
      </c>
    </row>
    <row r="2396">
      <c r="A2396" s="5">
        <f>IF(AND(C2396&gt;=Options!$B$9,C2396&lt;=Options!$B$10),"Boston","")</f>
        <v/>
      </c>
      <c r="B2396" s="5">
        <f>IF(A2396="","",18)</f>
        <v/>
      </c>
      <c r="C2396" s="17" t="n">
        <v>46497</v>
      </c>
      <c r="D2396" s="5">
        <f>IF(A2396="","",IF(C2396=DATE(2026,11,29),"培训；注册午餐；早餐参数",IF(C2396=DATE(2026,11,30),"培训；注册午餐",IF(C2396=DATE(2026,12,1),"培训；注册午餐；机构晚餐",IF(C2396=Options!$B$9,"抵达；"&amp;IF(C2396=DATE(2026,11,28),"机构晚餐","无统一供餐"),IF(C2396=Options!$B$10,"返程；"&amp;IF(C2396=DATE(2026,12,2),"机构午餐","无统一供餐"),"差旅状态；无统一日程"))))))</f>
        <v/>
      </c>
      <c r="E2396" s="13">
        <f>IF(C2396=Options!$B$9,Options!$C$20,0)</f>
        <v/>
      </c>
      <c r="F2396" s="13">
        <f>IF(AND(A2396&lt;&gt;"",C2396&lt;Options!$B$10),B2396*Options!$X$8,0)</f>
        <v/>
      </c>
      <c r="G2396" s="13">
        <f>F2396*12%</f>
        <v/>
      </c>
      <c r="H2396" s="13">
        <f>IF(A2396="",0,B2396*(92*IF(OR(C2396=Options!$B$9,C2396=Options!$B$10),75%,100%)-IF(C2396=DATE(2026,11,29),26+IF(Options!$B$8="是",23,0),0)-IF(C2396=DATE(2026,11,30),26,0)-IF(C2396=DATE(2026,12,1),64,0)-IF(C2396=DATE(2026,11,28),38,0)-IF(C2396=DATE(2026,12,2),26,0)))</f>
        <v/>
      </c>
      <c r="I2396" s="13">
        <f>IF(AND(C2396&gt;=DATE(2026,11,29),C2396&lt;=DATE(2026,12,1)),B2396*60,0)</f>
        <v/>
      </c>
      <c r="J2396" s="13">
        <f>IF(A2396="",0,B2396*(IF(C2396=DATE(2026,11,28),38,0)+IF(C2396=DATE(2026,12,1),38,0)+IF(C2396=DATE(2026,12,2),26,0)))</f>
        <v/>
      </c>
      <c r="K2396" s="13">
        <f>IF(C2396=Options!$B$9,B2396*12,0)</f>
        <v/>
      </c>
      <c r="L2396" s="13">
        <f>IF(C2396=Options!$B$9,B2396*Options!$Z$8,0)</f>
        <v/>
      </c>
      <c r="M2396" s="13" t="n">
        <v>0</v>
      </c>
      <c r="N2396" s="13">
        <f>SUM(E2396:M2396)</f>
        <v/>
      </c>
    </row>
    <row r="2397">
      <c r="A2397" s="5">
        <f>IF(AND(C2397&gt;=Options!$B$9,C2397&lt;=Options!$B$10),"Boston","")</f>
        <v/>
      </c>
      <c r="B2397" s="5">
        <f>IF(A2397="","",18)</f>
        <v/>
      </c>
      <c r="C2397" s="17" t="n">
        <v>46498</v>
      </c>
      <c r="D2397" s="5">
        <f>IF(A2397="","",IF(C2397=DATE(2026,11,29),"培训；注册午餐；早餐参数",IF(C2397=DATE(2026,11,30),"培训；注册午餐",IF(C2397=DATE(2026,12,1),"培训；注册午餐；机构晚餐",IF(C2397=Options!$B$9,"抵达；"&amp;IF(C2397=DATE(2026,11,28),"机构晚餐","无统一供餐"),IF(C2397=Options!$B$10,"返程；"&amp;IF(C2397=DATE(2026,12,2),"机构午餐","无统一供餐"),"差旅状态；无统一日程"))))))</f>
        <v/>
      </c>
      <c r="E2397" s="13">
        <f>IF(C2397=Options!$B$9,Options!$C$20,0)</f>
        <v/>
      </c>
      <c r="F2397" s="13">
        <f>IF(AND(A2397&lt;&gt;"",C2397&lt;Options!$B$10),B2397*Options!$X$8,0)</f>
        <v/>
      </c>
      <c r="G2397" s="13">
        <f>F2397*12%</f>
        <v/>
      </c>
      <c r="H2397" s="13">
        <f>IF(A2397="",0,B2397*(92*IF(OR(C2397=Options!$B$9,C2397=Options!$B$10),75%,100%)-IF(C2397=DATE(2026,11,29),26+IF(Options!$B$8="是",23,0),0)-IF(C2397=DATE(2026,11,30),26,0)-IF(C2397=DATE(2026,12,1),64,0)-IF(C2397=DATE(2026,11,28),38,0)-IF(C2397=DATE(2026,12,2),26,0)))</f>
        <v/>
      </c>
      <c r="I2397" s="13">
        <f>IF(AND(C2397&gt;=DATE(2026,11,29),C2397&lt;=DATE(2026,12,1)),B2397*60,0)</f>
        <v/>
      </c>
      <c r="J2397" s="13">
        <f>IF(A2397="",0,B2397*(IF(C2397=DATE(2026,11,28),38,0)+IF(C2397=DATE(2026,12,1),38,0)+IF(C2397=DATE(2026,12,2),26,0)))</f>
        <v/>
      </c>
      <c r="K2397" s="13">
        <f>IF(C2397=Options!$B$9,B2397*12,0)</f>
        <v/>
      </c>
      <c r="L2397" s="13">
        <f>IF(C2397=Options!$B$9,B2397*Options!$Z$8,0)</f>
        <v/>
      </c>
      <c r="M2397" s="13" t="n">
        <v>0</v>
      </c>
      <c r="N2397" s="13">
        <f>SUM(E2397:M2397)</f>
        <v/>
      </c>
    </row>
    <row r="2398">
      <c r="A2398" s="5">
        <f>IF(AND(C2398&gt;=Options!$B$9,C2398&lt;=Options!$B$10),"Boston","")</f>
        <v/>
      </c>
      <c r="B2398" s="5">
        <f>IF(A2398="","",18)</f>
        <v/>
      </c>
      <c r="C2398" s="17" t="n">
        <v>46499</v>
      </c>
      <c r="D2398" s="5">
        <f>IF(A2398="","",IF(C2398=DATE(2026,11,29),"培训；注册午餐；早餐参数",IF(C2398=DATE(2026,11,30),"培训；注册午餐",IF(C2398=DATE(2026,12,1),"培训；注册午餐；机构晚餐",IF(C2398=Options!$B$9,"抵达；"&amp;IF(C2398=DATE(2026,11,28),"机构晚餐","无统一供餐"),IF(C2398=Options!$B$10,"返程；"&amp;IF(C2398=DATE(2026,12,2),"机构午餐","无统一供餐"),"差旅状态；无统一日程"))))))</f>
        <v/>
      </c>
      <c r="E2398" s="13">
        <f>IF(C2398=Options!$B$9,Options!$C$20,0)</f>
        <v/>
      </c>
      <c r="F2398" s="13">
        <f>IF(AND(A2398&lt;&gt;"",C2398&lt;Options!$B$10),B2398*Options!$X$8,0)</f>
        <v/>
      </c>
      <c r="G2398" s="13">
        <f>F2398*12%</f>
        <v/>
      </c>
      <c r="H2398" s="13">
        <f>IF(A2398="",0,B2398*(92*IF(OR(C2398=Options!$B$9,C2398=Options!$B$10),75%,100%)-IF(C2398=DATE(2026,11,29),26+IF(Options!$B$8="是",23,0),0)-IF(C2398=DATE(2026,11,30),26,0)-IF(C2398=DATE(2026,12,1),64,0)-IF(C2398=DATE(2026,11,28),38,0)-IF(C2398=DATE(2026,12,2),26,0)))</f>
        <v/>
      </c>
      <c r="I2398" s="13">
        <f>IF(AND(C2398&gt;=DATE(2026,11,29),C2398&lt;=DATE(2026,12,1)),B2398*60,0)</f>
        <v/>
      </c>
      <c r="J2398" s="13">
        <f>IF(A2398="",0,B2398*(IF(C2398=DATE(2026,11,28),38,0)+IF(C2398=DATE(2026,12,1),38,0)+IF(C2398=DATE(2026,12,2),26,0)))</f>
        <v/>
      </c>
      <c r="K2398" s="13">
        <f>IF(C2398=Options!$B$9,B2398*12,0)</f>
        <v/>
      </c>
      <c r="L2398" s="13">
        <f>IF(C2398=Options!$B$9,B2398*Options!$Z$8,0)</f>
        <v/>
      </c>
      <c r="M2398" s="13" t="n">
        <v>0</v>
      </c>
      <c r="N2398" s="13">
        <f>SUM(E2398:M2398)</f>
        <v/>
      </c>
    </row>
    <row r="2399">
      <c r="A2399" s="5">
        <f>IF(AND(C2399&gt;=Options!$B$9,C2399&lt;=Options!$B$10),"Boston","")</f>
        <v/>
      </c>
      <c r="B2399" s="5">
        <f>IF(A2399="","",18)</f>
        <v/>
      </c>
      <c r="C2399" s="17" t="n">
        <v>46500</v>
      </c>
      <c r="D2399" s="5">
        <f>IF(A2399="","",IF(C2399=DATE(2026,11,29),"培训；注册午餐；早餐参数",IF(C2399=DATE(2026,11,30),"培训；注册午餐",IF(C2399=DATE(2026,12,1),"培训；注册午餐；机构晚餐",IF(C2399=Options!$B$9,"抵达；"&amp;IF(C2399=DATE(2026,11,28),"机构晚餐","无统一供餐"),IF(C2399=Options!$B$10,"返程；"&amp;IF(C2399=DATE(2026,12,2),"机构午餐","无统一供餐"),"差旅状态；无统一日程"))))))</f>
        <v/>
      </c>
      <c r="E2399" s="13">
        <f>IF(C2399=Options!$B$9,Options!$C$20,0)</f>
        <v/>
      </c>
      <c r="F2399" s="13">
        <f>IF(AND(A2399&lt;&gt;"",C2399&lt;Options!$B$10),B2399*Options!$X$8,0)</f>
        <v/>
      </c>
      <c r="G2399" s="13">
        <f>F2399*12%</f>
        <v/>
      </c>
      <c r="H2399" s="13">
        <f>IF(A2399="",0,B2399*(92*IF(OR(C2399=Options!$B$9,C2399=Options!$B$10),75%,100%)-IF(C2399=DATE(2026,11,29),26+IF(Options!$B$8="是",23,0),0)-IF(C2399=DATE(2026,11,30),26,0)-IF(C2399=DATE(2026,12,1),64,0)-IF(C2399=DATE(2026,11,28),38,0)-IF(C2399=DATE(2026,12,2),26,0)))</f>
        <v/>
      </c>
      <c r="I2399" s="13">
        <f>IF(AND(C2399&gt;=DATE(2026,11,29),C2399&lt;=DATE(2026,12,1)),B2399*60,0)</f>
        <v/>
      </c>
      <c r="J2399" s="13">
        <f>IF(A2399="",0,B2399*(IF(C2399=DATE(2026,11,28),38,0)+IF(C2399=DATE(2026,12,1),38,0)+IF(C2399=DATE(2026,12,2),26,0)))</f>
        <v/>
      </c>
      <c r="K2399" s="13">
        <f>IF(C2399=Options!$B$9,B2399*12,0)</f>
        <v/>
      </c>
      <c r="L2399" s="13">
        <f>IF(C2399=Options!$B$9,B2399*Options!$Z$8,0)</f>
        <v/>
      </c>
      <c r="M2399" s="13" t="n">
        <v>0</v>
      </c>
      <c r="N2399" s="13">
        <f>SUM(E2399:M2399)</f>
        <v/>
      </c>
    </row>
    <row r="2400">
      <c r="A2400" s="5">
        <f>IF(AND(C2400&gt;=Options!$B$9,C2400&lt;=Options!$B$10),"Boston","")</f>
        <v/>
      </c>
      <c r="B2400" s="5">
        <f>IF(A2400="","",18)</f>
        <v/>
      </c>
      <c r="C2400" s="17" t="n">
        <v>46501</v>
      </c>
      <c r="D2400" s="5">
        <f>IF(A2400="","",IF(C2400=DATE(2026,11,29),"培训；注册午餐；早餐参数",IF(C2400=DATE(2026,11,30),"培训；注册午餐",IF(C2400=DATE(2026,12,1),"培训；注册午餐；机构晚餐",IF(C2400=Options!$B$9,"抵达；"&amp;IF(C2400=DATE(2026,11,28),"机构晚餐","无统一供餐"),IF(C2400=Options!$B$10,"返程；"&amp;IF(C2400=DATE(2026,12,2),"机构午餐","无统一供餐"),"差旅状态；无统一日程"))))))</f>
        <v/>
      </c>
      <c r="E2400" s="13">
        <f>IF(C2400=Options!$B$9,Options!$C$20,0)</f>
        <v/>
      </c>
      <c r="F2400" s="13">
        <f>IF(AND(A2400&lt;&gt;"",C2400&lt;Options!$B$10),B2400*Options!$X$8,0)</f>
        <v/>
      </c>
      <c r="G2400" s="13">
        <f>F2400*12%</f>
        <v/>
      </c>
      <c r="H2400" s="13">
        <f>IF(A2400="",0,B2400*(92*IF(OR(C2400=Options!$B$9,C2400=Options!$B$10),75%,100%)-IF(C2400=DATE(2026,11,29),26+IF(Options!$B$8="是",23,0),0)-IF(C2400=DATE(2026,11,30),26,0)-IF(C2400=DATE(2026,12,1),64,0)-IF(C2400=DATE(2026,11,28),38,0)-IF(C2400=DATE(2026,12,2),26,0)))</f>
        <v/>
      </c>
      <c r="I2400" s="13">
        <f>IF(AND(C2400&gt;=DATE(2026,11,29),C2400&lt;=DATE(2026,12,1)),B2400*60,0)</f>
        <v/>
      </c>
      <c r="J2400" s="13">
        <f>IF(A2400="",0,B2400*(IF(C2400=DATE(2026,11,28),38,0)+IF(C2400=DATE(2026,12,1),38,0)+IF(C2400=DATE(2026,12,2),26,0)))</f>
        <v/>
      </c>
      <c r="K2400" s="13">
        <f>IF(C2400=Options!$B$9,B2400*12,0)</f>
        <v/>
      </c>
      <c r="L2400" s="13">
        <f>IF(C2400=Options!$B$9,B2400*Options!$Z$8,0)</f>
        <v/>
      </c>
      <c r="M2400" s="13" t="n">
        <v>0</v>
      </c>
      <c r="N2400" s="13">
        <f>SUM(E2400:M2400)</f>
        <v/>
      </c>
    </row>
    <row r="2401">
      <c r="A2401" s="5">
        <f>IF(AND(C2401&gt;=Options!$B$9,C2401&lt;=Options!$B$10),"Boston","")</f>
        <v/>
      </c>
      <c r="B2401" s="5">
        <f>IF(A2401="","",18)</f>
        <v/>
      </c>
      <c r="C2401" s="17" t="n">
        <v>46502</v>
      </c>
      <c r="D2401" s="5">
        <f>IF(A2401="","",IF(C2401=DATE(2026,11,29),"培训；注册午餐；早餐参数",IF(C2401=DATE(2026,11,30),"培训；注册午餐",IF(C2401=DATE(2026,12,1),"培训；注册午餐；机构晚餐",IF(C2401=Options!$B$9,"抵达；"&amp;IF(C2401=DATE(2026,11,28),"机构晚餐","无统一供餐"),IF(C2401=Options!$B$10,"返程；"&amp;IF(C2401=DATE(2026,12,2),"机构午餐","无统一供餐"),"差旅状态；无统一日程"))))))</f>
        <v/>
      </c>
      <c r="E2401" s="13">
        <f>IF(C2401=Options!$B$9,Options!$C$20,0)</f>
        <v/>
      </c>
      <c r="F2401" s="13">
        <f>IF(AND(A2401&lt;&gt;"",C2401&lt;Options!$B$10),B2401*Options!$X$8,0)</f>
        <v/>
      </c>
      <c r="G2401" s="13">
        <f>F2401*12%</f>
        <v/>
      </c>
      <c r="H2401" s="13">
        <f>IF(A2401="",0,B2401*(92*IF(OR(C2401=Options!$B$9,C2401=Options!$B$10),75%,100%)-IF(C2401=DATE(2026,11,29),26+IF(Options!$B$8="是",23,0),0)-IF(C2401=DATE(2026,11,30),26,0)-IF(C2401=DATE(2026,12,1),64,0)-IF(C2401=DATE(2026,11,28),38,0)-IF(C2401=DATE(2026,12,2),26,0)))</f>
        <v/>
      </c>
      <c r="I2401" s="13">
        <f>IF(AND(C2401&gt;=DATE(2026,11,29),C2401&lt;=DATE(2026,12,1)),B2401*60,0)</f>
        <v/>
      </c>
      <c r="J2401" s="13">
        <f>IF(A2401="",0,B2401*(IF(C2401=DATE(2026,11,28),38,0)+IF(C2401=DATE(2026,12,1),38,0)+IF(C2401=DATE(2026,12,2),26,0)))</f>
        <v/>
      </c>
      <c r="K2401" s="13">
        <f>IF(C2401=Options!$B$9,B2401*12,0)</f>
        <v/>
      </c>
      <c r="L2401" s="13">
        <f>IF(C2401=Options!$B$9,B2401*Options!$Z$8,0)</f>
        <v/>
      </c>
      <c r="M2401" s="13" t="n">
        <v>0</v>
      </c>
      <c r="N2401" s="13">
        <f>SUM(E2401:M2401)</f>
        <v/>
      </c>
    </row>
    <row r="2402">
      <c r="A2402" s="5">
        <f>IF(AND(C2402&gt;=Options!$B$9,C2402&lt;=Options!$B$10),"Boston","")</f>
        <v/>
      </c>
      <c r="B2402" s="5">
        <f>IF(A2402="","",18)</f>
        <v/>
      </c>
      <c r="C2402" s="17" t="n">
        <v>46503</v>
      </c>
      <c r="D2402" s="5">
        <f>IF(A2402="","",IF(C2402=DATE(2026,11,29),"培训；注册午餐；早餐参数",IF(C2402=DATE(2026,11,30),"培训；注册午餐",IF(C2402=DATE(2026,12,1),"培训；注册午餐；机构晚餐",IF(C2402=Options!$B$9,"抵达；"&amp;IF(C2402=DATE(2026,11,28),"机构晚餐","无统一供餐"),IF(C2402=Options!$B$10,"返程；"&amp;IF(C2402=DATE(2026,12,2),"机构午餐","无统一供餐"),"差旅状态；无统一日程"))))))</f>
        <v/>
      </c>
      <c r="E2402" s="13">
        <f>IF(C2402=Options!$B$9,Options!$C$20,0)</f>
        <v/>
      </c>
      <c r="F2402" s="13">
        <f>IF(AND(A2402&lt;&gt;"",C2402&lt;Options!$B$10),B2402*Options!$X$8,0)</f>
        <v/>
      </c>
      <c r="G2402" s="13">
        <f>F2402*12%</f>
        <v/>
      </c>
      <c r="H2402" s="13">
        <f>IF(A2402="",0,B2402*(92*IF(OR(C2402=Options!$B$9,C2402=Options!$B$10),75%,100%)-IF(C2402=DATE(2026,11,29),26+IF(Options!$B$8="是",23,0),0)-IF(C2402=DATE(2026,11,30),26,0)-IF(C2402=DATE(2026,12,1),64,0)-IF(C2402=DATE(2026,11,28),38,0)-IF(C2402=DATE(2026,12,2),26,0)))</f>
        <v/>
      </c>
      <c r="I2402" s="13">
        <f>IF(AND(C2402&gt;=DATE(2026,11,29),C2402&lt;=DATE(2026,12,1)),B2402*60,0)</f>
        <v/>
      </c>
      <c r="J2402" s="13">
        <f>IF(A2402="",0,B2402*(IF(C2402=DATE(2026,11,28),38,0)+IF(C2402=DATE(2026,12,1),38,0)+IF(C2402=DATE(2026,12,2),26,0)))</f>
        <v/>
      </c>
      <c r="K2402" s="13">
        <f>IF(C2402=Options!$B$9,B2402*12,0)</f>
        <v/>
      </c>
      <c r="L2402" s="13">
        <f>IF(C2402=Options!$B$9,B2402*Options!$Z$8,0)</f>
        <v/>
      </c>
      <c r="M2402" s="13" t="n">
        <v>0</v>
      </c>
      <c r="N2402" s="13">
        <f>SUM(E2402:M2402)</f>
        <v/>
      </c>
    </row>
    <row r="2403">
      <c r="A2403" s="5">
        <f>IF(AND(C2403&gt;=Options!$B$9,C2403&lt;=Options!$B$10),"Boston","")</f>
        <v/>
      </c>
      <c r="B2403" s="5">
        <f>IF(A2403="","",18)</f>
        <v/>
      </c>
      <c r="C2403" s="17" t="n">
        <v>46504</v>
      </c>
      <c r="D2403" s="5">
        <f>IF(A2403="","",IF(C2403=DATE(2026,11,29),"培训；注册午餐；早餐参数",IF(C2403=DATE(2026,11,30),"培训；注册午餐",IF(C2403=DATE(2026,12,1),"培训；注册午餐；机构晚餐",IF(C2403=Options!$B$9,"抵达；"&amp;IF(C2403=DATE(2026,11,28),"机构晚餐","无统一供餐"),IF(C2403=Options!$B$10,"返程；"&amp;IF(C2403=DATE(2026,12,2),"机构午餐","无统一供餐"),"差旅状态；无统一日程"))))))</f>
        <v/>
      </c>
      <c r="E2403" s="13">
        <f>IF(C2403=Options!$B$9,Options!$C$20,0)</f>
        <v/>
      </c>
      <c r="F2403" s="13">
        <f>IF(AND(A2403&lt;&gt;"",C2403&lt;Options!$B$10),B2403*Options!$X$8,0)</f>
        <v/>
      </c>
      <c r="G2403" s="13">
        <f>F2403*12%</f>
        <v/>
      </c>
      <c r="H2403" s="13">
        <f>IF(A2403="",0,B2403*(92*IF(OR(C2403=Options!$B$9,C2403=Options!$B$10),75%,100%)-IF(C2403=DATE(2026,11,29),26+IF(Options!$B$8="是",23,0),0)-IF(C2403=DATE(2026,11,30),26,0)-IF(C2403=DATE(2026,12,1),64,0)-IF(C2403=DATE(2026,11,28),38,0)-IF(C2403=DATE(2026,12,2),26,0)))</f>
        <v/>
      </c>
      <c r="I2403" s="13">
        <f>IF(AND(C2403&gt;=DATE(2026,11,29),C2403&lt;=DATE(2026,12,1)),B2403*60,0)</f>
        <v/>
      </c>
      <c r="J2403" s="13">
        <f>IF(A2403="",0,B2403*(IF(C2403=DATE(2026,11,28),38,0)+IF(C2403=DATE(2026,12,1),38,0)+IF(C2403=DATE(2026,12,2),26,0)))</f>
        <v/>
      </c>
      <c r="K2403" s="13">
        <f>IF(C2403=Options!$B$9,B2403*12,0)</f>
        <v/>
      </c>
      <c r="L2403" s="13">
        <f>IF(C2403=Options!$B$9,B2403*Options!$Z$8,0)</f>
        <v/>
      </c>
      <c r="M2403" s="13" t="n">
        <v>0</v>
      </c>
      <c r="N2403" s="13">
        <f>SUM(E2403:M2403)</f>
        <v/>
      </c>
    </row>
    <row r="2404">
      <c r="A2404" s="5">
        <f>IF(AND(C2404&gt;=Options!$B$9,C2404&lt;=Options!$B$10),"Boston","")</f>
        <v/>
      </c>
      <c r="B2404" s="5">
        <f>IF(A2404="","",18)</f>
        <v/>
      </c>
      <c r="C2404" s="17" t="n">
        <v>46505</v>
      </c>
      <c r="D2404" s="5">
        <f>IF(A2404="","",IF(C2404=DATE(2026,11,29),"培训；注册午餐；早餐参数",IF(C2404=DATE(2026,11,30),"培训；注册午餐",IF(C2404=DATE(2026,12,1),"培训；注册午餐；机构晚餐",IF(C2404=Options!$B$9,"抵达；"&amp;IF(C2404=DATE(2026,11,28),"机构晚餐","无统一供餐"),IF(C2404=Options!$B$10,"返程；"&amp;IF(C2404=DATE(2026,12,2),"机构午餐","无统一供餐"),"差旅状态；无统一日程"))))))</f>
        <v/>
      </c>
      <c r="E2404" s="13">
        <f>IF(C2404=Options!$B$9,Options!$C$20,0)</f>
        <v/>
      </c>
      <c r="F2404" s="13">
        <f>IF(AND(A2404&lt;&gt;"",C2404&lt;Options!$B$10),B2404*Options!$X$8,0)</f>
        <v/>
      </c>
      <c r="G2404" s="13">
        <f>F2404*12%</f>
        <v/>
      </c>
      <c r="H2404" s="13">
        <f>IF(A2404="",0,B2404*(92*IF(OR(C2404=Options!$B$9,C2404=Options!$B$10),75%,100%)-IF(C2404=DATE(2026,11,29),26+IF(Options!$B$8="是",23,0),0)-IF(C2404=DATE(2026,11,30),26,0)-IF(C2404=DATE(2026,12,1),64,0)-IF(C2404=DATE(2026,11,28),38,0)-IF(C2404=DATE(2026,12,2),26,0)))</f>
        <v/>
      </c>
      <c r="I2404" s="13">
        <f>IF(AND(C2404&gt;=DATE(2026,11,29),C2404&lt;=DATE(2026,12,1)),B2404*60,0)</f>
        <v/>
      </c>
      <c r="J2404" s="13">
        <f>IF(A2404="",0,B2404*(IF(C2404=DATE(2026,11,28),38,0)+IF(C2404=DATE(2026,12,1),38,0)+IF(C2404=DATE(2026,12,2),26,0)))</f>
        <v/>
      </c>
      <c r="K2404" s="13">
        <f>IF(C2404=Options!$B$9,B2404*12,0)</f>
        <v/>
      </c>
      <c r="L2404" s="13">
        <f>IF(C2404=Options!$B$9,B2404*Options!$Z$8,0)</f>
        <v/>
      </c>
      <c r="M2404" s="13" t="n">
        <v>0</v>
      </c>
      <c r="N2404" s="13">
        <f>SUM(E2404:M2404)</f>
        <v/>
      </c>
    </row>
    <row r="2405">
      <c r="A2405" s="5">
        <f>IF(AND(C2405&gt;=Options!$B$9,C2405&lt;=Options!$B$10),"Boston","")</f>
        <v/>
      </c>
      <c r="B2405" s="5">
        <f>IF(A2405="","",18)</f>
        <v/>
      </c>
      <c r="C2405" s="17" t="n">
        <v>46506</v>
      </c>
      <c r="D2405" s="5">
        <f>IF(A2405="","",IF(C2405=DATE(2026,11,29),"培训；注册午餐；早餐参数",IF(C2405=DATE(2026,11,30),"培训；注册午餐",IF(C2405=DATE(2026,12,1),"培训；注册午餐；机构晚餐",IF(C2405=Options!$B$9,"抵达；"&amp;IF(C2405=DATE(2026,11,28),"机构晚餐","无统一供餐"),IF(C2405=Options!$B$10,"返程；"&amp;IF(C2405=DATE(2026,12,2),"机构午餐","无统一供餐"),"差旅状态；无统一日程"))))))</f>
        <v/>
      </c>
      <c r="E2405" s="13">
        <f>IF(C2405=Options!$B$9,Options!$C$20,0)</f>
        <v/>
      </c>
      <c r="F2405" s="13">
        <f>IF(AND(A2405&lt;&gt;"",C2405&lt;Options!$B$10),B2405*Options!$X$8,0)</f>
        <v/>
      </c>
      <c r="G2405" s="13">
        <f>F2405*12%</f>
        <v/>
      </c>
      <c r="H2405" s="13">
        <f>IF(A2405="",0,B2405*(92*IF(OR(C2405=Options!$B$9,C2405=Options!$B$10),75%,100%)-IF(C2405=DATE(2026,11,29),26+IF(Options!$B$8="是",23,0),0)-IF(C2405=DATE(2026,11,30),26,0)-IF(C2405=DATE(2026,12,1),64,0)-IF(C2405=DATE(2026,11,28),38,0)-IF(C2405=DATE(2026,12,2),26,0)))</f>
        <v/>
      </c>
      <c r="I2405" s="13">
        <f>IF(AND(C2405&gt;=DATE(2026,11,29),C2405&lt;=DATE(2026,12,1)),B2405*60,0)</f>
        <v/>
      </c>
      <c r="J2405" s="13">
        <f>IF(A2405="",0,B2405*(IF(C2405=DATE(2026,11,28),38,0)+IF(C2405=DATE(2026,12,1),38,0)+IF(C2405=DATE(2026,12,2),26,0)))</f>
        <v/>
      </c>
      <c r="K2405" s="13">
        <f>IF(C2405=Options!$B$9,B2405*12,0)</f>
        <v/>
      </c>
      <c r="L2405" s="13">
        <f>IF(C2405=Options!$B$9,B2405*Options!$Z$8,0)</f>
        <v/>
      </c>
      <c r="M2405" s="13" t="n">
        <v>0</v>
      </c>
      <c r="N2405" s="13">
        <f>SUM(E2405:M2405)</f>
        <v/>
      </c>
    </row>
    <row r="2406">
      <c r="A2406" s="5">
        <f>IF(AND(C2406&gt;=Options!$B$9,C2406&lt;=Options!$B$10),"Boston","")</f>
        <v/>
      </c>
      <c r="B2406" s="5">
        <f>IF(A2406="","",18)</f>
        <v/>
      </c>
      <c r="C2406" s="17" t="n">
        <v>46507</v>
      </c>
      <c r="D2406" s="5">
        <f>IF(A2406="","",IF(C2406=DATE(2026,11,29),"培训；注册午餐；早餐参数",IF(C2406=DATE(2026,11,30),"培训；注册午餐",IF(C2406=DATE(2026,12,1),"培训；注册午餐；机构晚餐",IF(C2406=Options!$B$9,"抵达；"&amp;IF(C2406=DATE(2026,11,28),"机构晚餐","无统一供餐"),IF(C2406=Options!$B$10,"返程；"&amp;IF(C2406=DATE(2026,12,2),"机构午餐","无统一供餐"),"差旅状态；无统一日程"))))))</f>
        <v/>
      </c>
      <c r="E2406" s="13">
        <f>IF(C2406=Options!$B$9,Options!$C$20,0)</f>
        <v/>
      </c>
      <c r="F2406" s="13">
        <f>IF(AND(A2406&lt;&gt;"",C2406&lt;Options!$B$10),B2406*Options!$X$8,0)</f>
        <v/>
      </c>
      <c r="G2406" s="13">
        <f>F2406*12%</f>
        <v/>
      </c>
      <c r="H2406" s="13">
        <f>IF(A2406="",0,B2406*(92*IF(OR(C2406=Options!$B$9,C2406=Options!$B$10),75%,100%)-IF(C2406=DATE(2026,11,29),26+IF(Options!$B$8="是",23,0),0)-IF(C2406=DATE(2026,11,30),26,0)-IF(C2406=DATE(2026,12,1),64,0)-IF(C2406=DATE(2026,11,28),38,0)-IF(C2406=DATE(2026,12,2),26,0)))</f>
        <v/>
      </c>
      <c r="I2406" s="13">
        <f>IF(AND(C2406&gt;=DATE(2026,11,29),C2406&lt;=DATE(2026,12,1)),B2406*60,0)</f>
        <v/>
      </c>
      <c r="J2406" s="13">
        <f>IF(A2406="",0,B2406*(IF(C2406=DATE(2026,11,28),38,0)+IF(C2406=DATE(2026,12,1),38,0)+IF(C2406=DATE(2026,12,2),26,0)))</f>
        <v/>
      </c>
      <c r="K2406" s="13">
        <f>IF(C2406=Options!$B$9,B2406*12,0)</f>
        <v/>
      </c>
      <c r="L2406" s="13">
        <f>IF(C2406=Options!$B$9,B2406*Options!$Z$8,0)</f>
        <v/>
      </c>
      <c r="M2406" s="13" t="n">
        <v>0</v>
      </c>
      <c r="N2406" s="13">
        <f>SUM(E2406:M2406)</f>
        <v/>
      </c>
    </row>
    <row r="2407">
      <c r="A2407" s="5">
        <f>IF(AND(C2407&gt;=Options!$B$9,C2407&lt;=Options!$B$10),"Boston","")</f>
        <v/>
      </c>
      <c r="B2407" s="5">
        <f>IF(A2407="","",18)</f>
        <v/>
      </c>
      <c r="C2407" s="17" t="n">
        <v>46508</v>
      </c>
      <c r="D2407" s="5">
        <f>IF(A2407="","",IF(C2407=DATE(2026,11,29),"培训；注册午餐；早餐参数",IF(C2407=DATE(2026,11,30),"培训；注册午餐",IF(C2407=DATE(2026,12,1),"培训；注册午餐；机构晚餐",IF(C2407=Options!$B$9,"抵达；"&amp;IF(C2407=DATE(2026,11,28),"机构晚餐","无统一供餐"),IF(C2407=Options!$B$10,"返程；"&amp;IF(C2407=DATE(2026,12,2),"机构午餐","无统一供餐"),"差旅状态；无统一日程"))))))</f>
        <v/>
      </c>
      <c r="E2407" s="13">
        <f>IF(C2407=Options!$B$9,Options!$C$20,0)</f>
        <v/>
      </c>
      <c r="F2407" s="13">
        <f>IF(AND(A2407&lt;&gt;"",C2407&lt;Options!$B$10),B2407*Options!$X$8,0)</f>
        <v/>
      </c>
      <c r="G2407" s="13">
        <f>F2407*12%</f>
        <v/>
      </c>
      <c r="H2407" s="13">
        <f>IF(A2407="",0,B2407*(92*IF(OR(C2407=Options!$B$9,C2407=Options!$B$10),75%,100%)-IF(C2407=DATE(2026,11,29),26+IF(Options!$B$8="是",23,0),0)-IF(C2407=DATE(2026,11,30),26,0)-IF(C2407=DATE(2026,12,1),64,0)-IF(C2407=DATE(2026,11,28),38,0)-IF(C2407=DATE(2026,12,2),26,0)))</f>
        <v/>
      </c>
      <c r="I2407" s="13">
        <f>IF(AND(C2407&gt;=DATE(2026,11,29),C2407&lt;=DATE(2026,12,1)),B2407*60,0)</f>
        <v/>
      </c>
      <c r="J2407" s="13">
        <f>IF(A2407="",0,B2407*(IF(C2407=DATE(2026,11,28),38,0)+IF(C2407=DATE(2026,12,1),38,0)+IF(C2407=DATE(2026,12,2),26,0)))</f>
        <v/>
      </c>
      <c r="K2407" s="13">
        <f>IF(C2407=Options!$B$9,B2407*12,0)</f>
        <v/>
      </c>
      <c r="L2407" s="13">
        <f>IF(C2407=Options!$B$9,B2407*Options!$Z$8,0)</f>
        <v/>
      </c>
      <c r="M2407" s="13" t="n">
        <v>0</v>
      </c>
      <c r="N2407" s="13">
        <f>SUM(E2407:M2407)</f>
        <v/>
      </c>
    </row>
    <row r="2408">
      <c r="A2408" s="5">
        <f>IF(AND(C2408&gt;=Options!$B$9,C2408&lt;=Options!$B$10),"Boston","")</f>
        <v/>
      </c>
      <c r="B2408" s="5">
        <f>IF(A2408="","",18)</f>
        <v/>
      </c>
      <c r="C2408" s="17" t="n">
        <v>46509</v>
      </c>
      <c r="D2408" s="5">
        <f>IF(A2408="","",IF(C2408=DATE(2026,11,29),"培训；注册午餐；早餐参数",IF(C2408=DATE(2026,11,30),"培训；注册午餐",IF(C2408=DATE(2026,12,1),"培训；注册午餐；机构晚餐",IF(C2408=Options!$B$9,"抵达；"&amp;IF(C2408=DATE(2026,11,28),"机构晚餐","无统一供餐"),IF(C2408=Options!$B$10,"返程；"&amp;IF(C2408=DATE(2026,12,2),"机构午餐","无统一供餐"),"差旅状态；无统一日程"))))))</f>
        <v/>
      </c>
      <c r="E2408" s="13">
        <f>IF(C2408=Options!$B$9,Options!$C$20,0)</f>
        <v/>
      </c>
      <c r="F2408" s="13">
        <f>IF(AND(A2408&lt;&gt;"",C2408&lt;Options!$B$10),B2408*Options!$X$8,0)</f>
        <v/>
      </c>
      <c r="G2408" s="13">
        <f>F2408*12%</f>
        <v/>
      </c>
      <c r="H2408" s="13">
        <f>IF(A2408="",0,B2408*(92*IF(OR(C2408=Options!$B$9,C2408=Options!$B$10),75%,100%)-IF(C2408=DATE(2026,11,29),26+IF(Options!$B$8="是",23,0),0)-IF(C2408=DATE(2026,11,30),26,0)-IF(C2408=DATE(2026,12,1),64,0)-IF(C2408=DATE(2026,11,28),38,0)-IF(C2408=DATE(2026,12,2),26,0)))</f>
        <v/>
      </c>
      <c r="I2408" s="13">
        <f>IF(AND(C2408&gt;=DATE(2026,11,29),C2408&lt;=DATE(2026,12,1)),B2408*60,0)</f>
        <v/>
      </c>
      <c r="J2408" s="13">
        <f>IF(A2408="",0,B2408*(IF(C2408=DATE(2026,11,28),38,0)+IF(C2408=DATE(2026,12,1),38,0)+IF(C2408=DATE(2026,12,2),26,0)))</f>
        <v/>
      </c>
      <c r="K2408" s="13">
        <f>IF(C2408=Options!$B$9,B2408*12,0)</f>
        <v/>
      </c>
      <c r="L2408" s="13">
        <f>IF(C2408=Options!$B$9,B2408*Options!$Z$8,0)</f>
        <v/>
      </c>
      <c r="M2408" s="13" t="n">
        <v>0</v>
      </c>
      <c r="N2408" s="13">
        <f>SUM(E2408:M2408)</f>
        <v/>
      </c>
    </row>
    <row r="2409">
      <c r="A2409" s="5">
        <f>IF(AND(C2409&gt;=Options!$B$9,C2409&lt;=Options!$B$10),"Boston","")</f>
        <v/>
      </c>
      <c r="B2409" s="5">
        <f>IF(A2409="","",18)</f>
        <v/>
      </c>
      <c r="C2409" s="17" t="n">
        <v>46510</v>
      </c>
      <c r="D2409" s="5">
        <f>IF(A2409="","",IF(C2409=DATE(2026,11,29),"培训；注册午餐；早餐参数",IF(C2409=DATE(2026,11,30),"培训；注册午餐",IF(C2409=DATE(2026,12,1),"培训；注册午餐；机构晚餐",IF(C2409=Options!$B$9,"抵达；"&amp;IF(C2409=DATE(2026,11,28),"机构晚餐","无统一供餐"),IF(C2409=Options!$B$10,"返程；"&amp;IF(C2409=DATE(2026,12,2),"机构午餐","无统一供餐"),"差旅状态；无统一日程"))))))</f>
        <v/>
      </c>
      <c r="E2409" s="13">
        <f>IF(C2409=Options!$B$9,Options!$C$20,0)</f>
        <v/>
      </c>
      <c r="F2409" s="13">
        <f>IF(AND(A2409&lt;&gt;"",C2409&lt;Options!$B$10),B2409*Options!$X$8,0)</f>
        <v/>
      </c>
      <c r="G2409" s="13">
        <f>F2409*12%</f>
        <v/>
      </c>
      <c r="H2409" s="13">
        <f>IF(A2409="",0,B2409*(92*IF(OR(C2409=Options!$B$9,C2409=Options!$B$10),75%,100%)-IF(C2409=DATE(2026,11,29),26+IF(Options!$B$8="是",23,0),0)-IF(C2409=DATE(2026,11,30),26,0)-IF(C2409=DATE(2026,12,1),64,0)-IF(C2409=DATE(2026,11,28),38,0)-IF(C2409=DATE(2026,12,2),26,0)))</f>
        <v/>
      </c>
      <c r="I2409" s="13">
        <f>IF(AND(C2409&gt;=DATE(2026,11,29),C2409&lt;=DATE(2026,12,1)),B2409*60,0)</f>
        <v/>
      </c>
      <c r="J2409" s="13">
        <f>IF(A2409="",0,B2409*(IF(C2409=DATE(2026,11,28),38,0)+IF(C2409=DATE(2026,12,1),38,0)+IF(C2409=DATE(2026,12,2),26,0)))</f>
        <v/>
      </c>
      <c r="K2409" s="13">
        <f>IF(C2409=Options!$B$9,B2409*12,0)</f>
        <v/>
      </c>
      <c r="L2409" s="13">
        <f>IF(C2409=Options!$B$9,B2409*Options!$Z$8,0)</f>
        <v/>
      </c>
      <c r="M2409" s="13" t="n">
        <v>0</v>
      </c>
      <c r="N2409" s="13">
        <f>SUM(E2409:M2409)</f>
        <v/>
      </c>
    </row>
    <row r="2410">
      <c r="A2410" s="5">
        <f>IF(AND(C2410&gt;=Options!$B$9,C2410&lt;=Options!$B$10),"Boston","")</f>
        <v/>
      </c>
      <c r="B2410" s="5">
        <f>IF(A2410="","",18)</f>
        <v/>
      </c>
      <c r="C2410" s="17" t="n">
        <v>46511</v>
      </c>
      <c r="D2410" s="5">
        <f>IF(A2410="","",IF(C2410=DATE(2026,11,29),"培训；注册午餐；早餐参数",IF(C2410=DATE(2026,11,30),"培训；注册午餐",IF(C2410=DATE(2026,12,1),"培训；注册午餐；机构晚餐",IF(C2410=Options!$B$9,"抵达；"&amp;IF(C2410=DATE(2026,11,28),"机构晚餐","无统一供餐"),IF(C2410=Options!$B$10,"返程；"&amp;IF(C2410=DATE(2026,12,2),"机构午餐","无统一供餐"),"差旅状态；无统一日程"))))))</f>
        <v/>
      </c>
      <c r="E2410" s="13">
        <f>IF(C2410=Options!$B$9,Options!$C$20,0)</f>
        <v/>
      </c>
      <c r="F2410" s="13">
        <f>IF(AND(A2410&lt;&gt;"",C2410&lt;Options!$B$10),B2410*Options!$X$8,0)</f>
        <v/>
      </c>
      <c r="G2410" s="13">
        <f>F2410*12%</f>
        <v/>
      </c>
      <c r="H2410" s="13">
        <f>IF(A2410="",0,B2410*(92*IF(OR(C2410=Options!$B$9,C2410=Options!$B$10),75%,100%)-IF(C2410=DATE(2026,11,29),26+IF(Options!$B$8="是",23,0),0)-IF(C2410=DATE(2026,11,30),26,0)-IF(C2410=DATE(2026,12,1),64,0)-IF(C2410=DATE(2026,11,28),38,0)-IF(C2410=DATE(2026,12,2),26,0)))</f>
        <v/>
      </c>
      <c r="I2410" s="13">
        <f>IF(AND(C2410&gt;=DATE(2026,11,29),C2410&lt;=DATE(2026,12,1)),B2410*60,0)</f>
        <v/>
      </c>
      <c r="J2410" s="13">
        <f>IF(A2410="",0,B2410*(IF(C2410=DATE(2026,11,28),38,0)+IF(C2410=DATE(2026,12,1),38,0)+IF(C2410=DATE(2026,12,2),26,0)))</f>
        <v/>
      </c>
      <c r="K2410" s="13">
        <f>IF(C2410=Options!$B$9,B2410*12,0)</f>
        <v/>
      </c>
      <c r="L2410" s="13">
        <f>IF(C2410=Options!$B$9,B2410*Options!$Z$8,0)</f>
        <v/>
      </c>
      <c r="M2410" s="13" t="n">
        <v>0</v>
      </c>
      <c r="N2410" s="13">
        <f>SUM(E2410:M2410)</f>
        <v/>
      </c>
    </row>
    <row r="2411">
      <c r="A2411" s="5">
        <f>IF(AND(C2411&gt;=Options!$B$9,C2411&lt;=Options!$B$10),"Boston","")</f>
        <v/>
      </c>
      <c r="B2411" s="5">
        <f>IF(A2411="","",18)</f>
        <v/>
      </c>
      <c r="C2411" s="17" t="n">
        <v>46512</v>
      </c>
      <c r="D2411" s="5">
        <f>IF(A2411="","",IF(C2411=DATE(2026,11,29),"培训；注册午餐；早餐参数",IF(C2411=DATE(2026,11,30),"培训；注册午餐",IF(C2411=DATE(2026,12,1),"培训；注册午餐；机构晚餐",IF(C2411=Options!$B$9,"抵达；"&amp;IF(C2411=DATE(2026,11,28),"机构晚餐","无统一供餐"),IF(C2411=Options!$B$10,"返程；"&amp;IF(C2411=DATE(2026,12,2),"机构午餐","无统一供餐"),"差旅状态；无统一日程"))))))</f>
        <v/>
      </c>
      <c r="E2411" s="13">
        <f>IF(C2411=Options!$B$9,Options!$C$20,0)</f>
        <v/>
      </c>
      <c r="F2411" s="13">
        <f>IF(AND(A2411&lt;&gt;"",C2411&lt;Options!$B$10),B2411*Options!$X$8,0)</f>
        <v/>
      </c>
      <c r="G2411" s="13">
        <f>F2411*12%</f>
        <v/>
      </c>
      <c r="H2411" s="13">
        <f>IF(A2411="",0,B2411*(92*IF(OR(C2411=Options!$B$9,C2411=Options!$B$10),75%,100%)-IF(C2411=DATE(2026,11,29),26+IF(Options!$B$8="是",23,0),0)-IF(C2411=DATE(2026,11,30),26,0)-IF(C2411=DATE(2026,12,1),64,0)-IF(C2411=DATE(2026,11,28),38,0)-IF(C2411=DATE(2026,12,2),26,0)))</f>
        <v/>
      </c>
      <c r="I2411" s="13">
        <f>IF(AND(C2411&gt;=DATE(2026,11,29),C2411&lt;=DATE(2026,12,1)),B2411*60,0)</f>
        <v/>
      </c>
      <c r="J2411" s="13">
        <f>IF(A2411="",0,B2411*(IF(C2411=DATE(2026,11,28),38,0)+IF(C2411=DATE(2026,12,1),38,0)+IF(C2411=DATE(2026,12,2),26,0)))</f>
        <v/>
      </c>
      <c r="K2411" s="13">
        <f>IF(C2411=Options!$B$9,B2411*12,0)</f>
        <v/>
      </c>
      <c r="L2411" s="13">
        <f>IF(C2411=Options!$B$9,B2411*Options!$Z$8,0)</f>
        <v/>
      </c>
      <c r="M2411" s="13" t="n">
        <v>0</v>
      </c>
      <c r="N2411" s="13">
        <f>SUM(E2411:M2411)</f>
        <v/>
      </c>
    </row>
    <row r="2412">
      <c r="A2412" s="5">
        <f>IF(AND(C2412&gt;=Options!$B$9,C2412&lt;=Options!$B$10),"Boston","")</f>
        <v/>
      </c>
      <c r="B2412" s="5">
        <f>IF(A2412="","",18)</f>
        <v/>
      </c>
      <c r="C2412" s="17" t="n">
        <v>46513</v>
      </c>
      <c r="D2412" s="5">
        <f>IF(A2412="","",IF(C2412=DATE(2026,11,29),"培训；注册午餐；早餐参数",IF(C2412=DATE(2026,11,30),"培训；注册午餐",IF(C2412=DATE(2026,12,1),"培训；注册午餐；机构晚餐",IF(C2412=Options!$B$9,"抵达；"&amp;IF(C2412=DATE(2026,11,28),"机构晚餐","无统一供餐"),IF(C2412=Options!$B$10,"返程；"&amp;IF(C2412=DATE(2026,12,2),"机构午餐","无统一供餐"),"差旅状态；无统一日程"))))))</f>
        <v/>
      </c>
      <c r="E2412" s="13">
        <f>IF(C2412=Options!$B$9,Options!$C$20,0)</f>
        <v/>
      </c>
      <c r="F2412" s="13">
        <f>IF(AND(A2412&lt;&gt;"",C2412&lt;Options!$B$10),B2412*Options!$X$8,0)</f>
        <v/>
      </c>
      <c r="G2412" s="13">
        <f>F2412*12%</f>
        <v/>
      </c>
      <c r="H2412" s="13">
        <f>IF(A2412="",0,B2412*(92*IF(OR(C2412=Options!$B$9,C2412=Options!$B$10),75%,100%)-IF(C2412=DATE(2026,11,29),26+IF(Options!$B$8="是",23,0),0)-IF(C2412=DATE(2026,11,30),26,0)-IF(C2412=DATE(2026,12,1),64,0)-IF(C2412=DATE(2026,11,28),38,0)-IF(C2412=DATE(2026,12,2),26,0)))</f>
        <v/>
      </c>
      <c r="I2412" s="13">
        <f>IF(AND(C2412&gt;=DATE(2026,11,29),C2412&lt;=DATE(2026,12,1)),B2412*60,0)</f>
        <v/>
      </c>
      <c r="J2412" s="13">
        <f>IF(A2412="",0,B2412*(IF(C2412=DATE(2026,11,28),38,0)+IF(C2412=DATE(2026,12,1),38,0)+IF(C2412=DATE(2026,12,2),26,0)))</f>
        <v/>
      </c>
      <c r="K2412" s="13">
        <f>IF(C2412=Options!$B$9,B2412*12,0)</f>
        <v/>
      </c>
      <c r="L2412" s="13">
        <f>IF(C2412=Options!$B$9,B2412*Options!$Z$8,0)</f>
        <v/>
      </c>
      <c r="M2412" s="13" t="n">
        <v>0</v>
      </c>
      <c r="N2412" s="13">
        <f>SUM(E2412:M2412)</f>
        <v/>
      </c>
    </row>
    <row r="2413">
      <c r="A2413" s="5">
        <f>IF(AND(C2413&gt;=Options!$B$9,C2413&lt;=Options!$B$10),"Boston","")</f>
        <v/>
      </c>
      <c r="B2413" s="5">
        <f>IF(A2413="","",18)</f>
        <v/>
      </c>
      <c r="C2413" s="17" t="n">
        <v>46514</v>
      </c>
      <c r="D2413" s="5">
        <f>IF(A2413="","",IF(C2413=DATE(2026,11,29),"培训；注册午餐；早餐参数",IF(C2413=DATE(2026,11,30),"培训；注册午餐",IF(C2413=DATE(2026,12,1),"培训；注册午餐；机构晚餐",IF(C2413=Options!$B$9,"抵达；"&amp;IF(C2413=DATE(2026,11,28),"机构晚餐","无统一供餐"),IF(C2413=Options!$B$10,"返程；"&amp;IF(C2413=DATE(2026,12,2),"机构午餐","无统一供餐"),"差旅状态；无统一日程"))))))</f>
        <v/>
      </c>
      <c r="E2413" s="13">
        <f>IF(C2413=Options!$B$9,Options!$C$20,0)</f>
        <v/>
      </c>
      <c r="F2413" s="13">
        <f>IF(AND(A2413&lt;&gt;"",C2413&lt;Options!$B$10),B2413*Options!$X$8,0)</f>
        <v/>
      </c>
      <c r="G2413" s="13">
        <f>F2413*12%</f>
        <v/>
      </c>
      <c r="H2413" s="13">
        <f>IF(A2413="",0,B2413*(92*IF(OR(C2413=Options!$B$9,C2413=Options!$B$10),75%,100%)-IF(C2413=DATE(2026,11,29),26+IF(Options!$B$8="是",23,0),0)-IF(C2413=DATE(2026,11,30),26,0)-IF(C2413=DATE(2026,12,1),64,0)-IF(C2413=DATE(2026,11,28),38,0)-IF(C2413=DATE(2026,12,2),26,0)))</f>
        <v/>
      </c>
      <c r="I2413" s="13">
        <f>IF(AND(C2413&gt;=DATE(2026,11,29),C2413&lt;=DATE(2026,12,1)),B2413*60,0)</f>
        <v/>
      </c>
      <c r="J2413" s="13">
        <f>IF(A2413="",0,B2413*(IF(C2413=DATE(2026,11,28),38,0)+IF(C2413=DATE(2026,12,1),38,0)+IF(C2413=DATE(2026,12,2),26,0)))</f>
        <v/>
      </c>
      <c r="K2413" s="13">
        <f>IF(C2413=Options!$B$9,B2413*12,0)</f>
        <v/>
      </c>
      <c r="L2413" s="13">
        <f>IF(C2413=Options!$B$9,B2413*Options!$Z$8,0)</f>
        <v/>
      </c>
      <c r="M2413" s="13" t="n">
        <v>0</v>
      </c>
      <c r="N2413" s="13">
        <f>SUM(E2413:M2413)</f>
        <v/>
      </c>
    </row>
    <row r="2414">
      <c r="A2414" s="5">
        <f>IF(AND(C2414&gt;=Options!$B$9,C2414&lt;=Options!$B$10),"Boston","")</f>
        <v/>
      </c>
      <c r="B2414" s="5">
        <f>IF(A2414="","",18)</f>
        <v/>
      </c>
      <c r="C2414" s="17" t="n">
        <v>46515</v>
      </c>
      <c r="D2414" s="5">
        <f>IF(A2414="","",IF(C2414=DATE(2026,11,29),"培训；注册午餐；早餐参数",IF(C2414=DATE(2026,11,30),"培训；注册午餐",IF(C2414=DATE(2026,12,1),"培训；注册午餐；机构晚餐",IF(C2414=Options!$B$9,"抵达；"&amp;IF(C2414=DATE(2026,11,28),"机构晚餐","无统一供餐"),IF(C2414=Options!$B$10,"返程；"&amp;IF(C2414=DATE(2026,12,2),"机构午餐","无统一供餐"),"差旅状态；无统一日程"))))))</f>
        <v/>
      </c>
      <c r="E2414" s="13">
        <f>IF(C2414=Options!$B$9,Options!$C$20,0)</f>
        <v/>
      </c>
      <c r="F2414" s="13">
        <f>IF(AND(A2414&lt;&gt;"",C2414&lt;Options!$B$10),B2414*Options!$X$8,0)</f>
        <v/>
      </c>
      <c r="G2414" s="13">
        <f>F2414*12%</f>
        <v/>
      </c>
      <c r="H2414" s="13">
        <f>IF(A2414="",0,B2414*(92*IF(OR(C2414=Options!$B$9,C2414=Options!$B$10),75%,100%)-IF(C2414=DATE(2026,11,29),26+IF(Options!$B$8="是",23,0),0)-IF(C2414=DATE(2026,11,30),26,0)-IF(C2414=DATE(2026,12,1),64,0)-IF(C2414=DATE(2026,11,28),38,0)-IF(C2414=DATE(2026,12,2),26,0)))</f>
        <v/>
      </c>
      <c r="I2414" s="13">
        <f>IF(AND(C2414&gt;=DATE(2026,11,29),C2414&lt;=DATE(2026,12,1)),B2414*60,0)</f>
        <v/>
      </c>
      <c r="J2414" s="13">
        <f>IF(A2414="",0,B2414*(IF(C2414=DATE(2026,11,28),38,0)+IF(C2414=DATE(2026,12,1),38,0)+IF(C2414=DATE(2026,12,2),26,0)))</f>
        <v/>
      </c>
      <c r="K2414" s="13">
        <f>IF(C2414=Options!$B$9,B2414*12,0)</f>
        <v/>
      </c>
      <c r="L2414" s="13">
        <f>IF(C2414=Options!$B$9,B2414*Options!$Z$8,0)</f>
        <v/>
      </c>
      <c r="M2414" s="13" t="n">
        <v>0</v>
      </c>
      <c r="N2414" s="13">
        <f>SUM(E2414:M2414)</f>
        <v/>
      </c>
    </row>
    <row r="2415">
      <c r="A2415" s="5">
        <f>IF(AND(C2415&gt;=Options!$B$9,C2415&lt;=Options!$B$10),"Boston","")</f>
        <v/>
      </c>
      <c r="B2415" s="5">
        <f>IF(A2415="","",18)</f>
        <v/>
      </c>
      <c r="C2415" s="17" t="n">
        <v>46516</v>
      </c>
      <c r="D2415" s="5">
        <f>IF(A2415="","",IF(C2415=DATE(2026,11,29),"培训；注册午餐；早餐参数",IF(C2415=DATE(2026,11,30),"培训；注册午餐",IF(C2415=DATE(2026,12,1),"培训；注册午餐；机构晚餐",IF(C2415=Options!$B$9,"抵达；"&amp;IF(C2415=DATE(2026,11,28),"机构晚餐","无统一供餐"),IF(C2415=Options!$B$10,"返程；"&amp;IF(C2415=DATE(2026,12,2),"机构午餐","无统一供餐"),"差旅状态；无统一日程"))))))</f>
        <v/>
      </c>
      <c r="E2415" s="13">
        <f>IF(C2415=Options!$B$9,Options!$C$20,0)</f>
        <v/>
      </c>
      <c r="F2415" s="13">
        <f>IF(AND(A2415&lt;&gt;"",C2415&lt;Options!$B$10),B2415*Options!$X$8,0)</f>
        <v/>
      </c>
      <c r="G2415" s="13">
        <f>F2415*12%</f>
        <v/>
      </c>
      <c r="H2415" s="13">
        <f>IF(A2415="",0,B2415*(92*IF(OR(C2415=Options!$B$9,C2415=Options!$B$10),75%,100%)-IF(C2415=DATE(2026,11,29),26+IF(Options!$B$8="是",23,0),0)-IF(C2415=DATE(2026,11,30),26,0)-IF(C2415=DATE(2026,12,1),64,0)-IF(C2415=DATE(2026,11,28),38,0)-IF(C2415=DATE(2026,12,2),26,0)))</f>
        <v/>
      </c>
      <c r="I2415" s="13">
        <f>IF(AND(C2415&gt;=DATE(2026,11,29),C2415&lt;=DATE(2026,12,1)),B2415*60,0)</f>
        <v/>
      </c>
      <c r="J2415" s="13">
        <f>IF(A2415="",0,B2415*(IF(C2415=DATE(2026,11,28),38,0)+IF(C2415=DATE(2026,12,1),38,0)+IF(C2415=DATE(2026,12,2),26,0)))</f>
        <v/>
      </c>
      <c r="K2415" s="13">
        <f>IF(C2415=Options!$B$9,B2415*12,0)</f>
        <v/>
      </c>
      <c r="L2415" s="13">
        <f>IF(C2415=Options!$B$9,B2415*Options!$Z$8,0)</f>
        <v/>
      </c>
      <c r="M2415" s="13" t="n">
        <v>0</v>
      </c>
      <c r="N2415" s="13">
        <f>SUM(E2415:M2415)</f>
        <v/>
      </c>
    </row>
    <row r="2416">
      <c r="A2416" s="5">
        <f>IF(AND(C2416&gt;=Options!$B$9,C2416&lt;=Options!$B$10),"Boston","")</f>
        <v/>
      </c>
      <c r="B2416" s="5">
        <f>IF(A2416="","",18)</f>
        <v/>
      </c>
      <c r="C2416" s="17" t="n">
        <v>46517</v>
      </c>
      <c r="D2416" s="5">
        <f>IF(A2416="","",IF(C2416=DATE(2026,11,29),"培训；注册午餐；早餐参数",IF(C2416=DATE(2026,11,30),"培训；注册午餐",IF(C2416=DATE(2026,12,1),"培训；注册午餐；机构晚餐",IF(C2416=Options!$B$9,"抵达；"&amp;IF(C2416=DATE(2026,11,28),"机构晚餐","无统一供餐"),IF(C2416=Options!$B$10,"返程；"&amp;IF(C2416=DATE(2026,12,2),"机构午餐","无统一供餐"),"差旅状态；无统一日程"))))))</f>
        <v/>
      </c>
      <c r="E2416" s="13">
        <f>IF(C2416=Options!$B$9,Options!$C$20,0)</f>
        <v/>
      </c>
      <c r="F2416" s="13">
        <f>IF(AND(A2416&lt;&gt;"",C2416&lt;Options!$B$10),B2416*Options!$X$8,0)</f>
        <v/>
      </c>
      <c r="G2416" s="13">
        <f>F2416*12%</f>
        <v/>
      </c>
      <c r="H2416" s="13">
        <f>IF(A2416="",0,B2416*(92*IF(OR(C2416=Options!$B$9,C2416=Options!$B$10),75%,100%)-IF(C2416=DATE(2026,11,29),26+IF(Options!$B$8="是",23,0),0)-IF(C2416=DATE(2026,11,30),26,0)-IF(C2416=DATE(2026,12,1),64,0)-IF(C2416=DATE(2026,11,28),38,0)-IF(C2416=DATE(2026,12,2),26,0)))</f>
        <v/>
      </c>
      <c r="I2416" s="13">
        <f>IF(AND(C2416&gt;=DATE(2026,11,29),C2416&lt;=DATE(2026,12,1)),B2416*60,0)</f>
        <v/>
      </c>
      <c r="J2416" s="13">
        <f>IF(A2416="",0,B2416*(IF(C2416=DATE(2026,11,28),38,0)+IF(C2416=DATE(2026,12,1),38,0)+IF(C2416=DATE(2026,12,2),26,0)))</f>
        <v/>
      </c>
      <c r="K2416" s="13">
        <f>IF(C2416=Options!$B$9,B2416*12,0)</f>
        <v/>
      </c>
      <c r="L2416" s="13">
        <f>IF(C2416=Options!$B$9,B2416*Options!$Z$8,0)</f>
        <v/>
      </c>
      <c r="M2416" s="13" t="n">
        <v>0</v>
      </c>
      <c r="N2416" s="13">
        <f>SUM(E2416:M2416)</f>
        <v/>
      </c>
    </row>
    <row r="2417">
      <c r="A2417" s="5">
        <f>IF(AND(C2417&gt;=Options!$B$9,C2417&lt;=Options!$B$10),"Boston","")</f>
        <v/>
      </c>
      <c r="B2417" s="5">
        <f>IF(A2417="","",18)</f>
        <v/>
      </c>
      <c r="C2417" s="17" t="n">
        <v>46518</v>
      </c>
      <c r="D2417" s="5">
        <f>IF(A2417="","",IF(C2417=DATE(2026,11,29),"培训；注册午餐；早餐参数",IF(C2417=DATE(2026,11,30),"培训；注册午餐",IF(C2417=DATE(2026,12,1),"培训；注册午餐；机构晚餐",IF(C2417=Options!$B$9,"抵达；"&amp;IF(C2417=DATE(2026,11,28),"机构晚餐","无统一供餐"),IF(C2417=Options!$B$10,"返程；"&amp;IF(C2417=DATE(2026,12,2),"机构午餐","无统一供餐"),"差旅状态；无统一日程"))))))</f>
        <v/>
      </c>
      <c r="E2417" s="13">
        <f>IF(C2417=Options!$B$9,Options!$C$20,0)</f>
        <v/>
      </c>
      <c r="F2417" s="13">
        <f>IF(AND(A2417&lt;&gt;"",C2417&lt;Options!$B$10),B2417*Options!$X$8,0)</f>
        <v/>
      </c>
      <c r="G2417" s="13">
        <f>F2417*12%</f>
        <v/>
      </c>
      <c r="H2417" s="13">
        <f>IF(A2417="",0,B2417*(92*IF(OR(C2417=Options!$B$9,C2417=Options!$B$10),75%,100%)-IF(C2417=DATE(2026,11,29),26+IF(Options!$B$8="是",23,0),0)-IF(C2417=DATE(2026,11,30),26,0)-IF(C2417=DATE(2026,12,1),64,0)-IF(C2417=DATE(2026,11,28),38,0)-IF(C2417=DATE(2026,12,2),26,0)))</f>
        <v/>
      </c>
      <c r="I2417" s="13">
        <f>IF(AND(C2417&gt;=DATE(2026,11,29),C2417&lt;=DATE(2026,12,1)),B2417*60,0)</f>
        <v/>
      </c>
      <c r="J2417" s="13">
        <f>IF(A2417="",0,B2417*(IF(C2417=DATE(2026,11,28),38,0)+IF(C2417=DATE(2026,12,1),38,0)+IF(C2417=DATE(2026,12,2),26,0)))</f>
        <v/>
      </c>
      <c r="K2417" s="13">
        <f>IF(C2417=Options!$B$9,B2417*12,0)</f>
        <v/>
      </c>
      <c r="L2417" s="13">
        <f>IF(C2417=Options!$B$9,B2417*Options!$Z$8,0)</f>
        <v/>
      </c>
      <c r="M2417" s="13" t="n">
        <v>0</v>
      </c>
      <c r="N2417" s="13">
        <f>SUM(E2417:M2417)</f>
        <v/>
      </c>
    </row>
    <row r="2418">
      <c r="A2418" s="5">
        <f>IF(AND(C2418&gt;=Options!$B$9,C2418&lt;=Options!$B$10),"Boston","")</f>
        <v/>
      </c>
      <c r="B2418" s="5">
        <f>IF(A2418="","",18)</f>
        <v/>
      </c>
      <c r="C2418" s="17" t="n">
        <v>46519</v>
      </c>
      <c r="D2418" s="5">
        <f>IF(A2418="","",IF(C2418=DATE(2026,11,29),"培训；注册午餐；早餐参数",IF(C2418=DATE(2026,11,30),"培训；注册午餐",IF(C2418=DATE(2026,12,1),"培训；注册午餐；机构晚餐",IF(C2418=Options!$B$9,"抵达；"&amp;IF(C2418=DATE(2026,11,28),"机构晚餐","无统一供餐"),IF(C2418=Options!$B$10,"返程；"&amp;IF(C2418=DATE(2026,12,2),"机构午餐","无统一供餐"),"差旅状态；无统一日程"))))))</f>
        <v/>
      </c>
      <c r="E2418" s="13">
        <f>IF(C2418=Options!$B$9,Options!$C$20,0)</f>
        <v/>
      </c>
      <c r="F2418" s="13">
        <f>IF(AND(A2418&lt;&gt;"",C2418&lt;Options!$B$10),B2418*Options!$X$8,0)</f>
        <v/>
      </c>
      <c r="G2418" s="13">
        <f>F2418*12%</f>
        <v/>
      </c>
      <c r="H2418" s="13">
        <f>IF(A2418="",0,B2418*(92*IF(OR(C2418=Options!$B$9,C2418=Options!$B$10),75%,100%)-IF(C2418=DATE(2026,11,29),26+IF(Options!$B$8="是",23,0),0)-IF(C2418=DATE(2026,11,30),26,0)-IF(C2418=DATE(2026,12,1),64,0)-IF(C2418=DATE(2026,11,28),38,0)-IF(C2418=DATE(2026,12,2),26,0)))</f>
        <v/>
      </c>
      <c r="I2418" s="13">
        <f>IF(AND(C2418&gt;=DATE(2026,11,29),C2418&lt;=DATE(2026,12,1)),B2418*60,0)</f>
        <v/>
      </c>
      <c r="J2418" s="13">
        <f>IF(A2418="",0,B2418*(IF(C2418=DATE(2026,11,28),38,0)+IF(C2418=DATE(2026,12,1),38,0)+IF(C2418=DATE(2026,12,2),26,0)))</f>
        <v/>
      </c>
      <c r="K2418" s="13">
        <f>IF(C2418=Options!$B$9,B2418*12,0)</f>
        <v/>
      </c>
      <c r="L2418" s="13">
        <f>IF(C2418=Options!$B$9,B2418*Options!$Z$8,0)</f>
        <v/>
      </c>
      <c r="M2418" s="13" t="n">
        <v>0</v>
      </c>
      <c r="N2418" s="13">
        <f>SUM(E2418:M2418)</f>
        <v/>
      </c>
    </row>
    <row r="2419">
      <c r="A2419" s="5">
        <f>IF(AND(C2419&gt;=Options!$B$9,C2419&lt;=Options!$B$10),"Boston","")</f>
        <v/>
      </c>
      <c r="B2419" s="5">
        <f>IF(A2419="","",18)</f>
        <v/>
      </c>
      <c r="C2419" s="17" t="n">
        <v>46520</v>
      </c>
      <c r="D2419" s="5">
        <f>IF(A2419="","",IF(C2419=DATE(2026,11,29),"培训；注册午餐；早餐参数",IF(C2419=DATE(2026,11,30),"培训；注册午餐",IF(C2419=DATE(2026,12,1),"培训；注册午餐；机构晚餐",IF(C2419=Options!$B$9,"抵达；"&amp;IF(C2419=DATE(2026,11,28),"机构晚餐","无统一供餐"),IF(C2419=Options!$B$10,"返程；"&amp;IF(C2419=DATE(2026,12,2),"机构午餐","无统一供餐"),"差旅状态；无统一日程"))))))</f>
        <v/>
      </c>
      <c r="E2419" s="13">
        <f>IF(C2419=Options!$B$9,Options!$C$20,0)</f>
        <v/>
      </c>
      <c r="F2419" s="13">
        <f>IF(AND(A2419&lt;&gt;"",C2419&lt;Options!$B$10),B2419*Options!$X$8,0)</f>
        <v/>
      </c>
      <c r="G2419" s="13">
        <f>F2419*12%</f>
        <v/>
      </c>
      <c r="H2419" s="13">
        <f>IF(A2419="",0,B2419*(92*IF(OR(C2419=Options!$B$9,C2419=Options!$B$10),75%,100%)-IF(C2419=DATE(2026,11,29),26+IF(Options!$B$8="是",23,0),0)-IF(C2419=DATE(2026,11,30),26,0)-IF(C2419=DATE(2026,12,1),64,0)-IF(C2419=DATE(2026,11,28),38,0)-IF(C2419=DATE(2026,12,2),26,0)))</f>
        <v/>
      </c>
      <c r="I2419" s="13">
        <f>IF(AND(C2419&gt;=DATE(2026,11,29),C2419&lt;=DATE(2026,12,1)),B2419*60,0)</f>
        <v/>
      </c>
      <c r="J2419" s="13">
        <f>IF(A2419="",0,B2419*(IF(C2419=DATE(2026,11,28),38,0)+IF(C2419=DATE(2026,12,1),38,0)+IF(C2419=DATE(2026,12,2),26,0)))</f>
        <v/>
      </c>
      <c r="K2419" s="13">
        <f>IF(C2419=Options!$B$9,B2419*12,0)</f>
        <v/>
      </c>
      <c r="L2419" s="13">
        <f>IF(C2419=Options!$B$9,B2419*Options!$Z$8,0)</f>
        <v/>
      </c>
      <c r="M2419" s="13" t="n">
        <v>0</v>
      </c>
      <c r="N2419" s="13">
        <f>SUM(E2419:M2419)</f>
        <v/>
      </c>
    </row>
    <row r="2420">
      <c r="A2420" s="5">
        <f>IF(AND(C2420&gt;=Options!$B$9,C2420&lt;=Options!$B$10),"Boston","")</f>
        <v/>
      </c>
      <c r="B2420" s="5">
        <f>IF(A2420="","",18)</f>
        <v/>
      </c>
      <c r="C2420" s="17" t="n">
        <v>46521</v>
      </c>
      <c r="D2420" s="5">
        <f>IF(A2420="","",IF(C2420=DATE(2026,11,29),"培训；注册午餐；早餐参数",IF(C2420=DATE(2026,11,30),"培训；注册午餐",IF(C2420=DATE(2026,12,1),"培训；注册午餐；机构晚餐",IF(C2420=Options!$B$9,"抵达；"&amp;IF(C2420=DATE(2026,11,28),"机构晚餐","无统一供餐"),IF(C2420=Options!$B$10,"返程；"&amp;IF(C2420=DATE(2026,12,2),"机构午餐","无统一供餐"),"差旅状态；无统一日程"))))))</f>
        <v/>
      </c>
      <c r="E2420" s="13">
        <f>IF(C2420=Options!$B$9,Options!$C$20,0)</f>
        <v/>
      </c>
      <c r="F2420" s="13">
        <f>IF(AND(A2420&lt;&gt;"",C2420&lt;Options!$B$10),B2420*Options!$X$8,0)</f>
        <v/>
      </c>
      <c r="G2420" s="13">
        <f>F2420*12%</f>
        <v/>
      </c>
      <c r="H2420" s="13">
        <f>IF(A2420="",0,B2420*(92*IF(OR(C2420=Options!$B$9,C2420=Options!$B$10),75%,100%)-IF(C2420=DATE(2026,11,29),26+IF(Options!$B$8="是",23,0),0)-IF(C2420=DATE(2026,11,30),26,0)-IF(C2420=DATE(2026,12,1),64,0)-IF(C2420=DATE(2026,11,28),38,0)-IF(C2420=DATE(2026,12,2),26,0)))</f>
        <v/>
      </c>
      <c r="I2420" s="13">
        <f>IF(AND(C2420&gt;=DATE(2026,11,29),C2420&lt;=DATE(2026,12,1)),B2420*60,0)</f>
        <v/>
      </c>
      <c r="J2420" s="13">
        <f>IF(A2420="",0,B2420*(IF(C2420=DATE(2026,11,28),38,0)+IF(C2420=DATE(2026,12,1),38,0)+IF(C2420=DATE(2026,12,2),26,0)))</f>
        <v/>
      </c>
      <c r="K2420" s="13">
        <f>IF(C2420=Options!$B$9,B2420*12,0)</f>
        <v/>
      </c>
      <c r="L2420" s="13">
        <f>IF(C2420=Options!$B$9,B2420*Options!$Z$8,0)</f>
        <v/>
      </c>
      <c r="M2420" s="13" t="n">
        <v>0</v>
      </c>
      <c r="N2420" s="13">
        <f>SUM(E2420:M2420)</f>
        <v/>
      </c>
    </row>
    <row r="2421">
      <c r="A2421" s="5">
        <f>IF(AND(C2421&gt;=Options!$B$9,C2421&lt;=Options!$B$10),"Boston","")</f>
        <v/>
      </c>
      <c r="B2421" s="5">
        <f>IF(A2421="","",18)</f>
        <v/>
      </c>
      <c r="C2421" s="17" t="n">
        <v>46522</v>
      </c>
      <c r="D2421" s="5">
        <f>IF(A2421="","",IF(C2421=DATE(2026,11,29),"培训；注册午餐；早餐参数",IF(C2421=DATE(2026,11,30),"培训；注册午餐",IF(C2421=DATE(2026,12,1),"培训；注册午餐；机构晚餐",IF(C2421=Options!$B$9,"抵达；"&amp;IF(C2421=DATE(2026,11,28),"机构晚餐","无统一供餐"),IF(C2421=Options!$B$10,"返程；"&amp;IF(C2421=DATE(2026,12,2),"机构午餐","无统一供餐"),"差旅状态；无统一日程"))))))</f>
        <v/>
      </c>
      <c r="E2421" s="13">
        <f>IF(C2421=Options!$B$9,Options!$C$20,0)</f>
        <v/>
      </c>
      <c r="F2421" s="13">
        <f>IF(AND(A2421&lt;&gt;"",C2421&lt;Options!$B$10),B2421*Options!$X$8,0)</f>
        <v/>
      </c>
      <c r="G2421" s="13">
        <f>F2421*12%</f>
        <v/>
      </c>
      <c r="H2421" s="13">
        <f>IF(A2421="",0,B2421*(92*IF(OR(C2421=Options!$B$9,C2421=Options!$B$10),75%,100%)-IF(C2421=DATE(2026,11,29),26+IF(Options!$B$8="是",23,0),0)-IF(C2421=DATE(2026,11,30),26,0)-IF(C2421=DATE(2026,12,1),64,0)-IF(C2421=DATE(2026,11,28),38,0)-IF(C2421=DATE(2026,12,2),26,0)))</f>
        <v/>
      </c>
      <c r="I2421" s="13">
        <f>IF(AND(C2421&gt;=DATE(2026,11,29),C2421&lt;=DATE(2026,12,1)),B2421*60,0)</f>
        <v/>
      </c>
      <c r="J2421" s="13">
        <f>IF(A2421="",0,B2421*(IF(C2421=DATE(2026,11,28),38,0)+IF(C2421=DATE(2026,12,1),38,0)+IF(C2421=DATE(2026,12,2),26,0)))</f>
        <v/>
      </c>
      <c r="K2421" s="13">
        <f>IF(C2421=Options!$B$9,B2421*12,0)</f>
        <v/>
      </c>
      <c r="L2421" s="13">
        <f>IF(C2421=Options!$B$9,B2421*Options!$Z$8,0)</f>
        <v/>
      </c>
      <c r="M2421" s="13" t="n">
        <v>0</v>
      </c>
      <c r="N2421" s="13">
        <f>SUM(E2421:M2421)</f>
        <v/>
      </c>
    </row>
    <row r="2422">
      <c r="A2422" s="5">
        <f>IF(AND(C2422&gt;=Options!$B$9,C2422&lt;=Options!$B$10),"Boston","")</f>
        <v/>
      </c>
      <c r="B2422" s="5">
        <f>IF(A2422="","",18)</f>
        <v/>
      </c>
      <c r="C2422" s="17" t="n">
        <v>46523</v>
      </c>
      <c r="D2422" s="5">
        <f>IF(A2422="","",IF(C2422=DATE(2026,11,29),"培训；注册午餐；早餐参数",IF(C2422=DATE(2026,11,30),"培训；注册午餐",IF(C2422=DATE(2026,12,1),"培训；注册午餐；机构晚餐",IF(C2422=Options!$B$9,"抵达；"&amp;IF(C2422=DATE(2026,11,28),"机构晚餐","无统一供餐"),IF(C2422=Options!$B$10,"返程；"&amp;IF(C2422=DATE(2026,12,2),"机构午餐","无统一供餐"),"差旅状态；无统一日程"))))))</f>
        <v/>
      </c>
      <c r="E2422" s="13">
        <f>IF(C2422=Options!$B$9,Options!$C$20,0)</f>
        <v/>
      </c>
      <c r="F2422" s="13">
        <f>IF(AND(A2422&lt;&gt;"",C2422&lt;Options!$B$10),B2422*Options!$X$8,0)</f>
        <v/>
      </c>
      <c r="G2422" s="13">
        <f>F2422*12%</f>
        <v/>
      </c>
      <c r="H2422" s="13">
        <f>IF(A2422="",0,B2422*(92*IF(OR(C2422=Options!$B$9,C2422=Options!$B$10),75%,100%)-IF(C2422=DATE(2026,11,29),26+IF(Options!$B$8="是",23,0),0)-IF(C2422=DATE(2026,11,30),26,0)-IF(C2422=DATE(2026,12,1),64,0)-IF(C2422=DATE(2026,11,28),38,0)-IF(C2422=DATE(2026,12,2),26,0)))</f>
        <v/>
      </c>
      <c r="I2422" s="13">
        <f>IF(AND(C2422&gt;=DATE(2026,11,29),C2422&lt;=DATE(2026,12,1)),B2422*60,0)</f>
        <v/>
      </c>
      <c r="J2422" s="13">
        <f>IF(A2422="",0,B2422*(IF(C2422=DATE(2026,11,28),38,0)+IF(C2422=DATE(2026,12,1),38,0)+IF(C2422=DATE(2026,12,2),26,0)))</f>
        <v/>
      </c>
      <c r="K2422" s="13">
        <f>IF(C2422=Options!$B$9,B2422*12,0)</f>
        <v/>
      </c>
      <c r="L2422" s="13">
        <f>IF(C2422=Options!$B$9,B2422*Options!$Z$8,0)</f>
        <v/>
      </c>
      <c r="M2422" s="13" t="n">
        <v>0</v>
      </c>
      <c r="N2422" s="13">
        <f>SUM(E2422:M2422)</f>
        <v/>
      </c>
    </row>
    <row r="2423">
      <c r="A2423" s="5">
        <f>IF(AND(C2423&gt;=Options!$B$9,C2423&lt;=Options!$B$10),"Boston","")</f>
        <v/>
      </c>
      <c r="B2423" s="5">
        <f>IF(A2423="","",18)</f>
        <v/>
      </c>
      <c r="C2423" s="17" t="n">
        <v>46524</v>
      </c>
      <c r="D2423" s="5">
        <f>IF(A2423="","",IF(C2423=DATE(2026,11,29),"培训；注册午餐；早餐参数",IF(C2423=DATE(2026,11,30),"培训；注册午餐",IF(C2423=DATE(2026,12,1),"培训；注册午餐；机构晚餐",IF(C2423=Options!$B$9,"抵达；"&amp;IF(C2423=DATE(2026,11,28),"机构晚餐","无统一供餐"),IF(C2423=Options!$B$10,"返程；"&amp;IF(C2423=DATE(2026,12,2),"机构午餐","无统一供餐"),"差旅状态；无统一日程"))))))</f>
        <v/>
      </c>
      <c r="E2423" s="13">
        <f>IF(C2423=Options!$B$9,Options!$C$20,0)</f>
        <v/>
      </c>
      <c r="F2423" s="13">
        <f>IF(AND(A2423&lt;&gt;"",C2423&lt;Options!$B$10),B2423*Options!$X$8,0)</f>
        <v/>
      </c>
      <c r="G2423" s="13">
        <f>F2423*12%</f>
        <v/>
      </c>
      <c r="H2423" s="13">
        <f>IF(A2423="",0,B2423*(92*IF(OR(C2423=Options!$B$9,C2423=Options!$B$10),75%,100%)-IF(C2423=DATE(2026,11,29),26+IF(Options!$B$8="是",23,0),0)-IF(C2423=DATE(2026,11,30),26,0)-IF(C2423=DATE(2026,12,1),64,0)-IF(C2423=DATE(2026,11,28),38,0)-IF(C2423=DATE(2026,12,2),26,0)))</f>
        <v/>
      </c>
      <c r="I2423" s="13">
        <f>IF(AND(C2423&gt;=DATE(2026,11,29),C2423&lt;=DATE(2026,12,1)),B2423*60,0)</f>
        <v/>
      </c>
      <c r="J2423" s="13">
        <f>IF(A2423="",0,B2423*(IF(C2423=DATE(2026,11,28),38,0)+IF(C2423=DATE(2026,12,1),38,0)+IF(C2423=DATE(2026,12,2),26,0)))</f>
        <v/>
      </c>
      <c r="K2423" s="13">
        <f>IF(C2423=Options!$B$9,B2423*12,0)</f>
        <v/>
      </c>
      <c r="L2423" s="13">
        <f>IF(C2423=Options!$B$9,B2423*Options!$Z$8,0)</f>
        <v/>
      </c>
      <c r="M2423" s="13" t="n">
        <v>0</v>
      </c>
      <c r="N2423" s="13">
        <f>SUM(E2423:M2423)</f>
        <v/>
      </c>
    </row>
    <row r="2424">
      <c r="A2424" s="5">
        <f>IF(AND(C2424&gt;=Options!$B$9,C2424&lt;=Options!$B$10),"Boston","")</f>
        <v/>
      </c>
      <c r="B2424" s="5">
        <f>IF(A2424="","",18)</f>
        <v/>
      </c>
      <c r="C2424" s="17" t="n">
        <v>46525</v>
      </c>
      <c r="D2424" s="5">
        <f>IF(A2424="","",IF(C2424=DATE(2026,11,29),"培训；注册午餐；早餐参数",IF(C2424=DATE(2026,11,30),"培训；注册午餐",IF(C2424=DATE(2026,12,1),"培训；注册午餐；机构晚餐",IF(C2424=Options!$B$9,"抵达；"&amp;IF(C2424=DATE(2026,11,28),"机构晚餐","无统一供餐"),IF(C2424=Options!$B$10,"返程；"&amp;IF(C2424=DATE(2026,12,2),"机构午餐","无统一供餐"),"差旅状态；无统一日程"))))))</f>
        <v/>
      </c>
      <c r="E2424" s="13">
        <f>IF(C2424=Options!$B$9,Options!$C$20,0)</f>
        <v/>
      </c>
      <c r="F2424" s="13">
        <f>IF(AND(A2424&lt;&gt;"",C2424&lt;Options!$B$10),B2424*Options!$X$8,0)</f>
        <v/>
      </c>
      <c r="G2424" s="13">
        <f>F2424*12%</f>
        <v/>
      </c>
      <c r="H2424" s="13">
        <f>IF(A2424="",0,B2424*(92*IF(OR(C2424=Options!$B$9,C2424=Options!$B$10),75%,100%)-IF(C2424=DATE(2026,11,29),26+IF(Options!$B$8="是",23,0),0)-IF(C2424=DATE(2026,11,30),26,0)-IF(C2424=DATE(2026,12,1),64,0)-IF(C2424=DATE(2026,11,28),38,0)-IF(C2424=DATE(2026,12,2),26,0)))</f>
        <v/>
      </c>
      <c r="I2424" s="13">
        <f>IF(AND(C2424&gt;=DATE(2026,11,29),C2424&lt;=DATE(2026,12,1)),B2424*60,0)</f>
        <v/>
      </c>
      <c r="J2424" s="13">
        <f>IF(A2424="",0,B2424*(IF(C2424=DATE(2026,11,28),38,0)+IF(C2424=DATE(2026,12,1),38,0)+IF(C2424=DATE(2026,12,2),26,0)))</f>
        <v/>
      </c>
      <c r="K2424" s="13">
        <f>IF(C2424=Options!$B$9,B2424*12,0)</f>
        <v/>
      </c>
      <c r="L2424" s="13">
        <f>IF(C2424=Options!$B$9,B2424*Options!$Z$8,0)</f>
        <v/>
      </c>
      <c r="M2424" s="13" t="n">
        <v>0</v>
      </c>
      <c r="N2424" s="13">
        <f>SUM(E2424:M2424)</f>
        <v/>
      </c>
    </row>
    <row r="2425">
      <c r="A2425" s="5">
        <f>IF(AND(C2425&gt;=Options!$B$9,C2425&lt;=Options!$B$10),"Boston","")</f>
        <v/>
      </c>
      <c r="B2425" s="5">
        <f>IF(A2425="","",18)</f>
        <v/>
      </c>
      <c r="C2425" s="17" t="n">
        <v>46526</v>
      </c>
      <c r="D2425" s="5">
        <f>IF(A2425="","",IF(C2425=DATE(2026,11,29),"培训；注册午餐；早餐参数",IF(C2425=DATE(2026,11,30),"培训；注册午餐",IF(C2425=DATE(2026,12,1),"培训；注册午餐；机构晚餐",IF(C2425=Options!$B$9,"抵达；"&amp;IF(C2425=DATE(2026,11,28),"机构晚餐","无统一供餐"),IF(C2425=Options!$B$10,"返程；"&amp;IF(C2425=DATE(2026,12,2),"机构午餐","无统一供餐"),"差旅状态；无统一日程"))))))</f>
        <v/>
      </c>
      <c r="E2425" s="13">
        <f>IF(C2425=Options!$B$9,Options!$C$20,0)</f>
        <v/>
      </c>
      <c r="F2425" s="13">
        <f>IF(AND(A2425&lt;&gt;"",C2425&lt;Options!$B$10),B2425*Options!$X$8,0)</f>
        <v/>
      </c>
      <c r="G2425" s="13">
        <f>F2425*12%</f>
        <v/>
      </c>
      <c r="H2425" s="13">
        <f>IF(A2425="",0,B2425*(92*IF(OR(C2425=Options!$B$9,C2425=Options!$B$10),75%,100%)-IF(C2425=DATE(2026,11,29),26+IF(Options!$B$8="是",23,0),0)-IF(C2425=DATE(2026,11,30),26,0)-IF(C2425=DATE(2026,12,1),64,0)-IF(C2425=DATE(2026,11,28),38,0)-IF(C2425=DATE(2026,12,2),26,0)))</f>
        <v/>
      </c>
      <c r="I2425" s="13">
        <f>IF(AND(C2425&gt;=DATE(2026,11,29),C2425&lt;=DATE(2026,12,1)),B2425*60,0)</f>
        <v/>
      </c>
      <c r="J2425" s="13">
        <f>IF(A2425="",0,B2425*(IF(C2425=DATE(2026,11,28),38,0)+IF(C2425=DATE(2026,12,1),38,0)+IF(C2425=DATE(2026,12,2),26,0)))</f>
        <v/>
      </c>
      <c r="K2425" s="13">
        <f>IF(C2425=Options!$B$9,B2425*12,0)</f>
        <v/>
      </c>
      <c r="L2425" s="13">
        <f>IF(C2425=Options!$B$9,B2425*Options!$Z$8,0)</f>
        <v/>
      </c>
      <c r="M2425" s="13" t="n">
        <v>0</v>
      </c>
      <c r="N2425" s="13">
        <f>SUM(E2425:M2425)</f>
        <v/>
      </c>
    </row>
    <row r="2426">
      <c r="A2426" s="5">
        <f>IF(AND(C2426&gt;=Options!$B$9,C2426&lt;=Options!$B$10),"Boston","")</f>
        <v/>
      </c>
      <c r="B2426" s="5">
        <f>IF(A2426="","",18)</f>
        <v/>
      </c>
      <c r="C2426" s="17" t="n">
        <v>46527</v>
      </c>
      <c r="D2426" s="5">
        <f>IF(A2426="","",IF(C2426=DATE(2026,11,29),"培训；注册午餐；早餐参数",IF(C2426=DATE(2026,11,30),"培训；注册午餐",IF(C2426=DATE(2026,12,1),"培训；注册午餐；机构晚餐",IF(C2426=Options!$B$9,"抵达；"&amp;IF(C2426=DATE(2026,11,28),"机构晚餐","无统一供餐"),IF(C2426=Options!$B$10,"返程；"&amp;IF(C2426=DATE(2026,12,2),"机构午餐","无统一供餐"),"差旅状态；无统一日程"))))))</f>
        <v/>
      </c>
      <c r="E2426" s="13">
        <f>IF(C2426=Options!$B$9,Options!$C$20,0)</f>
        <v/>
      </c>
      <c r="F2426" s="13">
        <f>IF(AND(A2426&lt;&gt;"",C2426&lt;Options!$B$10),B2426*Options!$X$8,0)</f>
        <v/>
      </c>
      <c r="G2426" s="13">
        <f>F2426*12%</f>
        <v/>
      </c>
      <c r="H2426" s="13">
        <f>IF(A2426="",0,B2426*(92*IF(OR(C2426=Options!$B$9,C2426=Options!$B$10),75%,100%)-IF(C2426=DATE(2026,11,29),26+IF(Options!$B$8="是",23,0),0)-IF(C2426=DATE(2026,11,30),26,0)-IF(C2426=DATE(2026,12,1),64,0)-IF(C2426=DATE(2026,11,28),38,0)-IF(C2426=DATE(2026,12,2),26,0)))</f>
        <v/>
      </c>
      <c r="I2426" s="13">
        <f>IF(AND(C2426&gt;=DATE(2026,11,29),C2426&lt;=DATE(2026,12,1)),B2426*60,0)</f>
        <v/>
      </c>
      <c r="J2426" s="13">
        <f>IF(A2426="",0,B2426*(IF(C2426=DATE(2026,11,28),38,0)+IF(C2426=DATE(2026,12,1),38,0)+IF(C2426=DATE(2026,12,2),26,0)))</f>
        <v/>
      </c>
      <c r="K2426" s="13">
        <f>IF(C2426=Options!$B$9,B2426*12,0)</f>
        <v/>
      </c>
      <c r="L2426" s="13">
        <f>IF(C2426=Options!$B$9,B2426*Options!$Z$8,0)</f>
        <v/>
      </c>
      <c r="M2426" s="13" t="n">
        <v>0</v>
      </c>
      <c r="N2426" s="13">
        <f>SUM(E2426:M2426)</f>
        <v/>
      </c>
    </row>
    <row r="2427">
      <c r="A2427" s="5">
        <f>IF(AND(C2427&gt;=Options!$B$9,C2427&lt;=Options!$B$10),"Boston","")</f>
        <v/>
      </c>
      <c r="B2427" s="5">
        <f>IF(A2427="","",18)</f>
        <v/>
      </c>
      <c r="C2427" s="17" t="n">
        <v>46528</v>
      </c>
      <c r="D2427" s="5">
        <f>IF(A2427="","",IF(C2427=DATE(2026,11,29),"培训；注册午餐；早餐参数",IF(C2427=DATE(2026,11,30),"培训；注册午餐",IF(C2427=DATE(2026,12,1),"培训；注册午餐；机构晚餐",IF(C2427=Options!$B$9,"抵达；"&amp;IF(C2427=DATE(2026,11,28),"机构晚餐","无统一供餐"),IF(C2427=Options!$B$10,"返程；"&amp;IF(C2427=DATE(2026,12,2),"机构午餐","无统一供餐"),"差旅状态；无统一日程"))))))</f>
        <v/>
      </c>
      <c r="E2427" s="13">
        <f>IF(C2427=Options!$B$9,Options!$C$20,0)</f>
        <v/>
      </c>
      <c r="F2427" s="13">
        <f>IF(AND(A2427&lt;&gt;"",C2427&lt;Options!$B$10),B2427*Options!$X$8,0)</f>
        <v/>
      </c>
      <c r="G2427" s="13">
        <f>F2427*12%</f>
        <v/>
      </c>
      <c r="H2427" s="13">
        <f>IF(A2427="",0,B2427*(92*IF(OR(C2427=Options!$B$9,C2427=Options!$B$10),75%,100%)-IF(C2427=DATE(2026,11,29),26+IF(Options!$B$8="是",23,0),0)-IF(C2427=DATE(2026,11,30),26,0)-IF(C2427=DATE(2026,12,1),64,0)-IF(C2427=DATE(2026,11,28),38,0)-IF(C2427=DATE(2026,12,2),26,0)))</f>
        <v/>
      </c>
      <c r="I2427" s="13">
        <f>IF(AND(C2427&gt;=DATE(2026,11,29),C2427&lt;=DATE(2026,12,1)),B2427*60,0)</f>
        <v/>
      </c>
      <c r="J2427" s="13">
        <f>IF(A2427="",0,B2427*(IF(C2427=DATE(2026,11,28),38,0)+IF(C2427=DATE(2026,12,1),38,0)+IF(C2427=DATE(2026,12,2),26,0)))</f>
        <v/>
      </c>
      <c r="K2427" s="13">
        <f>IF(C2427=Options!$B$9,B2427*12,0)</f>
        <v/>
      </c>
      <c r="L2427" s="13">
        <f>IF(C2427=Options!$B$9,B2427*Options!$Z$8,0)</f>
        <v/>
      </c>
      <c r="M2427" s="13" t="n">
        <v>0</v>
      </c>
      <c r="N2427" s="13">
        <f>SUM(E2427:M2427)</f>
        <v/>
      </c>
    </row>
    <row r="2428">
      <c r="A2428" s="5">
        <f>IF(AND(C2428&gt;=Options!$B$9,C2428&lt;=Options!$B$10),"Boston","")</f>
        <v/>
      </c>
      <c r="B2428" s="5">
        <f>IF(A2428="","",18)</f>
        <v/>
      </c>
      <c r="C2428" s="17" t="n">
        <v>46529</v>
      </c>
      <c r="D2428" s="5">
        <f>IF(A2428="","",IF(C2428=DATE(2026,11,29),"培训；注册午餐；早餐参数",IF(C2428=DATE(2026,11,30),"培训；注册午餐",IF(C2428=DATE(2026,12,1),"培训；注册午餐；机构晚餐",IF(C2428=Options!$B$9,"抵达；"&amp;IF(C2428=DATE(2026,11,28),"机构晚餐","无统一供餐"),IF(C2428=Options!$B$10,"返程；"&amp;IF(C2428=DATE(2026,12,2),"机构午餐","无统一供餐"),"差旅状态；无统一日程"))))))</f>
        <v/>
      </c>
      <c r="E2428" s="13">
        <f>IF(C2428=Options!$B$9,Options!$C$20,0)</f>
        <v/>
      </c>
      <c r="F2428" s="13">
        <f>IF(AND(A2428&lt;&gt;"",C2428&lt;Options!$B$10),B2428*Options!$X$8,0)</f>
        <v/>
      </c>
      <c r="G2428" s="13">
        <f>F2428*12%</f>
        <v/>
      </c>
      <c r="H2428" s="13">
        <f>IF(A2428="",0,B2428*(92*IF(OR(C2428=Options!$B$9,C2428=Options!$B$10),75%,100%)-IF(C2428=DATE(2026,11,29),26+IF(Options!$B$8="是",23,0),0)-IF(C2428=DATE(2026,11,30),26,0)-IF(C2428=DATE(2026,12,1),64,0)-IF(C2428=DATE(2026,11,28),38,0)-IF(C2428=DATE(2026,12,2),26,0)))</f>
        <v/>
      </c>
      <c r="I2428" s="13">
        <f>IF(AND(C2428&gt;=DATE(2026,11,29),C2428&lt;=DATE(2026,12,1)),B2428*60,0)</f>
        <v/>
      </c>
      <c r="J2428" s="13">
        <f>IF(A2428="",0,B2428*(IF(C2428=DATE(2026,11,28),38,0)+IF(C2428=DATE(2026,12,1),38,0)+IF(C2428=DATE(2026,12,2),26,0)))</f>
        <v/>
      </c>
      <c r="K2428" s="13">
        <f>IF(C2428=Options!$B$9,B2428*12,0)</f>
        <v/>
      </c>
      <c r="L2428" s="13">
        <f>IF(C2428=Options!$B$9,B2428*Options!$Z$8,0)</f>
        <v/>
      </c>
      <c r="M2428" s="13" t="n">
        <v>0</v>
      </c>
      <c r="N2428" s="13">
        <f>SUM(E2428:M2428)</f>
        <v/>
      </c>
    </row>
    <row r="2429">
      <c r="A2429" s="5">
        <f>IF(AND(C2429&gt;=Options!$B$9,C2429&lt;=Options!$B$10),"Boston","")</f>
        <v/>
      </c>
      <c r="B2429" s="5">
        <f>IF(A2429="","",18)</f>
        <v/>
      </c>
      <c r="C2429" s="17" t="n">
        <v>46530</v>
      </c>
      <c r="D2429" s="5">
        <f>IF(A2429="","",IF(C2429=DATE(2026,11,29),"培训；注册午餐；早餐参数",IF(C2429=DATE(2026,11,30),"培训；注册午餐",IF(C2429=DATE(2026,12,1),"培训；注册午餐；机构晚餐",IF(C2429=Options!$B$9,"抵达；"&amp;IF(C2429=DATE(2026,11,28),"机构晚餐","无统一供餐"),IF(C2429=Options!$B$10,"返程；"&amp;IF(C2429=DATE(2026,12,2),"机构午餐","无统一供餐"),"差旅状态；无统一日程"))))))</f>
        <v/>
      </c>
      <c r="E2429" s="13">
        <f>IF(C2429=Options!$B$9,Options!$C$20,0)</f>
        <v/>
      </c>
      <c r="F2429" s="13">
        <f>IF(AND(A2429&lt;&gt;"",C2429&lt;Options!$B$10),B2429*Options!$X$8,0)</f>
        <v/>
      </c>
      <c r="G2429" s="13">
        <f>F2429*12%</f>
        <v/>
      </c>
      <c r="H2429" s="13">
        <f>IF(A2429="",0,B2429*(92*IF(OR(C2429=Options!$B$9,C2429=Options!$B$10),75%,100%)-IF(C2429=DATE(2026,11,29),26+IF(Options!$B$8="是",23,0),0)-IF(C2429=DATE(2026,11,30),26,0)-IF(C2429=DATE(2026,12,1),64,0)-IF(C2429=DATE(2026,11,28),38,0)-IF(C2429=DATE(2026,12,2),26,0)))</f>
        <v/>
      </c>
      <c r="I2429" s="13">
        <f>IF(AND(C2429&gt;=DATE(2026,11,29),C2429&lt;=DATE(2026,12,1)),B2429*60,0)</f>
        <v/>
      </c>
      <c r="J2429" s="13">
        <f>IF(A2429="",0,B2429*(IF(C2429=DATE(2026,11,28),38,0)+IF(C2429=DATE(2026,12,1),38,0)+IF(C2429=DATE(2026,12,2),26,0)))</f>
        <v/>
      </c>
      <c r="K2429" s="13">
        <f>IF(C2429=Options!$B$9,B2429*12,0)</f>
        <v/>
      </c>
      <c r="L2429" s="13">
        <f>IF(C2429=Options!$B$9,B2429*Options!$Z$8,0)</f>
        <v/>
      </c>
      <c r="M2429" s="13" t="n">
        <v>0</v>
      </c>
      <c r="N2429" s="13">
        <f>SUM(E2429:M2429)</f>
        <v/>
      </c>
    </row>
    <row r="2430">
      <c r="A2430" s="5">
        <f>IF(AND(C2430&gt;=Options!$B$9,C2430&lt;=Options!$B$10),"Boston","")</f>
        <v/>
      </c>
      <c r="B2430" s="5">
        <f>IF(A2430="","",18)</f>
        <v/>
      </c>
      <c r="C2430" s="17" t="n">
        <v>46531</v>
      </c>
      <c r="D2430" s="5">
        <f>IF(A2430="","",IF(C2430=DATE(2026,11,29),"培训；注册午餐；早餐参数",IF(C2430=DATE(2026,11,30),"培训；注册午餐",IF(C2430=DATE(2026,12,1),"培训；注册午餐；机构晚餐",IF(C2430=Options!$B$9,"抵达；"&amp;IF(C2430=DATE(2026,11,28),"机构晚餐","无统一供餐"),IF(C2430=Options!$B$10,"返程；"&amp;IF(C2430=DATE(2026,12,2),"机构午餐","无统一供餐"),"差旅状态；无统一日程"))))))</f>
        <v/>
      </c>
      <c r="E2430" s="13">
        <f>IF(C2430=Options!$B$9,Options!$C$20,0)</f>
        <v/>
      </c>
      <c r="F2430" s="13">
        <f>IF(AND(A2430&lt;&gt;"",C2430&lt;Options!$B$10),B2430*Options!$X$8,0)</f>
        <v/>
      </c>
      <c r="G2430" s="13">
        <f>F2430*12%</f>
        <v/>
      </c>
      <c r="H2430" s="13">
        <f>IF(A2430="",0,B2430*(92*IF(OR(C2430=Options!$B$9,C2430=Options!$B$10),75%,100%)-IF(C2430=DATE(2026,11,29),26+IF(Options!$B$8="是",23,0),0)-IF(C2430=DATE(2026,11,30),26,0)-IF(C2430=DATE(2026,12,1),64,0)-IF(C2430=DATE(2026,11,28),38,0)-IF(C2430=DATE(2026,12,2),26,0)))</f>
        <v/>
      </c>
      <c r="I2430" s="13">
        <f>IF(AND(C2430&gt;=DATE(2026,11,29),C2430&lt;=DATE(2026,12,1)),B2430*60,0)</f>
        <v/>
      </c>
      <c r="J2430" s="13">
        <f>IF(A2430="",0,B2430*(IF(C2430=DATE(2026,11,28),38,0)+IF(C2430=DATE(2026,12,1),38,0)+IF(C2430=DATE(2026,12,2),26,0)))</f>
        <v/>
      </c>
      <c r="K2430" s="13">
        <f>IF(C2430=Options!$B$9,B2430*12,0)</f>
        <v/>
      </c>
      <c r="L2430" s="13">
        <f>IF(C2430=Options!$B$9,B2430*Options!$Z$8,0)</f>
        <v/>
      </c>
      <c r="M2430" s="13" t="n">
        <v>0</v>
      </c>
      <c r="N2430" s="13">
        <f>SUM(E2430:M2430)</f>
        <v/>
      </c>
    </row>
    <row r="2431">
      <c r="A2431" s="5">
        <f>IF(AND(C2431&gt;=Options!$B$9,C2431&lt;=Options!$B$10),"Boston","")</f>
        <v/>
      </c>
      <c r="B2431" s="5">
        <f>IF(A2431="","",18)</f>
        <v/>
      </c>
      <c r="C2431" s="17" t="n">
        <v>46532</v>
      </c>
      <c r="D2431" s="5">
        <f>IF(A2431="","",IF(C2431=DATE(2026,11,29),"培训；注册午餐；早餐参数",IF(C2431=DATE(2026,11,30),"培训；注册午餐",IF(C2431=DATE(2026,12,1),"培训；注册午餐；机构晚餐",IF(C2431=Options!$B$9,"抵达；"&amp;IF(C2431=DATE(2026,11,28),"机构晚餐","无统一供餐"),IF(C2431=Options!$B$10,"返程；"&amp;IF(C2431=DATE(2026,12,2),"机构午餐","无统一供餐"),"差旅状态；无统一日程"))))))</f>
        <v/>
      </c>
      <c r="E2431" s="13">
        <f>IF(C2431=Options!$B$9,Options!$C$20,0)</f>
        <v/>
      </c>
      <c r="F2431" s="13">
        <f>IF(AND(A2431&lt;&gt;"",C2431&lt;Options!$B$10),B2431*Options!$X$8,0)</f>
        <v/>
      </c>
      <c r="G2431" s="13">
        <f>F2431*12%</f>
        <v/>
      </c>
      <c r="H2431" s="13">
        <f>IF(A2431="",0,B2431*(92*IF(OR(C2431=Options!$B$9,C2431=Options!$B$10),75%,100%)-IF(C2431=DATE(2026,11,29),26+IF(Options!$B$8="是",23,0),0)-IF(C2431=DATE(2026,11,30),26,0)-IF(C2431=DATE(2026,12,1),64,0)-IF(C2431=DATE(2026,11,28),38,0)-IF(C2431=DATE(2026,12,2),26,0)))</f>
        <v/>
      </c>
      <c r="I2431" s="13">
        <f>IF(AND(C2431&gt;=DATE(2026,11,29),C2431&lt;=DATE(2026,12,1)),B2431*60,0)</f>
        <v/>
      </c>
      <c r="J2431" s="13">
        <f>IF(A2431="",0,B2431*(IF(C2431=DATE(2026,11,28),38,0)+IF(C2431=DATE(2026,12,1),38,0)+IF(C2431=DATE(2026,12,2),26,0)))</f>
        <v/>
      </c>
      <c r="K2431" s="13">
        <f>IF(C2431=Options!$B$9,B2431*12,0)</f>
        <v/>
      </c>
      <c r="L2431" s="13">
        <f>IF(C2431=Options!$B$9,B2431*Options!$Z$8,0)</f>
        <v/>
      </c>
      <c r="M2431" s="13" t="n">
        <v>0</v>
      </c>
      <c r="N2431" s="13">
        <f>SUM(E2431:M2431)</f>
        <v/>
      </c>
    </row>
    <row r="2432">
      <c r="A2432" s="5">
        <f>IF(AND(C2432&gt;=Options!$B$9,C2432&lt;=Options!$B$10),"Boston","")</f>
        <v/>
      </c>
      <c r="B2432" s="5">
        <f>IF(A2432="","",18)</f>
        <v/>
      </c>
      <c r="C2432" s="17" t="n">
        <v>46533</v>
      </c>
      <c r="D2432" s="5">
        <f>IF(A2432="","",IF(C2432=DATE(2026,11,29),"培训；注册午餐；早餐参数",IF(C2432=DATE(2026,11,30),"培训；注册午餐",IF(C2432=DATE(2026,12,1),"培训；注册午餐；机构晚餐",IF(C2432=Options!$B$9,"抵达；"&amp;IF(C2432=DATE(2026,11,28),"机构晚餐","无统一供餐"),IF(C2432=Options!$B$10,"返程；"&amp;IF(C2432=DATE(2026,12,2),"机构午餐","无统一供餐"),"差旅状态；无统一日程"))))))</f>
        <v/>
      </c>
      <c r="E2432" s="13">
        <f>IF(C2432=Options!$B$9,Options!$C$20,0)</f>
        <v/>
      </c>
      <c r="F2432" s="13">
        <f>IF(AND(A2432&lt;&gt;"",C2432&lt;Options!$B$10),B2432*Options!$X$8,0)</f>
        <v/>
      </c>
      <c r="G2432" s="13">
        <f>F2432*12%</f>
        <v/>
      </c>
      <c r="H2432" s="13">
        <f>IF(A2432="",0,B2432*(92*IF(OR(C2432=Options!$B$9,C2432=Options!$B$10),75%,100%)-IF(C2432=DATE(2026,11,29),26+IF(Options!$B$8="是",23,0),0)-IF(C2432=DATE(2026,11,30),26,0)-IF(C2432=DATE(2026,12,1),64,0)-IF(C2432=DATE(2026,11,28),38,0)-IF(C2432=DATE(2026,12,2),26,0)))</f>
        <v/>
      </c>
      <c r="I2432" s="13">
        <f>IF(AND(C2432&gt;=DATE(2026,11,29),C2432&lt;=DATE(2026,12,1)),B2432*60,0)</f>
        <v/>
      </c>
      <c r="J2432" s="13">
        <f>IF(A2432="",0,B2432*(IF(C2432=DATE(2026,11,28),38,0)+IF(C2432=DATE(2026,12,1),38,0)+IF(C2432=DATE(2026,12,2),26,0)))</f>
        <v/>
      </c>
      <c r="K2432" s="13">
        <f>IF(C2432=Options!$B$9,B2432*12,0)</f>
        <v/>
      </c>
      <c r="L2432" s="13">
        <f>IF(C2432=Options!$B$9,B2432*Options!$Z$8,0)</f>
        <v/>
      </c>
      <c r="M2432" s="13" t="n">
        <v>0</v>
      </c>
      <c r="N2432" s="13">
        <f>SUM(E2432:M2432)</f>
        <v/>
      </c>
    </row>
    <row r="2433">
      <c r="A2433" s="5">
        <f>IF(AND(C2433&gt;=Options!$B$9,C2433&lt;=Options!$B$10),"Boston","")</f>
        <v/>
      </c>
      <c r="B2433" s="5">
        <f>IF(A2433="","",18)</f>
        <v/>
      </c>
      <c r="C2433" s="17" t="n">
        <v>46534</v>
      </c>
      <c r="D2433" s="5">
        <f>IF(A2433="","",IF(C2433=DATE(2026,11,29),"培训；注册午餐；早餐参数",IF(C2433=DATE(2026,11,30),"培训；注册午餐",IF(C2433=DATE(2026,12,1),"培训；注册午餐；机构晚餐",IF(C2433=Options!$B$9,"抵达；"&amp;IF(C2433=DATE(2026,11,28),"机构晚餐","无统一供餐"),IF(C2433=Options!$B$10,"返程；"&amp;IF(C2433=DATE(2026,12,2),"机构午餐","无统一供餐"),"差旅状态；无统一日程"))))))</f>
        <v/>
      </c>
      <c r="E2433" s="13">
        <f>IF(C2433=Options!$B$9,Options!$C$20,0)</f>
        <v/>
      </c>
      <c r="F2433" s="13">
        <f>IF(AND(A2433&lt;&gt;"",C2433&lt;Options!$B$10),B2433*Options!$X$8,0)</f>
        <v/>
      </c>
      <c r="G2433" s="13">
        <f>F2433*12%</f>
        <v/>
      </c>
      <c r="H2433" s="13">
        <f>IF(A2433="",0,B2433*(92*IF(OR(C2433=Options!$B$9,C2433=Options!$B$10),75%,100%)-IF(C2433=DATE(2026,11,29),26+IF(Options!$B$8="是",23,0),0)-IF(C2433=DATE(2026,11,30),26,0)-IF(C2433=DATE(2026,12,1),64,0)-IF(C2433=DATE(2026,11,28),38,0)-IF(C2433=DATE(2026,12,2),26,0)))</f>
        <v/>
      </c>
      <c r="I2433" s="13">
        <f>IF(AND(C2433&gt;=DATE(2026,11,29),C2433&lt;=DATE(2026,12,1)),B2433*60,0)</f>
        <v/>
      </c>
      <c r="J2433" s="13">
        <f>IF(A2433="",0,B2433*(IF(C2433=DATE(2026,11,28),38,0)+IF(C2433=DATE(2026,12,1),38,0)+IF(C2433=DATE(2026,12,2),26,0)))</f>
        <v/>
      </c>
      <c r="K2433" s="13">
        <f>IF(C2433=Options!$B$9,B2433*12,0)</f>
        <v/>
      </c>
      <c r="L2433" s="13">
        <f>IF(C2433=Options!$B$9,B2433*Options!$Z$8,0)</f>
        <v/>
      </c>
      <c r="M2433" s="13" t="n">
        <v>0</v>
      </c>
      <c r="N2433" s="13">
        <f>SUM(E2433:M2433)</f>
        <v/>
      </c>
    </row>
    <row r="2434">
      <c r="A2434" s="5">
        <f>IF(AND(C2434&gt;=Options!$B$9,C2434&lt;=Options!$B$10),"Boston","")</f>
        <v/>
      </c>
      <c r="B2434" s="5">
        <f>IF(A2434="","",18)</f>
        <v/>
      </c>
      <c r="C2434" s="17" t="n">
        <v>46535</v>
      </c>
      <c r="D2434" s="5">
        <f>IF(A2434="","",IF(C2434=DATE(2026,11,29),"培训；注册午餐；早餐参数",IF(C2434=DATE(2026,11,30),"培训；注册午餐",IF(C2434=DATE(2026,12,1),"培训；注册午餐；机构晚餐",IF(C2434=Options!$B$9,"抵达；"&amp;IF(C2434=DATE(2026,11,28),"机构晚餐","无统一供餐"),IF(C2434=Options!$B$10,"返程；"&amp;IF(C2434=DATE(2026,12,2),"机构午餐","无统一供餐"),"差旅状态；无统一日程"))))))</f>
        <v/>
      </c>
      <c r="E2434" s="13">
        <f>IF(C2434=Options!$B$9,Options!$C$20,0)</f>
        <v/>
      </c>
      <c r="F2434" s="13">
        <f>IF(AND(A2434&lt;&gt;"",C2434&lt;Options!$B$10),B2434*Options!$X$8,0)</f>
        <v/>
      </c>
      <c r="G2434" s="13">
        <f>F2434*12%</f>
        <v/>
      </c>
      <c r="H2434" s="13">
        <f>IF(A2434="",0,B2434*(92*IF(OR(C2434=Options!$B$9,C2434=Options!$B$10),75%,100%)-IF(C2434=DATE(2026,11,29),26+IF(Options!$B$8="是",23,0),0)-IF(C2434=DATE(2026,11,30),26,0)-IF(C2434=DATE(2026,12,1),64,0)-IF(C2434=DATE(2026,11,28),38,0)-IF(C2434=DATE(2026,12,2),26,0)))</f>
        <v/>
      </c>
      <c r="I2434" s="13">
        <f>IF(AND(C2434&gt;=DATE(2026,11,29),C2434&lt;=DATE(2026,12,1)),B2434*60,0)</f>
        <v/>
      </c>
      <c r="J2434" s="13">
        <f>IF(A2434="",0,B2434*(IF(C2434=DATE(2026,11,28),38,0)+IF(C2434=DATE(2026,12,1),38,0)+IF(C2434=DATE(2026,12,2),26,0)))</f>
        <v/>
      </c>
      <c r="K2434" s="13">
        <f>IF(C2434=Options!$B$9,B2434*12,0)</f>
        <v/>
      </c>
      <c r="L2434" s="13">
        <f>IF(C2434=Options!$B$9,B2434*Options!$Z$8,0)</f>
        <v/>
      </c>
      <c r="M2434" s="13" t="n">
        <v>0</v>
      </c>
      <c r="N2434" s="13">
        <f>SUM(E2434:M2434)</f>
        <v/>
      </c>
    </row>
    <row r="2435">
      <c r="A2435" s="5">
        <f>IF(AND(C2435&gt;=Options!$B$9,C2435&lt;=Options!$B$10),"Boston","")</f>
        <v/>
      </c>
      <c r="B2435" s="5">
        <f>IF(A2435="","",18)</f>
        <v/>
      </c>
      <c r="C2435" s="17" t="n">
        <v>46536</v>
      </c>
      <c r="D2435" s="5">
        <f>IF(A2435="","",IF(C2435=DATE(2026,11,29),"培训；注册午餐；早餐参数",IF(C2435=DATE(2026,11,30),"培训；注册午餐",IF(C2435=DATE(2026,12,1),"培训；注册午餐；机构晚餐",IF(C2435=Options!$B$9,"抵达；"&amp;IF(C2435=DATE(2026,11,28),"机构晚餐","无统一供餐"),IF(C2435=Options!$B$10,"返程；"&amp;IF(C2435=DATE(2026,12,2),"机构午餐","无统一供餐"),"差旅状态；无统一日程"))))))</f>
        <v/>
      </c>
      <c r="E2435" s="13">
        <f>IF(C2435=Options!$B$9,Options!$C$20,0)</f>
        <v/>
      </c>
      <c r="F2435" s="13">
        <f>IF(AND(A2435&lt;&gt;"",C2435&lt;Options!$B$10),B2435*Options!$X$8,0)</f>
        <v/>
      </c>
      <c r="G2435" s="13">
        <f>F2435*12%</f>
        <v/>
      </c>
      <c r="H2435" s="13">
        <f>IF(A2435="",0,B2435*(92*IF(OR(C2435=Options!$B$9,C2435=Options!$B$10),75%,100%)-IF(C2435=DATE(2026,11,29),26+IF(Options!$B$8="是",23,0),0)-IF(C2435=DATE(2026,11,30),26,0)-IF(C2435=DATE(2026,12,1),64,0)-IF(C2435=DATE(2026,11,28),38,0)-IF(C2435=DATE(2026,12,2),26,0)))</f>
        <v/>
      </c>
      <c r="I2435" s="13">
        <f>IF(AND(C2435&gt;=DATE(2026,11,29),C2435&lt;=DATE(2026,12,1)),B2435*60,0)</f>
        <v/>
      </c>
      <c r="J2435" s="13">
        <f>IF(A2435="",0,B2435*(IF(C2435=DATE(2026,11,28),38,0)+IF(C2435=DATE(2026,12,1),38,0)+IF(C2435=DATE(2026,12,2),26,0)))</f>
        <v/>
      </c>
      <c r="K2435" s="13">
        <f>IF(C2435=Options!$B$9,B2435*12,0)</f>
        <v/>
      </c>
      <c r="L2435" s="13">
        <f>IF(C2435=Options!$B$9,B2435*Options!$Z$8,0)</f>
        <v/>
      </c>
      <c r="M2435" s="13" t="n">
        <v>0</v>
      </c>
      <c r="N2435" s="13">
        <f>SUM(E2435:M2435)</f>
        <v/>
      </c>
    </row>
    <row r="2436">
      <c r="A2436" s="5">
        <f>IF(AND(C2436&gt;=Options!$B$9,C2436&lt;=Options!$B$10),"Boston","")</f>
        <v/>
      </c>
      <c r="B2436" s="5">
        <f>IF(A2436="","",18)</f>
        <v/>
      </c>
      <c r="C2436" s="17" t="n">
        <v>46537</v>
      </c>
      <c r="D2436" s="5">
        <f>IF(A2436="","",IF(C2436=DATE(2026,11,29),"培训；注册午餐；早餐参数",IF(C2436=DATE(2026,11,30),"培训；注册午餐",IF(C2436=DATE(2026,12,1),"培训；注册午餐；机构晚餐",IF(C2436=Options!$B$9,"抵达；"&amp;IF(C2436=DATE(2026,11,28),"机构晚餐","无统一供餐"),IF(C2436=Options!$B$10,"返程；"&amp;IF(C2436=DATE(2026,12,2),"机构午餐","无统一供餐"),"差旅状态；无统一日程"))))))</f>
        <v/>
      </c>
      <c r="E2436" s="13">
        <f>IF(C2436=Options!$B$9,Options!$C$20,0)</f>
        <v/>
      </c>
      <c r="F2436" s="13">
        <f>IF(AND(A2436&lt;&gt;"",C2436&lt;Options!$B$10),B2436*Options!$X$8,0)</f>
        <v/>
      </c>
      <c r="G2436" s="13">
        <f>F2436*12%</f>
        <v/>
      </c>
      <c r="H2436" s="13">
        <f>IF(A2436="",0,B2436*(92*IF(OR(C2436=Options!$B$9,C2436=Options!$B$10),75%,100%)-IF(C2436=DATE(2026,11,29),26+IF(Options!$B$8="是",23,0),0)-IF(C2436=DATE(2026,11,30),26,0)-IF(C2436=DATE(2026,12,1),64,0)-IF(C2436=DATE(2026,11,28),38,0)-IF(C2436=DATE(2026,12,2),26,0)))</f>
        <v/>
      </c>
      <c r="I2436" s="13">
        <f>IF(AND(C2436&gt;=DATE(2026,11,29),C2436&lt;=DATE(2026,12,1)),B2436*60,0)</f>
        <v/>
      </c>
      <c r="J2436" s="13">
        <f>IF(A2436="",0,B2436*(IF(C2436=DATE(2026,11,28),38,0)+IF(C2436=DATE(2026,12,1),38,0)+IF(C2436=DATE(2026,12,2),26,0)))</f>
        <v/>
      </c>
      <c r="K2436" s="13">
        <f>IF(C2436=Options!$B$9,B2436*12,0)</f>
        <v/>
      </c>
      <c r="L2436" s="13">
        <f>IF(C2436=Options!$B$9,B2436*Options!$Z$8,0)</f>
        <v/>
      </c>
      <c r="M2436" s="13" t="n">
        <v>0</v>
      </c>
      <c r="N2436" s="13">
        <f>SUM(E2436:M2436)</f>
        <v/>
      </c>
    </row>
    <row r="2437">
      <c r="A2437" s="5">
        <f>IF(AND(C2437&gt;=Options!$B$9,C2437&lt;=Options!$B$10),"Boston","")</f>
        <v/>
      </c>
      <c r="B2437" s="5">
        <f>IF(A2437="","",18)</f>
        <v/>
      </c>
      <c r="C2437" s="17" t="n">
        <v>46538</v>
      </c>
      <c r="D2437" s="5">
        <f>IF(A2437="","",IF(C2437=DATE(2026,11,29),"培训；注册午餐；早餐参数",IF(C2437=DATE(2026,11,30),"培训；注册午餐",IF(C2437=DATE(2026,12,1),"培训；注册午餐；机构晚餐",IF(C2437=Options!$B$9,"抵达；"&amp;IF(C2437=DATE(2026,11,28),"机构晚餐","无统一供餐"),IF(C2437=Options!$B$10,"返程；"&amp;IF(C2437=DATE(2026,12,2),"机构午餐","无统一供餐"),"差旅状态；无统一日程"))))))</f>
        <v/>
      </c>
      <c r="E2437" s="13">
        <f>IF(C2437=Options!$B$9,Options!$C$20,0)</f>
        <v/>
      </c>
      <c r="F2437" s="13">
        <f>IF(AND(A2437&lt;&gt;"",C2437&lt;Options!$B$10),B2437*Options!$X$8,0)</f>
        <v/>
      </c>
      <c r="G2437" s="13">
        <f>F2437*12%</f>
        <v/>
      </c>
      <c r="H2437" s="13">
        <f>IF(A2437="",0,B2437*(92*IF(OR(C2437=Options!$B$9,C2437=Options!$B$10),75%,100%)-IF(C2437=DATE(2026,11,29),26+IF(Options!$B$8="是",23,0),0)-IF(C2437=DATE(2026,11,30),26,0)-IF(C2437=DATE(2026,12,1),64,0)-IF(C2437=DATE(2026,11,28),38,0)-IF(C2437=DATE(2026,12,2),26,0)))</f>
        <v/>
      </c>
      <c r="I2437" s="13">
        <f>IF(AND(C2437&gt;=DATE(2026,11,29),C2437&lt;=DATE(2026,12,1)),B2437*60,0)</f>
        <v/>
      </c>
      <c r="J2437" s="13">
        <f>IF(A2437="",0,B2437*(IF(C2437=DATE(2026,11,28),38,0)+IF(C2437=DATE(2026,12,1),38,0)+IF(C2437=DATE(2026,12,2),26,0)))</f>
        <v/>
      </c>
      <c r="K2437" s="13">
        <f>IF(C2437=Options!$B$9,B2437*12,0)</f>
        <v/>
      </c>
      <c r="L2437" s="13">
        <f>IF(C2437=Options!$B$9,B2437*Options!$Z$8,0)</f>
        <v/>
      </c>
      <c r="M2437" s="13" t="n">
        <v>0</v>
      </c>
      <c r="N2437" s="13">
        <f>SUM(E2437:M2437)</f>
        <v/>
      </c>
    </row>
    <row r="2438">
      <c r="A2438" s="5">
        <f>IF(AND(C2438&gt;=Options!$B$9,C2438&lt;=Options!$B$10),"Boston","")</f>
        <v/>
      </c>
      <c r="B2438" s="5">
        <f>IF(A2438="","",18)</f>
        <v/>
      </c>
      <c r="C2438" s="17" t="n">
        <v>46539</v>
      </c>
      <c r="D2438" s="5">
        <f>IF(A2438="","",IF(C2438=DATE(2026,11,29),"培训；注册午餐；早餐参数",IF(C2438=DATE(2026,11,30),"培训；注册午餐",IF(C2438=DATE(2026,12,1),"培训；注册午餐；机构晚餐",IF(C2438=Options!$B$9,"抵达；"&amp;IF(C2438=DATE(2026,11,28),"机构晚餐","无统一供餐"),IF(C2438=Options!$B$10,"返程；"&amp;IF(C2438=DATE(2026,12,2),"机构午餐","无统一供餐"),"差旅状态；无统一日程"))))))</f>
        <v/>
      </c>
      <c r="E2438" s="13">
        <f>IF(C2438=Options!$B$9,Options!$C$20,0)</f>
        <v/>
      </c>
      <c r="F2438" s="13">
        <f>IF(AND(A2438&lt;&gt;"",C2438&lt;Options!$B$10),B2438*Options!$X$8,0)</f>
        <v/>
      </c>
      <c r="G2438" s="13">
        <f>F2438*12%</f>
        <v/>
      </c>
      <c r="H2438" s="13">
        <f>IF(A2438="",0,B2438*(92*IF(OR(C2438=Options!$B$9,C2438=Options!$B$10),75%,100%)-IF(C2438=DATE(2026,11,29),26+IF(Options!$B$8="是",23,0),0)-IF(C2438=DATE(2026,11,30),26,0)-IF(C2438=DATE(2026,12,1),64,0)-IF(C2438=DATE(2026,11,28),38,0)-IF(C2438=DATE(2026,12,2),26,0)))</f>
        <v/>
      </c>
      <c r="I2438" s="13">
        <f>IF(AND(C2438&gt;=DATE(2026,11,29),C2438&lt;=DATE(2026,12,1)),B2438*60,0)</f>
        <v/>
      </c>
      <c r="J2438" s="13">
        <f>IF(A2438="",0,B2438*(IF(C2438=DATE(2026,11,28),38,0)+IF(C2438=DATE(2026,12,1),38,0)+IF(C2438=DATE(2026,12,2),26,0)))</f>
        <v/>
      </c>
      <c r="K2438" s="13">
        <f>IF(C2438=Options!$B$9,B2438*12,0)</f>
        <v/>
      </c>
      <c r="L2438" s="13">
        <f>IF(C2438=Options!$B$9,B2438*Options!$Z$8,0)</f>
        <v/>
      </c>
      <c r="M2438" s="13" t="n">
        <v>0</v>
      </c>
      <c r="N2438" s="13">
        <f>SUM(E2438:M2438)</f>
        <v/>
      </c>
    </row>
    <row r="2439">
      <c r="A2439" s="5">
        <f>IF(AND(C2439&gt;=Options!$B$9,C2439&lt;=Options!$B$10),"Boston","")</f>
        <v/>
      </c>
      <c r="B2439" s="5">
        <f>IF(A2439="","",18)</f>
        <v/>
      </c>
      <c r="C2439" s="17" t="n">
        <v>46540</v>
      </c>
      <c r="D2439" s="5">
        <f>IF(A2439="","",IF(C2439=DATE(2026,11,29),"培训；注册午餐；早餐参数",IF(C2439=DATE(2026,11,30),"培训；注册午餐",IF(C2439=DATE(2026,12,1),"培训；注册午餐；机构晚餐",IF(C2439=Options!$B$9,"抵达；"&amp;IF(C2439=DATE(2026,11,28),"机构晚餐","无统一供餐"),IF(C2439=Options!$B$10,"返程；"&amp;IF(C2439=DATE(2026,12,2),"机构午餐","无统一供餐"),"差旅状态；无统一日程"))))))</f>
        <v/>
      </c>
      <c r="E2439" s="13">
        <f>IF(C2439=Options!$B$9,Options!$C$20,0)</f>
        <v/>
      </c>
      <c r="F2439" s="13">
        <f>IF(AND(A2439&lt;&gt;"",C2439&lt;Options!$B$10),B2439*Options!$X$8,0)</f>
        <v/>
      </c>
      <c r="G2439" s="13">
        <f>F2439*12%</f>
        <v/>
      </c>
      <c r="H2439" s="13">
        <f>IF(A2439="",0,B2439*(92*IF(OR(C2439=Options!$B$9,C2439=Options!$B$10),75%,100%)-IF(C2439=DATE(2026,11,29),26+IF(Options!$B$8="是",23,0),0)-IF(C2439=DATE(2026,11,30),26,0)-IF(C2439=DATE(2026,12,1),64,0)-IF(C2439=DATE(2026,11,28),38,0)-IF(C2439=DATE(2026,12,2),26,0)))</f>
        <v/>
      </c>
      <c r="I2439" s="13">
        <f>IF(AND(C2439&gt;=DATE(2026,11,29),C2439&lt;=DATE(2026,12,1)),B2439*60,0)</f>
        <v/>
      </c>
      <c r="J2439" s="13">
        <f>IF(A2439="",0,B2439*(IF(C2439=DATE(2026,11,28),38,0)+IF(C2439=DATE(2026,12,1),38,0)+IF(C2439=DATE(2026,12,2),26,0)))</f>
        <v/>
      </c>
      <c r="K2439" s="13">
        <f>IF(C2439=Options!$B$9,B2439*12,0)</f>
        <v/>
      </c>
      <c r="L2439" s="13">
        <f>IF(C2439=Options!$B$9,B2439*Options!$Z$8,0)</f>
        <v/>
      </c>
      <c r="M2439" s="13" t="n">
        <v>0</v>
      </c>
      <c r="N2439" s="13">
        <f>SUM(E2439:M2439)</f>
        <v/>
      </c>
    </row>
    <row r="2440">
      <c r="A2440" s="5">
        <f>IF(AND(C2440&gt;=Options!$B$9,C2440&lt;=Options!$B$10),"Boston","")</f>
        <v/>
      </c>
      <c r="B2440" s="5">
        <f>IF(A2440="","",18)</f>
        <v/>
      </c>
      <c r="C2440" s="17" t="n">
        <v>46541</v>
      </c>
      <c r="D2440" s="5">
        <f>IF(A2440="","",IF(C2440=DATE(2026,11,29),"培训；注册午餐；早餐参数",IF(C2440=DATE(2026,11,30),"培训；注册午餐",IF(C2440=DATE(2026,12,1),"培训；注册午餐；机构晚餐",IF(C2440=Options!$B$9,"抵达；"&amp;IF(C2440=DATE(2026,11,28),"机构晚餐","无统一供餐"),IF(C2440=Options!$B$10,"返程；"&amp;IF(C2440=DATE(2026,12,2),"机构午餐","无统一供餐"),"差旅状态；无统一日程"))))))</f>
        <v/>
      </c>
      <c r="E2440" s="13">
        <f>IF(C2440=Options!$B$9,Options!$C$20,0)</f>
        <v/>
      </c>
      <c r="F2440" s="13">
        <f>IF(AND(A2440&lt;&gt;"",C2440&lt;Options!$B$10),B2440*Options!$X$8,0)</f>
        <v/>
      </c>
      <c r="G2440" s="13">
        <f>F2440*12%</f>
        <v/>
      </c>
      <c r="H2440" s="13">
        <f>IF(A2440="",0,B2440*(92*IF(OR(C2440=Options!$B$9,C2440=Options!$B$10),75%,100%)-IF(C2440=DATE(2026,11,29),26+IF(Options!$B$8="是",23,0),0)-IF(C2440=DATE(2026,11,30),26,0)-IF(C2440=DATE(2026,12,1),64,0)-IF(C2440=DATE(2026,11,28),38,0)-IF(C2440=DATE(2026,12,2),26,0)))</f>
        <v/>
      </c>
      <c r="I2440" s="13">
        <f>IF(AND(C2440&gt;=DATE(2026,11,29),C2440&lt;=DATE(2026,12,1)),B2440*60,0)</f>
        <v/>
      </c>
      <c r="J2440" s="13">
        <f>IF(A2440="",0,B2440*(IF(C2440=DATE(2026,11,28),38,0)+IF(C2440=DATE(2026,12,1),38,0)+IF(C2440=DATE(2026,12,2),26,0)))</f>
        <v/>
      </c>
      <c r="K2440" s="13">
        <f>IF(C2440=Options!$B$9,B2440*12,0)</f>
        <v/>
      </c>
      <c r="L2440" s="13">
        <f>IF(C2440=Options!$B$9,B2440*Options!$Z$8,0)</f>
        <v/>
      </c>
      <c r="M2440" s="13" t="n">
        <v>0</v>
      </c>
      <c r="N2440" s="13">
        <f>SUM(E2440:M2440)</f>
        <v/>
      </c>
    </row>
    <row r="2441">
      <c r="A2441" s="5">
        <f>IF(AND(C2441&gt;=Options!$B$9,C2441&lt;=Options!$B$10),"Boston","")</f>
        <v/>
      </c>
      <c r="B2441" s="5">
        <f>IF(A2441="","",18)</f>
        <v/>
      </c>
      <c r="C2441" s="17" t="n">
        <v>46542</v>
      </c>
      <c r="D2441" s="5">
        <f>IF(A2441="","",IF(C2441=DATE(2026,11,29),"培训；注册午餐；早餐参数",IF(C2441=DATE(2026,11,30),"培训；注册午餐",IF(C2441=DATE(2026,12,1),"培训；注册午餐；机构晚餐",IF(C2441=Options!$B$9,"抵达；"&amp;IF(C2441=DATE(2026,11,28),"机构晚餐","无统一供餐"),IF(C2441=Options!$B$10,"返程；"&amp;IF(C2441=DATE(2026,12,2),"机构午餐","无统一供餐"),"差旅状态；无统一日程"))))))</f>
        <v/>
      </c>
      <c r="E2441" s="13">
        <f>IF(C2441=Options!$B$9,Options!$C$20,0)</f>
        <v/>
      </c>
      <c r="F2441" s="13">
        <f>IF(AND(A2441&lt;&gt;"",C2441&lt;Options!$B$10),B2441*Options!$X$8,0)</f>
        <v/>
      </c>
      <c r="G2441" s="13">
        <f>F2441*12%</f>
        <v/>
      </c>
      <c r="H2441" s="13">
        <f>IF(A2441="",0,B2441*(92*IF(OR(C2441=Options!$B$9,C2441=Options!$B$10),75%,100%)-IF(C2441=DATE(2026,11,29),26+IF(Options!$B$8="是",23,0),0)-IF(C2441=DATE(2026,11,30),26,0)-IF(C2441=DATE(2026,12,1),64,0)-IF(C2441=DATE(2026,11,28),38,0)-IF(C2441=DATE(2026,12,2),26,0)))</f>
        <v/>
      </c>
      <c r="I2441" s="13">
        <f>IF(AND(C2441&gt;=DATE(2026,11,29),C2441&lt;=DATE(2026,12,1)),B2441*60,0)</f>
        <v/>
      </c>
      <c r="J2441" s="13">
        <f>IF(A2441="",0,B2441*(IF(C2441=DATE(2026,11,28),38,0)+IF(C2441=DATE(2026,12,1),38,0)+IF(C2441=DATE(2026,12,2),26,0)))</f>
        <v/>
      </c>
      <c r="K2441" s="13">
        <f>IF(C2441=Options!$B$9,B2441*12,0)</f>
        <v/>
      </c>
      <c r="L2441" s="13">
        <f>IF(C2441=Options!$B$9,B2441*Options!$Z$8,0)</f>
        <v/>
      </c>
      <c r="M2441" s="13" t="n">
        <v>0</v>
      </c>
      <c r="N2441" s="13">
        <f>SUM(E2441:M2441)</f>
        <v/>
      </c>
    </row>
    <row r="2442">
      <c r="A2442" s="5">
        <f>IF(AND(C2442&gt;=Options!$B$9,C2442&lt;=Options!$B$10),"Boston","")</f>
        <v/>
      </c>
      <c r="B2442" s="5">
        <f>IF(A2442="","",18)</f>
        <v/>
      </c>
      <c r="C2442" s="17" t="n">
        <v>46543</v>
      </c>
      <c r="D2442" s="5">
        <f>IF(A2442="","",IF(C2442=DATE(2026,11,29),"培训；注册午餐；早餐参数",IF(C2442=DATE(2026,11,30),"培训；注册午餐",IF(C2442=DATE(2026,12,1),"培训；注册午餐；机构晚餐",IF(C2442=Options!$B$9,"抵达；"&amp;IF(C2442=DATE(2026,11,28),"机构晚餐","无统一供餐"),IF(C2442=Options!$B$10,"返程；"&amp;IF(C2442=DATE(2026,12,2),"机构午餐","无统一供餐"),"差旅状态；无统一日程"))))))</f>
        <v/>
      </c>
      <c r="E2442" s="13">
        <f>IF(C2442=Options!$B$9,Options!$C$20,0)</f>
        <v/>
      </c>
      <c r="F2442" s="13">
        <f>IF(AND(A2442&lt;&gt;"",C2442&lt;Options!$B$10),B2442*Options!$X$8,0)</f>
        <v/>
      </c>
      <c r="G2442" s="13">
        <f>F2442*12%</f>
        <v/>
      </c>
      <c r="H2442" s="13">
        <f>IF(A2442="",0,B2442*(92*IF(OR(C2442=Options!$B$9,C2442=Options!$B$10),75%,100%)-IF(C2442=DATE(2026,11,29),26+IF(Options!$B$8="是",23,0),0)-IF(C2442=DATE(2026,11,30),26,0)-IF(C2442=DATE(2026,12,1),64,0)-IF(C2442=DATE(2026,11,28),38,0)-IF(C2442=DATE(2026,12,2),26,0)))</f>
        <v/>
      </c>
      <c r="I2442" s="13">
        <f>IF(AND(C2442&gt;=DATE(2026,11,29),C2442&lt;=DATE(2026,12,1)),B2442*60,0)</f>
        <v/>
      </c>
      <c r="J2442" s="13">
        <f>IF(A2442="",0,B2442*(IF(C2442=DATE(2026,11,28),38,0)+IF(C2442=DATE(2026,12,1),38,0)+IF(C2442=DATE(2026,12,2),26,0)))</f>
        <v/>
      </c>
      <c r="K2442" s="13">
        <f>IF(C2442=Options!$B$9,B2442*12,0)</f>
        <v/>
      </c>
      <c r="L2442" s="13">
        <f>IF(C2442=Options!$B$9,B2442*Options!$Z$8,0)</f>
        <v/>
      </c>
      <c r="M2442" s="13" t="n">
        <v>0</v>
      </c>
      <c r="N2442" s="13">
        <f>SUM(E2442:M2442)</f>
        <v/>
      </c>
    </row>
    <row r="2443">
      <c r="A2443" s="5">
        <f>IF(AND(C2443&gt;=Options!$B$9,C2443&lt;=Options!$B$10),"Boston","")</f>
        <v/>
      </c>
      <c r="B2443" s="5">
        <f>IF(A2443="","",18)</f>
        <v/>
      </c>
      <c r="C2443" s="17" t="n">
        <v>46544</v>
      </c>
      <c r="D2443" s="5">
        <f>IF(A2443="","",IF(C2443=DATE(2026,11,29),"培训；注册午餐；早餐参数",IF(C2443=DATE(2026,11,30),"培训；注册午餐",IF(C2443=DATE(2026,12,1),"培训；注册午餐；机构晚餐",IF(C2443=Options!$B$9,"抵达；"&amp;IF(C2443=DATE(2026,11,28),"机构晚餐","无统一供餐"),IF(C2443=Options!$B$10,"返程；"&amp;IF(C2443=DATE(2026,12,2),"机构午餐","无统一供餐"),"差旅状态；无统一日程"))))))</f>
        <v/>
      </c>
      <c r="E2443" s="13">
        <f>IF(C2443=Options!$B$9,Options!$C$20,0)</f>
        <v/>
      </c>
      <c r="F2443" s="13">
        <f>IF(AND(A2443&lt;&gt;"",C2443&lt;Options!$B$10),B2443*Options!$X$8,0)</f>
        <v/>
      </c>
      <c r="G2443" s="13">
        <f>F2443*12%</f>
        <v/>
      </c>
      <c r="H2443" s="13">
        <f>IF(A2443="",0,B2443*(92*IF(OR(C2443=Options!$B$9,C2443=Options!$B$10),75%,100%)-IF(C2443=DATE(2026,11,29),26+IF(Options!$B$8="是",23,0),0)-IF(C2443=DATE(2026,11,30),26,0)-IF(C2443=DATE(2026,12,1),64,0)-IF(C2443=DATE(2026,11,28),38,0)-IF(C2443=DATE(2026,12,2),26,0)))</f>
        <v/>
      </c>
      <c r="I2443" s="13">
        <f>IF(AND(C2443&gt;=DATE(2026,11,29),C2443&lt;=DATE(2026,12,1)),B2443*60,0)</f>
        <v/>
      </c>
      <c r="J2443" s="13">
        <f>IF(A2443="",0,B2443*(IF(C2443=DATE(2026,11,28),38,0)+IF(C2443=DATE(2026,12,1),38,0)+IF(C2443=DATE(2026,12,2),26,0)))</f>
        <v/>
      </c>
      <c r="K2443" s="13">
        <f>IF(C2443=Options!$B$9,B2443*12,0)</f>
        <v/>
      </c>
      <c r="L2443" s="13">
        <f>IF(C2443=Options!$B$9,B2443*Options!$Z$8,0)</f>
        <v/>
      </c>
      <c r="M2443" s="13" t="n">
        <v>0</v>
      </c>
      <c r="N2443" s="13">
        <f>SUM(E2443:M2443)</f>
        <v/>
      </c>
    </row>
    <row r="2444">
      <c r="A2444" s="5">
        <f>IF(AND(C2444&gt;=Options!$B$9,C2444&lt;=Options!$B$10),"Boston","")</f>
        <v/>
      </c>
      <c r="B2444" s="5">
        <f>IF(A2444="","",18)</f>
        <v/>
      </c>
      <c r="C2444" s="17" t="n">
        <v>46545</v>
      </c>
      <c r="D2444" s="5">
        <f>IF(A2444="","",IF(C2444=DATE(2026,11,29),"培训；注册午餐；早餐参数",IF(C2444=DATE(2026,11,30),"培训；注册午餐",IF(C2444=DATE(2026,12,1),"培训；注册午餐；机构晚餐",IF(C2444=Options!$B$9,"抵达；"&amp;IF(C2444=DATE(2026,11,28),"机构晚餐","无统一供餐"),IF(C2444=Options!$B$10,"返程；"&amp;IF(C2444=DATE(2026,12,2),"机构午餐","无统一供餐"),"差旅状态；无统一日程"))))))</f>
        <v/>
      </c>
      <c r="E2444" s="13">
        <f>IF(C2444=Options!$B$9,Options!$C$20,0)</f>
        <v/>
      </c>
      <c r="F2444" s="13">
        <f>IF(AND(A2444&lt;&gt;"",C2444&lt;Options!$B$10),B2444*Options!$X$8,0)</f>
        <v/>
      </c>
      <c r="G2444" s="13">
        <f>F2444*12%</f>
        <v/>
      </c>
      <c r="H2444" s="13">
        <f>IF(A2444="",0,B2444*(92*IF(OR(C2444=Options!$B$9,C2444=Options!$B$10),75%,100%)-IF(C2444=DATE(2026,11,29),26+IF(Options!$B$8="是",23,0),0)-IF(C2444=DATE(2026,11,30),26,0)-IF(C2444=DATE(2026,12,1),64,0)-IF(C2444=DATE(2026,11,28),38,0)-IF(C2444=DATE(2026,12,2),26,0)))</f>
        <v/>
      </c>
      <c r="I2444" s="13">
        <f>IF(AND(C2444&gt;=DATE(2026,11,29),C2444&lt;=DATE(2026,12,1)),B2444*60,0)</f>
        <v/>
      </c>
      <c r="J2444" s="13">
        <f>IF(A2444="",0,B2444*(IF(C2444=DATE(2026,11,28),38,0)+IF(C2444=DATE(2026,12,1),38,0)+IF(C2444=DATE(2026,12,2),26,0)))</f>
        <v/>
      </c>
      <c r="K2444" s="13">
        <f>IF(C2444=Options!$B$9,B2444*12,0)</f>
        <v/>
      </c>
      <c r="L2444" s="13">
        <f>IF(C2444=Options!$B$9,B2444*Options!$Z$8,0)</f>
        <v/>
      </c>
      <c r="M2444" s="13" t="n">
        <v>0</v>
      </c>
      <c r="N2444" s="13">
        <f>SUM(E2444:M2444)</f>
        <v/>
      </c>
    </row>
    <row r="2445">
      <c r="A2445" s="5">
        <f>IF(AND(C2445&gt;=Options!$B$9,C2445&lt;=Options!$B$10),"Boston","")</f>
        <v/>
      </c>
      <c r="B2445" s="5">
        <f>IF(A2445="","",18)</f>
        <v/>
      </c>
      <c r="C2445" s="17" t="n">
        <v>46546</v>
      </c>
      <c r="D2445" s="5">
        <f>IF(A2445="","",IF(C2445=DATE(2026,11,29),"培训；注册午餐；早餐参数",IF(C2445=DATE(2026,11,30),"培训；注册午餐",IF(C2445=DATE(2026,12,1),"培训；注册午餐；机构晚餐",IF(C2445=Options!$B$9,"抵达；"&amp;IF(C2445=DATE(2026,11,28),"机构晚餐","无统一供餐"),IF(C2445=Options!$B$10,"返程；"&amp;IF(C2445=DATE(2026,12,2),"机构午餐","无统一供餐"),"差旅状态；无统一日程"))))))</f>
        <v/>
      </c>
      <c r="E2445" s="13">
        <f>IF(C2445=Options!$B$9,Options!$C$20,0)</f>
        <v/>
      </c>
      <c r="F2445" s="13">
        <f>IF(AND(A2445&lt;&gt;"",C2445&lt;Options!$B$10),B2445*Options!$X$8,0)</f>
        <v/>
      </c>
      <c r="G2445" s="13">
        <f>F2445*12%</f>
        <v/>
      </c>
      <c r="H2445" s="13">
        <f>IF(A2445="",0,B2445*(92*IF(OR(C2445=Options!$B$9,C2445=Options!$B$10),75%,100%)-IF(C2445=DATE(2026,11,29),26+IF(Options!$B$8="是",23,0),0)-IF(C2445=DATE(2026,11,30),26,0)-IF(C2445=DATE(2026,12,1),64,0)-IF(C2445=DATE(2026,11,28),38,0)-IF(C2445=DATE(2026,12,2),26,0)))</f>
        <v/>
      </c>
      <c r="I2445" s="13">
        <f>IF(AND(C2445&gt;=DATE(2026,11,29),C2445&lt;=DATE(2026,12,1)),B2445*60,0)</f>
        <v/>
      </c>
      <c r="J2445" s="13">
        <f>IF(A2445="",0,B2445*(IF(C2445=DATE(2026,11,28),38,0)+IF(C2445=DATE(2026,12,1),38,0)+IF(C2445=DATE(2026,12,2),26,0)))</f>
        <v/>
      </c>
      <c r="K2445" s="13">
        <f>IF(C2445=Options!$B$9,B2445*12,0)</f>
        <v/>
      </c>
      <c r="L2445" s="13">
        <f>IF(C2445=Options!$B$9,B2445*Options!$Z$8,0)</f>
        <v/>
      </c>
      <c r="M2445" s="13" t="n">
        <v>0</v>
      </c>
      <c r="N2445" s="13">
        <f>SUM(E2445:M2445)</f>
        <v/>
      </c>
    </row>
    <row r="2446">
      <c r="A2446" s="5">
        <f>IF(AND(C2446&gt;=Options!$B$9,C2446&lt;=Options!$B$10),"Boston","")</f>
        <v/>
      </c>
      <c r="B2446" s="5">
        <f>IF(A2446="","",18)</f>
        <v/>
      </c>
      <c r="C2446" s="17" t="n">
        <v>46547</v>
      </c>
      <c r="D2446" s="5">
        <f>IF(A2446="","",IF(C2446=DATE(2026,11,29),"培训；注册午餐；早餐参数",IF(C2446=DATE(2026,11,30),"培训；注册午餐",IF(C2446=DATE(2026,12,1),"培训；注册午餐；机构晚餐",IF(C2446=Options!$B$9,"抵达；"&amp;IF(C2446=DATE(2026,11,28),"机构晚餐","无统一供餐"),IF(C2446=Options!$B$10,"返程；"&amp;IF(C2446=DATE(2026,12,2),"机构午餐","无统一供餐"),"差旅状态；无统一日程"))))))</f>
        <v/>
      </c>
      <c r="E2446" s="13">
        <f>IF(C2446=Options!$B$9,Options!$C$20,0)</f>
        <v/>
      </c>
      <c r="F2446" s="13">
        <f>IF(AND(A2446&lt;&gt;"",C2446&lt;Options!$B$10),B2446*Options!$X$8,0)</f>
        <v/>
      </c>
      <c r="G2446" s="13">
        <f>F2446*12%</f>
        <v/>
      </c>
      <c r="H2446" s="13">
        <f>IF(A2446="",0,B2446*(92*IF(OR(C2446=Options!$B$9,C2446=Options!$B$10),75%,100%)-IF(C2446=DATE(2026,11,29),26+IF(Options!$B$8="是",23,0),0)-IF(C2446=DATE(2026,11,30),26,0)-IF(C2446=DATE(2026,12,1),64,0)-IF(C2446=DATE(2026,11,28),38,0)-IF(C2446=DATE(2026,12,2),26,0)))</f>
        <v/>
      </c>
      <c r="I2446" s="13">
        <f>IF(AND(C2446&gt;=DATE(2026,11,29),C2446&lt;=DATE(2026,12,1)),B2446*60,0)</f>
        <v/>
      </c>
      <c r="J2446" s="13">
        <f>IF(A2446="",0,B2446*(IF(C2446=DATE(2026,11,28),38,0)+IF(C2446=DATE(2026,12,1),38,0)+IF(C2446=DATE(2026,12,2),26,0)))</f>
        <v/>
      </c>
      <c r="K2446" s="13">
        <f>IF(C2446=Options!$B$9,B2446*12,0)</f>
        <v/>
      </c>
      <c r="L2446" s="13">
        <f>IF(C2446=Options!$B$9,B2446*Options!$Z$8,0)</f>
        <v/>
      </c>
      <c r="M2446" s="13" t="n">
        <v>0</v>
      </c>
      <c r="N2446" s="13">
        <f>SUM(E2446:M2446)</f>
        <v/>
      </c>
    </row>
    <row r="2447">
      <c r="A2447" s="5">
        <f>IF(AND(C2447&gt;=Options!$B$9,C2447&lt;=Options!$B$10),"Boston","")</f>
        <v/>
      </c>
      <c r="B2447" s="5">
        <f>IF(A2447="","",18)</f>
        <v/>
      </c>
      <c r="C2447" s="17" t="n">
        <v>46548</v>
      </c>
      <c r="D2447" s="5">
        <f>IF(A2447="","",IF(C2447=DATE(2026,11,29),"培训；注册午餐；早餐参数",IF(C2447=DATE(2026,11,30),"培训；注册午餐",IF(C2447=DATE(2026,12,1),"培训；注册午餐；机构晚餐",IF(C2447=Options!$B$9,"抵达；"&amp;IF(C2447=DATE(2026,11,28),"机构晚餐","无统一供餐"),IF(C2447=Options!$B$10,"返程；"&amp;IF(C2447=DATE(2026,12,2),"机构午餐","无统一供餐"),"差旅状态；无统一日程"))))))</f>
        <v/>
      </c>
      <c r="E2447" s="13">
        <f>IF(C2447=Options!$B$9,Options!$C$20,0)</f>
        <v/>
      </c>
      <c r="F2447" s="13">
        <f>IF(AND(A2447&lt;&gt;"",C2447&lt;Options!$B$10),B2447*Options!$X$8,0)</f>
        <v/>
      </c>
      <c r="G2447" s="13">
        <f>F2447*12%</f>
        <v/>
      </c>
      <c r="H2447" s="13">
        <f>IF(A2447="",0,B2447*(92*IF(OR(C2447=Options!$B$9,C2447=Options!$B$10),75%,100%)-IF(C2447=DATE(2026,11,29),26+IF(Options!$B$8="是",23,0),0)-IF(C2447=DATE(2026,11,30),26,0)-IF(C2447=DATE(2026,12,1),64,0)-IF(C2447=DATE(2026,11,28),38,0)-IF(C2447=DATE(2026,12,2),26,0)))</f>
        <v/>
      </c>
      <c r="I2447" s="13">
        <f>IF(AND(C2447&gt;=DATE(2026,11,29),C2447&lt;=DATE(2026,12,1)),B2447*60,0)</f>
        <v/>
      </c>
      <c r="J2447" s="13">
        <f>IF(A2447="",0,B2447*(IF(C2447=DATE(2026,11,28),38,0)+IF(C2447=DATE(2026,12,1),38,0)+IF(C2447=DATE(2026,12,2),26,0)))</f>
        <v/>
      </c>
      <c r="K2447" s="13">
        <f>IF(C2447=Options!$B$9,B2447*12,0)</f>
        <v/>
      </c>
      <c r="L2447" s="13">
        <f>IF(C2447=Options!$B$9,B2447*Options!$Z$8,0)</f>
        <v/>
      </c>
      <c r="M2447" s="13" t="n">
        <v>0</v>
      </c>
      <c r="N2447" s="13">
        <f>SUM(E2447:M2447)</f>
        <v/>
      </c>
    </row>
    <row r="2448">
      <c r="A2448" s="5">
        <f>IF(AND(C2448&gt;=Options!$B$9,C2448&lt;=Options!$B$10),"Boston","")</f>
        <v/>
      </c>
      <c r="B2448" s="5">
        <f>IF(A2448="","",18)</f>
        <v/>
      </c>
      <c r="C2448" s="17" t="n">
        <v>46549</v>
      </c>
      <c r="D2448" s="5">
        <f>IF(A2448="","",IF(C2448=DATE(2026,11,29),"培训；注册午餐；早餐参数",IF(C2448=DATE(2026,11,30),"培训；注册午餐",IF(C2448=DATE(2026,12,1),"培训；注册午餐；机构晚餐",IF(C2448=Options!$B$9,"抵达；"&amp;IF(C2448=DATE(2026,11,28),"机构晚餐","无统一供餐"),IF(C2448=Options!$B$10,"返程；"&amp;IF(C2448=DATE(2026,12,2),"机构午餐","无统一供餐"),"差旅状态；无统一日程"))))))</f>
        <v/>
      </c>
      <c r="E2448" s="13">
        <f>IF(C2448=Options!$B$9,Options!$C$20,0)</f>
        <v/>
      </c>
      <c r="F2448" s="13">
        <f>IF(AND(A2448&lt;&gt;"",C2448&lt;Options!$B$10),B2448*Options!$X$8,0)</f>
        <v/>
      </c>
      <c r="G2448" s="13">
        <f>F2448*12%</f>
        <v/>
      </c>
      <c r="H2448" s="13">
        <f>IF(A2448="",0,B2448*(92*IF(OR(C2448=Options!$B$9,C2448=Options!$B$10),75%,100%)-IF(C2448=DATE(2026,11,29),26+IF(Options!$B$8="是",23,0),0)-IF(C2448=DATE(2026,11,30),26,0)-IF(C2448=DATE(2026,12,1),64,0)-IF(C2448=DATE(2026,11,28),38,0)-IF(C2448=DATE(2026,12,2),26,0)))</f>
        <v/>
      </c>
      <c r="I2448" s="13">
        <f>IF(AND(C2448&gt;=DATE(2026,11,29),C2448&lt;=DATE(2026,12,1)),B2448*60,0)</f>
        <v/>
      </c>
      <c r="J2448" s="13">
        <f>IF(A2448="",0,B2448*(IF(C2448=DATE(2026,11,28),38,0)+IF(C2448=DATE(2026,12,1),38,0)+IF(C2448=DATE(2026,12,2),26,0)))</f>
        <v/>
      </c>
      <c r="K2448" s="13">
        <f>IF(C2448=Options!$B$9,B2448*12,0)</f>
        <v/>
      </c>
      <c r="L2448" s="13">
        <f>IF(C2448=Options!$B$9,B2448*Options!$Z$8,0)</f>
        <v/>
      </c>
      <c r="M2448" s="13" t="n">
        <v>0</v>
      </c>
      <c r="N2448" s="13">
        <f>SUM(E2448:M2448)</f>
        <v/>
      </c>
    </row>
    <row r="2449">
      <c r="A2449" s="5">
        <f>IF(AND(C2449&gt;=Options!$B$9,C2449&lt;=Options!$B$10),"Boston","")</f>
        <v/>
      </c>
      <c r="B2449" s="5">
        <f>IF(A2449="","",18)</f>
        <v/>
      </c>
      <c r="C2449" s="17" t="n">
        <v>46550</v>
      </c>
      <c r="D2449" s="5">
        <f>IF(A2449="","",IF(C2449=DATE(2026,11,29),"培训；注册午餐；早餐参数",IF(C2449=DATE(2026,11,30),"培训；注册午餐",IF(C2449=DATE(2026,12,1),"培训；注册午餐；机构晚餐",IF(C2449=Options!$B$9,"抵达；"&amp;IF(C2449=DATE(2026,11,28),"机构晚餐","无统一供餐"),IF(C2449=Options!$B$10,"返程；"&amp;IF(C2449=DATE(2026,12,2),"机构午餐","无统一供餐"),"差旅状态；无统一日程"))))))</f>
        <v/>
      </c>
      <c r="E2449" s="13">
        <f>IF(C2449=Options!$B$9,Options!$C$20,0)</f>
        <v/>
      </c>
      <c r="F2449" s="13">
        <f>IF(AND(A2449&lt;&gt;"",C2449&lt;Options!$B$10),B2449*Options!$X$8,0)</f>
        <v/>
      </c>
      <c r="G2449" s="13">
        <f>F2449*12%</f>
        <v/>
      </c>
      <c r="H2449" s="13">
        <f>IF(A2449="",0,B2449*(92*IF(OR(C2449=Options!$B$9,C2449=Options!$B$10),75%,100%)-IF(C2449=DATE(2026,11,29),26+IF(Options!$B$8="是",23,0),0)-IF(C2449=DATE(2026,11,30),26,0)-IF(C2449=DATE(2026,12,1),64,0)-IF(C2449=DATE(2026,11,28),38,0)-IF(C2449=DATE(2026,12,2),26,0)))</f>
        <v/>
      </c>
      <c r="I2449" s="13">
        <f>IF(AND(C2449&gt;=DATE(2026,11,29),C2449&lt;=DATE(2026,12,1)),B2449*60,0)</f>
        <v/>
      </c>
      <c r="J2449" s="13">
        <f>IF(A2449="",0,B2449*(IF(C2449=DATE(2026,11,28),38,0)+IF(C2449=DATE(2026,12,1),38,0)+IF(C2449=DATE(2026,12,2),26,0)))</f>
        <v/>
      </c>
      <c r="K2449" s="13">
        <f>IF(C2449=Options!$B$9,B2449*12,0)</f>
        <v/>
      </c>
      <c r="L2449" s="13">
        <f>IF(C2449=Options!$B$9,B2449*Options!$Z$8,0)</f>
        <v/>
      </c>
      <c r="M2449" s="13" t="n">
        <v>0</v>
      </c>
      <c r="N2449" s="13">
        <f>SUM(E2449:M2449)</f>
        <v/>
      </c>
    </row>
    <row r="2450">
      <c r="A2450" s="5">
        <f>IF(AND(C2450&gt;=Options!$B$9,C2450&lt;=Options!$B$10),"Boston","")</f>
        <v/>
      </c>
      <c r="B2450" s="5">
        <f>IF(A2450="","",18)</f>
        <v/>
      </c>
      <c r="C2450" s="17" t="n">
        <v>46551</v>
      </c>
      <c r="D2450" s="5">
        <f>IF(A2450="","",IF(C2450=DATE(2026,11,29),"培训；注册午餐；早餐参数",IF(C2450=DATE(2026,11,30),"培训；注册午餐",IF(C2450=DATE(2026,12,1),"培训；注册午餐；机构晚餐",IF(C2450=Options!$B$9,"抵达；"&amp;IF(C2450=DATE(2026,11,28),"机构晚餐","无统一供餐"),IF(C2450=Options!$B$10,"返程；"&amp;IF(C2450=DATE(2026,12,2),"机构午餐","无统一供餐"),"差旅状态；无统一日程"))))))</f>
        <v/>
      </c>
      <c r="E2450" s="13">
        <f>IF(C2450=Options!$B$9,Options!$C$20,0)</f>
        <v/>
      </c>
      <c r="F2450" s="13">
        <f>IF(AND(A2450&lt;&gt;"",C2450&lt;Options!$B$10),B2450*Options!$X$8,0)</f>
        <v/>
      </c>
      <c r="G2450" s="13">
        <f>F2450*12%</f>
        <v/>
      </c>
      <c r="H2450" s="13">
        <f>IF(A2450="",0,B2450*(92*IF(OR(C2450=Options!$B$9,C2450=Options!$B$10),75%,100%)-IF(C2450=DATE(2026,11,29),26+IF(Options!$B$8="是",23,0),0)-IF(C2450=DATE(2026,11,30),26,0)-IF(C2450=DATE(2026,12,1),64,0)-IF(C2450=DATE(2026,11,28),38,0)-IF(C2450=DATE(2026,12,2),26,0)))</f>
        <v/>
      </c>
      <c r="I2450" s="13">
        <f>IF(AND(C2450&gt;=DATE(2026,11,29),C2450&lt;=DATE(2026,12,1)),B2450*60,0)</f>
        <v/>
      </c>
      <c r="J2450" s="13">
        <f>IF(A2450="",0,B2450*(IF(C2450=DATE(2026,11,28),38,0)+IF(C2450=DATE(2026,12,1),38,0)+IF(C2450=DATE(2026,12,2),26,0)))</f>
        <v/>
      </c>
      <c r="K2450" s="13">
        <f>IF(C2450=Options!$B$9,B2450*12,0)</f>
        <v/>
      </c>
      <c r="L2450" s="13">
        <f>IF(C2450=Options!$B$9,B2450*Options!$Z$8,0)</f>
        <v/>
      </c>
      <c r="M2450" s="13" t="n">
        <v>0</v>
      </c>
      <c r="N2450" s="13">
        <f>SUM(E2450:M2450)</f>
        <v/>
      </c>
    </row>
    <row r="2451">
      <c r="A2451" s="5">
        <f>IF(AND(C2451&gt;=Options!$B$9,C2451&lt;=Options!$B$10),"Boston","")</f>
        <v/>
      </c>
      <c r="B2451" s="5">
        <f>IF(A2451="","",18)</f>
        <v/>
      </c>
      <c r="C2451" s="17" t="n">
        <v>46552</v>
      </c>
      <c r="D2451" s="5">
        <f>IF(A2451="","",IF(C2451=DATE(2026,11,29),"培训；注册午餐；早餐参数",IF(C2451=DATE(2026,11,30),"培训；注册午餐",IF(C2451=DATE(2026,12,1),"培训；注册午餐；机构晚餐",IF(C2451=Options!$B$9,"抵达；"&amp;IF(C2451=DATE(2026,11,28),"机构晚餐","无统一供餐"),IF(C2451=Options!$B$10,"返程；"&amp;IF(C2451=DATE(2026,12,2),"机构午餐","无统一供餐"),"差旅状态；无统一日程"))))))</f>
        <v/>
      </c>
      <c r="E2451" s="13">
        <f>IF(C2451=Options!$B$9,Options!$C$20,0)</f>
        <v/>
      </c>
      <c r="F2451" s="13">
        <f>IF(AND(A2451&lt;&gt;"",C2451&lt;Options!$B$10),B2451*Options!$X$8,0)</f>
        <v/>
      </c>
      <c r="G2451" s="13">
        <f>F2451*12%</f>
        <v/>
      </c>
      <c r="H2451" s="13">
        <f>IF(A2451="",0,B2451*(92*IF(OR(C2451=Options!$B$9,C2451=Options!$B$10),75%,100%)-IF(C2451=DATE(2026,11,29),26+IF(Options!$B$8="是",23,0),0)-IF(C2451=DATE(2026,11,30),26,0)-IF(C2451=DATE(2026,12,1),64,0)-IF(C2451=DATE(2026,11,28),38,0)-IF(C2451=DATE(2026,12,2),26,0)))</f>
        <v/>
      </c>
      <c r="I2451" s="13">
        <f>IF(AND(C2451&gt;=DATE(2026,11,29),C2451&lt;=DATE(2026,12,1)),B2451*60,0)</f>
        <v/>
      </c>
      <c r="J2451" s="13">
        <f>IF(A2451="",0,B2451*(IF(C2451=DATE(2026,11,28),38,0)+IF(C2451=DATE(2026,12,1),38,0)+IF(C2451=DATE(2026,12,2),26,0)))</f>
        <v/>
      </c>
      <c r="K2451" s="13">
        <f>IF(C2451=Options!$B$9,B2451*12,0)</f>
        <v/>
      </c>
      <c r="L2451" s="13">
        <f>IF(C2451=Options!$B$9,B2451*Options!$Z$8,0)</f>
        <v/>
      </c>
      <c r="M2451" s="13" t="n">
        <v>0</v>
      </c>
      <c r="N2451" s="13">
        <f>SUM(E2451:M2451)</f>
        <v/>
      </c>
    </row>
    <row r="2452">
      <c r="A2452" s="5">
        <f>IF(AND(C2452&gt;=Options!$B$9,C2452&lt;=Options!$B$10),"Boston","")</f>
        <v/>
      </c>
      <c r="B2452" s="5">
        <f>IF(A2452="","",18)</f>
        <v/>
      </c>
      <c r="C2452" s="17" t="n">
        <v>46553</v>
      </c>
      <c r="D2452" s="5">
        <f>IF(A2452="","",IF(C2452=DATE(2026,11,29),"培训；注册午餐；早餐参数",IF(C2452=DATE(2026,11,30),"培训；注册午餐",IF(C2452=DATE(2026,12,1),"培训；注册午餐；机构晚餐",IF(C2452=Options!$B$9,"抵达；"&amp;IF(C2452=DATE(2026,11,28),"机构晚餐","无统一供餐"),IF(C2452=Options!$B$10,"返程；"&amp;IF(C2452=DATE(2026,12,2),"机构午餐","无统一供餐"),"差旅状态；无统一日程"))))))</f>
        <v/>
      </c>
      <c r="E2452" s="13">
        <f>IF(C2452=Options!$B$9,Options!$C$20,0)</f>
        <v/>
      </c>
      <c r="F2452" s="13">
        <f>IF(AND(A2452&lt;&gt;"",C2452&lt;Options!$B$10),B2452*Options!$X$8,0)</f>
        <v/>
      </c>
      <c r="G2452" s="13">
        <f>F2452*12%</f>
        <v/>
      </c>
      <c r="H2452" s="13">
        <f>IF(A2452="",0,B2452*(92*IF(OR(C2452=Options!$B$9,C2452=Options!$B$10),75%,100%)-IF(C2452=DATE(2026,11,29),26+IF(Options!$B$8="是",23,0),0)-IF(C2452=DATE(2026,11,30),26,0)-IF(C2452=DATE(2026,12,1),64,0)-IF(C2452=DATE(2026,11,28),38,0)-IF(C2452=DATE(2026,12,2),26,0)))</f>
        <v/>
      </c>
      <c r="I2452" s="13">
        <f>IF(AND(C2452&gt;=DATE(2026,11,29),C2452&lt;=DATE(2026,12,1)),B2452*60,0)</f>
        <v/>
      </c>
      <c r="J2452" s="13">
        <f>IF(A2452="",0,B2452*(IF(C2452=DATE(2026,11,28),38,0)+IF(C2452=DATE(2026,12,1),38,0)+IF(C2452=DATE(2026,12,2),26,0)))</f>
        <v/>
      </c>
      <c r="K2452" s="13">
        <f>IF(C2452=Options!$B$9,B2452*12,0)</f>
        <v/>
      </c>
      <c r="L2452" s="13">
        <f>IF(C2452=Options!$B$9,B2452*Options!$Z$8,0)</f>
        <v/>
      </c>
      <c r="M2452" s="13" t="n">
        <v>0</v>
      </c>
      <c r="N2452" s="13">
        <f>SUM(E2452:M2452)</f>
        <v/>
      </c>
    </row>
    <row r="2453">
      <c r="A2453" s="5">
        <f>IF(AND(C2453&gt;=Options!$B$9,C2453&lt;=Options!$B$10),"Boston","")</f>
        <v/>
      </c>
      <c r="B2453" s="5">
        <f>IF(A2453="","",18)</f>
        <v/>
      </c>
      <c r="C2453" s="17" t="n">
        <v>46554</v>
      </c>
      <c r="D2453" s="5">
        <f>IF(A2453="","",IF(C2453=DATE(2026,11,29),"培训；注册午餐；早餐参数",IF(C2453=DATE(2026,11,30),"培训；注册午餐",IF(C2453=DATE(2026,12,1),"培训；注册午餐；机构晚餐",IF(C2453=Options!$B$9,"抵达；"&amp;IF(C2453=DATE(2026,11,28),"机构晚餐","无统一供餐"),IF(C2453=Options!$B$10,"返程；"&amp;IF(C2453=DATE(2026,12,2),"机构午餐","无统一供餐"),"差旅状态；无统一日程"))))))</f>
        <v/>
      </c>
      <c r="E2453" s="13">
        <f>IF(C2453=Options!$B$9,Options!$C$20,0)</f>
        <v/>
      </c>
      <c r="F2453" s="13">
        <f>IF(AND(A2453&lt;&gt;"",C2453&lt;Options!$B$10),B2453*Options!$X$8,0)</f>
        <v/>
      </c>
      <c r="G2453" s="13">
        <f>F2453*12%</f>
        <v/>
      </c>
      <c r="H2453" s="13">
        <f>IF(A2453="",0,B2453*(92*IF(OR(C2453=Options!$B$9,C2453=Options!$B$10),75%,100%)-IF(C2453=DATE(2026,11,29),26+IF(Options!$B$8="是",23,0),0)-IF(C2453=DATE(2026,11,30),26,0)-IF(C2453=DATE(2026,12,1),64,0)-IF(C2453=DATE(2026,11,28),38,0)-IF(C2453=DATE(2026,12,2),26,0)))</f>
        <v/>
      </c>
      <c r="I2453" s="13">
        <f>IF(AND(C2453&gt;=DATE(2026,11,29),C2453&lt;=DATE(2026,12,1)),B2453*60,0)</f>
        <v/>
      </c>
      <c r="J2453" s="13">
        <f>IF(A2453="",0,B2453*(IF(C2453=DATE(2026,11,28),38,0)+IF(C2453=DATE(2026,12,1),38,0)+IF(C2453=DATE(2026,12,2),26,0)))</f>
        <v/>
      </c>
      <c r="K2453" s="13">
        <f>IF(C2453=Options!$B$9,B2453*12,0)</f>
        <v/>
      </c>
      <c r="L2453" s="13">
        <f>IF(C2453=Options!$B$9,B2453*Options!$Z$8,0)</f>
        <v/>
      </c>
      <c r="M2453" s="13" t="n">
        <v>0</v>
      </c>
      <c r="N2453" s="13">
        <f>SUM(E2453:M2453)</f>
        <v/>
      </c>
    </row>
    <row r="2454">
      <c r="A2454" s="5">
        <f>IF(AND(C2454&gt;=Options!$B$9,C2454&lt;=Options!$B$10),"Boston","")</f>
        <v/>
      </c>
      <c r="B2454" s="5">
        <f>IF(A2454="","",18)</f>
        <v/>
      </c>
      <c r="C2454" s="17" t="n">
        <v>46555</v>
      </c>
      <c r="D2454" s="5">
        <f>IF(A2454="","",IF(C2454=DATE(2026,11,29),"培训；注册午餐；早餐参数",IF(C2454=DATE(2026,11,30),"培训；注册午餐",IF(C2454=DATE(2026,12,1),"培训；注册午餐；机构晚餐",IF(C2454=Options!$B$9,"抵达；"&amp;IF(C2454=DATE(2026,11,28),"机构晚餐","无统一供餐"),IF(C2454=Options!$B$10,"返程；"&amp;IF(C2454=DATE(2026,12,2),"机构午餐","无统一供餐"),"差旅状态；无统一日程"))))))</f>
        <v/>
      </c>
      <c r="E2454" s="13">
        <f>IF(C2454=Options!$B$9,Options!$C$20,0)</f>
        <v/>
      </c>
      <c r="F2454" s="13">
        <f>IF(AND(A2454&lt;&gt;"",C2454&lt;Options!$B$10),B2454*Options!$X$8,0)</f>
        <v/>
      </c>
      <c r="G2454" s="13">
        <f>F2454*12%</f>
        <v/>
      </c>
      <c r="H2454" s="13">
        <f>IF(A2454="",0,B2454*(92*IF(OR(C2454=Options!$B$9,C2454=Options!$B$10),75%,100%)-IF(C2454=DATE(2026,11,29),26+IF(Options!$B$8="是",23,0),0)-IF(C2454=DATE(2026,11,30),26,0)-IF(C2454=DATE(2026,12,1),64,0)-IF(C2454=DATE(2026,11,28),38,0)-IF(C2454=DATE(2026,12,2),26,0)))</f>
        <v/>
      </c>
      <c r="I2454" s="13">
        <f>IF(AND(C2454&gt;=DATE(2026,11,29),C2454&lt;=DATE(2026,12,1)),B2454*60,0)</f>
        <v/>
      </c>
      <c r="J2454" s="13">
        <f>IF(A2454="",0,B2454*(IF(C2454=DATE(2026,11,28),38,0)+IF(C2454=DATE(2026,12,1),38,0)+IF(C2454=DATE(2026,12,2),26,0)))</f>
        <v/>
      </c>
      <c r="K2454" s="13">
        <f>IF(C2454=Options!$B$9,B2454*12,0)</f>
        <v/>
      </c>
      <c r="L2454" s="13">
        <f>IF(C2454=Options!$B$9,B2454*Options!$Z$8,0)</f>
        <v/>
      </c>
      <c r="M2454" s="13" t="n">
        <v>0</v>
      </c>
      <c r="N2454" s="13">
        <f>SUM(E2454:M2454)</f>
        <v/>
      </c>
    </row>
    <row r="2455">
      <c r="A2455" s="5">
        <f>IF(AND(C2455&gt;=Options!$B$9,C2455&lt;=Options!$B$10),"Boston","")</f>
        <v/>
      </c>
      <c r="B2455" s="5">
        <f>IF(A2455="","",18)</f>
        <v/>
      </c>
      <c r="C2455" s="17" t="n">
        <v>46556</v>
      </c>
      <c r="D2455" s="5">
        <f>IF(A2455="","",IF(C2455=DATE(2026,11,29),"培训；注册午餐；早餐参数",IF(C2455=DATE(2026,11,30),"培训；注册午餐",IF(C2455=DATE(2026,12,1),"培训；注册午餐；机构晚餐",IF(C2455=Options!$B$9,"抵达；"&amp;IF(C2455=DATE(2026,11,28),"机构晚餐","无统一供餐"),IF(C2455=Options!$B$10,"返程；"&amp;IF(C2455=DATE(2026,12,2),"机构午餐","无统一供餐"),"差旅状态；无统一日程"))))))</f>
        <v/>
      </c>
      <c r="E2455" s="13">
        <f>IF(C2455=Options!$B$9,Options!$C$20,0)</f>
        <v/>
      </c>
      <c r="F2455" s="13">
        <f>IF(AND(A2455&lt;&gt;"",C2455&lt;Options!$B$10),B2455*Options!$X$8,0)</f>
        <v/>
      </c>
      <c r="G2455" s="13">
        <f>F2455*12%</f>
        <v/>
      </c>
      <c r="H2455" s="13">
        <f>IF(A2455="",0,B2455*(92*IF(OR(C2455=Options!$B$9,C2455=Options!$B$10),75%,100%)-IF(C2455=DATE(2026,11,29),26+IF(Options!$B$8="是",23,0),0)-IF(C2455=DATE(2026,11,30),26,0)-IF(C2455=DATE(2026,12,1),64,0)-IF(C2455=DATE(2026,11,28),38,0)-IF(C2455=DATE(2026,12,2),26,0)))</f>
        <v/>
      </c>
      <c r="I2455" s="13">
        <f>IF(AND(C2455&gt;=DATE(2026,11,29),C2455&lt;=DATE(2026,12,1)),B2455*60,0)</f>
        <v/>
      </c>
      <c r="J2455" s="13">
        <f>IF(A2455="",0,B2455*(IF(C2455=DATE(2026,11,28),38,0)+IF(C2455=DATE(2026,12,1),38,0)+IF(C2455=DATE(2026,12,2),26,0)))</f>
        <v/>
      </c>
      <c r="K2455" s="13">
        <f>IF(C2455=Options!$B$9,B2455*12,0)</f>
        <v/>
      </c>
      <c r="L2455" s="13">
        <f>IF(C2455=Options!$B$9,B2455*Options!$Z$8,0)</f>
        <v/>
      </c>
      <c r="M2455" s="13" t="n">
        <v>0</v>
      </c>
      <c r="N2455" s="13">
        <f>SUM(E2455:M2455)</f>
        <v/>
      </c>
    </row>
    <row r="2456">
      <c r="A2456" s="5">
        <f>IF(AND(C2456&gt;=Options!$B$9,C2456&lt;=Options!$B$10),"Boston","")</f>
        <v/>
      </c>
      <c r="B2456" s="5">
        <f>IF(A2456="","",18)</f>
        <v/>
      </c>
      <c r="C2456" s="17" t="n">
        <v>46557</v>
      </c>
      <c r="D2456" s="5">
        <f>IF(A2456="","",IF(C2456=DATE(2026,11,29),"培训；注册午餐；早餐参数",IF(C2456=DATE(2026,11,30),"培训；注册午餐",IF(C2456=DATE(2026,12,1),"培训；注册午餐；机构晚餐",IF(C2456=Options!$B$9,"抵达；"&amp;IF(C2456=DATE(2026,11,28),"机构晚餐","无统一供餐"),IF(C2456=Options!$B$10,"返程；"&amp;IF(C2456=DATE(2026,12,2),"机构午餐","无统一供餐"),"差旅状态；无统一日程"))))))</f>
        <v/>
      </c>
      <c r="E2456" s="13">
        <f>IF(C2456=Options!$B$9,Options!$C$20,0)</f>
        <v/>
      </c>
      <c r="F2456" s="13">
        <f>IF(AND(A2456&lt;&gt;"",C2456&lt;Options!$B$10),B2456*Options!$X$8,0)</f>
        <v/>
      </c>
      <c r="G2456" s="13">
        <f>F2456*12%</f>
        <v/>
      </c>
      <c r="H2456" s="13">
        <f>IF(A2456="",0,B2456*(92*IF(OR(C2456=Options!$B$9,C2456=Options!$B$10),75%,100%)-IF(C2456=DATE(2026,11,29),26+IF(Options!$B$8="是",23,0),0)-IF(C2456=DATE(2026,11,30),26,0)-IF(C2456=DATE(2026,12,1),64,0)-IF(C2456=DATE(2026,11,28),38,0)-IF(C2456=DATE(2026,12,2),26,0)))</f>
        <v/>
      </c>
      <c r="I2456" s="13">
        <f>IF(AND(C2456&gt;=DATE(2026,11,29),C2456&lt;=DATE(2026,12,1)),B2456*60,0)</f>
        <v/>
      </c>
      <c r="J2456" s="13">
        <f>IF(A2456="",0,B2456*(IF(C2456=DATE(2026,11,28),38,0)+IF(C2456=DATE(2026,12,1),38,0)+IF(C2456=DATE(2026,12,2),26,0)))</f>
        <v/>
      </c>
      <c r="K2456" s="13">
        <f>IF(C2456=Options!$B$9,B2456*12,0)</f>
        <v/>
      </c>
      <c r="L2456" s="13">
        <f>IF(C2456=Options!$B$9,B2456*Options!$Z$8,0)</f>
        <v/>
      </c>
      <c r="M2456" s="13" t="n">
        <v>0</v>
      </c>
      <c r="N2456" s="13">
        <f>SUM(E2456:M2456)</f>
        <v/>
      </c>
    </row>
    <row r="2457">
      <c r="A2457" s="5">
        <f>IF(AND(C2457&gt;=Options!$B$9,C2457&lt;=Options!$B$10),"Boston","")</f>
        <v/>
      </c>
      <c r="B2457" s="5">
        <f>IF(A2457="","",18)</f>
        <v/>
      </c>
      <c r="C2457" s="17" t="n">
        <v>46558</v>
      </c>
      <c r="D2457" s="5">
        <f>IF(A2457="","",IF(C2457=DATE(2026,11,29),"培训；注册午餐；早餐参数",IF(C2457=DATE(2026,11,30),"培训；注册午餐",IF(C2457=DATE(2026,12,1),"培训；注册午餐；机构晚餐",IF(C2457=Options!$B$9,"抵达；"&amp;IF(C2457=DATE(2026,11,28),"机构晚餐","无统一供餐"),IF(C2457=Options!$B$10,"返程；"&amp;IF(C2457=DATE(2026,12,2),"机构午餐","无统一供餐"),"差旅状态；无统一日程"))))))</f>
        <v/>
      </c>
      <c r="E2457" s="13">
        <f>IF(C2457=Options!$B$9,Options!$C$20,0)</f>
        <v/>
      </c>
      <c r="F2457" s="13">
        <f>IF(AND(A2457&lt;&gt;"",C2457&lt;Options!$B$10),B2457*Options!$X$8,0)</f>
        <v/>
      </c>
      <c r="G2457" s="13">
        <f>F2457*12%</f>
        <v/>
      </c>
      <c r="H2457" s="13">
        <f>IF(A2457="",0,B2457*(92*IF(OR(C2457=Options!$B$9,C2457=Options!$B$10),75%,100%)-IF(C2457=DATE(2026,11,29),26+IF(Options!$B$8="是",23,0),0)-IF(C2457=DATE(2026,11,30),26,0)-IF(C2457=DATE(2026,12,1),64,0)-IF(C2457=DATE(2026,11,28),38,0)-IF(C2457=DATE(2026,12,2),26,0)))</f>
        <v/>
      </c>
      <c r="I2457" s="13">
        <f>IF(AND(C2457&gt;=DATE(2026,11,29),C2457&lt;=DATE(2026,12,1)),B2457*60,0)</f>
        <v/>
      </c>
      <c r="J2457" s="13">
        <f>IF(A2457="",0,B2457*(IF(C2457=DATE(2026,11,28),38,0)+IF(C2457=DATE(2026,12,1),38,0)+IF(C2457=DATE(2026,12,2),26,0)))</f>
        <v/>
      </c>
      <c r="K2457" s="13">
        <f>IF(C2457=Options!$B$9,B2457*12,0)</f>
        <v/>
      </c>
      <c r="L2457" s="13">
        <f>IF(C2457=Options!$B$9,B2457*Options!$Z$8,0)</f>
        <v/>
      </c>
      <c r="M2457" s="13" t="n">
        <v>0</v>
      </c>
      <c r="N2457" s="13">
        <f>SUM(E2457:M2457)</f>
        <v/>
      </c>
    </row>
    <row r="2458">
      <c r="A2458" s="5">
        <f>IF(AND(C2458&gt;=Options!$B$9,C2458&lt;=Options!$B$10),"Boston","")</f>
        <v/>
      </c>
      <c r="B2458" s="5">
        <f>IF(A2458="","",18)</f>
        <v/>
      </c>
      <c r="C2458" s="17" t="n">
        <v>46559</v>
      </c>
      <c r="D2458" s="5">
        <f>IF(A2458="","",IF(C2458=DATE(2026,11,29),"培训；注册午餐；早餐参数",IF(C2458=DATE(2026,11,30),"培训；注册午餐",IF(C2458=DATE(2026,12,1),"培训；注册午餐；机构晚餐",IF(C2458=Options!$B$9,"抵达；"&amp;IF(C2458=DATE(2026,11,28),"机构晚餐","无统一供餐"),IF(C2458=Options!$B$10,"返程；"&amp;IF(C2458=DATE(2026,12,2),"机构午餐","无统一供餐"),"差旅状态；无统一日程"))))))</f>
        <v/>
      </c>
      <c r="E2458" s="13">
        <f>IF(C2458=Options!$B$9,Options!$C$20,0)</f>
        <v/>
      </c>
      <c r="F2458" s="13">
        <f>IF(AND(A2458&lt;&gt;"",C2458&lt;Options!$B$10),B2458*Options!$X$8,0)</f>
        <v/>
      </c>
      <c r="G2458" s="13">
        <f>F2458*12%</f>
        <v/>
      </c>
      <c r="H2458" s="13">
        <f>IF(A2458="",0,B2458*(92*IF(OR(C2458=Options!$B$9,C2458=Options!$B$10),75%,100%)-IF(C2458=DATE(2026,11,29),26+IF(Options!$B$8="是",23,0),0)-IF(C2458=DATE(2026,11,30),26,0)-IF(C2458=DATE(2026,12,1),64,0)-IF(C2458=DATE(2026,11,28),38,0)-IF(C2458=DATE(2026,12,2),26,0)))</f>
        <v/>
      </c>
      <c r="I2458" s="13">
        <f>IF(AND(C2458&gt;=DATE(2026,11,29),C2458&lt;=DATE(2026,12,1)),B2458*60,0)</f>
        <v/>
      </c>
      <c r="J2458" s="13">
        <f>IF(A2458="",0,B2458*(IF(C2458=DATE(2026,11,28),38,0)+IF(C2458=DATE(2026,12,1),38,0)+IF(C2458=DATE(2026,12,2),26,0)))</f>
        <v/>
      </c>
      <c r="K2458" s="13">
        <f>IF(C2458=Options!$B$9,B2458*12,0)</f>
        <v/>
      </c>
      <c r="L2458" s="13">
        <f>IF(C2458=Options!$B$9,B2458*Options!$Z$8,0)</f>
        <v/>
      </c>
      <c r="M2458" s="13" t="n">
        <v>0</v>
      </c>
      <c r="N2458" s="13">
        <f>SUM(E2458:M2458)</f>
        <v/>
      </c>
    </row>
    <row r="2459">
      <c r="A2459" s="5">
        <f>IF(AND(C2459&gt;=Options!$B$9,C2459&lt;=Options!$B$10),"Boston","")</f>
        <v/>
      </c>
      <c r="B2459" s="5">
        <f>IF(A2459="","",18)</f>
        <v/>
      </c>
      <c r="C2459" s="17" t="n">
        <v>46560</v>
      </c>
      <c r="D2459" s="5">
        <f>IF(A2459="","",IF(C2459=DATE(2026,11,29),"培训；注册午餐；早餐参数",IF(C2459=DATE(2026,11,30),"培训；注册午餐",IF(C2459=DATE(2026,12,1),"培训；注册午餐；机构晚餐",IF(C2459=Options!$B$9,"抵达；"&amp;IF(C2459=DATE(2026,11,28),"机构晚餐","无统一供餐"),IF(C2459=Options!$B$10,"返程；"&amp;IF(C2459=DATE(2026,12,2),"机构午餐","无统一供餐"),"差旅状态；无统一日程"))))))</f>
        <v/>
      </c>
      <c r="E2459" s="13">
        <f>IF(C2459=Options!$B$9,Options!$C$20,0)</f>
        <v/>
      </c>
      <c r="F2459" s="13">
        <f>IF(AND(A2459&lt;&gt;"",C2459&lt;Options!$B$10),B2459*Options!$X$8,0)</f>
        <v/>
      </c>
      <c r="G2459" s="13">
        <f>F2459*12%</f>
        <v/>
      </c>
      <c r="H2459" s="13">
        <f>IF(A2459="",0,B2459*(92*IF(OR(C2459=Options!$B$9,C2459=Options!$B$10),75%,100%)-IF(C2459=DATE(2026,11,29),26+IF(Options!$B$8="是",23,0),0)-IF(C2459=DATE(2026,11,30),26,0)-IF(C2459=DATE(2026,12,1),64,0)-IF(C2459=DATE(2026,11,28),38,0)-IF(C2459=DATE(2026,12,2),26,0)))</f>
        <v/>
      </c>
      <c r="I2459" s="13">
        <f>IF(AND(C2459&gt;=DATE(2026,11,29),C2459&lt;=DATE(2026,12,1)),B2459*60,0)</f>
        <v/>
      </c>
      <c r="J2459" s="13">
        <f>IF(A2459="",0,B2459*(IF(C2459=DATE(2026,11,28),38,0)+IF(C2459=DATE(2026,12,1),38,0)+IF(C2459=DATE(2026,12,2),26,0)))</f>
        <v/>
      </c>
      <c r="K2459" s="13">
        <f>IF(C2459=Options!$B$9,B2459*12,0)</f>
        <v/>
      </c>
      <c r="L2459" s="13">
        <f>IF(C2459=Options!$B$9,B2459*Options!$Z$8,0)</f>
        <v/>
      </c>
      <c r="M2459" s="13" t="n">
        <v>0</v>
      </c>
      <c r="N2459" s="13">
        <f>SUM(E2459:M2459)</f>
        <v/>
      </c>
    </row>
    <row r="2460">
      <c r="A2460" s="5">
        <f>IF(AND(C2460&gt;=Options!$B$9,C2460&lt;=Options!$B$10),"Boston","")</f>
        <v/>
      </c>
      <c r="B2460" s="5">
        <f>IF(A2460="","",18)</f>
        <v/>
      </c>
      <c r="C2460" s="17" t="n">
        <v>46561</v>
      </c>
      <c r="D2460" s="5">
        <f>IF(A2460="","",IF(C2460=DATE(2026,11,29),"培训；注册午餐；早餐参数",IF(C2460=DATE(2026,11,30),"培训；注册午餐",IF(C2460=DATE(2026,12,1),"培训；注册午餐；机构晚餐",IF(C2460=Options!$B$9,"抵达；"&amp;IF(C2460=DATE(2026,11,28),"机构晚餐","无统一供餐"),IF(C2460=Options!$B$10,"返程；"&amp;IF(C2460=DATE(2026,12,2),"机构午餐","无统一供餐"),"差旅状态；无统一日程"))))))</f>
        <v/>
      </c>
      <c r="E2460" s="13">
        <f>IF(C2460=Options!$B$9,Options!$C$20,0)</f>
        <v/>
      </c>
      <c r="F2460" s="13">
        <f>IF(AND(A2460&lt;&gt;"",C2460&lt;Options!$B$10),B2460*Options!$X$8,0)</f>
        <v/>
      </c>
      <c r="G2460" s="13">
        <f>F2460*12%</f>
        <v/>
      </c>
      <c r="H2460" s="13">
        <f>IF(A2460="",0,B2460*(92*IF(OR(C2460=Options!$B$9,C2460=Options!$B$10),75%,100%)-IF(C2460=DATE(2026,11,29),26+IF(Options!$B$8="是",23,0),0)-IF(C2460=DATE(2026,11,30),26,0)-IF(C2460=DATE(2026,12,1),64,0)-IF(C2460=DATE(2026,11,28),38,0)-IF(C2460=DATE(2026,12,2),26,0)))</f>
        <v/>
      </c>
      <c r="I2460" s="13">
        <f>IF(AND(C2460&gt;=DATE(2026,11,29),C2460&lt;=DATE(2026,12,1)),B2460*60,0)</f>
        <v/>
      </c>
      <c r="J2460" s="13">
        <f>IF(A2460="",0,B2460*(IF(C2460=DATE(2026,11,28),38,0)+IF(C2460=DATE(2026,12,1),38,0)+IF(C2460=DATE(2026,12,2),26,0)))</f>
        <v/>
      </c>
      <c r="K2460" s="13">
        <f>IF(C2460=Options!$B$9,B2460*12,0)</f>
        <v/>
      </c>
      <c r="L2460" s="13">
        <f>IF(C2460=Options!$B$9,B2460*Options!$Z$8,0)</f>
        <v/>
      </c>
      <c r="M2460" s="13" t="n">
        <v>0</v>
      </c>
      <c r="N2460" s="13">
        <f>SUM(E2460:M2460)</f>
        <v/>
      </c>
    </row>
    <row r="2461">
      <c r="A2461" s="5">
        <f>IF(AND(C2461&gt;=Options!$B$9,C2461&lt;=Options!$B$10),"Boston","")</f>
        <v/>
      </c>
      <c r="B2461" s="5">
        <f>IF(A2461="","",18)</f>
        <v/>
      </c>
      <c r="C2461" s="17" t="n">
        <v>46562</v>
      </c>
      <c r="D2461" s="5">
        <f>IF(A2461="","",IF(C2461=DATE(2026,11,29),"培训；注册午餐；早餐参数",IF(C2461=DATE(2026,11,30),"培训；注册午餐",IF(C2461=DATE(2026,12,1),"培训；注册午餐；机构晚餐",IF(C2461=Options!$B$9,"抵达；"&amp;IF(C2461=DATE(2026,11,28),"机构晚餐","无统一供餐"),IF(C2461=Options!$B$10,"返程；"&amp;IF(C2461=DATE(2026,12,2),"机构午餐","无统一供餐"),"差旅状态；无统一日程"))))))</f>
        <v/>
      </c>
      <c r="E2461" s="13">
        <f>IF(C2461=Options!$B$9,Options!$C$20,0)</f>
        <v/>
      </c>
      <c r="F2461" s="13">
        <f>IF(AND(A2461&lt;&gt;"",C2461&lt;Options!$B$10),B2461*Options!$X$8,0)</f>
        <v/>
      </c>
      <c r="G2461" s="13">
        <f>F2461*12%</f>
        <v/>
      </c>
      <c r="H2461" s="13">
        <f>IF(A2461="",0,B2461*(92*IF(OR(C2461=Options!$B$9,C2461=Options!$B$10),75%,100%)-IF(C2461=DATE(2026,11,29),26+IF(Options!$B$8="是",23,0),0)-IF(C2461=DATE(2026,11,30),26,0)-IF(C2461=DATE(2026,12,1),64,0)-IF(C2461=DATE(2026,11,28),38,0)-IF(C2461=DATE(2026,12,2),26,0)))</f>
        <v/>
      </c>
      <c r="I2461" s="13">
        <f>IF(AND(C2461&gt;=DATE(2026,11,29),C2461&lt;=DATE(2026,12,1)),B2461*60,0)</f>
        <v/>
      </c>
      <c r="J2461" s="13">
        <f>IF(A2461="",0,B2461*(IF(C2461=DATE(2026,11,28),38,0)+IF(C2461=DATE(2026,12,1),38,0)+IF(C2461=DATE(2026,12,2),26,0)))</f>
        <v/>
      </c>
      <c r="K2461" s="13">
        <f>IF(C2461=Options!$B$9,B2461*12,0)</f>
        <v/>
      </c>
      <c r="L2461" s="13">
        <f>IF(C2461=Options!$B$9,B2461*Options!$Z$8,0)</f>
        <v/>
      </c>
      <c r="M2461" s="13" t="n">
        <v>0</v>
      </c>
      <c r="N2461" s="13">
        <f>SUM(E2461:M2461)</f>
        <v/>
      </c>
    </row>
    <row r="2462">
      <c r="A2462" s="5">
        <f>IF(AND(C2462&gt;=Options!$B$9,C2462&lt;=Options!$B$10),"Boston","")</f>
        <v/>
      </c>
      <c r="B2462" s="5">
        <f>IF(A2462="","",18)</f>
        <v/>
      </c>
      <c r="C2462" s="17" t="n">
        <v>46563</v>
      </c>
      <c r="D2462" s="5">
        <f>IF(A2462="","",IF(C2462=DATE(2026,11,29),"培训；注册午餐；早餐参数",IF(C2462=DATE(2026,11,30),"培训；注册午餐",IF(C2462=DATE(2026,12,1),"培训；注册午餐；机构晚餐",IF(C2462=Options!$B$9,"抵达；"&amp;IF(C2462=DATE(2026,11,28),"机构晚餐","无统一供餐"),IF(C2462=Options!$B$10,"返程；"&amp;IF(C2462=DATE(2026,12,2),"机构午餐","无统一供餐"),"差旅状态；无统一日程"))))))</f>
        <v/>
      </c>
      <c r="E2462" s="13">
        <f>IF(C2462=Options!$B$9,Options!$C$20,0)</f>
        <v/>
      </c>
      <c r="F2462" s="13">
        <f>IF(AND(A2462&lt;&gt;"",C2462&lt;Options!$B$10),B2462*Options!$X$8,0)</f>
        <v/>
      </c>
      <c r="G2462" s="13">
        <f>F2462*12%</f>
        <v/>
      </c>
      <c r="H2462" s="13">
        <f>IF(A2462="",0,B2462*(92*IF(OR(C2462=Options!$B$9,C2462=Options!$B$10),75%,100%)-IF(C2462=DATE(2026,11,29),26+IF(Options!$B$8="是",23,0),0)-IF(C2462=DATE(2026,11,30),26,0)-IF(C2462=DATE(2026,12,1),64,0)-IF(C2462=DATE(2026,11,28),38,0)-IF(C2462=DATE(2026,12,2),26,0)))</f>
        <v/>
      </c>
      <c r="I2462" s="13">
        <f>IF(AND(C2462&gt;=DATE(2026,11,29),C2462&lt;=DATE(2026,12,1)),B2462*60,0)</f>
        <v/>
      </c>
      <c r="J2462" s="13">
        <f>IF(A2462="",0,B2462*(IF(C2462=DATE(2026,11,28),38,0)+IF(C2462=DATE(2026,12,1),38,0)+IF(C2462=DATE(2026,12,2),26,0)))</f>
        <v/>
      </c>
      <c r="K2462" s="13">
        <f>IF(C2462=Options!$B$9,B2462*12,0)</f>
        <v/>
      </c>
      <c r="L2462" s="13">
        <f>IF(C2462=Options!$B$9,B2462*Options!$Z$8,0)</f>
        <v/>
      </c>
      <c r="M2462" s="13" t="n">
        <v>0</v>
      </c>
      <c r="N2462" s="13">
        <f>SUM(E2462:M2462)</f>
        <v/>
      </c>
    </row>
    <row r="2463">
      <c r="A2463" s="5">
        <f>IF(AND(C2463&gt;=Options!$B$9,C2463&lt;=Options!$B$10),"Boston","")</f>
        <v/>
      </c>
      <c r="B2463" s="5">
        <f>IF(A2463="","",18)</f>
        <v/>
      </c>
      <c r="C2463" s="17" t="n">
        <v>46564</v>
      </c>
      <c r="D2463" s="5">
        <f>IF(A2463="","",IF(C2463=DATE(2026,11,29),"培训；注册午餐；早餐参数",IF(C2463=DATE(2026,11,30),"培训；注册午餐",IF(C2463=DATE(2026,12,1),"培训；注册午餐；机构晚餐",IF(C2463=Options!$B$9,"抵达；"&amp;IF(C2463=DATE(2026,11,28),"机构晚餐","无统一供餐"),IF(C2463=Options!$B$10,"返程；"&amp;IF(C2463=DATE(2026,12,2),"机构午餐","无统一供餐"),"差旅状态；无统一日程"))))))</f>
        <v/>
      </c>
      <c r="E2463" s="13">
        <f>IF(C2463=Options!$B$9,Options!$C$20,0)</f>
        <v/>
      </c>
      <c r="F2463" s="13">
        <f>IF(AND(A2463&lt;&gt;"",C2463&lt;Options!$B$10),B2463*Options!$X$8,0)</f>
        <v/>
      </c>
      <c r="G2463" s="13">
        <f>F2463*12%</f>
        <v/>
      </c>
      <c r="H2463" s="13">
        <f>IF(A2463="",0,B2463*(92*IF(OR(C2463=Options!$B$9,C2463=Options!$B$10),75%,100%)-IF(C2463=DATE(2026,11,29),26+IF(Options!$B$8="是",23,0),0)-IF(C2463=DATE(2026,11,30),26,0)-IF(C2463=DATE(2026,12,1),64,0)-IF(C2463=DATE(2026,11,28),38,0)-IF(C2463=DATE(2026,12,2),26,0)))</f>
        <v/>
      </c>
      <c r="I2463" s="13">
        <f>IF(AND(C2463&gt;=DATE(2026,11,29),C2463&lt;=DATE(2026,12,1)),B2463*60,0)</f>
        <v/>
      </c>
      <c r="J2463" s="13">
        <f>IF(A2463="",0,B2463*(IF(C2463=DATE(2026,11,28),38,0)+IF(C2463=DATE(2026,12,1),38,0)+IF(C2463=DATE(2026,12,2),26,0)))</f>
        <v/>
      </c>
      <c r="K2463" s="13">
        <f>IF(C2463=Options!$B$9,B2463*12,0)</f>
        <v/>
      </c>
      <c r="L2463" s="13">
        <f>IF(C2463=Options!$B$9,B2463*Options!$Z$8,0)</f>
        <v/>
      </c>
      <c r="M2463" s="13" t="n">
        <v>0</v>
      </c>
      <c r="N2463" s="13">
        <f>SUM(E2463:M2463)</f>
        <v/>
      </c>
    </row>
    <row r="2464">
      <c r="A2464" s="5">
        <f>IF(AND(C2464&gt;=Options!$B$9,C2464&lt;=Options!$B$10),"Boston","")</f>
        <v/>
      </c>
      <c r="B2464" s="5">
        <f>IF(A2464="","",18)</f>
        <v/>
      </c>
      <c r="C2464" s="17" t="n">
        <v>46565</v>
      </c>
      <c r="D2464" s="5">
        <f>IF(A2464="","",IF(C2464=DATE(2026,11,29),"培训；注册午餐；早餐参数",IF(C2464=DATE(2026,11,30),"培训；注册午餐",IF(C2464=DATE(2026,12,1),"培训；注册午餐；机构晚餐",IF(C2464=Options!$B$9,"抵达；"&amp;IF(C2464=DATE(2026,11,28),"机构晚餐","无统一供餐"),IF(C2464=Options!$B$10,"返程；"&amp;IF(C2464=DATE(2026,12,2),"机构午餐","无统一供餐"),"差旅状态；无统一日程"))))))</f>
        <v/>
      </c>
      <c r="E2464" s="13">
        <f>IF(C2464=Options!$B$9,Options!$C$20,0)</f>
        <v/>
      </c>
      <c r="F2464" s="13">
        <f>IF(AND(A2464&lt;&gt;"",C2464&lt;Options!$B$10),B2464*Options!$X$8,0)</f>
        <v/>
      </c>
      <c r="G2464" s="13">
        <f>F2464*12%</f>
        <v/>
      </c>
      <c r="H2464" s="13">
        <f>IF(A2464="",0,B2464*(92*IF(OR(C2464=Options!$B$9,C2464=Options!$B$10),75%,100%)-IF(C2464=DATE(2026,11,29),26+IF(Options!$B$8="是",23,0),0)-IF(C2464=DATE(2026,11,30),26,0)-IF(C2464=DATE(2026,12,1),64,0)-IF(C2464=DATE(2026,11,28),38,0)-IF(C2464=DATE(2026,12,2),26,0)))</f>
        <v/>
      </c>
      <c r="I2464" s="13">
        <f>IF(AND(C2464&gt;=DATE(2026,11,29),C2464&lt;=DATE(2026,12,1)),B2464*60,0)</f>
        <v/>
      </c>
      <c r="J2464" s="13">
        <f>IF(A2464="",0,B2464*(IF(C2464=DATE(2026,11,28),38,0)+IF(C2464=DATE(2026,12,1),38,0)+IF(C2464=DATE(2026,12,2),26,0)))</f>
        <v/>
      </c>
      <c r="K2464" s="13">
        <f>IF(C2464=Options!$B$9,B2464*12,0)</f>
        <v/>
      </c>
      <c r="L2464" s="13">
        <f>IF(C2464=Options!$B$9,B2464*Options!$Z$8,0)</f>
        <v/>
      </c>
      <c r="M2464" s="13" t="n">
        <v>0</v>
      </c>
      <c r="N2464" s="13">
        <f>SUM(E2464:M2464)</f>
        <v/>
      </c>
    </row>
    <row r="2465">
      <c r="A2465" s="5">
        <f>IF(AND(C2465&gt;=Options!$B$9,C2465&lt;=Options!$B$10),"Boston","")</f>
        <v/>
      </c>
      <c r="B2465" s="5">
        <f>IF(A2465="","",18)</f>
        <v/>
      </c>
      <c r="C2465" s="17" t="n">
        <v>46566</v>
      </c>
      <c r="D2465" s="5">
        <f>IF(A2465="","",IF(C2465=DATE(2026,11,29),"培训；注册午餐；早餐参数",IF(C2465=DATE(2026,11,30),"培训；注册午餐",IF(C2465=DATE(2026,12,1),"培训；注册午餐；机构晚餐",IF(C2465=Options!$B$9,"抵达；"&amp;IF(C2465=DATE(2026,11,28),"机构晚餐","无统一供餐"),IF(C2465=Options!$B$10,"返程；"&amp;IF(C2465=DATE(2026,12,2),"机构午餐","无统一供餐"),"差旅状态；无统一日程"))))))</f>
        <v/>
      </c>
      <c r="E2465" s="13">
        <f>IF(C2465=Options!$B$9,Options!$C$20,0)</f>
        <v/>
      </c>
      <c r="F2465" s="13">
        <f>IF(AND(A2465&lt;&gt;"",C2465&lt;Options!$B$10),B2465*Options!$X$8,0)</f>
        <v/>
      </c>
      <c r="G2465" s="13">
        <f>F2465*12%</f>
        <v/>
      </c>
      <c r="H2465" s="13">
        <f>IF(A2465="",0,B2465*(92*IF(OR(C2465=Options!$B$9,C2465=Options!$B$10),75%,100%)-IF(C2465=DATE(2026,11,29),26+IF(Options!$B$8="是",23,0),0)-IF(C2465=DATE(2026,11,30),26,0)-IF(C2465=DATE(2026,12,1),64,0)-IF(C2465=DATE(2026,11,28),38,0)-IF(C2465=DATE(2026,12,2),26,0)))</f>
        <v/>
      </c>
      <c r="I2465" s="13">
        <f>IF(AND(C2465&gt;=DATE(2026,11,29),C2465&lt;=DATE(2026,12,1)),B2465*60,0)</f>
        <v/>
      </c>
      <c r="J2465" s="13">
        <f>IF(A2465="",0,B2465*(IF(C2465=DATE(2026,11,28),38,0)+IF(C2465=DATE(2026,12,1),38,0)+IF(C2465=DATE(2026,12,2),26,0)))</f>
        <v/>
      </c>
      <c r="K2465" s="13">
        <f>IF(C2465=Options!$B$9,B2465*12,0)</f>
        <v/>
      </c>
      <c r="L2465" s="13">
        <f>IF(C2465=Options!$B$9,B2465*Options!$Z$8,0)</f>
        <v/>
      </c>
      <c r="M2465" s="13" t="n">
        <v>0</v>
      </c>
      <c r="N2465" s="13">
        <f>SUM(E2465:M2465)</f>
        <v/>
      </c>
    </row>
    <row r="2466">
      <c r="A2466" s="5">
        <f>IF(AND(C2466&gt;=Options!$B$9,C2466&lt;=Options!$B$10),"Boston","")</f>
        <v/>
      </c>
      <c r="B2466" s="5">
        <f>IF(A2466="","",18)</f>
        <v/>
      </c>
      <c r="C2466" s="17" t="n">
        <v>46567</v>
      </c>
      <c r="D2466" s="5">
        <f>IF(A2466="","",IF(C2466=DATE(2026,11,29),"培训；注册午餐；早餐参数",IF(C2466=DATE(2026,11,30),"培训；注册午餐",IF(C2466=DATE(2026,12,1),"培训；注册午餐；机构晚餐",IF(C2466=Options!$B$9,"抵达；"&amp;IF(C2466=DATE(2026,11,28),"机构晚餐","无统一供餐"),IF(C2466=Options!$B$10,"返程；"&amp;IF(C2466=DATE(2026,12,2),"机构午餐","无统一供餐"),"差旅状态；无统一日程"))))))</f>
        <v/>
      </c>
      <c r="E2466" s="13">
        <f>IF(C2466=Options!$B$9,Options!$C$20,0)</f>
        <v/>
      </c>
      <c r="F2466" s="13">
        <f>IF(AND(A2466&lt;&gt;"",C2466&lt;Options!$B$10),B2466*Options!$X$8,0)</f>
        <v/>
      </c>
      <c r="G2466" s="13">
        <f>F2466*12%</f>
        <v/>
      </c>
      <c r="H2466" s="13">
        <f>IF(A2466="",0,B2466*(92*IF(OR(C2466=Options!$B$9,C2466=Options!$B$10),75%,100%)-IF(C2466=DATE(2026,11,29),26+IF(Options!$B$8="是",23,0),0)-IF(C2466=DATE(2026,11,30),26,0)-IF(C2466=DATE(2026,12,1),64,0)-IF(C2466=DATE(2026,11,28),38,0)-IF(C2466=DATE(2026,12,2),26,0)))</f>
        <v/>
      </c>
      <c r="I2466" s="13">
        <f>IF(AND(C2466&gt;=DATE(2026,11,29),C2466&lt;=DATE(2026,12,1)),B2466*60,0)</f>
        <v/>
      </c>
      <c r="J2466" s="13">
        <f>IF(A2466="",0,B2466*(IF(C2466=DATE(2026,11,28),38,0)+IF(C2466=DATE(2026,12,1),38,0)+IF(C2466=DATE(2026,12,2),26,0)))</f>
        <v/>
      </c>
      <c r="K2466" s="13">
        <f>IF(C2466=Options!$B$9,B2466*12,0)</f>
        <v/>
      </c>
      <c r="L2466" s="13">
        <f>IF(C2466=Options!$B$9,B2466*Options!$Z$8,0)</f>
        <v/>
      </c>
      <c r="M2466" s="13" t="n">
        <v>0</v>
      </c>
      <c r="N2466" s="13">
        <f>SUM(E2466:M2466)</f>
        <v/>
      </c>
    </row>
    <row r="2467">
      <c r="A2467" s="5">
        <f>IF(AND(C2467&gt;=Options!$B$9,C2467&lt;=Options!$B$10),"Boston","")</f>
        <v/>
      </c>
      <c r="B2467" s="5">
        <f>IF(A2467="","",18)</f>
        <v/>
      </c>
      <c r="C2467" s="17" t="n">
        <v>46568</v>
      </c>
      <c r="D2467" s="5">
        <f>IF(A2467="","",IF(C2467=DATE(2026,11,29),"培训；注册午餐；早餐参数",IF(C2467=DATE(2026,11,30),"培训；注册午餐",IF(C2467=DATE(2026,12,1),"培训；注册午餐；机构晚餐",IF(C2467=Options!$B$9,"抵达；"&amp;IF(C2467=DATE(2026,11,28),"机构晚餐","无统一供餐"),IF(C2467=Options!$B$10,"返程；"&amp;IF(C2467=DATE(2026,12,2),"机构午餐","无统一供餐"),"差旅状态；无统一日程"))))))</f>
        <v/>
      </c>
      <c r="E2467" s="13">
        <f>IF(C2467=Options!$B$9,Options!$C$20,0)</f>
        <v/>
      </c>
      <c r="F2467" s="13">
        <f>IF(AND(A2467&lt;&gt;"",C2467&lt;Options!$B$10),B2467*Options!$X$8,0)</f>
        <v/>
      </c>
      <c r="G2467" s="13">
        <f>F2467*12%</f>
        <v/>
      </c>
      <c r="H2467" s="13">
        <f>IF(A2467="",0,B2467*(92*IF(OR(C2467=Options!$B$9,C2467=Options!$B$10),75%,100%)-IF(C2467=DATE(2026,11,29),26+IF(Options!$B$8="是",23,0),0)-IF(C2467=DATE(2026,11,30),26,0)-IF(C2467=DATE(2026,12,1),64,0)-IF(C2467=DATE(2026,11,28),38,0)-IF(C2467=DATE(2026,12,2),26,0)))</f>
        <v/>
      </c>
      <c r="I2467" s="13">
        <f>IF(AND(C2467&gt;=DATE(2026,11,29),C2467&lt;=DATE(2026,12,1)),B2467*60,0)</f>
        <v/>
      </c>
      <c r="J2467" s="13">
        <f>IF(A2467="",0,B2467*(IF(C2467=DATE(2026,11,28),38,0)+IF(C2467=DATE(2026,12,1),38,0)+IF(C2467=DATE(2026,12,2),26,0)))</f>
        <v/>
      </c>
      <c r="K2467" s="13">
        <f>IF(C2467=Options!$B$9,B2467*12,0)</f>
        <v/>
      </c>
      <c r="L2467" s="13">
        <f>IF(C2467=Options!$B$9,B2467*Options!$Z$8,0)</f>
        <v/>
      </c>
      <c r="M2467" s="13" t="n">
        <v>0</v>
      </c>
      <c r="N2467" s="13">
        <f>SUM(E2467:M2467)</f>
        <v/>
      </c>
    </row>
    <row r="2468">
      <c r="A2468" s="5">
        <f>IF(AND(C2468&gt;=Options!$B$9,C2468&lt;=Options!$B$10),"Boston","")</f>
        <v/>
      </c>
      <c r="B2468" s="5">
        <f>IF(A2468="","",18)</f>
        <v/>
      </c>
      <c r="C2468" s="17" t="n">
        <v>46569</v>
      </c>
      <c r="D2468" s="5">
        <f>IF(A2468="","",IF(C2468=DATE(2026,11,29),"培训；注册午餐；早餐参数",IF(C2468=DATE(2026,11,30),"培训；注册午餐",IF(C2468=DATE(2026,12,1),"培训；注册午餐；机构晚餐",IF(C2468=Options!$B$9,"抵达；"&amp;IF(C2468=DATE(2026,11,28),"机构晚餐","无统一供餐"),IF(C2468=Options!$B$10,"返程；"&amp;IF(C2468=DATE(2026,12,2),"机构午餐","无统一供餐"),"差旅状态；无统一日程"))))))</f>
        <v/>
      </c>
      <c r="E2468" s="13">
        <f>IF(C2468=Options!$B$9,Options!$C$20,0)</f>
        <v/>
      </c>
      <c r="F2468" s="13">
        <f>IF(AND(A2468&lt;&gt;"",C2468&lt;Options!$B$10),B2468*Options!$X$8,0)</f>
        <v/>
      </c>
      <c r="G2468" s="13">
        <f>F2468*12%</f>
        <v/>
      </c>
      <c r="H2468" s="13">
        <f>IF(A2468="",0,B2468*(92*IF(OR(C2468=Options!$B$9,C2468=Options!$B$10),75%,100%)-IF(C2468=DATE(2026,11,29),26+IF(Options!$B$8="是",23,0),0)-IF(C2468=DATE(2026,11,30),26,0)-IF(C2468=DATE(2026,12,1),64,0)-IF(C2468=DATE(2026,11,28),38,0)-IF(C2468=DATE(2026,12,2),26,0)))</f>
        <v/>
      </c>
      <c r="I2468" s="13">
        <f>IF(AND(C2468&gt;=DATE(2026,11,29),C2468&lt;=DATE(2026,12,1)),B2468*60,0)</f>
        <v/>
      </c>
      <c r="J2468" s="13">
        <f>IF(A2468="",0,B2468*(IF(C2468=DATE(2026,11,28),38,0)+IF(C2468=DATE(2026,12,1),38,0)+IF(C2468=DATE(2026,12,2),26,0)))</f>
        <v/>
      </c>
      <c r="K2468" s="13">
        <f>IF(C2468=Options!$B$9,B2468*12,0)</f>
        <v/>
      </c>
      <c r="L2468" s="13">
        <f>IF(C2468=Options!$B$9,B2468*Options!$Z$8,0)</f>
        <v/>
      </c>
      <c r="M2468" s="13" t="n">
        <v>0</v>
      </c>
      <c r="N2468" s="13">
        <f>SUM(E2468:M2468)</f>
        <v/>
      </c>
    </row>
    <row r="2469">
      <c r="A2469" s="5">
        <f>IF(AND(C2469&gt;=Options!$B$9,C2469&lt;=Options!$B$10),"Boston","")</f>
        <v/>
      </c>
      <c r="B2469" s="5">
        <f>IF(A2469="","",18)</f>
        <v/>
      </c>
      <c r="C2469" s="17" t="n">
        <v>46570</v>
      </c>
      <c r="D2469" s="5">
        <f>IF(A2469="","",IF(C2469=DATE(2026,11,29),"培训；注册午餐；早餐参数",IF(C2469=DATE(2026,11,30),"培训；注册午餐",IF(C2469=DATE(2026,12,1),"培训；注册午餐；机构晚餐",IF(C2469=Options!$B$9,"抵达；"&amp;IF(C2469=DATE(2026,11,28),"机构晚餐","无统一供餐"),IF(C2469=Options!$B$10,"返程；"&amp;IF(C2469=DATE(2026,12,2),"机构午餐","无统一供餐"),"差旅状态；无统一日程"))))))</f>
        <v/>
      </c>
      <c r="E2469" s="13">
        <f>IF(C2469=Options!$B$9,Options!$C$20,0)</f>
        <v/>
      </c>
      <c r="F2469" s="13">
        <f>IF(AND(A2469&lt;&gt;"",C2469&lt;Options!$B$10),B2469*Options!$X$8,0)</f>
        <v/>
      </c>
      <c r="G2469" s="13">
        <f>F2469*12%</f>
        <v/>
      </c>
      <c r="H2469" s="13">
        <f>IF(A2469="",0,B2469*(92*IF(OR(C2469=Options!$B$9,C2469=Options!$B$10),75%,100%)-IF(C2469=DATE(2026,11,29),26+IF(Options!$B$8="是",23,0),0)-IF(C2469=DATE(2026,11,30),26,0)-IF(C2469=DATE(2026,12,1),64,0)-IF(C2469=DATE(2026,11,28),38,0)-IF(C2469=DATE(2026,12,2),26,0)))</f>
        <v/>
      </c>
      <c r="I2469" s="13">
        <f>IF(AND(C2469&gt;=DATE(2026,11,29),C2469&lt;=DATE(2026,12,1)),B2469*60,0)</f>
        <v/>
      </c>
      <c r="J2469" s="13">
        <f>IF(A2469="",0,B2469*(IF(C2469=DATE(2026,11,28),38,0)+IF(C2469=DATE(2026,12,1),38,0)+IF(C2469=DATE(2026,12,2),26,0)))</f>
        <v/>
      </c>
      <c r="K2469" s="13">
        <f>IF(C2469=Options!$B$9,B2469*12,0)</f>
        <v/>
      </c>
      <c r="L2469" s="13">
        <f>IF(C2469=Options!$B$9,B2469*Options!$Z$8,0)</f>
        <v/>
      </c>
      <c r="M2469" s="13" t="n">
        <v>0</v>
      </c>
      <c r="N2469" s="13">
        <f>SUM(E2469:M2469)</f>
        <v/>
      </c>
    </row>
    <row r="2470">
      <c r="A2470" s="5">
        <f>IF(AND(C2470&gt;=Options!$B$9,C2470&lt;=Options!$B$10),"Boston","")</f>
        <v/>
      </c>
      <c r="B2470" s="5">
        <f>IF(A2470="","",18)</f>
        <v/>
      </c>
      <c r="C2470" s="17" t="n">
        <v>46571</v>
      </c>
      <c r="D2470" s="5">
        <f>IF(A2470="","",IF(C2470=DATE(2026,11,29),"培训；注册午餐；早餐参数",IF(C2470=DATE(2026,11,30),"培训；注册午餐",IF(C2470=DATE(2026,12,1),"培训；注册午餐；机构晚餐",IF(C2470=Options!$B$9,"抵达；"&amp;IF(C2470=DATE(2026,11,28),"机构晚餐","无统一供餐"),IF(C2470=Options!$B$10,"返程；"&amp;IF(C2470=DATE(2026,12,2),"机构午餐","无统一供餐"),"差旅状态；无统一日程"))))))</f>
        <v/>
      </c>
      <c r="E2470" s="13">
        <f>IF(C2470=Options!$B$9,Options!$C$20,0)</f>
        <v/>
      </c>
      <c r="F2470" s="13">
        <f>IF(AND(A2470&lt;&gt;"",C2470&lt;Options!$B$10),B2470*Options!$X$8,0)</f>
        <v/>
      </c>
      <c r="G2470" s="13">
        <f>F2470*12%</f>
        <v/>
      </c>
      <c r="H2470" s="13">
        <f>IF(A2470="",0,B2470*(92*IF(OR(C2470=Options!$B$9,C2470=Options!$B$10),75%,100%)-IF(C2470=DATE(2026,11,29),26+IF(Options!$B$8="是",23,0),0)-IF(C2470=DATE(2026,11,30),26,0)-IF(C2470=DATE(2026,12,1),64,0)-IF(C2470=DATE(2026,11,28),38,0)-IF(C2470=DATE(2026,12,2),26,0)))</f>
        <v/>
      </c>
      <c r="I2470" s="13">
        <f>IF(AND(C2470&gt;=DATE(2026,11,29),C2470&lt;=DATE(2026,12,1)),B2470*60,0)</f>
        <v/>
      </c>
      <c r="J2470" s="13">
        <f>IF(A2470="",0,B2470*(IF(C2470=DATE(2026,11,28),38,0)+IF(C2470=DATE(2026,12,1),38,0)+IF(C2470=DATE(2026,12,2),26,0)))</f>
        <v/>
      </c>
      <c r="K2470" s="13">
        <f>IF(C2470=Options!$B$9,B2470*12,0)</f>
        <v/>
      </c>
      <c r="L2470" s="13">
        <f>IF(C2470=Options!$B$9,B2470*Options!$Z$8,0)</f>
        <v/>
      </c>
      <c r="M2470" s="13" t="n">
        <v>0</v>
      </c>
      <c r="N2470" s="13">
        <f>SUM(E2470:M2470)</f>
        <v/>
      </c>
    </row>
    <row r="2471">
      <c r="A2471" s="5">
        <f>IF(AND(C2471&gt;=Options!$B$9,C2471&lt;=Options!$B$10),"Boston","")</f>
        <v/>
      </c>
      <c r="B2471" s="5">
        <f>IF(A2471="","",18)</f>
        <v/>
      </c>
      <c r="C2471" s="17" t="n">
        <v>46572</v>
      </c>
      <c r="D2471" s="5">
        <f>IF(A2471="","",IF(C2471=DATE(2026,11,29),"培训；注册午餐；早餐参数",IF(C2471=DATE(2026,11,30),"培训；注册午餐",IF(C2471=DATE(2026,12,1),"培训；注册午餐；机构晚餐",IF(C2471=Options!$B$9,"抵达；"&amp;IF(C2471=DATE(2026,11,28),"机构晚餐","无统一供餐"),IF(C2471=Options!$B$10,"返程；"&amp;IF(C2471=DATE(2026,12,2),"机构午餐","无统一供餐"),"差旅状态；无统一日程"))))))</f>
        <v/>
      </c>
      <c r="E2471" s="13">
        <f>IF(C2471=Options!$B$9,Options!$C$20,0)</f>
        <v/>
      </c>
      <c r="F2471" s="13">
        <f>IF(AND(A2471&lt;&gt;"",C2471&lt;Options!$B$10),B2471*Options!$X$8,0)</f>
        <v/>
      </c>
      <c r="G2471" s="13">
        <f>F2471*12%</f>
        <v/>
      </c>
      <c r="H2471" s="13">
        <f>IF(A2471="",0,B2471*(92*IF(OR(C2471=Options!$B$9,C2471=Options!$B$10),75%,100%)-IF(C2471=DATE(2026,11,29),26+IF(Options!$B$8="是",23,0),0)-IF(C2471=DATE(2026,11,30),26,0)-IF(C2471=DATE(2026,12,1),64,0)-IF(C2471=DATE(2026,11,28),38,0)-IF(C2471=DATE(2026,12,2),26,0)))</f>
        <v/>
      </c>
      <c r="I2471" s="13">
        <f>IF(AND(C2471&gt;=DATE(2026,11,29),C2471&lt;=DATE(2026,12,1)),B2471*60,0)</f>
        <v/>
      </c>
      <c r="J2471" s="13">
        <f>IF(A2471="",0,B2471*(IF(C2471=DATE(2026,11,28),38,0)+IF(C2471=DATE(2026,12,1),38,0)+IF(C2471=DATE(2026,12,2),26,0)))</f>
        <v/>
      </c>
      <c r="K2471" s="13">
        <f>IF(C2471=Options!$B$9,B2471*12,0)</f>
        <v/>
      </c>
      <c r="L2471" s="13">
        <f>IF(C2471=Options!$B$9,B2471*Options!$Z$8,0)</f>
        <v/>
      </c>
      <c r="M2471" s="13" t="n">
        <v>0</v>
      </c>
      <c r="N2471" s="13">
        <f>SUM(E2471:M2471)</f>
        <v/>
      </c>
    </row>
    <row r="2472">
      <c r="A2472" s="5">
        <f>IF(AND(C2472&gt;=Options!$B$9,C2472&lt;=Options!$B$10),"Boston","")</f>
        <v/>
      </c>
      <c r="B2472" s="5">
        <f>IF(A2472="","",18)</f>
        <v/>
      </c>
      <c r="C2472" s="17" t="n">
        <v>46573</v>
      </c>
      <c r="D2472" s="5">
        <f>IF(A2472="","",IF(C2472=DATE(2026,11,29),"培训；注册午餐；早餐参数",IF(C2472=DATE(2026,11,30),"培训；注册午餐",IF(C2472=DATE(2026,12,1),"培训；注册午餐；机构晚餐",IF(C2472=Options!$B$9,"抵达；"&amp;IF(C2472=DATE(2026,11,28),"机构晚餐","无统一供餐"),IF(C2472=Options!$B$10,"返程；"&amp;IF(C2472=DATE(2026,12,2),"机构午餐","无统一供餐"),"差旅状态；无统一日程"))))))</f>
        <v/>
      </c>
      <c r="E2472" s="13">
        <f>IF(C2472=Options!$B$9,Options!$C$20,0)</f>
        <v/>
      </c>
      <c r="F2472" s="13">
        <f>IF(AND(A2472&lt;&gt;"",C2472&lt;Options!$B$10),B2472*Options!$X$8,0)</f>
        <v/>
      </c>
      <c r="G2472" s="13">
        <f>F2472*12%</f>
        <v/>
      </c>
      <c r="H2472" s="13">
        <f>IF(A2472="",0,B2472*(92*IF(OR(C2472=Options!$B$9,C2472=Options!$B$10),75%,100%)-IF(C2472=DATE(2026,11,29),26+IF(Options!$B$8="是",23,0),0)-IF(C2472=DATE(2026,11,30),26,0)-IF(C2472=DATE(2026,12,1),64,0)-IF(C2472=DATE(2026,11,28),38,0)-IF(C2472=DATE(2026,12,2),26,0)))</f>
        <v/>
      </c>
      <c r="I2472" s="13">
        <f>IF(AND(C2472&gt;=DATE(2026,11,29),C2472&lt;=DATE(2026,12,1)),B2472*60,0)</f>
        <v/>
      </c>
      <c r="J2472" s="13">
        <f>IF(A2472="",0,B2472*(IF(C2472=DATE(2026,11,28),38,0)+IF(C2472=DATE(2026,12,1),38,0)+IF(C2472=DATE(2026,12,2),26,0)))</f>
        <v/>
      </c>
      <c r="K2472" s="13">
        <f>IF(C2472=Options!$B$9,B2472*12,0)</f>
        <v/>
      </c>
      <c r="L2472" s="13">
        <f>IF(C2472=Options!$B$9,B2472*Options!$Z$8,0)</f>
        <v/>
      </c>
      <c r="M2472" s="13" t="n">
        <v>0</v>
      </c>
      <c r="N2472" s="13">
        <f>SUM(E2472:M2472)</f>
        <v/>
      </c>
    </row>
    <row r="2473">
      <c r="A2473" s="5">
        <f>IF(AND(C2473&gt;=Options!$B$9,C2473&lt;=Options!$B$10),"Boston","")</f>
        <v/>
      </c>
      <c r="B2473" s="5">
        <f>IF(A2473="","",18)</f>
        <v/>
      </c>
      <c r="C2473" s="17" t="n">
        <v>46574</v>
      </c>
      <c r="D2473" s="5">
        <f>IF(A2473="","",IF(C2473=DATE(2026,11,29),"培训；注册午餐；早餐参数",IF(C2473=DATE(2026,11,30),"培训；注册午餐",IF(C2473=DATE(2026,12,1),"培训；注册午餐；机构晚餐",IF(C2473=Options!$B$9,"抵达；"&amp;IF(C2473=DATE(2026,11,28),"机构晚餐","无统一供餐"),IF(C2473=Options!$B$10,"返程；"&amp;IF(C2473=DATE(2026,12,2),"机构午餐","无统一供餐"),"差旅状态；无统一日程"))))))</f>
        <v/>
      </c>
      <c r="E2473" s="13">
        <f>IF(C2473=Options!$B$9,Options!$C$20,0)</f>
        <v/>
      </c>
      <c r="F2473" s="13">
        <f>IF(AND(A2473&lt;&gt;"",C2473&lt;Options!$B$10),B2473*Options!$X$8,0)</f>
        <v/>
      </c>
      <c r="G2473" s="13">
        <f>F2473*12%</f>
        <v/>
      </c>
      <c r="H2473" s="13">
        <f>IF(A2473="",0,B2473*(92*IF(OR(C2473=Options!$B$9,C2473=Options!$B$10),75%,100%)-IF(C2473=DATE(2026,11,29),26+IF(Options!$B$8="是",23,0),0)-IF(C2473=DATE(2026,11,30),26,0)-IF(C2473=DATE(2026,12,1),64,0)-IF(C2473=DATE(2026,11,28),38,0)-IF(C2473=DATE(2026,12,2),26,0)))</f>
        <v/>
      </c>
      <c r="I2473" s="13">
        <f>IF(AND(C2473&gt;=DATE(2026,11,29),C2473&lt;=DATE(2026,12,1)),B2473*60,0)</f>
        <v/>
      </c>
      <c r="J2473" s="13">
        <f>IF(A2473="",0,B2473*(IF(C2473=DATE(2026,11,28),38,0)+IF(C2473=DATE(2026,12,1),38,0)+IF(C2473=DATE(2026,12,2),26,0)))</f>
        <v/>
      </c>
      <c r="K2473" s="13">
        <f>IF(C2473=Options!$B$9,B2473*12,0)</f>
        <v/>
      </c>
      <c r="L2473" s="13">
        <f>IF(C2473=Options!$B$9,B2473*Options!$Z$8,0)</f>
        <v/>
      </c>
      <c r="M2473" s="13" t="n">
        <v>0</v>
      </c>
      <c r="N2473" s="13">
        <f>SUM(E2473:M2473)</f>
        <v/>
      </c>
    </row>
    <row r="2474">
      <c r="A2474" s="5">
        <f>IF(AND(C2474&gt;=Options!$B$9,C2474&lt;=Options!$B$10),"Boston","")</f>
        <v/>
      </c>
      <c r="B2474" s="5">
        <f>IF(A2474="","",18)</f>
        <v/>
      </c>
      <c r="C2474" s="17" t="n">
        <v>46575</v>
      </c>
      <c r="D2474" s="5">
        <f>IF(A2474="","",IF(C2474=DATE(2026,11,29),"培训；注册午餐；早餐参数",IF(C2474=DATE(2026,11,30),"培训；注册午餐",IF(C2474=DATE(2026,12,1),"培训；注册午餐；机构晚餐",IF(C2474=Options!$B$9,"抵达；"&amp;IF(C2474=DATE(2026,11,28),"机构晚餐","无统一供餐"),IF(C2474=Options!$B$10,"返程；"&amp;IF(C2474=DATE(2026,12,2),"机构午餐","无统一供餐"),"差旅状态；无统一日程"))))))</f>
        <v/>
      </c>
      <c r="E2474" s="13">
        <f>IF(C2474=Options!$B$9,Options!$C$20,0)</f>
        <v/>
      </c>
      <c r="F2474" s="13">
        <f>IF(AND(A2474&lt;&gt;"",C2474&lt;Options!$B$10),B2474*Options!$X$8,0)</f>
        <v/>
      </c>
      <c r="G2474" s="13">
        <f>F2474*12%</f>
        <v/>
      </c>
      <c r="H2474" s="13">
        <f>IF(A2474="",0,B2474*(92*IF(OR(C2474=Options!$B$9,C2474=Options!$B$10),75%,100%)-IF(C2474=DATE(2026,11,29),26+IF(Options!$B$8="是",23,0),0)-IF(C2474=DATE(2026,11,30),26,0)-IF(C2474=DATE(2026,12,1),64,0)-IF(C2474=DATE(2026,11,28),38,0)-IF(C2474=DATE(2026,12,2),26,0)))</f>
        <v/>
      </c>
      <c r="I2474" s="13">
        <f>IF(AND(C2474&gt;=DATE(2026,11,29),C2474&lt;=DATE(2026,12,1)),B2474*60,0)</f>
        <v/>
      </c>
      <c r="J2474" s="13">
        <f>IF(A2474="",0,B2474*(IF(C2474=DATE(2026,11,28),38,0)+IF(C2474=DATE(2026,12,1),38,0)+IF(C2474=DATE(2026,12,2),26,0)))</f>
        <v/>
      </c>
      <c r="K2474" s="13">
        <f>IF(C2474=Options!$B$9,B2474*12,0)</f>
        <v/>
      </c>
      <c r="L2474" s="13">
        <f>IF(C2474=Options!$B$9,B2474*Options!$Z$8,0)</f>
        <v/>
      </c>
      <c r="M2474" s="13" t="n">
        <v>0</v>
      </c>
      <c r="N2474" s="13">
        <f>SUM(E2474:M2474)</f>
        <v/>
      </c>
    </row>
    <row r="2475">
      <c r="A2475" s="5">
        <f>IF(AND(C2475&gt;=Options!$B$9,C2475&lt;=Options!$B$10),"Boston","")</f>
        <v/>
      </c>
      <c r="B2475" s="5">
        <f>IF(A2475="","",18)</f>
        <v/>
      </c>
      <c r="C2475" s="17" t="n">
        <v>46576</v>
      </c>
      <c r="D2475" s="5">
        <f>IF(A2475="","",IF(C2475=DATE(2026,11,29),"培训；注册午餐；早餐参数",IF(C2475=DATE(2026,11,30),"培训；注册午餐",IF(C2475=DATE(2026,12,1),"培训；注册午餐；机构晚餐",IF(C2475=Options!$B$9,"抵达；"&amp;IF(C2475=DATE(2026,11,28),"机构晚餐","无统一供餐"),IF(C2475=Options!$B$10,"返程；"&amp;IF(C2475=DATE(2026,12,2),"机构午餐","无统一供餐"),"差旅状态；无统一日程"))))))</f>
        <v/>
      </c>
      <c r="E2475" s="13">
        <f>IF(C2475=Options!$B$9,Options!$C$20,0)</f>
        <v/>
      </c>
      <c r="F2475" s="13">
        <f>IF(AND(A2475&lt;&gt;"",C2475&lt;Options!$B$10),B2475*Options!$X$8,0)</f>
        <v/>
      </c>
      <c r="G2475" s="13">
        <f>F2475*12%</f>
        <v/>
      </c>
      <c r="H2475" s="13">
        <f>IF(A2475="",0,B2475*(92*IF(OR(C2475=Options!$B$9,C2475=Options!$B$10),75%,100%)-IF(C2475=DATE(2026,11,29),26+IF(Options!$B$8="是",23,0),0)-IF(C2475=DATE(2026,11,30),26,0)-IF(C2475=DATE(2026,12,1),64,0)-IF(C2475=DATE(2026,11,28),38,0)-IF(C2475=DATE(2026,12,2),26,0)))</f>
        <v/>
      </c>
      <c r="I2475" s="13">
        <f>IF(AND(C2475&gt;=DATE(2026,11,29),C2475&lt;=DATE(2026,12,1)),B2475*60,0)</f>
        <v/>
      </c>
      <c r="J2475" s="13">
        <f>IF(A2475="",0,B2475*(IF(C2475=DATE(2026,11,28),38,0)+IF(C2475=DATE(2026,12,1),38,0)+IF(C2475=DATE(2026,12,2),26,0)))</f>
        <v/>
      </c>
      <c r="K2475" s="13">
        <f>IF(C2475=Options!$B$9,B2475*12,0)</f>
        <v/>
      </c>
      <c r="L2475" s="13">
        <f>IF(C2475=Options!$B$9,B2475*Options!$Z$8,0)</f>
        <v/>
      </c>
      <c r="M2475" s="13" t="n">
        <v>0</v>
      </c>
      <c r="N2475" s="13">
        <f>SUM(E2475:M2475)</f>
        <v/>
      </c>
    </row>
    <row r="2476">
      <c r="A2476" s="5">
        <f>IF(AND(C2476&gt;=Options!$B$9,C2476&lt;=Options!$B$10),"Boston","")</f>
        <v/>
      </c>
      <c r="B2476" s="5">
        <f>IF(A2476="","",18)</f>
        <v/>
      </c>
      <c r="C2476" s="17" t="n">
        <v>46577</v>
      </c>
      <c r="D2476" s="5">
        <f>IF(A2476="","",IF(C2476=DATE(2026,11,29),"培训；注册午餐；早餐参数",IF(C2476=DATE(2026,11,30),"培训；注册午餐",IF(C2476=DATE(2026,12,1),"培训；注册午餐；机构晚餐",IF(C2476=Options!$B$9,"抵达；"&amp;IF(C2476=DATE(2026,11,28),"机构晚餐","无统一供餐"),IF(C2476=Options!$B$10,"返程；"&amp;IF(C2476=DATE(2026,12,2),"机构午餐","无统一供餐"),"差旅状态；无统一日程"))))))</f>
        <v/>
      </c>
      <c r="E2476" s="13">
        <f>IF(C2476=Options!$B$9,Options!$C$20,0)</f>
        <v/>
      </c>
      <c r="F2476" s="13">
        <f>IF(AND(A2476&lt;&gt;"",C2476&lt;Options!$B$10),B2476*Options!$X$8,0)</f>
        <v/>
      </c>
      <c r="G2476" s="13">
        <f>F2476*12%</f>
        <v/>
      </c>
      <c r="H2476" s="13">
        <f>IF(A2476="",0,B2476*(92*IF(OR(C2476=Options!$B$9,C2476=Options!$B$10),75%,100%)-IF(C2476=DATE(2026,11,29),26+IF(Options!$B$8="是",23,0),0)-IF(C2476=DATE(2026,11,30),26,0)-IF(C2476=DATE(2026,12,1),64,0)-IF(C2476=DATE(2026,11,28),38,0)-IF(C2476=DATE(2026,12,2),26,0)))</f>
        <v/>
      </c>
      <c r="I2476" s="13">
        <f>IF(AND(C2476&gt;=DATE(2026,11,29),C2476&lt;=DATE(2026,12,1)),B2476*60,0)</f>
        <v/>
      </c>
      <c r="J2476" s="13">
        <f>IF(A2476="",0,B2476*(IF(C2476=DATE(2026,11,28),38,0)+IF(C2476=DATE(2026,12,1),38,0)+IF(C2476=DATE(2026,12,2),26,0)))</f>
        <v/>
      </c>
      <c r="K2476" s="13">
        <f>IF(C2476=Options!$B$9,B2476*12,0)</f>
        <v/>
      </c>
      <c r="L2476" s="13">
        <f>IF(C2476=Options!$B$9,B2476*Options!$Z$8,0)</f>
        <v/>
      </c>
      <c r="M2476" s="13" t="n">
        <v>0</v>
      </c>
      <c r="N2476" s="13">
        <f>SUM(E2476:M2476)</f>
        <v/>
      </c>
    </row>
    <row r="2477">
      <c r="A2477" s="5">
        <f>IF(AND(C2477&gt;=Options!$B$9,C2477&lt;=Options!$B$10),"Boston","")</f>
        <v/>
      </c>
      <c r="B2477" s="5">
        <f>IF(A2477="","",18)</f>
        <v/>
      </c>
      <c r="C2477" s="17" t="n">
        <v>46578</v>
      </c>
      <c r="D2477" s="5">
        <f>IF(A2477="","",IF(C2477=DATE(2026,11,29),"培训；注册午餐；早餐参数",IF(C2477=DATE(2026,11,30),"培训；注册午餐",IF(C2477=DATE(2026,12,1),"培训；注册午餐；机构晚餐",IF(C2477=Options!$B$9,"抵达；"&amp;IF(C2477=DATE(2026,11,28),"机构晚餐","无统一供餐"),IF(C2477=Options!$B$10,"返程；"&amp;IF(C2477=DATE(2026,12,2),"机构午餐","无统一供餐"),"差旅状态；无统一日程"))))))</f>
        <v/>
      </c>
      <c r="E2477" s="13">
        <f>IF(C2477=Options!$B$9,Options!$C$20,0)</f>
        <v/>
      </c>
      <c r="F2477" s="13">
        <f>IF(AND(A2477&lt;&gt;"",C2477&lt;Options!$B$10),B2477*Options!$X$8,0)</f>
        <v/>
      </c>
      <c r="G2477" s="13">
        <f>F2477*12%</f>
        <v/>
      </c>
      <c r="H2477" s="13">
        <f>IF(A2477="",0,B2477*(92*IF(OR(C2477=Options!$B$9,C2477=Options!$B$10),75%,100%)-IF(C2477=DATE(2026,11,29),26+IF(Options!$B$8="是",23,0),0)-IF(C2477=DATE(2026,11,30),26,0)-IF(C2477=DATE(2026,12,1),64,0)-IF(C2477=DATE(2026,11,28),38,0)-IF(C2477=DATE(2026,12,2),26,0)))</f>
        <v/>
      </c>
      <c r="I2477" s="13">
        <f>IF(AND(C2477&gt;=DATE(2026,11,29),C2477&lt;=DATE(2026,12,1)),B2477*60,0)</f>
        <v/>
      </c>
      <c r="J2477" s="13">
        <f>IF(A2477="",0,B2477*(IF(C2477=DATE(2026,11,28),38,0)+IF(C2477=DATE(2026,12,1),38,0)+IF(C2477=DATE(2026,12,2),26,0)))</f>
        <v/>
      </c>
      <c r="K2477" s="13">
        <f>IF(C2477=Options!$B$9,B2477*12,0)</f>
        <v/>
      </c>
      <c r="L2477" s="13">
        <f>IF(C2477=Options!$B$9,B2477*Options!$Z$8,0)</f>
        <v/>
      </c>
      <c r="M2477" s="13" t="n">
        <v>0</v>
      </c>
      <c r="N2477" s="13">
        <f>SUM(E2477:M2477)</f>
        <v/>
      </c>
    </row>
    <row r="2478">
      <c r="A2478" s="5">
        <f>IF(AND(C2478&gt;=Options!$B$9,C2478&lt;=Options!$B$10),"Boston","")</f>
        <v/>
      </c>
      <c r="B2478" s="5">
        <f>IF(A2478="","",18)</f>
        <v/>
      </c>
      <c r="C2478" s="17" t="n">
        <v>46579</v>
      </c>
      <c r="D2478" s="5">
        <f>IF(A2478="","",IF(C2478=DATE(2026,11,29),"培训；注册午餐；早餐参数",IF(C2478=DATE(2026,11,30),"培训；注册午餐",IF(C2478=DATE(2026,12,1),"培训；注册午餐；机构晚餐",IF(C2478=Options!$B$9,"抵达；"&amp;IF(C2478=DATE(2026,11,28),"机构晚餐","无统一供餐"),IF(C2478=Options!$B$10,"返程；"&amp;IF(C2478=DATE(2026,12,2),"机构午餐","无统一供餐"),"差旅状态；无统一日程"))))))</f>
        <v/>
      </c>
      <c r="E2478" s="13">
        <f>IF(C2478=Options!$B$9,Options!$C$20,0)</f>
        <v/>
      </c>
      <c r="F2478" s="13">
        <f>IF(AND(A2478&lt;&gt;"",C2478&lt;Options!$B$10),B2478*Options!$X$8,0)</f>
        <v/>
      </c>
      <c r="G2478" s="13">
        <f>F2478*12%</f>
        <v/>
      </c>
      <c r="H2478" s="13">
        <f>IF(A2478="",0,B2478*(92*IF(OR(C2478=Options!$B$9,C2478=Options!$B$10),75%,100%)-IF(C2478=DATE(2026,11,29),26+IF(Options!$B$8="是",23,0),0)-IF(C2478=DATE(2026,11,30),26,0)-IF(C2478=DATE(2026,12,1),64,0)-IF(C2478=DATE(2026,11,28),38,0)-IF(C2478=DATE(2026,12,2),26,0)))</f>
        <v/>
      </c>
      <c r="I2478" s="13">
        <f>IF(AND(C2478&gt;=DATE(2026,11,29),C2478&lt;=DATE(2026,12,1)),B2478*60,0)</f>
        <v/>
      </c>
      <c r="J2478" s="13">
        <f>IF(A2478="",0,B2478*(IF(C2478=DATE(2026,11,28),38,0)+IF(C2478=DATE(2026,12,1),38,0)+IF(C2478=DATE(2026,12,2),26,0)))</f>
        <v/>
      </c>
      <c r="K2478" s="13">
        <f>IF(C2478=Options!$B$9,B2478*12,0)</f>
        <v/>
      </c>
      <c r="L2478" s="13">
        <f>IF(C2478=Options!$B$9,B2478*Options!$Z$8,0)</f>
        <v/>
      </c>
      <c r="M2478" s="13" t="n">
        <v>0</v>
      </c>
      <c r="N2478" s="13">
        <f>SUM(E2478:M2478)</f>
        <v/>
      </c>
    </row>
    <row r="2479">
      <c r="A2479" s="5">
        <f>IF(AND(C2479&gt;=Options!$B$9,C2479&lt;=Options!$B$10),"Boston","")</f>
        <v/>
      </c>
      <c r="B2479" s="5">
        <f>IF(A2479="","",18)</f>
        <v/>
      </c>
      <c r="C2479" s="17" t="n">
        <v>46580</v>
      </c>
      <c r="D2479" s="5">
        <f>IF(A2479="","",IF(C2479=DATE(2026,11,29),"培训；注册午餐；早餐参数",IF(C2479=DATE(2026,11,30),"培训；注册午餐",IF(C2479=DATE(2026,12,1),"培训；注册午餐；机构晚餐",IF(C2479=Options!$B$9,"抵达；"&amp;IF(C2479=DATE(2026,11,28),"机构晚餐","无统一供餐"),IF(C2479=Options!$B$10,"返程；"&amp;IF(C2479=DATE(2026,12,2),"机构午餐","无统一供餐"),"差旅状态；无统一日程"))))))</f>
        <v/>
      </c>
      <c r="E2479" s="13">
        <f>IF(C2479=Options!$B$9,Options!$C$20,0)</f>
        <v/>
      </c>
      <c r="F2479" s="13">
        <f>IF(AND(A2479&lt;&gt;"",C2479&lt;Options!$B$10),B2479*Options!$X$8,0)</f>
        <v/>
      </c>
      <c r="G2479" s="13">
        <f>F2479*12%</f>
        <v/>
      </c>
      <c r="H2479" s="13">
        <f>IF(A2479="",0,B2479*(92*IF(OR(C2479=Options!$B$9,C2479=Options!$B$10),75%,100%)-IF(C2479=DATE(2026,11,29),26+IF(Options!$B$8="是",23,0),0)-IF(C2479=DATE(2026,11,30),26,0)-IF(C2479=DATE(2026,12,1),64,0)-IF(C2479=DATE(2026,11,28),38,0)-IF(C2479=DATE(2026,12,2),26,0)))</f>
        <v/>
      </c>
      <c r="I2479" s="13">
        <f>IF(AND(C2479&gt;=DATE(2026,11,29),C2479&lt;=DATE(2026,12,1)),B2479*60,0)</f>
        <v/>
      </c>
      <c r="J2479" s="13">
        <f>IF(A2479="",0,B2479*(IF(C2479=DATE(2026,11,28),38,0)+IF(C2479=DATE(2026,12,1),38,0)+IF(C2479=DATE(2026,12,2),26,0)))</f>
        <v/>
      </c>
      <c r="K2479" s="13">
        <f>IF(C2479=Options!$B$9,B2479*12,0)</f>
        <v/>
      </c>
      <c r="L2479" s="13">
        <f>IF(C2479=Options!$B$9,B2479*Options!$Z$8,0)</f>
        <v/>
      </c>
      <c r="M2479" s="13" t="n">
        <v>0</v>
      </c>
      <c r="N2479" s="13">
        <f>SUM(E2479:M2479)</f>
        <v/>
      </c>
    </row>
    <row r="2480">
      <c r="A2480" s="5">
        <f>IF(AND(C2480&gt;=Options!$B$9,C2480&lt;=Options!$B$10),"Boston","")</f>
        <v/>
      </c>
      <c r="B2480" s="5">
        <f>IF(A2480="","",18)</f>
        <v/>
      </c>
      <c r="C2480" s="17" t="n">
        <v>46581</v>
      </c>
      <c r="D2480" s="5">
        <f>IF(A2480="","",IF(C2480=DATE(2026,11,29),"培训；注册午餐；早餐参数",IF(C2480=DATE(2026,11,30),"培训；注册午餐",IF(C2480=DATE(2026,12,1),"培训；注册午餐；机构晚餐",IF(C2480=Options!$B$9,"抵达；"&amp;IF(C2480=DATE(2026,11,28),"机构晚餐","无统一供餐"),IF(C2480=Options!$B$10,"返程；"&amp;IF(C2480=DATE(2026,12,2),"机构午餐","无统一供餐"),"差旅状态；无统一日程"))))))</f>
        <v/>
      </c>
      <c r="E2480" s="13">
        <f>IF(C2480=Options!$B$9,Options!$C$20,0)</f>
        <v/>
      </c>
      <c r="F2480" s="13">
        <f>IF(AND(A2480&lt;&gt;"",C2480&lt;Options!$B$10),B2480*Options!$X$8,0)</f>
        <v/>
      </c>
      <c r="G2480" s="13">
        <f>F2480*12%</f>
        <v/>
      </c>
      <c r="H2480" s="13">
        <f>IF(A2480="",0,B2480*(92*IF(OR(C2480=Options!$B$9,C2480=Options!$B$10),75%,100%)-IF(C2480=DATE(2026,11,29),26+IF(Options!$B$8="是",23,0),0)-IF(C2480=DATE(2026,11,30),26,0)-IF(C2480=DATE(2026,12,1),64,0)-IF(C2480=DATE(2026,11,28),38,0)-IF(C2480=DATE(2026,12,2),26,0)))</f>
        <v/>
      </c>
      <c r="I2480" s="13">
        <f>IF(AND(C2480&gt;=DATE(2026,11,29),C2480&lt;=DATE(2026,12,1)),B2480*60,0)</f>
        <v/>
      </c>
      <c r="J2480" s="13">
        <f>IF(A2480="",0,B2480*(IF(C2480=DATE(2026,11,28),38,0)+IF(C2480=DATE(2026,12,1),38,0)+IF(C2480=DATE(2026,12,2),26,0)))</f>
        <v/>
      </c>
      <c r="K2480" s="13">
        <f>IF(C2480=Options!$B$9,B2480*12,0)</f>
        <v/>
      </c>
      <c r="L2480" s="13">
        <f>IF(C2480=Options!$B$9,B2480*Options!$Z$8,0)</f>
        <v/>
      </c>
      <c r="M2480" s="13" t="n">
        <v>0</v>
      </c>
      <c r="N2480" s="13">
        <f>SUM(E2480:M2480)</f>
        <v/>
      </c>
    </row>
    <row r="2481">
      <c r="A2481" s="5">
        <f>IF(AND(C2481&gt;=Options!$B$9,C2481&lt;=Options!$B$10),"Boston","")</f>
        <v/>
      </c>
      <c r="B2481" s="5">
        <f>IF(A2481="","",18)</f>
        <v/>
      </c>
      <c r="C2481" s="17" t="n">
        <v>46582</v>
      </c>
      <c r="D2481" s="5">
        <f>IF(A2481="","",IF(C2481=DATE(2026,11,29),"培训；注册午餐；早餐参数",IF(C2481=DATE(2026,11,30),"培训；注册午餐",IF(C2481=DATE(2026,12,1),"培训；注册午餐；机构晚餐",IF(C2481=Options!$B$9,"抵达；"&amp;IF(C2481=DATE(2026,11,28),"机构晚餐","无统一供餐"),IF(C2481=Options!$B$10,"返程；"&amp;IF(C2481=DATE(2026,12,2),"机构午餐","无统一供餐"),"差旅状态；无统一日程"))))))</f>
        <v/>
      </c>
      <c r="E2481" s="13">
        <f>IF(C2481=Options!$B$9,Options!$C$20,0)</f>
        <v/>
      </c>
      <c r="F2481" s="13">
        <f>IF(AND(A2481&lt;&gt;"",C2481&lt;Options!$B$10),B2481*Options!$X$8,0)</f>
        <v/>
      </c>
      <c r="G2481" s="13">
        <f>F2481*12%</f>
        <v/>
      </c>
      <c r="H2481" s="13">
        <f>IF(A2481="",0,B2481*(92*IF(OR(C2481=Options!$B$9,C2481=Options!$B$10),75%,100%)-IF(C2481=DATE(2026,11,29),26+IF(Options!$B$8="是",23,0),0)-IF(C2481=DATE(2026,11,30),26,0)-IF(C2481=DATE(2026,12,1),64,0)-IF(C2481=DATE(2026,11,28),38,0)-IF(C2481=DATE(2026,12,2),26,0)))</f>
        <v/>
      </c>
      <c r="I2481" s="13">
        <f>IF(AND(C2481&gt;=DATE(2026,11,29),C2481&lt;=DATE(2026,12,1)),B2481*60,0)</f>
        <v/>
      </c>
      <c r="J2481" s="13">
        <f>IF(A2481="",0,B2481*(IF(C2481=DATE(2026,11,28),38,0)+IF(C2481=DATE(2026,12,1),38,0)+IF(C2481=DATE(2026,12,2),26,0)))</f>
        <v/>
      </c>
      <c r="K2481" s="13">
        <f>IF(C2481=Options!$B$9,B2481*12,0)</f>
        <v/>
      </c>
      <c r="L2481" s="13">
        <f>IF(C2481=Options!$B$9,B2481*Options!$Z$8,0)</f>
        <v/>
      </c>
      <c r="M2481" s="13" t="n">
        <v>0</v>
      </c>
      <c r="N2481" s="13">
        <f>SUM(E2481:M2481)</f>
        <v/>
      </c>
    </row>
    <row r="2482">
      <c r="A2482" s="5">
        <f>IF(AND(C2482&gt;=Options!$B$9,C2482&lt;=Options!$B$10),"Boston","")</f>
        <v/>
      </c>
      <c r="B2482" s="5">
        <f>IF(A2482="","",18)</f>
        <v/>
      </c>
      <c r="C2482" s="17" t="n">
        <v>46583</v>
      </c>
      <c r="D2482" s="5">
        <f>IF(A2482="","",IF(C2482=DATE(2026,11,29),"培训；注册午餐；早餐参数",IF(C2482=DATE(2026,11,30),"培训；注册午餐",IF(C2482=DATE(2026,12,1),"培训；注册午餐；机构晚餐",IF(C2482=Options!$B$9,"抵达；"&amp;IF(C2482=DATE(2026,11,28),"机构晚餐","无统一供餐"),IF(C2482=Options!$B$10,"返程；"&amp;IF(C2482=DATE(2026,12,2),"机构午餐","无统一供餐"),"差旅状态；无统一日程"))))))</f>
        <v/>
      </c>
      <c r="E2482" s="13">
        <f>IF(C2482=Options!$B$9,Options!$C$20,0)</f>
        <v/>
      </c>
      <c r="F2482" s="13">
        <f>IF(AND(A2482&lt;&gt;"",C2482&lt;Options!$B$10),B2482*Options!$X$8,0)</f>
        <v/>
      </c>
      <c r="G2482" s="13">
        <f>F2482*12%</f>
        <v/>
      </c>
      <c r="H2482" s="13">
        <f>IF(A2482="",0,B2482*(92*IF(OR(C2482=Options!$B$9,C2482=Options!$B$10),75%,100%)-IF(C2482=DATE(2026,11,29),26+IF(Options!$B$8="是",23,0),0)-IF(C2482=DATE(2026,11,30),26,0)-IF(C2482=DATE(2026,12,1),64,0)-IF(C2482=DATE(2026,11,28),38,0)-IF(C2482=DATE(2026,12,2),26,0)))</f>
        <v/>
      </c>
      <c r="I2482" s="13">
        <f>IF(AND(C2482&gt;=DATE(2026,11,29),C2482&lt;=DATE(2026,12,1)),B2482*60,0)</f>
        <v/>
      </c>
      <c r="J2482" s="13">
        <f>IF(A2482="",0,B2482*(IF(C2482=DATE(2026,11,28),38,0)+IF(C2482=DATE(2026,12,1),38,0)+IF(C2482=DATE(2026,12,2),26,0)))</f>
        <v/>
      </c>
      <c r="K2482" s="13">
        <f>IF(C2482=Options!$B$9,B2482*12,0)</f>
        <v/>
      </c>
      <c r="L2482" s="13">
        <f>IF(C2482=Options!$B$9,B2482*Options!$Z$8,0)</f>
        <v/>
      </c>
      <c r="M2482" s="13" t="n">
        <v>0</v>
      </c>
      <c r="N2482" s="13">
        <f>SUM(E2482:M2482)</f>
        <v/>
      </c>
    </row>
    <row r="2483">
      <c r="A2483" s="5">
        <f>IF(AND(C2483&gt;=Options!$B$9,C2483&lt;=Options!$B$10),"Boston","")</f>
        <v/>
      </c>
      <c r="B2483" s="5">
        <f>IF(A2483="","",18)</f>
        <v/>
      </c>
      <c r="C2483" s="17" t="n">
        <v>46584</v>
      </c>
      <c r="D2483" s="5">
        <f>IF(A2483="","",IF(C2483=DATE(2026,11,29),"培训；注册午餐；早餐参数",IF(C2483=DATE(2026,11,30),"培训；注册午餐",IF(C2483=DATE(2026,12,1),"培训；注册午餐；机构晚餐",IF(C2483=Options!$B$9,"抵达；"&amp;IF(C2483=DATE(2026,11,28),"机构晚餐","无统一供餐"),IF(C2483=Options!$B$10,"返程；"&amp;IF(C2483=DATE(2026,12,2),"机构午餐","无统一供餐"),"差旅状态；无统一日程"))))))</f>
        <v/>
      </c>
      <c r="E2483" s="13">
        <f>IF(C2483=Options!$B$9,Options!$C$20,0)</f>
        <v/>
      </c>
      <c r="F2483" s="13">
        <f>IF(AND(A2483&lt;&gt;"",C2483&lt;Options!$B$10),B2483*Options!$X$8,0)</f>
        <v/>
      </c>
      <c r="G2483" s="13">
        <f>F2483*12%</f>
        <v/>
      </c>
      <c r="H2483" s="13">
        <f>IF(A2483="",0,B2483*(92*IF(OR(C2483=Options!$B$9,C2483=Options!$B$10),75%,100%)-IF(C2483=DATE(2026,11,29),26+IF(Options!$B$8="是",23,0),0)-IF(C2483=DATE(2026,11,30),26,0)-IF(C2483=DATE(2026,12,1),64,0)-IF(C2483=DATE(2026,11,28),38,0)-IF(C2483=DATE(2026,12,2),26,0)))</f>
        <v/>
      </c>
      <c r="I2483" s="13">
        <f>IF(AND(C2483&gt;=DATE(2026,11,29),C2483&lt;=DATE(2026,12,1)),B2483*60,0)</f>
        <v/>
      </c>
      <c r="J2483" s="13">
        <f>IF(A2483="",0,B2483*(IF(C2483=DATE(2026,11,28),38,0)+IF(C2483=DATE(2026,12,1),38,0)+IF(C2483=DATE(2026,12,2),26,0)))</f>
        <v/>
      </c>
      <c r="K2483" s="13">
        <f>IF(C2483=Options!$B$9,B2483*12,0)</f>
        <v/>
      </c>
      <c r="L2483" s="13">
        <f>IF(C2483=Options!$B$9,B2483*Options!$Z$8,0)</f>
        <v/>
      </c>
      <c r="M2483" s="13" t="n">
        <v>0</v>
      </c>
      <c r="N2483" s="13">
        <f>SUM(E2483:M2483)</f>
        <v/>
      </c>
    </row>
    <row r="2484">
      <c r="A2484" s="5">
        <f>IF(AND(C2484&gt;=Options!$B$9,C2484&lt;=Options!$B$10),"Boston","")</f>
        <v/>
      </c>
      <c r="B2484" s="5">
        <f>IF(A2484="","",18)</f>
        <v/>
      </c>
      <c r="C2484" s="17" t="n">
        <v>46585</v>
      </c>
      <c r="D2484" s="5">
        <f>IF(A2484="","",IF(C2484=DATE(2026,11,29),"培训；注册午餐；早餐参数",IF(C2484=DATE(2026,11,30),"培训；注册午餐",IF(C2484=DATE(2026,12,1),"培训；注册午餐；机构晚餐",IF(C2484=Options!$B$9,"抵达；"&amp;IF(C2484=DATE(2026,11,28),"机构晚餐","无统一供餐"),IF(C2484=Options!$B$10,"返程；"&amp;IF(C2484=DATE(2026,12,2),"机构午餐","无统一供餐"),"差旅状态；无统一日程"))))))</f>
        <v/>
      </c>
      <c r="E2484" s="13">
        <f>IF(C2484=Options!$B$9,Options!$C$20,0)</f>
        <v/>
      </c>
      <c r="F2484" s="13">
        <f>IF(AND(A2484&lt;&gt;"",C2484&lt;Options!$B$10),B2484*Options!$X$8,0)</f>
        <v/>
      </c>
      <c r="G2484" s="13">
        <f>F2484*12%</f>
        <v/>
      </c>
      <c r="H2484" s="13">
        <f>IF(A2484="",0,B2484*(92*IF(OR(C2484=Options!$B$9,C2484=Options!$B$10),75%,100%)-IF(C2484=DATE(2026,11,29),26+IF(Options!$B$8="是",23,0),0)-IF(C2484=DATE(2026,11,30),26,0)-IF(C2484=DATE(2026,12,1),64,0)-IF(C2484=DATE(2026,11,28),38,0)-IF(C2484=DATE(2026,12,2),26,0)))</f>
        <v/>
      </c>
      <c r="I2484" s="13">
        <f>IF(AND(C2484&gt;=DATE(2026,11,29),C2484&lt;=DATE(2026,12,1)),B2484*60,0)</f>
        <v/>
      </c>
      <c r="J2484" s="13">
        <f>IF(A2484="",0,B2484*(IF(C2484=DATE(2026,11,28),38,0)+IF(C2484=DATE(2026,12,1),38,0)+IF(C2484=DATE(2026,12,2),26,0)))</f>
        <v/>
      </c>
      <c r="K2484" s="13">
        <f>IF(C2484=Options!$B$9,B2484*12,0)</f>
        <v/>
      </c>
      <c r="L2484" s="13">
        <f>IF(C2484=Options!$B$9,B2484*Options!$Z$8,0)</f>
        <v/>
      </c>
      <c r="M2484" s="13" t="n">
        <v>0</v>
      </c>
      <c r="N2484" s="13">
        <f>SUM(E2484:M2484)</f>
        <v/>
      </c>
    </row>
    <row r="2485">
      <c r="A2485" s="5">
        <f>IF(AND(C2485&gt;=Options!$B$9,C2485&lt;=Options!$B$10),"Boston","")</f>
        <v/>
      </c>
      <c r="B2485" s="5">
        <f>IF(A2485="","",18)</f>
        <v/>
      </c>
      <c r="C2485" s="17" t="n">
        <v>46586</v>
      </c>
      <c r="D2485" s="5">
        <f>IF(A2485="","",IF(C2485=DATE(2026,11,29),"培训；注册午餐；早餐参数",IF(C2485=DATE(2026,11,30),"培训；注册午餐",IF(C2485=DATE(2026,12,1),"培训；注册午餐；机构晚餐",IF(C2485=Options!$B$9,"抵达；"&amp;IF(C2485=DATE(2026,11,28),"机构晚餐","无统一供餐"),IF(C2485=Options!$B$10,"返程；"&amp;IF(C2485=DATE(2026,12,2),"机构午餐","无统一供餐"),"差旅状态；无统一日程"))))))</f>
        <v/>
      </c>
      <c r="E2485" s="13">
        <f>IF(C2485=Options!$B$9,Options!$C$20,0)</f>
        <v/>
      </c>
      <c r="F2485" s="13">
        <f>IF(AND(A2485&lt;&gt;"",C2485&lt;Options!$B$10),B2485*Options!$X$8,0)</f>
        <v/>
      </c>
      <c r="G2485" s="13">
        <f>F2485*12%</f>
        <v/>
      </c>
      <c r="H2485" s="13">
        <f>IF(A2485="",0,B2485*(92*IF(OR(C2485=Options!$B$9,C2485=Options!$B$10),75%,100%)-IF(C2485=DATE(2026,11,29),26+IF(Options!$B$8="是",23,0),0)-IF(C2485=DATE(2026,11,30),26,0)-IF(C2485=DATE(2026,12,1),64,0)-IF(C2485=DATE(2026,11,28),38,0)-IF(C2485=DATE(2026,12,2),26,0)))</f>
        <v/>
      </c>
      <c r="I2485" s="13">
        <f>IF(AND(C2485&gt;=DATE(2026,11,29),C2485&lt;=DATE(2026,12,1)),B2485*60,0)</f>
        <v/>
      </c>
      <c r="J2485" s="13">
        <f>IF(A2485="",0,B2485*(IF(C2485=DATE(2026,11,28),38,0)+IF(C2485=DATE(2026,12,1),38,0)+IF(C2485=DATE(2026,12,2),26,0)))</f>
        <v/>
      </c>
      <c r="K2485" s="13">
        <f>IF(C2485=Options!$B$9,B2485*12,0)</f>
        <v/>
      </c>
      <c r="L2485" s="13">
        <f>IF(C2485=Options!$B$9,B2485*Options!$Z$8,0)</f>
        <v/>
      </c>
      <c r="M2485" s="13" t="n">
        <v>0</v>
      </c>
      <c r="N2485" s="13">
        <f>SUM(E2485:M2485)</f>
        <v/>
      </c>
    </row>
    <row r="2486">
      <c r="A2486" s="5">
        <f>IF(AND(C2486&gt;=Options!$B$9,C2486&lt;=Options!$B$10),"Boston","")</f>
        <v/>
      </c>
      <c r="B2486" s="5">
        <f>IF(A2486="","",18)</f>
        <v/>
      </c>
      <c r="C2486" s="17" t="n">
        <v>46587</v>
      </c>
      <c r="D2486" s="5">
        <f>IF(A2486="","",IF(C2486=DATE(2026,11,29),"培训；注册午餐；早餐参数",IF(C2486=DATE(2026,11,30),"培训；注册午餐",IF(C2486=DATE(2026,12,1),"培训；注册午餐；机构晚餐",IF(C2486=Options!$B$9,"抵达；"&amp;IF(C2486=DATE(2026,11,28),"机构晚餐","无统一供餐"),IF(C2486=Options!$B$10,"返程；"&amp;IF(C2486=DATE(2026,12,2),"机构午餐","无统一供餐"),"差旅状态；无统一日程"))))))</f>
        <v/>
      </c>
      <c r="E2486" s="13">
        <f>IF(C2486=Options!$B$9,Options!$C$20,0)</f>
        <v/>
      </c>
      <c r="F2486" s="13">
        <f>IF(AND(A2486&lt;&gt;"",C2486&lt;Options!$B$10),B2486*Options!$X$8,0)</f>
        <v/>
      </c>
      <c r="G2486" s="13">
        <f>F2486*12%</f>
        <v/>
      </c>
      <c r="H2486" s="13">
        <f>IF(A2486="",0,B2486*(92*IF(OR(C2486=Options!$B$9,C2486=Options!$B$10),75%,100%)-IF(C2486=DATE(2026,11,29),26+IF(Options!$B$8="是",23,0),0)-IF(C2486=DATE(2026,11,30),26,0)-IF(C2486=DATE(2026,12,1),64,0)-IF(C2486=DATE(2026,11,28),38,0)-IF(C2486=DATE(2026,12,2),26,0)))</f>
        <v/>
      </c>
      <c r="I2486" s="13">
        <f>IF(AND(C2486&gt;=DATE(2026,11,29),C2486&lt;=DATE(2026,12,1)),B2486*60,0)</f>
        <v/>
      </c>
      <c r="J2486" s="13">
        <f>IF(A2486="",0,B2486*(IF(C2486=DATE(2026,11,28),38,0)+IF(C2486=DATE(2026,12,1),38,0)+IF(C2486=DATE(2026,12,2),26,0)))</f>
        <v/>
      </c>
      <c r="K2486" s="13">
        <f>IF(C2486=Options!$B$9,B2486*12,0)</f>
        <v/>
      </c>
      <c r="L2486" s="13">
        <f>IF(C2486=Options!$B$9,B2486*Options!$Z$8,0)</f>
        <v/>
      </c>
      <c r="M2486" s="13" t="n">
        <v>0</v>
      </c>
      <c r="N2486" s="13">
        <f>SUM(E2486:M2486)</f>
        <v/>
      </c>
    </row>
    <row r="2487">
      <c r="A2487" s="5">
        <f>IF(AND(C2487&gt;=Options!$B$9,C2487&lt;=Options!$B$10),"Boston","")</f>
        <v/>
      </c>
      <c r="B2487" s="5">
        <f>IF(A2487="","",18)</f>
        <v/>
      </c>
      <c r="C2487" s="17" t="n">
        <v>46588</v>
      </c>
      <c r="D2487" s="5">
        <f>IF(A2487="","",IF(C2487=DATE(2026,11,29),"培训；注册午餐；早餐参数",IF(C2487=DATE(2026,11,30),"培训；注册午餐",IF(C2487=DATE(2026,12,1),"培训；注册午餐；机构晚餐",IF(C2487=Options!$B$9,"抵达；"&amp;IF(C2487=DATE(2026,11,28),"机构晚餐","无统一供餐"),IF(C2487=Options!$B$10,"返程；"&amp;IF(C2487=DATE(2026,12,2),"机构午餐","无统一供餐"),"差旅状态；无统一日程"))))))</f>
        <v/>
      </c>
      <c r="E2487" s="13">
        <f>IF(C2487=Options!$B$9,Options!$C$20,0)</f>
        <v/>
      </c>
      <c r="F2487" s="13">
        <f>IF(AND(A2487&lt;&gt;"",C2487&lt;Options!$B$10),B2487*Options!$X$8,0)</f>
        <v/>
      </c>
      <c r="G2487" s="13">
        <f>F2487*12%</f>
        <v/>
      </c>
      <c r="H2487" s="13">
        <f>IF(A2487="",0,B2487*(92*IF(OR(C2487=Options!$B$9,C2487=Options!$B$10),75%,100%)-IF(C2487=DATE(2026,11,29),26+IF(Options!$B$8="是",23,0),0)-IF(C2487=DATE(2026,11,30),26,0)-IF(C2487=DATE(2026,12,1),64,0)-IF(C2487=DATE(2026,11,28),38,0)-IF(C2487=DATE(2026,12,2),26,0)))</f>
        <v/>
      </c>
      <c r="I2487" s="13">
        <f>IF(AND(C2487&gt;=DATE(2026,11,29),C2487&lt;=DATE(2026,12,1)),B2487*60,0)</f>
        <v/>
      </c>
      <c r="J2487" s="13">
        <f>IF(A2487="",0,B2487*(IF(C2487=DATE(2026,11,28),38,0)+IF(C2487=DATE(2026,12,1),38,0)+IF(C2487=DATE(2026,12,2),26,0)))</f>
        <v/>
      </c>
      <c r="K2487" s="13">
        <f>IF(C2487=Options!$B$9,B2487*12,0)</f>
        <v/>
      </c>
      <c r="L2487" s="13">
        <f>IF(C2487=Options!$B$9,B2487*Options!$Z$8,0)</f>
        <v/>
      </c>
      <c r="M2487" s="13" t="n">
        <v>0</v>
      </c>
      <c r="N2487" s="13">
        <f>SUM(E2487:M2487)</f>
        <v/>
      </c>
    </row>
    <row r="2488">
      <c r="A2488" s="5">
        <f>IF(AND(C2488&gt;=Options!$B$9,C2488&lt;=Options!$B$10),"Boston","")</f>
        <v/>
      </c>
      <c r="B2488" s="5">
        <f>IF(A2488="","",18)</f>
        <v/>
      </c>
      <c r="C2488" s="17" t="n">
        <v>46589</v>
      </c>
      <c r="D2488" s="5">
        <f>IF(A2488="","",IF(C2488=DATE(2026,11,29),"培训；注册午餐；早餐参数",IF(C2488=DATE(2026,11,30),"培训；注册午餐",IF(C2488=DATE(2026,12,1),"培训；注册午餐；机构晚餐",IF(C2488=Options!$B$9,"抵达；"&amp;IF(C2488=DATE(2026,11,28),"机构晚餐","无统一供餐"),IF(C2488=Options!$B$10,"返程；"&amp;IF(C2488=DATE(2026,12,2),"机构午餐","无统一供餐"),"差旅状态；无统一日程"))))))</f>
        <v/>
      </c>
      <c r="E2488" s="13">
        <f>IF(C2488=Options!$B$9,Options!$C$20,0)</f>
        <v/>
      </c>
      <c r="F2488" s="13">
        <f>IF(AND(A2488&lt;&gt;"",C2488&lt;Options!$B$10),B2488*Options!$X$8,0)</f>
        <v/>
      </c>
      <c r="G2488" s="13">
        <f>F2488*12%</f>
        <v/>
      </c>
      <c r="H2488" s="13">
        <f>IF(A2488="",0,B2488*(92*IF(OR(C2488=Options!$B$9,C2488=Options!$B$10),75%,100%)-IF(C2488=DATE(2026,11,29),26+IF(Options!$B$8="是",23,0),0)-IF(C2488=DATE(2026,11,30),26,0)-IF(C2488=DATE(2026,12,1),64,0)-IF(C2488=DATE(2026,11,28),38,0)-IF(C2488=DATE(2026,12,2),26,0)))</f>
        <v/>
      </c>
      <c r="I2488" s="13">
        <f>IF(AND(C2488&gt;=DATE(2026,11,29),C2488&lt;=DATE(2026,12,1)),B2488*60,0)</f>
        <v/>
      </c>
      <c r="J2488" s="13">
        <f>IF(A2488="",0,B2488*(IF(C2488=DATE(2026,11,28),38,0)+IF(C2488=DATE(2026,12,1),38,0)+IF(C2488=DATE(2026,12,2),26,0)))</f>
        <v/>
      </c>
      <c r="K2488" s="13">
        <f>IF(C2488=Options!$B$9,B2488*12,0)</f>
        <v/>
      </c>
      <c r="L2488" s="13">
        <f>IF(C2488=Options!$B$9,B2488*Options!$Z$8,0)</f>
        <v/>
      </c>
      <c r="M2488" s="13" t="n">
        <v>0</v>
      </c>
      <c r="N2488" s="13">
        <f>SUM(E2488:M2488)</f>
        <v/>
      </c>
    </row>
    <row r="2489">
      <c r="A2489" s="5">
        <f>IF(AND(C2489&gt;=Options!$B$9,C2489&lt;=Options!$B$10),"Boston","")</f>
        <v/>
      </c>
      <c r="B2489" s="5">
        <f>IF(A2489="","",18)</f>
        <v/>
      </c>
      <c r="C2489" s="17" t="n">
        <v>46590</v>
      </c>
      <c r="D2489" s="5">
        <f>IF(A2489="","",IF(C2489=DATE(2026,11,29),"培训；注册午餐；早餐参数",IF(C2489=DATE(2026,11,30),"培训；注册午餐",IF(C2489=DATE(2026,12,1),"培训；注册午餐；机构晚餐",IF(C2489=Options!$B$9,"抵达；"&amp;IF(C2489=DATE(2026,11,28),"机构晚餐","无统一供餐"),IF(C2489=Options!$B$10,"返程；"&amp;IF(C2489=DATE(2026,12,2),"机构午餐","无统一供餐"),"差旅状态；无统一日程"))))))</f>
        <v/>
      </c>
      <c r="E2489" s="13">
        <f>IF(C2489=Options!$B$9,Options!$C$20,0)</f>
        <v/>
      </c>
      <c r="F2489" s="13">
        <f>IF(AND(A2489&lt;&gt;"",C2489&lt;Options!$B$10),B2489*Options!$X$8,0)</f>
        <v/>
      </c>
      <c r="G2489" s="13">
        <f>F2489*12%</f>
        <v/>
      </c>
      <c r="H2489" s="13">
        <f>IF(A2489="",0,B2489*(92*IF(OR(C2489=Options!$B$9,C2489=Options!$B$10),75%,100%)-IF(C2489=DATE(2026,11,29),26+IF(Options!$B$8="是",23,0),0)-IF(C2489=DATE(2026,11,30),26,0)-IF(C2489=DATE(2026,12,1),64,0)-IF(C2489=DATE(2026,11,28),38,0)-IF(C2489=DATE(2026,12,2),26,0)))</f>
        <v/>
      </c>
      <c r="I2489" s="13">
        <f>IF(AND(C2489&gt;=DATE(2026,11,29),C2489&lt;=DATE(2026,12,1)),B2489*60,0)</f>
        <v/>
      </c>
      <c r="J2489" s="13">
        <f>IF(A2489="",0,B2489*(IF(C2489=DATE(2026,11,28),38,0)+IF(C2489=DATE(2026,12,1),38,0)+IF(C2489=DATE(2026,12,2),26,0)))</f>
        <v/>
      </c>
      <c r="K2489" s="13">
        <f>IF(C2489=Options!$B$9,B2489*12,0)</f>
        <v/>
      </c>
      <c r="L2489" s="13">
        <f>IF(C2489=Options!$B$9,B2489*Options!$Z$8,0)</f>
        <v/>
      </c>
      <c r="M2489" s="13" t="n">
        <v>0</v>
      </c>
      <c r="N2489" s="13">
        <f>SUM(E2489:M2489)</f>
        <v/>
      </c>
    </row>
    <row r="2490">
      <c r="A2490" s="5">
        <f>IF(AND(C2490&gt;=Options!$B$9,C2490&lt;=Options!$B$10),"Boston","")</f>
        <v/>
      </c>
      <c r="B2490" s="5">
        <f>IF(A2490="","",18)</f>
        <v/>
      </c>
      <c r="C2490" s="17" t="n">
        <v>46591</v>
      </c>
      <c r="D2490" s="5">
        <f>IF(A2490="","",IF(C2490=DATE(2026,11,29),"培训；注册午餐；早餐参数",IF(C2490=DATE(2026,11,30),"培训；注册午餐",IF(C2490=DATE(2026,12,1),"培训；注册午餐；机构晚餐",IF(C2490=Options!$B$9,"抵达；"&amp;IF(C2490=DATE(2026,11,28),"机构晚餐","无统一供餐"),IF(C2490=Options!$B$10,"返程；"&amp;IF(C2490=DATE(2026,12,2),"机构午餐","无统一供餐"),"差旅状态；无统一日程"))))))</f>
        <v/>
      </c>
      <c r="E2490" s="13">
        <f>IF(C2490=Options!$B$9,Options!$C$20,0)</f>
        <v/>
      </c>
      <c r="F2490" s="13">
        <f>IF(AND(A2490&lt;&gt;"",C2490&lt;Options!$B$10),B2490*Options!$X$8,0)</f>
        <v/>
      </c>
      <c r="G2490" s="13">
        <f>F2490*12%</f>
        <v/>
      </c>
      <c r="H2490" s="13">
        <f>IF(A2490="",0,B2490*(92*IF(OR(C2490=Options!$B$9,C2490=Options!$B$10),75%,100%)-IF(C2490=DATE(2026,11,29),26+IF(Options!$B$8="是",23,0),0)-IF(C2490=DATE(2026,11,30),26,0)-IF(C2490=DATE(2026,12,1),64,0)-IF(C2490=DATE(2026,11,28),38,0)-IF(C2490=DATE(2026,12,2),26,0)))</f>
        <v/>
      </c>
      <c r="I2490" s="13">
        <f>IF(AND(C2490&gt;=DATE(2026,11,29),C2490&lt;=DATE(2026,12,1)),B2490*60,0)</f>
        <v/>
      </c>
      <c r="J2490" s="13">
        <f>IF(A2490="",0,B2490*(IF(C2490=DATE(2026,11,28),38,0)+IF(C2490=DATE(2026,12,1),38,0)+IF(C2490=DATE(2026,12,2),26,0)))</f>
        <v/>
      </c>
      <c r="K2490" s="13">
        <f>IF(C2490=Options!$B$9,B2490*12,0)</f>
        <v/>
      </c>
      <c r="L2490" s="13">
        <f>IF(C2490=Options!$B$9,B2490*Options!$Z$8,0)</f>
        <v/>
      </c>
      <c r="M2490" s="13" t="n">
        <v>0</v>
      </c>
      <c r="N2490" s="13">
        <f>SUM(E2490:M2490)</f>
        <v/>
      </c>
    </row>
    <row r="2491">
      <c r="A2491" s="5">
        <f>IF(AND(C2491&gt;=Options!$B$9,C2491&lt;=Options!$B$10),"Boston","")</f>
        <v/>
      </c>
      <c r="B2491" s="5">
        <f>IF(A2491="","",18)</f>
        <v/>
      </c>
      <c r="C2491" s="17" t="n">
        <v>46592</v>
      </c>
      <c r="D2491" s="5">
        <f>IF(A2491="","",IF(C2491=DATE(2026,11,29),"培训；注册午餐；早餐参数",IF(C2491=DATE(2026,11,30),"培训；注册午餐",IF(C2491=DATE(2026,12,1),"培训；注册午餐；机构晚餐",IF(C2491=Options!$B$9,"抵达；"&amp;IF(C2491=DATE(2026,11,28),"机构晚餐","无统一供餐"),IF(C2491=Options!$B$10,"返程；"&amp;IF(C2491=DATE(2026,12,2),"机构午餐","无统一供餐"),"差旅状态；无统一日程"))))))</f>
        <v/>
      </c>
      <c r="E2491" s="13">
        <f>IF(C2491=Options!$B$9,Options!$C$20,0)</f>
        <v/>
      </c>
      <c r="F2491" s="13">
        <f>IF(AND(A2491&lt;&gt;"",C2491&lt;Options!$B$10),B2491*Options!$X$8,0)</f>
        <v/>
      </c>
      <c r="G2491" s="13">
        <f>F2491*12%</f>
        <v/>
      </c>
      <c r="H2491" s="13">
        <f>IF(A2491="",0,B2491*(92*IF(OR(C2491=Options!$B$9,C2491=Options!$B$10),75%,100%)-IF(C2491=DATE(2026,11,29),26+IF(Options!$B$8="是",23,0),0)-IF(C2491=DATE(2026,11,30),26,0)-IF(C2491=DATE(2026,12,1),64,0)-IF(C2491=DATE(2026,11,28),38,0)-IF(C2491=DATE(2026,12,2),26,0)))</f>
        <v/>
      </c>
      <c r="I2491" s="13">
        <f>IF(AND(C2491&gt;=DATE(2026,11,29),C2491&lt;=DATE(2026,12,1)),B2491*60,0)</f>
        <v/>
      </c>
      <c r="J2491" s="13">
        <f>IF(A2491="",0,B2491*(IF(C2491=DATE(2026,11,28),38,0)+IF(C2491=DATE(2026,12,1),38,0)+IF(C2491=DATE(2026,12,2),26,0)))</f>
        <v/>
      </c>
      <c r="K2491" s="13">
        <f>IF(C2491=Options!$B$9,B2491*12,0)</f>
        <v/>
      </c>
      <c r="L2491" s="13">
        <f>IF(C2491=Options!$B$9,B2491*Options!$Z$8,0)</f>
        <v/>
      </c>
      <c r="M2491" s="13" t="n">
        <v>0</v>
      </c>
      <c r="N2491" s="13">
        <f>SUM(E2491:M2491)</f>
        <v/>
      </c>
    </row>
    <row r="2492">
      <c r="A2492" s="5">
        <f>IF(AND(C2492&gt;=Options!$B$9,C2492&lt;=Options!$B$10),"Boston","")</f>
        <v/>
      </c>
      <c r="B2492" s="5">
        <f>IF(A2492="","",18)</f>
        <v/>
      </c>
      <c r="C2492" s="17" t="n">
        <v>46593</v>
      </c>
      <c r="D2492" s="5">
        <f>IF(A2492="","",IF(C2492=DATE(2026,11,29),"培训；注册午餐；早餐参数",IF(C2492=DATE(2026,11,30),"培训；注册午餐",IF(C2492=DATE(2026,12,1),"培训；注册午餐；机构晚餐",IF(C2492=Options!$B$9,"抵达；"&amp;IF(C2492=DATE(2026,11,28),"机构晚餐","无统一供餐"),IF(C2492=Options!$B$10,"返程；"&amp;IF(C2492=DATE(2026,12,2),"机构午餐","无统一供餐"),"差旅状态；无统一日程"))))))</f>
        <v/>
      </c>
      <c r="E2492" s="13">
        <f>IF(C2492=Options!$B$9,Options!$C$20,0)</f>
        <v/>
      </c>
      <c r="F2492" s="13">
        <f>IF(AND(A2492&lt;&gt;"",C2492&lt;Options!$B$10),B2492*Options!$X$8,0)</f>
        <v/>
      </c>
      <c r="G2492" s="13">
        <f>F2492*12%</f>
        <v/>
      </c>
      <c r="H2492" s="13">
        <f>IF(A2492="",0,B2492*(92*IF(OR(C2492=Options!$B$9,C2492=Options!$B$10),75%,100%)-IF(C2492=DATE(2026,11,29),26+IF(Options!$B$8="是",23,0),0)-IF(C2492=DATE(2026,11,30),26,0)-IF(C2492=DATE(2026,12,1),64,0)-IF(C2492=DATE(2026,11,28),38,0)-IF(C2492=DATE(2026,12,2),26,0)))</f>
        <v/>
      </c>
      <c r="I2492" s="13">
        <f>IF(AND(C2492&gt;=DATE(2026,11,29),C2492&lt;=DATE(2026,12,1)),B2492*60,0)</f>
        <v/>
      </c>
      <c r="J2492" s="13">
        <f>IF(A2492="",0,B2492*(IF(C2492=DATE(2026,11,28),38,0)+IF(C2492=DATE(2026,12,1),38,0)+IF(C2492=DATE(2026,12,2),26,0)))</f>
        <v/>
      </c>
      <c r="K2492" s="13">
        <f>IF(C2492=Options!$B$9,B2492*12,0)</f>
        <v/>
      </c>
      <c r="L2492" s="13">
        <f>IF(C2492=Options!$B$9,B2492*Options!$Z$8,0)</f>
        <v/>
      </c>
      <c r="M2492" s="13" t="n">
        <v>0</v>
      </c>
      <c r="N2492" s="13">
        <f>SUM(E2492:M2492)</f>
        <v/>
      </c>
    </row>
    <row r="2493">
      <c r="A2493" s="5">
        <f>IF(AND(C2493&gt;=Options!$B$9,C2493&lt;=Options!$B$10),"Boston","")</f>
        <v/>
      </c>
      <c r="B2493" s="5">
        <f>IF(A2493="","",18)</f>
        <v/>
      </c>
      <c r="C2493" s="17" t="n">
        <v>46594</v>
      </c>
      <c r="D2493" s="5">
        <f>IF(A2493="","",IF(C2493=DATE(2026,11,29),"培训；注册午餐；早餐参数",IF(C2493=DATE(2026,11,30),"培训；注册午餐",IF(C2493=DATE(2026,12,1),"培训；注册午餐；机构晚餐",IF(C2493=Options!$B$9,"抵达；"&amp;IF(C2493=DATE(2026,11,28),"机构晚餐","无统一供餐"),IF(C2493=Options!$B$10,"返程；"&amp;IF(C2493=DATE(2026,12,2),"机构午餐","无统一供餐"),"差旅状态；无统一日程"))))))</f>
        <v/>
      </c>
      <c r="E2493" s="13">
        <f>IF(C2493=Options!$B$9,Options!$C$20,0)</f>
        <v/>
      </c>
      <c r="F2493" s="13">
        <f>IF(AND(A2493&lt;&gt;"",C2493&lt;Options!$B$10),B2493*Options!$X$8,0)</f>
        <v/>
      </c>
      <c r="G2493" s="13">
        <f>F2493*12%</f>
        <v/>
      </c>
      <c r="H2493" s="13">
        <f>IF(A2493="",0,B2493*(92*IF(OR(C2493=Options!$B$9,C2493=Options!$B$10),75%,100%)-IF(C2493=DATE(2026,11,29),26+IF(Options!$B$8="是",23,0),0)-IF(C2493=DATE(2026,11,30),26,0)-IF(C2493=DATE(2026,12,1),64,0)-IF(C2493=DATE(2026,11,28),38,0)-IF(C2493=DATE(2026,12,2),26,0)))</f>
        <v/>
      </c>
      <c r="I2493" s="13">
        <f>IF(AND(C2493&gt;=DATE(2026,11,29),C2493&lt;=DATE(2026,12,1)),B2493*60,0)</f>
        <v/>
      </c>
      <c r="J2493" s="13">
        <f>IF(A2493="",0,B2493*(IF(C2493=DATE(2026,11,28),38,0)+IF(C2493=DATE(2026,12,1),38,0)+IF(C2493=DATE(2026,12,2),26,0)))</f>
        <v/>
      </c>
      <c r="K2493" s="13">
        <f>IF(C2493=Options!$B$9,B2493*12,0)</f>
        <v/>
      </c>
      <c r="L2493" s="13">
        <f>IF(C2493=Options!$B$9,B2493*Options!$Z$8,0)</f>
        <v/>
      </c>
      <c r="M2493" s="13" t="n">
        <v>0</v>
      </c>
      <c r="N2493" s="13">
        <f>SUM(E2493:M2493)</f>
        <v/>
      </c>
    </row>
    <row r="2494">
      <c r="A2494" s="5">
        <f>IF(AND(C2494&gt;=Options!$B$9,C2494&lt;=Options!$B$10),"Boston","")</f>
        <v/>
      </c>
      <c r="B2494" s="5">
        <f>IF(A2494="","",18)</f>
        <v/>
      </c>
      <c r="C2494" s="17" t="n">
        <v>46595</v>
      </c>
      <c r="D2494" s="5">
        <f>IF(A2494="","",IF(C2494=DATE(2026,11,29),"培训；注册午餐；早餐参数",IF(C2494=DATE(2026,11,30),"培训；注册午餐",IF(C2494=DATE(2026,12,1),"培训；注册午餐；机构晚餐",IF(C2494=Options!$B$9,"抵达；"&amp;IF(C2494=DATE(2026,11,28),"机构晚餐","无统一供餐"),IF(C2494=Options!$B$10,"返程；"&amp;IF(C2494=DATE(2026,12,2),"机构午餐","无统一供餐"),"差旅状态；无统一日程"))))))</f>
        <v/>
      </c>
      <c r="E2494" s="13">
        <f>IF(C2494=Options!$B$9,Options!$C$20,0)</f>
        <v/>
      </c>
      <c r="F2494" s="13">
        <f>IF(AND(A2494&lt;&gt;"",C2494&lt;Options!$B$10),B2494*Options!$X$8,0)</f>
        <v/>
      </c>
      <c r="G2494" s="13">
        <f>F2494*12%</f>
        <v/>
      </c>
      <c r="H2494" s="13">
        <f>IF(A2494="",0,B2494*(92*IF(OR(C2494=Options!$B$9,C2494=Options!$B$10),75%,100%)-IF(C2494=DATE(2026,11,29),26+IF(Options!$B$8="是",23,0),0)-IF(C2494=DATE(2026,11,30),26,0)-IF(C2494=DATE(2026,12,1),64,0)-IF(C2494=DATE(2026,11,28),38,0)-IF(C2494=DATE(2026,12,2),26,0)))</f>
        <v/>
      </c>
      <c r="I2494" s="13">
        <f>IF(AND(C2494&gt;=DATE(2026,11,29),C2494&lt;=DATE(2026,12,1)),B2494*60,0)</f>
        <v/>
      </c>
      <c r="J2494" s="13">
        <f>IF(A2494="",0,B2494*(IF(C2494=DATE(2026,11,28),38,0)+IF(C2494=DATE(2026,12,1),38,0)+IF(C2494=DATE(2026,12,2),26,0)))</f>
        <v/>
      </c>
      <c r="K2494" s="13">
        <f>IF(C2494=Options!$B$9,B2494*12,0)</f>
        <v/>
      </c>
      <c r="L2494" s="13">
        <f>IF(C2494=Options!$B$9,B2494*Options!$Z$8,0)</f>
        <v/>
      </c>
      <c r="M2494" s="13" t="n">
        <v>0</v>
      </c>
      <c r="N2494" s="13">
        <f>SUM(E2494:M2494)</f>
        <v/>
      </c>
    </row>
    <row r="2495">
      <c r="A2495" s="5">
        <f>IF(AND(C2495&gt;=Options!$B$9,C2495&lt;=Options!$B$10),"Boston","")</f>
        <v/>
      </c>
      <c r="B2495" s="5">
        <f>IF(A2495="","",18)</f>
        <v/>
      </c>
      <c r="C2495" s="17" t="n">
        <v>46596</v>
      </c>
      <c r="D2495" s="5">
        <f>IF(A2495="","",IF(C2495=DATE(2026,11,29),"培训；注册午餐；早餐参数",IF(C2495=DATE(2026,11,30),"培训；注册午餐",IF(C2495=DATE(2026,12,1),"培训；注册午餐；机构晚餐",IF(C2495=Options!$B$9,"抵达；"&amp;IF(C2495=DATE(2026,11,28),"机构晚餐","无统一供餐"),IF(C2495=Options!$B$10,"返程；"&amp;IF(C2495=DATE(2026,12,2),"机构午餐","无统一供餐"),"差旅状态；无统一日程"))))))</f>
        <v/>
      </c>
      <c r="E2495" s="13">
        <f>IF(C2495=Options!$B$9,Options!$C$20,0)</f>
        <v/>
      </c>
      <c r="F2495" s="13">
        <f>IF(AND(A2495&lt;&gt;"",C2495&lt;Options!$B$10),B2495*Options!$X$8,0)</f>
        <v/>
      </c>
      <c r="G2495" s="13">
        <f>F2495*12%</f>
        <v/>
      </c>
      <c r="H2495" s="13">
        <f>IF(A2495="",0,B2495*(92*IF(OR(C2495=Options!$B$9,C2495=Options!$B$10),75%,100%)-IF(C2495=DATE(2026,11,29),26+IF(Options!$B$8="是",23,0),0)-IF(C2495=DATE(2026,11,30),26,0)-IF(C2495=DATE(2026,12,1),64,0)-IF(C2495=DATE(2026,11,28),38,0)-IF(C2495=DATE(2026,12,2),26,0)))</f>
        <v/>
      </c>
      <c r="I2495" s="13">
        <f>IF(AND(C2495&gt;=DATE(2026,11,29),C2495&lt;=DATE(2026,12,1)),B2495*60,0)</f>
        <v/>
      </c>
      <c r="J2495" s="13">
        <f>IF(A2495="",0,B2495*(IF(C2495=DATE(2026,11,28),38,0)+IF(C2495=DATE(2026,12,1),38,0)+IF(C2495=DATE(2026,12,2),26,0)))</f>
        <v/>
      </c>
      <c r="K2495" s="13">
        <f>IF(C2495=Options!$B$9,B2495*12,0)</f>
        <v/>
      </c>
      <c r="L2495" s="13">
        <f>IF(C2495=Options!$B$9,B2495*Options!$Z$8,0)</f>
        <v/>
      </c>
      <c r="M2495" s="13" t="n">
        <v>0</v>
      </c>
      <c r="N2495" s="13">
        <f>SUM(E2495:M2495)</f>
        <v/>
      </c>
    </row>
    <row r="2496">
      <c r="A2496" s="5">
        <f>IF(AND(C2496&gt;=Options!$B$9,C2496&lt;=Options!$B$10),"Boston","")</f>
        <v/>
      </c>
      <c r="B2496" s="5">
        <f>IF(A2496="","",18)</f>
        <v/>
      </c>
      <c r="C2496" s="17" t="n">
        <v>46597</v>
      </c>
      <c r="D2496" s="5">
        <f>IF(A2496="","",IF(C2496=DATE(2026,11,29),"培训；注册午餐；早餐参数",IF(C2496=DATE(2026,11,30),"培训；注册午餐",IF(C2496=DATE(2026,12,1),"培训；注册午餐；机构晚餐",IF(C2496=Options!$B$9,"抵达；"&amp;IF(C2496=DATE(2026,11,28),"机构晚餐","无统一供餐"),IF(C2496=Options!$B$10,"返程；"&amp;IF(C2496=DATE(2026,12,2),"机构午餐","无统一供餐"),"差旅状态；无统一日程"))))))</f>
        <v/>
      </c>
      <c r="E2496" s="13">
        <f>IF(C2496=Options!$B$9,Options!$C$20,0)</f>
        <v/>
      </c>
      <c r="F2496" s="13">
        <f>IF(AND(A2496&lt;&gt;"",C2496&lt;Options!$B$10),B2496*Options!$X$8,0)</f>
        <v/>
      </c>
      <c r="G2496" s="13">
        <f>F2496*12%</f>
        <v/>
      </c>
      <c r="H2496" s="13">
        <f>IF(A2496="",0,B2496*(92*IF(OR(C2496=Options!$B$9,C2496=Options!$B$10),75%,100%)-IF(C2496=DATE(2026,11,29),26+IF(Options!$B$8="是",23,0),0)-IF(C2496=DATE(2026,11,30),26,0)-IF(C2496=DATE(2026,12,1),64,0)-IF(C2496=DATE(2026,11,28),38,0)-IF(C2496=DATE(2026,12,2),26,0)))</f>
        <v/>
      </c>
      <c r="I2496" s="13">
        <f>IF(AND(C2496&gt;=DATE(2026,11,29),C2496&lt;=DATE(2026,12,1)),B2496*60,0)</f>
        <v/>
      </c>
      <c r="J2496" s="13">
        <f>IF(A2496="",0,B2496*(IF(C2496=DATE(2026,11,28),38,0)+IF(C2496=DATE(2026,12,1),38,0)+IF(C2496=DATE(2026,12,2),26,0)))</f>
        <v/>
      </c>
      <c r="K2496" s="13">
        <f>IF(C2496=Options!$B$9,B2496*12,0)</f>
        <v/>
      </c>
      <c r="L2496" s="13">
        <f>IF(C2496=Options!$B$9,B2496*Options!$Z$8,0)</f>
        <v/>
      </c>
      <c r="M2496" s="13" t="n">
        <v>0</v>
      </c>
      <c r="N2496" s="13">
        <f>SUM(E2496:M2496)</f>
        <v/>
      </c>
    </row>
    <row r="2497">
      <c r="A2497" s="5">
        <f>IF(AND(C2497&gt;=Options!$B$9,C2497&lt;=Options!$B$10),"Boston","")</f>
        <v/>
      </c>
      <c r="B2497" s="5">
        <f>IF(A2497="","",18)</f>
        <v/>
      </c>
      <c r="C2497" s="17" t="n">
        <v>46598</v>
      </c>
      <c r="D2497" s="5">
        <f>IF(A2497="","",IF(C2497=DATE(2026,11,29),"培训；注册午餐；早餐参数",IF(C2497=DATE(2026,11,30),"培训；注册午餐",IF(C2497=DATE(2026,12,1),"培训；注册午餐；机构晚餐",IF(C2497=Options!$B$9,"抵达；"&amp;IF(C2497=DATE(2026,11,28),"机构晚餐","无统一供餐"),IF(C2497=Options!$B$10,"返程；"&amp;IF(C2497=DATE(2026,12,2),"机构午餐","无统一供餐"),"差旅状态；无统一日程"))))))</f>
        <v/>
      </c>
      <c r="E2497" s="13">
        <f>IF(C2497=Options!$B$9,Options!$C$20,0)</f>
        <v/>
      </c>
      <c r="F2497" s="13">
        <f>IF(AND(A2497&lt;&gt;"",C2497&lt;Options!$B$10),B2497*Options!$X$8,0)</f>
        <v/>
      </c>
      <c r="G2497" s="13">
        <f>F2497*12%</f>
        <v/>
      </c>
      <c r="H2497" s="13">
        <f>IF(A2497="",0,B2497*(92*IF(OR(C2497=Options!$B$9,C2497=Options!$B$10),75%,100%)-IF(C2497=DATE(2026,11,29),26+IF(Options!$B$8="是",23,0),0)-IF(C2497=DATE(2026,11,30),26,0)-IF(C2497=DATE(2026,12,1),64,0)-IF(C2497=DATE(2026,11,28),38,0)-IF(C2497=DATE(2026,12,2),26,0)))</f>
        <v/>
      </c>
      <c r="I2497" s="13">
        <f>IF(AND(C2497&gt;=DATE(2026,11,29),C2497&lt;=DATE(2026,12,1)),B2497*60,0)</f>
        <v/>
      </c>
      <c r="J2497" s="13">
        <f>IF(A2497="",0,B2497*(IF(C2497=DATE(2026,11,28),38,0)+IF(C2497=DATE(2026,12,1),38,0)+IF(C2497=DATE(2026,12,2),26,0)))</f>
        <v/>
      </c>
      <c r="K2497" s="13">
        <f>IF(C2497=Options!$B$9,B2497*12,0)</f>
        <v/>
      </c>
      <c r="L2497" s="13">
        <f>IF(C2497=Options!$B$9,B2497*Options!$Z$8,0)</f>
        <v/>
      </c>
      <c r="M2497" s="13" t="n">
        <v>0</v>
      </c>
      <c r="N2497" s="13">
        <f>SUM(E2497:M2497)</f>
        <v/>
      </c>
    </row>
    <row r="2498">
      <c r="A2498" s="5">
        <f>IF(AND(C2498&gt;=Options!$B$9,C2498&lt;=Options!$B$10),"Boston","")</f>
        <v/>
      </c>
      <c r="B2498" s="5">
        <f>IF(A2498="","",18)</f>
        <v/>
      </c>
      <c r="C2498" s="17" t="n">
        <v>46599</v>
      </c>
      <c r="D2498" s="5">
        <f>IF(A2498="","",IF(C2498=DATE(2026,11,29),"培训；注册午餐；早餐参数",IF(C2498=DATE(2026,11,30),"培训；注册午餐",IF(C2498=DATE(2026,12,1),"培训；注册午餐；机构晚餐",IF(C2498=Options!$B$9,"抵达；"&amp;IF(C2498=DATE(2026,11,28),"机构晚餐","无统一供餐"),IF(C2498=Options!$B$10,"返程；"&amp;IF(C2498=DATE(2026,12,2),"机构午餐","无统一供餐"),"差旅状态；无统一日程"))))))</f>
        <v/>
      </c>
      <c r="E2498" s="13">
        <f>IF(C2498=Options!$B$9,Options!$C$20,0)</f>
        <v/>
      </c>
      <c r="F2498" s="13">
        <f>IF(AND(A2498&lt;&gt;"",C2498&lt;Options!$B$10),B2498*Options!$X$8,0)</f>
        <v/>
      </c>
      <c r="G2498" s="13">
        <f>F2498*12%</f>
        <v/>
      </c>
      <c r="H2498" s="13">
        <f>IF(A2498="",0,B2498*(92*IF(OR(C2498=Options!$B$9,C2498=Options!$B$10),75%,100%)-IF(C2498=DATE(2026,11,29),26+IF(Options!$B$8="是",23,0),0)-IF(C2498=DATE(2026,11,30),26,0)-IF(C2498=DATE(2026,12,1),64,0)-IF(C2498=DATE(2026,11,28),38,0)-IF(C2498=DATE(2026,12,2),26,0)))</f>
        <v/>
      </c>
      <c r="I2498" s="13">
        <f>IF(AND(C2498&gt;=DATE(2026,11,29),C2498&lt;=DATE(2026,12,1)),B2498*60,0)</f>
        <v/>
      </c>
      <c r="J2498" s="13">
        <f>IF(A2498="",0,B2498*(IF(C2498=DATE(2026,11,28),38,0)+IF(C2498=DATE(2026,12,1),38,0)+IF(C2498=DATE(2026,12,2),26,0)))</f>
        <v/>
      </c>
      <c r="K2498" s="13">
        <f>IF(C2498=Options!$B$9,B2498*12,0)</f>
        <v/>
      </c>
      <c r="L2498" s="13">
        <f>IF(C2498=Options!$B$9,B2498*Options!$Z$8,0)</f>
        <v/>
      </c>
      <c r="M2498" s="13" t="n">
        <v>0</v>
      </c>
      <c r="N2498" s="13">
        <f>SUM(E2498:M2498)</f>
        <v/>
      </c>
    </row>
    <row r="2499">
      <c r="A2499" s="5">
        <f>IF(AND(C2499&gt;=Options!$B$9,C2499&lt;=Options!$B$10),"Boston","")</f>
        <v/>
      </c>
      <c r="B2499" s="5">
        <f>IF(A2499="","",18)</f>
        <v/>
      </c>
      <c r="C2499" s="17" t="n">
        <v>46600</v>
      </c>
      <c r="D2499" s="5">
        <f>IF(A2499="","",IF(C2499=DATE(2026,11,29),"培训；注册午餐；早餐参数",IF(C2499=DATE(2026,11,30),"培训；注册午餐",IF(C2499=DATE(2026,12,1),"培训；注册午餐；机构晚餐",IF(C2499=Options!$B$9,"抵达；"&amp;IF(C2499=DATE(2026,11,28),"机构晚餐","无统一供餐"),IF(C2499=Options!$B$10,"返程；"&amp;IF(C2499=DATE(2026,12,2),"机构午餐","无统一供餐"),"差旅状态；无统一日程"))))))</f>
        <v/>
      </c>
      <c r="E2499" s="13">
        <f>IF(C2499=Options!$B$9,Options!$C$20,0)</f>
        <v/>
      </c>
      <c r="F2499" s="13">
        <f>IF(AND(A2499&lt;&gt;"",C2499&lt;Options!$B$10),B2499*Options!$X$8,0)</f>
        <v/>
      </c>
      <c r="G2499" s="13">
        <f>F2499*12%</f>
        <v/>
      </c>
      <c r="H2499" s="13">
        <f>IF(A2499="",0,B2499*(92*IF(OR(C2499=Options!$B$9,C2499=Options!$B$10),75%,100%)-IF(C2499=DATE(2026,11,29),26+IF(Options!$B$8="是",23,0),0)-IF(C2499=DATE(2026,11,30),26,0)-IF(C2499=DATE(2026,12,1),64,0)-IF(C2499=DATE(2026,11,28),38,0)-IF(C2499=DATE(2026,12,2),26,0)))</f>
        <v/>
      </c>
      <c r="I2499" s="13">
        <f>IF(AND(C2499&gt;=DATE(2026,11,29),C2499&lt;=DATE(2026,12,1)),B2499*60,0)</f>
        <v/>
      </c>
      <c r="J2499" s="13">
        <f>IF(A2499="",0,B2499*(IF(C2499=DATE(2026,11,28),38,0)+IF(C2499=DATE(2026,12,1),38,0)+IF(C2499=DATE(2026,12,2),26,0)))</f>
        <v/>
      </c>
      <c r="K2499" s="13">
        <f>IF(C2499=Options!$B$9,B2499*12,0)</f>
        <v/>
      </c>
      <c r="L2499" s="13">
        <f>IF(C2499=Options!$B$9,B2499*Options!$Z$8,0)</f>
        <v/>
      </c>
      <c r="M2499" s="13" t="n">
        <v>0</v>
      </c>
      <c r="N2499" s="13">
        <f>SUM(E2499:M2499)</f>
        <v/>
      </c>
    </row>
    <row r="2500">
      <c r="A2500" s="5">
        <f>IF(AND(C2500&gt;=Options!$B$9,C2500&lt;=Options!$B$10),"Boston","")</f>
        <v/>
      </c>
      <c r="B2500" s="5">
        <f>IF(A2500="","",18)</f>
        <v/>
      </c>
      <c r="C2500" s="17" t="n">
        <v>46601</v>
      </c>
      <c r="D2500" s="5">
        <f>IF(A2500="","",IF(C2500=DATE(2026,11,29),"培训；注册午餐；早餐参数",IF(C2500=DATE(2026,11,30),"培训；注册午餐",IF(C2500=DATE(2026,12,1),"培训；注册午餐；机构晚餐",IF(C2500=Options!$B$9,"抵达；"&amp;IF(C2500=DATE(2026,11,28),"机构晚餐","无统一供餐"),IF(C2500=Options!$B$10,"返程；"&amp;IF(C2500=DATE(2026,12,2),"机构午餐","无统一供餐"),"差旅状态；无统一日程"))))))</f>
        <v/>
      </c>
      <c r="E2500" s="13">
        <f>IF(C2500=Options!$B$9,Options!$C$20,0)</f>
        <v/>
      </c>
      <c r="F2500" s="13">
        <f>IF(AND(A2500&lt;&gt;"",C2500&lt;Options!$B$10),B2500*Options!$X$8,0)</f>
        <v/>
      </c>
      <c r="G2500" s="13">
        <f>F2500*12%</f>
        <v/>
      </c>
      <c r="H2500" s="13">
        <f>IF(A2500="",0,B2500*(92*IF(OR(C2500=Options!$B$9,C2500=Options!$B$10),75%,100%)-IF(C2500=DATE(2026,11,29),26+IF(Options!$B$8="是",23,0),0)-IF(C2500=DATE(2026,11,30),26,0)-IF(C2500=DATE(2026,12,1),64,0)-IF(C2500=DATE(2026,11,28),38,0)-IF(C2500=DATE(2026,12,2),26,0)))</f>
        <v/>
      </c>
      <c r="I2500" s="13">
        <f>IF(AND(C2500&gt;=DATE(2026,11,29),C2500&lt;=DATE(2026,12,1)),B2500*60,0)</f>
        <v/>
      </c>
      <c r="J2500" s="13">
        <f>IF(A2500="",0,B2500*(IF(C2500=DATE(2026,11,28),38,0)+IF(C2500=DATE(2026,12,1),38,0)+IF(C2500=DATE(2026,12,2),26,0)))</f>
        <v/>
      </c>
      <c r="K2500" s="13">
        <f>IF(C2500=Options!$B$9,B2500*12,0)</f>
        <v/>
      </c>
      <c r="L2500" s="13">
        <f>IF(C2500=Options!$B$9,B2500*Options!$Z$8,0)</f>
        <v/>
      </c>
      <c r="M2500" s="13" t="n">
        <v>0</v>
      </c>
      <c r="N2500" s="13">
        <f>SUM(E2500:M2500)</f>
        <v/>
      </c>
    </row>
    <row r="2501">
      <c r="A2501" s="5">
        <f>IF(AND(C2501&gt;=Options!$B$9,C2501&lt;=Options!$B$10),"Boston","")</f>
        <v/>
      </c>
      <c r="B2501" s="5">
        <f>IF(A2501="","",18)</f>
        <v/>
      </c>
      <c r="C2501" s="17" t="n">
        <v>46602</v>
      </c>
      <c r="D2501" s="5">
        <f>IF(A2501="","",IF(C2501=DATE(2026,11,29),"培训；注册午餐；早餐参数",IF(C2501=DATE(2026,11,30),"培训；注册午餐",IF(C2501=DATE(2026,12,1),"培训；注册午餐；机构晚餐",IF(C2501=Options!$B$9,"抵达；"&amp;IF(C2501=DATE(2026,11,28),"机构晚餐","无统一供餐"),IF(C2501=Options!$B$10,"返程；"&amp;IF(C2501=DATE(2026,12,2),"机构午餐","无统一供餐"),"差旅状态；无统一日程"))))))</f>
        <v/>
      </c>
      <c r="E2501" s="13">
        <f>IF(C2501=Options!$B$9,Options!$C$20,0)</f>
        <v/>
      </c>
      <c r="F2501" s="13">
        <f>IF(AND(A2501&lt;&gt;"",C2501&lt;Options!$B$10),B2501*Options!$X$8,0)</f>
        <v/>
      </c>
      <c r="G2501" s="13">
        <f>F2501*12%</f>
        <v/>
      </c>
      <c r="H2501" s="13">
        <f>IF(A2501="",0,B2501*(92*IF(OR(C2501=Options!$B$9,C2501=Options!$B$10),75%,100%)-IF(C2501=DATE(2026,11,29),26+IF(Options!$B$8="是",23,0),0)-IF(C2501=DATE(2026,11,30),26,0)-IF(C2501=DATE(2026,12,1),64,0)-IF(C2501=DATE(2026,11,28),38,0)-IF(C2501=DATE(2026,12,2),26,0)))</f>
        <v/>
      </c>
      <c r="I2501" s="13">
        <f>IF(AND(C2501&gt;=DATE(2026,11,29),C2501&lt;=DATE(2026,12,1)),B2501*60,0)</f>
        <v/>
      </c>
      <c r="J2501" s="13">
        <f>IF(A2501="",0,B2501*(IF(C2501=DATE(2026,11,28),38,0)+IF(C2501=DATE(2026,12,1),38,0)+IF(C2501=DATE(2026,12,2),26,0)))</f>
        <v/>
      </c>
      <c r="K2501" s="13">
        <f>IF(C2501=Options!$B$9,B2501*12,0)</f>
        <v/>
      </c>
      <c r="L2501" s="13">
        <f>IF(C2501=Options!$B$9,B2501*Options!$Z$8,0)</f>
        <v/>
      </c>
      <c r="M2501" s="13" t="n">
        <v>0</v>
      </c>
      <c r="N2501" s="13">
        <f>SUM(E2501:M2501)</f>
        <v/>
      </c>
    </row>
    <row r="2502">
      <c r="A2502" s="5">
        <f>IF(AND(C2502&gt;=Options!$B$9,C2502&lt;=Options!$B$10),"Boston","")</f>
        <v/>
      </c>
      <c r="B2502" s="5">
        <f>IF(A2502="","",18)</f>
        <v/>
      </c>
      <c r="C2502" s="17" t="n">
        <v>46603</v>
      </c>
      <c r="D2502" s="5">
        <f>IF(A2502="","",IF(C2502=DATE(2026,11,29),"培训；注册午餐；早餐参数",IF(C2502=DATE(2026,11,30),"培训；注册午餐",IF(C2502=DATE(2026,12,1),"培训；注册午餐；机构晚餐",IF(C2502=Options!$B$9,"抵达；"&amp;IF(C2502=DATE(2026,11,28),"机构晚餐","无统一供餐"),IF(C2502=Options!$B$10,"返程；"&amp;IF(C2502=DATE(2026,12,2),"机构午餐","无统一供餐"),"差旅状态；无统一日程"))))))</f>
        <v/>
      </c>
      <c r="E2502" s="13">
        <f>IF(C2502=Options!$B$9,Options!$C$20,0)</f>
        <v/>
      </c>
      <c r="F2502" s="13">
        <f>IF(AND(A2502&lt;&gt;"",C2502&lt;Options!$B$10),B2502*Options!$X$8,0)</f>
        <v/>
      </c>
      <c r="G2502" s="13">
        <f>F2502*12%</f>
        <v/>
      </c>
      <c r="H2502" s="13">
        <f>IF(A2502="",0,B2502*(92*IF(OR(C2502=Options!$B$9,C2502=Options!$B$10),75%,100%)-IF(C2502=DATE(2026,11,29),26+IF(Options!$B$8="是",23,0),0)-IF(C2502=DATE(2026,11,30),26,0)-IF(C2502=DATE(2026,12,1),64,0)-IF(C2502=DATE(2026,11,28),38,0)-IF(C2502=DATE(2026,12,2),26,0)))</f>
        <v/>
      </c>
      <c r="I2502" s="13">
        <f>IF(AND(C2502&gt;=DATE(2026,11,29),C2502&lt;=DATE(2026,12,1)),B2502*60,0)</f>
        <v/>
      </c>
      <c r="J2502" s="13">
        <f>IF(A2502="",0,B2502*(IF(C2502=DATE(2026,11,28),38,0)+IF(C2502=DATE(2026,12,1),38,0)+IF(C2502=DATE(2026,12,2),26,0)))</f>
        <v/>
      </c>
      <c r="K2502" s="13">
        <f>IF(C2502=Options!$B$9,B2502*12,0)</f>
        <v/>
      </c>
      <c r="L2502" s="13">
        <f>IF(C2502=Options!$B$9,B2502*Options!$Z$8,0)</f>
        <v/>
      </c>
      <c r="M2502" s="13" t="n">
        <v>0</v>
      </c>
      <c r="N2502" s="13">
        <f>SUM(E2502:M2502)</f>
        <v/>
      </c>
    </row>
    <row r="2503">
      <c r="A2503" s="5">
        <f>IF(AND(C2503&gt;=Options!$B$9,C2503&lt;=Options!$B$10),"Boston","")</f>
        <v/>
      </c>
      <c r="B2503" s="5">
        <f>IF(A2503="","",18)</f>
        <v/>
      </c>
      <c r="C2503" s="17" t="n">
        <v>46604</v>
      </c>
      <c r="D2503" s="5">
        <f>IF(A2503="","",IF(C2503=DATE(2026,11,29),"培训；注册午餐；早餐参数",IF(C2503=DATE(2026,11,30),"培训；注册午餐",IF(C2503=DATE(2026,12,1),"培训；注册午餐；机构晚餐",IF(C2503=Options!$B$9,"抵达；"&amp;IF(C2503=DATE(2026,11,28),"机构晚餐","无统一供餐"),IF(C2503=Options!$B$10,"返程；"&amp;IF(C2503=DATE(2026,12,2),"机构午餐","无统一供餐"),"差旅状态；无统一日程"))))))</f>
        <v/>
      </c>
      <c r="E2503" s="13">
        <f>IF(C2503=Options!$B$9,Options!$C$20,0)</f>
        <v/>
      </c>
      <c r="F2503" s="13">
        <f>IF(AND(A2503&lt;&gt;"",C2503&lt;Options!$B$10),B2503*Options!$X$8,0)</f>
        <v/>
      </c>
      <c r="G2503" s="13">
        <f>F2503*12%</f>
        <v/>
      </c>
      <c r="H2503" s="13">
        <f>IF(A2503="",0,B2503*(92*IF(OR(C2503=Options!$B$9,C2503=Options!$B$10),75%,100%)-IF(C2503=DATE(2026,11,29),26+IF(Options!$B$8="是",23,0),0)-IF(C2503=DATE(2026,11,30),26,0)-IF(C2503=DATE(2026,12,1),64,0)-IF(C2503=DATE(2026,11,28),38,0)-IF(C2503=DATE(2026,12,2),26,0)))</f>
        <v/>
      </c>
      <c r="I2503" s="13">
        <f>IF(AND(C2503&gt;=DATE(2026,11,29),C2503&lt;=DATE(2026,12,1)),B2503*60,0)</f>
        <v/>
      </c>
      <c r="J2503" s="13">
        <f>IF(A2503="",0,B2503*(IF(C2503=DATE(2026,11,28),38,0)+IF(C2503=DATE(2026,12,1),38,0)+IF(C2503=DATE(2026,12,2),26,0)))</f>
        <v/>
      </c>
      <c r="K2503" s="13">
        <f>IF(C2503=Options!$B$9,B2503*12,0)</f>
        <v/>
      </c>
      <c r="L2503" s="13">
        <f>IF(C2503=Options!$B$9,B2503*Options!$Z$8,0)</f>
        <v/>
      </c>
      <c r="M2503" s="13" t="n">
        <v>0</v>
      </c>
      <c r="N2503" s="13">
        <f>SUM(E2503:M2503)</f>
        <v/>
      </c>
    </row>
    <row r="2504">
      <c r="A2504" s="5">
        <f>IF(AND(C2504&gt;=Options!$B$9,C2504&lt;=Options!$B$10),"Boston","")</f>
        <v/>
      </c>
      <c r="B2504" s="5">
        <f>IF(A2504="","",18)</f>
        <v/>
      </c>
      <c r="C2504" s="17" t="n">
        <v>46605</v>
      </c>
      <c r="D2504" s="5">
        <f>IF(A2504="","",IF(C2504=DATE(2026,11,29),"培训；注册午餐；早餐参数",IF(C2504=DATE(2026,11,30),"培训；注册午餐",IF(C2504=DATE(2026,12,1),"培训；注册午餐；机构晚餐",IF(C2504=Options!$B$9,"抵达；"&amp;IF(C2504=DATE(2026,11,28),"机构晚餐","无统一供餐"),IF(C2504=Options!$B$10,"返程；"&amp;IF(C2504=DATE(2026,12,2),"机构午餐","无统一供餐"),"差旅状态；无统一日程"))))))</f>
        <v/>
      </c>
      <c r="E2504" s="13">
        <f>IF(C2504=Options!$B$9,Options!$C$20,0)</f>
        <v/>
      </c>
      <c r="F2504" s="13">
        <f>IF(AND(A2504&lt;&gt;"",C2504&lt;Options!$B$10),B2504*Options!$X$8,0)</f>
        <v/>
      </c>
      <c r="G2504" s="13">
        <f>F2504*12%</f>
        <v/>
      </c>
      <c r="H2504" s="13">
        <f>IF(A2504="",0,B2504*(92*IF(OR(C2504=Options!$B$9,C2504=Options!$B$10),75%,100%)-IF(C2504=DATE(2026,11,29),26+IF(Options!$B$8="是",23,0),0)-IF(C2504=DATE(2026,11,30),26,0)-IF(C2504=DATE(2026,12,1),64,0)-IF(C2504=DATE(2026,11,28),38,0)-IF(C2504=DATE(2026,12,2),26,0)))</f>
        <v/>
      </c>
      <c r="I2504" s="13">
        <f>IF(AND(C2504&gt;=DATE(2026,11,29),C2504&lt;=DATE(2026,12,1)),B2504*60,0)</f>
        <v/>
      </c>
      <c r="J2504" s="13">
        <f>IF(A2504="",0,B2504*(IF(C2504=DATE(2026,11,28),38,0)+IF(C2504=DATE(2026,12,1),38,0)+IF(C2504=DATE(2026,12,2),26,0)))</f>
        <v/>
      </c>
      <c r="K2504" s="13">
        <f>IF(C2504=Options!$B$9,B2504*12,0)</f>
        <v/>
      </c>
      <c r="L2504" s="13">
        <f>IF(C2504=Options!$B$9,B2504*Options!$Z$8,0)</f>
        <v/>
      </c>
      <c r="M2504" s="13" t="n">
        <v>0</v>
      </c>
      <c r="N2504" s="13">
        <f>SUM(E2504:M2504)</f>
        <v/>
      </c>
    </row>
    <row r="2505">
      <c r="A2505" s="5">
        <f>IF(AND(C2505&gt;=Options!$B$9,C2505&lt;=Options!$B$10),"Boston","")</f>
        <v/>
      </c>
      <c r="B2505" s="5">
        <f>IF(A2505="","",18)</f>
        <v/>
      </c>
      <c r="C2505" s="17" t="n">
        <v>46606</v>
      </c>
      <c r="D2505" s="5">
        <f>IF(A2505="","",IF(C2505=DATE(2026,11,29),"培训；注册午餐；早餐参数",IF(C2505=DATE(2026,11,30),"培训；注册午餐",IF(C2505=DATE(2026,12,1),"培训；注册午餐；机构晚餐",IF(C2505=Options!$B$9,"抵达；"&amp;IF(C2505=DATE(2026,11,28),"机构晚餐","无统一供餐"),IF(C2505=Options!$B$10,"返程；"&amp;IF(C2505=DATE(2026,12,2),"机构午餐","无统一供餐"),"差旅状态；无统一日程"))))))</f>
        <v/>
      </c>
      <c r="E2505" s="13">
        <f>IF(C2505=Options!$B$9,Options!$C$20,0)</f>
        <v/>
      </c>
      <c r="F2505" s="13">
        <f>IF(AND(A2505&lt;&gt;"",C2505&lt;Options!$B$10),B2505*Options!$X$8,0)</f>
        <v/>
      </c>
      <c r="G2505" s="13">
        <f>F2505*12%</f>
        <v/>
      </c>
      <c r="H2505" s="13">
        <f>IF(A2505="",0,B2505*(92*IF(OR(C2505=Options!$B$9,C2505=Options!$B$10),75%,100%)-IF(C2505=DATE(2026,11,29),26+IF(Options!$B$8="是",23,0),0)-IF(C2505=DATE(2026,11,30),26,0)-IF(C2505=DATE(2026,12,1),64,0)-IF(C2505=DATE(2026,11,28),38,0)-IF(C2505=DATE(2026,12,2),26,0)))</f>
        <v/>
      </c>
      <c r="I2505" s="13">
        <f>IF(AND(C2505&gt;=DATE(2026,11,29),C2505&lt;=DATE(2026,12,1)),B2505*60,0)</f>
        <v/>
      </c>
      <c r="J2505" s="13">
        <f>IF(A2505="",0,B2505*(IF(C2505=DATE(2026,11,28),38,0)+IF(C2505=DATE(2026,12,1),38,0)+IF(C2505=DATE(2026,12,2),26,0)))</f>
        <v/>
      </c>
      <c r="K2505" s="13">
        <f>IF(C2505=Options!$B$9,B2505*12,0)</f>
        <v/>
      </c>
      <c r="L2505" s="13">
        <f>IF(C2505=Options!$B$9,B2505*Options!$Z$8,0)</f>
        <v/>
      </c>
      <c r="M2505" s="13" t="n">
        <v>0</v>
      </c>
      <c r="N2505" s="13">
        <f>SUM(E2505:M2505)</f>
        <v/>
      </c>
    </row>
    <row r="2506">
      <c r="A2506" s="5">
        <f>IF(AND(C2506&gt;=Options!$B$9,C2506&lt;=Options!$B$10),"Boston","")</f>
        <v/>
      </c>
      <c r="B2506" s="5">
        <f>IF(A2506="","",18)</f>
        <v/>
      </c>
      <c r="C2506" s="17" t="n">
        <v>46607</v>
      </c>
      <c r="D2506" s="5">
        <f>IF(A2506="","",IF(C2506=DATE(2026,11,29),"培训；注册午餐；早餐参数",IF(C2506=DATE(2026,11,30),"培训；注册午餐",IF(C2506=DATE(2026,12,1),"培训；注册午餐；机构晚餐",IF(C2506=Options!$B$9,"抵达；"&amp;IF(C2506=DATE(2026,11,28),"机构晚餐","无统一供餐"),IF(C2506=Options!$B$10,"返程；"&amp;IF(C2506=DATE(2026,12,2),"机构午餐","无统一供餐"),"差旅状态；无统一日程"))))))</f>
        <v/>
      </c>
      <c r="E2506" s="13">
        <f>IF(C2506=Options!$B$9,Options!$C$20,0)</f>
        <v/>
      </c>
      <c r="F2506" s="13">
        <f>IF(AND(A2506&lt;&gt;"",C2506&lt;Options!$B$10),B2506*Options!$X$8,0)</f>
        <v/>
      </c>
      <c r="G2506" s="13">
        <f>F2506*12%</f>
        <v/>
      </c>
      <c r="H2506" s="13">
        <f>IF(A2506="",0,B2506*(92*IF(OR(C2506=Options!$B$9,C2506=Options!$B$10),75%,100%)-IF(C2506=DATE(2026,11,29),26+IF(Options!$B$8="是",23,0),0)-IF(C2506=DATE(2026,11,30),26,0)-IF(C2506=DATE(2026,12,1),64,0)-IF(C2506=DATE(2026,11,28),38,0)-IF(C2506=DATE(2026,12,2),26,0)))</f>
        <v/>
      </c>
      <c r="I2506" s="13">
        <f>IF(AND(C2506&gt;=DATE(2026,11,29),C2506&lt;=DATE(2026,12,1)),B2506*60,0)</f>
        <v/>
      </c>
      <c r="J2506" s="13">
        <f>IF(A2506="",0,B2506*(IF(C2506=DATE(2026,11,28),38,0)+IF(C2506=DATE(2026,12,1),38,0)+IF(C2506=DATE(2026,12,2),26,0)))</f>
        <v/>
      </c>
      <c r="K2506" s="13">
        <f>IF(C2506=Options!$B$9,B2506*12,0)</f>
        <v/>
      </c>
      <c r="L2506" s="13">
        <f>IF(C2506=Options!$B$9,B2506*Options!$Z$8,0)</f>
        <v/>
      </c>
      <c r="M2506" s="13" t="n">
        <v>0</v>
      </c>
      <c r="N2506" s="13">
        <f>SUM(E2506:M2506)</f>
        <v/>
      </c>
    </row>
    <row r="2507">
      <c r="A2507" s="5">
        <f>IF(AND(C2507&gt;=Options!$B$9,C2507&lt;=Options!$B$10),"Boston","")</f>
        <v/>
      </c>
      <c r="B2507" s="5">
        <f>IF(A2507="","",18)</f>
        <v/>
      </c>
      <c r="C2507" s="17" t="n">
        <v>46608</v>
      </c>
      <c r="D2507" s="5">
        <f>IF(A2507="","",IF(C2507=DATE(2026,11,29),"培训；注册午餐；早餐参数",IF(C2507=DATE(2026,11,30),"培训；注册午餐",IF(C2507=DATE(2026,12,1),"培训；注册午餐；机构晚餐",IF(C2507=Options!$B$9,"抵达；"&amp;IF(C2507=DATE(2026,11,28),"机构晚餐","无统一供餐"),IF(C2507=Options!$B$10,"返程；"&amp;IF(C2507=DATE(2026,12,2),"机构午餐","无统一供餐"),"差旅状态；无统一日程"))))))</f>
        <v/>
      </c>
      <c r="E2507" s="13">
        <f>IF(C2507=Options!$B$9,Options!$C$20,0)</f>
        <v/>
      </c>
      <c r="F2507" s="13">
        <f>IF(AND(A2507&lt;&gt;"",C2507&lt;Options!$B$10),B2507*Options!$X$8,0)</f>
        <v/>
      </c>
      <c r="G2507" s="13">
        <f>F2507*12%</f>
        <v/>
      </c>
      <c r="H2507" s="13">
        <f>IF(A2507="",0,B2507*(92*IF(OR(C2507=Options!$B$9,C2507=Options!$B$10),75%,100%)-IF(C2507=DATE(2026,11,29),26+IF(Options!$B$8="是",23,0),0)-IF(C2507=DATE(2026,11,30),26,0)-IF(C2507=DATE(2026,12,1),64,0)-IF(C2507=DATE(2026,11,28),38,0)-IF(C2507=DATE(2026,12,2),26,0)))</f>
        <v/>
      </c>
      <c r="I2507" s="13">
        <f>IF(AND(C2507&gt;=DATE(2026,11,29),C2507&lt;=DATE(2026,12,1)),B2507*60,0)</f>
        <v/>
      </c>
      <c r="J2507" s="13">
        <f>IF(A2507="",0,B2507*(IF(C2507=DATE(2026,11,28),38,0)+IF(C2507=DATE(2026,12,1),38,0)+IF(C2507=DATE(2026,12,2),26,0)))</f>
        <v/>
      </c>
      <c r="K2507" s="13">
        <f>IF(C2507=Options!$B$9,B2507*12,0)</f>
        <v/>
      </c>
      <c r="L2507" s="13">
        <f>IF(C2507=Options!$B$9,B2507*Options!$Z$8,0)</f>
        <v/>
      </c>
      <c r="M2507" s="13" t="n">
        <v>0</v>
      </c>
      <c r="N2507" s="13">
        <f>SUM(E2507:M2507)</f>
        <v/>
      </c>
    </row>
    <row r="2508">
      <c r="A2508" s="5">
        <f>IF(AND(C2508&gt;=Options!$B$9,C2508&lt;=Options!$B$10),"Boston","")</f>
        <v/>
      </c>
      <c r="B2508" s="5">
        <f>IF(A2508="","",18)</f>
        <v/>
      </c>
      <c r="C2508" s="17" t="n">
        <v>46609</v>
      </c>
      <c r="D2508" s="5">
        <f>IF(A2508="","",IF(C2508=DATE(2026,11,29),"培训；注册午餐；早餐参数",IF(C2508=DATE(2026,11,30),"培训；注册午餐",IF(C2508=DATE(2026,12,1),"培训；注册午餐；机构晚餐",IF(C2508=Options!$B$9,"抵达；"&amp;IF(C2508=DATE(2026,11,28),"机构晚餐","无统一供餐"),IF(C2508=Options!$B$10,"返程；"&amp;IF(C2508=DATE(2026,12,2),"机构午餐","无统一供餐"),"差旅状态；无统一日程"))))))</f>
        <v/>
      </c>
      <c r="E2508" s="13">
        <f>IF(C2508=Options!$B$9,Options!$C$20,0)</f>
        <v/>
      </c>
      <c r="F2508" s="13">
        <f>IF(AND(A2508&lt;&gt;"",C2508&lt;Options!$B$10),B2508*Options!$X$8,0)</f>
        <v/>
      </c>
      <c r="G2508" s="13">
        <f>F2508*12%</f>
        <v/>
      </c>
      <c r="H2508" s="13">
        <f>IF(A2508="",0,B2508*(92*IF(OR(C2508=Options!$B$9,C2508=Options!$B$10),75%,100%)-IF(C2508=DATE(2026,11,29),26+IF(Options!$B$8="是",23,0),0)-IF(C2508=DATE(2026,11,30),26,0)-IF(C2508=DATE(2026,12,1),64,0)-IF(C2508=DATE(2026,11,28),38,0)-IF(C2508=DATE(2026,12,2),26,0)))</f>
        <v/>
      </c>
      <c r="I2508" s="13">
        <f>IF(AND(C2508&gt;=DATE(2026,11,29),C2508&lt;=DATE(2026,12,1)),B2508*60,0)</f>
        <v/>
      </c>
      <c r="J2508" s="13">
        <f>IF(A2508="",0,B2508*(IF(C2508=DATE(2026,11,28),38,0)+IF(C2508=DATE(2026,12,1),38,0)+IF(C2508=DATE(2026,12,2),26,0)))</f>
        <v/>
      </c>
      <c r="K2508" s="13">
        <f>IF(C2508=Options!$B$9,B2508*12,0)</f>
        <v/>
      </c>
      <c r="L2508" s="13">
        <f>IF(C2508=Options!$B$9,B2508*Options!$Z$8,0)</f>
        <v/>
      </c>
      <c r="M2508" s="13" t="n">
        <v>0</v>
      </c>
      <c r="N2508" s="13">
        <f>SUM(E2508:M2508)</f>
        <v/>
      </c>
    </row>
    <row r="2509">
      <c r="A2509" s="5">
        <f>IF(AND(C2509&gt;=Options!$B$9,C2509&lt;=Options!$B$10),"Boston","")</f>
        <v/>
      </c>
      <c r="B2509" s="5">
        <f>IF(A2509="","",18)</f>
        <v/>
      </c>
      <c r="C2509" s="17" t="n">
        <v>46610</v>
      </c>
      <c r="D2509" s="5">
        <f>IF(A2509="","",IF(C2509=DATE(2026,11,29),"培训；注册午餐；早餐参数",IF(C2509=DATE(2026,11,30),"培训；注册午餐",IF(C2509=DATE(2026,12,1),"培训；注册午餐；机构晚餐",IF(C2509=Options!$B$9,"抵达；"&amp;IF(C2509=DATE(2026,11,28),"机构晚餐","无统一供餐"),IF(C2509=Options!$B$10,"返程；"&amp;IF(C2509=DATE(2026,12,2),"机构午餐","无统一供餐"),"差旅状态；无统一日程"))))))</f>
        <v/>
      </c>
      <c r="E2509" s="13">
        <f>IF(C2509=Options!$B$9,Options!$C$20,0)</f>
        <v/>
      </c>
      <c r="F2509" s="13">
        <f>IF(AND(A2509&lt;&gt;"",C2509&lt;Options!$B$10),B2509*Options!$X$8,0)</f>
        <v/>
      </c>
      <c r="G2509" s="13">
        <f>F2509*12%</f>
        <v/>
      </c>
      <c r="H2509" s="13">
        <f>IF(A2509="",0,B2509*(92*IF(OR(C2509=Options!$B$9,C2509=Options!$B$10),75%,100%)-IF(C2509=DATE(2026,11,29),26+IF(Options!$B$8="是",23,0),0)-IF(C2509=DATE(2026,11,30),26,0)-IF(C2509=DATE(2026,12,1),64,0)-IF(C2509=DATE(2026,11,28),38,0)-IF(C2509=DATE(2026,12,2),26,0)))</f>
        <v/>
      </c>
      <c r="I2509" s="13">
        <f>IF(AND(C2509&gt;=DATE(2026,11,29),C2509&lt;=DATE(2026,12,1)),B2509*60,0)</f>
        <v/>
      </c>
      <c r="J2509" s="13">
        <f>IF(A2509="",0,B2509*(IF(C2509=DATE(2026,11,28),38,0)+IF(C2509=DATE(2026,12,1),38,0)+IF(C2509=DATE(2026,12,2),26,0)))</f>
        <v/>
      </c>
      <c r="K2509" s="13">
        <f>IF(C2509=Options!$B$9,B2509*12,0)</f>
        <v/>
      </c>
      <c r="L2509" s="13">
        <f>IF(C2509=Options!$B$9,B2509*Options!$Z$8,0)</f>
        <v/>
      </c>
      <c r="M2509" s="13" t="n">
        <v>0</v>
      </c>
      <c r="N2509" s="13">
        <f>SUM(E2509:M2509)</f>
        <v/>
      </c>
    </row>
    <row r="2510">
      <c r="A2510" s="5">
        <f>IF(AND(C2510&gt;=Options!$B$9,C2510&lt;=Options!$B$10),"Boston","")</f>
        <v/>
      </c>
      <c r="B2510" s="5">
        <f>IF(A2510="","",18)</f>
        <v/>
      </c>
      <c r="C2510" s="17" t="n">
        <v>46611</v>
      </c>
      <c r="D2510" s="5">
        <f>IF(A2510="","",IF(C2510=DATE(2026,11,29),"培训；注册午餐；早餐参数",IF(C2510=DATE(2026,11,30),"培训；注册午餐",IF(C2510=DATE(2026,12,1),"培训；注册午餐；机构晚餐",IF(C2510=Options!$B$9,"抵达；"&amp;IF(C2510=DATE(2026,11,28),"机构晚餐","无统一供餐"),IF(C2510=Options!$B$10,"返程；"&amp;IF(C2510=DATE(2026,12,2),"机构午餐","无统一供餐"),"差旅状态；无统一日程"))))))</f>
        <v/>
      </c>
      <c r="E2510" s="13">
        <f>IF(C2510=Options!$B$9,Options!$C$20,0)</f>
        <v/>
      </c>
      <c r="F2510" s="13">
        <f>IF(AND(A2510&lt;&gt;"",C2510&lt;Options!$B$10),B2510*Options!$X$8,0)</f>
        <v/>
      </c>
      <c r="G2510" s="13">
        <f>F2510*12%</f>
        <v/>
      </c>
      <c r="H2510" s="13">
        <f>IF(A2510="",0,B2510*(92*IF(OR(C2510=Options!$B$9,C2510=Options!$B$10),75%,100%)-IF(C2510=DATE(2026,11,29),26+IF(Options!$B$8="是",23,0),0)-IF(C2510=DATE(2026,11,30),26,0)-IF(C2510=DATE(2026,12,1),64,0)-IF(C2510=DATE(2026,11,28),38,0)-IF(C2510=DATE(2026,12,2),26,0)))</f>
        <v/>
      </c>
      <c r="I2510" s="13">
        <f>IF(AND(C2510&gt;=DATE(2026,11,29),C2510&lt;=DATE(2026,12,1)),B2510*60,0)</f>
        <v/>
      </c>
      <c r="J2510" s="13">
        <f>IF(A2510="",0,B2510*(IF(C2510=DATE(2026,11,28),38,0)+IF(C2510=DATE(2026,12,1),38,0)+IF(C2510=DATE(2026,12,2),26,0)))</f>
        <v/>
      </c>
      <c r="K2510" s="13">
        <f>IF(C2510=Options!$B$9,B2510*12,0)</f>
        <v/>
      </c>
      <c r="L2510" s="13">
        <f>IF(C2510=Options!$B$9,B2510*Options!$Z$8,0)</f>
        <v/>
      </c>
      <c r="M2510" s="13" t="n">
        <v>0</v>
      </c>
      <c r="N2510" s="13">
        <f>SUM(E2510:M2510)</f>
        <v/>
      </c>
    </row>
    <row r="2511">
      <c r="A2511" s="5">
        <f>IF(AND(C2511&gt;=Options!$B$9,C2511&lt;=Options!$B$10),"Boston","")</f>
        <v/>
      </c>
      <c r="B2511" s="5">
        <f>IF(A2511="","",18)</f>
        <v/>
      </c>
      <c r="C2511" s="17" t="n">
        <v>46612</v>
      </c>
      <c r="D2511" s="5">
        <f>IF(A2511="","",IF(C2511=DATE(2026,11,29),"培训；注册午餐；早餐参数",IF(C2511=DATE(2026,11,30),"培训；注册午餐",IF(C2511=DATE(2026,12,1),"培训；注册午餐；机构晚餐",IF(C2511=Options!$B$9,"抵达；"&amp;IF(C2511=DATE(2026,11,28),"机构晚餐","无统一供餐"),IF(C2511=Options!$B$10,"返程；"&amp;IF(C2511=DATE(2026,12,2),"机构午餐","无统一供餐"),"差旅状态；无统一日程"))))))</f>
        <v/>
      </c>
      <c r="E2511" s="13">
        <f>IF(C2511=Options!$B$9,Options!$C$20,0)</f>
        <v/>
      </c>
      <c r="F2511" s="13">
        <f>IF(AND(A2511&lt;&gt;"",C2511&lt;Options!$B$10),B2511*Options!$X$8,0)</f>
        <v/>
      </c>
      <c r="G2511" s="13">
        <f>F2511*12%</f>
        <v/>
      </c>
      <c r="H2511" s="13">
        <f>IF(A2511="",0,B2511*(92*IF(OR(C2511=Options!$B$9,C2511=Options!$B$10),75%,100%)-IF(C2511=DATE(2026,11,29),26+IF(Options!$B$8="是",23,0),0)-IF(C2511=DATE(2026,11,30),26,0)-IF(C2511=DATE(2026,12,1),64,0)-IF(C2511=DATE(2026,11,28),38,0)-IF(C2511=DATE(2026,12,2),26,0)))</f>
        <v/>
      </c>
      <c r="I2511" s="13">
        <f>IF(AND(C2511&gt;=DATE(2026,11,29),C2511&lt;=DATE(2026,12,1)),B2511*60,0)</f>
        <v/>
      </c>
      <c r="J2511" s="13">
        <f>IF(A2511="",0,B2511*(IF(C2511=DATE(2026,11,28),38,0)+IF(C2511=DATE(2026,12,1),38,0)+IF(C2511=DATE(2026,12,2),26,0)))</f>
        <v/>
      </c>
      <c r="K2511" s="13">
        <f>IF(C2511=Options!$B$9,B2511*12,0)</f>
        <v/>
      </c>
      <c r="L2511" s="13">
        <f>IF(C2511=Options!$B$9,B2511*Options!$Z$8,0)</f>
        <v/>
      </c>
      <c r="M2511" s="13" t="n">
        <v>0</v>
      </c>
      <c r="N2511" s="13">
        <f>SUM(E2511:M2511)</f>
        <v/>
      </c>
    </row>
    <row r="2512">
      <c r="A2512" s="5">
        <f>IF(AND(C2512&gt;=Options!$B$9,C2512&lt;=Options!$B$10),"Boston","")</f>
        <v/>
      </c>
      <c r="B2512" s="5">
        <f>IF(A2512="","",18)</f>
        <v/>
      </c>
      <c r="C2512" s="17" t="n">
        <v>46613</v>
      </c>
      <c r="D2512" s="5">
        <f>IF(A2512="","",IF(C2512=DATE(2026,11,29),"培训；注册午餐；早餐参数",IF(C2512=DATE(2026,11,30),"培训；注册午餐",IF(C2512=DATE(2026,12,1),"培训；注册午餐；机构晚餐",IF(C2512=Options!$B$9,"抵达；"&amp;IF(C2512=DATE(2026,11,28),"机构晚餐","无统一供餐"),IF(C2512=Options!$B$10,"返程；"&amp;IF(C2512=DATE(2026,12,2),"机构午餐","无统一供餐"),"差旅状态；无统一日程"))))))</f>
        <v/>
      </c>
      <c r="E2512" s="13">
        <f>IF(C2512=Options!$B$9,Options!$C$20,0)</f>
        <v/>
      </c>
      <c r="F2512" s="13">
        <f>IF(AND(A2512&lt;&gt;"",C2512&lt;Options!$B$10),B2512*Options!$X$8,0)</f>
        <v/>
      </c>
      <c r="G2512" s="13">
        <f>F2512*12%</f>
        <v/>
      </c>
      <c r="H2512" s="13">
        <f>IF(A2512="",0,B2512*(92*IF(OR(C2512=Options!$B$9,C2512=Options!$B$10),75%,100%)-IF(C2512=DATE(2026,11,29),26+IF(Options!$B$8="是",23,0),0)-IF(C2512=DATE(2026,11,30),26,0)-IF(C2512=DATE(2026,12,1),64,0)-IF(C2512=DATE(2026,11,28),38,0)-IF(C2512=DATE(2026,12,2),26,0)))</f>
        <v/>
      </c>
      <c r="I2512" s="13">
        <f>IF(AND(C2512&gt;=DATE(2026,11,29),C2512&lt;=DATE(2026,12,1)),B2512*60,0)</f>
        <v/>
      </c>
      <c r="J2512" s="13">
        <f>IF(A2512="",0,B2512*(IF(C2512=DATE(2026,11,28),38,0)+IF(C2512=DATE(2026,12,1),38,0)+IF(C2512=DATE(2026,12,2),26,0)))</f>
        <v/>
      </c>
      <c r="K2512" s="13">
        <f>IF(C2512=Options!$B$9,B2512*12,0)</f>
        <v/>
      </c>
      <c r="L2512" s="13">
        <f>IF(C2512=Options!$B$9,B2512*Options!$Z$8,0)</f>
        <v/>
      </c>
      <c r="M2512" s="13" t="n">
        <v>0</v>
      </c>
      <c r="N2512" s="13">
        <f>SUM(E2512:M2512)</f>
        <v/>
      </c>
    </row>
    <row r="2513">
      <c r="A2513" s="5">
        <f>IF(AND(C2513&gt;=Options!$B$9,C2513&lt;=Options!$B$10),"Boston","")</f>
        <v/>
      </c>
      <c r="B2513" s="5">
        <f>IF(A2513="","",18)</f>
        <v/>
      </c>
      <c r="C2513" s="17" t="n">
        <v>46614</v>
      </c>
      <c r="D2513" s="5">
        <f>IF(A2513="","",IF(C2513=DATE(2026,11,29),"培训；注册午餐；早餐参数",IF(C2513=DATE(2026,11,30),"培训；注册午餐",IF(C2513=DATE(2026,12,1),"培训；注册午餐；机构晚餐",IF(C2513=Options!$B$9,"抵达；"&amp;IF(C2513=DATE(2026,11,28),"机构晚餐","无统一供餐"),IF(C2513=Options!$B$10,"返程；"&amp;IF(C2513=DATE(2026,12,2),"机构午餐","无统一供餐"),"差旅状态；无统一日程"))))))</f>
        <v/>
      </c>
      <c r="E2513" s="13">
        <f>IF(C2513=Options!$B$9,Options!$C$20,0)</f>
        <v/>
      </c>
      <c r="F2513" s="13">
        <f>IF(AND(A2513&lt;&gt;"",C2513&lt;Options!$B$10),B2513*Options!$X$8,0)</f>
        <v/>
      </c>
      <c r="G2513" s="13">
        <f>F2513*12%</f>
        <v/>
      </c>
      <c r="H2513" s="13">
        <f>IF(A2513="",0,B2513*(92*IF(OR(C2513=Options!$B$9,C2513=Options!$B$10),75%,100%)-IF(C2513=DATE(2026,11,29),26+IF(Options!$B$8="是",23,0),0)-IF(C2513=DATE(2026,11,30),26,0)-IF(C2513=DATE(2026,12,1),64,0)-IF(C2513=DATE(2026,11,28),38,0)-IF(C2513=DATE(2026,12,2),26,0)))</f>
        <v/>
      </c>
      <c r="I2513" s="13">
        <f>IF(AND(C2513&gt;=DATE(2026,11,29),C2513&lt;=DATE(2026,12,1)),B2513*60,0)</f>
        <v/>
      </c>
      <c r="J2513" s="13">
        <f>IF(A2513="",0,B2513*(IF(C2513=DATE(2026,11,28),38,0)+IF(C2513=DATE(2026,12,1),38,0)+IF(C2513=DATE(2026,12,2),26,0)))</f>
        <v/>
      </c>
      <c r="K2513" s="13">
        <f>IF(C2513=Options!$B$9,B2513*12,0)</f>
        <v/>
      </c>
      <c r="L2513" s="13">
        <f>IF(C2513=Options!$B$9,B2513*Options!$Z$8,0)</f>
        <v/>
      </c>
      <c r="M2513" s="13" t="n">
        <v>0</v>
      </c>
      <c r="N2513" s="13">
        <f>SUM(E2513:M2513)</f>
        <v/>
      </c>
    </row>
    <row r="2514">
      <c r="A2514" s="5">
        <f>IF(AND(C2514&gt;=Options!$B$9,C2514&lt;=Options!$B$10),"Boston","")</f>
        <v/>
      </c>
      <c r="B2514" s="5">
        <f>IF(A2514="","",18)</f>
        <v/>
      </c>
      <c r="C2514" s="17" t="n">
        <v>46615</v>
      </c>
      <c r="D2514" s="5">
        <f>IF(A2514="","",IF(C2514=DATE(2026,11,29),"培训；注册午餐；早餐参数",IF(C2514=DATE(2026,11,30),"培训；注册午餐",IF(C2514=DATE(2026,12,1),"培训；注册午餐；机构晚餐",IF(C2514=Options!$B$9,"抵达；"&amp;IF(C2514=DATE(2026,11,28),"机构晚餐","无统一供餐"),IF(C2514=Options!$B$10,"返程；"&amp;IF(C2514=DATE(2026,12,2),"机构午餐","无统一供餐"),"差旅状态；无统一日程"))))))</f>
        <v/>
      </c>
      <c r="E2514" s="13">
        <f>IF(C2514=Options!$B$9,Options!$C$20,0)</f>
        <v/>
      </c>
      <c r="F2514" s="13">
        <f>IF(AND(A2514&lt;&gt;"",C2514&lt;Options!$B$10),B2514*Options!$X$8,0)</f>
        <v/>
      </c>
      <c r="G2514" s="13">
        <f>F2514*12%</f>
        <v/>
      </c>
      <c r="H2514" s="13">
        <f>IF(A2514="",0,B2514*(92*IF(OR(C2514=Options!$B$9,C2514=Options!$B$10),75%,100%)-IF(C2514=DATE(2026,11,29),26+IF(Options!$B$8="是",23,0),0)-IF(C2514=DATE(2026,11,30),26,0)-IF(C2514=DATE(2026,12,1),64,0)-IF(C2514=DATE(2026,11,28),38,0)-IF(C2514=DATE(2026,12,2),26,0)))</f>
        <v/>
      </c>
      <c r="I2514" s="13">
        <f>IF(AND(C2514&gt;=DATE(2026,11,29),C2514&lt;=DATE(2026,12,1)),B2514*60,0)</f>
        <v/>
      </c>
      <c r="J2514" s="13">
        <f>IF(A2514="",0,B2514*(IF(C2514=DATE(2026,11,28),38,0)+IF(C2514=DATE(2026,12,1),38,0)+IF(C2514=DATE(2026,12,2),26,0)))</f>
        <v/>
      </c>
      <c r="K2514" s="13">
        <f>IF(C2514=Options!$B$9,B2514*12,0)</f>
        <v/>
      </c>
      <c r="L2514" s="13">
        <f>IF(C2514=Options!$B$9,B2514*Options!$Z$8,0)</f>
        <v/>
      </c>
      <c r="M2514" s="13" t="n">
        <v>0</v>
      </c>
      <c r="N2514" s="13">
        <f>SUM(E2514:M2514)</f>
        <v/>
      </c>
    </row>
    <row r="2515">
      <c r="A2515" s="5">
        <f>IF(AND(C2515&gt;=Options!$B$9,C2515&lt;=Options!$B$10),"Boston","")</f>
        <v/>
      </c>
      <c r="B2515" s="5">
        <f>IF(A2515="","",18)</f>
        <v/>
      </c>
      <c r="C2515" s="17" t="n">
        <v>46616</v>
      </c>
      <c r="D2515" s="5">
        <f>IF(A2515="","",IF(C2515=DATE(2026,11,29),"培训；注册午餐；早餐参数",IF(C2515=DATE(2026,11,30),"培训；注册午餐",IF(C2515=DATE(2026,12,1),"培训；注册午餐；机构晚餐",IF(C2515=Options!$B$9,"抵达；"&amp;IF(C2515=DATE(2026,11,28),"机构晚餐","无统一供餐"),IF(C2515=Options!$B$10,"返程；"&amp;IF(C2515=DATE(2026,12,2),"机构午餐","无统一供餐"),"差旅状态；无统一日程"))))))</f>
        <v/>
      </c>
      <c r="E2515" s="13">
        <f>IF(C2515=Options!$B$9,Options!$C$20,0)</f>
        <v/>
      </c>
      <c r="F2515" s="13">
        <f>IF(AND(A2515&lt;&gt;"",C2515&lt;Options!$B$10),B2515*Options!$X$8,0)</f>
        <v/>
      </c>
      <c r="G2515" s="13">
        <f>F2515*12%</f>
        <v/>
      </c>
      <c r="H2515" s="13">
        <f>IF(A2515="",0,B2515*(92*IF(OR(C2515=Options!$B$9,C2515=Options!$B$10),75%,100%)-IF(C2515=DATE(2026,11,29),26+IF(Options!$B$8="是",23,0),0)-IF(C2515=DATE(2026,11,30),26,0)-IF(C2515=DATE(2026,12,1),64,0)-IF(C2515=DATE(2026,11,28),38,0)-IF(C2515=DATE(2026,12,2),26,0)))</f>
        <v/>
      </c>
      <c r="I2515" s="13">
        <f>IF(AND(C2515&gt;=DATE(2026,11,29),C2515&lt;=DATE(2026,12,1)),B2515*60,0)</f>
        <v/>
      </c>
      <c r="J2515" s="13">
        <f>IF(A2515="",0,B2515*(IF(C2515=DATE(2026,11,28),38,0)+IF(C2515=DATE(2026,12,1),38,0)+IF(C2515=DATE(2026,12,2),26,0)))</f>
        <v/>
      </c>
      <c r="K2515" s="13">
        <f>IF(C2515=Options!$B$9,B2515*12,0)</f>
        <v/>
      </c>
      <c r="L2515" s="13">
        <f>IF(C2515=Options!$B$9,B2515*Options!$Z$8,0)</f>
        <v/>
      </c>
      <c r="M2515" s="13" t="n">
        <v>0</v>
      </c>
      <c r="N2515" s="13">
        <f>SUM(E2515:M2515)</f>
        <v/>
      </c>
    </row>
    <row r="2516">
      <c r="A2516" s="5">
        <f>IF(AND(C2516&gt;=Options!$B$9,C2516&lt;=Options!$B$10),"Boston","")</f>
        <v/>
      </c>
      <c r="B2516" s="5">
        <f>IF(A2516="","",18)</f>
        <v/>
      </c>
      <c r="C2516" s="17" t="n">
        <v>46617</v>
      </c>
      <c r="D2516" s="5">
        <f>IF(A2516="","",IF(C2516=DATE(2026,11,29),"培训；注册午餐；早餐参数",IF(C2516=DATE(2026,11,30),"培训；注册午餐",IF(C2516=DATE(2026,12,1),"培训；注册午餐；机构晚餐",IF(C2516=Options!$B$9,"抵达；"&amp;IF(C2516=DATE(2026,11,28),"机构晚餐","无统一供餐"),IF(C2516=Options!$B$10,"返程；"&amp;IF(C2516=DATE(2026,12,2),"机构午餐","无统一供餐"),"差旅状态；无统一日程"))))))</f>
        <v/>
      </c>
      <c r="E2516" s="13">
        <f>IF(C2516=Options!$B$9,Options!$C$20,0)</f>
        <v/>
      </c>
      <c r="F2516" s="13">
        <f>IF(AND(A2516&lt;&gt;"",C2516&lt;Options!$B$10),B2516*Options!$X$8,0)</f>
        <v/>
      </c>
      <c r="G2516" s="13">
        <f>F2516*12%</f>
        <v/>
      </c>
      <c r="H2516" s="13">
        <f>IF(A2516="",0,B2516*(92*IF(OR(C2516=Options!$B$9,C2516=Options!$B$10),75%,100%)-IF(C2516=DATE(2026,11,29),26+IF(Options!$B$8="是",23,0),0)-IF(C2516=DATE(2026,11,30),26,0)-IF(C2516=DATE(2026,12,1),64,0)-IF(C2516=DATE(2026,11,28),38,0)-IF(C2516=DATE(2026,12,2),26,0)))</f>
        <v/>
      </c>
      <c r="I2516" s="13">
        <f>IF(AND(C2516&gt;=DATE(2026,11,29),C2516&lt;=DATE(2026,12,1)),B2516*60,0)</f>
        <v/>
      </c>
      <c r="J2516" s="13">
        <f>IF(A2516="",0,B2516*(IF(C2516=DATE(2026,11,28),38,0)+IF(C2516=DATE(2026,12,1),38,0)+IF(C2516=DATE(2026,12,2),26,0)))</f>
        <v/>
      </c>
      <c r="K2516" s="13">
        <f>IF(C2516=Options!$B$9,B2516*12,0)</f>
        <v/>
      </c>
      <c r="L2516" s="13">
        <f>IF(C2516=Options!$B$9,B2516*Options!$Z$8,0)</f>
        <v/>
      </c>
      <c r="M2516" s="13" t="n">
        <v>0</v>
      </c>
      <c r="N2516" s="13">
        <f>SUM(E2516:M2516)</f>
        <v/>
      </c>
    </row>
    <row r="2517">
      <c r="A2517" s="5">
        <f>IF(AND(C2517&gt;=Options!$B$9,C2517&lt;=Options!$B$10),"Boston","")</f>
        <v/>
      </c>
      <c r="B2517" s="5">
        <f>IF(A2517="","",18)</f>
        <v/>
      </c>
      <c r="C2517" s="17" t="n">
        <v>46618</v>
      </c>
      <c r="D2517" s="5">
        <f>IF(A2517="","",IF(C2517=DATE(2026,11,29),"培训；注册午餐；早餐参数",IF(C2517=DATE(2026,11,30),"培训；注册午餐",IF(C2517=DATE(2026,12,1),"培训；注册午餐；机构晚餐",IF(C2517=Options!$B$9,"抵达；"&amp;IF(C2517=DATE(2026,11,28),"机构晚餐","无统一供餐"),IF(C2517=Options!$B$10,"返程；"&amp;IF(C2517=DATE(2026,12,2),"机构午餐","无统一供餐"),"差旅状态；无统一日程"))))))</f>
        <v/>
      </c>
      <c r="E2517" s="13">
        <f>IF(C2517=Options!$B$9,Options!$C$20,0)</f>
        <v/>
      </c>
      <c r="F2517" s="13">
        <f>IF(AND(A2517&lt;&gt;"",C2517&lt;Options!$B$10),B2517*Options!$X$8,0)</f>
        <v/>
      </c>
      <c r="G2517" s="13">
        <f>F2517*12%</f>
        <v/>
      </c>
      <c r="H2517" s="13">
        <f>IF(A2517="",0,B2517*(92*IF(OR(C2517=Options!$B$9,C2517=Options!$B$10),75%,100%)-IF(C2517=DATE(2026,11,29),26+IF(Options!$B$8="是",23,0),0)-IF(C2517=DATE(2026,11,30),26,0)-IF(C2517=DATE(2026,12,1),64,0)-IF(C2517=DATE(2026,11,28),38,0)-IF(C2517=DATE(2026,12,2),26,0)))</f>
        <v/>
      </c>
      <c r="I2517" s="13">
        <f>IF(AND(C2517&gt;=DATE(2026,11,29),C2517&lt;=DATE(2026,12,1)),B2517*60,0)</f>
        <v/>
      </c>
      <c r="J2517" s="13">
        <f>IF(A2517="",0,B2517*(IF(C2517=DATE(2026,11,28),38,0)+IF(C2517=DATE(2026,12,1),38,0)+IF(C2517=DATE(2026,12,2),26,0)))</f>
        <v/>
      </c>
      <c r="K2517" s="13">
        <f>IF(C2517=Options!$B$9,B2517*12,0)</f>
        <v/>
      </c>
      <c r="L2517" s="13">
        <f>IF(C2517=Options!$B$9,B2517*Options!$Z$8,0)</f>
        <v/>
      </c>
      <c r="M2517" s="13" t="n">
        <v>0</v>
      </c>
      <c r="N2517" s="13">
        <f>SUM(E2517:M2517)</f>
        <v/>
      </c>
    </row>
    <row r="2518">
      <c r="A2518" s="5">
        <f>IF(AND(C2518&gt;=Options!$B$9,C2518&lt;=Options!$B$10),"Boston","")</f>
        <v/>
      </c>
      <c r="B2518" s="5">
        <f>IF(A2518="","",18)</f>
        <v/>
      </c>
      <c r="C2518" s="17" t="n">
        <v>46619</v>
      </c>
      <c r="D2518" s="5">
        <f>IF(A2518="","",IF(C2518=DATE(2026,11,29),"培训；注册午餐；早餐参数",IF(C2518=DATE(2026,11,30),"培训；注册午餐",IF(C2518=DATE(2026,12,1),"培训；注册午餐；机构晚餐",IF(C2518=Options!$B$9,"抵达；"&amp;IF(C2518=DATE(2026,11,28),"机构晚餐","无统一供餐"),IF(C2518=Options!$B$10,"返程；"&amp;IF(C2518=DATE(2026,12,2),"机构午餐","无统一供餐"),"差旅状态；无统一日程"))))))</f>
        <v/>
      </c>
      <c r="E2518" s="13">
        <f>IF(C2518=Options!$B$9,Options!$C$20,0)</f>
        <v/>
      </c>
      <c r="F2518" s="13">
        <f>IF(AND(A2518&lt;&gt;"",C2518&lt;Options!$B$10),B2518*Options!$X$8,0)</f>
        <v/>
      </c>
      <c r="G2518" s="13">
        <f>F2518*12%</f>
        <v/>
      </c>
      <c r="H2518" s="13">
        <f>IF(A2518="",0,B2518*(92*IF(OR(C2518=Options!$B$9,C2518=Options!$B$10),75%,100%)-IF(C2518=DATE(2026,11,29),26+IF(Options!$B$8="是",23,0),0)-IF(C2518=DATE(2026,11,30),26,0)-IF(C2518=DATE(2026,12,1),64,0)-IF(C2518=DATE(2026,11,28),38,0)-IF(C2518=DATE(2026,12,2),26,0)))</f>
        <v/>
      </c>
      <c r="I2518" s="13">
        <f>IF(AND(C2518&gt;=DATE(2026,11,29),C2518&lt;=DATE(2026,12,1)),B2518*60,0)</f>
        <v/>
      </c>
      <c r="J2518" s="13">
        <f>IF(A2518="",0,B2518*(IF(C2518=DATE(2026,11,28),38,0)+IF(C2518=DATE(2026,12,1),38,0)+IF(C2518=DATE(2026,12,2),26,0)))</f>
        <v/>
      </c>
      <c r="K2518" s="13">
        <f>IF(C2518=Options!$B$9,B2518*12,0)</f>
        <v/>
      </c>
      <c r="L2518" s="13">
        <f>IF(C2518=Options!$B$9,B2518*Options!$Z$8,0)</f>
        <v/>
      </c>
      <c r="M2518" s="13" t="n">
        <v>0</v>
      </c>
      <c r="N2518" s="13">
        <f>SUM(E2518:M2518)</f>
        <v/>
      </c>
    </row>
    <row r="2519">
      <c r="A2519" s="5">
        <f>IF(AND(C2519&gt;=Options!$B$9,C2519&lt;=Options!$B$10),"Boston","")</f>
        <v/>
      </c>
      <c r="B2519" s="5">
        <f>IF(A2519="","",18)</f>
        <v/>
      </c>
      <c r="C2519" s="17" t="n">
        <v>46620</v>
      </c>
      <c r="D2519" s="5">
        <f>IF(A2519="","",IF(C2519=DATE(2026,11,29),"培训；注册午餐；早餐参数",IF(C2519=DATE(2026,11,30),"培训；注册午餐",IF(C2519=DATE(2026,12,1),"培训；注册午餐；机构晚餐",IF(C2519=Options!$B$9,"抵达；"&amp;IF(C2519=DATE(2026,11,28),"机构晚餐","无统一供餐"),IF(C2519=Options!$B$10,"返程；"&amp;IF(C2519=DATE(2026,12,2),"机构午餐","无统一供餐"),"差旅状态；无统一日程"))))))</f>
        <v/>
      </c>
      <c r="E2519" s="13">
        <f>IF(C2519=Options!$B$9,Options!$C$20,0)</f>
        <v/>
      </c>
      <c r="F2519" s="13">
        <f>IF(AND(A2519&lt;&gt;"",C2519&lt;Options!$B$10),B2519*Options!$X$8,0)</f>
        <v/>
      </c>
      <c r="G2519" s="13">
        <f>F2519*12%</f>
        <v/>
      </c>
      <c r="H2519" s="13">
        <f>IF(A2519="",0,B2519*(92*IF(OR(C2519=Options!$B$9,C2519=Options!$B$10),75%,100%)-IF(C2519=DATE(2026,11,29),26+IF(Options!$B$8="是",23,0),0)-IF(C2519=DATE(2026,11,30),26,0)-IF(C2519=DATE(2026,12,1),64,0)-IF(C2519=DATE(2026,11,28),38,0)-IF(C2519=DATE(2026,12,2),26,0)))</f>
        <v/>
      </c>
      <c r="I2519" s="13">
        <f>IF(AND(C2519&gt;=DATE(2026,11,29),C2519&lt;=DATE(2026,12,1)),B2519*60,0)</f>
        <v/>
      </c>
      <c r="J2519" s="13">
        <f>IF(A2519="",0,B2519*(IF(C2519=DATE(2026,11,28),38,0)+IF(C2519=DATE(2026,12,1),38,0)+IF(C2519=DATE(2026,12,2),26,0)))</f>
        <v/>
      </c>
      <c r="K2519" s="13">
        <f>IF(C2519=Options!$B$9,B2519*12,0)</f>
        <v/>
      </c>
      <c r="L2519" s="13">
        <f>IF(C2519=Options!$B$9,B2519*Options!$Z$8,0)</f>
        <v/>
      </c>
      <c r="M2519" s="13" t="n">
        <v>0</v>
      </c>
      <c r="N2519" s="13">
        <f>SUM(E2519:M2519)</f>
        <v/>
      </c>
    </row>
    <row r="2520">
      <c r="A2520" s="5">
        <f>IF(AND(C2520&gt;=Options!$B$9,C2520&lt;=Options!$B$10),"Boston","")</f>
        <v/>
      </c>
      <c r="B2520" s="5">
        <f>IF(A2520="","",18)</f>
        <v/>
      </c>
      <c r="C2520" s="17" t="n">
        <v>46621</v>
      </c>
      <c r="D2520" s="5">
        <f>IF(A2520="","",IF(C2520=DATE(2026,11,29),"培训；注册午餐；早餐参数",IF(C2520=DATE(2026,11,30),"培训；注册午餐",IF(C2520=DATE(2026,12,1),"培训；注册午餐；机构晚餐",IF(C2520=Options!$B$9,"抵达；"&amp;IF(C2520=DATE(2026,11,28),"机构晚餐","无统一供餐"),IF(C2520=Options!$B$10,"返程；"&amp;IF(C2520=DATE(2026,12,2),"机构午餐","无统一供餐"),"差旅状态；无统一日程"))))))</f>
        <v/>
      </c>
      <c r="E2520" s="13">
        <f>IF(C2520=Options!$B$9,Options!$C$20,0)</f>
        <v/>
      </c>
      <c r="F2520" s="13">
        <f>IF(AND(A2520&lt;&gt;"",C2520&lt;Options!$B$10),B2520*Options!$X$8,0)</f>
        <v/>
      </c>
      <c r="G2520" s="13">
        <f>F2520*12%</f>
        <v/>
      </c>
      <c r="H2520" s="13">
        <f>IF(A2520="",0,B2520*(92*IF(OR(C2520=Options!$B$9,C2520=Options!$B$10),75%,100%)-IF(C2520=DATE(2026,11,29),26+IF(Options!$B$8="是",23,0),0)-IF(C2520=DATE(2026,11,30),26,0)-IF(C2520=DATE(2026,12,1),64,0)-IF(C2520=DATE(2026,11,28),38,0)-IF(C2520=DATE(2026,12,2),26,0)))</f>
        <v/>
      </c>
      <c r="I2520" s="13">
        <f>IF(AND(C2520&gt;=DATE(2026,11,29),C2520&lt;=DATE(2026,12,1)),B2520*60,0)</f>
        <v/>
      </c>
      <c r="J2520" s="13">
        <f>IF(A2520="",0,B2520*(IF(C2520=DATE(2026,11,28),38,0)+IF(C2520=DATE(2026,12,1),38,0)+IF(C2520=DATE(2026,12,2),26,0)))</f>
        <v/>
      </c>
      <c r="K2520" s="13">
        <f>IF(C2520=Options!$B$9,B2520*12,0)</f>
        <v/>
      </c>
      <c r="L2520" s="13">
        <f>IF(C2520=Options!$B$9,B2520*Options!$Z$8,0)</f>
        <v/>
      </c>
      <c r="M2520" s="13" t="n">
        <v>0</v>
      </c>
      <c r="N2520" s="13">
        <f>SUM(E2520:M2520)</f>
        <v/>
      </c>
    </row>
    <row r="2521">
      <c r="A2521" s="5">
        <f>IF(AND(C2521&gt;=Options!$B$9,C2521&lt;=Options!$B$10),"Boston","")</f>
        <v/>
      </c>
      <c r="B2521" s="5">
        <f>IF(A2521="","",18)</f>
        <v/>
      </c>
      <c r="C2521" s="17" t="n">
        <v>46622</v>
      </c>
      <c r="D2521" s="5">
        <f>IF(A2521="","",IF(C2521=DATE(2026,11,29),"培训；注册午餐；早餐参数",IF(C2521=DATE(2026,11,30),"培训；注册午餐",IF(C2521=DATE(2026,12,1),"培训；注册午餐；机构晚餐",IF(C2521=Options!$B$9,"抵达；"&amp;IF(C2521=DATE(2026,11,28),"机构晚餐","无统一供餐"),IF(C2521=Options!$B$10,"返程；"&amp;IF(C2521=DATE(2026,12,2),"机构午餐","无统一供餐"),"差旅状态；无统一日程"))))))</f>
        <v/>
      </c>
      <c r="E2521" s="13">
        <f>IF(C2521=Options!$B$9,Options!$C$20,0)</f>
        <v/>
      </c>
      <c r="F2521" s="13">
        <f>IF(AND(A2521&lt;&gt;"",C2521&lt;Options!$B$10),B2521*Options!$X$8,0)</f>
        <v/>
      </c>
      <c r="G2521" s="13">
        <f>F2521*12%</f>
        <v/>
      </c>
      <c r="H2521" s="13">
        <f>IF(A2521="",0,B2521*(92*IF(OR(C2521=Options!$B$9,C2521=Options!$B$10),75%,100%)-IF(C2521=DATE(2026,11,29),26+IF(Options!$B$8="是",23,0),0)-IF(C2521=DATE(2026,11,30),26,0)-IF(C2521=DATE(2026,12,1),64,0)-IF(C2521=DATE(2026,11,28),38,0)-IF(C2521=DATE(2026,12,2),26,0)))</f>
        <v/>
      </c>
      <c r="I2521" s="13">
        <f>IF(AND(C2521&gt;=DATE(2026,11,29),C2521&lt;=DATE(2026,12,1)),B2521*60,0)</f>
        <v/>
      </c>
      <c r="J2521" s="13">
        <f>IF(A2521="",0,B2521*(IF(C2521=DATE(2026,11,28),38,0)+IF(C2521=DATE(2026,12,1),38,0)+IF(C2521=DATE(2026,12,2),26,0)))</f>
        <v/>
      </c>
      <c r="K2521" s="13">
        <f>IF(C2521=Options!$B$9,B2521*12,0)</f>
        <v/>
      </c>
      <c r="L2521" s="13">
        <f>IF(C2521=Options!$B$9,B2521*Options!$Z$8,0)</f>
        <v/>
      </c>
      <c r="M2521" s="13" t="n">
        <v>0</v>
      </c>
      <c r="N2521" s="13">
        <f>SUM(E2521:M2521)</f>
        <v/>
      </c>
    </row>
    <row r="2522">
      <c r="A2522" s="5">
        <f>IF(AND(C2522&gt;=Options!$B$9,C2522&lt;=Options!$B$10),"Boston","")</f>
        <v/>
      </c>
      <c r="B2522" s="5">
        <f>IF(A2522="","",18)</f>
        <v/>
      </c>
      <c r="C2522" s="17" t="n">
        <v>46623</v>
      </c>
      <c r="D2522" s="5">
        <f>IF(A2522="","",IF(C2522=DATE(2026,11,29),"培训；注册午餐；早餐参数",IF(C2522=DATE(2026,11,30),"培训；注册午餐",IF(C2522=DATE(2026,12,1),"培训；注册午餐；机构晚餐",IF(C2522=Options!$B$9,"抵达；"&amp;IF(C2522=DATE(2026,11,28),"机构晚餐","无统一供餐"),IF(C2522=Options!$B$10,"返程；"&amp;IF(C2522=DATE(2026,12,2),"机构午餐","无统一供餐"),"差旅状态；无统一日程"))))))</f>
        <v/>
      </c>
      <c r="E2522" s="13">
        <f>IF(C2522=Options!$B$9,Options!$C$20,0)</f>
        <v/>
      </c>
      <c r="F2522" s="13">
        <f>IF(AND(A2522&lt;&gt;"",C2522&lt;Options!$B$10),B2522*Options!$X$8,0)</f>
        <v/>
      </c>
      <c r="G2522" s="13">
        <f>F2522*12%</f>
        <v/>
      </c>
      <c r="H2522" s="13">
        <f>IF(A2522="",0,B2522*(92*IF(OR(C2522=Options!$B$9,C2522=Options!$B$10),75%,100%)-IF(C2522=DATE(2026,11,29),26+IF(Options!$B$8="是",23,0),0)-IF(C2522=DATE(2026,11,30),26,0)-IF(C2522=DATE(2026,12,1),64,0)-IF(C2522=DATE(2026,11,28),38,0)-IF(C2522=DATE(2026,12,2),26,0)))</f>
        <v/>
      </c>
      <c r="I2522" s="13">
        <f>IF(AND(C2522&gt;=DATE(2026,11,29),C2522&lt;=DATE(2026,12,1)),B2522*60,0)</f>
        <v/>
      </c>
      <c r="J2522" s="13">
        <f>IF(A2522="",0,B2522*(IF(C2522=DATE(2026,11,28),38,0)+IF(C2522=DATE(2026,12,1),38,0)+IF(C2522=DATE(2026,12,2),26,0)))</f>
        <v/>
      </c>
      <c r="K2522" s="13">
        <f>IF(C2522=Options!$B$9,B2522*12,0)</f>
        <v/>
      </c>
      <c r="L2522" s="13">
        <f>IF(C2522=Options!$B$9,B2522*Options!$Z$8,0)</f>
        <v/>
      </c>
      <c r="M2522" s="13" t="n">
        <v>0</v>
      </c>
      <c r="N2522" s="13">
        <f>SUM(E2522:M2522)</f>
        <v/>
      </c>
    </row>
    <row r="2523">
      <c r="A2523" s="5">
        <f>IF(AND(C2523&gt;=Options!$B$9,C2523&lt;=Options!$B$10),"Boston","")</f>
        <v/>
      </c>
      <c r="B2523" s="5">
        <f>IF(A2523="","",18)</f>
        <v/>
      </c>
      <c r="C2523" s="17" t="n">
        <v>46624</v>
      </c>
      <c r="D2523" s="5">
        <f>IF(A2523="","",IF(C2523=DATE(2026,11,29),"培训；注册午餐；早餐参数",IF(C2523=DATE(2026,11,30),"培训；注册午餐",IF(C2523=DATE(2026,12,1),"培训；注册午餐；机构晚餐",IF(C2523=Options!$B$9,"抵达；"&amp;IF(C2523=DATE(2026,11,28),"机构晚餐","无统一供餐"),IF(C2523=Options!$B$10,"返程；"&amp;IF(C2523=DATE(2026,12,2),"机构午餐","无统一供餐"),"差旅状态；无统一日程"))))))</f>
        <v/>
      </c>
      <c r="E2523" s="13">
        <f>IF(C2523=Options!$B$9,Options!$C$20,0)</f>
        <v/>
      </c>
      <c r="F2523" s="13">
        <f>IF(AND(A2523&lt;&gt;"",C2523&lt;Options!$B$10),B2523*Options!$X$8,0)</f>
        <v/>
      </c>
      <c r="G2523" s="13">
        <f>F2523*12%</f>
        <v/>
      </c>
      <c r="H2523" s="13">
        <f>IF(A2523="",0,B2523*(92*IF(OR(C2523=Options!$B$9,C2523=Options!$B$10),75%,100%)-IF(C2523=DATE(2026,11,29),26+IF(Options!$B$8="是",23,0),0)-IF(C2523=DATE(2026,11,30),26,0)-IF(C2523=DATE(2026,12,1),64,0)-IF(C2523=DATE(2026,11,28),38,0)-IF(C2523=DATE(2026,12,2),26,0)))</f>
        <v/>
      </c>
      <c r="I2523" s="13">
        <f>IF(AND(C2523&gt;=DATE(2026,11,29),C2523&lt;=DATE(2026,12,1)),B2523*60,0)</f>
        <v/>
      </c>
      <c r="J2523" s="13">
        <f>IF(A2523="",0,B2523*(IF(C2523=DATE(2026,11,28),38,0)+IF(C2523=DATE(2026,12,1),38,0)+IF(C2523=DATE(2026,12,2),26,0)))</f>
        <v/>
      </c>
      <c r="K2523" s="13">
        <f>IF(C2523=Options!$B$9,B2523*12,0)</f>
        <v/>
      </c>
      <c r="L2523" s="13">
        <f>IF(C2523=Options!$B$9,B2523*Options!$Z$8,0)</f>
        <v/>
      </c>
      <c r="M2523" s="13" t="n">
        <v>0</v>
      </c>
      <c r="N2523" s="13">
        <f>SUM(E2523:M2523)</f>
        <v/>
      </c>
    </row>
    <row r="2524">
      <c r="A2524" s="5">
        <f>IF(AND(C2524&gt;=Options!$B$9,C2524&lt;=Options!$B$10),"Boston","")</f>
        <v/>
      </c>
      <c r="B2524" s="5">
        <f>IF(A2524="","",18)</f>
        <v/>
      </c>
      <c r="C2524" s="17" t="n">
        <v>46625</v>
      </c>
      <c r="D2524" s="5">
        <f>IF(A2524="","",IF(C2524=DATE(2026,11,29),"培训；注册午餐；早餐参数",IF(C2524=DATE(2026,11,30),"培训；注册午餐",IF(C2524=DATE(2026,12,1),"培训；注册午餐；机构晚餐",IF(C2524=Options!$B$9,"抵达；"&amp;IF(C2524=DATE(2026,11,28),"机构晚餐","无统一供餐"),IF(C2524=Options!$B$10,"返程；"&amp;IF(C2524=DATE(2026,12,2),"机构午餐","无统一供餐"),"差旅状态；无统一日程"))))))</f>
        <v/>
      </c>
      <c r="E2524" s="13">
        <f>IF(C2524=Options!$B$9,Options!$C$20,0)</f>
        <v/>
      </c>
      <c r="F2524" s="13">
        <f>IF(AND(A2524&lt;&gt;"",C2524&lt;Options!$B$10),B2524*Options!$X$8,0)</f>
        <v/>
      </c>
      <c r="G2524" s="13">
        <f>F2524*12%</f>
        <v/>
      </c>
      <c r="H2524" s="13">
        <f>IF(A2524="",0,B2524*(92*IF(OR(C2524=Options!$B$9,C2524=Options!$B$10),75%,100%)-IF(C2524=DATE(2026,11,29),26+IF(Options!$B$8="是",23,0),0)-IF(C2524=DATE(2026,11,30),26,0)-IF(C2524=DATE(2026,12,1),64,0)-IF(C2524=DATE(2026,11,28),38,0)-IF(C2524=DATE(2026,12,2),26,0)))</f>
        <v/>
      </c>
      <c r="I2524" s="13">
        <f>IF(AND(C2524&gt;=DATE(2026,11,29),C2524&lt;=DATE(2026,12,1)),B2524*60,0)</f>
        <v/>
      </c>
      <c r="J2524" s="13">
        <f>IF(A2524="",0,B2524*(IF(C2524=DATE(2026,11,28),38,0)+IF(C2524=DATE(2026,12,1),38,0)+IF(C2524=DATE(2026,12,2),26,0)))</f>
        <v/>
      </c>
      <c r="K2524" s="13">
        <f>IF(C2524=Options!$B$9,B2524*12,0)</f>
        <v/>
      </c>
      <c r="L2524" s="13">
        <f>IF(C2524=Options!$B$9,B2524*Options!$Z$8,0)</f>
        <v/>
      </c>
      <c r="M2524" s="13" t="n">
        <v>0</v>
      </c>
      <c r="N2524" s="13">
        <f>SUM(E2524:M2524)</f>
        <v/>
      </c>
    </row>
    <row r="2525">
      <c r="A2525" s="5">
        <f>IF(AND(C2525&gt;=Options!$B$9,C2525&lt;=Options!$B$10),"Boston","")</f>
        <v/>
      </c>
      <c r="B2525" s="5">
        <f>IF(A2525="","",18)</f>
        <v/>
      </c>
      <c r="C2525" s="17" t="n">
        <v>46626</v>
      </c>
      <c r="D2525" s="5">
        <f>IF(A2525="","",IF(C2525=DATE(2026,11,29),"培训；注册午餐；早餐参数",IF(C2525=DATE(2026,11,30),"培训；注册午餐",IF(C2525=DATE(2026,12,1),"培训；注册午餐；机构晚餐",IF(C2525=Options!$B$9,"抵达；"&amp;IF(C2525=DATE(2026,11,28),"机构晚餐","无统一供餐"),IF(C2525=Options!$B$10,"返程；"&amp;IF(C2525=DATE(2026,12,2),"机构午餐","无统一供餐"),"差旅状态；无统一日程"))))))</f>
        <v/>
      </c>
      <c r="E2525" s="13">
        <f>IF(C2525=Options!$B$9,Options!$C$20,0)</f>
        <v/>
      </c>
      <c r="F2525" s="13">
        <f>IF(AND(A2525&lt;&gt;"",C2525&lt;Options!$B$10),B2525*Options!$X$8,0)</f>
        <v/>
      </c>
      <c r="G2525" s="13">
        <f>F2525*12%</f>
        <v/>
      </c>
      <c r="H2525" s="13">
        <f>IF(A2525="",0,B2525*(92*IF(OR(C2525=Options!$B$9,C2525=Options!$B$10),75%,100%)-IF(C2525=DATE(2026,11,29),26+IF(Options!$B$8="是",23,0),0)-IF(C2525=DATE(2026,11,30),26,0)-IF(C2525=DATE(2026,12,1),64,0)-IF(C2525=DATE(2026,11,28),38,0)-IF(C2525=DATE(2026,12,2),26,0)))</f>
        <v/>
      </c>
      <c r="I2525" s="13">
        <f>IF(AND(C2525&gt;=DATE(2026,11,29),C2525&lt;=DATE(2026,12,1)),B2525*60,0)</f>
        <v/>
      </c>
      <c r="J2525" s="13">
        <f>IF(A2525="",0,B2525*(IF(C2525=DATE(2026,11,28),38,0)+IF(C2525=DATE(2026,12,1),38,0)+IF(C2525=DATE(2026,12,2),26,0)))</f>
        <v/>
      </c>
      <c r="K2525" s="13">
        <f>IF(C2525=Options!$B$9,B2525*12,0)</f>
        <v/>
      </c>
      <c r="L2525" s="13">
        <f>IF(C2525=Options!$B$9,B2525*Options!$Z$8,0)</f>
        <v/>
      </c>
      <c r="M2525" s="13" t="n">
        <v>0</v>
      </c>
      <c r="N2525" s="13">
        <f>SUM(E2525:M2525)</f>
        <v/>
      </c>
    </row>
    <row r="2526">
      <c r="A2526" s="5">
        <f>IF(AND(C2526&gt;=Options!$B$9,C2526&lt;=Options!$B$10),"Boston","")</f>
        <v/>
      </c>
      <c r="B2526" s="5">
        <f>IF(A2526="","",18)</f>
        <v/>
      </c>
      <c r="C2526" s="17" t="n">
        <v>46627</v>
      </c>
      <c r="D2526" s="5">
        <f>IF(A2526="","",IF(C2526=DATE(2026,11,29),"培训；注册午餐；早餐参数",IF(C2526=DATE(2026,11,30),"培训；注册午餐",IF(C2526=DATE(2026,12,1),"培训；注册午餐；机构晚餐",IF(C2526=Options!$B$9,"抵达；"&amp;IF(C2526=DATE(2026,11,28),"机构晚餐","无统一供餐"),IF(C2526=Options!$B$10,"返程；"&amp;IF(C2526=DATE(2026,12,2),"机构午餐","无统一供餐"),"差旅状态；无统一日程"))))))</f>
        <v/>
      </c>
      <c r="E2526" s="13">
        <f>IF(C2526=Options!$B$9,Options!$C$20,0)</f>
        <v/>
      </c>
      <c r="F2526" s="13">
        <f>IF(AND(A2526&lt;&gt;"",C2526&lt;Options!$B$10),B2526*Options!$X$8,0)</f>
        <v/>
      </c>
      <c r="G2526" s="13">
        <f>F2526*12%</f>
        <v/>
      </c>
      <c r="H2526" s="13">
        <f>IF(A2526="",0,B2526*(92*IF(OR(C2526=Options!$B$9,C2526=Options!$B$10),75%,100%)-IF(C2526=DATE(2026,11,29),26+IF(Options!$B$8="是",23,0),0)-IF(C2526=DATE(2026,11,30),26,0)-IF(C2526=DATE(2026,12,1),64,0)-IF(C2526=DATE(2026,11,28),38,0)-IF(C2526=DATE(2026,12,2),26,0)))</f>
        <v/>
      </c>
      <c r="I2526" s="13">
        <f>IF(AND(C2526&gt;=DATE(2026,11,29),C2526&lt;=DATE(2026,12,1)),B2526*60,0)</f>
        <v/>
      </c>
      <c r="J2526" s="13">
        <f>IF(A2526="",0,B2526*(IF(C2526=DATE(2026,11,28),38,0)+IF(C2526=DATE(2026,12,1),38,0)+IF(C2526=DATE(2026,12,2),26,0)))</f>
        <v/>
      </c>
      <c r="K2526" s="13">
        <f>IF(C2526=Options!$B$9,B2526*12,0)</f>
        <v/>
      </c>
      <c r="L2526" s="13">
        <f>IF(C2526=Options!$B$9,B2526*Options!$Z$8,0)</f>
        <v/>
      </c>
      <c r="M2526" s="13" t="n">
        <v>0</v>
      </c>
      <c r="N2526" s="13">
        <f>SUM(E2526:M2526)</f>
        <v/>
      </c>
    </row>
    <row r="2527">
      <c r="A2527" s="5">
        <f>IF(AND(C2527&gt;=Options!$B$9,C2527&lt;=Options!$B$10),"Boston","")</f>
        <v/>
      </c>
      <c r="B2527" s="5">
        <f>IF(A2527="","",18)</f>
        <v/>
      </c>
      <c r="C2527" s="17" t="n">
        <v>46628</v>
      </c>
      <c r="D2527" s="5">
        <f>IF(A2527="","",IF(C2527=DATE(2026,11,29),"培训；注册午餐；早餐参数",IF(C2527=DATE(2026,11,30),"培训；注册午餐",IF(C2527=DATE(2026,12,1),"培训；注册午餐；机构晚餐",IF(C2527=Options!$B$9,"抵达；"&amp;IF(C2527=DATE(2026,11,28),"机构晚餐","无统一供餐"),IF(C2527=Options!$B$10,"返程；"&amp;IF(C2527=DATE(2026,12,2),"机构午餐","无统一供餐"),"差旅状态；无统一日程"))))))</f>
        <v/>
      </c>
      <c r="E2527" s="13">
        <f>IF(C2527=Options!$B$9,Options!$C$20,0)</f>
        <v/>
      </c>
      <c r="F2527" s="13">
        <f>IF(AND(A2527&lt;&gt;"",C2527&lt;Options!$B$10),B2527*Options!$X$8,0)</f>
        <v/>
      </c>
      <c r="G2527" s="13">
        <f>F2527*12%</f>
        <v/>
      </c>
      <c r="H2527" s="13">
        <f>IF(A2527="",0,B2527*(92*IF(OR(C2527=Options!$B$9,C2527=Options!$B$10),75%,100%)-IF(C2527=DATE(2026,11,29),26+IF(Options!$B$8="是",23,0),0)-IF(C2527=DATE(2026,11,30),26,0)-IF(C2527=DATE(2026,12,1),64,0)-IF(C2527=DATE(2026,11,28),38,0)-IF(C2527=DATE(2026,12,2),26,0)))</f>
        <v/>
      </c>
      <c r="I2527" s="13">
        <f>IF(AND(C2527&gt;=DATE(2026,11,29),C2527&lt;=DATE(2026,12,1)),B2527*60,0)</f>
        <v/>
      </c>
      <c r="J2527" s="13">
        <f>IF(A2527="",0,B2527*(IF(C2527=DATE(2026,11,28),38,0)+IF(C2527=DATE(2026,12,1),38,0)+IF(C2527=DATE(2026,12,2),26,0)))</f>
        <v/>
      </c>
      <c r="K2527" s="13">
        <f>IF(C2527=Options!$B$9,B2527*12,0)</f>
        <v/>
      </c>
      <c r="L2527" s="13">
        <f>IF(C2527=Options!$B$9,B2527*Options!$Z$8,0)</f>
        <v/>
      </c>
      <c r="M2527" s="13" t="n">
        <v>0</v>
      </c>
      <c r="N2527" s="13">
        <f>SUM(E2527:M2527)</f>
        <v/>
      </c>
    </row>
    <row r="2528">
      <c r="A2528" s="5">
        <f>IF(AND(C2528&gt;=Options!$B$9,C2528&lt;=Options!$B$10),"Boston","")</f>
        <v/>
      </c>
      <c r="B2528" s="5">
        <f>IF(A2528="","",18)</f>
        <v/>
      </c>
      <c r="C2528" s="17" t="n">
        <v>46629</v>
      </c>
      <c r="D2528" s="5">
        <f>IF(A2528="","",IF(C2528=DATE(2026,11,29),"培训；注册午餐；早餐参数",IF(C2528=DATE(2026,11,30),"培训；注册午餐",IF(C2528=DATE(2026,12,1),"培训；注册午餐；机构晚餐",IF(C2528=Options!$B$9,"抵达；"&amp;IF(C2528=DATE(2026,11,28),"机构晚餐","无统一供餐"),IF(C2528=Options!$B$10,"返程；"&amp;IF(C2528=DATE(2026,12,2),"机构午餐","无统一供餐"),"差旅状态；无统一日程"))))))</f>
        <v/>
      </c>
      <c r="E2528" s="13">
        <f>IF(C2528=Options!$B$9,Options!$C$20,0)</f>
        <v/>
      </c>
      <c r="F2528" s="13">
        <f>IF(AND(A2528&lt;&gt;"",C2528&lt;Options!$B$10),B2528*Options!$X$8,0)</f>
        <v/>
      </c>
      <c r="G2528" s="13">
        <f>F2528*12%</f>
        <v/>
      </c>
      <c r="H2528" s="13">
        <f>IF(A2528="",0,B2528*(92*IF(OR(C2528=Options!$B$9,C2528=Options!$B$10),75%,100%)-IF(C2528=DATE(2026,11,29),26+IF(Options!$B$8="是",23,0),0)-IF(C2528=DATE(2026,11,30),26,0)-IF(C2528=DATE(2026,12,1),64,0)-IF(C2528=DATE(2026,11,28),38,0)-IF(C2528=DATE(2026,12,2),26,0)))</f>
        <v/>
      </c>
      <c r="I2528" s="13">
        <f>IF(AND(C2528&gt;=DATE(2026,11,29),C2528&lt;=DATE(2026,12,1)),B2528*60,0)</f>
        <v/>
      </c>
      <c r="J2528" s="13">
        <f>IF(A2528="",0,B2528*(IF(C2528=DATE(2026,11,28),38,0)+IF(C2528=DATE(2026,12,1),38,0)+IF(C2528=DATE(2026,12,2),26,0)))</f>
        <v/>
      </c>
      <c r="K2528" s="13">
        <f>IF(C2528=Options!$B$9,B2528*12,0)</f>
        <v/>
      </c>
      <c r="L2528" s="13">
        <f>IF(C2528=Options!$B$9,B2528*Options!$Z$8,0)</f>
        <v/>
      </c>
      <c r="M2528" s="13" t="n">
        <v>0</v>
      </c>
      <c r="N2528" s="13">
        <f>SUM(E2528:M2528)</f>
        <v/>
      </c>
    </row>
    <row r="2529">
      <c r="A2529" s="5">
        <f>IF(AND(C2529&gt;=Options!$B$9,C2529&lt;=Options!$B$10),"Boston","")</f>
        <v/>
      </c>
      <c r="B2529" s="5">
        <f>IF(A2529="","",18)</f>
        <v/>
      </c>
      <c r="C2529" s="17" t="n">
        <v>46630</v>
      </c>
      <c r="D2529" s="5">
        <f>IF(A2529="","",IF(C2529=DATE(2026,11,29),"培训；注册午餐；早餐参数",IF(C2529=DATE(2026,11,30),"培训；注册午餐",IF(C2529=DATE(2026,12,1),"培训；注册午餐；机构晚餐",IF(C2529=Options!$B$9,"抵达；"&amp;IF(C2529=DATE(2026,11,28),"机构晚餐","无统一供餐"),IF(C2529=Options!$B$10,"返程；"&amp;IF(C2529=DATE(2026,12,2),"机构午餐","无统一供餐"),"差旅状态；无统一日程"))))))</f>
        <v/>
      </c>
      <c r="E2529" s="13">
        <f>IF(C2529=Options!$B$9,Options!$C$20,0)</f>
        <v/>
      </c>
      <c r="F2529" s="13">
        <f>IF(AND(A2529&lt;&gt;"",C2529&lt;Options!$B$10),B2529*Options!$X$8,0)</f>
        <v/>
      </c>
      <c r="G2529" s="13">
        <f>F2529*12%</f>
        <v/>
      </c>
      <c r="H2529" s="13">
        <f>IF(A2529="",0,B2529*(92*IF(OR(C2529=Options!$B$9,C2529=Options!$B$10),75%,100%)-IF(C2529=DATE(2026,11,29),26+IF(Options!$B$8="是",23,0),0)-IF(C2529=DATE(2026,11,30),26,0)-IF(C2529=DATE(2026,12,1),64,0)-IF(C2529=DATE(2026,11,28),38,0)-IF(C2529=DATE(2026,12,2),26,0)))</f>
        <v/>
      </c>
      <c r="I2529" s="13">
        <f>IF(AND(C2529&gt;=DATE(2026,11,29),C2529&lt;=DATE(2026,12,1)),B2529*60,0)</f>
        <v/>
      </c>
      <c r="J2529" s="13">
        <f>IF(A2529="",0,B2529*(IF(C2529=DATE(2026,11,28),38,0)+IF(C2529=DATE(2026,12,1),38,0)+IF(C2529=DATE(2026,12,2),26,0)))</f>
        <v/>
      </c>
      <c r="K2529" s="13">
        <f>IF(C2529=Options!$B$9,B2529*12,0)</f>
        <v/>
      </c>
      <c r="L2529" s="13">
        <f>IF(C2529=Options!$B$9,B2529*Options!$Z$8,0)</f>
        <v/>
      </c>
      <c r="M2529" s="13" t="n">
        <v>0</v>
      </c>
      <c r="N2529" s="13">
        <f>SUM(E2529:M2529)</f>
        <v/>
      </c>
    </row>
    <row r="2530">
      <c r="A2530" s="5">
        <f>IF(AND(C2530&gt;=Options!$B$9,C2530&lt;=Options!$B$10),"Boston","")</f>
        <v/>
      </c>
      <c r="B2530" s="5">
        <f>IF(A2530="","",18)</f>
        <v/>
      </c>
      <c r="C2530" s="17" t="n">
        <v>46631</v>
      </c>
      <c r="D2530" s="5">
        <f>IF(A2530="","",IF(C2530=DATE(2026,11,29),"培训；注册午餐；早餐参数",IF(C2530=DATE(2026,11,30),"培训；注册午餐",IF(C2530=DATE(2026,12,1),"培训；注册午餐；机构晚餐",IF(C2530=Options!$B$9,"抵达；"&amp;IF(C2530=DATE(2026,11,28),"机构晚餐","无统一供餐"),IF(C2530=Options!$B$10,"返程；"&amp;IF(C2530=DATE(2026,12,2),"机构午餐","无统一供餐"),"差旅状态；无统一日程"))))))</f>
        <v/>
      </c>
      <c r="E2530" s="13">
        <f>IF(C2530=Options!$B$9,Options!$C$20,0)</f>
        <v/>
      </c>
      <c r="F2530" s="13">
        <f>IF(AND(A2530&lt;&gt;"",C2530&lt;Options!$B$10),B2530*Options!$X$8,0)</f>
        <v/>
      </c>
      <c r="G2530" s="13">
        <f>F2530*12%</f>
        <v/>
      </c>
      <c r="H2530" s="13">
        <f>IF(A2530="",0,B2530*(92*IF(OR(C2530=Options!$B$9,C2530=Options!$B$10),75%,100%)-IF(C2530=DATE(2026,11,29),26+IF(Options!$B$8="是",23,0),0)-IF(C2530=DATE(2026,11,30),26,0)-IF(C2530=DATE(2026,12,1),64,0)-IF(C2530=DATE(2026,11,28),38,0)-IF(C2530=DATE(2026,12,2),26,0)))</f>
        <v/>
      </c>
      <c r="I2530" s="13">
        <f>IF(AND(C2530&gt;=DATE(2026,11,29),C2530&lt;=DATE(2026,12,1)),B2530*60,0)</f>
        <v/>
      </c>
      <c r="J2530" s="13">
        <f>IF(A2530="",0,B2530*(IF(C2530=DATE(2026,11,28),38,0)+IF(C2530=DATE(2026,12,1),38,0)+IF(C2530=DATE(2026,12,2),26,0)))</f>
        <v/>
      </c>
      <c r="K2530" s="13">
        <f>IF(C2530=Options!$B$9,B2530*12,0)</f>
        <v/>
      </c>
      <c r="L2530" s="13">
        <f>IF(C2530=Options!$B$9,B2530*Options!$Z$8,0)</f>
        <v/>
      </c>
      <c r="M2530" s="13" t="n">
        <v>0</v>
      </c>
      <c r="N2530" s="13">
        <f>SUM(E2530:M2530)</f>
        <v/>
      </c>
    </row>
    <row r="2531">
      <c r="A2531" s="5">
        <f>IF(AND(C2531&gt;=Options!$B$9,C2531&lt;=Options!$B$10),"Boston","")</f>
        <v/>
      </c>
      <c r="B2531" s="5">
        <f>IF(A2531="","",18)</f>
        <v/>
      </c>
      <c r="C2531" s="17" t="n">
        <v>46632</v>
      </c>
      <c r="D2531" s="5">
        <f>IF(A2531="","",IF(C2531=DATE(2026,11,29),"培训；注册午餐；早餐参数",IF(C2531=DATE(2026,11,30),"培训；注册午餐",IF(C2531=DATE(2026,12,1),"培训；注册午餐；机构晚餐",IF(C2531=Options!$B$9,"抵达；"&amp;IF(C2531=DATE(2026,11,28),"机构晚餐","无统一供餐"),IF(C2531=Options!$B$10,"返程；"&amp;IF(C2531=DATE(2026,12,2),"机构午餐","无统一供餐"),"差旅状态；无统一日程"))))))</f>
        <v/>
      </c>
      <c r="E2531" s="13">
        <f>IF(C2531=Options!$B$9,Options!$C$20,0)</f>
        <v/>
      </c>
      <c r="F2531" s="13">
        <f>IF(AND(A2531&lt;&gt;"",C2531&lt;Options!$B$10),B2531*Options!$X$8,0)</f>
        <v/>
      </c>
      <c r="G2531" s="13">
        <f>F2531*12%</f>
        <v/>
      </c>
      <c r="H2531" s="13">
        <f>IF(A2531="",0,B2531*(92*IF(OR(C2531=Options!$B$9,C2531=Options!$B$10),75%,100%)-IF(C2531=DATE(2026,11,29),26+IF(Options!$B$8="是",23,0),0)-IF(C2531=DATE(2026,11,30),26,0)-IF(C2531=DATE(2026,12,1),64,0)-IF(C2531=DATE(2026,11,28),38,0)-IF(C2531=DATE(2026,12,2),26,0)))</f>
        <v/>
      </c>
      <c r="I2531" s="13">
        <f>IF(AND(C2531&gt;=DATE(2026,11,29),C2531&lt;=DATE(2026,12,1)),B2531*60,0)</f>
        <v/>
      </c>
      <c r="J2531" s="13">
        <f>IF(A2531="",0,B2531*(IF(C2531=DATE(2026,11,28),38,0)+IF(C2531=DATE(2026,12,1),38,0)+IF(C2531=DATE(2026,12,2),26,0)))</f>
        <v/>
      </c>
      <c r="K2531" s="13">
        <f>IF(C2531=Options!$B$9,B2531*12,0)</f>
        <v/>
      </c>
      <c r="L2531" s="13">
        <f>IF(C2531=Options!$B$9,B2531*Options!$Z$8,0)</f>
        <v/>
      </c>
      <c r="M2531" s="13" t="n">
        <v>0</v>
      </c>
      <c r="N2531" s="13">
        <f>SUM(E2531:M2531)</f>
        <v/>
      </c>
    </row>
    <row r="2532">
      <c r="A2532" s="5">
        <f>IF(AND(C2532&gt;=Options!$B$9,C2532&lt;=Options!$B$10),"Boston","")</f>
        <v/>
      </c>
      <c r="B2532" s="5">
        <f>IF(A2532="","",18)</f>
        <v/>
      </c>
      <c r="C2532" s="17" t="n">
        <v>46633</v>
      </c>
      <c r="D2532" s="5">
        <f>IF(A2532="","",IF(C2532=DATE(2026,11,29),"培训；注册午餐；早餐参数",IF(C2532=DATE(2026,11,30),"培训；注册午餐",IF(C2532=DATE(2026,12,1),"培训；注册午餐；机构晚餐",IF(C2532=Options!$B$9,"抵达；"&amp;IF(C2532=DATE(2026,11,28),"机构晚餐","无统一供餐"),IF(C2532=Options!$B$10,"返程；"&amp;IF(C2532=DATE(2026,12,2),"机构午餐","无统一供餐"),"差旅状态；无统一日程"))))))</f>
        <v/>
      </c>
      <c r="E2532" s="13">
        <f>IF(C2532=Options!$B$9,Options!$C$20,0)</f>
        <v/>
      </c>
      <c r="F2532" s="13">
        <f>IF(AND(A2532&lt;&gt;"",C2532&lt;Options!$B$10),B2532*Options!$X$8,0)</f>
        <v/>
      </c>
      <c r="G2532" s="13">
        <f>F2532*12%</f>
        <v/>
      </c>
      <c r="H2532" s="13">
        <f>IF(A2532="",0,B2532*(92*IF(OR(C2532=Options!$B$9,C2532=Options!$B$10),75%,100%)-IF(C2532=DATE(2026,11,29),26+IF(Options!$B$8="是",23,0),0)-IF(C2532=DATE(2026,11,30),26,0)-IF(C2532=DATE(2026,12,1),64,0)-IF(C2532=DATE(2026,11,28),38,0)-IF(C2532=DATE(2026,12,2),26,0)))</f>
        <v/>
      </c>
      <c r="I2532" s="13">
        <f>IF(AND(C2532&gt;=DATE(2026,11,29),C2532&lt;=DATE(2026,12,1)),B2532*60,0)</f>
        <v/>
      </c>
      <c r="J2532" s="13">
        <f>IF(A2532="",0,B2532*(IF(C2532=DATE(2026,11,28),38,0)+IF(C2532=DATE(2026,12,1),38,0)+IF(C2532=DATE(2026,12,2),26,0)))</f>
        <v/>
      </c>
      <c r="K2532" s="13">
        <f>IF(C2532=Options!$B$9,B2532*12,0)</f>
        <v/>
      </c>
      <c r="L2532" s="13">
        <f>IF(C2532=Options!$B$9,B2532*Options!$Z$8,0)</f>
        <v/>
      </c>
      <c r="M2532" s="13" t="n">
        <v>0</v>
      </c>
      <c r="N2532" s="13">
        <f>SUM(E2532:M2532)</f>
        <v/>
      </c>
    </row>
    <row r="2533">
      <c r="A2533" s="5">
        <f>IF(AND(C2533&gt;=Options!$B$9,C2533&lt;=Options!$B$10),"Boston","")</f>
        <v/>
      </c>
      <c r="B2533" s="5">
        <f>IF(A2533="","",18)</f>
        <v/>
      </c>
      <c r="C2533" s="17" t="n">
        <v>46634</v>
      </c>
      <c r="D2533" s="5">
        <f>IF(A2533="","",IF(C2533=DATE(2026,11,29),"培训；注册午餐；早餐参数",IF(C2533=DATE(2026,11,30),"培训；注册午餐",IF(C2533=DATE(2026,12,1),"培训；注册午餐；机构晚餐",IF(C2533=Options!$B$9,"抵达；"&amp;IF(C2533=DATE(2026,11,28),"机构晚餐","无统一供餐"),IF(C2533=Options!$B$10,"返程；"&amp;IF(C2533=DATE(2026,12,2),"机构午餐","无统一供餐"),"差旅状态；无统一日程"))))))</f>
        <v/>
      </c>
      <c r="E2533" s="13">
        <f>IF(C2533=Options!$B$9,Options!$C$20,0)</f>
        <v/>
      </c>
      <c r="F2533" s="13">
        <f>IF(AND(A2533&lt;&gt;"",C2533&lt;Options!$B$10),B2533*Options!$X$8,0)</f>
        <v/>
      </c>
      <c r="G2533" s="13">
        <f>F2533*12%</f>
        <v/>
      </c>
      <c r="H2533" s="13">
        <f>IF(A2533="",0,B2533*(92*IF(OR(C2533=Options!$B$9,C2533=Options!$B$10),75%,100%)-IF(C2533=DATE(2026,11,29),26+IF(Options!$B$8="是",23,0),0)-IF(C2533=DATE(2026,11,30),26,0)-IF(C2533=DATE(2026,12,1),64,0)-IF(C2533=DATE(2026,11,28),38,0)-IF(C2533=DATE(2026,12,2),26,0)))</f>
        <v/>
      </c>
      <c r="I2533" s="13">
        <f>IF(AND(C2533&gt;=DATE(2026,11,29),C2533&lt;=DATE(2026,12,1)),B2533*60,0)</f>
        <v/>
      </c>
      <c r="J2533" s="13">
        <f>IF(A2533="",0,B2533*(IF(C2533=DATE(2026,11,28),38,0)+IF(C2533=DATE(2026,12,1),38,0)+IF(C2533=DATE(2026,12,2),26,0)))</f>
        <v/>
      </c>
      <c r="K2533" s="13">
        <f>IF(C2533=Options!$B$9,B2533*12,0)</f>
        <v/>
      </c>
      <c r="L2533" s="13">
        <f>IF(C2533=Options!$B$9,B2533*Options!$Z$8,0)</f>
        <v/>
      </c>
      <c r="M2533" s="13" t="n">
        <v>0</v>
      </c>
      <c r="N2533" s="13">
        <f>SUM(E2533:M2533)</f>
        <v/>
      </c>
    </row>
    <row r="2534">
      <c r="A2534" s="5">
        <f>IF(AND(C2534&gt;=Options!$B$9,C2534&lt;=Options!$B$10),"Boston","")</f>
        <v/>
      </c>
      <c r="B2534" s="5">
        <f>IF(A2534="","",18)</f>
        <v/>
      </c>
      <c r="C2534" s="17" t="n">
        <v>46635</v>
      </c>
      <c r="D2534" s="5">
        <f>IF(A2534="","",IF(C2534=DATE(2026,11,29),"培训；注册午餐；早餐参数",IF(C2534=DATE(2026,11,30),"培训；注册午餐",IF(C2534=DATE(2026,12,1),"培训；注册午餐；机构晚餐",IF(C2534=Options!$B$9,"抵达；"&amp;IF(C2534=DATE(2026,11,28),"机构晚餐","无统一供餐"),IF(C2534=Options!$B$10,"返程；"&amp;IF(C2534=DATE(2026,12,2),"机构午餐","无统一供餐"),"差旅状态；无统一日程"))))))</f>
        <v/>
      </c>
      <c r="E2534" s="13">
        <f>IF(C2534=Options!$B$9,Options!$C$20,0)</f>
        <v/>
      </c>
      <c r="F2534" s="13">
        <f>IF(AND(A2534&lt;&gt;"",C2534&lt;Options!$B$10),B2534*Options!$X$8,0)</f>
        <v/>
      </c>
      <c r="G2534" s="13">
        <f>F2534*12%</f>
        <v/>
      </c>
      <c r="H2534" s="13">
        <f>IF(A2534="",0,B2534*(92*IF(OR(C2534=Options!$B$9,C2534=Options!$B$10),75%,100%)-IF(C2534=DATE(2026,11,29),26+IF(Options!$B$8="是",23,0),0)-IF(C2534=DATE(2026,11,30),26,0)-IF(C2534=DATE(2026,12,1),64,0)-IF(C2534=DATE(2026,11,28),38,0)-IF(C2534=DATE(2026,12,2),26,0)))</f>
        <v/>
      </c>
      <c r="I2534" s="13">
        <f>IF(AND(C2534&gt;=DATE(2026,11,29),C2534&lt;=DATE(2026,12,1)),B2534*60,0)</f>
        <v/>
      </c>
      <c r="J2534" s="13">
        <f>IF(A2534="",0,B2534*(IF(C2534=DATE(2026,11,28),38,0)+IF(C2534=DATE(2026,12,1),38,0)+IF(C2534=DATE(2026,12,2),26,0)))</f>
        <v/>
      </c>
      <c r="K2534" s="13">
        <f>IF(C2534=Options!$B$9,B2534*12,0)</f>
        <v/>
      </c>
      <c r="L2534" s="13">
        <f>IF(C2534=Options!$B$9,B2534*Options!$Z$8,0)</f>
        <v/>
      </c>
      <c r="M2534" s="13" t="n">
        <v>0</v>
      </c>
      <c r="N2534" s="13">
        <f>SUM(E2534:M2534)</f>
        <v/>
      </c>
    </row>
    <row r="2535">
      <c r="A2535" s="5">
        <f>IF(AND(C2535&gt;=Options!$B$9,C2535&lt;=Options!$B$10),"Boston","")</f>
        <v/>
      </c>
      <c r="B2535" s="5">
        <f>IF(A2535="","",18)</f>
        <v/>
      </c>
      <c r="C2535" s="17" t="n">
        <v>46636</v>
      </c>
      <c r="D2535" s="5">
        <f>IF(A2535="","",IF(C2535=DATE(2026,11,29),"培训；注册午餐；早餐参数",IF(C2535=DATE(2026,11,30),"培训；注册午餐",IF(C2535=DATE(2026,12,1),"培训；注册午餐；机构晚餐",IF(C2535=Options!$B$9,"抵达；"&amp;IF(C2535=DATE(2026,11,28),"机构晚餐","无统一供餐"),IF(C2535=Options!$B$10,"返程；"&amp;IF(C2535=DATE(2026,12,2),"机构午餐","无统一供餐"),"差旅状态；无统一日程"))))))</f>
        <v/>
      </c>
      <c r="E2535" s="13">
        <f>IF(C2535=Options!$B$9,Options!$C$20,0)</f>
        <v/>
      </c>
      <c r="F2535" s="13">
        <f>IF(AND(A2535&lt;&gt;"",C2535&lt;Options!$B$10),B2535*Options!$X$8,0)</f>
        <v/>
      </c>
      <c r="G2535" s="13">
        <f>F2535*12%</f>
        <v/>
      </c>
      <c r="H2535" s="13">
        <f>IF(A2535="",0,B2535*(92*IF(OR(C2535=Options!$B$9,C2535=Options!$B$10),75%,100%)-IF(C2535=DATE(2026,11,29),26+IF(Options!$B$8="是",23,0),0)-IF(C2535=DATE(2026,11,30),26,0)-IF(C2535=DATE(2026,12,1),64,0)-IF(C2535=DATE(2026,11,28),38,0)-IF(C2535=DATE(2026,12,2),26,0)))</f>
        <v/>
      </c>
      <c r="I2535" s="13">
        <f>IF(AND(C2535&gt;=DATE(2026,11,29),C2535&lt;=DATE(2026,12,1)),B2535*60,0)</f>
        <v/>
      </c>
      <c r="J2535" s="13">
        <f>IF(A2535="",0,B2535*(IF(C2535=DATE(2026,11,28),38,0)+IF(C2535=DATE(2026,12,1),38,0)+IF(C2535=DATE(2026,12,2),26,0)))</f>
        <v/>
      </c>
      <c r="K2535" s="13">
        <f>IF(C2535=Options!$B$9,B2535*12,0)</f>
        <v/>
      </c>
      <c r="L2535" s="13">
        <f>IF(C2535=Options!$B$9,B2535*Options!$Z$8,0)</f>
        <v/>
      </c>
      <c r="M2535" s="13" t="n">
        <v>0</v>
      </c>
      <c r="N2535" s="13">
        <f>SUM(E2535:M2535)</f>
        <v/>
      </c>
    </row>
    <row r="2536">
      <c r="A2536" s="5">
        <f>IF(AND(C2536&gt;=Options!$B$9,C2536&lt;=Options!$B$10),"Boston","")</f>
        <v/>
      </c>
      <c r="B2536" s="5">
        <f>IF(A2536="","",18)</f>
        <v/>
      </c>
      <c r="C2536" s="17" t="n">
        <v>46637</v>
      </c>
      <c r="D2536" s="5">
        <f>IF(A2536="","",IF(C2536=DATE(2026,11,29),"培训；注册午餐；早餐参数",IF(C2536=DATE(2026,11,30),"培训；注册午餐",IF(C2536=DATE(2026,12,1),"培训；注册午餐；机构晚餐",IF(C2536=Options!$B$9,"抵达；"&amp;IF(C2536=DATE(2026,11,28),"机构晚餐","无统一供餐"),IF(C2536=Options!$B$10,"返程；"&amp;IF(C2536=DATE(2026,12,2),"机构午餐","无统一供餐"),"差旅状态；无统一日程"))))))</f>
        <v/>
      </c>
      <c r="E2536" s="13">
        <f>IF(C2536=Options!$B$9,Options!$C$20,0)</f>
        <v/>
      </c>
      <c r="F2536" s="13">
        <f>IF(AND(A2536&lt;&gt;"",C2536&lt;Options!$B$10),B2536*Options!$X$8,0)</f>
        <v/>
      </c>
      <c r="G2536" s="13">
        <f>F2536*12%</f>
        <v/>
      </c>
      <c r="H2536" s="13">
        <f>IF(A2536="",0,B2536*(92*IF(OR(C2536=Options!$B$9,C2536=Options!$B$10),75%,100%)-IF(C2536=DATE(2026,11,29),26+IF(Options!$B$8="是",23,0),0)-IF(C2536=DATE(2026,11,30),26,0)-IF(C2536=DATE(2026,12,1),64,0)-IF(C2536=DATE(2026,11,28),38,0)-IF(C2536=DATE(2026,12,2),26,0)))</f>
        <v/>
      </c>
      <c r="I2536" s="13">
        <f>IF(AND(C2536&gt;=DATE(2026,11,29),C2536&lt;=DATE(2026,12,1)),B2536*60,0)</f>
        <v/>
      </c>
      <c r="J2536" s="13">
        <f>IF(A2536="",0,B2536*(IF(C2536=DATE(2026,11,28),38,0)+IF(C2536=DATE(2026,12,1),38,0)+IF(C2536=DATE(2026,12,2),26,0)))</f>
        <v/>
      </c>
      <c r="K2536" s="13">
        <f>IF(C2536=Options!$B$9,B2536*12,0)</f>
        <v/>
      </c>
      <c r="L2536" s="13">
        <f>IF(C2536=Options!$B$9,B2536*Options!$Z$8,0)</f>
        <v/>
      </c>
      <c r="M2536" s="13" t="n">
        <v>0</v>
      </c>
      <c r="N2536" s="13">
        <f>SUM(E2536:M2536)</f>
        <v/>
      </c>
    </row>
    <row r="2537">
      <c r="A2537" s="5">
        <f>IF(AND(C2537&gt;=Options!$B$9,C2537&lt;=Options!$B$10),"Boston","")</f>
        <v/>
      </c>
      <c r="B2537" s="5">
        <f>IF(A2537="","",18)</f>
        <v/>
      </c>
      <c r="C2537" s="17" t="n">
        <v>46638</v>
      </c>
      <c r="D2537" s="5">
        <f>IF(A2537="","",IF(C2537=DATE(2026,11,29),"培训；注册午餐；早餐参数",IF(C2537=DATE(2026,11,30),"培训；注册午餐",IF(C2537=DATE(2026,12,1),"培训；注册午餐；机构晚餐",IF(C2537=Options!$B$9,"抵达；"&amp;IF(C2537=DATE(2026,11,28),"机构晚餐","无统一供餐"),IF(C2537=Options!$B$10,"返程；"&amp;IF(C2537=DATE(2026,12,2),"机构午餐","无统一供餐"),"差旅状态；无统一日程"))))))</f>
        <v/>
      </c>
      <c r="E2537" s="13">
        <f>IF(C2537=Options!$B$9,Options!$C$20,0)</f>
        <v/>
      </c>
      <c r="F2537" s="13">
        <f>IF(AND(A2537&lt;&gt;"",C2537&lt;Options!$B$10),B2537*Options!$X$8,0)</f>
        <v/>
      </c>
      <c r="G2537" s="13">
        <f>F2537*12%</f>
        <v/>
      </c>
      <c r="H2537" s="13">
        <f>IF(A2537="",0,B2537*(92*IF(OR(C2537=Options!$B$9,C2537=Options!$B$10),75%,100%)-IF(C2537=DATE(2026,11,29),26+IF(Options!$B$8="是",23,0),0)-IF(C2537=DATE(2026,11,30),26,0)-IF(C2537=DATE(2026,12,1),64,0)-IF(C2537=DATE(2026,11,28),38,0)-IF(C2537=DATE(2026,12,2),26,0)))</f>
        <v/>
      </c>
      <c r="I2537" s="13">
        <f>IF(AND(C2537&gt;=DATE(2026,11,29),C2537&lt;=DATE(2026,12,1)),B2537*60,0)</f>
        <v/>
      </c>
      <c r="J2537" s="13">
        <f>IF(A2537="",0,B2537*(IF(C2537=DATE(2026,11,28),38,0)+IF(C2537=DATE(2026,12,1),38,0)+IF(C2537=DATE(2026,12,2),26,0)))</f>
        <v/>
      </c>
      <c r="K2537" s="13">
        <f>IF(C2537=Options!$B$9,B2537*12,0)</f>
        <v/>
      </c>
      <c r="L2537" s="13">
        <f>IF(C2537=Options!$B$9,B2537*Options!$Z$8,0)</f>
        <v/>
      </c>
      <c r="M2537" s="13" t="n">
        <v>0</v>
      </c>
      <c r="N2537" s="13">
        <f>SUM(E2537:M2537)</f>
        <v/>
      </c>
    </row>
    <row r="2538">
      <c r="A2538" s="5">
        <f>IF(AND(C2538&gt;=Options!$B$9,C2538&lt;=Options!$B$10),"Boston","")</f>
        <v/>
      </c>
      <c r="B2538" s="5">
        <f>IF(A2538="","",18)</f>
        <v/>
      </c>
      <c r="C2538" s="17" t="n">
        <v>46639</v>
      </c>
      <c r="D2538" s="5">
        <f>IF(A2538="","",IF(C2538=DATE(2026,11,29),"培训；注册午餐；早餐参数",IF(C2538=DATE(2026,11,30),"培训；注册午餐",IF(C2538=DATE(2026,12,1),"培训；注册午餐；机构晚餐",IF(C2538=Options!$B$9,"抵达；"&amp;IF(C2538=DATE(2026,11,28),"机构晚餐","无统一供餐"),IF(C2538=Options!$B$10,"返程；"&amp;IF(C2538=DATE(2026,12,2),"机构午餐","无统一供餐"),"差旅状态；无统一日程"))))))</f>
        <v/>
      </c>
      <c r="E2538" s="13">
        <f>IF(C2538=Options!$B$9,Options!$C$20,0)</f>
        <v/>
      </c>
      <c r="F2538" s="13">
        <f>IF(AND(A2538&lt;&gt;"",C2538&lt;Options!$B$10),B2538*Options!$X$8,0)</f>
        <v/>
      </c>
      <c r="G2538" s="13">
        <f>F2538*12%</f>
        <v/>
      </c>
      <c r="H2538" s="13">
        <f>IF(A2538="",0,B2538*(92*IF(OR(C2538=Options!$B$9,C2538=Options!$B$10),75%,100%)-IF(C2538=DATE(2026,11,29),26+IF(Options!$B$8="是",23,0),0)-IF(C2538=DATE(2026,11,30),26,0)-IF(C2538=DATE(2026,12,1),64,0)-IF(C2538=DATE(2026,11,28),38,0)-IF(C2538=DATE(2026,12,2),26,0)))</f>
        <v/>
      </c>
      <c r="I2538" s="13">
        <f>IF(AND(C2538&gt;=DATE(2026,11,29),C2538&lt;=DATE(2026,12,1)),B2538*60,0)</f>
        <v/>
      </c>
      <c r="J2538" s="13">
        <f>IF(A2538="",0,B2538*(IF(C2538=DATE(2026,11,28),38,0)+IF(C2538=DATE(2026,12,1),38,0)+IF(C2538=DATE(2026,12,2),26,0)))</f>
        <v/>
      </c>
      <c r="K2538" s="13">
        <f>IF(C2538=Options!$B$9,B2538*12,0)</f>
        <v/>
      </c>
      <c r="L2538" s="13">
        <f>IF(C2538=Options!$B$9,B2538*Options!$Z$8,0)</f>
        <v/>
      </c>
      <c r="M2538" s="13" t="n">
        <v>0</v>
      </c>
      <c r="N2538" s="13">
        <f>SUM(E2538:M2538)</f>
        <v/>
      </c>
    </row>
    <row r="2539">
      <c r="A2539" s="5">
        <f>IF(AND(C2539&gt;=Options!$B$9,C2539&lt;=Options!$B$10),"Boston","")</f>
        <v/>
      </c>
      <c r="B2539" s="5">
        <f>IF(A2539="","",18)</f>
        <v/>
      </c>
      <c r="C2539" s="17" t="n">
        <v>46640</v>
      </c>
      <c r="D2539" s="5">
        <f>IF(A2539="","",IF(C2539=DATE(2026,11,29),"培训；注册午餐；早餐参数",IF(C2539=DATE(2026,11,30),"培训；注册午餐",IF(C2539=DATE(2026,12,1),"培训；注册午餐；机构晚餐",IF(C2539=Options!$B$9,"抵达；"&amp;IF(C2539=DATE(2026,11,28),"机构晚餐","无统一供餐"),IF(C2539=Options!$B$10,"返程；"&amp;IF(C2539=DATE(2026,12,2),"机构午餐","无统一供餐"),"差旅状态；无统一日程"))))))</f>
        <v/>
      </c>
      <c r="E2539" s="13">
        <f>IF(C2539=Options!$B$9,Options!$C$20,0)</f>
        <v/>
      </c>
      <c r="F2539" s="13">
        <f>IF(AND(A2539&lt;&gt;"",C2539&lt;Options!$B$10),B2539*Options!$X$8,0)</f>
        <v/>
      </c>
      <c r="G2539" s="13">
        <f>F2539*12%</f>
        <v/>
      </c>
      <c r="H2539" s="13">
        <f>IF(A2539="",0,B2539*(92*IF(OR(C2539=Options!$B$9,C2539=Options!$B$10),75%,100%)-IF(C2539=DATE(2026,11,29),26+IF(Options!$B$8="是",23,0),0)-IF(C2539=DATE(2026,11,30),26,0)-IF(C2539=DATE(2026,12,1),64,0)-IF(C2539=DATE(2026,11,28),38,0)-IF(C2539=DATE(2026,12,2),26,0)))</f>
        <v/>
      </c>
      <c r="I2539" s="13">
        <f>IF(AND(C2539&gt;=DATE(2026,11,29),C2539&lt;=DATE(2026,12,1)),B2539*60,0)</f>
        <v/>
      </c>
      <c r="J2539" s="13">
        <f>IF(A2539="",0,B2539*(IF(C2539=DATE(2026,11,28),38,0)+IF(C2539=DATE(2026,12,1),38,0)+IF(C2539=DATE(2026,12,2),26,0)))</f>
        <v/>
      </c>
      <c r="K2539" s="13">
        <f>IF(C2539=Options!$B$9,B2539*12,0)</f>
        <v/>
      </c>
      <c r="L2539" s="13">
        <f>IF(C2539=Options!$B$9,B2539*Options!$Z$8,0)</f>
        <v/>
      </c>
      <c r="M2539" s="13" t="n">
        <v>0</v>
      </c>
      <c r="N2539" s="13">
        <f>SUM(E2539:M2539)</f>
        <v/>
      </c>
    </row>
    <row r="2540">
      <c r="A2540" s="5">
        <f>IF(AND(C2540&gt;=Options!$B$9,C2540&lt;=Options!$B$10),"Boston","")</f>
        <v/>
      </c>
      <c r="B2540" s="5">
        <f>IF(A2540="","",18)</f>
        <v/>
      </c>
      <c r="C2540" s="17" t="n">
        <v>46641</v>
      </c>
      <c r="D2540" s="5">
        <f>IF(A2540="","",IF(C2540=DATE(2026,11,29),"培训；注册午餐；早餐参数",IF(C2540=DATE(2026,11,30),"培训；注册午餐",IF(C2540=DATE(2026,12,1),"培训；注册午餐；机构晚餐",IF(C2540=Options!$B$9,"抵达；"&amp;IF(C2540=DATE(2026,11,28),"机构晚餐","无统一供餐"),IF(C2540=Options!$B$10,"返程；"&amp;IF(C2540=DATE(2026,12,2),"机构午餐","无统一供餐"),"差旅状态；无统一日程"))))))</f>
        <v/>
      </c>
      <c r="E2540" s="13">
        <f>IF(C2540=Options!$B$9,Options!$C$20,0)</f>
        <v/>
      </c>
      <c r="F2540" s="13">
        <f>IF(AND(A2540&lt;&gt;"",C2540&lt;Options!$B$10),B2540*Options!$X$8,0)</f>
        <v/>
      </c>
      <c r="G2540" s="13">
        <f>F2540*12%</f>
        <v/>
      </c>
      <c r="H2540" s="13">
        <f>IF(A2540="",0,B2540*(92*IF(OR(C2540=Options!$B$9,C2540=Options!$B$10),75%,100%)-IF(C2540=DATE(2026,11,29),26+IF(Options!$B$8="是",23,0),0)-IF(C2540=DATE(2026,11,30),26,0)-IF(C2540=DATE(2026,12,1),64,0)-IF(C2540=DATE(2026,11,28),38,0)-IF(C2540=DATE(2026,12,2),26,0)))</f>
        <v/>
      </c>
      <c r="I2540" s="13">
        <f>IF(AND(C2540&gt;=DATE(2026,11,29),C2540&lt;=DATE(2026,12,1)),B2540*60,0)</f>
        <v/>
      </c>
      <c r="J2540" s="13">
        <f>IF(A2540="",0,B2540*(IF(C2540=DATE(2026,11,28),38,0)+IF(C2540=DATE(2026,12,1),38,0)+IF(C2540=DATE(2026,12,2),26,0)))</f>
        <v/>
      </c>
      <c r="K2540" s="13">
        <f>IF(C2540=Options!$B$9,B2540*12,0)</f>
        <v/>
      </c>
      <c r="L2540" s="13">
        <f>IF(C2540=Options!$B$9,B2540*Options!$Z$8,0)</f>
        <v/>
      </c>
      <c r="M2540" s="13" t="n">
        <v>0</v>
      </c>
      <c r="N2540" s="13">
        <f>SUM(E2540:M2540)</f>
        <v/>
      </c>
    </row>
    <row r="2541">
      <c r="A2541" s="5">
        <f>IF(AND(C2541&gt;=Options!$B$9,C2541&lt;=Options!$B$10),"Boston","")</f>
        <v/>
      </c>
      <c r="B2541" s="5">
        <f>IF(A2541="","",18)</f>
        <v/>
      </c>
      <c r="C2541" s="17" t="n">
        <v>46642</v>
      </c>
      <c r="D2541" s="5">
        <f>IF(A2541="","",IF(C2541=DATE(2026,11,29),"培训；注册午餐；早餐参数",IF(C2541=DATE(2026,11,30),"培训；注册午餐",IF(C2541=DATE(2026,12,1),"培训；注册午餐；机构晚餐",IF(C2541=Options!$B$9,"抵达；"&amp;IF(C2541=DATE(2026,11,28),"机构晚餐","无统一供餐"),IF(C2541=Options!$B$10,"返程；"&amp;IF(C2541=DATE(2026,12,2),"机构午餐","无统一供餐"),"差旅状态；无统一日程"))))))</f>
        <v/>
      </c>
      <c r="E2541" s="13">
        <f>IF(C2541=Options!$B$9,Options!$C$20,0)</f>
        <v/>
      </c>
      <c r="F2541" s="13">
        <f>IF(AND(A2541&lt;&gt;"",C2541&lt;Options!$B$10),B2541*Options!$X$8,0)</f>
        <v/>
      </c>
      <c r="G2541" s="13">
        <f>F2541*12%</f>
        <v/>
      </c>
      <c r="H2541" s="13">
        <f>IF(A2541="",0,B2541*(92*IF(OR(C2541=Options!$B$9,C2541=Options!$B$10),75%,100%)-IF(C2541=DATE(2026,11,29),26+IF(Options!$B$8="是",23,0),0)-IF(C2541=DATE(2026,11,30),26,0)-IF(C2541=DATE(2026,12,1),64,0)-IF(C2541=DATE(2026,11,28),38,0)-IF(C2541=DATE(2026,12,2),26,0)))</f>
        <v/>
      </c>
      <c r="I2541" s="13">
        <f>IF(AND(C2541&gt;=DATE(2026,11,29),C2541&lt;=DATE(2026,12,1)),B2541*60,0)</f>
        <v/>
      </c>
      <c r="J2541" s="13">
        <f>IF(A2541="",0,B2541*(IF(C2541=DATE(2026,11,28),38,0)+IF(C2541=DATE(2026,12,1),38,0)+IF(C2541=DATE(2026,12,2),26,0)))</f>
        <v/>
      </c>
      <c r="K2541" s="13">
        <f>IF(C2541=Options!$B$9,B2541*12,0)</f>
        <v/>
      </c>
      <c r="L2541" s="13">
        <f>IF(C2541=Options!$B$9,B2541*Options!$Z$8,0)</f>
        <v/>
      </c>
      <c r="M2541" s="13" t="n">
        <v>0</v>
      </c>
      <c r="N2541" s="13">
        <f>SUM(E2541:M2541)</f>
        <v/>
      </c>
    </row>
    <row r="2542">
      <c r="A2542" s="5">
        <f>IF(AND(C2542&gt;=Options!$B$9,C2542&lt;=Options!$B$10),"Boston","")</f>
        <v/>
      </c>
      <c r="B2542" s="5">
        <f>IF(A2542="","",18)</f>
        <v/>
      </c>
      <c r="C2542" s="17" t="n">
        <v>46643</v>
      </c>
      <c r="D2542" s="5">
        <f>IF(A2542="","",IF(C2542=DATE(2026,11,29),"培训；注册午餐；早餐参数",IF(C2542=DATE(2026,11,30),"培训；注册午餐",IF(C2542=DATE(2026,12,1),"培训；注册午餐；机构晚餐",IF(C2542=Options!$B$9,"抵达；"&amp;IF(C2542=DATE(2026,11,28),"机构晚餐","无统一供餐"),IF(C2542=Options!$B$10,"返程；"&amp;IF(C2542=DATE(2026,12,2),"机构午餐","无统一供餐"),"差旅状态；无统一日程"))))))</f>
        <v/>
      </c>
      <c r="E2542" s="13">
        <f>IF(C2542=Options!$B$9,Options!$C$20,0)</f>
        <v/>
      </c>
      <c r="F2542" s="13">
        <f>IF(AND(A2542&lt;&gt;"",C2542&lt;Options!$B$10),B2542*Options!$X$8,0)</f>
        <v/>
      </c>
      <c r="G2542" s="13">
        <f>F2542*12%</f>
        <v/>
      </c>
      <c r="H2542" s="13">
        <f>IF(A2542="",0,B2542*(92*IF(OR(C2542=Options!$B$9,C2542=Options!$B$10),75%,100%)-IF(C2542=DATE(2026,11,29),26+IF(Options!$B$8="是",23,0),0)-IF(C2542=DATE(2026,11,30),26,0)-IF(C2542=DATE(2026,12,1),64,0)-IF(C2542=DATE(2026,11,28),38,0)-IF(C2542=DATE(2026,12,2),26,0)))</f>
        <v/>
      </c>
      <c r="I2542" s="13">
        <f>IF(AND(C2542&gt;=DATE(2026,11,29),C2542&lt;=DATE(2026,12,1)),B2542*60,0)</f>
        <v/>
      </c>
      <c r="J2542" s="13">
        <f>IF(A2542="",0,B2542*(IF(C2542=DATE(2026,11,28),38,0)+IF(C2542=DATE(2026,12,1),38,0)+IF(C2542=DATE(2026,12,2),26,0)))</f>
        <v/>
      </c>
      <c r="K2542" s="13">
        <f>IF(C2542=Options!$B$9,B2542*12,0)</f>
        <v/>
      </c>
      <c r="L2542" s="13">
        <f>IF(C2542=Options!$B$9,B2542*Options!$Z$8,0)</f>
        <v/>
      </c>
      <c r="M2542" s="13" t="n">
        <v>0</v>
      </c>
      <c r="N2542" s="13">
        <f>SUM(E2542:M2542)</f>
        <v/>
      </c>
    </row>
    <row r="2543">
      <c r="A2543" s="5">
        <f>IF(AND(C2543&gt;=Options!$B$9,C2543&lt;=Options!$B$10),"Boston","")</f>
        <v/>
      </c>
      <c r="B2543" s="5">
        <f>IF(A2543="","",18)</f>
        <v/>
      </c>
      <c r="C2543" s="17" t="n">
        <v>46644</v>
      </c>
      <c r="D2543" s="5">
        <f>IF(A2543="","",IF(C2543=DATE(2026,11,29),"培训；注册午餐；早餐参数",IF(C2543=DATE(2026,11,30),"培训；注册午餐",IF(C2543=DATE(2026,12,1),"培训；注册午餐；机构晚餐",IF(C2543=Options!$B$9,"抵达；"&amp;IF(C2543=DATE(2026,11,28),"机构晚餐","无统一供餐"),IF(C2543=Options!$B$10,"返程；"&amp;IF(C2543=DATE(2026,12,2),"机构午餐","无统一供餐"),"差旅状态；无统一日程"))))))</f>
        <v/>
      </c>
      <c r="E2543" s="13">
        <f>IF(C2543=Options!$B$9,Options!$C$20,0)</f>
        <v/>
      </c>
      <c r="F2543" s="13">
        <f>IF(AND(A2543&lt;&gt;"",C2543&lt;Options!$B$10),B2543*Options!$X$8,0)</f>
        <v/>
      </c>
      <c r="G2543" s="13">
        <f>F2543*12%</f>
        <v/>
      </c>
      <c r="H2543" s="13">
        <f>IF(A2543="",0,B2543*(92*IF(OR(C2543=Options!$B$9,C2543=Options!$B$10),75%,100%)-IF(C2543=DATE(2026,11,29),26+IF(Options!$B$8="是",23,0),0)-IF(C2543=DATE(2026,11,30),26,0)-IF(C2543=DATE(2026,12,1),64,0)-IF(C2543=DATE(2026,11,28),38,0)-IF(C2543=DATE(2026,12,2),26,0)))</f>
        <v/>
      </c>
      <c r="I2543" s="13">
        <f>IF(AND(C2543&gt;=DATE(2026,11,29),C2543&lt;=DATE(2026,12,1)),B2543*60,0)</f>
        <v/>
      </c>
      <c r="J2543" s="13">
        <f>IF(A2543="",0,B2543*(IF(C2543=DATE(2026,11,28),38,0)+IF(C2543=DATE(2026,12,1),38,0)+IF(C2543=DATE(2026,12,2),26,0)))</f>
        <v/>
      </c>
      <c r="K2543" s="13">
        <f>IF(C2543=Options!$B$9,B2543*12,0)</f>
        <v/>
      </c>
      <c r="L2543" s="13">
        <f>IF(C2543=Options!$B$9,B2543*Options!$Z$8,0)</f>
        <v/>
      </c>
      <c r="M2543" s="13" t="n">
        <v>0</v>
      </c>
      <c r="N2543" s="13">
        <f>SUM(E2543:M2543)</f>
        <v/>
      </c>
    </row>
    <row r="2544">
      <c r="A2544" s="5">
        <f>IF(AND(C2544&gt;=Options!$B$9,C2544&lt;=Options!$B$10),"Boston","")</f>
        <v/>
      </c>
      <c r="B2544" s="5">
        <f>IF(A2544="","",18)</f>
        <v/>
      </c>
      <c r="C2544" s="17" t="n">
        <v>46645</v>
      </c>
      <c r="D2544" s="5">
        <f>IF(A2544="","",IF(C2544=DATE(2026,11,29),"培训；注册午餐；早餐参数",IF(C2544=DATE(2026,11,30),"培训；注册午餐",IF(C2544=DATE(2026,12,1),"培训；注册午餐；机构晚餐",IF(C2544=Options!$B$9,"抵达；"&amp;IF(C2544=DATE(2026,11,28),"机构晚餐","无统一供餐"),IF(C2544=Options!$B$10,"返程；"&amp;IF(C2544=DATE(2026,12,2),"机构午餐","无统一供餐"),"差旅状态；无统一日程"))))))</f>
        <v/>
      </c>
      <c r="E2544" s="13">
        <f>IF(C2544=Options!$B$9,Options!$C$20,0)</f>
        <v/>
      </c>
      <c r="F2544" s="13">
        <f>IF(AND(A2544&lt;&gt;"",C2544&lt;Options!$B$10),B2544*Options!$X$8,0)</f>
        <v/>
      </c>
      <c r="G2544" s="13">
        <f>F2544*12%</f>
        <v/>
      </c>
      <c r="H2544" s="13">
        <f>IF(A2544="",0,B2544*(92*IF(OR(C2544=Options!$B$9,C2544=Options!$B$10),75%,100%)-IF(C2544=DATE(2026,11,29),26+IF(Options!$B$8="是",23,0),0)-IF(C2544=DATE(2026,11,30),26,0)-IF(C2544=DATE(2026,12,1),64,0)-IF(C2544=DATE(2026,11,28),38,0)-IF(C2544=DATE(2026,12,2),26,0)))</f>
        <v/>
      </c>
      <c r="I2544" s="13">
        <f>IF(AND(C2544&gt;=DATE(2026,11,29),C2544&lt;=DATE(2026,12,1)),B2544*60,0)</f>
        <v/>
      </c>
      <c r="J2544" s="13">
        <f>IF(A2544="",0,B2544*(IF(C2544=DATE(2026,11,28),38,0)+IF(C2544=DATE(2026,12,1),38,0)+IF(C2544=DATE(2026,12,2),26,0)))</f>
        <v/>
      </c>
      <c r="K2544" s="13">
        <f>IF(C2544=Options!$B$9,B2544*12,0)</f>
        <v/>
      </c>
      <c r="L2544" s="13">
        <f>IF(C2544=Options!$B$9,B2544*Options!$Z$8,0)</f>
        <v/>
      </c>
      <c r="M2544" s="13" t="n">
        <v>0</v>
      </c>
      <c r="N2544" s="13">
        <f>SUM(E2544:M2544)</f>
        <v/>
      </c>
    </row>
    <row r="2545">
      <c r="A2545" s="5">
        <f>IF(AND(C2545&gt;=Options!$B$9,C2545&lt;=Options!$B$10),"Boston","")</f>
        <v/>
      </c>
      <c r="B2545" s="5">
        <f>IF(A2545="","",18)</f>
        <v/>
      </c>
      <c r="C2545" s="17" t="n">
        <v>46646</v>
      </c>
      <c r="D2545" s="5">
        <f>IF(A2545="","",IF(C2545=DATE(2026,11,29),"培训；注册午餐；早餐参数",IF(C2545=DATE(2026,11,30),"培训；注册午餐",IF(C2545=DATE(2026,12,1),"培训；注册午餐；机构晚餐",IF(C2545=Options!$B$9,"抵达；"&amp;IF(C2545=DATE(2026,11,28),"机构晚餐","无统一供餐"),IF(C2545=Options!$B$10,"返程；"&amp;IF(C2545=DATE(2026,12,2),"机构午餐","无统一供餐"),"差旅状态；无统一日程"))))))</f>
        <v/>
      </c>
      <c r="E2545" s="13">
        <f>IF(C2545=Options!$B$9,Options!$C$20,0)</f>
        <v/>
      </c>
      <c r="F2545" s="13">
        <f>IF(AND(A2545&lt;&gt;"",C2545&lt;Options!$B$10),B2545*Options!$X$8,0)</f>
        <v/>
      </c>
      <c r="G2545" s="13">
        <f>F2545*12%</f>
        <v/>
      </c>
      <c r="H2545" s="13">
        <f>IF(A2545="",0,B2545*(92*IF(OR(C2545=Options!$B$9,C2545=Options!$B$10),75%,100%)-IF(C2545=DATE(2026,11,29),26+IF(Options!$B$8="是",23,0),0)-IF(C2545=DATE(2026,11,30),26,0)-IF(C2545=DATE(2026,12,1),64,0)-IF(C2545=DATE(2026,11,28),38,0)-IF(C2545=DATE(2026,12,2),26,0)))</f>
        <v/>
      </c>
      <c r="I2545" s="13">
        <f>IF(AND(C2545&gt;=DATE(2026,11,29),C2545&lt;=DATE(2026,12,1)),B2545*60,0)</f>
        <v/>
      </c>
      <c r="J2545" s="13">
        <f>IF(A2545="",0,B2545*(IF(C2545=DATE(2026,11,28),38,0)+IF(C2545=DATE(2026,12,1),38,0)+IF(C2545=DATE(2026,12,2),26,0)))</f>
        <v/>
      </c>
      <c r="K2545" s="13">
        <f>IF(C2545=Options!$B$9,B2545*12,0)</f>
        <v/>
      </c>
      <c r="L2545" s="13">
        <f>IF(C2545=Options!$B$9,B2545*Options!$Z$8,0)</f>
        <v/>
      </c>
      <c r="M2545" s="13" t="n">
        <v>0</v>
      </c>
      <c r="N2545" s="13">
        <f>SUM(E2545:M2545)</f>
        <v/>
      </c>
    </row>
    <row r="2546">
      <c r="A2546" s="5">
        <f>IF(AND(C2546&gt;=Options!$B$9,C2546&lt;=Options!$B$10),"Boston","")</f>
        <v/>
      </c>
      <c r="B2546" s="5">
        <f>IF(A2546="","",18)</f>
        <v/>
      </c>
      <c r="C2546" s="17" t="n">
        <v>46647</v>
      </c>
      <c r="D2546" s="5">
        <f>IF(A2546="","",IF(C2546=DATE(2026,11,29),"培训；注册午餐；早餐参数",IF(C2546=DATE(2026,11,30),"培训；注册午餐",IF(C2546=DATE(2026,12,1),"培训；注册午餐；机构晚餐",IF(C2546=Options!$B$9,"抵达；"&amp;IF(C2546=DATE(2026,11,28),"机构晚餐","无统一供餐"),IF(C2546=Options!$B$10,"返程；"&amp;IF(C2546=DATE(2026,12,2),"机构午餐","无统一供餐"),"差旅状态；无统一日程"))))))</f>
        <v/>
      </c>
      <c r="E2546" s="13">
        <f>IF(C2546=Options!$B$9,Options!$C$20,0)</f>
        <v/>
      </c>
      <c r="F2546" s="13">
        <f>IF(AND(A2546&lt;&gt;"",C2546&lt;Options!$B$10),B2546*Options!$X$8,0)</f>
        <v/>
      </c>
      <c r="G2546" s="13">
        <f>F2546*12%</f>
        <v/>
      </c>
      <c r="H2546" s="13">
        <f>IF(A2546="",0,B2546*(92*IF(OR(C2546=Options!$B$9,C2546=Options!$B$10),75%,100%)-IF(C2546=DATE(2026,11,29),26+IF(Options!$B$8="是",23,0),0)-IF(C2546=DATE(2026,11,30),26,0)-IF(C2546=DATE(2026,12,1),64,0)-IF(C2546=DATE(2026,11,28),38,0)-IF(C2546=DATE(2026,12,2),26,0)))</f>
        <v/>
      </c>
      <c r="I2546" s="13">
        <f>IF(AND(C2546&gt;=DATE(2026,11,29),C2546&lt;=DATE(2026,12,1)),B2546*60,0)</f>
        <v/>
      </c>
      <c r="J2546" s="13">
        <f>IF(A2546="",0,B2546*(IF(C2546=DATE(2026,11,28),38,0)+IF(C2546=DATE(2026,12,1),38,0)+IF(C2546=DATE(2026,12,2),26,0)))</f>
        <v/>
      </c>
      <c r="K2546" s="13">
        <f>IF(C2546=Options!$B$9,B2546*12,0)</f>
        <v/>
      </c>
      <c r="L2546" s="13">
        <f>IF(C2546=Options!$B$9,B2546*Options!$Z$8,0)</f>
        <v/>
      </c>
      <c r="M2546" s="13" t="n">
        <v>0</v>
      </c>
      <c r="N2546" s="13">
        <f>SUM(E2546:M2546)</f>
        <v/>
      </c>
    </row>
    <row r="2547">
      <c r="A2547" s="5">
        <f>IF(AND(C2547&gt;=Options!$B$9,C2547&lt;=Options!$B$10),"Boston","")</f>
        <v/>
      </c>
      <c r="B2547" s="5">
        <f>IF(A2547="","",18)</f>
        <v/>
      </c>
      <c r="C2547" s="17" t="n">
        <v>46648</v>
      </c>
      <c r="D2547" s="5">
        <f>IF(A2547="","",IF(C2547=DATE(2026,11,29),"培训；注册午餐；早餐参数",IF(C2547=DATE(2026,11,30),"培训；注册午餐",IF(C2547=DATE(2026,12,1),"培训；注册午餐；机构晚餐",IF(C2547=Options!$B$9,"抵达；"&amp;IF(C2547=DATE(2026,11,28),"机构晚餐","无统一供餐"),IF(C2547=Options!$B$10,"返程；"&amp;IF(C2547=DATE(2026,12,2),"机构午餐","无统一供餐"),"差旅状态；无统一日程"))))))</f>
        <v/>
      </c>
      <c r="E2547" s="13">
        <f>IF(C2547=Options!$B$9,Options!$C$20,0)</f>
        <v/>
      </c>
      <c r="F2547" s="13">
        <f>IF(AND(A2547&lt;&gt;"",C2547&lt;Options!$B$10),B2547*Options!$X$8,0)</f>
        <v/>
      </c>
      <c r="G2547" s="13">
        <f>F2547*12%</f>
        <v/>
      </c>
      <c r="H2547" s="13">
        <f>IF(A2547="",0,B2547*(92*IF(OR(C2547=Options!$B$9,C2547=Options!$B$10),75%,100%)-IF(C2547=DATE(2026,11,29),26+IF(Options!$B$8="是",23,0),0)-IF(C2547=DATE(2026,11,30),26,0)-IF(C2547=DATE(2026,12,1),64,0)-IF(C2547=DATE(2026,11,28),38,0)-IF(C2547=DATE(2026,12,2),26,0)))</f>
        <v/>
      </c>
      <c r="I2547" s="13">
        <f>IF(AND(C2547&gt;=DATE(2026,11,29),C2547&lt;=DATE(2026,12,1)),B2547*60,0)</f>
        <v/>
      </c>
      <c r="J2547" s="13">
        <f>IF(A2547="",0,B2547*(IF(C2547=DATE(2026,11,28),38,0)+IF(C2547=DATE(2026,12,1),38,0)+IF(C2547=DATE(2026,12,2),26,0)))</f>
        <v/>
      </c>
      <c r="K2547" s="13">
        <f>IF(C2547=Options!$B$9,B2547*12,0)</f>
        <v/>
      </c>
      <c r="L2547" s="13">
        <f>IF(C2547=Options!$B$9,B2547*Options!$Z$8,0)</f>
        <v/>
      </c>
      <c r="M2547" s="13" t="n">
        <v>0</v>
      </c>
      <c r="N2547" s="13">
        <f>SUM(E2547:M2547)</f>
        <v/>
      </c>
    </row>
    <row r="2548">
      <c r="A2548" s="5">
        <f>IF(AND(C2548&gt;=Options!$B$9,C2548&lt;=Options!$B$10),"Boston","")</f>
        <v/>
      </c>
      <c r="B2548" s="5">
        <f>IF(A2548="","",18)</f>
        <v/>
      </c>
      <c r="C2548" s="17" t="n">
        <v>46649</v>
      </c>
      <c r="D2548" s="5">
        <f>IF(A2548="","",IF(C2548=DATE(2026,11,29),"培训；注册午餐；早餐参数",IF(C2548=DATE(2026,11,30),"培训；注册午餐",IF(C2548=DATE(2026,12,1),"培训；注册午餐；机构晚餐",IF(C2548=Options!$B$9,"抵达；"&amp;IF(C2548=DATE(2026,11,28),"机构晚餐","无统一供餐"),IF(C2548=Options!$B$10,"返程；"&amp;IF(C2548=DATE(2026,12,2),"机构午餐","无统一供餐"),"差旅状态；无统一日程"))))))</f>
        <v/>
      </c>
      <c r="E2548" s="13">
        <f>IF(C2548=Options!$B$9,Options!$C$20,0)</f>
        <v/>
      </c>
      <c r="F2548" s="13">
        <f>IF(AND(A2548&lt;&gt;"",C2548&lt;Options!$B$10),B2548*Options!$X$8,0)</f>
        <v/>
      </c>
      <c r="G2548" s="13">
        <f>F2548*12%</f>
        <v/>
      </c>
      <c r="H2548" s="13">
        <f>IF(A2548="",0,B2548*(92*IF(OR(C2548=Options!$B$9,C2548=Options!$B$10),75%,100%)-IF(C2548=DATE(2026,11,29),26+IF(Options!$B$8="是",23,0),0)-IF(C2548=DATE(2026,11,30),26,0)-IF(C2548=DATE(2026,12,1),64,0)-IF(C2548=DATE(2026,11,28),38,0)-IF(C2548=DATE(2026,12,2),26,0)))</f>
        <v/>
      </c>
      <c r="I2548" s="13">
        <f>IF(AND(C2548&gt;=DATE(2026,11,29),C2548&lt;=DATE(2026,12,1)),B2548*60,0)</f>
        <v/>
      </c>
      <c r="J2548" s="13">
        <f>IF(A2548="",0,B2548*(IF(C2548=DATE(2026,11,28),38,0)+IF(C2548=DATE(2026,12,1),38,0)+IF(C2548=DATE(2026,12,2),26,0)))</f>
        <v/>
      </c>
      <c r="K2548" s="13">
        <f>IF(C2548=Options!$B$9,B2548*12,0)</f>
        <v/>
      </c>
      <c r="L2548" s="13">
        <f>IF(C2548=Options!$B$9,B2548*Options!$Z$8,0)</f>
        <v/>
      </c>
      <c r="M2548" s="13" t="n">
        <v>0</v>
      </c>
      <c r="N2548" s="13">
        <f>SUM(E2548:M2548)</f>
        <v/>
      </c>
    </row>
    <row r="2549">
      <c r="A2549" s="5">
        <f>IF(AND(C2549&gt;=Options!$B$9,C2549&lt;=Options!$B$10),"Boston","")</f>
        <v/>
      </c>
      <c r="B2549" s="5">
        <f>IF(A2549="","",18)</f>
        <v/>
      </c>
      <c r="C2549" s="17" t="n">
        <v>46650</v>
      </c>
      <c r="D2549" s="5">
        <f>IF(A2549="","",IF(C2549=DATE(2026,11,29),"培训；注册午餐；早餐参数",IF(C2549=DATE(2026,11,30),"培训；注册午餐",IF(C2549=DATE(2026,12,1),"培训；注册午餐；机构晚餐",IF(C2549=Options!$B$9,"抵达；"&amp;IF(C2549=DATE(2026,11,28),"机构晚餐","无统一供餐"),IF(C2549=Options!$B$10,"返程；"&amp;IF(C2549=DATE(2026,12,2),"机构午餐","无统一供餐"),"差旅状态；无统一日程"))))))</f>
        <v/>
      </c>
      <c r="E2549" s="13">
        <f>IF(C2549=Options!$B$9,Options!$C$20,0)</f>
        <v/>
      </c>
      <c r="F2549" s="13">
        <f>IF(AND(A2549&lt;&gt;"",C2549&lt;Options!$B$10),B2549*Options!$X$8,0)</f>
        <v/>
      </c>
      <c r="G2549" s="13">
        <f>F2549*12%</f>
        <v/>
      </c>
      <c r="H2549" s="13">
        <f>IF(A2549="",0,B2549*(92*IF(OR(C2549=Options!$B$9,C2549=Options!$B$10),75%,100%)-IF(C2549=DATE(2026,11,29),26+IF(Options!$B$8="是",23,0),0)-IF(C2549=DATE(2026,11,30),26,0)-IF(C2549=DATE(2026,12,1),64,0)-IF(C2549=DATE(2026,11,28),38,0)-IF(C2549=DATE(2026,12,2),26,0)))</f>
        <v/>
      </c>
      <c r="I2549" s="13">
        <f>IF(AND(C2549&gt;=DATE(2026,11,29),C2549&lt;=DATE(2026,12,1)),B2549*60,0)</f>
        <v/>
      </c>
      <c r="J2549" s="13">
        <f>IF(A2549="",0,B2549*(IF(C2549=DATE(2026,11,28),38,0)+IF(C2549=DATE(2026,12,1),38,0)+IF(C2549=DATE(2026,12,2),26,0)))</f>
        <v/>
      </c>
      <c r="K2549" s="13">
        <f>IF(C2549=Options!$B$9,B2549*12,0)</f>
        <v/>
      </c>
      <c r="L2549" s="13">
        <f>IF(C2549=Options!$B$9,B2549*Options!$Z$8,0)</f>
        <v/>
      </c>
      <c r="M2549" s="13" t="n">
        <v>0</v>
      </c>
      <c r="N2549" s="13">
        <f>SUM(E2549:M2549)</f>
        <v/>
      </c>
    </row>
    <row r="2550">
      <c r="A2550" s="5">
        <f>IF(AND(C2550&gt;=Options!$B$9,C2550&lt;=Options!$B$10),"Boston","")</f>
        <v/>
      </c>
      <c r="B2550" s="5">
        <f>IF(A2550="","",18)</f>
        <v/>
      </c>
      <c r="C2550" s="17" t="n">
        <v>46651</v>
      </c>
      <c r="D2550" s="5">
        <f>IF(A2550="","",IF(C2550=DATE(2026,11,29),"培训；注册午餐；早餐参数",IF(C2550=DATE(2026,11,30),"培训；注册午餐",IF(C2550=DATE(2026,12,1),"培训；注册午餐；机构晚餐",IF(C2550=Options!$B$9,"抵达；"&amp;IF(C2550=DATE(2026,11,28),"机构晚餐","无统一供餐"),IF(C2550=Options!$B$10,"返程；"&amp;IF(C2550=DATE(2026,12,2),"机构午餐","无统一供餐"),"差旅状态；无统一日程"))))))</f>
        <v/>
      </c>
      <c r="E2550" s="13">
        <f>IF(C2550=Options!$B$9,Options!$C$20,0)</f>
        <v/>
      </c>
      <c r="F2550" s="13">
        <f>IF(AND(A2550&lt;&gt;"",C2550&lt;Options!$B$10),B2550*Options!$X$8,0)</f>
        <v/>
      </c>
      <c r="G2550" s="13">
        <f>F2550*12%</f>
        <v/>
      </c>
      <c r="H2550" s="13">
        <f>IF(A2550="",0,B2550*(92*IF(OR(C2550=Options!$B$9,C2550=Options!$B$10),75%,100%)-IF(C2550=DATE(2026,11,29),26+IF(Options!$B$8="是",23,0),0)-IF(C2550=DATE(2026,11,30),26,0)-IF(C2550=DATE(2026,12,1),64,0)-IF(C2550=DATE(2026,11,28),38,0)-IF(C2550=DATE(2026,12,2),26,0)))</f>
        <v/>
      </c>
      <c r="I2550" s="13">
        <f>IF(AND(C2550&gt;=DATE(2026,11,29),C2550&lt;=DATE(2026,12,1)),B2550*60,0)</f>
        <v/>
      </c>
      <c r="J2550" s="13">
        <f>IF(A2550="",0,B2550*(IF(C2550=DATE(2026,11,28),38,0)+IF(C2550=DATE(2026,12,1),38,0)+IF(C2550=DATE(2026,12,2),26,0)))</f>
        <v/>
      </c>
      <c r="K2550" s="13">
        <f>IF(C2550=Options!$B$9,B2550*12,0)</f>
        <v/>
      </c>
      <c r="L2550" s="13">
        <f>IF(C2550=Options!$B$9,B2550*Options!$Z$8,0)</f>
        <v/>
      </c>
      <c r="M2550" s="13" t="n">
        <v>0</v>
      </c>
      <c r="N2550" s="13">
        <f>SUM(E2550:M2550)</f>
        <v/>
      </c>
    </row>
    <row r="2551">
      <c r="A2551" s="5">
        <f>IF(AND(C2551&gt;=Options!$B$9,C2551&lt;=Options!$B$10),"Boston","")</f>
        <v/>
      </c>
      <c r="B2551" s="5">
        <f>IF(A2551="","",18)</f>
        <v/>
      </c>
      <c r="C2551" s="17" t="n">
        <v>46652</v>
      </c>
      <c r="D2551" s="5">
        <f>IF(A2551="","",IF(C2551=DATE(2026,11,29),"培训；注册午餐；早餐参数",IF(C2551=DATE(2026,11,30),"培训；注册午餐",IF(C2551=DATE(2026,12,1),"培训；注册午餐；机构晚餐",IF(C2551=Options!$B$9,"抵达；"&amp;IF(C2551=DATE(2026,11,28),"机构晚餐","无统一供餐"),IF(C2551=Options!$B$10,"返程；"&amp;IF(C2551=DATE(2026,12,2),"机构午餐","无统一供餐"),"差旅状态；无统一日程"))))))</f>
        <v/>
      </c>
      <c r="E2551" s="13">
        <f>IF(C2551=Options!$B$9,Options!$C$20,0)</f>
        <v/>
      </c>
      <c r="F2551" s="13">
        <f>IF(AND(A2551&lt;&gt;"",C2551&lt;Options!$B$10),B2551*Options!$X$8,0)</f>
        <v/>
      </c>
      <c r="G2551" s="13">
        <f>F2551*12%</f>
        <v/>
      </c>
      <c r="H2551" s="13">
        <f>IF(A2551="",0,B2551*(92*IF(OR(C2551=Options!$B$9,C2551=Options!$B$10),75%,100%)-IF(C2551=DATE(2026,11,29),26+IF(Options!$B$8="是",23,0),0)-IF(C2551=DATE(2026,11,30),26,0)-IF(C2551=DATE(2026,12,1),64,0)-IF(C2551=DATE(2026,11,28),38,0)-IF(C2551=DATE(2026,12,2),26,0)))</f>
        <v/>
      </c>
      <c r="I2551" s="13">
        <f>IF(AND(C2551&gt;=DATE(2026,11,29),C2551&lt;=DATE(2026,12,1)),B2551*60,0)</f>
        <v/>
      </c>
      <c r="J2551" s="13">
        <f>IF(A2551="",0,B2551*(IF(C2551=DATE(2026,11,28),38,0)+IF(C2551=DATE(2026,12,1),38,0)+IF(C2551=DATE(2026,12,2),26,0)))</f>
        <v/>
      </c>
      <c r="K2551" s="13">
        <f>IF(C2551=Options!$B$9,B2551*12,0)</f>
        <v/>
      </c>
      <c r="L2551" s="13">
        <f>IF(C2551=Options!$B$9,B2551*Options!$Z$8,0)</f>
        <v/>
      </c>
      <c r="M2551" s="13" t="n">
        <v>0</v>
      </c>
      <c r="N2551" s="13">
        <f>SUM(E2551:M2551)</f>
        <v/>
      </c>
    </row>
    <row r="2552">
      <c r="A2552" s="5">
        <f>IF(AND(C2552&gt;=Options!$B$9,C2552&lt;=Options!$B$10),"Boston","")</f>
        <v/>
      </c>
      <c r="B2552" s="5">
        <f>IF(A2552="","",18)</f>
        <v/>
      </c>
      <c r="C2552" s="17" t="n">
        <v>46653</v>
      </c>
      <c r="D2552" s="5">
        <f>IF(A2552="","",IF(C2552=DATE(2026,11,29),"培训；注册午餐；早餐参数",IF(C2552=DATE(2026,11,30),"培训；注册午餐",IF(C2552=DATE(2026,12,1),"培训；注册午餐；机构晚餐",IF(C2552=Options!$B$9,"抵达；"&amp;IF(C2552=DATE(2026,11,28),"机构晚餐","无统一供餐"),IF(C2552=Options!$B$10,"返程；"&amp;IF(C2552=DATE(2026,12,2),"机构午餐","无统一供餐"),"差旅状态；无统一日程"))))))</f>
        <v/>
      </c>
      <c r="E2552" s="13">
        <f>IF(C2552=Options!$B$9,Options!$C$20,0)</f>
        <v/>
      </c>
      <c r="F2552" s="13">
        <f>IF(AND(A2552&lt;&gt;"",C2552&lt;Options!$B$10),B2552*Options!$X$8,0)</f>
        <v/>
      </c>
      <c r="G2552" s="13">
        <f>F2552*12%</f>
        <v/>
      </c>
      <c r="H2552" s="13">
        <f>IF(A2552="",0,B2552*(92*IF(OR(C2552=Options!$B$9,C2552=Options!$B$10),75%,100%)-IF(C2552=DATE(2026,11,29),26+IF(Options!$B$8="是",23,0),0)-IF(C2552=DATE(2026,11,30),26,0)-IF(C2552=DATE(2026,12,1),64,0)-IF(C2552=DATE(2026,11,28),38,0)-IF(C2552=DATE(2026,12,2),26,0)))</f>
        <v/>
      </c>
      <c r="I2552" s="13">
        <f>IF(AND(C2552&gt;=DATE(2026,11,29),C2552&lt;=DATE(2026,12,1)),B2552*60,0)</f>
        <v/>
      </c>
      <c r="J2552" s="13">
        <f>IF(A2552="",0,B2552*(IF(C2552=DATE(2026,11,28),38,0)+IF(C2552=DATE(2026,12,1),38,0)+IF(C2552=DATE(2026,12,2),26,0)))</f>
        <v/>
      </c>
      <c r="K2552" s="13">
        <f>IF(C2552=Options!$B$9,B2552*12,0)</f>
        <v/>
      </c>
      <c r="L2552" s="13">
        <f>IF(C2552=Options!$B$9,B2552*Options!$Z$8,0)</f>
        <v/>
      </c>
      <c r="M2552" s="13" t="n">
        <v>0</v>
      </c>
      <c r="N2552" s="13">
        <f>SUM(E2552:M2552)</f>
        <v/>
      </c>
    </row>
    <row r="2553">
      <c r="A2553" s="5">
        <f>IF(AND(C2553&gt;=Options!$B$9,C2553&lt;=Options!$B$10),"Boston","")</f>
        <v/>
      </c>
      <c r="B2553" s="5">
        <f>IF(A2553="","",18)</f>
        <v/>
      </c>
      <c r="C2553" s="17" t="n">
        <v>46654</v>
      </c>
      <c r="D2553" s="5">
        <f>IF(A2553="","",IF(C2553=DATE(2026,11,29),"培训；注册午餐；早餐参数",IF(C2553=DATE(2026,11,30),"培训；注册午餐",IF(C2553=DATE(2026,12,1),"培训；注册午餐；机构晚餐",IF(C2553=Options!$B$9,"抵达；"&amp;IF(C2553=DATE(2026,11,28),"机构晚餐","无统一供餐"),IF(C2553=Options!$B$10,"返程；"&amp;IF(C2553=DATE(2026,12,2),"机构午餐","无统一供餐"),"差旅状态；无统一日程"))))))</f>
        <v/>
      </c>
      <c r="E2553" s="13">
        <f>IF(C2553=Options!$B$9,Options!$C$20,0)</f>
        <v/>
      </c>
      <c r="F2553" s="13">
        <f>IF(AND(A2553&lt;&gt;"",C2553&lt;Options!$B$10),B2553*Options!$X$8,0)</f>
        <v/>
      </c>
      <c r="G2553" s="13">
        <f>F2553*12%</f>
        <v/>
      </c>
      <c r="H2553" s="13">
        <f>IF(A2553="",0,B2553*(92*IF(OR(C2553=Options!$B$9,C2553=Options!$B$10),75%,100%)-IF(C2553=DATE(2026,11,29),26+IF(Options!$B$8="是",23,0),0)-IF(C2553=DATE(2026,11,30),26,0)-IF(C2553=DATE(2026,12,1),64,0)-IF(C2553=DATE(2026,11,28),38,0)-IF(C2553=DATE(2026,12,2),26,0)))</f>
        <v/>
      </c>
      <c r="I2553" s="13">
        <f>IF(AND(C2553&gt;=DATE(2026,11,29),C2553&lt;=DATE(2026,12,1)),B2553*60,0)</f>
        <v/>
      </c>
      <c r="J2553" s="13">
        <f>IF(A2553="",0,B2553*(IF(C2553=DATE(2026,11,28),38,0)+IF(C2553=DATE(2026,12,1),38,0)+IF(C2553=DATE(2026,12,2),26,0)))</f>
        <v/>
      </c>
      <c r="K2553" s="13">
        <f>IF(C2553=Options!$B$9,B2553*12,0)</f>
        <v/>
      </c>
      <c r="L2553" s="13">
        <f>IF(C2553=Options!$B$9,B2553*Options!$Z$8,0)</f>
        <v/>
      </c>
      <c r="M2553" s="13" t="n">
        <v>0</v>
      </c>
      <c r="N2553" s="13">
        <f>SUM(E2553:M2553)</f>
        <v/>
      </c>
    </row>
    <row r="2554">
      <c r="A2554" s="5">
        <f>IF(AND(C2554&gt;=Options!$B$9,C2554&lt;=Options!$B$10),"Boston","")</f>
        <v/>
      </c>
      <c r="B2554" s="5">
        <f>IF(A2554="","",18)</f>
        <v/>
      </c>
      <c r="C2554" s="17" t="n">
        <v>46655</v>
      </c>
      <c r="D2554" s="5">
        <f>IF(A2554="","",IF(C2554=DATE(2026,11,29),"培训；注册午餐；早餐参数",IF(C2554=DATE(2026,11,30),"培训；注册午餐",IF(C2554=DATE(2026,12,1),"培训；注册午餐；机构晚餐",IF(C2554=Options!$B$9,"抵达；"&amp;IF(C2554=DATE(2026,11,28),"机构晚餐","无统一供餐"),IF(C2554=Options!$B$10,"返程；"&amp;IF(C2554=DATE(2026,12,2),"机构午餐","无统一供餐"),"差旅状态；无统一日程"))))))</f>
        <v/>
      </c>
      <c r="E2554" s="13">
        <f>IF(C2554=Options!$B$9,Options!$C$20,0)</f>
        <v/>
      </c>
      <c r="F2554" s="13">
        <f>IF(AND(A2554&lt;&gt;"",C2554&lt;Options!$B$10),B2554*Options!$X$8,0)</f>
        <v/>
      </c>
      <c r="G2554" s="13">
        <f>F2554*12%</f>
        <v/>
      </c>
      <c r="H2554" s="13">
        <f>IF(A2554="",0,B2554*(92*IF(OR(C2554=Options!$B$9,C2554=Options!$B$10),75%,100%)-IF(C2554=DATE(2026,11,29),26+IF(Options!$B$8="是",23,0),0)-IF(C2554=DATE(2026,11,30),26,0)-IF(C2554=DATE(2026,12,1),64,0)-IF(C2554=DATE(2026,11,28),38,0)-IF(C2554=DATE(2026,12,2),26,0)))</f>
        <v/>
      </c>
      <c r="I2554" s="13">
        <f>IF(AND(C2554&gt;=DATE(2026,11,29),C2554&lt;=DATE(2026,12,1)),B2554*60,0)</f>
        <v/>
      </c>
      <c r="J2554" s="13">
        <f>IF(A2554="",0,B2554*(IF(C2554=DATE(2026,11,28),38,0)+IF(C2554=DATE(2026,12,1),38,0)+IF(C2554=DATE(2026,12,2),26,0)))</f>
        <v/>
      </c>
      <c r="K2554" s="13">
        <f>IF(C2554=Options!$B$9,B2554*12,0)</f>
        <v/>
      </c>
      <c r="L2554" s="13">
        <f>IF(C2554=Options!$B$9,B2554*Options!$Z$8,0)</f>
        <v/>
      </c>
      <c r="M2554" s="13" t="n">
        <v>0</v>
      </c>
      <c r="N2554" s="13">
        <f>SUM(E2554:M2554)</f>
        <v/>
      </c>
    </row>
    <row r="2555">
      <c r="A2555" s="5">
        <f>IF(AND(C2555&gt;=Options!$B$9,C2555&lt;=Options!$B$10),"Boston","")</f>
        <v/>
      </c>
      <c r="B2555" s="5">
        <f>IF(A2555="","",18)</f>
        <v/>
      </c>
      <c r="C2555" s="17" t="n">
        <v>46656</v>
      </c>
      <c r="D2555" s="5">
        <f>IF(A2555="","",IF(C2555=DATE(2026,11,29),"培训；注册午餐；早餐参数",IF(C2555=DATE(2026,11,30),"培训；注册午餐",IF(C2555=DATE(2026,12,1),"培训；注册午餐；机构晚餐",IF(C2555=Options!$B$9,"抵达；"&amp;IF(C2555=DATE(2026,11,28),"机构晚餐","无统一供餐"),IF(C2555=Options!$B$10,"返程；"&amp;IF(C2555=DATE(2026,12,2),"机构午餐","无统一供餐"),"差旅状态；无统一日程"))))))</f>
        <v/>
      </c>
      <c r="E2555" s="13">
        <f>IF(C2555=Options!$B$9,Options!$C$20,0)</f>
        <v/>
      </c>
      <c r="F2555" s="13">
        <f>IF(AND(A2555&lt;&gt;"",C2555&lt;Options!$B$10),B2555*Options!$X$8,0)</f>
        <v/>
      </c>
      <c r="G2555" s="13">
        <f>F2555*12%</f>
        <v/>
      </c>
      <c r="H2555" s="13">
        <f>IF(A2555="",0,B2555*(92*IF(OR(C2555=Options!$B$9,C2555=Options!$B$10),75%,100%)-IF(C2555=DATE(2026,11,29),26+IF(Options!$B$8="是",23,0),0)-IF(C2555=DATE(2026,11,30),26,0)-IF(C2555=DATE(2026,12,1),64,0)-IF(C2555=DATE(2026,11,28),38,0)-IF(C2555=DATE(2026,12,2),26,0)))</f>
        <v/>
      </c>
      <c r="I2555" s="13">
        <f>IF(AND(C2555&gt;=DATE(2026,11,29),C2555&lt;=DATE(2026,12,1)),B2555*60,0)</f>
        <v/>
      </c>
      <c r="J2555" s="13">
        <f>IF(A2555="",0,B2555*(IF(C2555=DATE(2026,11,28),38,0)+IF(C2555=DATE(2026,12,1),38,0)+IF(C2555=DATE(2026,12,2),26,0)))</f>
        <v/>
      </c>
      <c r="K2555" s="13">
        <f>IF(C2555=Options!$B$9,B2555*12,0)</f>
        <v/>
      </c>
      <c r="L2555" s="13">
        <f>IF(C2555=Options!$B$9,B2555*Options!$Z$8,0)</f>
        <v/>
      </c>
      <c r="M2555" s="13" t="n">
        <v>0</v>
      </c>
      <c r="N2555" s="13">
        <f>SUM(E2555:M2555)</f>
        <v/>
      </c>
    </row>
    <row r="2556">
      <c r="A2556" s="5">
        <f>IF(AND(C2556&gt;=Options!$B$9,C2556&lt;=Options!$B$10),"Boston","")</f>
        <v/>
      </c>
      <c r="B2556" s="5">
        <f>IF(A2556="","",18)</f>
        <v/>
      </c>
      <c r="C2556" s="17" t="n">
        <v>46657</v>
      </c>
      <c r="D2556" s="5">
        <f>IF(A2556="","",IF(C2556=DATE(2026,11,29),"培训；注册午餐；早餐参数",IF(C2556=DATE(2026,11,30),"培训；注册午餐",IF(C2556=DATE(2026,12,1),"培训；注册午餐；机构晚餐",IF(C2556=Options!$B$9,"抵达；"&amp;IF(C2556=DATE(2026,11,28),"机构晚餐","无统一供餐"),IF(C2556=Options!$B$10,"返程；"&amp;IF(C2556=DATE(2026,12,2),"机构午餐","无统一供餐"),"差旅状态；无统一日程"))))))</f>
        <v/>
      </c>
      <c r="E2556" s="13">
        <f>IF(C2556=Options!$B$9,Options!$C$20,0)</f>
        <v/>
      </c>
      <c r="F2556" s="13">
        <f>IF(AND(A2556&lt;&gt;"",C2556&lt;Options!$B$10),B2556*Options!$X$8,0)</f>
        <v/>
      </c>
      <c r="G2556" s="13">
        <f>F2556*12%</f>
        <v/>
      </c>
      <c r="H2556" s="13">
        <f>IF(A2556="",0,B2556*(92*IF(OR(C2556=Options!$B$9,C2556=Options!$B$10),75%,100%)-IF(C2556=DATE(2026,11,29),26+IF(Options!$B$8="是",23,0),0)-IF(C2556=DATE(2026,11,30),26,0)-IF(C2556=DATE(2026,12,1),64,0)-IF(C2556=DATE(2026,11,28),38,0)-IF(C2556=DATE(2026,12,2),26,0)))</f>
        <v/>
      </c>
      <c r="I2556" s="13">
        <f>IF(AND(C2556&gt;=DATE(2026,11,29),C2556&lt;=DATE(2026,12,1)),B2556*60,0)</f>
        <v/>
      </c>
      <c r="J2556" s="13">
        <f>IF(A2556="",0,B2556*(IF(C2556=DATE(2026,11,28),38,0)+IF(C2556=DATE(2026,12,1),38,0)+IF(C2556=DATE(2026,12,2),26,0)))</f>
        <v/>
      </c>
      <c r="K2556" s="13">
        <f>IF(C2556=Options!$B$9,B2556*12,0)</f>
        <v/>
      </c>
      <c r="L2556" s="13">
        <f>IF(C2556=Options!$B$9,B2556*Options!$Z$8,0)</f>
        <v/>
      </c>
      <c r="M2556" s="13" t="n">
        <v>0</v>
      </c>
      <c r="N2556" s="13">
        <f>SUM(E2556:M2556)</f>
        <v/>
      </c>
    </row>
    <row r="2557">
      <c r="A2557" s="5">
        <f>IF(AND(C2557&gt;=Options!$B$9,C2557&lt;=Options!$B$10),"Boston","")</f>
        <v/>
      </c>
      <c r="B2557" s="5">
        <f>IF(A2557="","",18)</f>
        <v/>
      </c>
      <c r="C2557" s="17" t="n">
        <v>46658</v>
      </c>
      <c r="D2557" s="5">
        <f>IF(A2557="","",IF(C2557=DATE(2026,11,29),"培训；注册午餐；早餐参数",IF(C2557=DATE(2026,11,30),"培训；注册午餐",IF(C2557=DATE(2026,12,1),"培训；注册午餐；机构晚餐",IF(C2557=Options!$B$9,"抵达；"&amp;IF(C2557=DATE(2026,11,28),"机构晚餐","无统一供餐"),IF(C2557=Options!$B$10,"返程；"&amp;IF(C2557=DATE(2026,12,2),"机构午餐","无统一供餐"),"差旅状态；无统一日程"))))))</f>
        <v/>
      </c>
      <c r="E2557" s="13">
        <f>IF(C2557=Options!$B$9,Options!$C$20,0)</f>
        <v/>
      </c>
      <c r="F2557" s="13">
        <f>IF(AND(A2557&lt;&gt;"",C2557&lt;Options!$B$10),B2557*Options!$X$8,0)</f>
        <v/>
      </c>
      <c r="G2557" s="13">
        <f>F2557*12%</f>
        <v/>
      </c>
      <c r="H2557" s="13">
        <f>IF(A2557="",0,B2557*(92*IF(OR(C2557=Options!$B$9,C2557=Options!$B$10),75%,100%)-IF(C2557=DATE(2026,11,29),26+IF(Options!$B$8="是",23,0),0)-IF(C2557=DATE(2026,11,30),26,0)-IF(C2557=DATE(2026,12,1),64,0)-IF(C2557=DATE(2026,11,28),38,0)-IF(C2557=DATE(2026,12,2),26,0)))</f>
        <v/>
      </c>
      <c r="I2557" s="13">
        <f>IF(AND(C2557&gt;=DATE(2026,11,29),C2557&lt;=DATE(2026,12,1)),B2557*60,0)</f>
        <v/>
      </c>
      <c r="J2557" s="13">
        <f>IF(A2557="",0,B2557*(IF(C2557=DATE(2026,11,28),38,0)+IF(C2557=DATE(2026,12,1),38,0)+IF(C2557=DATE(2026,12,2),26,0)))</f>
        <v/>
      </c>
      <c r="K2557" s="13">
        <f>IF(C2557=Options!$B$9,B2557*12,0)</f>
        <v/>
      </c>
      <c r="L2557" s="13">
        <f>IF(C2557=Options!$B$9,B2557*Options!$Z$8,0)</f>
        <v/>
      </c>
      <c r="M2557" s="13" t="n">
        <v>0</v>
      </c>
      <c r="N2557" s="13">
        <f>SUM(E2557:M2557)</f>
        <v/>
      </c>
    </row>
    <row r="2558">
      <c r="A2558" s="5">
        <f>IF(AND(C2558&gt;=Options!$B$9,C2558&lt;=Options!$B$10),"Boston","")</f>
        <v/>
      </c>
      <c r="B2558" s="5">
        <f>IF(A2558="","",18)</f>
        <v/>
      </c>
      <c r="C2558" s="17" t="n">
        <v>46659</v>
      </c>
      <c r="D2558" s="5">
        <f>IF(A2558="","",IF(C2558=DATE(2026,11,29),"培训；注册午餐；早餐参数",IF(C2558=DATE(2026,11,30),"培训；注册午餐",IF(C2558=DATE(2026,12,1),"培训；注册午餐；机构晚餐",IF(C2558=Options!$B$9,"抵达；"&amp;IF(C2558=DATE(2026,11,28),"机构晚餐","无统一供餐"),IF(C2558=Options!$B$10,"返程；"&amp;IF(C2558=DATE(2026,12,2),"机构午餐","无统一供餐"),"差旅状态；无统一日程"))))))</f>
        <v/>
      </c>
      <c r="E2558" s="13">
        <f>IF(C2558=Options!$B$9,Options!$C$20,0)</f>
        <v/>
      </c>
      <c r="F2558" s="13">
        <f>IF(AND(A2558&lt;&gt;"",C2558&lt;Options!$B$10),B2558*Options!$X$8,0)</f>
        <v/>
      </c>
      <c r="G2558" s="13">
        <f>F2558*12%</f>
        <v/>
      </c>
      <c r="H2558" s="13">
        <f>IF(A2558="",0,B2558*(92*IF(OR(C2558=Options!$B$9,C2558=Options!$B$10),75%,100%)-IF(C2558=DATE(2026,11,29),26+IF(Options!$B$8="是",23,0),0)-IF(C2558=DATE(2026,11,30),26,0)-IF(C2558=DATE(2026,12,1),64,0)-IF(C2558=DATE(2026,11,28),38,0)-IF(C2558=DATE(2026,12,2),26,0)))</f>
        <v/>
      </c>
      <c r="I2558" s="13">
        <f>IF(AND(C2558&gt;=DATE(2026,11,29),C2558&lt;=DATE(2026,12,1)),B2558*60,0)</f>
        <v/>
      </c>
      <c r="J2558" s="13">
        <f>IF(A2558="",0,B2558*(IF(C2558=DATE(2026,11,28),38,0)+IF(C2558=DATE(2026,12,1),38,0)+IF(C2558=DATE(2026,12,2),26,0)))</f>
        <v/>
      </c>
      <c r="K2558" s="13">
        <f>IF(C2558=Options!$B$9,B2558*12,0)</f>
        <v/>
      </c>
      <c r="L2558" s="13">
        <f>IF(C2558=Options!$B$9,B2558*Options!$Z$8,0)</f>
        <v/>
      </c>
      <c r="M2558" s="13" t="n">
        <v>0</v>
      </c>
      <c r="N2558" s="13">
        <f>SUM(E2558:M2558)</f>
        <v/>
      </c>
    </row>
    <row r="2559">
      <c r="A2559" s="5">
        <f>IF(AND(C2559&gt;=Options!$B$9,C2559&lt;=Options!$B$10),"Boston","")</f>
        <v/>
      </c>
      <c r="B2559" s="5">
        <f>IF(A2559="","",18)</f>
        <v/>
      </c>
      <c r="C2559" s="17" t="n">
        <v>46660</v>
      </c>
      <c r="D2559" s="5">
        <f>IF(A2559="","",IF(C2559=DATE(2026,11,29),"培训；注册午餐；早餐参数",IF(C2559=DATE(2026,11,30),"培训；注册午餐",IF(C2559=DATE(2026,12,1),"培训；注册午餐；机构晚餐",IF(C2559=Options!$B$9,"抵达；"&amp;IF(C2559=DATE(2026,11,28),"机构晚餐","无统一供餐"),IF(C2559=Options!$B$10,"返程；"&amp;IF(C2559=DATE(2026,12,2),"机构午餐","无统一供餐"),"差旅状态；无统一日程"))))))</f>
        <v/>
      </c>
      <c r="E2559" s="13">
        <f>IF(C2559=Options!$B$9,Options!$C$20,0)</f>
        <v/>
      </c>
      <c r="F2559" s="13">
        <f>IF(AND(A2559&lt;&gt;"",C2559&lt;Options!$B$10),B2559*Options!$X$8,0)</f>
        <v/>
      </c>
      <c r="G2559" s="13">
        <f>F2559*12%</f>
        <v/>
      </c>
      <c r="H2559" s="13">
        <f>IF(A2559="",0,B2559*(92*IF(OR(C2559=Options!$B$9,C2559=Options!$B$10),75%,100%)-IF(C2559=DATE(2026,11,29),26+IF(Options!$B$8="是",23,0),0)-IF(C2559=DATE(2026,11,30),26,0)-IF(C2559=DATE(2026,12,1),64,0)-IF(C2559=DATE(2026,11,28),38,0)-IF(C2559=DATE(2026,12,2),26,0)))</f>
        <v/>
      </c>
      <c r="I2559" s="13">
        <f>IF(AND(C2559&gt;=DATE(2026,11,29),C2559&lt;=DATE(2026,12,1)),B2559*60,0)</f>
        <v/>
      </c>
      <c r="J2559" s="13">
        <f>IF(A2559="",0,B2559*(IF(C2559=DATE(2026,11,28),38,0)+IF(C2559=DATE(2026,12,1),38,0)+IF(C2559=DATE(2026,12,2),26,0)))</f>
        <v/>
      </c>
      <c r="K2559" s="13">
        <f>IF(C2559=Options!$B$9,B2559*12,0)</f>
        <v/>
      </c>
      <c r="L2559" s="13">
        <f>IF(C2559=Options!$B$9,B2559*Options!$Z$8,0)</f>
        <v/>
      </c>
      <c r="M2559" s="13" t="n">
        <v>0</v>
      </c>
      <c r="N2559" s="13">
        <f>SUM(E2559:M2559)</f>
        <v/>
      </c>
    </row>
    <row r="2560">
      <c r="A2560" s="5">
        <f>IF(AND(C2560&gt;=Options!$B$9,C2560&lt;=Options!$B$10),"Boston","")</f>
        <v/>
      </c>
      <c r="B2560" s="5">
        <f>IF(A2560="","",24)</f>
        <v/>
      </c>
      <c r="C2560" s="17" t="n">
        <v>46296</v>
      </c>
      <c r="D2560" s="5">
        <f>IF(A2560="","",IF(C2560=DATE(2026,11,29),"培训；注册午餐；早餐参数",IF(C2560=DATE(2026,11,30),"培训；注册午餐",IF(C2560=DATE(2026,12,1),"培训；注册午餐；机构晚餐",IF(C2560=Options!$B$9,"抵达；"&amp;IF(C2560=DATE(2026,11,28),"机构晚餐","无统一供餐"),IF(C2560=Options!$B$10,"返程；"&amp;IF(C2560=DATE(2026,12,2),"机构午餐","无统一供餐"),"差旅状态；无统一日程"))))))</f>
        <v/>
      </c>
      <c r="E2560" s="13">
        <f>IF(C2560=Options!$B$9,Options!$C$21,0)</f>
        <v/>
      </c>
      <c r="F2560" s="13">
        <f>IF(AND(A2560&lt;&gt;"",C2560&lt;Options!$B$10),B2560*Options!$X$8,0)</f>
        <v/>
      </c>
      <c r="G2560" s="13">
        <f>F2560*12%</f>
        <v/>
      </c>
      <c r="H2560" s="13">
        <f>IF(A2560="",0,B2560*(92*IF(OR(C2560=Options!$B$9,C2560=Options!$B$10),75%,100%)-IF(C2560=DATE(2026,11,29),26+IF(Options!$B$8="是",23,0),0)-IF(C2560=DATE(2026,11,30),26,0)-IF(C2560=DATE(2026,12,1),64,0)-IF(C2560=DATE(2026,11,28),38,0)-IF(C2560=DATE(2026,12,2),26,0)))</f>
        <v/>
      </c>
      <c r="I2560" s="13">
        <f>IF(AND(C2560&gt;=DATE(2026,11,29),C2560&lt;=DATE(2026,12,1)),B2560*60,0)</f>
        <v/>
      </c>
      <c r="J2560" s="13">
        <f>IF(A2560="",0,B2560*(IF(C2560=DATE(2026,11,28),38,0)+IF(C2560=DATE(2026,12,1),38,0)+IF(C2560=DATE(2026,12,2),26,0)))</f>
        <v/>
      </c>
      <c r="K2560" s="13">
        <f>IF(C2560=Options!$B$9,B2560*12,0)</f>
        <v/>
      </c>
      <c r="L2560" s="13">
        <f>IF(C2560=Options!$B$9,B2560*Options!$Z$8,0)</f>
        <v/>
      </c>
      <c r="M2560" s="13" t="n">
        <v>0</v>
      </c>
      <c r="N2560" s="13">
        <f>SUM(E2560:M2560)</f>
        <v/>
      </c>
    </row>
    <row r="2561">
      <c r="A2561" s="5">
        <f>IF(AND(C2561&gt;=Options!$B$9,C2561&lt;=Options!$B$10),"Boston","")</f>
        <v/>
      </c>
      <c r="B2561" s="5">
        <f>IF(A2561="","",24)</f>
        <v/>
      </c>
      <c r="C2561" s="17" t="n">
        <v>46297</v>
      </c>
      <c r="D2561" s="5">
        <f>IF(A2561="","",IF(C2561=DATE(2026,11,29),"培训；注册午餐；早餐参数",IF(C2561=DATE(2026,11,30),"培训；注册午餐",IF(C2561=DATE(2026,12,1),"培训；注册午餐；机构晚餐",IF(C2561=Options!$B$9,"抵达；"&amp;IF(C2561=DATE(2026,11,28),"机构晚餐","无统一供餐"),IF(C2561=Options!$B$10,"返程；"&amp;IF(C2561=DATE(2026,12,2),"机构午餐","无统一供餐"),"差旅状态；无统一日程"))))))</f>
        <v/>
      </c>
      <c r="E2561" s="13">
        <f>IF(C2561=Options!$B$9,Options!$C$21,0)</f>
        <v/>
      </c>
      <c r="F2561" s="13">
        <f>IF(AND(A2561&lt;&gt;"",C2561&lt;Options!$B$10),B2561*Options!$X$8,0)</f>
        <v/>
      </c>
      <c r="G2561" s="13">
        <f>F2561*12%</f>
        <v/>
      </c>
      <c r="H2561" s="13">
        <f>IF(A2561="",0,B2561*(92*IF(OR(C2561=Options!$B$9,C2561=Options!$B$10),75%,100%)-IF(C2561=DATE(2026,11,29),26+IF(Options!$B$8="是",23,0),0)-IF(C2561=DATE(2026,11,30),26,0)-IF(C2561=DATE(2026,12,1),64,0)-IF(C2561=DATE(2026,11,28),38,0)-IF(C2561=DATE(2026,12,2),26,0)))</f>
        <v/>
      </c>
      <c r="I2561" s="13">
        <f>IF(AND(C2561&gt;=DATE(2026,11,29),C2561&lt;=DATE(2026,12,1)),B2561*60,0)</f>
        <v/>
      </c>
      <c r="J2561" s="13">
        <f>IF(A2561="",0,B2561*(IF(C2561=DATE(2026,11,28),38,0)+IF(C2561=DATE(2026,12,1),38,0)+IF(C2561=DATE(2026,12,2),26,0)))</f>
        <v/>
      </c>
      <c r="K2561" s="13">
        <f>IF(C2561=Options!$B$9,B2561*12,0)</f>
        <v/>
      </c>
      <c r="L2561" s="13">
        <f>IF(C2561=Options!$B$9,B2561*Options!$Z$8,0)</f>
        <v/>
      </c>
      <c r="M2561" s="13" t="n">
        <v>0</v>
      </c>
      <c r="N2561" s="13">
        <f>SUM(E2561:M2561)</f>
        <v/>
      </c>
    </row>
    <row r="2562">
      <c r="A2562" s="5">
        <f>IF(AND(C2562&gt;=Options!$B$9,C2562&lt;=Options!$B$10),"Boston","")</f>
        <v/>
      </c>
      <c r="B2562" s="5">
        <f>IF(A2562="","",24)</f>
        <v/>
      </c>
      <c r="C2562" s="17" t="n">
        <v>46298</v>
      </c>
      <c r="D2562" s="5">
        <f>IF(A2562="","",IF(C2562=DATE(2026,11,29),"培训；注册午餐；早餐参数",IF(C2562=DATE(2026,11,30),"培训；注册午餐",IF(C2562=DATE(2026,12,1),"培训；注册午餐；机构晚餐",IF(C2562=Options!$B$9,"抵达；"&amp;IF(C2562=DATE(2026,11,28),"机构晚餐","无统一供餐"),IF(C2562=Options!$B$10,"返程；"&amp;IF(C2562=DATE(2026,12,2),"机构午餐","无统一供餐"),"差旅状态；无统一日程"))))))</f>
        <v/>
      </c>
      <c r="E2562" s="13">
        <f>IF(C2562=Options!$B$9,Options!$C$21,0)</f>
        <v/>
      </c>
      <c r="F2562" s="13">
        <f>IF(AND(A2562&lt;&gt;"",C2562&lt;Options!$B$10),B2562*Options!$X$8,0)</f>
        <v/>
      </c>
      <c r="G2562" s="13">
        <f>F2562*12%</f>
        <v/>
      </c>
      <c r="H2562" s="13">
        <f>IF(A2562="",0,B2562*(92*IF(OR(C2562=Options!$B$9,C2562=Options!$B$10),75%,100%)-IF(C2562=DATE(2026,11,29),26+IF(Options!$B$8="是",23,0),0)-IF(C2562=DATE(2026,11,30),26,0)-IF(C2562=DATE(2026,12,1),64,0)-IF(C2562=DATE(2026,11,28),38,0)-IF(C2562=DATE(2026,12,2),26,0)))</f>
        <v/>
      </c>
      <c r="I2562" s="13">
        <f>IF(AND(C2562&gt;=DATE(2026,11,29),C2562&lt;=DATE(2026,12,1)),B2562*60,0)</f>
        <v/>
      </c>
      <c r="J2562" s="13">
        <f>IF(A2562="",0,B2562*(IF(C2562=DATE(2026,11,28),38,0)+IF(C2562=DATE(2026,12,1),38,0)+IF(C2562=DATE(2026,12,2),26,0)))</f>
        <v/>
      </c>
      <c r="K2562" s="13">
        <f>IF(C2562=Options!$B$9,B2562*12,0)</f>
        <v/>
      </c>
      <c r="L2562" s="13">
        <f>IF(C2562=Options!$B$9,B2562*Options!$Z$8,0)</f>
        <v/>
      </c>
      <c r="M2562" s="13" t="n">
        <v>0</v>
      </c>
      <c r="N2562" s="13">
        <f>SUM(E2562:M2562)</f>
        <v/>
      </c>
    </row>
    <row r="2563">
      <c r="A2563" s="5">
        <f>IF(AND(C2563&gt;=Options!$B$9,C2563&lt;=Options!$B$10),"Boston","")</f>
        <v/>
      </c>
      <c r="B2563" s="5">
        <f>IF(A2563="","",24)</f>
        <v/>
      </c>
      <c r="C2563" s="17" t="n">
        <v>46299</v>
      </c>
      <c r="D2563" s="5">
        <f>IF(A2563="","",IF(C2563=DATE(2026,11,29),"培训；注册午餐；早餐参数",IF(C2563=DATE(2026,11,30),"培训；注册午餐",IF(C2563=DATE(2026,12,1),"培训；注册午餐；机构晚餐",IF(C2563=Options!$B$9,"抵达；"&amp;IF(C2563=DATE(2026,11,28),"机构晚餐","无统一供餐"),IF(C2563=Options!$B$10,"返程；"&amp;IF(C2563=DATE(2026,12,2),"机构午餐","无统一供餐"),"差旅状态；无统一日程"))))))</f>
        <v/>
      </c>
      <c r="E2563" s="13">
        <f>IF(C2563=Options!$B$9,Options!$C$21,0)</f>
        <v/>
      </c>
      <c r="F2563" s="13">
        <f>IF(AND(A2563&lt;&gt;"",C2563&lt;Options!$B$10),B2563*Options!$X$8,0)</f>
        <v/>
      </c>
      <c r="G2563" s="13">
        <f>F2563*12%</f>
        <v/>
      </c>
      <c r="H2563" s="13">
        <f>IF(A2563="",0,B2563*(92*IF(OR(C2563=Options!$B$9,C2563=Options!$B$10),75%,100%)-IF(C2563=DATE(2026,11,29),26+IF(Options!$B$8="是",23,0),0)-IF(C2563=DATE(2026,11,30),26,0)-IF(C2563=DATE(2026,12,1),64,0)-IF(C2563=DATE(2026,11,28),38,0)-IF(C2563=DATE(2026,12,2),26,0)))</f>
        <v/>
      </c>
      <c r="I2563" s="13">
        <f>IF(AND(C2563&gt;=DATE(2026,11,29),C2563&lt;=DATE(2026,12,1)),B2563*60,0)</f>
        <v/>
      </c>
      <c r="J2563" s="13">
        <f>IF(A2563="",0,B2563*(IF(C2563=DATE(2026,11,28),38,0)+IF(C2563=DATE(2026,12,1),38,0)+IF(C2563=DATE(2026,12,2),26,0)))</f>
        <v/>
      </c>
      <c r="K2563" s="13">
        <f>IF(C2563=Options!$B$9,B2563*12,0)</f>
        <v/>
      </c>
      <c r="L2563" s="13">
        <f>IF(C2563=Options!$B$9,B2563*Options!$Z$8,0)</f>
        <v/>
      </c>
      <c r="M2563" s="13" t="n">
        <v>0</v>
      </c>
      <c r="N2563" s="13">
        <f>SUM(E2563:M2563)</f>
        <v/>
      </c>
    </row>
    <row r="2564">
      <c r="A2564" s="5">
        <f>IF(AND(C2564&gt;=Options!$B$9,C2564&lt;=Options!$B$10),"Boston","")</f>
        <v/>
      </c>
      <c r="B2564" s="5">
        <f>IF(A2564="","",24)</f>
        <v/>
      </c>
      <c r="C2564" s="17" t="n">
        <v>46300</v>
      </c>
      <c r="D2564" s="5">
        <f>IF(A2564="","",IF(C2564=DATE(2026,11,29),"培训；注册午餐；早餐参数",IF(C2564=DATE(2026,11,30),"培训；注册午餐",IF(C2564=DATE(2026,12,1),"培训；注册午餐；机构晚餐",IF(C2564=Options!$B$9,"抵达；"&amp;IF(C2564=DATE(2026,11,28),"机构晚餐","无统一供餐"),IF(C2564=Options!$B$10,"返程；"&amp;IF(C2564=DATE(2026,12,2),"机构午餐","无统一供餐"),"差旅状态；无统一日程"))))))</f>
        <v/>
      </c>
      <c r="E2564" s="13">
        <f>IF(C2564=Options!$B$9,Options!$C$21,0)</f>
        <v/>
      </c>
      <c r="F2564" s="13">
        <f>IF(AND(A2564&lt;&gt;"",C2564&lt;Options!$B$10),B2564*Options!$X$8,0)</f>
        <v/>
      </c>
      <c r="G2564" s="13">
        <f>F2564*12%</f>
        <v/>
      </c>
      <c r="H2564" s="13">
        <f>IF(A2564="",0,B2564*(92*IF(OR(C2564=Options!$B$9,C2564=Options!$B$10),75%,100%)-IF(C2564=DATE(2026,11,29),26+IF(Options!$B$8="是",23,0),0)-IF(C2564=DATE(2026,11,30),26,0)-IF(C2564=DATE(2026,12,1),64,0)-IF(C2564=DATE(2026,11,28),38,0)-IF(C2564=DATE(2026,12,2),26,0)))</f>
        <v/>
      </c>
      <c r="I2564" s="13">
        <f>IF(AND(C2564&gt;=DATE(2026,11,29),C2564&lt;=DATE(2026,12,1)),B2564*60,0)</f>
        <v/>
      </c>
      <c r="J2564" s="13">
        <f>IF(A2564="",0,B2564*(IF(C2564=DATE(2026,11,28),38,0)+IF(C2564=DATE(2026,12,1),38,0)+IF(C2564=DATE(2026,12,2),26,0)))</f>
        <v/>
      </c>
      <c r="K2564" s="13">
        <f>IF(C2564=Options!$B$9,B2564*12,0)</f>
        <v/>
      </c>
      <c r="L2564" s="13">
        <f>IF(C2564=Options!$B$9,B2564*Options!$Z$8,0)</f>
        <v/>
      </c>
      <c r="M2564" s="13" t="n">
        <v>0</v>
      </c>
      <c r="N2564" s="13">
        <f>SUM(E2564:M2564)</f>
        <v/>
      </c>
    </row>
    <row r="2565">
      <c r="A2565" s="5">
        <f>IF(AND(C2565&gt;=Options!$B$9,C2565&lt;=Options!$B$10),"Boston","")</f>
        <v/>
      </c>
      <c r="B2565" s="5">
        <f>IF(A2565="","",24)</f>
        <v/>
      </c>
      <c r="C2565" s="17" t="n">
        <v>46301</v>
      </c>
      <c r="D2565" s="5">
        <f>IF(A2565="","",IF(C2565=DATE(2026,11,29),"培训；注册午餐；早餐参数",IF(C2565=DATE(2026,11,30),"培训；注册午餐",IF(C2565=DATE(2026,12,1),"培训；注册午餐；机构晚餐",IF(C2565=Options!$B$9,"抵达；"&amp;IF(C2565=DATE(2026,11,28),"机构晚餐","无统一供餐"),IF(C2565=Options!$B$10,"返程；"&amp;IF(C2565=DATE(2026,12,2),"机构午餐","无统一供餐"),"差旅状态；无统一日程"))))))</f>
        <v/>
      </c>
      <c r="E2565" s="13">
        <f>IF(C2565=Options!$B$9,Options!$C$21,0)</f>
        <v/>
      </c>
      <c r="F2565" s="13">
        <f>IF(AND(A2565&lt;&gt;"",C2565&lt;Options!$B$10),B2565*Options!$X$8,0)</f>
        <v/>
      </c>
      <c r="G2565" s="13">
        <f>F2565*12%</f>
        <v/>
      </c>
      <c r="H2565" s="13">
        <f>IF(A2565="",0,B2565*(92*IF(OR(C2565=Options!$B$9,C2565=Options!$B$10),75%,100%)-IF(C2565=DATE(2026,11,29),26+IF(Options!$B$8="是",23,0),0)-IF(C2565=DATE(2026,11,30),26,0)-IF(C2565=DATE(2026,12,1),64,0)-IF(C2565=DATE(2026,11,28),38,0)-IF(C2565=DATE(2026,12,2),26,0)))</f>
        <v/>
      </c>
      <c r="I2565" s="13">
        <f>IF(AND(C2565&gt;=DATE(2026,11,29),C2565&lt;=DATE(2026,12,1)),B2565*60,0)</f>
        <v/>
      </c>
      <c r="J2565" s="13">
        <f>IF(A2565="",0,B2565*(IF(C2565=DATE(2026,11,28),38,0)+IF(C2565=DATE(2026,12,1),38,0)+IF(C2565=DATE(2026,12,2),26,0)))</f>
        <v/>
      </c>
      <c r="K2565" s="13">
        <f>IF(C2565=Options!$B$9,B2565*12,0)</f>
        <v/>
      </c>
      <c r="L2565" s="13">
        <f>IF(C2565=Options!$B$9,B2565*Options!$Z$8,0)</f>
        <v/>
      </c>
      <c r="M2565" s="13" t="n">
        <v>0</v>
      </c>
      <c r="N2565" s="13">
        <f>SUM(E2565:M2565)</f>
        <v/>
      </c>
    </row>
    <row r="2566">
      <c r="A2566" s="5">
        <f>IF(AND(C2566&gt;=Options!$B$9,C2566&lt;=Options!$B$10),"Boston","")</f>
        <v/>
      </c>
      <c r="B2566" s="5">
        <f>IF(A2566="","",24)</f>
        <v/>
      </c>
      <c r="C2566" s="17" t="n">
        <v>46302</v>
      </c>
      <c r="D2566" s="5">
        <f>IF(A2566="","",IF(C2566=DATE(2026,11,29),"培训；注册午餐；早餐参数",IF(C2566=DATE(2026,11,30),"培训；注册午餐",IF(C2566=DATE(2026,12,1),"培训；注册午餐；机构晚餐",IF(C2566=Options!$B$9,"抵达；"&amp;IF(C2566=DATE(2026,11,28),"机构晚餐","无统一供餐"),IF(C2566=Options!$B$10,"返程；"&amp;IF(C2566=DATE(2026,12,2),"机构午餐","无统一供餐"),"差旅状态；无统一日程"))))))</f>
        <v/>
      </c>
      <c r="E2566" s="13">
        <f>IF(C2566=Options!$B$9,Options!$C$21,0)</f>
        <v/>
      </c>
      <c r="F2566" s="13">
        <f>IF(AND(A2566&lt;&gt;"",C2566&lt;Options!$B$10),B2566*Options!$X$8,0)</f>
        <v/>
      </c>
      <c r="G2566" s="13">
        <f>F2566*12%</f>
        <v/>
      </c>
      <c r="H2566" s="13">
        <f>IF(A2566="",0,B2566*(92*IF(OR(C2566=Options!$B$9,C2566=Options!$B$10),75%,100%)-IF(C2566=DATE(2026,11,29),26+IF(Options!$B$8="是",23,0),0)-IF(C2566=DATE(2026,11,30),26,0)-IF(C2566=DATE(2026,12,1),64,0)-IF(C2566=DATE(2026,11,28),38,0)-IF(C2566=DATE(2026,12,2),26,0)))</f>
        <v/>
      </c>
      <c r="I2566" s="13">
        <f>IF(AND(C2566&gt;=DATE(2026,11,29),C2566&lt;=DATE(2026,12,1)),B2566*60,0)</f>
        <v/>
      </c>
      <c r="J2566" s="13">
        <f>IF(A2566="",0,B2566*(IF(C2566=DATE(2026,11,28),38,0)+IF(C2566=DATE(2026,12,1),38,0)+IF(C2566=DATE(2026,12,2),26,0)))</f>
        <v/>
      </c>
      <c r="K2566" s="13">
        <f>IF(C2566=Options!$B$9,B2566*12,0)</f>
        <v/>
      </c>
      <c r="L2566" s="13">
        <f>IF(C2566=Options!$B$9,B2566*Options!$Z$8,0)</f>
        <v/>
      </c>
      <c r="M2566" s="13" t="n">
        <v>0</v>
      </c>
      <c r="N2566" s="13">
        <f>SUM(E2566:M2566)</f>
        <v/>
      </c>
    </row>
    <row r="2567">
      <c r="A2567" s="5">
        <f>IF(AND(C2567&gt;=Options!$B$9,C2567&lt;=Options!$B$10),"Boston","")</f>
        <v/>
      </c>
      <c r="B2567" s="5">
        <f>IF(A2567="","",24)</f>
        <v/>
      </c>
      <c r="C2567" s="17" t="n">
        <v>46303</v>
      </c>
      <c r="D2567" s="5">
        <f>IF(A2567="","",IF(C2567=DATE(2026,11,29),"培训；注册午餐；早餐参数",IF(C2567=DATE(2026,11,30),"培训；注册午餐",IF(C2567=DATE(2026,12,1),"培训；注册午餐；机构晚餐",IF(C2567=Options!$B$9,"抵达；"&amp;IF(C2567=DATE(2026,11,28),"机构晚餐","无统一供餐"),IF(C2567=Options!$B$10,"返程；"&amp;IF(C2567=DATE(2026,12,2),"机构午餐","无统一供餐"),"差旅状态；无统一日程"))))))</f>
        <v/>
      </c>
      <c r="E2567" s="13">
        <f>IF(C2567=Options!$B$9,Options!$C$21,0)</f>
        <v/>
      </c>
      <c r="F2567" s="13">
        <f>IF(AND(A2567&lt;&gt;"",C2567&lt;Options!$B$10),B2567*Options!$X$8,0)</f>
        <v/>
      </c>
      <c r="G2567" s="13">
        <f>F2567*12%</f>
        <v/>
      </c>
      <c r="H2567" s="13">
        <f>IF(A2567="",0,B2567*(92*IF(OR(C2567=Options!$B$9,C2567=Options!$B$10),75%,100%)-IF(C2567=DATE(2026,11,29),26+IF(Options!$B$8="是",23,0),0)-IF(C2567=DATE(2026,11,30),26,0)-IF(C2567=DATE(2026,12,1),64,0)-IF(C2567=DATE(2026,11,28),38,0)-IF(C2567=DATE(2026,12,2),26,0)))</f>
        <v/>
      </c>
      <c r="I2567" s="13">
        <f>IF(AND(C2567&gt;=DATE(2026,11,29),C2567&lt;=DATE(2026,12,1)),B2567*60,0)</f>
        <v/>
      </c>
      <c r="J2567" s="13">
        <f>IF(A2567="",0,B2567*(IF(C2567=DATE(2026,11,28),38,0)+IF(C2567=DATE(2026,12,1),38,0)+IF(C2567=DATE(2026,12,2),26,0)))</f>
        <v/>
      </c>
      <c r="K2567" s="13">
        <f>IF(C2567=Options!$B$9,B2567*12,0)</f>
        <v/>
      </c>
      <c r="L2567" s="13">
        <f>IF(C2567=Options!$B$9,B2567*Options!$Z$8,0)</f>
        <v/>
      </c>
      <c r="M2567" s="13" t="n">
        <v>0</v>
      </c>
      <c r="N2567" s="13">
        <f>SUM(E2567:M2567)</f>
        <v/>
      </c>
    </row>
    <row r="2568">
      <c r="A2568" s="5">
        <f>IF(AND(C2568&gt;=Options!$B$9,C2568&lt;=Options!$B$10),"Boston","")</f>
        <v/>
      </c>
      <c r="B2568" s="5">
        <f>IF(A2568="","",24)</f>
        <v/>
      </c>
      <c r="C2568" s="17" t="n">
        <v>46304</v>
      </c>
      <c r="D2568" s="5">
        <f>IF(A2568="","",IF(C2568=DATE(2026,11,29),"培训；注册午餐；早餐参数",IF(C2568=DATE(2026,11,30),"培训；注册午餐",IF(C2568=DATE(2026,12,1),"培训；注册午餐；机构晚餐",IF(C2568=Options!$B$9,"抵达；"&amp;IF(C2568=DATE(2026,11,28),"机构晚餐","无统一供餐"),IF(C2568=Options!$B$10,"返程；"&amp;IF(C2568=DATE(2026,12,2),"机构午餐","无统一供餐"),"差旅状态；无统一日程"))))))</f>
        <v/>
      </c>
      <c r="E2568" s="13">
        <f>IF(C2568=Options!$B$9,Options!$C$21,0)</f>
        <v/>
      </c>
      <c r="F2568" s="13">
        <f>IF(AND(A2568&lt;&gt;"",C2568&lt;Options!$B$10),B2568*Options!$X$8,0)</f>
        <v/>
      </c>
      <c r="G2568" s="13">
        <f>F2568*12%</f>
        <v/>
      </c>
      <c r="H2568" s="13">
        <f>IF(A2568="",0,B2568*(92*IF(OR(C2568=Options!$B$9,C2568=Options!$B$10),75%,100%)-IF(C2568=DATE(2026,11,29),26+IF(Options!$B$8="是",23,0),0)-IF(C2568=DATE(2026,11,30),26,0)-IF(C2568=DATE(2026,12,1),64,0)-IF(C2568=DATE(2026,11,28),38,0)-IF(C2568=DATE(2026,12,2),26,0)))</f>
        <v/>
      </c>
      <c r="I2568" s="13">
        <f>IF(AND(C2568&gt;=DATE(2026,11,29),C2568&lt;=DATE(2026,12,1)),B2568*60,0)</f>
        <v/>
      </c>
      <c r="J2568" s="13">
        <f>IF(A2568="",0,B2568*(IF(C2568=DATE(2026,11,28),38,0)+IF(C2568=DATE(2026,12,1),38,0)+IF(C2568=DATE(2026,12,2),26,0)))</f>
        <v/>
      </c>
      <c r="K2568" s="13">
        <f>IF(C2568=Options!$B$9,B2568*12,0)</f>
        <v/>
      </c>
      <c r="L2568" s="13">
        <f>IF(C2568=Options!$B$9,B2568*Options!$Z$8,0)</f>
        <v/>
      </c>
      <c r="M2568" s="13" t="n">
        <v>0</v>
      </c>
      <c r="N2568" s="13">
        <f>SUM(E2568:M2568)</f>
        <v/>
      </c>
    </row>
    <row r="2569">
      <c r="A2569" s="5">
        <f>IF(AND(C2569&gt;=Options!$B$9,C2569&lt;=Options!$B$10),"Boston","")</f>
        <v/>
      </c>
      <c r="B2569" s="5">
        <f>IF(A2569="","",24)</f>
        <v/>
      </c>
      <c r="C2569" s="17" t="n">
        <v>46305</v>
      </c>
      <c r="D2569" s="5">
        <f>IF(A2569="","",IF(C2569=DATE(2026,11,29),"培训；注册午餐；早餐参数",IF(C2569=DATE(2026,11,30),"培训；注册午餐",IF(C2569=DATE(2026,12,1),"培训；注册午餐；机构晚餐",IF(C2569=Options!$B$9,"抵达；"&amp;IF(C2569=DATE(2026,11,28),"机构晚餐","无统一供餐"),IF(C2569=Options!$B$10,"返程；"&amp;IF(C2569=DATE(2026,12,2),"机构午餐","无统一供餐"),"差旅状态；无统一日程"))))))</f>
        <v/>
      </c>
      <c r="E2569" s="13">
        <f>IF(C2569=Options!$B$9,Options!$C$21,0)</f>
        <v/>
      </c>
      <c r="F2569" s="13">
        <f>IF(AND(A2569&lt;&gt;"",C2569&lt;Options!$B$10),B2569*Options!$X$8,0)</f>
        <v/>
      </c>
      <c r="G2569" s="13">
        <f>F2569*12%</f>
        <v/>
      </c>
      <c r="H2569" s="13">
        <f>IF(A2569="",0,B2569*(92*IF(OR(C2569=Options!$B$9,C2569=Options!$B$10),75%,100%)-IF(C2569=DATE(2026,11,29),26+IF(Options!$B$8="是",23,0),0)-IF(C2569=DATE(2026,11,30),26,0)-IF(C2569=DATE(2026,12,1),64,0)-IF(C2569=DATE(2026,11,28),38,0)-IF(C2569=DATE(2026,12,2),26,0)))</f>
        <v/>
      </c>
      <c r="I2569" s="13">
        <f>IF(AND(C2569&gt;=DATE(2026,11,29),C2569&lt;=DATE(2026,12,1)),B2569*60,0)</f>
        <v/>
      </c>
      <c r="J2569" s="13">
        <f>IF(A2569="",0,B2569*(IF(C2569=DATE(2026,11,28),38,0)+IF(C2569=DATE(2026,12,1),38,0)+IF(C2569=DATE(2026,12,2),26,0)))</f>
        <v/>
      </c>
      <c r="K2569" s="13">
        <f>IF(C2569=Options!$B$9,B2569*12,0)</f>
        <v/>
      </c>
      <c r="L2569" s="13">
        <f>IF(C2569=Options!$B$9,B2569*Options!$Z$8,0)</f>
        <v/>
      </c>
      <c r="M2569" s="13" t="n">
        <v>0</v>
      </c>
      <c r="N2569" s="13">
        <f>SUM(E2569:M2569)</f>
        <v/>
      </c>
    </row>
    <row r="2570">
      <c r="A2570" s="5">
        <f>IF(AND(C2570&gt;=Options!$B$9,C2570&lt;=Options!$B$10),"Boston","")</f>
        <v/>
      </c>
      <c r="B2570" s="5">
        <f>IF(A2570="","",24)</f>
        <v/>
      </c>
      <c r="C2570" s="17" t="n">
        <v>46306</v>
      </c>
      <c r="D2570" s="5">
        <f>IF(A2570="","",IF(C2570=DATE(2026,11,29),"培训；注册午餐；早餐参数",IF(C2570=DATE(2026,11,30),"培训；注册午餐",IF(C2570=DATE(2026,12,1),"培训；注册午餐；机构晚餐",IF(C2570=Options!$B$9,"抵达；"&amp;IF(C2570=DATE(2026,11,28),"机构晚餐","无统一供餐"),IF(C2570=Options!$B$10,"返程；"&amp;IF(C2570=DATE(2026,12,2),"机构午餐","无统一供餐"),"差旅状态；无统一日程"))))))</f>
        <v/>
      </c>
      <c r="E2570" s="13">
        <f>IF(C2570=Options!$B$9,Options!$C$21,0)</f>
        <v/>
      </c>
      <c r="F2570" s="13">
        <f>IF(AND(A2570&lt;&gt;"",C2570&lt;Options!$B$10),B2570*Options!$X$8,0)</f>
        <v/>
      </c>
      <c r="G2570" s="13">
        <f>F2570*12%</f>
        <v/>
      </c>
      <c r="H2570" s="13">
        <f>IF(A2570="",0,B2570*(92*IF(OR(C2570=Options!$B$9,C2570=Options!$B$10),75%,100%)-IF(C2570=DATE(2026,11,29),26+IF(Options!$B$8="是",23,0),0)-IF(C2570=DATE(2026,11,30),26,0)-IF(C2570=DATE(2026,12,1),64,0)-IF(C2570=DATE(2026,11,28),38,0)-IF(C2570=DATE(2026,12,2),26,0)))</f>
        <v/>
      </c>
      <c r="I2570" s="13">
        <f>IF(AND(C2570&gt;=DATE(2026,11,29),C2570&lt;=DATE(2026,12,1)),B2570*60,0)</f>
        <v/>
      </c>
      <c r="J2570" s="13">
        <f>IF(A2570="",0,B2570*(IF(C2570=DATE(2026,11,28),38,0)+IF(C2570=DATE(2026,12,1),38,0)+IF(C2570=DATE(2026,12,2),26,0)))</f>
        <v/>
      </c>
      <c r="K2570" s="13">
        <f>IF(C2570=Options!$B$9,B2570*12,0)</f>
        <v/>
      </c>
      <c r="L2570" s="13">
        <f>IF(C2570=Options!$B$9,B2570*Options!$Z$8,0)</f>
        <v/>
      </c>
      <c r="M2570" s="13" t="n">
        <v>0</v>
      </c>
      <c r="N2570" s="13">
        <f>SUM(E2570:M2570)</f>
        <v/>
      </c>
    </row>
    <row r="2571">
      <c r="A2571" s="5">
        <f>IF(AND(C2571&gt;=Options!$B$9,C2571&lt;=Options!$B$10),"Boston","")</f>
        <v/>
      </c>
      <c r="B2571" s="5">
        <f>IF(A2571="","",24)</f>
        <v/>
      </c>
      <c r="C2571" s="17" t="n">
        <v>46307</v>
      </c>
      <c r="D2571" s="5">
        <f>IF(A2571="","",IF(C2571=DATE(2026,11,29),"培训；注册午餐；早餐参数",IF(C2571=DATE(2026,11,30),"培训；注册午餐",IF(C2571=DATE(2026,12,1),"培训；注册午餐；机构晚餐",IF(C2571=Options!$B$9,"抵达；"&amp;IF(C2571=DATE(2026,11,28),"机构晚餐","无统一供餐"),IF(C2571=Options!$B$10,"返程；"&amp;IF(C2571=DATE(2026,12,2),"机构午餐","无统一供餐"),"差旅状态；无统一日程"))))))</f>
        <v/>
      </c>
      <c r="E2571" s="13">
        <f>IF(C2571=Options!$B$9,Options!$C$21,0)</f>
        <v/>
      </c>
      <c r="F2571" s="13">
        <f>IF(AND(A2571&lt;&gt;"",C2571&lt;Options!$B$10),B2571*Options!$X$8,0)</f>
        <v/>
      </c>
      <c r="G2571" s="13">
        <f>F2571*12%</f>
        <v/>
      </c>
      <c r="H2571" s="13">
        <f>IF(A2571="",0,B2571*(92*IF(OR(C2571=Options!$B$9,C2571=Options!$B$10),75%,100%)-IF(C2571=DATE(2026,11,29),26+IF(Options!$B$8="是",23,0),0)-IF(C2571=DATE(2026,11,30),26,0)-IF(C2571=DATE(2026,12,1),64,0)-IF(C2571=DATE(2026,11,28),38,0)-IF(C2571=DATE(2026,12,2),26,0)))</f>
        <v/>
      </c>
      <c r="I2571" s="13">
        <f>IF(AND(C2571&gt;=DATE(2026,11,29),C2571&lt;=DATE(2026,12,1)),B2571*60,0)</f>
        <v/>
      </c>
      <c r="J2571" s="13">
        <f>IF(A2571="",0,B2571*(IF(C2571=DATE(2026,11,28),38,0)+IF(C2571=DATE(2026,12,1),38,0)+IF(C2571=DATE(2026,12,2),26,0)))</f>
        <v/>
      </c>
      <c r="K2571" s="13">
        <f>IF(C2571=Options!$B$9,B2571*12,0)</f>
        <v/>
      </c>
      <c r="L2571" s="13">
        <f>IF(C2571=Options!$B$9,B2571*Options!$Z$8,0)</f>
        <v/>
      </c>
      <c r="M2571" s="13" t="n">
        <v>0</v>
      </c>
      <c r="N2571" s="13">
        <f>SUM(E2571:M2571)</f>
        <v/>
      </c>
    </row>
    <row r="2572">
      <c r="A2572" s="5">
        <f>IF(AND(C2572&gt;=Options!$B$9,C2572&lt;=Options!$B$10),"Boston","")</f>
        <v/>
      </c>
      <c r="B2572" s="5">
        <f>IF(A2572="","",24)</f>
        <v/>
      </c>
      <c r="C2572" s="17" t="n">
        <v>46308</v>
      </c>
      <c r="D2572" s="5">
        <f>IF(A2572="","",IF(C2572=DATE(2026,11,29),"培训；注册午餐；早餐参数",IF(C2572=DATE(2026,11,30),"培训；注册午餐",IF(C2572=DATE(2026,12,1),"培训；注册午餐；机构晚餐",IF(C2572=Options!$B$9,"抵达；"&amp;IF(C2572=DATE(2026,11,28),"机构晚餐","无统一供餐"),IF(C2572=Options!$B$10,"返程；"&amp;IF(C2572=DATE(2026,12,2),"机构午餐","无统一供餐"),"差旅状态；无统一日程"))))))</f>
        <v/>
      </c>
      <c r="E2572" s="13">
        <f>IF(C2572=Options!$B$9,Options!$C$21,0)</f>
        <v/>
      </c>
      <c r="F2572" s="13">
        <f>IF(AND(A2572&lt;&gt;"",C2572&lt;Options!$B$10),B2572*Options!$X$8,0)</f>
        <v/>
      </c>
      <c r="G2572" s="13">
        <f>F2572*12%</f>
        <v/>
      </c>
      <c r="H2572" s="13">
        <f>IF(A2572="",0,B2572*(92*IF(OR(C2572=Options!$B$9,C2572=Options!$B$10),75%,100%)-IF(C2572=DATE(2026,11,29),26+IF(Options!$B$8="是",23,0),0)-IF(C2572=DATE(2026,11,30),26,0)-IF(C2572=DATE(2026,12,1),64,0)-IF(C2572=DATE(2026,11,28),38,0)-IF(C2572=DATE(2026,12,2),26,0)))</f>
        <v/>
      </c>
      <c r="I2572" s="13">
        <f>IF(AND(C2572&gt;=DATE(2026,11,29),C2572&lt;=DATE(2026,12,1)),B2572*60,0)</f>
        <v/>
      </c>
      <c r="J2572" s="13">
        <f>IF(A2572="",0,B2572*(IF(C2572=DATE(2026,11,28),38,0)+IF(C2572=DATE(2026,12,1),38,0)+IF(C2572=DATE(2026,12,2),26,0)))</f>
        <v/>
      </c>
      <c r="K2572" s="13">
        <f>IF(C2572=Options!$B$9,B2572*12,0)</f>
        <v/>
      </c>
      <c r="L2572" s="13">
        <f>IF(C2572=Options!$B$9,B2572*Options!$Z$8,0)</f>
        <v/>
      </c>
      <c r="M2572" s="13" t="n">
        <v>0</v>
      </c>
      <c r="N2572" s="13">
        <f>SUM(E2572:M2572)</f>
        <v/>
      </c>
    </row>
    <row r="2573">
      <c r="A2573" s="5">
        <f>IF(AND(C2573&gt;=Options!$B$9,C2573&lt;=Options!$B$10),"Boston","")</f>
        <v/>
      </c>
      <c r="B2573" s="5">
        <f>IF(A2573="","",24)</f>
        <v/>
      </c>
      <c r="C2573" s="17" t="n">
        <v>46309</v>
      </c>
      <c r="D2573" s="5">
        <f>IF(A2573="","",IF(C2573=DATE(2026,11,29),"培训；注册午餐；早餐参数",IF(C2573=DATE(2026,11,30),"培训；注册午餐",IF(C2573=DATE(2026,12,1),"培训；注册午餐；机构晚餐",IF(C2573=Options!$B$9,"抵达；"&amp;IF(C2573=DATE(2026,11,28),"机构晚餐","无统一供餐"),IF(C2573=Options!$B$10,"返程；"&amp;IF(C2573=DATE(2026,12,2),"机构午餐","无统一供餐"),"差旅状态；无统一日程"))))))</f>
        <v/>
      </c>
      <c r="E2573" s="13">
        <f>IF(C2573=Options!$B$9,Options!$C$21,0)</f>
        <v/>
      </c>
      <c r="F2573" s="13">
        <f>IF(AND(A2573&lt;&gt;"",C2573&lt;Options!$B$10),B2573*Options!$X$8,0)</f>
        <v/>
      </c>
      <c r="G2573" s="13">
        <f>F2573*12%</f>
        <v/>
      </c>
      <c r="H2573" s="13">
        <f>IF(A2573="",0,B2573*(92*IF(OR(C2573=Options!$B$9,C2573=Options!$B$10),75%,100%)-IF(C2573=DATE(2026,11,29),26+IF(Options!$B$8="是",23,0),0)-IF(C2573=DATE(2026,11,30),26,0)-IF(C2573=DATE(2026,12,1),64,0)-IF(C2573=DATE(2026,11,28),38,0)-IF(C2573=DATE(2026,12,2),26,0)))</f>
        <v/>
      </c>
      <c r="I2573" s="13">
        <f>IF(AND(C2573&gt;=DATE(2026,11,29),C2573&lt;=DATE(2026,12,1)),B2573*60,0)</f>
        <v/>
      </c>
      <c r="J2573" s="13">
        <f>IF(A2573="",0,B2573*(IF(C2573=DATE(2026,11,28),38,0)+IF(C2573=DATE(2026,12,1),38,0)+IF(C2573=DATE(2026,12,2),26,0)))</f>
        <v/>
      </c>
      <c r="K2573" s="13">
        <f>IF(C2573=Options!$B$9,B2573*12,0)</f>
        <v/>
      </c>
      <c r="L2573" s="13">
        <f>IF(C2573=Options!$B$9,B2573*Options!$Z$8,0)</f>
        <v/>
      </c>
      <c r="M2573" s="13" t="n">
        <v>0</v>
      </c>
      <c r="N2573" s="13">
        <f>SUM(E2573:M2573)</f>
        <v/>
      </c>
    </row>
    <row r="2574">
      <c r="A2574" s="5">
        <f>IF(AND(C2574&gt;=Options!$B$9,C2574&lt;=Options!$B$10),"Boston","")</f>
        <v/>
      </c>
      <c r="B2574" s="5">
        <f>IF(A2574="","",24)</f>
        <v/>
      </c>
      <c r="C2574" s="17" t="n">
        <v>46310</v>
      </c>
      <c r="D2574" s="5">
        <f>IF(A2574="","",IF(C2574=DATE(2026,11,29),"培训；注册午餐；早餐参数",IF(C2574=DATE(2026,11,30),"培训；注册午餐",IF(C2574=DATE(2026,12,1),"培训；注册午餐；机构晚餐",IF(C2574=Options!$B$9,"抵达；"&amp;IF(C2574=DATE(2026,11,28),"机构晚餐","无统一供餐"),IF(C2574=Options!$B$10,"返程；"&amp;IF(C2574=DATE(2026,12,2),"机构午餐","无统一供餐"),"差旅状态；无统一日程"))))))</f>
        <v/>
      </c>
      <c r="E2574" s="13">
        <f>IF(C2574=Options!$B$9,Options!$C$21,0)</f>
        <v/>
      </c>
      <c r="F2574" s="13">
        <f>IF(AND(A2574&lt;&gt;"",C2574&lt;Options!$B$10),B2574*Options!$X$8,0)</f>
        <v/>
      </c>
      <c r="G2574" s="13">
        <f>F2574*12%</f>
        <v/>
      </c>
      <c r="H2574" s="13">
        <f>IF(A2574="",0,B2574*(92*IF(OR(C2574=Options!$B$9,C2574=Options!$B$10),75%,100%)-IF(C2574=DATE(2026,11,29),26+IF(Options!$B$8="是",23,0),0)-IF(C2574=DATE(2026,11,30),26,0)-IF(C2574=DATE(2026,12,1),64,0)-IF(C2574=DATE(2026,11,28),38,0)-IF(C2574=DATE(2026,12,2),26,0)))</f>
        <v/>
      </c>
      <c r="I2574" s="13">
        <f>IF(AND(C2574&gt;=DATE(2026,11,29),C2574&lt;=DATE(2026,12,1)),B2574*60,0)</f>
        <v/>
      </c>
      <c r="J2574" s="13">
        <f>IF(A2574="",0,B2574*(IF(C2574=DATE(2026,11,28),38,0)+IF(C2574=DATE(2026,12,1),38,0)+IF(C2574=DATE(2026,12,2),26,0)))</f>
        <v/>
      </c>
      <c r="K2574" s="13">
        <f>IF(C2574=Options!$B$9,B2574*12,0)</f>
        <v/>
      </c>
      <c r="L2574" s="13">
        <f>IF(C2574=Options!$B$9,B2574*Options!$Z$8,0)</f>
        <v/>
      </c>
      <c r="M2574" s="13" t="n">
        <v>0</v>
      </c>
      <c r="N2574" s="13">
        <f>SUM(E2574:M2574)</f>
        <v/>
      </c>
    </row>
    <row r="2575">
      <c r="A2575" s="5">
        <f>IF(AND(C2575&gt;=Options!$B$9,C2575&lt;=Options!$B$10),"Boston","")</f>
        <v/>
      </c>
      <c r="B2575" s="5">
        <f>IF(A2575="","",24)</f>
        <v/>
      </c>
      <c r="C2575" s="17" t="n">
        <v>46311</v>
      </c>
      <c r="D2575" s="5">
        <f>IF(A2575="","",IF(C2575=DATE(2026,11,29),"培训；注册午餐；早餐参数",IF(C2575=DATE(2026,11,30),"培训；注册午餐",IF(C2575=DATE(2026,12,1),"培训；注册午餐；机构晚餐",IF(C2575=Options!$B$9,"抵达；"&amp;IF(C2575=DATE(2026,11,28),"机构晚餐","无统一供餐"),IF(C2575=Options!$B$10,"返程；"&amp;IF(C2575=DATE(2026,12,2),"机构午餐","无统一供餐"),"差旅状态；无统一日程"))))))</f>
        <v/>
      </c>
      <c r="E2575" s="13">
        <f>IF(C2575=Options!$B$9,Options!$C$21,0)</f>
        <v/>
      </c>
      <c r="F2575" s="13">
        <f>IF(AND(A2575&lt;&gt;"",C2575&lt;Options!$B$10),B2575*Options!$X$8,0)</f>
        <v/>
      </c>
      <c r="G2575" s="13">
        <f>F2575*12%</f>
        <v/>
      </c>
      <c r="H2575" s="13">
        <f>IF(A2575="",0,B2575*(92*IF(OR(C2575=Options!$B$9,C2575=Options!$B$10),75%,100%)-IF(C2575=DATE(2026,11,29),26+IF(Options!$B$8="是",23,0),0)-IF(C2575=DATE(2026,11,30),26,0)-IF(C2575=DATE(2026,12,1),64,0)-IF(C2575=DATE(2026,11,28),38,0)-IF(C2575=DATE(2026,12,2),26,0)))</f>
        <v/>
      </c>
      <c r="I2575" s="13">
        <f>IF(AND(C2575&gt;=DATE(2026,11,29),C2575&lt;=DATE(2026,12,1)),B2575*60,0)</f>
        <v/>
      </c>
      <c r="J2575" s="13">
        <f>IF(A2575="",0,B2575*(IF(C2575=DATE(2026,11,28),38,0)+IF(C2575=DATE(2026,12,1),38,0)+IF(C2575=DATE(2026,12,2),26,0)))</f>
        <v/>
      </c>
      <c r="K2575" s="13">
        <f>IF(C2575=Options!$B$9,B2575*12,0)</f>
        <v/>
      </c>
      <c r="L2575" s="13">
        <f>IF(C2575=Options!$B$9,B2575*Options!$Z$8,0)</f>
        <v/>
      </c>
      <c r="M2575" s="13" t="n">
        <v>0</v>
      </c>
      <c r="N2575" s="13">
        <f>SUM(E2575:M2575)</f>
        <v/>
      </c>
    </row>
    <row r="2576">
      <c r="A2576" s="5">
        <f>IF(AND(C2576&gt;=Options!$B$9,C2576&lt;=Options!$B$10),"Boston","")</f>
        <v/>
      </c>
      <c r="B2576" s="5">
        <f>IF(A2576="","",24)</f>
        <v/>
      </c>
      <c r="C2576" s="17" t="n">
        <v>46312</v>
      </c>
      <c r="D2576" s="5">
        <f>IF(A2576="","",IF(C2576=DATE(2026,11,29),"培训；注册午餐；早餐参数",IF(C2576=DATE(2026,11,30),"培训；注册午餐",IF(C2576=DATE(2026,12,1),"培训；注册午餐；机构晚餐",IF(C2576=Options!$B$9,"抵达；"&amp;IF(C2576=DATE(2026,11,28),"机构晚餐","无统一供餐"),IF(C2576=Options!$B$10,"返程；"&amp;IF(C2576=DATE(2026,12,2),"机构午餐","无统一供餐"),"差旅状态；无统一日程"))))))</f>
        <v/>
      </c>
      <c r="E2576" s="13">
        <f>IF(C2576=Options!$B$9,Options!$C$21,0)</f>
        <v/>
      </c>
      <c r="F2576" s="13">
        <f>IF(AND(A2576&lt;&gt;"",C2576&lt;Options!$B$10),B2576*Options!$X$8,0)</f>
        <v/>
      </c>
      <c r="G2576" s="13">
        <f>F2576*12%</f>
        <v/>
      </c>
      <c r="H2576" s="13">
        <f>IF(A2576="",0,B2576*(92*IF(OR(C2576=Options!$B$9,C2576=Options!$B$10),75%,100%)-IF(C2576=DATE(2026,11,29),26+IF(Options!$B$8="是",23,0),0)-IF(C2576=DATE(2026,11,30),26,0)-IF(C2576=DATE(2026,12,1),64,0)-IF(C2576=DATE(2026,11,28),38,0)-IF(C2576=DATE(2026,12,2),26,0)))</f>
        <v/>
      </c>
      <c r="I2576" s="13">
        <f>IF(AND(C2576&gt;=DATE(2026,11,29),C2576&lt;=DATE(2026,12,1)),B2576*60,0)</f>
        <v/>
      </c>
      <c r="J2576" s="13">
        <f>IF(A2576="",0,B2576*(IF(C2576=DATE(2026,11,28),38,0)+IF(C2576=DATE(2026,12,1),38,0)+IF(C2576=DATE(2026,12,2),26,0)))</f>
        <v/>
      </c>
      <c r="K2576" s="13">
        <f>IF(C2576=Options!$B$9,B2576*12,0)</f>
        <v/>
      </c>
      <c r="L2576" s="13">
        <f>IF(C2576=Options!$B$9,B2576*Options!$Z$8,0)</f>
        <v/>
      </c>
      <c r="M2576" s="13" t="n">
        <v>0</v>
      </c>
      <c r="N2576" s="13">
        <f>SUM(E2576:M2576)</f>
        <v/>
      </c>
    </row>
    <row r="2577">
      <c r="A2577" s="5">
        <f>IF(AND(C2577&gt;=Options!$B$9,C2577&lt;=Options!$B$10),"Boston","")</f>
        <v/>
      </c>
      <c r="B2577" s="5">
        <f>IF(A2577="","",24)</f>
        <v/>
      </c>
      <c r="C2577" s="17" t="n">
        <v>46313</v>
      </c>
      <c r="D2577" s="5">
        <f>IF(A2577="","",IF(C2577=DATE(2026,11,29),"培训；注册午餐；早餐参数",IF(C2577=DATE(2026,11,30),"培训；注册午餐",IF(C2577=DATE(2026,12,1),"培训；注册午餐；机构晚餐",IF(C2577=Options!$B$9,"抵达；"&amp;IF(C2577=DATE(2026,11,28),"机构晚餐","无统一供餐"),IF(C2577=Options!$B$10,"返程；"&amp;IF(C2577=DATE(2026,12,2),"机构午餐","无统一供餐"),"差旅状态；无统一日程"))))))</f>
        <v/>
      </c>
      <c r="E2577" s="13">
        <f>IF(C2577=Options!$B$9,Options!$C$21,0)</f>
        <v/>
      </c>
      <c r="F2577" s="13">
        <f>IF(AND(A2577&lt;&gt;"",C2577&lt;Options!$B$10),B2577*Options!$X$8,0)</f>
        <v/>
      </c>
      <c r="G2577" s="13">
        <f>F2577*12%</f>
        <v/>
      </c>
      <c r="H2577" s="13">
        <f>IF(A2577="",0,B2577*(92*IF(OR(C2577=Options!$B$9,C2577=Options!$B$10),75%,100%)-IF(C2577=DATE(2026,11,29),26+IF(Options!$B$8="是",23,0),0)-IF(C2577=DATE(2026,11,30),26,0)-IF(C2577=DATE(2026,12,1),64,0)-IF(C2577=DATE(2026,11,28),38,0)-IF(C2577=DATE(2026,12,2),26,0)))</f>
        <v/>
      </c>
      <c r="I2577" s="13">
        <f>IF(AND(C2577&gt;=DATE(2026,11,29),C2577&lt;=DATE(2026,12,1)),B2577*60,0)</f>
        <v/>
      </c>
      <c r="J2577" s="13">
        <f>IF(A2577="",0,B2577*(IF(C2577=DATE(2026,11,28),38,0)+IF(C2577=DATE(2026,12,1),38,0)+IF(C2577=DATE(2026,12,2),26,0)))</f>
        <v/>
      </c>
      <c r="K2577" s="13">
        <f>IF(C2577=Options!$B$9,B2577*12,0)</f>
        <v/>
      </c>
      <c r="L2577" s="13">
        <f>IF(C2577=Options!$B$9,B2577*Options!$Z$8,0)</f>
        <v/>
      </c>
      <c r="M2577" s="13" t="n">
        <v>0</v>
      </c>
      <c r="N2577" s="13">
        <f>SUM(E2577:M2577)</f>
        <v/>
      </c>
    </row>
    <row r="2578">
      <c r="A2578" s="5">
        <f>IF(AND(C2578&gt;=Options!$B$9,C2578&lt;=Options!$B$10),"Boston","")</f>
        <v/>
      </c>
      <c r="B2578" s="5">
        <f>IF(A2578="","",24)</f>
        <v/>
      </c>
      <c r="C2578" s="17" t="n">
        <v>46314</v>
      </c>
      <c r="D2578" s="5">
        <f>IF(A2578="","",IF(C2578=DATE(2026,11,29),"培训；注册午餐；早餐参数",IF(C2578=DATE(2026,11,30),"培训；注册午餐",IF(C2578=DATE(2026,12,1),"培训；注册午餐；机构晚餐",IF(C2578=Options!$B$9,"抵达；"&amp;IF(C2578=DATE(2026,11,28),"机构晚餐","无统一供餐"),IF(C2578=Options!$B$10,"返程；"&amp;IF(C2578=DATE(2026,12,2),"机构午餐","无统一供餐"),"差旅状态；无统一日程"))))))</f>
        <v/>
      </c>
      <c r="E2578" s="13">
        <f>IF(C2578=Options!$B$9,Options!$C$21,0)</f>
        <v/>
      </c>
      <c r="F2578" s="13">
        <f>IF(AND(A2578&lt;&gt;"",C2578&lt;Options!$B$10),B2578*Options!$X$8,0)</f>
        <v/>
      </c>
      <c r="G2578" s="13">
        <f>F2578*12%</f>
        <v/>
      </c>
      <c r="H2578" s="13">
        <f>IF(A2578="",0,B2578*(92*IF(OR(C2578=Options!$B$9,C2578=Options!$B$10),75%,100%)-IF(C2578=DATE(2026,11,29),26+IF(Options!$B$8="是",23,0),0)-IF(C2578=DATE(2026,11,30),26,0)-IF(C2578=DATE(2026,12,1),64,0)-IF(C2578=DATE(2026,11,28),38,0)-IF(C2578=DATE(2026,12,2),26,0)))</f>
        <v/>
      </c>
      <c r="I2578" s="13">
        <f>IF(AND(C2578&gt;=DATE(2026,11,29),C2578&lt;=DATE(2026,12,1)),B2578*60,0)</f>
        <v/>
      </c>
      <c r="J2578" s="13">
        <f>IF(A2578="",0,B2578*(IF(C2578=DATE(2026,11,28),38,0)+IF(C2578=DATE(2026,12,1),38,0)+IF(C2578=DATE(2026,12,2),26,0)))</f>
        <v/>
      </c>
      <c r="K2578" s="13">
        <f>IF(C2578=Options!$B$9,B2578*12,0)</f>
        <v/>
      </c>
      <c r="L2578" s="13">
        <f>IF(C2578=Options!$B$9,B2578*Options!$Z$8,0)</f>
        <v/>
      </c>
      <c r="M2578" s="13" t="n">
        <v>0</v>
      </c>
      <c r="N2578" s="13">
        <f>SUM(E2578:M2578)</f>
        <v/>
      </c>
    </row>
    <row r="2579">
      <c r="A2579" s="5">
        <f>IF(AND(C2579&gt;=Options!$B$9,C2579&lt;=Options!$B$10),"Boston","")</f>
        <v/>
      </c>
      <c r="B2579" s="5">
        <f>IF(A2579="","",24)</f>
        <v/>
      </c>
      <c r="C2579" s="17" t="n">
        <v>46315</v>
      </c>
      <c r="D2579" s="5">
        <f>IF(A2579="","",IF(C2579=DATE(2026,11,29),"培训；注册午餐；早餐参数",IF(C2579=DATE(2026,11,30),"培训；注册午餐",IF(C2579=DATE(2026,12,1),"培训；注册午餐；机构晚餐",IF(C2579=Options!$B$9,"抵达；"&amp;IF(C2579=DATE(2026,11,28),"机构晚餐","无统一供餐"),IF(C2579=Options!$B$10,"返程；"&amp;IF(C2579=DATE(2026,12,2),"机构午餐","无统一供餐"),"差旅状态；无统一日程"))))))</f>
        <v/>
      </c>
      <c r="E2579" s="13">
        <f>IF(C2579=Options!$B$9,Options!$C$21,0)</f>
        <v/>
      </c>
      <c r="F2579" s="13">
        <f>IF(AND(A2579&lt;&gt;"",C2579&lt;Options!$B$10),B2579*Options!$X$8,0)</f>
        <v/>
      </c>
      <c r="G2579" s="13">
        <f>F2579*12%</f>
        <v/>
      </c>
      <c r="H2579" s="13">
        <f>IF(A2579="",0,B2579*(92*IF(OR(C2579=Options!$B$9,C2579=Options!$B$10),75%,100%)-IF(C2579=DATE(2026,11,29),26+IF(Options!$B$8="是",23,0),0)-IF(C2579=DATE(2026,11,30),26,0)-IF(C2579=DATE(2026,12,1),64,0)-IF(C2579=DATE(2026,11,28),38,0)-IF(C2579=DATE(2026,12,2),26,0)))</f>
        <v/>
      </c>
      <c r="I2579" s="13">
        <f>IF(AND(C2579&gt;=DATE(2026,11,29),C2579&lt;=DATE(2026,12,1)),B2579*60,0)</f>
        <v/>
      </c>
      <c r="J2579" s="13">
        <f>IF(A2579="",0,B2579*(IF(C2579=DATE(2026,11,28),38,0)+IF(C2579=DATE(2026,12,1),38,0)+IF(C2579=DATE(2026,12,2),26,0)))</f>
        <v/>
      </c>
      <c r="K2579" s="13">
        <f>IF(C2579=Options!$B$9,B2579*12,0)</f>
        <v/>
      </c>
      <c r="L2579" s="13">
        <f>IF(C2579=Options!$B$9,B2579*Options!$Z$8,0)</f>
        <v/>
      </c>
      <c r="M2579" s="13" t="n">
        <v>0</v>
      </c>
      <c r="N2579" s="13">
        <f>SUM(E2579:M2579)</f>
        <v/>
      </c>
    </row>
    <row r="2580">
      <c r="A2580" s="5">
        <f>IF(AND(C2580&gt;=Options!$B$9,C2580&lt;=Options!$B$10),"Boston","")</f>
        <v/>
      </c>
      <c r="B2580" s="5">
        <f>IF(A2580="","",24)</f>
        <v/>
      </c>
      <c r="C2580" s="17" t="n">
        <v>46316</v>
      </c>
      <c r="D2580" s="5">
        <f>IF(A2580="","",IF(C2580=DATE(2026,11,29),"培训；注册午餐；早餐参数",IF(C2580=DATE(2026,11,30),"培训；注册午餐",IF(C2580=DATE(2026,12,1),"培训；注册午餐；机构晚餐",IF(C2580=Options!$B$9,"抵达；"&amp;IF(C2580=DATE(2026,11,28),"机构晚餐","无统一供餐"),IF(C2580=Options!$B$10,"返程；"&amp;IF(C2580=DATE(2026,12,2),"机构午餐","无统一供餐"),"差旅状态；无统一日程"))))))</f>
        <v/>
      </c>
      <c r="E2580" s="13">
        <f>IF(C2580=Options!$B$9,Options!$C$21,0)</f>
        <v/>
      </c>
      <c r="F2580" s="13">
        <f>IF(AND(A2580&lt;&gt;"",C2580&lt;Options!$B$10),B2580*Options!$X$8,0)</f>
        <v/>
      </c>
      <c r="G2580" s="13">
        <f>F2580*12%</f>
        <v/>
      </c>
      <c r="H2580" s="13">
        <f>IF(A2580="",0,B2580*(92*IF(OR(C2580=Options!$B$9,C2580=Options!$B$10),75%,100%)-IF(C2580=DATE(2026,11,29),26+IF(Options!$B$8="是",23,0),0)-IF(C2580=DATE(2026,11,30),26,0)-IF(C2580=DATE(2026,12,1),64,0)-IF(C2580=DATE(2026,11,28),38,0)-IF(C2580=DATE(2026,12,2),26,0)))</f>
        <v/>
      </c>
      <c r="I2580" s="13">
        <f>IF(AND(C2580&gt;=DATE(2026,11,29),C2580&lt;=DATE(2026,12,1)),B2580*60,0)</f>
        <v/>
      </c>
      <c r="J2580" s="13">
        <f>IF(A2580="",0,B2580*(IF(C2580=DATE(2026,11,28),38,0)+IF(C2580=DATE(2026,12,1),38,0)+IF(C2580=DATE(2026,12,2),26,0)))</f>
        <v/>
      </c>
      <c r="K2580" s="13">
        <f>IF(C2580=Options!$B$9,B2580*12,0)</f>
        <v/>
      </c>
      <c r="L2580" s="13">
        <f>IF(C2580=Options!$B$9,B2580*Options!$Z$8,0)</f>
        <v/>
      </c>
      <c r="M2580" s="13" t="n">
        <v>0</v>
      </c>
      <c r="N2580" s="13">
        <f>SUM(E2580:M2580)</f>
        <v/>
      </c>
    </row>
    <row r="2581">
      <c r="A2581" s="5">
        <f>IF(AND(C2581&gt;=Options!$B$9,C2581&lt;=Options!$B$10),"Boston","")</f>
        <v/>
      </c>
      <c r="B2581" s="5">
        <f>IF(A2581="","",24)</f>
        <v/>
      </c>
      <c r="C2581" s="17" t="n">
        <v>46317</v>
      </c>
      <c r="D2581" s="5">
        <f>IF(A2581="","",IF(C2581=DATE(2026,11,29),"培训；注册午餐；早餐参数",IF(C2581=DATE(2026,11,30),"培训；注册午餐",IF(C2581=DATE(2026,12,1),"培训；注册午餐；机构晚餐",IF(C2581=Options!$B$9,"抵达；"&amp;IF(C2581=DATE(2026,11,28),"机构晚餐","无统一供餐"),IF(C2581=Options!$B$10,"返程；"&amp;IF(C2581=DATE(2026,12,2),"机构午餐","无统一供餐"),"差旅状态；无统一日程"))))))</f>
        <v/>
      </c>
      <c r="E2581" s="13">
        <f>IF(C2581=Options!$B$9,Options!$C$21,0)</f>
        <v/>
      </c>
      <c r="F2581" s="13">
        <f>IF(AND(A2581&lt;&gt;"",C2581&lt;Options!$B$10),B2581*Options!$X$8,0)</f>
        <v/>
      </c>
      <c r="G2581" s="13">
        <f>F2581*12%</f>
        <v/>
      </c>
      <c r="H2581" s="13">
        <f>IF(A2581="",0,B2581*(92*IF(OR(C2581=Options!$B$9,C2581=Options!$B$10),75%,100%)-IF(C2581=DATE(2026,11,29),26+IF(Options!$B$8="是",23,0),0)-IF(C2581=DATE(2026,11,30),26,0)-IF(C2581=DATE(2026,12,1),64,0)-IF(C2581=DATE(2026,11,28),38,0)-IF(C2581=DATE(2026,12,2),26,0)))</f>
        <v/>
      </c>
      <c r="I2581" s="13">
        <f>IF(AND(C2581&gt;=DATE(2026,11,29),C2581&lt;=DATE(2026,12,1)),B2581*60,0)</f>
        <v/>
      </c>
      <c r="J2581" s="13">
        <f>IF(A2581="",0,B2581*(IF(C2581=DATE(2026,11,28),38,0)+IF(C2581=DATE(2026,12,1),38,0)+IF(C2581=DATE(2026,12,2),26,0)))</f>
        <v/>
      </c>
      <c r="K2581" s="13">
        <f>IF(C2581=Options!$B$9,B2581*12,0)</f>
        <v/>
      </c>
      <c r="L2581" s="13">
        <f>IF(C2581=Options!$B$9,B2581*Options!$Z$8,0)</f>
        <v/>
      </c>
      <c r="M2581" s="13" t="n">
        <v>0</v>
      </c>
      <c r="N2581" s="13">
        <f>SUM(E2581:M2581)</f>
        <v/>
      </c>
    </row>
    <row r="2582">
      <c r="A2582" s="5">
        <f>IF(AND(C2582&gt;=Options!$B$9,C2582&lt;=Options!$B$10),"Boston","")</f>
        <v/>
      </c>
      <c r="B2582" s="5">
        <f>IF(A2582="","",24)</f>
        <v/>
      </c>
      <c r="C2582" s="17" t="n">
        <v>46318</v>
      </c>
      <c r="D2582" s="5">
        <f>IF(A2582="","",IF(C2582=DATE(2026,11,29),"培训；注册午餐；早餐参数",IF(C2582=DATE(2026,11,30),"培训；注册午餐",IF(C2582=DATE(2026,12,1),"培训；注册午餐；机构晚餐",IF(C2582=Options!$B$9,"抵达；"&amp;IF(C2582=DATE(2026,11,28),"机构晚餐","无统一供餐"),IF(C2582=Options!$B$10,"返程；"&amp;IF(C2582=DATE(2026,12,2),"机构午餐","无统一供餐"),"差旅状态；无统一日程"))))))</f>
        <v/>
      </c>
      <c r="E2582" s="13">
        <f>IF(C2582=Options!$B$9,Options!$C$21,0)</f>
        <v/>
      </c>
      <c r="F2582" s="13">
        <f>IF(AND(A2582&lt;&gt;"",C2582&lt;Options!$B$10),B2582*Options!$X$8,0)</f>
        <v/>
      </c>
      <c r="G2582" s="13">
        <f>F2582*12%</f>
        <v/>
      </c>
      <c r="H2582" s="13">
        <f>IF(A2582="",0,B2582*(92*IF(OR(C2582=Options!$B$9,C2582=Options!$B$10),75%,100%)-IF(C2582=DATE(2026,11,29),26+IF(Options!$B$8="是",23,0),0)-IF(C2582=DATE(2026,11,30),26,0)-IF(C2582=DATE(2026,12,1),64,0)-IF(C2582=DATE(2026,11,28),38,0)-IF(C2582=DATE(2026,12,2),26,0)))</f>
        <v/>
      </c>
      <c r="I2582" s="13">
        <f>IF(AND(C2582&gt;=DATE(2026,11,29),C2582&lt;=DATE(2026,12,1)),B2582*60,0)</f>
        <v/>
      </c>
      <c r="J2582" s="13">
        <f>IF(A2582="",0,B2582*(IF(C2582=DATE(2026,11,28),38,0)+IF(C2582=DATE(2026,12,1),38,0)+IF(C2582=DATE(2026,12,2),26,0)))</f>
        <v/>
      </c>
      <c r="K2582" s="13">
        <f>IF(C2582=Options!$B$9,B2582*12,0)</f>
        <v/>
      </c>
      <c r="L2582" s="13">
        <f>IF(C2582=Options!$B$9,B2582*Options!$Z$8,0)</f>
        <v/>
      </c>
      <c r="M2582" s="13" t="n">
        <v>0</v>
      </c>
      <c r="N2582" s="13">
        <f>SUM(E2582:M2582)</f>
        <v/>
      </c>
    </row>
    <row r="2583">
      <c r="A2583" s="5">
        <f>IF(AND(C2583&gt;=Options!$B$9,C2583&lt;=Options!$B$10),"Boston","")</f>
        <v/>
      </c>
      <c r="B2583" s="5">
        <f>IF(A2583="","",24)</f>
        <v/>
      </c>
      <c r="C2583" s="17" t="n">
        <v>46319</v>
      </c>
      <c r="D2583" s="5">
        <f>IF(A2583="","",IF(C2583=DATE(2026,11,29),"培训；注册午餐；早餐参数",IF(C2583=DATE(2026,11,30),"培训；注册午餐",IF(C2583=DATE(2026,12,1),"培训；注册午餐；机构晚餐",IF(C2583=Options!$B$9,"抵达；"&amp;IF(C2583=DATE(2026,11,28),"机构晚餐","无统一供餐"),IF(C2583=Options!$B$10,"返程；"&amp;IF(C2583=DATE(2026,12,2),"机构午餐","无统一供餐"),"差旅状态；无统一日程"))))))</f>
        <v/>
      </c>
      <c r="E2583" s="13">
        <f>IF(C2583=Options!$B$9,Options!$C$21,0)</f>
        <v/>
      </c>
      <c r="F2583" s="13">
        <f>IF(AND(A2583&lt;&gt;"",C2583&lt;Options!$B$10),B2583*Options!$X$8,0)</f>
        <v/>
      </c>
      <c r="G2583" s="13">
        <f>F2583*12%</f>
        <v/>
      </c>
      <c r="H2583" s="13">
        <f>IF(A2583="",0,B2583*(92*IF(OR(C2583=Options!$B$9,C2583=Options!$B$10),75%,100%)-IF(C2583=DATE(2026,11,29),26+IF(Options!$B$8="是",23,0),0)-IF(C2583=DATE(2026,11,30),26,0)-IF(C2583=DATE(2026,12,1),64,0)-IF(C2583=DATE(2026,11,28),38,0)-IF(C2583=DATE(2026,12,2),26,0)))</f>
        <v/>
      </c>
      <c r="I2583" s="13">
        <f>IF(AND(C2583&gt;=DATE(2026,11,29),C2583&lt;=DATE(2026,12,1)),B2583*60,0)</f>
        <v/>
      </c>
      <c r="J2583" s="13">
        <f>IF(A2583="",0,B2583*(IF(C2583=DATE(2026,11,28),38,0)+IF(C2583=DATE(2026,12,1),38,0)+IF(C2583=DATE(2026,12,2),26,0)))</f>
        <v/>
      </c>
      <c r="K2583" s="13">
        <f>IF(C2583=Options!$B$9,B2583*12,0)</f>
        <v/>
      </c>
      <c r="L2583" s="13">
        <f>IF(C2583=Options!$B$9,B2583*Options!$Z$8,0)</f>
        <v/>
      </c>
      <c r="M2583" s="13" t="n">
        <v>0</v>
      </c>
      <c r="N2583" s="13">
        <f>SUM(E2583:M2583)</f>
        <v/>
      </c>
    </row>
    <row r="2584">
      <c r="A2584" s="5">
        <f>IF(AND(C2584&gt;=Options!$B$9,C2584&lt;=Options!$B$10),"Boston","")</f>
        <v/>
      </c>
      <c r="B2584" s="5">
        <f>IF(A2584="","",24)</f>
        <v/>
      </c>
      <c r="C2584" s="17" t="n">
        <v>46320</v>
      </c>
      <c r="D2584" s="5">
        <f>IF(A2584="","",IF(C2584=DATE(2026,11,29),"培训；注册午餐；早餐参数",IF(C2584=DATE(2026,11,30),"培训；注册午餐",IF(C2584=DATE(2026,12,1),"培训；注册午餐；机构晚餐",IF(C2584=Options!$B$9,"抵达；"&amp;IF(C2584=DATE(2026,11,28),"机构晚餐","无统一供餐"),IF(C2584=Options!$B$10,"返程；"&amp;IF(C2584=DATE(2026,12,2),"机构午餐","无统一供餐"),"差旅状态；无统一日程"))))))</f>
        <v/>
      </c>
      <c r="E2584" s="13">
        <f>IF(C2584=Options!$B$9,Options!$C$21,0)</f>
        <v/>
      </c>
      <c r="F2584" s="13">
        <f>IF(AND(A2584&lt;&gt;"",C2584&lt;Options!$B$10),B2584*Options!$X$8,0)</f>
        <v/>
      </c>
      <c r="G2584" s="13">
        <f>F2584*12%</f>
        <v/>
      </c>
      <c r="H2584" s="13">
        <f>IF(A2584="",0,B2584*(92*IF(OR(C2584=Options!$B$9,C2584=Options!$B$10),75%,100%)-IF(C2584=DATE(2026,11,29),26+IF(Options!$B$8="是",23,0),0)-IF(C2584=DATE(2026,11,30),26,0)-IF(C2584=DATE(2026,12,1),64,0)-IF(C2584=DATE(2026,11,28),38,0)-IF(C2584=DATE(2026,12,2),26,0)))</f>
        <v/>
      </c>
      <c r="I2584" s="13">
        <f>IF(AND(C2584&gt;=DATE(2026,11,29),C2584&lt;=DATE(2026,12,1)),B2584*60,0)</f>
        <v/>
      </c>
      <c r="J2584" s="13">
        <f>IF(A2584="",0,B2584*(IF(C2584=DATE(2026,11,28),38,0)+IF(C2584=DATE(2026,12,1),38,0)+IF(C2584=DATE(2026,12,2),26,0)))</f>
        <v/>
      </c>
      <c r="K2584" s="13">
        <f>IF(C2584=Options!$B$9,B2584*12,0)</f>
        <v/>
      </c>
      <c r="L2584" s="13">
        <f>IF(C2584=Options!$B$9,B2584*Options!$Z$8,0)</f>
        <v/>
      </c>
      <c r="M2584" s="13" t="n">
        <v>0</v>
      </c>
      <c r="N2584" s="13">
        <f>SUM(E2584:M2584)</f>
        <v/>
      </c>
    </row>
    <row r="2585">
      <c r="A2585" s="5">
        <f>IF(AND(C2585&gt;=Options!$B$9,C2585&lt;=Options!$B$10),"Boston","")</f>
        <v/>
      </c>
      <c r="B2585" s="5">
        <f>IF(A2585="","",24)</f>
        <v/>
      </c>
      <c r="C2585" s="17" t="n">
        <v>46321</v>
      </c>
      <c r="D2585" s="5">
        <f>IF(A2585="","",IF(C2585=DATE(2026,11,29),"培训；注册午餐；早餐参数",IF(C2585=DATE(2026,11,30),"培训；注册午餐",IF(C2585=DATE(2026,12,1),"培训；注册午餐；机构晚餐",IF(C2585=Options!$B$9,"抵达；"&amp;IF(C2585=DATE(2026,11,28),"机构晚餐","无统一供餐"),IF(C2585=Options!$B$10,"返程；"&amp;IF(C2585=DATE(2026,12,2),"机构午餐","无统一供餐"),"差旅状态；无统一日程"))))))</f>
        <v/>
      </c>
      <c r="E2585" s="13">
        <f>IF(C2585=Options!$B$9,Options!$C$21,0)</f>
        <v/>
      </c>
      <c r="F2585" s="13">
        <f>IF(AND(A2585&lt;&gt;"",C2585&lt;Options!$B$10),B2585*Options!$X$8,0)</f>
        <v/>
      </c>
      <c r="G2585" s="13">
        <f>F2585*12%</f>
        <v/>
      </c>
      <c r="H2585" s="13">
        <f>IF(A2585="",0,B2585*(92*IF(OR(C2585=Options!$B$9,C2585=Options!$B$10),75%,100%)-IF(C2585=DATE(2026,11,29),26+IF(Options!$B$8="是",23,0),0)-IF(C2585=DATE(2026,11,30),26,0)-IF(C2585=DATE(2026,12,1),64,0)-IF(C2585=DATE(2026,11,28),38,0)-IF(C2585=DATE(2026,12,2),26,0)))</f>
        <v/>
      </c>
      <c r="I2585" s="13">
        <f>IF(AND(C2585&gt;=DATE(2026,11,29),C2585&lt;=DATE(2026,12,1)),B2585*60,0)</f>
        <v/>
      </c>
      <c r="J2585" s="13">
        <f>IF(A2585="",0,B2585*(IF(C2585=DATE(2026,11,28),38,0)+IF(C2585=DATE(2026,12,1),38,0)+IF(C2585=DATE(2026,12,2),26,0)))</f>
        <v/>
      </c>
      <c r="K2585" s="13">
        <f>IF(C2585=Options!$B$9,B2585*12,0)</f>
        <v/>
      </c>
      <c r="L2585" s="13">
        <f>IF(C2585=Options!$B$9,B2585*Options!$Z$8,0)</f>
        <v/>
      </c>
      <c r="M2585" s="13" t="n">
        <v>0</v>
      </c>
      <c r="N2585" s="13">
        <f>SUM(E2585:M2585)</f>
        <v/>
      </c>
    </row>
    <row r="2586">
      <c r="A2586" s="5">
        <f>IF(AND(C2586&gt;=Options!$B$9,C2586&lt;=Options!$B$10),"Boston","")</f>
        <v/>
      </c>
      <c r="B2586" s="5">
        <f>IF(A2586="","",24)</f>
        <v/>
      </c>
      <c r="C2586" s="17" t="n">
        <v>46322</v>
      </c>
      <c r="D2586" s="5">
        <f>IF(A2586="","",IF(C2586=DATE(2026,11,29),"培训；注册午餐；早餐参数",IF(C2586=DATE(2026,11,30),"培训；注册午餐",IF(C2586=DATE(2026,12,1),"培训；注册午餐；机构晚餐",IF(C2586=Options!$B$9,"抵达；"&amp;IF(C2586=DATE(2026,11,28),"机构晚餐","无统一供餐"),IF(C2586=Options!$B$10,"返程；"&amp;IF(C2586=DATE(2026,12,2),"机构午餐","无统一供餐"),"差旅状态；无统一日程"))))))</f>
        <v/>
      </c>
      <c r="E2586" s="13">
        <f>IF(C2586=Options!$B$9,Options!$C$21,0)</f>
        <v/>
      </c>
      <c r="F2586" s="13">
        <f>IF(AND(A2586&lt;&gt;"",C2586&lt;Options!$B$10),B2586*Options!$X$8,0)</f>
        <v/>
      </c>
      <c r="G2586" s="13">
        <f>F2586*12%</f>
        <v/>
      </c>
      <c r="H2586" s="13">
        <f>IF(A2586="",0,B2586*(92*IF(OR(C2586=Options!$B$9,C2586=Options!$B$10),75%,100%)-IF(C2586=DATE(2026,11,29),26+IF(Options!$B$8="是",23,0),0)-IF(C2586=DATE(2026,11,30),26,0)-IF(C2586=DATE(2026,12,1),64,0)-IF(C2586=DATE(2026,11,28),38,0)-IF(C2586=DATE(2026,12,2),26,0)))</f>
        <v/>
      </c>
      <c r="I2586" s="13">
        <f>IF(AND(C2586&gt;=DATE(2026,11,29),C2586&lt;=DATE(2026,12,1)),B2586*60,0)</f>
        <v/>
      </c>
      <c r="J2586" s="13">
        <f>IF(A2586="",0,B2586*(IF(C2586=DATE(2026,11,28),38,0)+IF(C2586=DATE(2026,12,1),38,0)+IF(C2586=DATE(2026,12,2),26,0)))</f>
        <v/>
      </c>
      <c r="K2586" s="13">
        <f>IF(C2586=Options!$B$9,B2586*12,0)</f>
        <v/>
      </c>
      <c r="L2586" s="13">
        <f>IF(C2586=Options!$B$9,B2586*Options!$Z$8,0)</f>
        <v/>
      </c>
      <c r="M2586" s="13" t="n">
        <v>0</v>
      </c>
      <c r="N2586" s="13">
        <f>SUM(E2586:M2586)</f>
        <v/>
      </c>
    </row>
    <row r="2587">
      <c r="A2587" s="5">
        <f>IF(AND(C2587&gt;=Options!$B$9,C2587&lt;=Options!$B$10),"Boston","")</f>
        <v/>
      </c>
      <c r="B2587" s="5">
        <f>IF(A2587="","",24)</f>
        <v/>
      </c>
      <c r="C2587" s="17" t="n">
        <v>46323</v>
      </c>
      <c r="D2587" s="5">
        <f>IF(A2587="","",IF(C2587=DATE(2026,11,29),"培训；注册午餐；早餐参数",IF(C2587=DATE(2026,11,30),"培训；注册午餐",IF(C2587=DATE(2026,12,1),"培训；注册午餐；机构晚餐",IF(C2587=Options!$B$9,"抵达；"&amp;IF(C2587=DATE(2026,11,28),"机构晚餐","无统一供餐"),IF(C2587=Options!$B$10,"返程；"&amp;IF(C2587=DATE(2026,12,2),"机构午餐","无统一供餐"),"差旅状态；无统一日程"))))))</f>
        <v/>
      </c>
      <c r="E2587" s="13">
        <f>IF(C2587=Options!$B$9,Options!$C$21,0)</f>
        <v/>
      </c>
      <c r="F2587" s="13">
        <f>IF(AND(A2587&lt;&gt;"",C2587&lt;Options!$B$10),B2587*Options!$X$8,0)</f>
        <v/>
      </c>
      <c r="G2587" s="13">
        <f>F2587*12%</f>
        <v/>
      </c>
      <c r="H2587" s="13">
        <f>IF(A2587="",0,B2587*(92*IF(OR(C2587=Options!$B$9,C2587=Options!$B$10),75%,100%)-IF(C2587=DATE(2026,11,29),26+IF(Options!$B$8="是",23,0),0)-IF(C2587=DATE(2026,11,30),26,0)-IF(C2587=DATE(2026,12,1),64,0)-IF(C2587=DATE(2026,11,28),38,0)-IF(C2587=DATE(2026,12,2),26,0)))</f>
        <v/>
      </c>
      <c r="I2587" s="13">
        <f>IF(AND(C2587&gt;=DATE(2026,11,29),C2587&lt;=DATE(2026,12,1)),B2587*60,0)</f>
        <v/>
      </c>
      <c r="J2587" s="13">
        <f>IF(A2587="",0,B2587*(IF(C2587=DATE(2026,11,28),38,0)+IF(C2587=DATE(2026,12,1),38,0)+IF(C2587=DATE(2026,12,2),26,0)))</f>
        <v/>
      </c>
      <c r="K2587" s="13">
        <f>IF(C2587=Options!$B$9,B2587*12,0)</f>
        <v/>
      </c>
      <c r="L2587" s="13">
        <f>IF(C2587=Options!$B$9,B2587*Options!$Z$8,0)</f>
        <v/>
      </c>
      <c r="M2587" s="13" t="n">
        <v>0</v>
      </c>
      <c r="N2587" s="13">
        <f>SUM(E2587:M2587)</f>
        <v/>
      </c>
    </row>
    <row r="2588">
      <c r="A2588" s="5">
        <f>IF(AND(C2588&gt;=Options!$B$9,C2588&lt;=Options!$B$10),"Boston","")</f>
        <v/>
      </c>
      <c r="B2588" s="5">
        <f>IF(A2588="","",24)</f>
        <v/>
      </c>
      <c r="C2588" s="17" t="n">
        <v>46324</v>
      </c>
      <c r="D2588" s="5">
        <f>IF(A2588="","",IF(C2588=DATE(2026,11,29),"培训；注册午餐；早餐参数",IF(C2588=DATE(2026,11,30),"培训；注册午餐",IF(C2588=DATE(2026,12,1),"培训；注册午餐；机构晚餐",IF(C2588=Options!$B$9,"抵达；"&amp;IF(C2588=DATE(2026,11,28),"机构晚餐","无统一供餐"),IF(C2588=Options!$B$10,"返程；"&amp;IF(C2588=DATE(2026,12,2),"机构午餐","无统一供餐"),"差旅状态；无统一日程"))))))</f>
        <v/>
      </c>
      <c r="E2588" s="13">
        <f>IF(C2588=Options!$B$9,Options!$C$21,0)</f>
        <v/>
      </c>
      <c r="F2588" s="13">
        <f>IF(AND(A2588&lt;&gt;"",C2588&lt;Options!$B$10),B2588*Options!$X$8,0)</f>
        <v/>
      </c>
      <c r="G2588" s="13">
        <f>F2588*12%</f>
        <v/>
      </c>
      <c r="H2588" s="13">
        <f>IF(A2588="",0,B2588*(92*IF(OR(C2588=Options!$B$9,C2588=Options!$B$10),75%,100%)-IF(C2588=DATE(2026,11,29),26+IF(Options!$B$8="是",23,0),0)-IF(C2588=DATE(2026,11,30),26,0)-IF(C2588=DATE(2026,12,1),64,0)-IF(C2588=DATE(2026,11,28),38,0)-IF(C2588=DATE(2026,12,2),26,0)))</f>
        <v/>
      </c>
      <c r="I2588" s="13">
        <f>IF(AND(C2588&gt;=DATE(2026,11,29),C2588&lt;=DATE(2026,12,1)),B2588*60,0)</f>
        <v/>
      </c>
      <c r="J2588" s="13">
        <f>IF(A2588="",0,B2588*(IF(C2588=DATE(2026,11,28),38,0)+IF(C2588=DATE(2026,12,1),38,0)+IF(C2588=DATE(2026,12,2),26,0)))</f>
        <v/>
      </c>
      <c r="K2588" s="13">
        <f>IF(C2588=Options!$B$9,B2588*12,0)</f>
        <v/>
      </c>
      <c r="L2588" s="13">
        <f>IF(C2588=Options!$B$9,B2588*Options!$Z$8,0)</f>
        <v/>
      </c>
      <c r="M2588" s="13" t="n">
        <v>0</v>
      </c>
      <c r="N2588" s="13">
        <f>SUM(E2588:M2588)</f>
        <v/>
      </c>
    </row>
    <row r="2589">
      <c r="A2589" s="5">
        <f>IF(AND(C2589&gt;=Options!$B$9,C2589&lt;=Options!$B$10),"Boston","")</f>
        <v/>
      </c>
      <c r="B2589" s="5">
        <f>IF(A2589="","",24)</f>
        <v/>
      </c>
      <c r="C2589" s="17" t="n">
        <v>46325</v>
      </c>
      <c r="D2589" s="5">
        <f>IF(A2589="","",IF(C2589=DATE(2026,11,29),"培训；注册午餐；早餐参数",IF(C2589=DATE(2026,11,30),"培训；注册午餐",IF(C2589=DATE(2026,12,1),"培训；注册午餐；机构晚餐",IF(C2589=Options!$B$9,"抵达；"&amp;IF(C2589=DATE(2026,11,28),"机构晚餐","无统一供餐"),IF(C2589=Options!$B$10,"返程；"&amp;IF(C2589=DATE(2026,12,2),"机构午餐","无统一供餐"),"差旅状态；无统一日程"))))))</f>
        <v/>
      </c>
      <c r="E2589" s="13">
        <f>IF(C2589=Options!$B$9,Options!$C$21,0)</f>
        <v/>
      </c>
      <c r="F2589" s="13">
        <f>IF(AND(A2589&lt;&gt;"",C2589&lt;Options!$B$10),B2589*Options!$X$8,0)</f>
        <v/>
      </c>
      <c r="G2589" s="13">
        <f>F2589*12%</f>
        <v/>
      </c>
      <c r="H2589" s="13">
        <f>IF(A2589="",0,B2589*(92*IF(OR(C2589=Options!$B$9,C2589=Options!$B$10),75%,100%)-IF(C2589=DATE(2026,11,29),26+IF(Options!$B$8="是",23,0),0)-IF(C2589=DATE(2026,11,30),26,0)-IF(C2589=DATE(2026,12,1),64,0)-IF(C2589=DATE(2026,11,28),38,0)-IF(C2589=DATE(2026,12,2),26,0)))</f>
        <v/>
      </c>
      <c r="I2589" s="13">
        <f>IF(AND(C2589&gt;=DATE(2026,11,29),C2589&lt;=DATE(2026,12,1)),B2589*60,0)</f>
        <v/>
      </c>
      <c r="J2589" s="13">
        <f>IF(A2589="",0,B2589*(IF(C2589=DATE(2026,11,28),38,0)+IF(C2589=DATE(2026,12,1),38,0)+IF(C2589=DATE(2026,12,2),26,0)))</f>
        <v/>
      </c>
      <c r="K2589" s="13">
        <f>IF(C2589=Options!$B$9,B2589*12,0)</f>
        <v/>
      </c>
      <c r="L2589" s="13">
        <f>IF(C2589=Options!$B$9,B2589*Options!$Z$8,0)</f>
        <v/>
      </c>
      <c r="M2589" s="13" t="n">
        <v>0</v>
      </c>
      <c r="N2589" s="13">
        <f>SUM(E2589:M2589)</f>
        <v/>
      </c>
    </row>
    <row r="2590">
      <c r="A2590" s="5">
        <f>IF(AND(C2590&gt;=Options!$B$9,C2590&lt;=Options!$B$10),"Boston","")</f>
        <v/>
      </c>
      <c r="B2590" s="5">
        <f>IF(A2590="","",24)</f>
        <v/>
      </c>
      <c r="C2590" s="17" t="n">
        <v>46326</v>
      </c>
      <c r="D2590" s="5">
        <f>IF(A2590="","",IF(C2590=DATE(2026,11,29),"培训；注册午餐；早餐参数",IF(C2590=DATE(2026,11,30),"培训；注册午餐",IF(C2590=DATE(2026,12,1),"培训；注册午餐；机构晚餐",IF(C2590=Options!$B$9,"抵达；"&amp;IF(C2590=DATE(2026,11,28),"机构晚餐","无统一供餐"),IF(C2590=Options!$B$10,"返程；"&amp;IF(C2590=DATE(2026,12,2),"机构午餐","无统一供餐"),"差旅状态；无统一日程"))))))</f>
        <v/>
      </c>
      <c r="E2590" s="13">
        <f>IF(C2590=Options!$B$9,Options!$C$21,0)</f>
        <v/>
      </c>
      <c r="F2590" s="13">
        <f>IF(AND(A2590&lt;&gt;"",C2590&lt;Options!$B$10),B2590*Options!$X$8,0)</f>
        <v/>
      </c>
      <c r="G2590" s="13">
        <f>F2590*12%</f>
        <v/>
      </c>
      <c r="H2590" s="13">
        <f>IF(A2590="",0,B2590*(92*IF(OR(C2590=Options!$B$9,C2590=Options!$B$10),75%,100%)-IF(C2590=DATE(2026,11,29),26+IF(Options!$B$8="是",23,0),0)-IF(C2590=DATE(2026,11,30),26,0)-IF(C2590=DATE(2026,12,1),64,0)-IF(C2590=DATE(2026,11,28),38,0)-IF(C2590=DATE(2026,12,2),26,0)))</f>
        <v/>
      </c>
      <c r="I2590" s="13">
        <f>IF(AND(C2590&gt;=DATE(2026,11,29),C2590&lt;=DATE(2026,12,1)),B2590*60,0)</f>
        <v/>
      </c>
      <c r="J2590" s="13">
        <f>IF(A2590="",0,B2590*(IF(C2590=DATE(2026,11,28),38,0)+IF(C2590=DATE(2026,12,1),38,0)+IF(C2590=DATE(2026,12,2),26,0)))</f>
        <v/>
      </c>
      <c r="K2590" s="13">
        <f>IF(C2590=Options!$B$9,B2590*12,0)</f>
        <v/>
      </c>
      <c r="L2590" s="13">
        <f>IF(C2590=Options!$B$9,B2590*Options!$Z$8,0)</f>
        <v/>
      </c>
      <c r="M2590" s="13" t="n">
        <v>0</v>
      </c>
      <c r="N2590" s="13">
        <f>SUM(E2590:M2590)</f>
        <v/>
      </c>
    </row>
    <row r="2591">
      <c r="A2591" s="5">
        <f>IF(AND(C2591&gt;=Options!$B$9,C2591&lt;=Options!$B$10),"Boston","")</f>
        <v/>
      </c>
      <c r="B2591" s="5">
        <f>IF(A2591="","",24)</f>
        <v/>
      </c>
      <c r="C2591" s="17" t="n">
        <v>46327</v>
      </c>
      <c r="D2591" s="5">
        <f>IF(A2591="","",IF(C2591=DATE(2026,11,29),"培训；注册午餐；早餐参数",IF(C2591=DATE(2026,11,30),"培训；注册午餐",IF(C2591=DATE(2026,12,1),"培训；注册午餐；机构晚餐",IF(C2591=Options!$B$9,"抵达；"&amp;IF(C2591=DATE(2026,11,28),"机构晚餐","无统一供餐"),IF(C2591=Options!$B$10,"返程；"&amp;IF(C2591=DATE(2026,12,2),"机构午餐","无统一供餐"),"差旅状态；无统一日程"))))))</f>
        <v/>
      </c>
      <c r="E2591" s="13">
        <f>IF(C2591=Options!$B$9,Options!$C$21,0)</f>
        <v/>
      </c>
      <c r="F2591" s="13">
        <f>IF(AND(A2591&lt;&gt;"",C2591&lt;Options!$B$10),B2591*Options!$X$8,0)</f>
        <v/>
      </c>
      <c r="G2591" s="13">
        <f>F2591*12%</f>
        <v/>
      </c>
      <c r="H2591" s="13">
        <f>IF(A2591="",0,B2591*(92*IF(OR(C2591=Options!$B$9,C2591=Options!$B$10),75%,100%)-IF(C2591=DATE(2026,11,29),26+IF(Options!$B$8="是",23,0),0)-IF(C2591=DATE(2026,11,30),26,0)-IF(C2591=DATE(2026,12,1),64,0)-IF(C2591=DATE(2026,11,28),38,0)-IF(C2591=DATE(2026,12,2),26,0)))</f>
        <v/>
      </c>
      <c r="I2591" s="13">
        <f>IF(AND(C2591&gt;=DATE(2026,11,29),C2591&lt;=DATE(2026,12,1)),B2591*60,0)</f>
        <v/>
      </c>
      <c r="J2591" s="13">
        <f>IF(A2591="",0,B2591*(IF(C2591=DATE(2026,11,28),38,0)+IF(C2591=DATE(2026,12,1),38,0)+IF(C2591=DATE(2026,12,2),26,0)))</f>
        <v/>
      </c>
      <c r="K2591" s="13">
        <f>IF(C2591=Options!$B$9,B2591*12,0)</f>
        <v/>
      </c>
      <c r="L2591" s="13">
        <f>IF(C2591=Options!$B$9,B2591*Options!$Z$8,0)</f>
        <v/>
      </c>
      <c r="M2591" s="13" t="n">
        <v>0</v>
      </c>
      <c r="N2591" s="13">
        <f>SUM(E2591:M2591)</f>
        <v/>
      </c>
    </row>
    <row r="2592">
      <c r="A2592" s="5">
        <f>IF(AND(C2592&gt;=Options!$B$9,C2592&lt;=Options!$B$10),"Boston","")</f>
        <v/>
      </c>
      <c r="B2592" s="5">
        <f>IF(A2592="","",24)</f>
        <v/>
      </c>
      <c r="C2592" s="17" t="n">
        <v>46328</v>
      </c>
      <c r="D2592" s="5">
        <f>IF(A2592="","",IF(C2592=DATE(2026,11,29),"培训；注册午餐；早餐参数",IF(C2592=DATE(2026,11,30),"培训；注册午餐",IF(C2592=DATE(2026,12,1),"培训；注册午餐；机构晚餐",IF(C2592=Options!$B$9,"抵达；"&amp;IF(C2592=DATE(2026,11,28),"机构晚餐","无统一供餐"),IF(C2592=Options!$B$10,"返程；"&amp;IF(C2592=DATE(2026,12,2),"机构午餐","无统一供餐"),"差旅状态；无统一日程"))))))</f>
        <v/>
      </c>
      <c r="E2592" s="13">
        <f>IF(C2592=Options!$B$9,Options!$C$21,0)</f>
        <v/>
      </c>
      <c r="F2592" s="13">
        <f>IF(AND(A2592&lt;&gt;"",C2592&lt;Options!$B$10),B2592*Options!$X$8,0)</f>
        <v/>
      </c>
      <c r="G2592" s="13">
        <f>F2592*12%</f>
        <v/>
      </c>
      <c r="H2592" s="13">
        <f>IF(A2592="",0,B2592*(92*IF(OR(C2592=Options!$B$9,C2592=Options!$B$10),75%,100%)-IF(C2592=DATE(2026,11,29),26+IF(Options!$B$8="是",23,0),0)-IF(C2592=DATE(2026,11,30),26,0)-IF(C2592=DATE(2026,12,1),64,0)-IF(C2592=DATE(2026,11,28),38,0)-IF(C2592=DATE(2026,12,2),26,0)))</f>
        <v/>
      </c>
      <c r="I2592" s="13">
        <f>IF(AND(C2592&gt;=DATE(2026,11,29),C2592&lt;=DATE(2026,12,1)),B2592*60,0)</f>
        <v/>
      </c>
      <c r="J2592" s="13">
        <f>IF(A2592="",0,B2592*(IF(C2592=DATE(2026,11,28),38,0)+IF(C2592=DATE(2026,12,1),38,0)+IF(C2592=DATE(2026,12,2),26,0)))</f>
        <v/>
      </c>
      <c r="K2592" s="13">
        <f>IF(C2592=Options!$B$9,B2592*12,0)</f>
        <v/>
      </c>
      <c r="L2592" s="13">
        <f>IF(C2592=Options!$B$9,B2592*Options!$Z$8,0)</f>
        <v/>
      </c>
      <c r="M2592" s="13" t="n">
        <v>0</v>
      </c>
      <c r="N2592" s="13">
        <f>SUM(E2592:M2592)</f>
        <v/>
      </c>
    </row>
    <row r="2593">
      <c r="A2593" s="5">
        <f>IF(AND(C2593&gt;=Options!$B$9,C2593&lt;=Options!$B$10),"Boston","")</f>
        <v/>
      </c>
      <c r="B2593" s="5">
        <f>IF(A2593="","",24)</f>
        <v/>
      </c>
      <c r="C2593" s="17" t="n">
        <v>46329</v>
      </c>
      <c r="D2593" s="5">
        <f>IF(A2593="","",IF(C2593=DATE(2026,11,29),"培训；注册午餐；早餐参数",IF(C2593=DATE(2026,11,30),"培训；注册午餐",IF(C2593=DATE(2026,12,1),"培训；注册午餐；机构晚餐",IF(C2593=Options!$B$9,"抵达；"&amp;IF(C2593=DATE(2026,11,28),"机构晚餐","无统一供餐"),IF(C2593=Options!$B$10,"返程；"&amp;IF(C2593=DATE(2026,12,2),"机构午餐","无统一供餐"),"差旅状态；无统一日程"))))))</f>
        <v/>
      </c>
      <c r="E2593" s="13">
        <f>IF(C2593=Options!$B$9,Options!$C$21,0)</f>
        <v/>
      </c>
      <c r="F2593" s="13">
        <f>IF(AND(A2593&lt;&gt;"",C2593&lt;Options!$B$10),B2593*Options!$X$8,0)</f>
        <v/>
      </c>
      <c r="G2593" s="13">
        <f>F2593*12%</f>
        <v/>
      </c>
      <c r="H2593" s="13">
        <f>IF(A2593="",0,B2593*(92*IF(OR(C2593=Options!$B$9,C2593=Options!$B$10),75%,100%)-IF(C2593=DATE(2026,11,29),26+IF(Options!$B$8="是",23,0),0)-IF(C2593=DATE(2026,11,30),26,0)-IF(C2593=DATE(2026,12,1),64,0)-IF(C2593=DATE(2026,11,28),38,0)-IF(C2593=DATE(2026,12,2),26,0)))</f>
        <v/>
      </c>
      <c r="I2593" s="13">
        <f>IF(AND(C2593&gt;=DATE(2026,11,29),C2593&lt;=DATE(2026,12,1)),B2593*60,0)</f>
        <v/>
      </c>
      <c r="J2593" s="13">
        <f>IF(A2593="",0,B2593*(IF(C2593=DATE(2026,11,28),38,0)+IF(C2593=DATE(2026,12,1),38,0)+IF(C2593=DATE(2026,12,2),26,0)))</f>
        <v/>
      </c>
      <c r="K2593" s="13">
        <f>IF(C2593=Options!$B$9,B2593*12,0)</f>
        <v/>
      </c>
      <c r="L2593" s="13">
        <f>IF(C2593=Options!$B$9,B2593*Options!$Z$8,0)</f>
        <v/>
      </c>
      <c r="M2593" s="13" t="n">
        <v>0</v>
      </c>
      <c r="N2593" s="13">
        <f>SUM(E2593:M2593)</f>
        <v/>
      </c>
    </row>
    <row r="2594">
      <c r="A2594" s="5">
        <f>IF(AND(C2594&gt;=Options!$B$9,C2594&lt;=Options!$B$10),"Boston","")</f>
        <v/>
      </c>
      <c r="B2594" s="5">
        <f>IF(A2594="","",24)</f>
        <v/>
      </c>
      <c r="C2594" s="17" t="n">
        <v>46330</v>
      </c>
      <c r="D2594" s="5">
        <f>IF(A2594="","",IF(C2594=DATE(2026,11,29),"培训；注册午餐；早餐参数",IF(C2594=DATE(2026,11,30),"培训；注册午餐",IF(C2594=DATE(2026,12,1),"培训；注册午餐；机构晚餐",IF(C2594=Options!$B$9,"抵达；"&amp;IF(C2594=DATE(2026,11,28),"机构晚餐","无统一供餐"),IF(C2594=Options!$B$10,"返程；"&amp;IF(C2594=DATE(2026,12,2),"机构午餐","无统一供餐"),"差旅状态；无统一日程"))))))</f>
        <v/>
      </c>
      <c r="E2594" s="13">
        <f>IF(C2594=Options!$B$9,Options!$C$21,0)</f>
        <v/>
      </c>
      <c r="F2594" s="13">
        <f>IF(AND(A2594&lt;&gt;"",C2594&lt;Options!$B$10),B2594*Options!$X$8,0)</f>
        <v/>
      </c>
      <c r="G2594" s="13">
        <f>F2594*12%</f>
        <v/>
      </c>
      <c r="H2594" s="13">
        <f>IF(A2594="",0,B2594*(92*IF(OR(C2594=Options!$B$9,C2594=Options!$B$10),75%,100%)-IF(C2594=DATE(2026,11,29),26+IF(Options!$B$8="是",23,0),0)-IF(C2594=DATE(2026,11,30),26,0)-IF(C2594=DATE(2026,12,1),64,0)-IF(C2594=DATE(2026,11,28),38,0)-IF(C2594=DATE(2026,12,2),26,0)))</f>
        <v/>
      </c>
      <c r="I2594" s="13">
        <f>IF(AND(C2594&gt;=DATE(2026,11,29),C2594&lt;=DATE(2026,12,1)),B2594*60,0)</f>
        <v/>
      </c>
      <c r="J2594" s="13">
        <f>IF(A2594="",0,B2594*(IF(C2594=DATE(2026,11,28),38,0)+IF(C2594=DATE(2026,12,1),38,0)+IF(C2594=DATE(2026,12,2),26,0)))</f>
        <v/>
      </c>
      <c r="K2594" s="13">
        <f>IF(C2594=Options!$B$9,B2594*12,0)</f>
        <v/>
      </c>
      <c r="L2594" s="13">
        <f>IF(C2594=Options!$B$9,B2594*Options!$Z$8,0)</f>
        <v/>
      </c>
      <c r="M2594" s="13" t="n">
        <v>0</v>
      </c>
      <c r="N2594" s="13">
        <f>SUM(E2594:M2594)</f>
        <v/>
      </c>
    </row>
    <row r="2595">
      <c r="A2595" s="5">
        <f>IF(AND(C2595&gt;=Options!$B$9,C2595&lt;=Options!$B$10),"Boston","")</f>
        <v/>
      </c>
      <c r="B2595" s="5">
        <f>IF(A2595="","",24)</f>
        <v/>
      </c>
      <c r="C2595" s="17" t="n">
        <v>46331</v>
      </c>
      <c r="D2595" s="5">
        <f>IF(A2595="","",IF(C2595=DATE(2026,11,29),"培训；注册午餐；早餐参数",IF(C2595=DATE(2026,11,30),"培训；注册午餐",IF(C2595=DATE(2026,12,1),"培训；注册午餐；机构晚餐",IF(C2595=Options!$B$9,"抵达；"&amp;IF(C2595=DATE(2026,11,28),"机构晚餐","无统一供餐"),IF(C2595=Options!$B$10,"返程；"&amp;IF(C2595=DATE(2026,12,2),"机构午餐","无统一供餐"),"差旅状态；无统一日程"))))))</f>
        <v/>
      </c>
      <c r="E2595" s="13">
        <f>IF(C2595=Options!$B$9,Options!$C$21,0)</f>
        <v/>
      </c>
      <c r="F2595" s="13">
        <f>IF(AND(A2595&lt;&gt;"",C2595&lt;Options!$B$10),B2595*Options!$X$8,0)</f>
        <v/>
      </c>
      <c r="G2595" s="13">
        <f>F2595*12%</f>
        <v/>
      </c>
      <c r="H2595" s="13">
        <f>IF(A2595="",0,B2595*(92*IF(OR(C2595=Options!$B$9,C2595=Options!$B$10),75%,100%)-IF(C2595=DATE(2026,11,29),26+IF(Options!$B$8="是",23,0),0)-IF(C2595=DATE(2026,11,30),26,0)-IF(C2595=DATE(2026,12,1),64,0)-IF(C2595=DATE(2026,11,28),38,0)-IF(C2595=DATE(2026,12,2),26,0)))</f>
        <v/>
      </c>
      <c r="I2595" s="13">
        <f>IF(AND(C2595&gt;=DATE(2026,11,29),C2595&lt;=DATE(2026,12,1)),B2595*60,0)</f>
        <v/>
      </c>
      <c r="J2595" s="13">
        <f>IF(A2595="",0,B2595*(IF(C2595=DATE(2026,11,28),38,0)+IF(C2595=DATE(2026,12,1),38,0)+IF(C2595=DATE(2026,12,2),26,0)))</f>
        <v/>
      </c>
      <c r="K2595" s="13">
        <f>IF(C2595=Options!$B$9,B2595*12,0)</f>
        <v/>
      </c>
      <c r="L2595" s="13">
        <f>IF(C2595=Options!$B$9,B2595*Options!$Z$8,0)</f>
        <v/>
      </c>
      <c r="M2595" s="13" t="n">
        <v>0</v>
      </c>
      <c r="N2595" s="13">
        <f>SUM(E2595:M2595)</f>
        <v/>
      </c>
    </row>
    <row r="2596">
      <c r="A2596" s="5">
        <f>IF(AND(C2596&gt;=Options!$B$9,C2596&lt;=Options!$B$10),"Boston","")</f>
        <v/>
      </c>
      <c r="B2596" s="5">
        <f>IF(A2596="","",24)</f>
        <v/>
      </c>
      <c r="C2596" s="17" t="n">
        <v>46332</v>
      </c>
      <c r="D2596" s="5">
        <f>IF(A2596="","",IF(C2596=DATE(2026,11,29),"培训；注册午餐；早餐参数",IF(C2596=DATE(2026,11,30),"培训；注册午餐",IF(C2596=DATE(2026,12,1),"培训；注册午餐；机构晚餐",IF(C2596=Options!$B$9,"抵达；"&amp;IF(C2596=DATE(2026,11,28),"机构晚餐","无统一供餐"),IF(C2596=Options!$B$10,"返程；"&amp;IF(C2596=DATE(2026,12,2),"机构午餐","无统一供餐"),"差旅状态；无统一日程"))))))</f>
        <v/>
      </c>
      <c r="E2596" s="13">
        <f>IF(C2596=Options!$B$9,Options!$C$21,0)</f>
        <v/>
      </c>
      <c r="F2596" s="13">
        <f>IF(AND(A2596&lt;&gt;"",C2596&lt;Options!$B$10),B2596*Options!$X$8,0)</f>
        <v/>
      </c>
      <c r="G2596" s="13">
        <f>F2596*12%</f>
        <v/>
      </c>
      <c r="H2596" s="13">
        <f>IF(A2596="",0,B2596*(92*IF(OR(C2596=Options!$B$9,C2596=Options!$B$10),75%,100%)-IF(C2596=DATE(2026,11,29),26+IF(Options!$B$8="是",23,0),0)-IF(C2596=DATE(2026,11,30),26,0)-IF(C2596=DATE(2026,12,1),64,0)-IF(C2596=DATE(2026,11,28),38,0)-IF(C2596=DATE(2026,12,2),26,0)))</f>
        <v/>
      </c>
      <c r="I2596" s="13">
        <f>IF(AND(C2596&gt;=DATE(2026,11,29),C2596&lt;=DATE(2026,12,1)),B2596*60,0)</f>
        <v/>
      </c>
      <c r="J2596" s="13">
        <f>IF(A2596="",0,B2596*(IF(C2596=DATE(2026,11,28),38,0)+IF(C2596=DATE(2026,12,1),38,0)+IF(C2596=DATE(2026,12,2),26,0)))</f>
        <v/>
      </c>
      <c r="K2596" s="13">
        <f>IF(C2596=Options!$B$9,B2596*12,0)</f>
        <v/>
      </c>
      <c r="L2596" s="13">
        <f>IF(C2596=Options!$B$9,B2596*Options!$Z$8,0)</f>
        <v/>
      </c>
      <c r="M2596" s="13" t="n">
        <v>0</v>
      </c>
      <c r="N2596" s="13">
        <f>SUM(E2596:M2596)</f>
        <v/>
      </c>
    </row>
    <row r="2597">
      <c r="A2597" s="5">
        <f>IF(AND(C2597&gt;=Options!$B$9,C2597&lt;=Options!$B$10),"Boston","")</f>
        <v/>
      </c>
      <c r="B2597" s="5">
        <f>IF(A2597="","",24)</f>
        <v/>
      </c>
      <c r="C2597" s="17" t="n">
        <v>46333</v>
      </c>
      <c r="D2597" s="5">
        <f>IF(A2597="","",IF(C2597=DATE(2026,11,29),"培训；注册午餐；早餐参数",IF(C2597=DATE(2026,11,30),"培训；注册午餐",IF(C2597=DATE(2026,12,1),"培训；注册午餐；机构晚餐",IF(C2597=Options!$B$9,"抵达；"&amp;IF(C2597=DATE(2026,11,28),"机构晚餐","无统一供餐"),IF(C2597=Options!$B$10,"返程；"&amp;IF(C2597=DATE(2026,12,2),"机构午餐","无统一供餐"),"差旅状态；无统一日程"))))))</f>
        <v/>
      </c>
      <c r="E2597" s="13">
        <f>IF(C2597=Options!$B$9,Options!$C$21,0)</f>
        <v/>
      </c>
      <c r="F2597" s="13">
        <f>IF(AND(A2597&lt;&gt;"",C2597&lt;Options!$B$10),B2597*Options!$X$8,0)</f>
        <v/>
      </c>
      <c r="G2597" s="13">
        <f>F2597*12%</f>
        <v/>
      </c>
      <c r="H2597" s="13">
        <f>IF(A2597="",0,B2597*(92*IF(OR(C2597=Options!$B$9,C2597=Options!$B$10),75%,100%)-IF(C2597=DATE(2026,11,29),26+IF(Options!$B$8="是",23,0),0)-IF(C2597=DATE(2026,11,30),26,0)-IF(C2597=DATE(2026,12,1),64,0)-IF(C2597=DATE(2026,11,28),38,0)-IF(C2597=DATE(2026,12,2),26,0)))</f>
        <v/>
      </c>
      <c r="I2597" s="13">
        <f>IF(AND(C2597&gt;=DATE(2026,11,29),C2597&lt;=DATE(2026,12,1)),B2597*60,0)</f>
        <v/>
      </c>
      <c r="J2597" s="13">
        <f>IF(A2597="",0,B2597*(IF(C2597=DATE(2026,11,28),38,0)+IF(C2597=DATE(2026,12,1),38,0)+IF(C2597=DATE(2026,12,2),26,0)))</f>
        <v/>
      </c>
      <c r="K2597" s="13">
        <f>IF(C2597=Options!$B$9,B2597*12,0)</f>
        <v/>
      </c>
      <c r="L2597" s="13">
        <f>IF(C2597=Options!$B$9,B2597*Options!$Z$8,0)</f>
        <v/>
      </c>
      <c r="M2597" s="13" t="n">
        <v>0</v>
      </c>
      <c r="N2597" s="13">
        <f>SUM(E2597:M2597)</f>
        <v/>
      </c>
    </row>
    <row r="2598">
      <c r="A2598" s="5">
        <f>IF(AND(C2598&gt;=Options!$B$9,C2598&lt;=Options!$B$10),"Boston","")</f>
        <v/>
      </c>
      <c r="B2598" s="5">
        <f>IF(A2598="","",24)</f>
        <v/>
      </c>
      <c r="C2598" s="17" t="n">
        <v>46334</v>
      </c>
      <c r="D2598" s="5">
        <f>IF(A2598="","",IF(C2598=DATE(2026,11,29),"培训；注册午餐；早餐参数",IF(C2598=DATE(2026,11,30),"培训；注册午餐",IF(C2598=DATE(2026,12,1),"培训；注册午餐；机构晚餐",IF(C2598=Options!$B$9,"抵达；"&amp;IF(C2598=DATE(2026,11,28),"机构晚餐","无统一供餐"),IF(C2598=Options!$B$10,"返程；"&amp;IF(C2598=DATE(2026,12,2),"机构午餐","无统一供餐"),"差旅状态；无统一日程"))))))</f>
        <v/>
      </c>
      <c r="E2598" s="13">
        <f>IF(C2598=Options!$B$9,Options!$C$21,0)</f>
        <v/>
      </c>
      <c r="F2598" s="13">
        <f>IF(AND(A2598&lt;&gt;"",C2598&lt;Options!$B$10),B2598*Options!$X$8,0)</f>
        <v/>
      </c>
      <c r="G2598" s="13">
        <f>F2598*12%</f>
        <v/>
      </c>
      <c r="H2598" s="13">
        <f>IF(A2598="",0,B2598*(92*IF(OR(C2598=Options!$B$9,C2598=Options!$B$10),75%,100%)-IF(C2598=DATE(2026,11,29),26+IF(Options!$B$8="是",23,0),0)-IF(C2598=DATE(2026,11,30),26,0)-IF(C2598=DATE(2026,12,1),64,0)-IF(C2598=DATE(2026,11,28),38,0)-IF(C2598=DATE(2026,12,2),26,0)))</f>
        <v/>
      </c>
      <c r="I2598" s="13">
        <f>IF(AND(C2598&gt;=DATE(2026,11,29),C2598&lt;=DATE(2026,12,1)),B2598*60,0)</f>
        <v/>
      </c>
      <c r="J2598" s="13">
        <f>IF(A2598="",0,B2598*(IF(C2598=DATE(2026,11,28),38,0)+IF(C2598=DATE(2026,12,1),38,0)+IF(C2598=DATE(2026,12,2),26,0)))</f>
        <v/>
      </c>
      <c r="K2598" s="13">
        <f>IF(C2598=Options!$B$9,B2598*12,0)</f>
        <v/>
      </c>
      <c r="L2598" s="13">
        <f>IF(C2598=Options!$B$9,B2598*Options!$Z$8,0)</f>
        <v/>
      </c>
      <c r="M2598" s="13" t="n">
        <v>0</v>
      </c>
      <c r="N2598" s="13">
        <f>SUM(E2598:M2598)</f>
        <v/>
      </c>
    </row>
    <row r="2599">
      <c r="A2599" s="5">
        <f>IF(AND(C2599&gt;=Options!$B$9,C2599&lt;=Options!$B$10),"Boston","")</f>
        <v/>
      </c>
      <c r="B2599" s="5">
        <f>IF(A2599="","",24)</f>
        <v/>
      </c>
      <c r="C2599" s="17" t="n">
        <v>46335</v>
      </c>
      <c r="D2599" s="5">
        <f>IF(A2599="","",IF(C2599=DATE(2026,11,29),"培训；注册午餐；早餐参数",IF(C2599=DATE(2026,11,30),"培训；注册午餐",IF(C2599=DATE(2026,12,1),"培训；注册午餐；机构晚餐",IF(C2599=Options!$B$9,"抵达；"&amp;IF(C2599=DATE(2026,11,28),"机构晚餐","无统一供餐"),IF(C2599=Options!$B$10,"返程；"&amp;IF(C2599=DATE(2026,12,2),"机构午餐","无统一供餐"),"差旅状态；无统一日程"))))))</f>
        <v/>
      </c>
      <c r="E2599" s="13">
        <f>IF(C2599=Options!$B$9,Options!$C$21,0)</f>
        <v/>
      </c>
      <c r="F2599" s="13">
        <f>IF(AND(A2599&lt;&gt;"",C2599&lt;Options!$B$10),B2599*Options!$X$8,0)</f>
        <v/>
      </c>
      <c r="G2599" s="13">
        <f>F2599*12%</f>
        <v/>
      </c>
      <c r="H2599" s="13">
        <f>IF(A2599="",0,B2599*(92*IF(OR(C2599=Options!$B$9,C2599=Options!$B$10),75%,100%)-IF(C2599=DATE(2026,11,29),26+IF(Options!$B$8="是",23,0),0)-IF(C2599=DATE(2026,11,30),26,0)-IF(C2599=DATE(2026,12,1),64,0)-IF(C2599=DATE(2026,11,28),38,0)-IF(C2599=DATE(2026,12,2),26,0)))</f>
        <v/>
      </c>
      <c r="I2599" s="13">
        <f>IF(AND(C2599&gt;=DATE(2026,11,29),C2599&lt;=DATE(2026,12,1)),B2599*60,0)</f>
        <v/>
      </c>
      <c r="J2599" s="13">
        <f>IF(A2599="",0,B2599*(IF(C2599=DATE(2026,11,28),38,0)+IF(C2599=DATE(2026,12,1),38,0)+IF(C2599=DATE(2026,12,2),26,0)))</f>
        <v/>
      </c>
      <c r="K2599" s="13">
        <f>IF(C2599=Options!$B$9,B2599*12,0)</f>
        <v/>
      </c>
      <c r="L2599" s="13">
        <f>IF(C2599=Options!$B$9,B2599*Options!$Z$8,0)</f>
        <v/>
      </c>
      <c r="M2599" s="13" t="n">
        <v>0</v>
      </c>
      <c r="N2599" s="13">
        <f>SUM(E2599:M2599)</f>
        <v/>
      </c>
    </row>
    <row r="2600">
      <c r="A2600" s="5">
        <f>IF(AND(C2600&gt;=Options!$B$9,C2600&lt;=Options!$B$10),"Boston","")</f>
        <v/>
      </c>
      <c r="B2600" s="5">
        <f>IF(A2600="","",24)</f>
        <v/>
      </c>
      <c r="C2600" s="17" t="n">
        <v>46336</v>
      </c>
      <c r="D2600" s="5">
        <f>IF(A2600="","",IF(C2600=DATE(2026,11,29),"培训；注册午餐；早餐参数",IF(C2600=DATE(2026,11,30),"培训；注册午餐",IF(C2600=DATE(2026,12,1),"培训；注册午餐；机构晚餐",IF(C2600=Options!$B$9,"抵达；"&amp;IF(C2600=DATE(2026,11,28),"机构晚餐","无统一供餐"),IF(C2600=Options!$B$10,"返程；"&amp;IF(C2600=DATE(2026,12,2),"机构午餐","无统一供餐"),"差旅状态；无统一日程"))))))</f>
        <v/>
      </c>
      <c r="E2600" s="13">
        <f>IF(C2600=Options!$B$9,Options!$C$21,0)</f>
        <v/>
      </c>
      <c r="F2600" s="13">
        <f>IF(AND(A2600&lt;&gt;"",C2600&lt;Options!$B$10),B2600*Options!$X$8,0)</f>
        <v/>
      </c>
      <c r="G2600" s="13">
        <f>F2600*12%</f>
        <v/>
      </c>
      <c r="H2600" s="13">
        <f>IF(A2600="",0,B2600*(92*IF(OR(C2600=Options!$B$9,C2600=Options!$B$10),75%,100%)-IF(C2600=DATE(2026,11,29),26+IF(Options!$B$8="是",23,0),0)-IF(C2600=DATE(2026,11,30),26,0)-IF(C2600=DATE(2026,12,1),64,0)-IF(C2600=DATE(2026,11,28),38,0)-IF(C2600=DATE(2026,12,2),26,0)))</f>
        <v/>
      </c>
      <c r="I2600" s="13">
        <f>IF(AND(C2600&gt;=DATE(2026,11,29),C2600&lt;=DATE(2026,12,1)),B2600*60,0)</f>
        <v/>
      </c>
      <c r="J2600" s="13">
        <f>IF(A2600="",0,B2600*(IF(C2600=DATE(2026,11,28),38,0)+IF(C2600=DATE(2026,12,1),38,0)+IF(C2600=DATE(2026,12,2),26,0)))</f>
        <v/>
      </c>
      <c r="K2600" s="13">
        <f>IF(C2600=Options!$B$9,B2600*12,0)</f>
        <v/>
      </c>
      <c r="L2600" s="13">
        <f>IF(C2600=Options!$B$9,B2600*Options!$Z$8,0)</f>
        <v/>
      </c>
      <c r="M2600" s="13" t="n">
        <v>0</v>
      </c>
      <c r="N2600" s="13">
        <f>SUM(E2600:M2600)</f>
        <v/>
      </c>
    </row>
    <row r="2601">
      <c r="A2601" s="5">
        <f>IF(AND(C2601&gt;=Options!$B$9,C2601&lt;=Options!$B$10),"Boston","")</f>
        <v/>
      </c>
      <c r="B2601" s="5">
        <f>IF(A2601="","",24)</f>
        <v/>
      </c>
      <c r="C2601" s="17" t="n">
        <v>46337</v>
      </c>
      <c r="D2601" s="5">
        <f>IF(A2601="","",IF(C2601=DATE(2026,11,29),"培训；注册午餐；早餐参数",IF(C2601=DATE(2026,11,30),"培训；注册午餐",IF(C2601=DATE(2026,12,1),"培训；注册午餐；机构晚餐",IF(C2601=Options!$B$9,"抵达；"&amp;IF(C2601=DATE(2026,11,28),"机构晚餐","无统一供餐"),IF(C2601=Options!$B$10,"返程；"&amp;IF(C2601=DATE(2026,12,2),"机构午餐","无统一供餐"),"差旅状态；无统一日程"))))))</f>
        <v/>
      </c>
      <c r="E2601" s="13">
        <f>IF(C2601=Options!$B$9,Options!$C$21,0)</f>
        <v/>
      </c>
      <c r="F2601" s="13">
        <f>IF(AND(A2601&lt;&gt;"",C2601&lt;Options!$B$10),B2601*Options!$X$8,0)</f>
        <v/>
      </c>
      <c r="G2601" s="13">
        <f>F2601*12%</f>
        <v/>
      </c>
      <c r="H2601" s="13">
        <f>IF(A2601="",0,B2601*(92*IF(OR(C2601=Options!$B$9,C2601=Options!$B$10),75%,100%)-IF(C2601=DATE(2026,11,29),26+IF(Options!$B$8="是",23,0),0)-IF(C2601=DATE(2026,11,30),26,0)-IF(C2601=DATE(2026,12,1),64,0)-IF(C2601=DATE(2026,11,28),38,0)-IF(C2601=DATE(2026,12,2),26,0)))</f>
        <v/>
      </c>
      <c r="I2601" s="13">
        <f>IF(AND(C2601&gt;=DATE(2026,11,29),C2601&lt;=DATE(2026,12,1)),B2601*60,0)</f>
        <v/>
      </c>
      <c r="J2601" s="13">
        <f>IF(A2601="",0,B2601*(IF(C2601=DATE(2026,11,28),38,0)+IF(C2601=DATE(2026,12,1),38,0)+IF(C2601=DATE(2026,12,2),26,0)))</f>
        <v/>
      </c>
      <c r="K2601" s="13">
        <f>IF(C2601=Options!$B$9,B2601*12,0)</f>
        <v/>
      </c>
      <c r="L2601" s="13">
        <f>IF(C2601=Options!$B$9,B2601*Options!$Z$8,0)</f>
        <v/>
      </c>
      <c r="M2601" s="13" t="n">
        <v>0</v>
      </c>
      <c r="N2601" s="13">
        <f>SUM(E2601:M2601)</f>
        <v/>
      </c>
    </row>
    <row r="2602">
      <c r="A2602" s="5">
        <f>IF(AND(C2602&gt;=Options!$B$9,C2602&lt;=Options!$B$10),"Boston","")</f>
        <v/>
      </c>
      <c r="B2602" s="5">
        <f>IF(A2602="","",24)</f>
        <v/>
      </c>
      <c r="C2602" s="17" t="n">
        <v>46338</v>
      </c>
      <c r="D2602" s="5">
        <f>IF(A2602="","",IF(C2602=DATE(2026,11,29),"培训；注册午餐；早餐参数",IF(C2602=DATE(2026,11,30),"培训；注册午餐",IF(C2602=DATE(2026,12,1),"培训；注册午餐；机构晚餐",IF(C2602=Options!$B$9,"抵达；"&amp;IF(C2602=DATE(2026,11,28),"机构晚餐","无统一供餐"),IF(C2602=Options!$B$10,"返程；"&amp;IF(C2602=DATE(2026,12,2),"机构午餐","无统一供餐"),"差旅状态；无统一日程"))))))</f>
        <v/>
      </c>
      <c r="E2602" s="13">
        <f>IF(C2602=Options!$B$9,Options!$C$21,0)</f>
        <v/>
      </c>
      <c r="F2602" s="13">
        <f>IF(AND(A2602&lt;&gt;"",C2602&lt;Options!$B$10),B2602*Options!$X$8,0)</f>
        <v/>
      </c>
      <c r="G2602" s="13">
        <f>F2602*12%</f>
        <v/>
      </c>
      <c r="H2602" s="13">
        <f>IF(A2602="",0,B2602*(92*IF(OR(C2602=Options!$B$9,C2602=Options!$B$10),75%,100%)-IF(C2602=DATE(2026,11,29),26+IF(Options!$B$8="是",23,0),0)-IF(C2602=DATE(2026,11,30),26,0)-IF(C2602=DATE(2026,12,1),64,0)-IF(C2602=DATE(2026,11,28),38,0)-IF(C2602=DATE(2026,12,2),26,0)))</f>
        <v/>
      </c>
      <c r="I2602" s="13">
        <f>IF(AND(C2602&gt;=DATE(2026,11,29),C2602&lt;=DATE(2026,12,1)),B2602*60,0)</f>
        <v/>
      </c>
      <c r="J2602" s="13">
        <f>IF(A2602="",0,B2602*(IF(C2602=DATE(2026,11,28),38,0)+IF(C2602=DATE(2026,12,1),38,0)+IF(C2602=DATE(2026,12,2),26,0)))</f>
        <v/>
      </c>
      <c r="K2602" s="13">
        <f>IF(C2602=Options!$B$9,B2602*12,0)</f>
        <v/>
      </c>
      <c r="L2602" s="13">
        <f>IF(C2602=Options!$B$9,B2602*Options!$Z$8,0)</f>
        <v/>
      </c>
      <c r="M2602" s="13" t="n">
        <v>0</v>
      </c>
      <c r="N2602" s="13">
        <f>SUM(E2602:M2602)</f>
        <v/>
      </c>
    </row>
    <row r="2603">
      <c r="A2603" s="5">
        <f>IF(AND(C2603&gt;=Options!$B$9,C2603&lt;=Options!$B$10),"Boston","")</f>
        <v/>
      </c>
      <c r="B2603" s="5">
        <f>IF(A2603="","",24)</f>
        <v/>
      </c>
      <c r="C2603" s="17" t="n">
        <v>46339</v>
      </c>
      <c r="D2603" s="5">
        <f>IF(A2603="","",IF(C2603=DATE(2026,11,29),"培训；注册午餐；早餐参数",IF(C2603=DATE(2026,11,30),"培训；注册午餐",IF(C2603=DATE(2026,12,1),"培训；注册午餐；机构晚餐",IF(C2603=Options!$B$9,"抵达；"&amp;IF(C2603=DATE(2026,11,28),"机构晚餐","无统一供餐"),IF(C2603=Options!$B$10,"返程；"&amp;IF(C2603=DATE(2026,12,2),"机构午餐","无统一供餐"),"差旅状态；无统一日程"))))))</f>
        <v/>
      </c>
      <c r="E2603" s="13">
        <f>IF(C2603=Options!$B$9,Options!$C$21,0)</f>
        <v/>
      </c>
      <c r="F2603" s="13">
        <f>IF(AND(A2603&lt;&gt;"",C2603&lt;Options!$B$10),B2603*Options!$X$8,0)</f>
        <v/>
      </c>
      <c r="G2603" s="13">
        <f>F2603*12%</f>
        <v/>
      </c>
      <c r="H2603" s="13">
        <f>IF(A2603="",0,B2603*(92*IF(OR(C2603=Options!$B$9,C2603=Options!$B$10),75%,100%)-IF(C2603=DATE(2026,11,29),26+IF(Options!$B$8="是",23,0),0)-IF(C2603=DATE(2026,11,30),26,0)-IF(C2603=DATE(2026,12,1),64,0)-IF(C2603=DATE(2026,11,28),38,0)-IF(C2603=DATE(2026,12,2),26,0)))</f>
        <v/>
      </c>
      <c r="I2603" s="13">
        <f>IF(AND(C2603&gt;=DATE(2026,11,29),C2603&lt;=DATE(2026,12,1)),B2603*60,0)</f>
        <v/>
      </c>
      <c r="J2603" s="13">
        <f>IF(A2603="",0,B2603*(IF(C2603=DATE(2026,11,28),38,0)+IF(C2603=DATE(2026,12,1),38,0)+IF(C2603=DATE(2026,12,2),26,0)))</f>
        <v/>
      </c>
      <c r="K2603" s="13">
        <f>IF(C2603=Options!$B$9,B2603*12,0)</f>
        <v/>
      </c>
      <c r="L2603" s="13">
        <f>IF(C2603=Options!$B$9,B2603*Options!$Z$8,0)</f>
        <v/>
      </c>
      <c r="M2603" s="13" t="n">
        <v>0</v>
      </c>
      <c r="N2603" s="13">
        <f>SUM(E2603:M2603)</f>
        <v/>
      </c>
    </row>
    <row r="2604">
      <c r="A2604" s="5">
        <f>IF(AND(C2604&gt;=Options!$B$9,C2604&lt;=Options!$B$10),"Boston","")</f>
        <v/>
      </c>
      <c r="B2604" s="5">
        <f>IF(A2604="","",24)</f>
        <v/>
      </c>
      <c r="C2604" s="17" t="n">
        <v>46340</v>
      </c>
      <c r="D2604" s="5">
        <f>IF(A2604="","",IF(C2604=DATE(2026,11,29),"培训；注册午餐；早餐参数",IF(C2604=DATE(2026,11,30),"培训；注册午餐",IF(C2604=DATE(2026,12,1),"培训；注册午餐；机构晚餐",IF(C2604=Options!$B$9,"抵达；"&amp;IF(C2604=DATE(2026,11,28),"机构晚餐","无统一供餐"),IF(C2604=Options!$B$10,"返程；"&amp;IF(C2604=DATE(2026,12,2),"机构午餐","无统一供餐"),"差旅状态；无统一日程"))))))</f>
        <v/>
      </c>
      <c r="E2604" s="13">
        <f>IF(C2604=Options!$B$9,Options!$C$21,0)</f>
        <v/>
      </c>
      <c r="F2604" s="13">
        <f>IF(AND(A2604&lt;&gt;"",C2604&lt;Options!$B$10),B2604*Options!$X$8,0)</f>
        <v/>
      </c>
      <c r="G2604" s="13">
        <f>F2604*12%</f>
        <v/>
      </c>
      <c r="H2604" s="13">
        <f>IF(A2604="",0,B2604*(92*IF(OR(C2604=Options!$B$9,C2604=Options!$B$10),75%,100%)-IF(C2604=DATE(2026,11,29),26+IF(Options!$B$8="是",23,0),0)-IF(C2604=DATE(2026,11,30),26,0)-IF(C2604=DATE(2026,12,1),64,0)-IF(C2604=DATE(2026,11,28),38,0)-IF(C2604=DATE(2026,12,2),26,0)))</f>
        <v/>
      </c>
      <c r="I2604" s="13">
        <f>IF(AND(C2604&gt;=DATE(2026,11,29),C2604&lt;=DATE(2026,12,1)),B2604*60,0)</f>
        <v/>
      </c>
      <c r="J2604" s="13">
        <f>IF(A2604="",0,B2604*(IF(C2604=DATE(2026,11,28),38,0)+IF(C2604=DATE(2026,12,1),38,0)+IF(C2604=DATE(2026,12,2),26,0)))</f>
        <v/>
      </c>
      <c r="K2604" s="13">
        <f>IF(C2604=Options!$B$9,B2604*12,0)</f>
        <v/>
      </c>
      <c r="L2604" s="13">
        <f>IF(C2604=Options!$B$9,B2604*Options!$Z$8,0)</f>
        <v/>
      </c>
      <c r="M2604" s="13" t="n">
        <v>0</v>
      </c>
      <c r="N2604" s="13">
        <f>SUM(E2604:M2604)</f>
        <v/>
      </c>
    </row>
    <row r="2605">
      <c r="A2605" s="5">
        <f>IF(AND(C2605&gt;=Options!$B$9,C2605&lt;=Options!$B$10),"Boston","")</f>
        <v/>
      </c>
      <c r="B2605" s="5">
        <f>IF(A2605="","",24)</f>
        <v/>
      </c>
      <c r="C2605" s="17" t="n">
        <v>46341</v>
      </c>
      <c r="D2605" s="5">
        <f>IF(A2605="","",IF(C2605=DATE(2026,11,29),"培训；注册午餐；早餐参数",IF(C2605=DATE(2026,11,30),"培训；注册午餐",IF(C2605=DATE(2026,12,1),"培训；注册午餐；机构晚餐",IF(C2605=Options!$B$9,"抵达；"&amp;IF(C2605=DATE(2026,11,28),"机构晚餐","无统一供餐"),IF(C2605=Options!$B$10,"返程；"&amp;IF(C2605=DATE(2026,12,2),"机构午餐","无统一供餐"),"差旅状态；无统一日程"))))))</f>
        <v/>
      </c>
      <c r="E2605" s="13">
        <f>IF(C2605=Options!$B$9,Options!$C$21,0)</f>
        <v/>
      </c>
      <c r="F2605" s="13">
        <f>IF(AND(A2605&lt;&gt;"",C2605&lt;Options!$B$10),B2605*Options!$X$8,0)</f>
        <v/>
      </c>
      <c r="G2605" s="13">
        <f>F2605*12%</f>
        <v/>
      </c>
      <c r="H2605" s="13">
        <f>IF(A2605="",0,B2605*(92*IF(OR(C2605=Options!$B$9,C2605=Options!$B$10),75%,100%)-IF(C2605=DATE(2026,11,29),26+IF(Options!$B$8="是",23,0),0)-IF(C2605=DATE(2026,11,30),26,0)-IF(C2605=DATE(2026,12,1),64,0)-IF(C2605=DATE(2026,11,28),38,0)-IF(C2605=DATE(2026,12,2),26,0)))</f>
        <v/>
      </c>
      <c r="I2605" s="13">
        <f>IF(AND(C2605&gt;=DATE(2026,11,29),C2605&lt;=DATE(2026,12,1)),B2605*60,0)</f>
        <v/>
      </c>
      <c r="J2605" s="13">
        <f>IF(A2605="",0,B2605*(IF(C2605=DATE(2026,11,28),38,0)+IF(C2605=DATE(2026,12,1),38,0)+IF(C2605=DATE(2026,12,2),26,0)))</f>
        <v/>
      </c>
      <c r="K2605" s="13">
        <f>IF(C2605=Options!$B$9,B2605*12,0)</f>
        <v/>
      </c>
      <c r="L2605" s="13">
        <f>IF(C2605=Options!$B$9,B2605*Options!$Z$8,0)</f>
        <v/>
      </c>
      <c r="M2605" s="13" t="n">
        <v>0</v>
      </c>
      <c r="N2605" s="13">
        <f>SUM(E2605:M2605)</f>
        <v/>
      </c>
    </row>
    <row r="2606">
      <c r="A2606" s="5">
        <f>IF(AND(C2606&gt;=Options!$B$9,C2606&lt;=Options!$B$10),"Boston","")</f>
        <v/>
      </c>
      <c r="B2606" s="5">
        <f>IF(A2606="","",24)</f>
        <v/>
      </c>
      <c r="C2606" s="17" t="n">
        <v>46342</v>
      </c>
      <c r="D2606" s="5">
        <f>IF(A2606="","",IF(C2606=DATE(2026,11,29),"培训；注册午餐；早餐参数",IF(C2606=DATE(2026,11,30),"培训；注册午餐",IF(C2606=DATE(2026,12,1),"培训；注册午餐；机构晚餐",IF(C2606=Options!$B$9,"抵达；"&amp;IF(C2606=DATE(2026,11,28),"机构晚餐","无统一供餐"),IF(C2606=Options!$B$10,"返程；"&amp;IF(C2606=DATE(2026,12,2),"机构午餐","无统一供餐"),"差旅状态；无统一日程"))))))</f>
        <v/>
      </c>
      <c r="E2606" s="13">
        <f>IF(C2606=Options!$B$9,Options!$C$21,0)</f>
        <v/>
      </c>
      <c r="F2606" s="13">
        <f>IF(AND(A2606&lt;&gt;"",C2606&lt;Options!$B$10),B2606*Options!$X$8,0)</f>
        <v/>
      </c>
      <c r="G2606" s="13">
        <f>F2606*12%</f>
        <v/>
      </c>
      <c r="H2606" s="13">
        <f>IF(A2606="",0,B2606*(92*IF(OR(C2606=Options!$B$9,C2606=Options!$B$10),75%,100%)-IF(C2606=DATE(2026,11,29),26+IF(Options!$B$8="是",23,0),0)-IF(C2606=DATE(2026,11,30),26,0)-IF(C2606=DATE(2026,12,1),64,0)-IF(C2606=DATE(2026,11,28),38,0)-IF(C2606=DATE(2026,12,2),26,0)))</f>
        <v/>
      </c>
      <c r="I2606" s="13">
        <f>IF(AND(C2606&gt;=DATE(2026,11,29),C2606&lt;=DATE(2026,12,1)),B2606*60,0)</f>
        <v/>
      </c>
      <c r="J2606" s="13">
        <f>IF(A2606="",0,B2606*(IF(C2606=DATE(2026,11,28),38,0)+IF(C2606=DATE(2026,12,1),38,0)+IF(C2606=DATE(2026,12,2),26,0)))</f>
        <v/>
      </c>
      <c r="K2606" s="13">
        <f>IF(C2606=Options!$B$9,B2606*12,0)</f>
        <v/>
      </c>
      <c r="L2606" s="13">
        <f>IF(C2606=Options!$B$9,B2606*Options!$Z$8,0)</f>
        <v/>
      </c>
      <c r="M2606" s="13" t="n">
        <v>0</v>
      </c>
      <c r="N2606" s="13">
        <f>SUM(E2606:M2606)</f>
        <v/>
      </c>
    </row>
    <row r="2607">
      <c r="A2607" s="5">
        <f>IF(AND(C2607&gt;=Options!$B$9,C2607&lt;=Options!$B$10),"Boston","")</f>
        <v/>
      </c>
      <c r="B2607" s="5">
        <f>IF(A2607="","",24)</f>
        <v/>
      </c>
      <c r="C2607" s="17" t="n">
        <v>46343</v>
      </c>
      <c r="D2607" s="5">
        <f>IF(A2607="","",IF(C2607=DATE(2026,11,29),"培训；注册午餐；早餐参数",IF(C2607=DATE(2026,11,30),"培训；注册午餐",IF(C2607=DATE(2026,12,1),"培训；注册午餐；机构晚餐",IF(C2607=Options!$B$9,"抵达；"&amp;IF(C2607=DATE(2026,11,28),"机构晚餐","无统一供餐"),IF(C2607=Options!$B$10,"返程；"&amp;IF(C2607=DATE(2026,12,2),"机构午餐","无统一供餐"),"差旅状态；无统一日程"))))))</f>
        <v/>
      </c>
      <c r="E2607" s="13">
        <f>IF(C2607=Options!$B$9,Options!$C$21,0)</f>
        <v/>
      </c>
      <c r="F2607" s="13">
        <f>IF(AND(A2607&lt;&gt;"",C2607&lt;Options!$B$10),B2607*Options!$X$8,0)</f>
        <v/>
      </c>
      <c r="G2607" s="13">
        <f>F2607*12%</f>
        <v/>
      </c>
      <c r="H2607" s="13">
        <f>IF(A2607="",0,B2607*(92*IF(OR(C2607=Options!$B$9,C2607=Options!$B$10),75%,100%)-IF(C2607=DATE(2026,11,29),26+IF(Options!$B$8="是",23,0),0)-IF(C2607=DATE(2026,11,30),26,0)-IF(C2607=DATE(2026,12,1),64,0)-IF(C2607=DATE(2026,11,28),38,0)-IF(C2607=DATE(2026,12,2),26,0)))</f>
        <v/>
      </c>
      <c r="I2607" s="13">
        <f>IF(AND(C2607&gt;=DATE(2026,11,29),C2607&lt;=DATE(2026,12,1)),B2607*60,0)</f>
        <v/>
      </c>
      <c r="J2607" s="13">
        <f>IF(A2607="",0,B2607*(IF(C2607=DATE(2026,11,28),38,0)+IF(C2607=DATE(2026,12,1),38,0)+IF(C2607=DATE(2026,12,2),26,0)))</f>
        <v/>
      </c>
      <c r="K2607" s="13">
        <f>IF(C2607=Options!$B$9,B2607*12,0)</f>
        <v/>
      </c>
      <c r="L2607" s="13">
        <f>IF(C2607=Options!$B$9,B2607*Options!$Z$8,0)</f>
        <v/>
      </c>
      <c r="M2607" s="13" t="n">
        <v>0</v>
      </c>
      <c r="N2607" s="13">
        <f>SUM(E2607:M2607)</f>
        <v/>
      </c>
    </row>
    <row r="2608">
      <c r="A2608" s="5">
        <f>IF(AND(C2608&gt;=Options!$B$9,C2608&lt;=Options!$B$10),"Boston","")</f>
        <v/>
      </c>
      <c r="B2608" s="5">
        <f>IF(A2608="","",24)</f>
        <v/>
      </c>
      <c r="C2608" s="17" t="n">
        <v>46344</v>
      </c>
      <c r="D2608" s="5">
        <f>IF(A2608="","",IF(C2608=DATE(2026,11,29),"培训；注册午餐；早餐参数",IF(C2608=DATE(2026,11,30),"培训；注册午餐",IF(C2608=DATE(2026,12,1),"培训；注册午餐；机构晚餐",IF(C2608=Options!$B$9,"抵达；"&amp;IF(C2608=DATE(2026,11,28),"机构晚餐","无统一供餐"),IF(C2608=Options!$B$10,"返程；"&amp;IF(C2608=DATE(2026,12,2),"机构午餐","无统一供餐"),"差旅状态；无统一日程"))))))</f>
        <v/>
      </c>
      <c r="E2608" s="13">
        <f>IF(C2608=Options!$B$9,Options!$C$21,0)</f>
        <v/>
      </c>
      <c r="F2608" s="13">
        <f>IF(AND(A2608&lt;&gt;"",C2608&lt;Options!$B$10),B2608*Options!$X$8,0)</f>
        <v/>
      </c>
      <c r="G2608" s="13">
        <f>F2608*12%</f>
        <v/>
      </c>
      <c r="H2608" s="13">
        <f>IF(A2608="",0,B2608*(92*IF(OR(C2608=Options!$B$9,C2608=Options!$B$10),75%,100%)-IF(C2608=DATE(2026,11,29),26+IF(Options!$B$8="是",23,0),0)-IF(C2608=DATE(2026,11,30),26,0)-IF(C2608=DATE(2026,12,1),64,0)-IF(C2608=DATE(2026,11,28),38,0)-IF(C2608=DATE(2026,12,2),26,0)))</f>
        <v/>
      </c>
      <c r="I2608" s="13">
        <f>IF(AND(C2608&gt;=DATE(2026,11,29),C2608&lt;=DATE(2026,12,1)),B2608*60,0)</f>
        <v/>
      </c>
      <c r="J2608" s="13">
        <f>IF(A2608="",0,B2608*(IF(C2608=DATE(2026,11,28),38,0)+IF(C2608=DATE(2026,12,1),38,0)+IF(C2608=DATE(2026,12,2),26,0)))</f>
        <v/>
      </c>
      <c r="K2608" s="13">
        <f>IF(C2608=Options!$B$9,B2608*12,0)</f>
        <v/>
      </c>
      <c r="L2608" s="13">
        <f>IF(C2608=Options!$B$9,B2608*Options!$Z$8,0)</f>
        <v/>
      </c>
      <c r="M2608" s="13" t="n">
        <v>0</v>
      </c>
      <c r="N2608" s="13">
        <f>SUM(E2608:M2608)</f>
        <v/>
      </c>
    </row>
    <row r="2609">
      <c r="A2609" s="5">
        <f>IF(AND(C2609&gt;=Options!$B$9,C2609&lt;=Options!$B$10),"Boston","")</f>
        <v/>
      </c>
      <c r="B2609" s="5">
        <f>IF(A2609="","",24)</f>
        <v/>
      </c>
      <c r="C2609" s="17" t="n">
        <v>46345</v>
      </c>
      <c r="D2609" s="5">
        <f>IF(A2609="","",IF(C2609=DATE(2026,11,29),"培训；注册午餐；早餐参数",IF(C2609=DATE(2026,11,30),"培训；注册午餐",IF(C2609=DATE(2026,12,1),"培训；注册午餐；机构晚餐",IF(C2609=Options!$B$9,"抵达；"&amp;IF(C2609=DATE(2026,11,28),"机构晚餐","无统一供餐"),IF(C2609=Options!$B$10,"返程；"&amp;IF(C2609=DATE(2026,12,2),"机构午餐","无统一供餐"),"差旅状态；无统一日程"))))))</f>
        <v/>
      </c>
      <c r="E2609" s="13">
        <f>IF(C2609=Options!$B$9,Options!$C$21,0)</f>
        <v/>
      </c>
      <c r="F2609" s="13">
        <f>IF(AND(A2609&lt;&gt;"",C2609&lt;Options!$B$10),B2609*Options!$X$8,0)</f>
        <v/>
      </c>
      <c r="G2609" s="13">
        <f>F2609*12%</f>
        <v/>
      </c>
      <c r="H2609" s="13">
        <f>IF(A2609="",0,B2609*(92*IF(OR(C2609=Options!$B$9,C2609=Options!$B$10),75%,100%)-IF(C2609=DATE(2026,11,29),26+IF(Options!$B$8="是",23,0),0)-IF(C2609=DATE(2026,11,30),26,0)-IF(C2609=DATE(2026,12,1),64,0)-IF(C2609=DATE(2026,11,28),38,0)-IF(C2609=DATE(2026,12,2),26,0)))</f>
        <v/>
      </c>
      <c r="I2609" s="13">
        <f>IF(AND(C2609&gt;=DATE(2026,11,29),C2609&lt;=DATE(2026,12,1)),B2609*60,0)</f>
        <v/>
      </c>
      <c r="J2609" s="13">
        <f>IF(A2609="",0,B2609*(IF(C2609=DATE(2026,11,28),38,0)+IF(C2609=DATE(2026,12,1),38,0)+IF(C2609=DATE(2026,12,2),26,0)))</f>
        <v/>
      </c>
      <c r="K2609" s="13">
        <f>IF(C2609=Options!$B$9,B2609*12,0)</f>
        <v/>
      </c>
      <c r="L2609" s="13">
        <f>IF(C2609=Options!$B$9,B2609*Options!$Z$8,0)</f>
        <v/>
      </c>
      <c r="M2609" s="13" t="n">
        <v>0</v>
      </c>
      <c r="N2609" s="13">
        <f>SUM(E2609:M2609)</f>
        <v/>
      </c>
    </row>
    <row r="2610">
      <c r="A2610" s="5">
        <f>IF(AND(C2610&gt;=Options!$B$9,C2610&lt;=Options!$B$10),"Boston","")</f>
        <v/>
      </c>
      <c r="B2610" s="5">
        <f>IF(A2610="","",24)</f>
        <v/>
      </c>
      <c r="C2610" s="17" t="n">
        <v>46346</v>
      </c>
      <c r="D2610" s="5">
        <f>IF(A2610="","",IF(C2610=DATE(2026,11,29),"培训；注册午餐；早餐参数",IF(C2610=DATE(2026,11,30),"培训；注册午餐",IF(C2610=DATE(2026,12,1),"培训；注册午餐；机构晚餐",IF(C2610=Options!$B$9,"抵达；"&amp;IF(C2610=DATE(2026,11,28),"机构晚餐","无统一供餐"),IF(C2610=Options!$B$10,"返程；"&amp;IF(C2610=DATE(2026,12,2),"机构午餐","无统一供餐"),"差旅状态；无统一日程"))))))</f>
        <v/>
      </c>
      <c r="E2610" s="13">
        <f>IF(C2610=Options!$B$9,Options!$C$21,0)</f>
        <v/>
      </c>
      <c r="F2610" s="13">
        <f>IF(AND(A2610&lt;&gt;"",C2610&lt;Options!$B$10),B2610*Options!$X$8,0)</f>
        <v/>
      </c>
      <c r="G2610" s="13">
        <f>F2610*12%</f>
        <v/>
      </c>
      <c r="H2610" s="13">
        <f>IF(A2610="",0,B2610*(92*IF(OR(C2610=Options!$B$9,C2610=Options!$B$10),75%,100%)-IF(C2610=DATE(2026,11,29),26+IF(Options!$B$8="是",23,0),0)-IF(C2610=DATE(2026,11,30),26,0)-IF(C2610=DATE(2026,12,1),64,0)-IF(C2610=DATE(2026,11,28),38,0)-IF(C2610=DATE(2026,12,2),26,0)))</f>
        <v/>
      </c>
      <c r="I2610" s="13">
        <f>IF(AND(C2610&gt;=DATE(2026,11,29),C2610&lt;=DATE(2026,12,1)),B2610*60,0)</f>
        <v/>
      </c>
      <c r="J2610" s="13">
        <f>IF(A2610="",0,B2610*(IF(C2610=DATE(2026,11,28),38,0)+IF(C2610=DATE(2026,12,1),38,0)+IF(C2610=DATE(2026,12,2),26,0)))</f>
        <v/>
      </c>
      <c r="K2610" s="13">
        <f>IF(C2610=Options!$B$9,B2610*12,0)</f>
        <v/>
      </c>
      <c r="L2610" s="13">
        <f>IF(C2610=Options!$B$9,B2610*Options!$Z$8,0)</f>
        <v/>
      </c>
      <c r="M2610" s="13" t="n">
        <v>0</v>
      </c>
      <c r="N2610" s="13">
        <f>SUM(E2610:M2610)</f>
        <v/>
      </c>
    </row>
    <row r="2611">
      <c r="A2611" s="5">
        <f>IF(AND(C2611&gt;=Options!$B$9,C2611&lt;=Options!$B$10),"Boston","")</f>
        <v/>
      </c>
      <c r="B2611" s="5">
        <f>IF(A2611="","",24)</f>
        <v/>
      </c>
      <c r="C2611" s="17" t="n">
        <v>46347</v>
      </c>
      <c r="D2611" s="5">
        <f>IF(A2611="","",IF(C2611=DATE(2026,11,29),"培训；注册午餐；早餐参数",IF(C2611=DATE(2026,11,30),"培训；注册午餐",IF(C2611=DATE(2026,12,1),"培训；注册午餐；机构晚餐",IF(C2611=Options!$B$9,"抵达；"&amp;IF(C2611=DATE(2026,11,28),"机构晚餐","无统一供餐"),IF(C2611=Options!$B$10,"返程；"&amp;IF(C2611=DATE(2026,12,2),"机构午餐","无统一供餐"),"差旅状态；无统一日程"))))))</f>
        <v/>
      </c>
      <c r="E2611" s="13">
        <f>IF(C2611=Options!$B$9,Options!$C$21,0)</f>
        <v/>
      </c>
      <c r="F2611" s="13">
        <f>IF(AND(A2611&lt;&gt;"",C2611&lt;Options!$B$10),B2611*Options!$X$8,0)</f>
        <v/>
      </c>
      <c r="G2611" s="13">
        <f>F2611*12%</f>
        <v/>
      </c>
      <c r="H2611" s="13">
        <f>IF(A2611="",0,B2611*(92*IF(OR(C2611=Options!$B$9,C2611=Options!$B$10),75%,100%)-IF(C2611=DATE(2026,11,29),26+IF(Options!$B$8="是",23,0),0)-IF(C2611=DATE(2026,11,30),26,0)-IF(C2611=DATE(2026,12,1),64,0)-IF(C2611=DATE(2026,11,28),38,0)-IF(C2611=DATE(2026,12,2),26,0)))</f>
        <v/>
      </c>
      <c r="I2611" s="13">
        <f>IF(AND(C2611&gt;=DATE(2026,11,29),C2611&lt;=DATE(2026,12,1)),B2611*60,0)</f>
        <v/>
      </c>
      <c r="J2611" s="13">
        <f>IF(A2611="",0,B2611*(IF(C2611=DATE(2026,11,28),38,0)+IF(C2611=DATE(2026,12,1),38,0)+IF(C2611=DATE(2026,12,2),26,0)))</f>
        <v/>
      </c>
      <c r="K2611" s="13">
        <f>IF(C2611=Options!$B$9,B2611*12,0)</f>
        <v/>
      </c>
      <c r="L2611" s="13">
        <f>IF(C2611=Options!$B$9,B2611*Options!$Z$8,0)</f>
        <v/>
      </c>
      <c r="M2611" s="13" t="n">
        <v>0</v>
      </c>
      <c r="N2611" s="13">
        <f>SUM(E2611:M2611)</f>
        <v/>
      </c>
    </row>
    <row r="2612">
      <c r="A2612" s="5">
        <f>IF(AND(C2612&gt;=Options!$B$9,C2612&lt;=Options!$B$10),"Boston","")</f>
        <v/>
      </c>
      <c r="B2612" s="5">
        <f>IF(A2612="","",24)</f>
        <v/>
      </c>
      <c r="C2612" s="17" t="n">
        <v>46348</v>
      </c>
      <c r="D2612" s="5">
        <f>IF(A2612="","",IF(C2612=DATE(2026,11,29),"培训；注册午餐；早餐参数",IF(C2612=DATE(2026,11,30),"培训；注册午餐",IF(C2612=DATE(2026,12,1),"培训；注册午餐；机构晚餐",IF(C2612=Options!$B$9,"抵达；"&amp;IF(C2612=DATE(2026,11,28),"机构晚餐","无统一供餐"),IF(C2612=Options!$B$10,"返程；"&amp;IF(C2612=DATE(2026,12,2),"机构午餐","无统一供餐"),"差旅状态；无统一日程"))))))</f>
        <v/>
      </c>
      <c r="E2612" s="13">
        <f>IF(C2612=Options!$B$9,Options!$C$21,0)</f>
        <v/>
      </c>
      <c r="F2612" s="13">
        <f>IF(AND(A2612&lt;&gt;"",C2612&lt;Options!$B$10),B2612*Options!$X$8,0)</f>
        <v/>
      </c>
      <c r="G2612" s="13">
        <f>F2612*12%</f>
        <v/>
      </c>
      <c r="H2612" s="13">
        <f>IF(A2612="",0,B2612*(92*IF(OR(C2612=Options!$B$9,C2612=Options!$B$10),75%,100%)-IF(C2612=DATE(2026,11,29),26+IF(Options!$B$8="是",23,0),0)-IF(C2612=DATE(2026,11,30),26,0)-IF(C2612=DATE(2026,12,1),64,0)-IF(C2612=DATE(2026,11,28),38,0)-IF(C2612=DATE(2026,12,2),26,0)))</f>
        <v/>
      </c>
      <c r="I2612" s="13">
        <f>IF(AND(C2612&gt;=DATE(2026,11,29),C2612&lt;=DATE(2026,12,1)),B2612*60,0)</f>
        <v/>
      </c>
      <c r="J2612" s="13">
        <f>IF(A2612="",0,B2612*(IF(C2612=DATE(2026,11,28),38,0)+IF(C2612=DATE(2026,12,1),38,0)+IF(C2612=DATE(2026,12,2),26,0)))</f>
        <v/>
      </c>
      <c r="K2612" s="13">
        <f>IF(C2612=Options!$B$9,B2612*12,0)</f>
        <v/>
      </c>
      <c r="L2612" s="13">
        <f>IF(C2612=Options!$B$9,B2612*Options!$Z$8,0)</f>
        <v/>
      </c>
      <c r="M2612" s="13" t="n">
        <v>0</v>
      </c>
      <c r="N2612" s="13">
        <f>SUM(E2612:M2612)</f>
        <v/>
      </c>
    </row>
    <row r="2613">
      <c r="A2613" s="5">
        <f>IF(AND(C2613&gt;=Options!$B$9,C2613&lt;=Options!$B$10),"Boston","")</f>
        <v/>
      </c>
      <c r="B2613" s="5">
        <f>IF(A2613="","",24)</f>
        <v/>
      </c>
      <c r="C2613" s="17" t="n">
        <v>46349</v>
      </c>
      <c r="D2613" s="5">
        <f>IF(A2613="","",IF(C2613=DATE(2026,11,29),"培训；注册午餐；早餐参数",IF(C2613=DATE(2026,11,30),"培训；注册午餐",IF(C2613=DATE(2026,12,1),"培训；注册午餐；机构晚餐",IF(C2613=Options!$B$9,"抵达；"&amp;IF(C2613=DATE(2026,11,28),"机构晚餐","无统一供餐"),IF(C2613=Options!$B$10,"返程；"&amp;IF(C2613=DATE(2026,12,2),"机构午餐","无统一供餐"),"差旅状态；无统一日程"))))))</f>
        <v/>
      </c>
      <c r="E2613" s="13">
        <f>IF(C2613=Options!$B$9,Options!$C$21,0)</f>
        <v/>
      </c>
      <c r="F2613" s="13">
        <f>IF(AND(A2613&lt;&gt;"",C2613&lt;Options!$B$10),B2613*Options!$X$8,0)</f>
        <v/>
      </c>
      <c r="G2613" s="13">
        <f>F2613*12%</f>
        <v/>
      </c>
      <c r="H2613" s="13">
        <f>IF(A2613="",0,B2613*(92*IF(OR(C2613=Options!$B$9,C2613=Options!$B$10),75%,100%)-IF(C2613=DATE(2026,11,29),26+IF(Options!$B$8="是",23,0),0)-IF(C2613=DATE(2026,11,30),26,0)-IF(C2613=DATE(2026,12,1),64,0)-IF(C2613=DATE(2026,11,28),38,0)-IF(C2613=DATE(2026,12,2),26,0)))</f>
        <v/>
      </c>
      <c r="I2613" s="13">
        <f>IF(AND(C2613&gt;=DATE(2026,11,29),C2613&lt;=DATE(2026,12,1)),B2613*60,0)</f>
        <v/>
      </c>
      <c r="J2613" s="13">
        <f>IF(A2613="",0,B2613*(IF(C2613=DATE(2026,11,28),38,0)+IF(C2613=DATE(2026,12,1),38,0)+IF(C2613=DATE(2026,12,2),26,0)))</f>
        <v/>
      </c>
      <c r="K2613" s="13">
        <f>IF(C2613=Options!$B$9,B2613*12,0)</f>
        <v/>
      </c>
      <c r="L2613" s="13">
        <f>IF(C2613=Options!$B$9,B2613*Options!$Z$8,0)</f>
        <v/>
      </c>
      <c r="M2613" s="13" t="n">
        <v>0</v>
      </c>
      <c r="N2613" s="13">
        <f>SUM(E2613:M2613)</f>
        <v/>
      </c>
    </row>
    <row r="2614">
      <c r="A2614" s="5">
        <f>IF(AND(C2614&gt;=Options!$B$9,C2614&lt;=Options!$B$10),"Boston","")</f>
        <v/>
      </c>
      <c r="B2614" s="5">
        <f>IF(A2614="","",24)</f>
        <v/>
      </c>
      <c r="C2614" s="17" t="n">
        <v>46350</v>
      </c>
      <c r="D2614" s="5">
        <f>IF(A2614="","",IF(C2614=DATE(2026,11,29),"培训；注册午餐；早餐参数",IF(C2614=DATE(2026,11,30),"培训；注册午餐",IF(C2614=DATE(2026,12,1),"培训；注册午餐；机构晚餐",IF(C2614=Options!$B$9,"抵达；"&amp;IF(C2614=DATE(2026,11,28),"机构晚餐","无统一供餐"),IF(C2614=Options!$B$10,"返程；"&amp;IF(C2614=DATE(2026,12,2),"机构午餐","无统一供餐"),"差旅状态；无统一日程"))))))</f>
        <v/>
      </c>
      <c r="E2614" s="13">
        <f>IF(C2614=Options!$B$9,Options!$C$21,0)</f>
        <v/>
      </c>
      <c r="F2614" s="13">
        <f>IF(AND(A2614&lt;&gt;"",C2614&lt;Options!$B$10),B2614*Options!$X$8,0)</f>
        <v/>
      </c>
      <c r="G2614" s="13">
        <f>F2614*12%</f>
        <v/>
      </c>
      <c r="H2614" s="13">
        <f>IF(A2614="",0,B2614*(92*IF(OR(C2614=Options!$B$9,C2614=Options!$B$10),75%,100%)-IF(C2614=DATE(2026,11,29),26+IF(Options!$B$8="是",23,0),0)-IF(C2614=DATE(2026,11,30),26,0)-IF(C2614=DATE(2026,12,1),64,0)-IF(C2614=DATE(2026,11,28),38,0)-IF(C2614=DATE(2026,12,2),26,0)))</f>
        <v/>
      </c>
      <c r="I2614" s="13">
        <f>IF(AND(C2614&gt;=DATE(2026,11,29),C2614&lt;=DATE(2026,12,1)),B2614*60,0)</f>
        <v/>
      </c>
      <c r="J2614" s="13">
        <f>IF(A2614="",0,B2614*(IF(C2614=DATE(2026,11,28),38,0)+IF(C2614=DATE(2026,12,1),38,0)+IF(C2614=DATE(2026,12,2),26,0)))</f>
        <v/>
      </c>
      <c r="K2614" s="13">
        <f>IF(C2614=Options!$B$9,B2614*12,0)</f>
        <v/>
      </c>
      <c r="L2614" s="13">
        <f>IF(C2614=Options!$B$9,B2614*Options!$Z$8,0)</f>
        <v/>
      </c>
      <c r="M2614" s="13" t="n">
        <v>0</v>
      </c>
      <c r="N2614" s="13">
        <f>SUM(E2614:M2614)</f>
        <v/>
      </c>
    </row>
    <row r="2615">
      <c r="A2615" s="5">
        <f>IF(AND(C2615&gt;=Options!$B$9,C2615&lt;=Options!$B$10),"Boston","")</f>
        <v/>
      </c>
      <c r="B2615" s="5">
        <f>IF(A2615="","",24)</f>
        <v/>
      </c>
      <c r="C2615" s="17" t="n">
        <v>46351</v>
      </c>
      <c r="D2615" s="5">
        <f>IF(A2615="","",IF(C2615=DATE(2026,11,29),"培训；注册午餐；早餐参数",IF(C2615=DATE(2026,11,30),"培训；注册午餐",IF(C2615=DATE(2026,12,1),"培训；注册午餐；机构晚餐",IF(C2615=Options!$B$9,"抵达；"&amp;IF(C2615=DATE(2026,11,28),"机构晚餐","无统一供餐"),IF(C2615=Options!$B$10,"返程；"&amp;IF(C2615=DATE(2026,12,2),"机构午餐","无统一供餐"),"差旅状态；无统一日程"))))))</f>
        <v/>
      </c>
      <c r="E2615" s="13">
        <f>IF(C2615=Options!$B$9,Options!$C$21,0)</f>
        <v/>
      </c>
      <c r="F2615" s="13">
        <f>IF(AND(A2615&lt;&gt;"",C2615&lt;Options!$B$10),B2615*Options!$X$8,0)</f>
        <v/>
      </c>
      <c r="G2615" s="13">
        <f>F2615*12%</f>
        <v/>
      </c>
      <c r="H2615" s="13">
        <f>IF(A2615="",0,B2615*(92*IF(OR(C2615=Options!$B$9,C2615=Options!$B$10),75%,100%)-IF(C2615=DATE(2026,11,29),26+IF(Options!$B$8="是",23,0),0)-IF(C2615=DATE(2026,11,30),26,0)-IF(C2615=DATE(2026,12,1),64,0)-IF(C2615=DATE(2026,11,28),38,0)-IF(C2615=DATE(2026,12,2),26,0)))</f>
        <v/>
      </c>
      <c r="I2615" s="13">
        <f>IF(AND(C2615&gt;=DATE(2026,11,29),C2615&lt;=DATE(2026,12,1)),B2615*60,0)</f>
        <v/>
      </c>
      <c r="J2615" s="13">
        <f>IF(A2615="",0,B2615*(IF(C2615=DATE(2026,11,28),38,0)+IF(C2615=DATE(2026,12,1),38,0)+IF(C2615=DATE(2026,12,2),26,0)))</f>
        <v/>
      </c>
      <c r="K2615" s="13">
        <f>IF(C2615=Options!$B$9,B2615*12,0)</f>
        <v/>
      </c>
      <c r="L2615" s="13">
        <f>IF(C2615=Options!$B$9,B2615*Options!$Z$8,0)</f>
        <v/>
      </c>
      <c r="M2615" s="13" t="n">
        <v>0</v>
      </c>
      <c r="N2615" s="13">
        <f>SUM(E2615:M2615)</f>
        <v/>
      </c>
    </row>
    <row r="2616">
      <c r="A2616" s="5">
        <f>IF(AND(C2616&gt;=Options!$B$9,C2616&lt;=Options!$B$10),"Boston","")</f>
        <v/>
      </c>
      <c r="B2616" s="5">
        <f>IF(A2616="","",24)</f>
        <v/>
      </c>
      <c r="C2616" s="17" t="n">
        <v>46352</v>
      </c>
      <c r="D2616" s="5">
        <f>IF(A2616="","",IF(C2616=DATE(2026,11,29),"培训；注册午餐；早餐参数",IF(C2616=DATE(2026,11,30),"培训；注册午餐",IF(C2616=DATE(2026,12,1),"培训；注册午餐；机构晚餐",IF(C2616=Options!$B$9,"抵达；"&amp;IF(C2616=DATE(2026,11,28),"机构晚餐","无统一供餐"),IF(C2616=Options!$B$10,"返程；"&amp;IF(C2616=DATE(2026,12,2),"机构午餐","无统一供餐"),"差旅状态；无统一日程"))))))</f>
        <v/>
      </c>
      <c r="E2616" s="13">
        <f>IF(C2616=Options!$B$9,Options!$C$21,0)</f>
        <v/>
      </c>
      <c r="F2616" s="13">
        <f>IF(AND(A2616&lt;&gt;"",C2616&lt;Options!$B$10),B2616*Options!$X$8,0)</f>
        <v/>
      </c>
      <c r="G2616" s="13">
        <f>F2616*12%</f>
        <v/>
      </c>
      <c r="H2616" s="13">
        <f>IF(A2616="",0,B2616*(92*IF(OR(C2616=Options!$B$9,C2616=Options!$B$10),75%,100%)-IF(C2616=DATE(2026,11,29),26+IF(Options!$B$8="是",23,0),0)-IF(C2616=DATE(2026,11,30),26,0)-IF(C2616=DATE(2026,12,1),64,0)-IF(C2616=DATE(2026,11,28),38,0)-IF(C2616=DATE(2026,12,2),26,0)))</f>
        <v/>
      </c>
      <c r="I2616" s="13">
        <f>IF(AND(C2616&gt;=DATE(2026,11,29),C2616&lt;=DATE(2026,12,1)),B2616*60,0)</f>
        <v/>
      </c>
      <c r="J2616" s="13">
        <f>IF(A2616="",0,B2616*(IF(C2616=DATE(2026,11,28),38,0)+IF(C2616=DATE(2026,12,1),38,0)+IF(C2616=DATE(2026,12,2),26,0)))</f>
        <v/>
      </c>
      <c r="K2616" s="13">
        <f>IF(C2616=Options!$B$9,B2616*12,0)</f>
        <v/>
      </c>
      <c r="L2616" s="13">
        <f>IF(C2616=Options!$B$9,B2616*Options!$Z$8,0)</f>
        <v/>
      </c>
      <c r="M2616" s="13" t="n">
        <v>0</v>
      </c>
      <c r="N2616" s="13">
        <f>SUM(E2616:M2616)</f>
        <v/>
      </c>
    </row>
    <row r="2617">
      <c r="A2617" s="5">
        <f>IF(AND(C2617&gt;=Options!$B$9,C2617&lt;=Options!$B$10),"Boston","")</f>
        <v/>
      </c>
      <c r="B2617" s="5">
        <f>IF(A2617="","",24)</f>
        <v/>
      </c>
      <c r="C2617" s="17" t="n">
        <v>46353</v>
      </c>
      <c r="D2617" s="5">
        <f>IF(A2617="","",IF(C2617=DATE(2026,11,29),"培训；注册午餐；早餐参数",IF(C2617=DATE(2026,11,30),"培训；注册午餐",IF(C2617=DATE(2026,12,1),"培训；注册午餐；机构晚餐",IF(C2617=Options!$B$9,"抵达；"&amp;IF(C2617=DATE(2026,11,28),"机构晚餐","无统一供餐"),IF(C2617=Options!$B$10,"返程；"&amp;IF(C2617=DATE(2026,12,2),"机构午餐","无统一供餐"),"差旅状态；无统一日程"))))))</f>
        <v/>
      </c>
      <c r="E2617" s="13">
        <f>IF(C2617=Options!$B$9,Options!$C$21,0)</f>
        <v/>
      </c>
      <c r="F2617" s="13">
        <f>IF(AND(A2617&lt;&gt;"",C2617&lt;Options!$B$10),B2617*Options!$X$8,0)</f>
        <v/>
      </c>
      <c r="G2617" s="13">
        <f>F2617*12%</f>
        <v/>
      </c>
      <c r="H2617" s="13">
        <f>IF(A2617="",0,B2617*(92*IF(OR(C2617=Options!$B$9,C2617=Options!$B$10),75%,100%)-IF(C2617=DATE(2026,11,29),26+IF(Options!$B$8="是",23,0),0)-IF(C2617=DATE(2026,11,30),26,0)-IF(C2617=DATE(2026,12,1),64,0)-IF(C2617=DATE(2026,11,28),38,0)-IF(C2617=DATE(2026,12,2),26,0)))</f>
        <v/>
      </c>
      <c r="I2617" s="13">
        <f>IF(AND(C2617&gt;=DATE(2026,11,29),C2617&lt;=DATE(2026,12,1)),B2617*60,0)</f>
        <v/>
      </c>
      <c r="J2617" s="13">
        <f>IF(A2617="",0,B2617*(IF(C2617=DATE(2026,11,28),38,0)+IF(C2617=DATE(2026,12,1),38,0)+IF(C2617=DATE(2026,12,2),26,0)))</f>
        <v/>
      </c>
      <c r="K2617" s="13">
        <f>IF(C2617=Options!$B$9,B2617*12,0)</f>
        <v/>
      </c>
      <c r="L2617" s="13">
        <f>IF(C2617=Options!$B$9,B2617*Options!$Z$8,0)</f>
        <v/>
      </c>
      <c r="M2617" s="13" t="n">
        <v>0</v>
      </c>
      <c r="N2617" s="13">
        <f>SUM(E2617:M2617)</f>
        <v/>
      </c>
    </row>
    <row r="2618">
      <c r="A2618" s="5">
        <f>IF(AND(C2618&gt;=Options!$B$9,C2618&lt;=Options!$B$10),"Boston","")</f>
        <v/>
      </c>
      <c r="B2618" s="5">
        <f>IF(A2618="","",24)</f>
        <v/>
      </c>
      <c r="C2618" s="17" t="n">
        <v>46354</v>
      </c>
      <c r="D2618" s="5">
        <f>IF(A2618="","",IF(C2618=DATE(2026,11,29),"培训；注册午餐；早餐参数",IF(C2618=DATE(2026,11,30),"培训；注册午餐",IF(C2618=DATE(2026,12,1),"培训；注册午餐；机构晚餐",IF(C2618=Options!$B$9,"抵达；"&amp;IF(C2618=DATE(2026,11,28),"机构晚餐","无统一供餐"),IF(C2618=Options!$B$10,"返程；"&amp;IF(C2618=DATE(2026,12,2),"机构午餐","无统一供餐"),"差旅状态；无统一日程"))))))</f>
        <v/>
      </c>
      <c r="E2618" s="13">
        <f>IF(C2618=Options!$B$9,Options!$C$21,0)</f>
        <v/>
      </c>
      <c r="F2618" s="13">
        <f>IF(AND(A2618&lt;&gt;"",C2618&lt;Options!$B$10),B2618*Options!$X$8,0)</f>
        <v/>
      </c>
      <c r="G2618" s="13">
        <f>F2618*12%</f>
        <v/>
      </c>
      <c r="H2618" s="13">
        <f>IF(A2618="",0,B2618*(92*IF(OR(C2618=Options!$B$9,C2618=Options!$B$10),75%,100%)-IF(C2618=DATE(2026,11,29),26+IF(Options!$B$8="是",23,0),0)-IF(C2618=DATE(2026,11,30),26,0)-IF(C2618=DATE(2026,12,1),64,0)-IF(C2618=DATE(2026,11,28),38,0)-IF(C2618=DATE(2026,12,2),26,0)))</f>
        <v/>
      </c>
      <c r="I2618" s="13">
        <f>IF(AND(C2618&gt;=DATE(2026,11,29),C2618&lt;=DATE(2026,12,1)),B2618*60,0)</f>
        <v/>
      </c>
      <c r="J2618" s="13">
        <f>IF(A2618="",0,B2618*(IF(C2618=DATE(2026,11,28),38,0)+IF(C2618=DATE(2026,12,1),38,0)+IF(C2618=DATE(2026,12,2),26,0)))</f>
        <v/>
      </c>
      <c r="K2618" s="13">
        <f>IF(C2618=Options!$B$9,B2618*12,0)</f>
        <v/>
      </c>
      <c r="L2618" s="13">
        <f>IF(C2618=Options!$B$9,B2618*Options!$Z$8,0)</f>
        <v/>
      </c>
      <c r="M2618" s="13" t="n">
        <v>0</v>
      </c>
      <c r="N2618" s="13">
        <f>SUM(E2618:M2618)</f>
        <v/>
      </c>
    </row>
    <row r="2619">
      <c r="A2619" s="5">
        <f>IF(AND(C2619&gt;=Options!$B$9,C2619&lt;=Options!$B$10),"Boston","")</f>
        <v/>
      </c>
      <c r="B2619" s="5">
        <f>IF(A2619="","",24)</f>
        <v/>
      </c>
      <c r="C2619" s="17" t="n">
        <v>46355</v>
      </c>
      <c r="D2619" s="5">
        <f>IF(A2619="","",IF(C2619=DATE(2026,11,29),"培训；注册午餐；早餐参数",IF(C2619=DATE(2026,11,30),"培训；注册午餐",IF(C2619=DATE(2026,12,1),"培训；注册午餐；机构晚餐",IF(C2619=Options!$B$9,"抵达；"&amp;IF(C2619=DATE(2026,11,28),"机构晚餐","无统一供餐"),IF(C2619=Options!$B$10,"返程；"&amp;IF(C2619=DATE(2026,12,2),"机构午餐","无统一供餐"),"差旅状态；无统一日程"))))))</f>
        <v/>
      </c>
      <c r="E2619" s="13">
        <f>IF(C2619=Options!$B$9,Options!$C$21,0)</f>
        <v/>
      </c>
      <c r="F2619" s="13">
        <f>IF(AND(A2619&lt;&gt;"",C2619&lt;Options!$B$10),B2619*Options!$X$8,0)</f>
        <v/>
      </c>
      <c r="G2619" s="13">
        <f>F2619*12%</f>
        <v/>
      </c>
      <c r="H2619" s="13">
        <f>IF(A2619="",0,B2619*(92*IF(OR(C2619=Options!$B$9,C2619=Options!$B$10),75%,100%)-IF(C2619=DATE(2026,11,29),26+IF(Options!$B$8="是",23,0),0)-IF(C2619=DATE(2026,11,30),26,0)-IF(C2619=DATE(2026,12,1),64,0)-IF(C2619=DATE(2026,11,28),38,0)-IF(C2619=DATE(2026,12,2),26,0)))</f>
        <v/>
      </c>
      <c r="I2619" s="13">
        <f>IF(AND(C2619&gt;=DATE(2026,11,29),C2619&lt;=DATE(2026,12,1)),B2619*60,0)</f>
        <v/>
      </c>
      <c r="J2619" s="13">
        <f>IF(A2619="",0,B2619*(IF(C2619=DATE(2026,11,28),38,0)+IF(C2619=DATE(2026,12,1),38,0)+IF(C2619=DATE(2026,12,2),26,0)))</f>
        <v/>
      </c>
      <c r="K2619" s="13">
        <f>IF(C2619=Options!$B$9,B2619*12,0)</f>
        <v/>
      </c>
      <c r="L2619" s="13">
        <f>IF(C2619=Options!$B$9,B2619*Options!$Z$8,0)</f>
        <v/>
      </c>
      <c r="M2619" s="13" t="n">
        <v>0</v>
      </c>
      <c r="N2619" s="13">
        <f>SUM(E2619:M2619)</f>
        <v/>
      </c>
    </row>
    <row r="2620">
      <c r="A2620" s="5">
        <f>IF(AND(C2620&gt;=Options!$B$9,C2620&lt;=Options!$B$10),"Boston","")</f>
        <v/>
      </c>
      <c r="B2620" s="5">
        <f>IF(A2620="","",24)</f>
        <v/>
      </c>
      <c r="C2620" s="17" t="n">
        <v>46356</v>
      </c>
      <c r="D2620" s="5">
        <f>IF(A2620="","",IF(C2620=DATE(2026,11,29),"培训；注册午餐；早餐参数",IF(C2620=DATE(2026,11,30),"培训；注册午餐",IF(C2620=DATE(2026,12,1),"培训；注册午餐；机构晚餐",IF(C2620=Options!$B$9,"抵达；"&amp;IF(C2620=DATE(2026,11,28),"机构晚餐","无统一供餐"),IF(C2620=Options!$B$10,"返程；"&amp;IF(C2620=DATE(2026,12,2),"机构午餐","无统一供餐"),"差旅状态；无统一日程"))))))</f>
        <v/>
      </c>
      <c r="E2620" s="13">
        <f>IF(C2620=Options!$B$9,Options!$C$21,0)</f>
        <v/>
      </c>
      <c r="F2620" s="13">
        <f>IF(AND(A2620&lt;&gt;"",C2620&lt;Options!$B$10),B2620*Options!$X$8,0)</f>
        <v/>
      </c>
      <c r="G2620" s="13">
        <f>F2620*12%</f>
        <v/>
      </c>
      <c r="H2620" s="13">
        <f>IF(A2620="",0,B2620*(92*IF(OR(C2620=Options!$B$9,C2620=Options!$B$10),75%,100%)-IF(C2620=DATE(2026,11,29),26+IF(Options!$B$8="是",23,0),0)-IF(C2620=DATE(2026,11,30),26,0)-IF(C2620=DATE(2026,12,1),64,0)-IF(C2620=DATE(2026,11,28),38,0)-IF(C2620=DATE(2026,12,2),26,0)))</f>
        <v/>
      </c>
      <c r="I2620" s="13">
        <f>IF(AND(C2620&gt;=DATE(2026,11,29),C2620&lt;=DATE(2026,12,1)),B2620*60,0)</f>
        <v/>
      </c>
      <c r="J2620" s="13">
        <f>IF(A2620="",0,B2620*(IF(C2620=DATE(2026,11,28),38,0)+IF(C2620=DATE(2026,12,1),38,0)+IF(C2620=DATE(2026,12,2),26,0)))</f>
        <v/>
      </c>
      <c r="K2620" s="13">
        <f>IF(C2620=Options!$B$9,B2620*12,0)</f>
        <v/>
      </c>
      <c r="L2620" s="13">
        <f>IF(C2620=Options!$B$9,B2620*Options!$Z$8,0)</f>
        <v/>
      </c>
      <c r="M2620" s="13" t="n">
        <v>0</v>
      </c>
      <c r="N2620" s="13">
        <f>SUM(E2620:M2620)</f>
        <v/>
      </c>
    </row>
    <row r="2621">
      <c r="A2621" s="5">
        <f>IF(AND(C2621&gt;=Options!$B$9,C2621&lt;=Options!$B$10),"Boston","")</f>
        <v/>
      </c>
      <c r="B2621" s="5">
        <f>IF(A2621="","",24)</f>
        <v/>
      </c>
      <c r="C2621" s="17" t="n">
        <v>46357</v>
      </c>
      <c r="D2621" s="5">
        <f>IF(A2621="","",IF(C2621=DATE(2026,11,29),"培训；注册午餐；早餐参数",IF(C2621=DATE(2026,11,30),"培训；注册午餐",IF(C2621=DATE(2026,12,1),"培训；注册午餐；机构晚餐",IF(C2621=Options!$B$9,"抵达；"&amp;IF(C2621=DATE(2026,11,28),"机构晚餐","无统一供餐"),IF(C2621=Options!$B$10,"返程；"&amp;IF(C2621=DATE(2026,12,2),"机构午餐","无统一供餐"),"差旅状态；无统一日程"))))))</f>
        <v/>
      </c>
      <c r="E2621" s="13">
        <f>IF(C2621=Options!$B$9,Options!$C$21,0)</f>
        <v/>
      </c>
      <c r="F2621" s="13">
        <f>IF(AND(A2621&lt;&gt;"",C2621&lt;Options!$B$10),B2621*Options!$X$8,0)</f>
        <v/>
      </c>
      <c r="G2621" s="13">
        <f>F2621*12%</f>
        <v/>
      </c>
      <c r="H2621" s="13">
        <f>IF(A2621="",0,B2621*(92*IF(OR(C2621=Options!$B$9,C2621=Options!$B$10),75%,100%)-IF(C2621=DATE(2026,11,29),26+IF(Options!$B$8="是",23,0),0)-IF(C2621=DATE(2026,11,30),26,0)-IF(C2621=DATE(2026,12,1),64,0)-IF(C2621=DATE(2026,11,28),38,0)-IF(C2621=DATE(2026,12,2),26,0)))</f>
        <v/>
      </c>
      <c r="I2621" s="13">
        <f>IF(AND(C2621&gt;=DATE(2026,11,29),C2621&lt;=DATE(2026,12,1)),B2621*60,0)</f>
        <v/>
      </c>
      <c r="J2621" s="13">
        <f>IF(A2621="",0,B2621*(IF(C2621=DATE(2026,11,28),38,0)+IF(C2621=DATE(2026,12,1),38,0)+IF(C2621=DATE(2026,12,2),26,0)))</f>
        <v/>
      </c>
      <c r="K2621" s="13">
        <f>IF(C2621=Options!$B$9,B2621*12,0)</f>
        <v/>
      </c>
      <c r="L2621" s="13">
        <f>IF(C2621=Options!$B$9,B2621*Options!$Z$8,0)</f>
        <v/>
      </c>
      <c r="M2621" s="13" t="n">
        <v>0</v>
      </c>
      <c r="N2621" s="13">
        <f>SUM(E2621:M2621)</f>
        <v/>
      </c>
    </row>
    <row r="2622">
      <c r="A2622" s="5">
        <f>IF(AND(C2622&gt;=Options!$B$9,C2622&lt;=Options!$B$10),"Boston","")</f>
        <v/>
      </c>
      <c r="B2622" s="5">
        <f>IF(A2622="","",24)</f>
        <v/>
      </c>
      <c r="C2622" s="17" t="n">
        <v>46358</v>
      </c>
      <c r="D2622" s="5">
        <f>IF(A2622="","",IF(C2622=DATE(2026,11,29),"培训；注册午餐；早餐参数",IF(C2622=DATE(2026,11,30),"培训；注册午餐",IF(C2622=DATE(2026,12,1),"培训；注册午餐；机构晚餐",IF(C2622=Options!$B$9,"抵达；"&amp;IF(C2622=DATE(2026,11,28),"机构晚餐","无统一供餐"),IF(C2622=Options!$B$10,"返程；"&amp;IF(C2622=DATE(2026,12,2),"机构午餐","无统一供餐"),"差旅状态；无统一日程"))))))</f>
        <v/>
      </c>
      <c r="E2622" s="13">
        <f>IF(C2622=Options!$B$9,Options!$C$21,0)</f>
        <v/>
      </c>
      <c r="F2622" s="13">
        <f>IF(AND(A2622&lt;&gt;"",C2622&lt;Options!$B$10),B2622*Options!$X$8,0)</f>
        <v/>
      </c>
      <c r="G2622" s="13">
        <f>F2622*12%</f>
        <v/>
      </c>
      <c r="H2622" s="13">
        <f>IF(A2622="",0,B2622*(92*IF(OR(C2622=Options!$B$9,C2622=Options!$B$10),75%,100%)-IF(C2622=DATE(2026,11,29),26+IF(Options!$B$8="是",23,0),0)-IF(C2622=DATE(2026,11,30),26,0)-IF(C2622=DATE(2026,12,1),64,0)-IF(C2622=DATE(2026,11,28),38,0)-IF(C2622=DATE(2026,12,2),26,0)))</f>
        <v/>
      </c>
      <c r="I2622" s="13">
        <f>IF(AND(C2622&gt;=DATE(2026,11,29),C2622&lt;=DATE(2026,12,1)),B2622*60,0)</f>
        <v/>
      </c>
      <c r="J2622" s="13">
        <f>IF(A2622="",0,B2622*(IF(C2622=DATE(2026,11,28),38,0)+IF(C2622=DATE(2026,12,1),38,0)+IF(C2622=DATE(2026,12,2),26,0)))</f>
        <v/>
      </c>
      <c r="K2622" s="13">
        <f>IF(C2622=Options!$B$9,B2622*12,0)</f>
        <v/>
      </c>
      <c r="L2622" s="13">
        <f>IF(C2622=Options!$B$9,B2622*Options!$Z$8,0)</f>
        <v/>
      </c>
      <c r="M2622" s="13" t="n">
        <v>0</v>
      </c>
      <c r="N2622" s="13">
        <f>SUM(E2622:M2622)</f>
        <v/>
      </c>
    </row>
    <row r="2623">
      <c r="A2623" s="5">
        <f>IF(AND(C2623&gt;=Options!$B$9,C2623&lt;=Options!$B$10),"Boston","")</f>
        <v/>
      </c>
      <c r="B2623" s="5">
        <f>IF(A2623="","",24)</f>
        <v/>
      </c>
      <c r="C2623" s="17" t="n">
        <v>46359</v>
      </c>
      <c r="D2623" s="5">
        <f>IF(A2623="","",IF(C2623=DATE(2026,11,29),"培训；注册午餐；早餐参数",IF(C2623=DATE(2026,11,30),"培训；注册午餐",IF(C2623=DATE(2026,12,1),"培训；注册午餐；机构晚餐",IF(C2623=Options!$B$9,"抵达；"&amp;IF(C2623=DATE(2026,11,28),"机构晚餐","无统一供餐"),IF(C2623=Options!$B$10,"返程；"&amp;IF(C2623=DATE(2026,12,2),"机构午餐","无统一供餐"),"差旅状态；无统一日程"))))))</f>
        <v/>
      </c>
      <c r="E2623" s="13">
        <f>IF(C2623=Options!$B$9,Options!$C$21,0)</f>
        <v/>
      </c>
      <c r="F2623" s="13">
        <f>IF(AND(A2623&lt;&gt;"",C2623&lt;Options!$B$10),B2623*Options!$X$8,0)</f>
        <v/>
      </c>
      <c r="G2623" s="13">
        <f>F2623*12%</f>
        <v/>
      </c>
      <c r="H2623" s="13">
        <f>IF(A2623="",0,B2623*(92*IF(OR(C2623=Options!$B$9,C2623=Options!$B$10),75%,100%)-IF(C2623=DATE(2026,11,29),26+IF(Options!$B$8="是",23,0),0)-IF(C2623=DATE(2026,11,30),26,0)-IF(C2623=DATE(2026,12,1),64,0)-IF(C2623=DATE(2026,11,28),38,0)-IF(C2623=DATE(2026,12,2),26,0)))</f>
        <v/>
      </c>
      <c r="I2623" s="13">
        <f>IF(AND(C2623&gt;=DATE(2026,11,29),C2623&lt;=DATE(2026,12,1)),B2623*60,0)</f>
        <v/>
      </c>
      <c r="J2623" s="13">
        <f>IF(A2623="",0,B2623*(IF(C2623=DATE(2026,11,28),38,0)+IF(C2623=DATE(2026,12,1),38,0)+IF(C2623=DATE(2026,12,2),26,0)))</f>
        <v/>
      </c>
      <c r="K2623" s="13">
        <f>IF(C2623=Options!$B$9,B2623*12,0)</f>
        <v/>
      </c>
      <c r="L2623" s="13">
        <f>IF(C2623=Options!$B$9,B2623*Options!$Z$8,0)</f>
        <v/>
      </c>
      <c r="M2623" s="13" t="n">
        <v>0</v>
      </c>
      <c r="N2623" s="13">
        <f>SUM(E2623:M2623)</f>
        <v/>
      </c>
    </row>
    <row r="2624">
      <c r="A2624" s="5">
        <f>IF(AND(C2624&gt;=Options!$B$9,C2624&lt;=Options!$B$10),"Boston","")</f>
        <v/>
      </c>
      <c r="B2624" s="5">
        <f>IF(A2624="","",24)</f>
        <v/>
      </c>
      <c r="C2624" s="17" t="n">
        <v>46360</v>
      </c>
      <c r="D2624" s="5">
        <f>IF(A2624="","",IF(C2624=DATE(2026,11,29),"培训；注册午餐；早餐参数",IF(C2624=DATE(2026,11,30),"培训；注册午餐",IF(C2624=DATE(2026,12,1),"培训；注册午餐；机构晚餐",IF(C2624=Options!$B$9,"抵达；"&amp;IF(C2624=DATE(2026,11,28),"机构晚餐","无统一供餐"),IF(C2624=Options!$B$10,"返程；"&amp;IF(C2624=DATE(2026,12,2),"机构午餐","无统一供餐"),"差旅状态；无统一日程"))))))</f>
        <v/>
      </c>
      <c r="E2624" s="13">
        <f>IF(C2624=Options!$B$9,Options!$C$21,0)</f>
        <v/>
      </c>
      <c r="F2624" s="13">
        <f>IF(AND(A2624&lt;&gt;"",C2624&lt;Options!$B$10),B2624*Options!$X$8,0)</f>
        <v/>
      </c>
      <c r="G2624" s="13">
        <f>F2624*12%</f>
        <v/>
      </c>
      <c r="H2624" s="13">
        <f>IF(A2624="",0,B2624*(92*IF(OR(C2624=Options!$B$9,C2624=Options!$B$10),75%,100%)-IF(C2624=DATE(2026,11,29),26+IF(Options!$B$8="是",23,0),0)-IF(C2624=DATE(2026,11,30),26,0)-IF(C2624=DATE(2026,12,1),64,0)-IF(C2624=DATE(2026,11,28),38,0)-IF(C2624=DATE(2026,12,2),26,0)))</f>
        <v/>
      </c>
      <c r="I2624" s="13">
        <f>IF(AND(C2624&gt;=DATE(2026,11,29),C2624&lt;=DATE(2026,12,1)),B2624*60,0)</f>
        <v/>
      </c>
      <c r="J2624" s="13">
        <f>IF(A2624="",0,B2624*(IF(C2624=DATE(2026,11,28),38,0)+IF(C2624=DATE(2026,12,1),38,0)+IF(C2624=DATE(2026,12,2),26,0)))</f>
        <v/>
      </c>
      <c r="K2624" s="13">
        <f>IF(C2624=Options!$B$9,B2624*12,0)</f>
        <v/>
      </c>
      <c r="L2624" s="13">
        <f>IF(C2624=Options!$B$9,B2624*Options!$Z$8,0)</f>
        <v/>
      </c>
      <c r="M2624" s="13" t="n">
        <v>0</v>
      </c>
      <c r="N2624" s="13">
        <f>SUM(E2624:M2624)</f>
        <v/>
      </c>
    </row>
    <row r="2625">
      <c r="A2625" s="5">
        <f>IF(AND(C2625&gt;=Options!$B$9,C2625&lt;=Options!$B$10),"Boston","")</f>
        <v/>
      </c>
      <c r="B2625" s="5">
        <f>IF(A2625="","",24)</f>
        <v/>
      </c>
      <c r="C2625" s="17" t="n">
        <v>46361</v>
      </c>
      <c r="D2625" s="5">
        <f>IF(A2625="","",IF(C2625=DATE(2026,11,29),"培训；注册午餐；早餐参数",IF(C2625=DATE(2026,11,30),"培训；注册午餐",IF(C2625=DATE(2026,12,1),"培训；注册午餐；机构晚餐",IF(C2625=Options!$B$9,"抵达；"&amp;IF(C2625=DATE(2026,11,28),"机构晚餐","无统一供餐"),IF(C2625=Options!$B$10,"返程；"&amp;IF(C2625=DATE(2026,12,2),"机构午餐","无统一供餐"),"差旅状态；无统一日程"))))))</f>
        <v/>
      </c>
      <c r="E2625" s="13">
        <f>IF(C2625=Options!$B$9,Options!$C$21,0)</f>
        <v/>
      </c>
      <c r="F2625" s="13">
        <f>IF(AND(A2625&lt;&gt;"",C2625&lt;Options!$B$10),B2625*Options!$X$8,0)</f>
        <v/>
      </c>
      <c r="G2625" s="13">
        <f>F2625*12%</f>
        <v/>
      </c>
      <c r="H2625" s="13">
        <f>IF(A2625="",0,B2625*(92*IF(OR(C2625=Options!$B$9,C2625=Options!$B$10),75%,100%)-IF(C2625=DATE(2026,11,29),26+IF(Options!$B$8="是",23,0),0)-IF(C2625=DATE(2026,11,30),26,0)-IF(C2625=DATE(2026,12,1),64,0)-IF(C2625=DATE(2026,11,28),38,0)-IF(C2625=DATE(2026,12,2),26,0)))</f>
        <v/>
      </c>
      <c r="I2625" s="13">
        <f>IF(AND(C2625&gt;=DATE(2026,11,29),C2625&lt;=DATE(2026,12,1)),B2625*60,0)</f>
        <v/>
      </c>
      <c r="J2625" s="13">
        <f>IF(A2625="",0,B2625*(IF(C2625=DATE(2026,11,28),38,0)+IF(C2625=DATE(2026,12,1),38,0)+IF(C2625=DATE(2026,12,2),26,0)))</f>
        <v/>
      </c>
      <c r="K2625" s="13">
        <f>IF(C2625=Options!$B$9,B2625*12,0)</f>
        <v/>
      </c>
      <c r="L2625" s="13">
        <f>IF(C2625=Options!$B$9,B2625*Options!$Z$8,0)</f>
        <v/>
      </c>
      <c r="M2625" s="13" t="n">
        <v>0</v>
      </c>
      <c r="N2625" s="13">
        <f>SUM(E2625:M2625)</f>
        <v/>
      </c>
    </row>
    <row r="2626">
      <c r="A2626" s="5">
        <f>IF(AND(C2626&gt;=Options!$B$9,C2626&lt;=Options!$B$10),"Boston","")</f>
        <v/>
      </c>
      <c r="B2626" s="5">
        <f>IF(A2626="","",24)</f>
        <v/>
      </c>
      <c r="C2626" s="17" t="n">
        <v>46362</v>
      </c>
      <c r="D2626" s="5">
        <f>IF(A2626="","",IF(C2626=DATE(2026,11,29),"培训；注册午餐；早餐参数",IF(C2626=DATE(2026,11,30),"培训；注册午餐",IF(C2626=DATE(2026,12,1),"培训；注册午餐；机构晚餐",IF(C2626=Options!$B$9,"抵达；"&amp;IF(C2626=DATE(2026,11,28),"机构晚餐","无统一供餐"),IF(C2626=Options!$B$10,"返程；"&amp;IF(C2626=DATE(2026,12,2),"机构午餐","无统一供餐"),"差旅状态；无统一日程"))))))</f>
        <v/>
      </c>
      <c r="E2626" s="13">
        <f>IF(C2626=Options!$B$9,Options!$C$21,0)</f>
        <v/>
      </c>
      <c r="F2626" s="13">
        <f>IF(AND(A2626&lt;&gt;"",C2626&lt;Options!$B$10),B2626*Options!$X$8,0)</f>
        <v/>
      </c>
      <c r="G2626" s="13">
        <f>F2626*12%</f>
        <v/>
      </c>
      <c r="H2626" s="13">
        <f>IF(A2626="",0,B2626*(92*IF(OR(C2626=Options!$B$9,C2626=Options!$B$10),75%,100%)-IF(C2626=DATE(2026,11,29),26+IF(Options!$B$8="是",23,0),0)-IF(C2626=DATE(2026,11,30),26,0)-IF(C2626=DATE(2026,12,1),64,0)-IF(C2626=DATE(2026,11,28),38,0)-IF(C2626=DATE(2026,12,2),26,0)))</f>
        <v/>
      </c>
      <c r="I2626" s="13">
        <f>IF(AND(C2626&gt;=DATE(2026,11,29),C2626&lt;=DATE(2026,12,1)),B2626*60,0)</f>
        <v/>
      </c>
      <c r="J2626" s="13">
        <f>IF(A2626="",0,B2626*(IF(C2626=DATE(2026,11,28),38,0)+IF(C2626=DATE(2026,12,1),38,0)+IF(C2626=DATE(2026,12,2),26,0)))</f>
        <v/>
      </c>
      <c r="K2626" s="13">
        <f>IF(C2626=Options!$B$9,B2626*12,0)</f>
        <v/>
      </c>
      <c r="L2626" s="13">
        <f>IF(C2626=Options!$B$9,B2626*Options!$Z$8,0)</f>
        <v/>
      </c>
      <c r="M2626" s="13" t="n">
        <v>0</v>
      </c>
      <c r="N2626" s="13">
        <f>SUM(E2626:M2626)</f>
        <v/>
      </c>
    </row>
    <row r="2627">
      <c r="A2627" s="5">
        <f>IF(AND(C2627&gt;=Options!$B$9,C2627&lt;=Options!$B$10),"Boston","")</f>
        <v/>
      </c>
      <c r="B2627" s="5">
        <f>IF(A2627="","",24)</f>
        <v/>
      </c>
      <c r="C2627" s="17" t="n">
        <v>46363</v>
      </c>
      <c r="D2627" s="5">
        <f>IF(A2627="","",IF(C2627=DATE(2026,11,29),"培训；注册午餐；早餐参数",IF(C2627=DATE(2026,11,30),"培训；注册午餐",IF(C2627=DATE(2026,12,1),"培训；注册午餐；机构晚餐",IF(C2627=Options!$B$9,"抵达；"&amp;IF(C2627=DATE(2026,11,28),"机构晚餐","无统一供餐"),IF(C2627=Options!$B$10,"返程；"&amp;IF(C2627=DATE(2026,12,2),"机构午餐","无统一供餐"),"差旅状态；无统一日程"))))))</f>
        <v/>
      </c>
      <c r="E2627" s="13">
        <f>IF(C2627=Options!$B$9,Options!$C$21,0)</f>
        <v/>
      </c>
      <c r="F2627" s="13">
        <f>IF(AND(A2627&lt;&gt;"",C2627&lt;Options!$B$10),B2627*Options!$X$8,0)</f>
        <v/>
      </c>
      <c r="G2627" s="13">
        <f>F2627*12%</f>
        <v/>
      </c>
      <c r="H2627" s="13">
        <f>IF(A2627="",0,B2627*(92*IF(OR(C2627=Options!$B$9,C2627=Options!$B$10),75%,100%)-IF(C2627=DATE(2026,11,29),26+IF(Options!$B$8="是",23,0),0)-IF(C2627=DATE(2026,11,30),26,0)-IF(C2627=DATE(2026,12,1),64,0)-IF(C2627=DATE(2026,11,28),38,0)-IF(C2627=DATE(2026,12,2),26,0)))</f>
        <v/>
      </c>
      <c r="I2627" s="13">
        <f>IF(AND(C2627&gt;=DATE(2026,11,29),C2627&lt;=DATE(2026,12,1)),B2627*60,0)</f>
        <v/>
      </c>
      <c r="J2627" s="13">
        <f>IF(A2627="",0,B2627*(IF(C2627=DATE(2026,11,28),38,0)+IF(C2627=DATE(2026,12,1),38,0)+IF(C2627=DATE(2026,12,2),26,0)))</f>
        <v/>
      </c>
      <c r="K2627" s="13">
        <f>IF(C2627=Options!$B$9,B2627*12,0)</f>
        <v/>
      </c>
      <c r="L2627" s="13">
        <f>IF(C2627=Options!$B$9,B2627*Options!$Z$8,0)</f>
        <v/>
      </c>
      <c r="M2627" s="13" t="n">
        <v>0</v>
      </c>
      <c r="N2627" s="13">
        <f>SUM(E2627:M2627)</f>
        <v/>
      </c>
    </row>
    <row r="2628">
      <c r="A2628" s="5">
        <f>IF(AND(C2628&gt;=Options!$B$9,C2628&lt;=Options!$B$10),"Boston","")</f>
        <v/>
      </c>
      <c r="B2628" s="5">
        <f>IF(A2628="","",24)</f>
        <v/>
      </c>
      <c r="C2628" s="17" t="n">
        <v>46364</v>
      </c>
      <c r="D2628" s="5">
        <f>IF(A2628="","",IF(C2628=DATE(2026,11,29),"培训；注册午餐；早餐参数",IF(C2628=DATE(2026,11,30),"培训；注册午餐",IF(C2628=DATE(2026,12,1),"培训；注册午餐；机构晚餐",IF(C2628=Options!$B$9,"抵达；"&amp;IF(C2628=DATE(2026,11,28),"机构晚餐","无统一供餐"),IF(C2628=Options!$B$10,"返程；"&amp;IF(C2628=DATE(2026,12,2),"机构午餐","无统一供餐"),"差旅状态；无统一日程"))))))</f>
        <v/>
      </c>
      <c r="E2628" s="13">
        <f>IF(C2628=Options!$B$9,Options!$C$21,0)</f>
        <v/>
      </c>
      <c r="F2628" s="13">
        <f>IF(AND(A2628&lt;&gt;"",C2628&lt;Options!$B$10),B2628*Options!$X$8,0)</f>
        <v/>
      </c>
      <c r="G2628" s="13">
        <f>F2628*12%</f>
        <v/>
      </c>
      <c r="H2628" s="13">
        <f>IF(A2628="",0,B2628*(92*IF(OR(C2628=Options!$B$9,C2628=Options!$B$10),75%,100%)-IF(C2628=DATE(2026,11,29),26+IF(Options!$B$8="是",23,0),0)-IF(C2628=DATE(2026,11,30),26,0)-IF(C2628=DATE(2026,12,1),64,0)-IF(C2628=DATE(2026,11,28),38,0)-IF(C2628=DATE(2026,12,2),26,0)))</f>
        <v/>
      </c>
      <c r="I2628" s="13">
        <f>IF(AND(C2628&gt;=DATE(2026,11,29),C2628&lt;=DATE(2026,12,1)),B2628*60,0)</f>
        <v/>
      </c>
      <c r="J2628" s="13">
        <f>IF(A2628="",0,B2628*(IF(C2628=DATE(2026,11,28),38,0)+IF(C2628=DATE(2026,12,1),38,0)+IF(C2628=DATE(2026,12,2),26,0)))</f>
        <v/>
      </c>
      <c r="K2628" s="13">
        <f>IF(C2628=Options!$B$9,B2628*12,0)</f>
        <v/>
      </c>
      <c r="L2628" s="13">
        <f>IF(C2628=Options!$B$9,B2628*Options!$Z$8,0)</f>
        <v/>
      </c>
      <c r="M2628" s="13" t="n">
        <v>0</v>
      </c>
      <c r="N2628" s="13">
        <f>SUM(E2628:M2628)</f>
        <v/>
      </c>
    </row>
    <row r="2629">
      <c r="A2629" s="5">
        <f>IF(AND(C2629&gt;=Options!$B$9,C2629&lt;=Options!$B$10),"Boston","")</f>
        <v/>
      </c>
      <c r="B2629" s="5">
        <f>IF(A2629="","",24)</f>
        <v/>
      </c>
      <c r="C2629" s="17" t="n">
        <v>46365</v>
      </c>
      <c r="D2629" s="5">
        <f>IF(A2629="","",IF(C2629=DATE(2026,11,29),"培训；注册午餐；早餐参数",IF(C2629=DATE(2026,11,30),"培训；注册午餐",IF(C2629=DATE(2026,12,1),"培训；注册午餐；机构晚餐",IF(C2629=Options!$B$9,"抵达；"&amp;IF(C2629=DATE(2026,11,28),"机构晚餐","无统一供餐"),IF(C2629=Options!$B$10,"返程；"&amp;IF(C2629=DATE(2026,12,2),"机构午餐","无统一供餐"),"差旅状态；无统一日程"))))))</f>
        <v/>
      </c>
      <c r="E2629" s="13">
        <f>IF(C2629=Options!$B$9,Options!$C$21,0)</f>
        <v/>
      </c>
      <c r="F2629" s="13">
        <f>IF(AND(A2629&lt;&gt;"",C2629&lt;Options!$B$10),B2629*Options!$X$8,0)</f>
        <v/>
      </c>
      <c r="G2629" s="13">
        <f>F2629*12%</f>
        <v/>
      </c>
      <c r="H2629" s="13">
        <f>IF(A2629="",0,B2629*(92*IF(OR(C2629=Options!$B$9,C2629=Options!$B$10),75%,100%)-IF(C2629=DATE(2026,11,29),26+IF(Options!$B$8="是",23,0),0)-IF(C2629=DATE(2026,11,30),26,0)-IF(C2629=DATE(2026,12,1),64,0)-IF(C2629=DATE(2026,11,28),38,0)-IF(C2629=DATE(2026,12,2),26,0)))</f>
        <v/>
      </c>
      <c r="I2629" s="13">
        <f>IF(AND(C2629&gt;=DATE(2026,11,29),C2629&lt;=DATE(2026,12,1)),B2629*60,0)</f>
        <v/>
      </c>
      <c r="J2629" s="13">
        <f>IF(A2629="",0,B2629*(IF(C2629=DATE(2026,11,28),38,0)+IF(C2629=DATE(2026,12,1),38,0)+IF(C2629=DATE(2026,12,2),26,0)))</f>
        <v/>
      </c>
      <c r="K2629" s="13">
        <f>IF(C2629=Options!$B$9,B2629*12,0)</f>
        <v/>
      </c>
      <c r="L2629" s="13">
        <f>IF(C2629=Options!$B$9,B2629*Options!$Z$8,0)</f>
        <v/>
      </c>
      <c r="M2629" s="13" t="n">
        <v>0</v>
      </c>
      <c r="N2629" s="13">
        <f>SUM(E2629:M2629)</f>
        <v/>
      </c>
    </row>
    <row r="2630">
      <c r="A2630" s="5">
        <f>IF(AND(C2630&gt;=Options!$B$9,C2630&lt;=Options!$B$10),"Boston","")</f>
        <v/>
      </c>
      <c r="B2630" s="5">
        <f>IF(A2630="","",24)</f>
        <v/>
      </c>
      <c r="C2630" s="17" t="n">
        <v>46366</v>
      </c>
      <c r="D2630" s="5">
        <f>IF(A2630="","",IF(C2630=DATE(2026,11,29),"培训；注册午餐；早餐参数",IF(C2630=DATE(2026,11,30),"培训；注册午餐",IF(C2630=DATE(2026,12,1),"培训；注册午餐；机构晚餐",IF(C2630=Options!$B$9,"抵达；"&amp;IF(C2630=DATE(2026,11,28),"机构晚餐","无统一供餐"),IF(C2630=Options!$B$10,"返程；"&amp;IF(C2630=DATE(2026,12,2),"机构午餐","无统一供餐"),"差旅状态；无统一日程"))))))</f>
        <v/>
      </c>
      <c r="E2630" s="13">
        <f>IF(C2630=Options!$B$9,Options!$C$21,0)</f>
        <v/>
      </c>
      <c r="F2630" s="13">
        <f>IF(AND(A2630&lt;&gt;"",C2630&lt;Options!$B$10),B2630*Options!$X$8,0)</f>
        <v/>
      </c>
      <c r="G2630" s="13">
        <f>F2630*12%</f>
        <v/>
      </c>
      <c r="H2630" s="13">
        <f>IF(A2630="",0,B2630*(92*IF(OR(C2630=Options!$B$9,C2630=Options!$B$10),75%,100%)-IF(C2630=DATE(2026,11,29),26+IF(Options!$B$8="是",23,0),0)-IF(C2630=DATE(2026,11,30),26,0)-IF(C2630=DATE(2026,12,1),64,0)-IF(C2630=DATE(2026,11,28),38,0)-IF(C2630=DATE(2026,12,2),26,0)))</f>
        <v/>
      </c>
      <c r="I2630" s="13">
        <f>IF(AND(C2630&gt;=DATE(2026,11,29),C2630&lt;=DATE(2026,12,1)),B2630*60,0)</f>
        <v/>
      </c>
      <c r="J2630" s="13">
        <f>IF(A2630="",0,B2630*(IF(C2630=DATE(2026,11,28),38,0)+IF(C2630=DATE(2026,12,1),38,0)+IF(C2630=DATE(2026,12,2),26,0)))</f>
        <v/>
      </c>
      <c r="K2630" s="13">
        <f>IF(C2630=Options!$B$9,B2630*12,0)</f>
        <v/>
      </c>
      <c r="L2630" s="13">
        <f>IF(C2630=Options!$B$9,B2630*Options!$Z$8,0)</f>
        <v/>
      </c>
      <c r="M2630" s="13" t="n">
        <v>0</v>
      </c>
      <c r="N2630" s="13">
        <f>SUM(E2630:M2630)</f>
        <v/>
      </c>
    </row>
    <row r="2631">
      <c r="A2631" s="5">
        <f>IF(AND(C2631&gt;=Options!$B$9,C2631&lt;=Options!$B$10),"Boston","")</f>
        <v/>
      </c>
      <c r="B2631" s="5">
        <f>IF(A2631="","",24)</f>
        <v/>
      </c>
      <c r="C2631" s="17" t="n">
        <v>46367</v>
      </c>
      <c r="D2631" s="5">
        <f>IF(A2631="","",IF(C2631=DATE(2026,11,29),"培训；注册午餐；早餐参数",IF(C2631=DATE(2026,11,30),"培训；注册午餐",IF(C2631=DATE(2026,12,1),"培训；注册午餐；机构晚餐",IF(C2631=Options!$B$9,"抵达；"&amp;IF(C2631=DATE(2026,11,28),"机构晚餐","无统一供餐"),IF(C2631=Options!$B$10,"返程；"&amp;IF(C2631=DATE(2026,12,2),"机构午餐","无统一供餐"),"差旅状态；无统一日程"))))))</f>
        <v/>
      </c>
      <c r="E2631" s="13">
        <f>IF(C2631=Options!$B$9,Options!$C$21,0)</f>
        <v/>
      </c>
      <c r="F2631" s="13">
        <f>IF(AND(A2631&lt;&gt;"",C2631&lt;Options!$B$10),B2631*Options!$X$8,0)</f>
        <v/>
      </c>
      <c r="G2631" s="13">
        <f>F2631*12%</f>
        <v/>
      </c>
      <c r="H2631" s="13">
        <f>IF(A2631="",0,B2631*(92*IF(OR(C2631=Options!$B$9,C2631=Options!$B$10),75%,100%)-IF(C2631=DATE(2026,11,29),26+IF(Options!$B$8="是",23,0),0)-IF(C2631=DATE(2026,11,30),26,0)-IF(C2631=DATE(2026,12,1),64,0)-IF(C2631=DATE(2026,11,28),38,0)-IF(C2631=DATE(2026,12,2),26,0)))</f>
        <v/>
      </c>
      <c r="I2631" s="13">
        <f>IF(AND(C2631&gt;=DATE(2026,11,29),C2631&lt;=DATE(2026,12,1)),B2631*60,0)</f>
        <v/>
      </c>
      <c r="J2631" s="13">
        <f>IF(A2631="",0,B2631*(IF(C2631=DATE(2026,11,28),38,0)+IF(C2631=DATE(2026,12,1),38,0)+IF(C2631=DATE(2026,12,2),26,0)))</f>
        <v/>
      </c>
      <c r="K2631" s="13">
        <f>IF(C2631=Options!$B$9,B2631*12,0)</f>
        <v/>
      </c>
      <c r="L2631" s="13">
        <f>IF(C2631=Options!$B$9,B2631*Options!$Z$8,0)</f>
        <v/>
      </c>
      <c r="M2631" s="13" t="n">
        <v>0</v>
      </c>
      <c r="N2631" s="13">
        <f>SUM(E2631:M2631)</f>
        <v/>
      </c>
    </row>
    <row r="2632">
      <c r="A2632" s="5">
        <f>IF(AND(C2632&gt;=Options!$B$9,C2632&lt;=Options!$B$10),"Boston","")</f>
        <v/>
      </c>
      <c r="B2632" s="5">
        <f>IF(A2632="","",24)</f>
        <v/>
      </c>
      <c r="C2632" s="17" t="n">
        <v>46368</v>
      </c>
      <c r="D2632" s="5">
        <f>IF(A2632="","",IF(C2632=DATE(2026,11,29),"培训；注册午餐；早餐参数",IF(C2632=DATE(2026,11,30),"培训；注册午餐",IF(C2632=DATE(2026,12,1),"培训；注册午餐；机构晚餐",IF(C2632=Options!$B$9,"抵达；"&amp;IF(C2632=DATE(2026,11,28),"机构晚餐","无统一供餐"),IF(C2632=Options!$B$10,"返程；"&amp;IF(C2632=DATE(2026,12,2),"机构午餐","无统一供餐"),"差旅状态；无统一日程"))))))</f>
        <v/>
      </c>
      <c r="E2632" s="13">
        <f>IF(C2632=Options!$B$9,Options!$C$21,0)</f>
        <v/>
      </c>
      <c r="F2632" s="13">
        <f>IF(AND(A2632&lt;&gt;"",C2632&lt;Options!$B$10),B2632*Options!$X$8,0)</f>
        <v/>
      </c>
      <c r="G2632" s="13">
        <f>F2632*12%</f>
        <v/>
      </c>
      <c r="H2632" s="13">
        <f>IF(A2632="",0,B2632*(92*IF(OR(C2632=Options!$B$9,C2632=Options!$B$10),75%,100%)-IF(C2632=DATE(2026,11,29),26+IF(Options!$B$8="是",23,0),0)-IF(C2632=DATE(2026,11,30),26,0)-IF(C2632=DATE(2026,12,1),64,0)-IF(C2632=DATE(2026,11,28),38,0)-IF(C2632=DATE(2026,12,2),26,0)))</f>
        <v/>
      </c>
      <c r="I2632" s="13">
        <f>IF(AND(C2632&gt;=DATE(2026,11,29),C2632&lt;=DATE(2026,12,1)),B2632*60,0)</f>
        <v/>
      </c>
      <c r="J2632" s="13">
        <f>IF(A2632="",0,B2632*(IF(C2632=DATE(2026,11,28),38,0)+IF(C2632=DATE(2026,12,1),38,0)+IF(C2632=DATE(2026,12,2),26,0)))</f>
        <v/>
      </c>
      <c r="K2632" s="13">
        <f>IF(C2632=Options!$B$9,B2632*12,0)</f>
        <v/>
      </c>
      <c r="L2632" s="13">
        <f>IF(C2632=Options!$B$9,B2632*Options!$Z$8,0)</f>
        <v/>
      </c>
      <c r="M2632" s="13" t="n">
        <v>0</v>
      </c>
      <c r="N2632" s="13">
        <f>SUM(E2632:M2632)</f>
        <v/>
      </c>
    </row>
    <row r="2633">
      <c r="A2633" s="5">
        <f>IF(AND(C2633&gt;=Options!$B$9,C2633&lt;=Options!$B$10),"Boston","")</f>
        <v/>
      </c>
      <c r="B2633" s="5">
        <f>IF(A2633="","",24)</f>
        <v/>
      </c>
      <c r="C2633" s="17" t="n">
        <v>46369</v>
      </c>
      <c r="D2633" s="5">
        <f>IF(A2633="","",IF(C2633=DATE(2026,11,29),"培训；注册午餐；早餐参数",IF(C2633=DATE(2026,11,30),"培训；注册午餐",IF(C2633=DATE(2026,12,1),"培训；注册午餐；机构晚餐",IF(C2633=Options!$B$9,"抵达；"&amp;IF(C2633=DATE(2026,11,28),"机构晚餐","无统一供餐"),IF(C2633=Options!$B$10,"返程；"&amp;IF(C2633=DATE(2026,12,2),"机构午餐","无统一供餐"),"差旅状态；无统一日程"))))))</f>
        <v/>
      </c>
      <c r="E2633" s="13">
        <f>IF(C2633=Options!$B$9,Options!$C$21,0)</f>
        <v/>
      </c>
      <c r="F2633" s="13">
        <f>IF(AND(A2633&lt;&gt;"",C2633&lt;Options!$B$10),B2633*Options!$X$8,0)</f>
        <v/>
      </c>
      <c r="G2633" s="13">
        <f>F2633*12%</f>
        <v/>
      </c>
      <c r="H2633" s="13">
        <f>IF(A2633="",0,B2633*(92*IF(OR(C2633=Options!$B$9,C2633=Options!$B$10),75%,100%)-IF(C2633=DATE(2026,11,29),26+IF(Options!$B$8="是",23,0),0)-IF(C2633=DATE(2026,11,30),26,0)-IF(C2633=DATE(2026,12,1),64,0)-IF(C2633=DATE(2026,11,28),38,0)-IF(C2633=DATE(2026,12,2),26,0)))</f>
        <v/>
      </c>
      <c r="I2633" s="13">
        <f>IF(AND(C2633&gt;=DATE(2026,11,29),C2633&lt;=DATE(2026,12,1)),B2633*60,0)</f>
        <v/>
      </c>
      <c r="J2633" s="13">
        <f>IF(A2633="",0,B2633*(IF(C2633=DATE(2026,11,28),38,0)+IF(C2633=DATE(2026,12,1),38,0)+IF(C2633=DATE(2026,12,2),26,0)))</f>
        <v/>
      </c>
      <c r="K2633" s="13">
        <f>IF(C2633=Options!$B$9,B2633*12,0)</f>
        <v/>
      </c>
      <c r="L2633" s="13">
        <f>IF(C2633=Options!$B$9,B2633*Options!$Z$8,0)</f>
        <v/>
      </c>
      <c r="M2633" s="13" t="n">
        <v>0</v>
      </c>
      <c r="N2633" s="13">
        <f>SUM(E2633:M2633)</f>
        <v/>
      </c>
    </row>
    <row r="2634">
      <c r="A2634" s="5">
        <f>IF(AND(C2634&gt;=Options!$B$9,C2634&lt;=Options!$B$10),"Boston","")</f>
        <v/>
      </c>
      <c r="B2634" s="5">
        <f>IF(A2634="","",24)</f>
        <v/>
      </c>
      <c r="C2634" s="17" t="n">
        <v>46370</v>
      </c>
      <c r="D2634" s="5">
        <f>IF(A2634="","",IF(C2634=DATE(2026,11,29),"培训；注册午餐；早餐参数",IF(C2634=DATE(2026,11,30),"培训；注册午餐",IF(C2634=DATE(2026,12,1),"培训；注册午餐；机构晚餐",IF(C2634=Options!$B$9,"抵达；"&amp;IF(C2634=DATE(2026,11,28),"机构晚餐","无统一供餐"),IF(C2634=Options!$B$10,"返程；"&amp;IF(C2634=DATE(2026,12,2),"机构午餐","无统一供餐"),"差旅状态；无统一日程"))))))</f>
        <v/>
      </c>
      <c r="E2634" s="13">
        <f>IF(C2634=Options!$B$9,Options!$C$21,0)</f>
        <v/>
      </c>
      <c r="F2634" s="13">
        <f>IF(AND(A2634&lt;&gt;"",C2634&lt;Options!$B$10),B2634*Options!$X$8,0)</f>
        <v/>
      </c>
      <c r="G2634" s="13">
        <f>F2634*12%</f>
        <v/>
      </c>
      <c r="H2634" s="13">
        <f>IF(A2634="",0,B2634*(92*IF(OR(C2634=Options!$B$9,C2634=Options!$B$10),75%,100%)-IF(C2634=DATE(2026,11,29),26+IF(Options!$B$8="是",23,0),0)-IF(C2634=DATE(2026,11,30),26,0)-IF(C2634=DATE(2026,12,1),64,0)-IF(C2634=DATE(2026,11,28),38,0)-IF(C2634=DATE(2026,12,2),26,0)))</f>
        <v/>
      </c>
      <c r="I2634" s="13">
        <f>IF(AND(C2634&gt;=DATE(2026,11,29),C2634&lt;=DATE(2026,12,1)),B2634*60,0)</f>
        <v/>
      </c>
      <c r="J2634" s="13">
        <f>IF(A2634="",0,B2634*(IF(C2634=DATE(2026,11,28),38,0)+IF(C2634=DATE(2026,12,1),38,0)+IF(C2634=DATE(2026,12,2),26,0)))</f>
        <v/>
      </c>
      <c r="K2634" s="13">
        <f>IF(C2634=Options!$B$9,B2634*12,0)</f>
        <v/>
      </c>
      <c r="L2634" s="13">
        <f>IF(C2634=Options!$B$9,B2634*Options!$Z$8,0)</f>
        <v/>
      </c>
      <c r="M2634" s="13" t="n">
        <v>0</v>
      </c>
      <c r="N2634" s="13">
        <f>SUM(E2634:M2634)</f>
        <v/>
      </c>
    </row>
    <row r="2635">
      <c r="A2635" s="5">
        <f>IF(AND(C2635&gt;=Options!$B$9,C2635&lt;=Options!$B$10),"Boston","")</f>
        <v/>
      </c>
      <c r="B2635" s="5">
        <f>IF(A2635="","",24)</f>
        <v/>
      </c>
      <c r="C2635" s="17" t="n">
        <v>46371</v>
      </c>
      <c r="D2635" s="5">
        <f>IF(A2635="","",IF(C2635=DATE(2026,11,29),"培训；注册午餐；早餐参数",IF(C2635=DATE(2026,11,30),"培训；注册午餐",IF(C2635=DATE(2026,12,1),"培训；注册午餐；机构晚餐",IF(C2635=Options!$B$9,"抵达；"&amp;IF(C2635=DATE(2026,11,28),"机构晚餐","无统一供餐"),IF(C2635=Options!$B$10,"返程；"&amp;IF(C2635=DATE(2026,12,2),"机构午餐","无统一供餐"),"差旅状态；无统一日程"))))))</f>
        <v/>
      </c>
      <c r="E2635" s="13">
        <f>IF(C2635=Options!$B$9,Options!$C$21,0)</f>
        <v/>
      </c>
      <c r="F2635" s="13">
        <f>IF(AND(A2635&lt;&gt;"",C2635&lt;Options!$B$10),B2635*Options!$X$8,0)</f>
        <v/>
      </c>
      <c r="G2635" s="13">
        <f>F2635*12%</f>
        <v/>
      </c>
      <c r="H2635" s="13">
        <f>IF(A2635="",0,B2635*(92*IF(OR(C2635=Options!$B$9,C2635=Options!$B$10),75%,100%)-IF(C2635=DATE(2026,11,29),26+IF(Options!$B$8="是",23,0),0)-IF(C2635=DATE(2026,11,30),26,0)-IF(C2635=DATE(2026,12,1),64,0)-IF(C2635=DATE(2026,11,28),38,0)-IF(C2635=DATE(2026,12,2),26,0)))</f>
        <v/>
      </c>
      <c r="I2635" s="13">
        <f>IF(AND(C2635&gt;=DATE(2026,11,29),C2635&lt;=DATE(2026,12,1)),B2635*60,0)</f>
        <v/>
      </c>
      <c r="J2635" s="13">
        <f>IF(A2635="",0,B2635*(IF(C2635=DATE(2026,11,28),38,0)+IF(C2635=DATE(2026,12,1),38,0)+IF(C2635=DATE(2026,12,2),26,0)))</f>
        <v/>
      </c>
      <c r="K2635" s="13">
        <f>IF(C2635=Options!$B$9,B2635*12,0)</f>
        <v/>
      </c>
      <c r="L2635" s="13">
        <f>IF(C2635=Options!$B$9,B2635*Options!$Z$8,0)</f>
        <v/>
      </c>
      <c r="M2635" s="13" t="n">
        <v>0</v>
      </c>
      <c r="N2635" s="13">
        <f>SUM(E2635:M2635)</f>
        <v/>
      </c>
    </row>
    <row r="2636">
      <c r="A2636" s="5">
        <f>IF(AND(C2636&gt;=Options!$B$9,C2636&lt;=Options!$B$10),"Boston","")</f>
        <v/>
      </c>
      <c r="B2636" s="5">
        <f>IF(A2636="","",24)</f>
        <v/>
      </c>
      <c r="C2636" s="17" t="n">
        <v>46372</v>
      </c>
      <c r="D2636" s="5">
        <f>IF(A2636="","",IF(C2636=DATE(2026,11,29),"培训；注册午餐；早餐参数",IF(C2636=DATE(2026,11,30),"培训；注册午餐",IF(C2636=DATE(2026,12,1),"培训；注册午餐；机构晚餐",IF(C2636=Options!$B$9,"抵达；"&amp;IF(C2636=DATE(2026,11,28),"机构晚餐","无统一供餐"),IF(C2636=Options!$B$10,"返程；"&amp;IF(C2636=DATE(2026,12,2),"机构午餐","无统一供餐"),"差旅状态；无统一日程"))))))</f>
        <v/>
      </c>
      <c r="E2636" s="13">
        <f>IF(C2636=Options!$B$9,Options!$C$21,0)</f>
        <v/>
      </c>
      <c r="F2636" s="13">
        <f>IF(AND(A2636&lt;&gt;"",C2636&lt;Options!$B$10),B2636*Options!$X$8,0)</f>
        <v/>
      </c>
      <c r="G2636" s="13">
        <f>F2636*12%</f>
        <v/>
      </c>
      <c r="H2636" s="13">
        <f>IF(A2636="",0,B2636*(92*IF(OR(C2636=Options!$B$9,C2636=Options!$B$10),75%,100%)-IF(C2636=DATE(2026,11,29),26+IF(Options!$B$8="是",23,0),0)-IF(C2636=DATE(2026,11,30),26,0)-IF(C2636=DATE(2026,12,1),64,0)-IF(C2636=DATE(2026,11,28),38,0)-IF(C2636=DATE(2026,12,2),26,0)))</f>
        <v/>
      </c>
      <c r="I2636" s="13">
        <f>IF(AND(C2636&gt;=DATE(2026,11,29),C2636&lt;=DATE(2026,12,1)),B2636*60,0)</f>
        <v/>
      </c>
      <c r="J2636" s="13">
        <f>IF(A2636="",0,B2636*(IF(C2636=DATE(2026,11,28),38,0)+IF(C2636=DATE(2026,12,1),38,0)+IF(C2636=DATE(2026,12,2),26,0)))</f>
        <v/>
      </c>
      <c r="K2636" s="13">
        <f>IF(C2636=Options!$B$9,B2636*12,0)</f>
        <v/>
      </c>
      <c r="L2636" s="13">
        <f>IF(C2636=Options!$B$9,B2636*Options!$Z$8,0)</f>
        <v/>
      </c>
      <c r="M2636" s="13" t="n">
        <v>0</v>
      </c>
      <c r="N2636" s="13">
        <f>SUM(E2636:M2636)</f>
        <v/>
      </c>
    </row>
    <row r="2637">
      <c r="A2637" s="5">
        <f>IF(AND(C2637&gt;=Options!$B$9,C2637&lt;=Options!$B$10),"Boston","")</f>
        <v/>
      </c>
      <c r="B2637" s="5">
        <f>IF(A2637="","",24)</f>
        <v/>
      </c>
      <c r="C2637" s="17" t="n">
        <v>46373</v>
      </c>
      <c r="D2637" s="5">
        <f>IF(A2637="","",IF(C2637=DATE(2026,11,29),"培训；注册午餐；早餐参数",IF(C2637=DATE(2026,11,30),"培训；注册午餐",IF(C2637=DATE(2026,12,1),"培训；注册午餐；机构晚餐",IF(C2637=Options!$B$9,"抵达；"&amp;IF(C2637=DATE(2026,11,28),"机构晚餐","无统一供餐"),IF(C2637=Options!$B$10,"返程；"&amp;IF(C2637=DATE(2026,12,2),"机构午餐","无统一供餐"),"差旅状态；无统一日程"))))))</f>
        <v/>
      </c>
      <c r="E2637" s="13">
        <f>IF(C2637=Options!$B$9,Options!$C$21,0)</f>
        <v/>
      </c>
      <c r="F2637" s="13">
        <f>IF(AND(A2637&lt;&gt;"",C2637&lt;Options!$B$10),B2637*Options!$X$8,0)</f>
        <v/>
      </c>
      <c r="G2637" s="13">
        <f>F2637*12%</f>
        <v/>
      </c>
      <c r="H2637" s="13">
        <f>IF(A2637="",0,B2637*(92*IF(OR(C2637=Options!$B$9,C2637=Options!$B$10),75%,100%)-IF(C2637=DATE(2026,11,29),26+IF(Options!$B$8="是",23,0),0)-IF(C2637=DATE(2026,11,30),26,0)-IF(C2637=DATE(2026,12,1),64,0)-IF(C2637=DATE(2026,11,28),38,0)-IF(C2637=DATE(2026,12,2),26,0)))</f>
        <v/>
      </c>
      <c r="I2637" s="13">
        <f>IF(AND(C2637&gt;=DATE(2026,11,29),C2637&lt;=DATE(2026,12,1)),B2637*60,0)</f>
        <v/>
      </c>
      <c r="J2637" s="13">
        <f>IF(A2637="",0,B2637*(IF(C2637=DATE(2026,11,28),38,0)+IF(C2637=DATE(2026,12,1),38,0)+IF(C2637=DATE(2026,12,2),26,0)))</f>
        <v/>
      </c>
      <c r="K2637" s="13">
        <f>IF(C2637=Options!$B$9,B2637*12,0)</f>
        <v/>
      </c>
      <c r="L2637" s="13">
        <f>IF(C2637=Options!$B$9,B2637*Options!$Z$8,0)</f>
        <v/>
      </c>
      <c r="M2637" s="13" t="n">
        <v>0</v>
      </c>
      <c r="N2637" s="13">
        <f>SUM(E2637:M2637)</f>
        <v/>
      </c>
    </row>
    <row r="2638">
      <c r="A2638" s="5">
        <f>IF(AND(C2638&gt;=Options!$B$9,C2638&lt;=Options!$B$10),"Boston","")</f>
        <v/>
      </c>
      <c r="B2638" s="5">
        <f>IF(A2638="","",24)</f>
        <v/>
      </c>
      <c r="C2638" s="17" t="n">
        <v>46374</v>
      </c>
      <c r="D2638" s="5">
        <f>IF(A2638="","",IF(C2638=DATE(2026,11,29),"培训；注册午餐；早餐参数",IF(C2638=DATE(2026,11,30),"培训；注册午餐",IF(C2638=DATE(2026,12,1),"培训；注册午餐；机构晚餐",IF(C2638=Options!$B$9,"抵达；"&amp;IF(C2638=DATE(2026,11,28),"机构晚餐","无统一供餐"),IF(C2638=Options!$B$10,"返程；"&amp;IF(C2638=DATE(2026,12,2),"机构午餐","无统一供餐"),"差旅状态；无统一日程"))))))</f>
        <v/>
      </c>
      <c r="E2638" s="13">
        <f>IF(C2638=Options!$B$9,Options!$C$21,0)</f>
        <v/>
      </c>
      <c r="F2638" s="13">
        <f>IF(AND(A2638&lt;&gt;"",C2638&lt;Options!$B$10),B2638*Options!$X$8,0)</f>
        <v/>
      </c>
      <c r="G2638" s="13">
        <f>F2638*12%</f>
        <v/>
      </c>
      <c r="H2638" s="13">
        <f>IF(A2638="",0,B2638*(92*IF(OR(C2638=Options!$B$9,C2638=Options!$B$10),75%,100%)-IF(C2638=DATE(2026,11,29),26+IF(Options!$B$8="是",23,0),0)-IF(C2638=DATE(2026,11,30),26,0)-IF(C2638=DATE(2026,12,1),64,0)-IF(C2638=DATE(2026,11,28),38,0)-IF(C2638=DATE(2026,12,2),26,0)))</f>
        <v/>
      </c>
      <c r="I2638" s="13">
        <f>IF(AND(C2638&gt;=DATE(2026,11,29),C2638&lt;=DATE(2026,12,1)),B2638*60,0)</f>
        <v/>
      </c>
      <c r="J2638" s="13">
        <f>IF(A2638="",0,B2638*(IF(C2638=DATE(2026,11,28),38,0)+IF(C2638=DATE(2026,12,1),38,0)+IF(C2638=DATE(2026,12,2),26,0)))</f>
        <v/>
      </c>
      <c r="K2638" s="13">
        <f>IF(C2638=Options!$B$9,B2638*12,0)</f>
        <v/>
      </c>
      <c r="L2638" s="13">
        <f>IF(C2638=Options!$B$9,B2638*Options!$Z$8,0)</f>
        <v/>
      </c>
      <c r="M2638" s="13" t="n">
        <v>0</v>
      </c>
      <c r="N2638" s="13">
        <f>SUM(E2638:M2638)</f>
        <v/>
      </c>
    </row>
    <row r="2639">
      <c r="A2639" s="5">
        <f>IF(AND(C2639&gt;=Options!$B$9,C2639&lt;=Options!$B$10),"Boston","")</f>
        <v/>
      </c>
      <c r="B2639" s="5">
        <f>IF(A2639="","",24)</f>
        <v/>
      </c>
      <c r="C2639" s="17" t="n">
        <v>46375</v>
      </c>
      <c r="D2639" s="5">
        <f>IF(A2639="","",IF(C2639=DATE(2026,11,29),"培训；注册午餐；早餐参数",IF(C2639=DATE(2026,11,30),"培训；注册午餐",IF(C2639=DATE(2026,12,1),"培训；注册午餐；机构晚餐",IF(C2639=Options!$B$9,"抵达；"&amp;IF(C2639=DATE(2026,11,28),"机构晚餐","无统一供餐"),IF(C2639=Options!$B$10,"返程；"&amp;IF(C2639=DATE(2026,12,2),"机构午餐","无统一供餐"),"差旅状态；无统一日程"))))))</f>
        <v/>
      </c>
      <c r="E2639" s="13">
        <f>IF(C2639=Options!$B$9,Options!$C$21,0)</f>
        <v/>
      </c>
      <c r="F2639" s="13">
        <f>IF(AND(A2639&lt;&gt;"",C2639&lt;Options!$B$10),B2639*Options!$X$8,0)</f>
        <v/>
      </c>
      <c r="G2639" s="13">
        <f>F2639*12%</f>
        <v/>
      </c>
      <c r="H2639" s="13">
        <f>IF(A2639="",0,B2639*(92*IF(OR(C2639=Options!$B$9,C2639=Options!$B$10),75%,100%)-IF(C2639=DATE(2026,11,29),26+IF(Options!$B$8="是",23,0),0)-IF(C2639=DATE(2026,11,30),26,0)-IF(C2639=DATE(2026,12,1),64,0)-IF(C2639=DATE(2026,11,28),38,0)-IF(C2639=DATE(2026,12,2),26,0)))</f>
        <v/>
      </c>
      <c r="I2639" s="13">
        <f>IF(AND(C2639&gt;=DATE(2026,11,29),C2639&lt;=DATE(2026,12,1)),B2639*60,0)</f>
        <v/>
      </c>
      <c r="J2639" s="13">
        <f>IF(A2639="",0,B2639*(IF(C2639=DATE(2026,11,28),38,0)+IF(C2639=DATE(2026,12,1),38,0)+IF(C2639=DATE(2026,12,2),26,0)))</f>
        <v/>
      </c>
      <c r="K2639" s="13">
        <f>IF(C2639=Options!$B$9,B2639*12,0)</f>
        <v/>
      </c>
      <c r="L2639" s="13">
        <f>IF(C2639=Options!$B$9,B2639*Options!$Z$8,0)</f>
        <v/>
      </c>
      <c r="M2639" s="13" t="n">
        <v>0</v>
      </c>
      <c r="N2639" s="13">
        <f>SUM(E2639:M2639)</f>
        <v/>
      </c>
    </row>
    <row r="2640">
      <c r="A2640" s="5">
        <f>IF(AND(C2640&gt;=Options!$B$9,C2640&lt;=Options!$B$10),"Boston","")</f>
        <v/>
      </c>
      <c r="B2640" s="5">
        <f>IF(A2640="","",24)</f>
        <v/>
      </c>
      <c r="C2640" s="17" t="n">
        <v>46376</v>
      </c>
      <c r="D2640" s="5">
        <f>IF(A2640="","",IF(C2640=DATE(2026,11,29),"培训；注册午餐；早餐参数",IF(C2640=DATE(2026,11,30),"培训；注册午餐",IF(C2640=DATE(2026,12,1),"培训；注册午餐；机构晚餐",IF(C2640=Options!$B$9,"抵达；"&amp;IF(C2640=DATE(2026,11,28),"机构晚餐","无统一供餐"),IF(C2640=Options!$B$10,"返程；"&amp;IF(C2640=DATE(2026,12,2),"机构午餐","无统一供餐"),"差旅状态；无统一日程"))))))</f>
        <v/>
      </c>
      <c r="E2640" s="13">
        <f>IF(C2640=Options!$B$9,Options!$C$21,0)</f>
        <v/>
      </c>
      <c r="F2640" s="13">
        <f>IF(AND(A2640&lt;&gt;"",C2640&lt;Options!$B$10),B2640*Options!$X$8,0)</f>
        <v/>
      </c>
      <c r="G2640" s="13">
        <f>F2640*12%</f>
        <v/>
      </c>
      <c r="H2640" s="13">
        <f>IF(A2640="",0,B2640*(92*IF(OR(C2640=Options!$B$9,C2640=Options!$B$10),75%,100%)-IF(C2640=DATE(2026,11,29),26+IF(Options!$B$8="是",23,0),0)-IF(C2640=DATE(2026,11,30),26,0)-IF(C2640=DATE(2026,12,1),64,0)-IF(C2640=DATE(2026,11,28),38,0)-IF(C2640=DATE(2026,12,2),26,0)))</f>
        <v/>
      </c>
      <c r="I2640" s="13">
        <f>IF(AND(C2640&gt;=DATE(2026,11,29),C2640&lt;=DATE(2026,12,1)),B2640*60,0)</f>
        <v/>
      </c>
      <c r="J2640" s="13">
        <f>IF(A2640="",0,B2640*(IF(C2640=DATE(2026,11,28),38,0)+IF(C2640=DATE(2026,12,1),38,0)+IF(C2640=DATE(2026,12,2),26,0)))</f>
        <v/>
      </c>
      <c r="K2640" s="13">
        <f>IF(C2640=Options!$B$9,B2640*12,0)</f>
        <v/>
      </c>
      <c r="L2640" s="13">
        <f>IF(C2640=Options!$B$9,B2640*Options!$Z$8,0)</f>
        <v/>
      </c>
      <c r="M2640" s="13" t="n">
        <v>0</v>
      </c>
      <c r="N2640" s="13">
        <f>SUM(E2640:M2640)</f>
        <v/>
      </c>
    </row>
    <row r="2641">
      <c r="A2641" s="5">
        <f>IF(AND(C2641&gt;=Options!$B$9,C2641&lt;=Options!$B$10),"Boston","")</f>
        <v/>
      </c>
      <c r="B2641" s="5">
        <f>IF(A2641="","",24)</f>
        <v/>
      </c>
      <c r="C2641" s="17" t="n">
        <v>46377</v>
      </c>
      <c r="D2641" s="5">
        <f>IF(A2641="","",IF(C2641=DATE(2026,11,29),"培训；注册午餐；早餐参数",IF(C2641=DATE(2026,11,30),"培训；注册午餐",IF(C2641=DATE(2026,12,1),"培训；注册午餐；机构晚餐",IF(C2641=Options!$B$9,"抵达；"&amp;IF(C2641=DATE(2026,11,28),"机构晚餐","无统一供餐"),IF(C2641=Options!$B$10,"返程；"&amp;IF(C2641=DATE(2026,12,2),"机构午餐","无统一供餐"),"差旅状态；无统一日程"))))))</f>
        <v/>
      </c>
      <c r="E2641" s="13">
        <f>IF(C2641=Options!$B$9,Options!$C$21,0)</f>
        <v/>
      </c>
      <c r="F2641" s="13">
        <f>IF(AND(A2641&lt;&gt;"",C2641&lt;Options!$B$10),B2641*Options!$X$8,0)</f>
        <v/>
      </c>
      <c r="G2641" s="13">
        <f>F2641*12%</f>
        <v/>
      </c>
      <c r="H2641" s="13">
        <f>IF(A2641="",0,B2641*(92*IF(OR(C2641=Options!$B$9,C2641=Options!$B$10),75%,100%)-IF(C2641=DATE(2026,11,29),26+IF(Options!$B$8="是",23,0),0)-IF(C2641=DATE(2026,11,30),26,0)-IF(C2641=DATE(2026,12,1),64,0)-IF(C2641=DATE(2026,11,28),38,0)-IF(C2641=DATE(2026,12,2),26,0)))</f>
        <v/>
      </c>
      <c r="I2641" s="13">
        <f>IF(AND(C2641&gt;=DATE(2026,11,29),C2641&lt;=DATE(2026,12,1)),B2641*60,0)</f>
        <v/>
      </c>
      <c r="J2641" s="13">
        <f>IF(A2641="",0,B2641*(IF(C2641=DATE(2026,11,28),38,0)+IF(C2641=DATE(2026,12,1),38,0)+IF(C2641=DATE(2026,12,2),26,0)))</f>
        <v/>
      </c>
      <c r="K2641" s="13">
        <f>IF(C2641=Options!$B$9,B2641*12,0)</f>
        <v/>
      </c>
      <c r="L2641" s="13">
        <f>IF(C2641=Options!$B$9,B2641*Options!$Z$8,0)</f>
        <v/>
      </c>
      <c r="M2641" s="13" t="n">
        <v>0</v>
      </c>
      <c r="N2641" s="13">
        <f>SUM(E2641:M2641)</f>
        <v/>
      </c>
    </row>
    <row r="2642">
      <c r="A2642" s="5">
        <f>IF(AND(C2642&gt;=Options!$B$9,C2642&lt;=Options!$B$10),"Boston","")</f>
        <v/>
      </c>
      <c r="B2642" s="5">
        <f>IF(A2642="","",24)</f>
        <v/>
      </c>
      <c r="C2642" s="17" t="n">
        <v>46378</v>
      </c>
      <c r="D2642" s="5">
        <f>IF(A2642="","",IF(C2642=DATE(2026,11,29),"培训；注册午餐；早餐参数",IF(C2642=DATE(2026,11,30),"培训；注册午餐",IF(C2642=DATE(2026,12,1),"培训；注册午餐；机构晚餐",IF(C2642=Options!$B$9,"抵达；"&amp;IF(C2642=DATE(2026,11,28),"机构晚餐","无统一供餐"),IF(C2642=Options!$B$10,"返程；"&amp;IF(C2642=DATE(2026,12,2),"机构午餐","无统一供餐"),"差旅状态；无统一日程"))))))</f>
        <v/>
      </c>
      <c r="E2642" s="13">
        <f>IF(C2642=Options!$B$9,Options!$C$21,0)</f>
        <v/>
      </c>
      <c r="F2642" s="13">
        <f>IF(AND(A2642&lt;&gt;"",C2642&lt;Options!$B$10),B2642*Options!$X$8,0)</f>
        <v/>
      </c>
      <c r="G2642" s="13">
        <f>F2642*12%</f>
        <v/>
      </c>
      <c r="H2642" s="13">
        <f>IF(A2642="",0,B2642*(92*IF(OR(C2642=Options!$B$9,C2642=Options!$B$10),75%,100%)-IF(C2642=DATE(2026,11,29),26+IF(Options!$B$8="是",23,0),0)-IF(C2642=DATE(2026,11,30),26,0)-IF(C2642=DATE(2026,12,1),64,0)-IF(C2642=DATE(2026,11,28),38,0)-IF(C2642=DATE(2026,12,2),26,0)))</f>
        <v/>
      </c>
      <c r="I2642" s="13">
        <f>IF(AND(C2642&gt;=DATE(2026,11,29),C2642&lt;=DATE(2026,12,1)),B2642*60,0)</f>
        <v/>
      </c>
      <c r="J2642" s="13">
        <f>IF(A2642="",0,B2642*(IF(C2642=DATE(2026,11,28),38,0)+IF(C2642=DATE(2026,12,1),38,0)+IF(C2642=DATE(2026,12,2),26,0)))</f>
        <v/>
      </c>
      <c r="K2642" s="13">
        <f>IF(C2642=Options!$B$9,B2642*12,0)</f>
        <v/>
      </c>
      <c r="L2642" s="13">
        <f>IF(C2642=Options!$B$9,B2642*Options!$Z$8,0)</f>
        <v/>
      </c>
      <c r="M2642" s="13" t="n">
        <v>0</v>
      </c>
      <c r="N2642" s="13">
        <f>SUM(E2642:M2642)</f>
        <v/>
      </c>
    </row>
    <row r="2643">
      <c r="A2643" s="5">
        <f>IF(AND(C2643&gt;=Options!$B$9,C2643&lt;=Options!$B$10),"Boston","")</f>
        <v/>
      </c>
      <c r="B2643" s="5">
        <f>IF(A2643="","",24)</f>
        <v/>
      </c>
      <c r="C2643" s="17" t="n">
        <v>46379</v>
      </c>
      <c r="D2643" s="5">
        <f>IF(A2643="","",IF(C2643=DATE(2026,11,29),"培训；注册午餐；早餐参数",IF(C2643=DATE(2026,11,30),"培训；注册午餐",IF(C2643=DATE(2026,12,1),"培训；注册午餐；机构晚餐",IF(C2643=Options!$B$9,"抵达；"&amp;IF(C2643=DATE(2026,11,28),"机构晚餐","无统一供餐"),IF(C2643=Options!$B$10,"返程；"&amp;IF(C2643=DATE(2026,12,2),"机构午餐","无统一供餐"),"差旅状态；无统一日程"))))))</f>
        <v/>
      </c>
      <c r="E2643" s="13">
        <f>IF(C2643=Options!$B$9,Options!$C$21,0)</f>
        <v/>
      </c>
      <c r="F2643" s="13">
        <f>IF(AND(A2643&lt;&gt;"",C2643&lt;Options!$B$10),B2643*Options!$X$8,0)</f>
        <v/>
      </c>
      <c r="G2643" s="13">
        <f>F2643*12%</f>
        <v/>
      </c>
      <c r="H2643" s="13">
        <f>IF(A2643="",0,B2643*(92*IF(OR(C2643=Options!$B$9,C2643=Options!$B$10),75%,100%)-IF(C2643=DATE(2026,11,29),26+IF(Options!$B$8="是",23,0),0)-IF(C2643=DATE(2026,11,30),26,0)-IF(C2643=DATE(2026,12,1),64,0)-IF(C2643=DATE(2026,11,28),38,0)-IF(C2643=DATE(2026,12,2),26,0)))</f>
        <v/>
      </c>
      <c r="I2643" s="13">
        <f>IF(AND(C2643&gt;=DATE(2026,11,29),C2643&lt;=DATE(2026,12,1)),B2643*60,0)</f>
        <v/>
      </c>
      <c r="J2643" s="13">
        <f>IF(A2643="",0,B2643*(IF(C2643=DATE(2026,11,28),38,0)+IF(C2643=DATE(2026,12,1),38,0)+IF(C2643=DATE(2026,12,2),26,0)))</f>
        <v/>
      </c>
      <c r="K2643" s="13">
        <f>IF(C2643=Options!$B$9,B2643*12,0)</f>
        <v/>
      </c>
      <c r="L2643" s="13">
        <f>IF(C2643=Options!$B$9,B2643*Options!$Z$8,0)</f>
        <v/>
      </c>
      <c r="M2643" s="13" t="n">
        <v>0</v>
      </c>
      <c r="N2643" s="13">
        <f>SUM(E2643:M2643)</f>
        <v/>
      </c>
    </row>
    <row r="2644">
      <c r="A2644" s="5">
        <f>IF(AND(C2644&gt;=Options!$B$9,C2644&lt;=Options!$B$10),"Boston","")</f>
        <v/>
      </c>
      <c r="B2644" s="5">
        <f>IF(A2644="","",24)</f>
        <v/>
      </c>
      <c r="C2644" s="17" t="n">
        <v>46380</v>
      </c>
      <c r="D2644" s="5">
        <f>IF(A2644="","",IF(C2644=DATE(2026,11,29),"培训；注册午餐；早餐参数",IF(C2644=DATE(2026,11,30),"培训；注册午餐",IF(C2644=DATE(2026,12,1),"培训；注册午餐；机构晚餐",IF(C2644=Options!$B$9,"抵达；"&amp;IF(C2644=DATE(2026,11,28),"机构晚餐","无统一供餐"),IF(C2644=Options!$B$10,"返程；"&amp;IF(C2644=DATE(2026,12,2),"机构午餐","无统一供餐"),"差旅状态；无统一日程"))))))</f>
        <v/>
      </c>
      <c r="E2644" s="13">
        <f>IF(C2644=Options!$B$9,Options!$C$21,0)</f>
        <v/>
      </c>
      <c r="F2644" s="13">
        <f>IF(AND(A2644&lt;&gt;"",C2644&lt;Options!$B$10),B2644*Options!$X$8,0)</f>
        <v/>
      </c>
      <c r="G2644" s="13">
        <f>F2644*12%</f>
        <v/>
      </c>
      <c r="H2644" s="13">
        <f>IF(A2644="",0,B2644*(92*IF(OR(C2644=Options!$B$9,C2644=Options!$B$10),75%,100%)-IF(C2644=DATE(2026,11,29),26+IF(Options!$B$8="是",23,0),0)-IF(C2644=DATE(2026,11,30),26,0)-IF(C2644=DATE(2026,12,1),64,0)-IF(C2644=DATE(2026,11,28),38,0)-IF(C2644=DATE(2026,12,2),26,0)))</f>
        <v/>
      </c>
      <c r="I2644" s="13">
        <f>IF(AND(C2644&gt;=DATE(2026,11,29),C2644&lt;=DATE(2026,12,1)),B2644*60,0)</f>
        <v/>
      </c>
      <c r="J2644" s="13">
        <f>IF(A2644="",0,B2644*(IF(C2644=DATE(2026,11,28),38,0)+IF(C2644=DATE(2026,12,1),38,0)+IF(C2644=DATE(2026,12,2),26,0)))</f>
        <v/>
      </c>
      <c r="K2644" s="13">
        <f>IF(C2644=Options!$B$9,B2644*12,0)</f>
        <v/>
      </c>
      <c r="L2644" s="13">
        <f>IF(C2644=Options!$B$9,B2644*Options!$Z$8,0)</f>
        <v/>
      </c>
      <c r="M2644" s="13" t="n">
        <v>0</v>
      </c>
      <c r="N2644" s="13">
        <f>SUM(E2644:M2644)</f>
        <v/>
      </c>
    </row>
    <row r="2645">
      <c r="A2645" s="5">
        <f>IF(AND(C2645&gt;=Options!$B$9,C2645&lt;=Options!$B$10),"Boston","")</f>
        <v/>
      </c>
      <c r="B2645" s="5">
        <f>IF(A2645="","",24)</f>
        <v/>
      </c>
      <c r="C2645" s="17" t="n">
        <v>46381</v>
      </c>
      <c r="D2645" s="5">
        <f>IF(A2645="","",IF(C2645=DATE(2026,11,29),"培训；注册午餐；早餐参数",IF(C2645=DATE(2026,11,30),"培训；注册午餐",IF(C2645=DATE(2026,12,1),"培训；注册午餐；机构晚餐",IF(C2645=Options!$B$9,"抵达；"&amp;IF(C2645=DATE(2026,11,28),"机构晚餐","无统一供餐"),IF(C2645=Options!$B$10,"返程；"&amp;IF(C2645=DATE(2026,12,2),"机构午餐","无统一供餐"),"差旅状态；无统一日程"))))))</f>
        <v/>
      </c>
      <c r="E2645" s="13">
        <f>IF(C2645=Options!$B$9,Options!$C$21,0)</f>
        <v/>
      </c>
      <c r="F2645" s="13">
        <f>IF(AND(A2645&lt;&gt;"",C2645&lt;Options!$B$10),B2645*Options!$X$8,0)</f>
        <v/>
      </c>
      <c r="G2645" s="13">
        <f>F2645*12%</f>
        <v/>
      </c>
      <c r="H2645" s="13">
        <f>IF(A2645="",0,B2645*(92*IF(OR(C2645=Options!$B$9,C2645=Options!$B$10),75%,100%)-IF(C2645=DATE(2026,11,29),26+IF(Options!$B$8="是",23,0),0)-IF(C2645=DATE(2026,11,30),26,0)-IF(C2645=DATE(2026,12,1),64,0)-IF(C2645=DATE(2026,11,28),38,0)-IF(C2645=DATE(2026,12,2),26,0)))</f>
        <v/>
      </c>
      <c r="I2645" s="13">
        <f>IF(AND(C2645&gt;=DATE(2026,11,29),C2645&lt;=DATE(2026,12,1)),B2645*60,0)</f>
        <v/>
      </c>
      <c r="J2645" s="13">
        <f>IF(A2645="",0,B2645*(IF(C2645=DATE(2026,11,28),38,0)+IF(C2645=DATE(2026,12,1),38,0)+IF(C2645=DATE(2026,12,2),26,0)))</f>
        <v/>
      </c>
      <c r="K2645" s="13">
        <f>IF(C2645=Options!$B$9,B2645*12,0)</f>
        <v/>
      </c>
      <c r="L2645" s="13">
        <f>IF(C2645=Options!$B$9,B2645*Options!$Z$8,0)</f>
        <v/>
      </c>
      <c r="M2645" s="13" t="n">
        <v>0</v>
      </c>
      <c r="N2645" s="13">
        <f>SUM(E2645:M2645)</f>
        <v/>
      </c>
    </row>
    <row r="2646">
      <c r="A2646" s="5">
        <f>IF(AND(C2646&gt;=Options!$B$9,C2646&lt;=Options!$B$10),"Boston","")</f>
        <v/>
      </c>
      <c r="B2646" s="5">
        <f>IF(A2646="","",24)</f>
        <v/>
      </c>
      <c r="C2646" s="17" t="n">
        <v>46382</v>
      </c>
      <c r="D2646" s="5">
        <f>IF(A2646="","",IF(C2646=DATE(2026,11,29),"培训；注册午餐；早餐参数",IF(C2646=DATE(2026,11,30),"培训；注册午餐",IF(C2646=DATE(2026,12,1),"培训；注册午餐；机构晚餐",IF(C2646=Options!$B$9,"抵达；"&amp;IF(C2646=DATE(2026,11,28),"机构晚餐","无统一供餐"),IF(C2646=Options!$B$10,"返程；"&amp;IF(C2646=DATE(2026,12,2),"机构午餐","无统一供餐"),"差旅状态；无统一日程"))))))</f>
        <v/>
      </c>
      <c r="E2646" s="13">
        <f>IF(C2646=Options!$B$9,Options!$C$21,0)</f>
        <v/>
      </c>
      <c r="F2646" s="13">
        <f>IF(AND(A2646&lt;&gt;"",C2646&lt;Options!$B$10),B2646*Options!$X$8,0)</f>
        <v/>
      </c>
      <c r="G2646" s="13">
        <f>F2646*12%</f>
        <v/>
      </c>
      <c r="H2646" s="13">
        <f>IF(A2646="",0,B2646*(92*IF(OR(C2646=Options!$B$9,C2646=Options!$B$10),75%,100%)-IF(C2646=DATE(2026,11,29),26+IF(Options!$B$8="是",23,0),0)-IF(C2646=DATE(2026,11,30),26,0)-IF(C2646=DATE(2026,12,1),64,0)-IF(C2646=DATE(2026,11,28),38,0)-IF(C2646=DATE(2026,12,2),26,0)))</f>
        <v/>
      </c>
      <c r="I2646" s="13">
        <f>IF(AND(C2646&gt;=DATE(2026,11,29),C2646&lt;=DATE(2026,12,1)),B2646*60,0)</f>
        <v/>
      </c>
      <c r="J2646" s="13">
        <f>IF(A2646="",0,B2646*(IF(C2646=DATE(2026,11,28),38,0)+IF(C2646=DATE(2026,12,1),38,0)+IF(C2646=DATE(2026,12,2),26,0)))</f>
        <v/>
      </c>
      <c r="K2646" s="13">
        <f>IF(C2646=Options!$B$9,B2646*12,0)</f>
        <v/>
      </c>
      <c r="L2646" s="13">
        <f>IF(C2646=Options!$B$9,B2646*Options!$Z$8,0)</f>
        <v/>
      </c>
      <c r="M2646" s="13" t="n">
        <v>0</v>
      </c>
      <c r="N2646" s="13">
        <f>SUM(E2646:M2646)</f>
        <v/>
      </c>
    </row>
    <row r="2647">
      <c r="A2647" s="5">
        <f>IF(AND(C2647&gt;=Options!$B$9,C2647&lt;=Options!$B$10),"Boston","")</f>
        <v/>
      </c>
      <c r="B2647" s="5">
        <f>IF(A2647="","",24)</f>
        <v/>
      </c>
      <c r="C2647" s="17" t="n">
        <v>46383</v>
      </c>
      <c r="D2647" s="5">
        <f>IF(A2647="","",IF(C2647=DATE(2026,11,29),"培训；注册午餐；早餐参数",IF(C2647=DATE(2026,11,30),"培训；注册午餐",IF(C2647=DATE(2026,12,1),"培训；注册午餐；机构晚餐",IF(C2647=Options!$B$9,"抵达；"&amp;IF(C2647=DATE(2026,11,28),"机构晚餐","无统一供餐"),IF(C2647=Options!$B$10,"返程；"&amp;IF(C2647=DATE(2026,12,2),"机构午餐","无统一供餐"),"差旅状态；无统一日程"))))))</f>
        <v/>
      </c>
      <c r="E2647" s="13">
        <f>IF(C2647=Options!$B$9,Options!$C$21,0)</f>
        <v/>
      </c>
      <c r="F2647" s="13">
        <f>IF(AND(A2647&lt;&gt;"",C2647&lt;Options!$B$10),B2647*Options!$X$8,0)</f>
        <v/>
      </c>
      <c r="G2647" s="13">
        <f>F2647*12%</f>
        <v/>
      </c>
      <c r="H2647" s="13">
        <f>IF(A2647="",0,B2647*(92*IF(OR(C2647=Options!$B$9,C2647=Options!$B$10),75%,100%)-IF(C2647=DATE(2026,11,29),26+IF(Options!$B$8="是",23,0),0)-IF(C2647=DATE(2026,11,30),26,0)-IF(C2647=DATE(2026,12,1),64,0)-IF(C2647=DATE(2026,11,28),38,0)-IF(C2647=DATE(2026,12,2),26,0)))</f>
        <v/>
      </c>
      <c r="I2647" s="13">
        <f>IF(AND(C2647&gt;=DATE(2026,11,29),C2647&lt;=DATE(2026,12,1)),B2647*60,0)</f>
        <v/>
      </c>
      <c r="J2647" s="13">
        <f>IF(A2647="",0,B2647*(IF(C2647=DATE(2026,11,28),38,0)+IF(C2647=DATE(2026,12,1),38,0)+IF(C2647=DATE(2026,12,2),26,0)))</f>
        <v/>
      </c>
      <c r="K2647" s="13">
        <f>IF(C2647=Options!$B$9,B2647*12,0)</f>
        <v/>
      </c>
      <c r="L2647" s="13">
        <f>IF(C2647=Options!$B$9,B2647*Options!$Z$8,0)</f>
        <v/>
      </c>
      <c r="M2647" s="13" t="n">
        <v>0</v>
      </c>
      <c r="N2647" s="13">
        <f>SUM(E2647:M2647)</f>
        <v/>
      </c>
    </row>
    <row r="2648">
      <c r="A2648" s="5">
        <f>IF(AND(C2648&gt;=Options!$B$9,C2648&lt;=Options!$B$10),"Boston","")</f>
        <v/>
      </c>
      <c r="B2648" s="5">
        <f>IF(A2648="","",24)</f>
        <v/>
      </c>
      <c r="C2648" s="17" t="n">
        <v>46384</v>
      </c>
      <c r="D2648" s="5">
        <f>IF(A2648="","",IF(C2648=DATE(2026,11,29),"培训；注册午餐；早餐参数",IF(C2648=DATE(2026,11,30),"培训；注册午餐",IF(C2648=DATE(2026,12,1),"培训；注册午餐；机构晚餐",IF(C2648=Options!$B$9,"抵达；"&amp;IF(C2648=DATE(2026,11,28),"机构晚餐","无统一供餐"),IF(C2648=Options!$B$10,"返程；"&amp;IF(C2648=DATE(2026,12,2),"机构午餐","无统一供餐"),"差旅状态；无统一日程"))))))</f>
        <v/>
      </c>
      <c r="E2648" s="13">
        <f>IF(C2648=Options!$B$9,Options!$C$21,0)</f>
        <v/>
      </c>
      <c r="F2648" s="13">
        <f>IF(AND(A2648&lt;&gt;"",C2648&lt;Options!$B$10),B2648*Options!$X$8,0)</f>
        <v/>
      </c>
      <c r="G2648" s="13">
        <f>F2648*12%</f>
        <v/>
      </c>
      <c r="H2648" s="13">
        <f>IF(A2648="",0,B2648*(92*IF(OR(C2648=Options!$B$9,C2648=Options!$B$10),75%,100%)-IF(C2648=DATE(2026,11,29),26+IF(Options!$B$8="是",23,0),0)-IF(C2648=DATE(2026,11,30),26,0)-IF(C2648=DATE(2026,12,1),64,0)-IF(C2648=DATE(2026,11,28),38,0)-IF(C2648=DATE(2026,12,2),26,0)))</f>
        <v/>
      </c>
      <c r="I2648" s="13">
        <f>IF(AND(C2648&gt;=DATE(2026,11,29),C2648&lt;=DATE(2026,12,1)),B2648*60,0)</f>
        <v/>
      </c>
      <c r="J2648" s="13">
        <f>IF(A2648="",0,B2648*(IF(C2648=DATE(2026,11,28),38,0)+IF(C2648=DATE(2026,12,1),38,0)+IF(C2648=DATE(2026,12,2),26,0)))</f>
        <v/>
      </c>
      <c r="K2648" s="13">
        <f>IF(C2648=Options!$B$9,B2648*12,0)</f>
        <v/>
      </c>
      <c r="L2648" s="13">
        <f>IF(C2648=Options!$B$9,B2648*Options!$Z$8,0)</f>
        <v/>
      </c>
      <c r="M2648" s="13" t="n">
        <v>0</v>
      </c>
      <c r="N2648" s="13">
        <f>SUM(E2648:M2648)</f>
        <v/>
      </c>
    </row>
    <row r="2649">
      <c r="A2649" s="5">
        <f>IF(AND(C2649&gt;=Options!$B$9,C2649&lt;=Options!$B$10),"Boston","")</f>
        <v/>
      </c>
      <c r="B2649" s="5">
        <f>IF(A2649="","",24)</f>
        <v/>
      </c>
      <c r="C2649" s="17" t="n">
        <v>46385</v>
      </c>
      <c r="D2649" s="5">
        <f>IF(A2649="","",IF(C2649=DATE(2026,11,29),"培训；注册午餐；早餐参数",IF(C2649=DATE(2026,11,30),"培训；注册午餐",IF(C2649=DATE(2026,12,1),"培训；注册午餐；机构晚餐",IF(C2649=Options!$B$9,"抵达；"&amp;IF(C2649=DATE(2026,11,28),"机构晚餐","无统一供餐"),IF(C2649=Options!$B$10,"返程；"&amp;IF(C2649=DATE(2026,12,2),"机构午餐","无统一供餐"),"差旅状态；无统一日程"))))))</f>
        <v/>
      </c>
      <c r="E2649" s="13">
        <f>IF(C2649=Options!$B$9,Options!$C$21,0)</f>
        <v/>
      </c>
      <c r="F2649" s="13">
        <f>IF(AND(A2649&lt;&gt;"",C2649&lt;Options!$B$10),B2649*Options!$X$8,0)</f>
        <v/>
      </c>
      <c r="G2649" s="13">
        <f>F2649*12%</f>
        <v/>
      </c>
      <c r="H2649" s="13">
        <f>IF(A2649="",0,B2649*(92*IF(OR(C2649=Options!$B$9,C2649=Options!$B$10),75%,100%)-IF(C2649=DATE(2026,11,29),26+IF(Options!$B$8="是",23,0),0)-IF(C2649=DATE(2026,11,30),26,0)-IF(C2649=DATE(2026,12,1),64,0)-IF(C2649=DATE(2026,11,28),38,0)-IF(C2649=DATE(2026,12,2),26,0)))</f>
        <v/>
      </c>
      <c r="I2649" s="13">
        <f>IF(AND(C2649&gt;=DATE(2026,11,29),C2649&lt;=DATE(2026,12,1)),B2649*60,0)</f>
        <v/>
      </c>
      <c r="J2649" s="13">
        <f>IF(A2649="",0,B2649*(IF(C2649=DATE(2026,11,28),38,0)+IF(C2649=DATE(2026,12,1),38,0)+IF(C2649=DATE(2026,12,2),26,0)))</f>
        <v/>
      </c>
      <c r="K2649" s="13">
        <f>IF(C2649=Options!$B$9,B2649*12,0)</f>
        <v/>
      </c>
      <c r="L2649" s="13">
        <f>IF(C2649=Options!$B$9,B2649*Options!$Z$8,0)</f>
        <v/>
      </c>
      <c r="M2649" s="13" t="n">
        <v>0</v>
      </c>
      <c r="N2649" s="13">
        <f>SUM(E2649:M2649)</f>
        <v/>
      </c>
    </row>
    <row r="2650">
      <c r="A2650" s="5">
        <f>IF(AND(C2650&gt;=Options!$B$9,C2650&lt;=Options!$B$10),"Boston","")</f>
        <v/>
      </c>
      <c r="B2650" s="5">
        <f>IF(A2650="","",24)</f>
        <v/>
      </c>
      <c r="C2650" s="17" t="n">
        <v>46386</v>
      </c>
      <c r="D2650" s="5">
        <f>IF(A2650="","",IF(C2650=DATE(2026,11,29),"培训；注册午餐；早餐参数",IF(C2650=DATE(2026,11,30),"培训；注册午餐",IF(C2650=DATE(2026,12,1),"培训；注册午餐；机构晚餐",IF(C2650=Options!$B$9,"抵达；"&amp;IF(C2650=DATE(2026,11,28),"机构晚餐","无统一供餐"),IF(C2650=Options!$B$10,"返程；"&amp;IF(C2650=DATE(2026,12,2),"机构午餐","无统一供餐"),"差旅状态；无统一日程"))))))</f>
        <v/>
      </c>
      <c r="E2650" s="13">
        <f>IF(C2650=Options!$B$9,Options!$C$21,0)</f>
        <v/>
      </c>
      <c r="F2650" s="13">
        <f>IF(AND(A2650&lt;&gt;"",C2650&lt;Options!$B$10),B2650*Options!$X$8,0)</f>
        <v/>
      </c>
      <c r="G2650" s="13">
        <f>F2650*12%</f>
        <v/>
      </c>
      <c r="H2650" s="13">
        <f>IF(A2650="",0,B2650*(92*IF(OR(C2650=Options!$B$9,C2650=Options!$B$10),75%,100%)-IF(C2650=DATE(2026,11,29),26+IF(Options!$B$8="是",23,0),0)-IF(C2650=DATE(2026,11,30),26,0)-IF(C2650=DATE(2026,12,1),64,0)-IF(C2650=DATE(2026,11,28),38,0)-IF(C2650=DATE(2026,12,2),26,0)))</f>
        <v/>
      </c>
      <c r="I2650" s="13">
        <f>IF(AND(C2650&gt;=DATE(2026,11,29),C2650&lt;=DATE(2026,12,1)),B2650*60,0)</f>
        <v/>
      </c>
      <c r="J2650" s="13">
        <f>IF(A2650="",0,B2650*(IF(C2650=DATE(2026,11,28),38,0)+IF(C2650=DATE(2026,12,1),38,0)+IF(C2650=DATE(2026,12,2),26,0)))</f>
        <v/>
      </c>
      <c r="K2650" s="13">
        <f>IF(C2650=Options!$B$9,B2650*12,0)</f>
        <v/>
      </c>
      <c r="L2650" s="13">
        <f>IF(C2650=Options!$B$9,B2650*Options!$Z$8,0)</f>
        <v/>
      </c>
      <c r="M2650" s="13" t="n">
        <v>0</v>
      </c>
      <c r="N2650" s="13">
        <f>SUM(E2650:M2650)</f>
        <v/>
      </c>
    </row>
    <row r="2651">
      <c r="A2651" s="5">
        <f>IF(AND(C2651&gt;=Options!$B$9,C2651&lt;=Options!$B$10),"Boston","")</f>
        <v/>
      </c>
      <c r="B2651" s="5">
        <f>IF(A2651="","",24)</f>
        <v/>
      </c>
      <c r="C2651" s="17" t="n">
        <v>46387</v>
      </c>
      <c r="D2651" s="5">
        <f>IF(A2651="","",IF(C2651=DATE(2026,11,29),"培训；注册午餐；早餐参数",IF(C2651=DATE(2026,11,30),"培训；注册午餐",IF(C2651=DATE(2026,12,1),"培训；注册午餐；机构晚餐",IF(C2651=Options!$B$9,"抵达；"&amp;IF(C2651=DATE(2026,11,28),"机构晚餐","无统一供餐"),IF(C2651=Options!$B$10,"返程；"&amp;IF(C2651=DATE(2026,12,2),"机构午餐","无统一供餐"),"差旅状态；无统一日程"))))))</f>
        <v/>
      </c>
      <c r="E2651" s="13">
        <f>IF(C2651=Options!$B$9,Options!$C$21,0)</f>
        <v/>
      </c>
      <c r="F2651" s="13">
        <f>IF(AND(A2651&lt;&gt;"",C2651&lt;Options!$B$10),B2651*Options!$X$8,0)</f>
        <v/>
      </c>
      <c r="G2651" s="13">
        <f>F2651*12%</f>
        <v/>
      </c>
      <c r="H2651" s="13">
        <f>IF(A2651="",0,B2651*(92*IF(OR(C2651=Options!$B$9,C2651=Options!$B$10),75%,100%)-IF(C2651=DATE(2026,11,29),26+IF(Options!$B$8="是",23,0),0)-IF(C2651=DATE(2026,11,30),26,0)-IF(C2651=DATE(2026,12,1),64,0)-IF(C2651=DATE(2026,11,28),38,0)-IF(C2651=DATE(2026,12,2),26,0)))</f>
        <v/>
      </c>
      <c r="I2651" s="13">
        <f>IF(AND(C2651&gt;=DATE(2026,11,29),C2651&lt;=DATE(2026,12,1)),B2651*60,0)</f>
        <v/>
      </c>
      <c r="J2651" s="13">
        <f>IF(A2651="",0,B2651*(IF(C2651=DATE(2026,11,28),38,0)+IF(C2651=DATE(2026,12,1),38,0)+IF(C2651=DATE(2026,12,2),26,0)))</f>
        <v/>
      </c>
      <c r="K2651" s="13">
        <f>IF(C2651=Options!$B$9,B2651*12,0)</f>
        <v/>
      </c>
      <c r="L2651" s="13">
        <f>IF(C2651=Options!$B$9,B2651*Options!$Z$8,0)</f>
        <v/>
      </c>
      <c r="M2651" s="13" t="n">
        <v>0</v>
      </c>
      <c r="N2651" s="13">
        <f>SUM(E2651:M2651)</f>
        <v/>
      </c>
    </row>
    <row r="2652">
      <c r="A2652" s="5">
        <f>IF(AND(C2652&gt;=Options!$B$9,C2652&lt;=Options!$B$10),"Boston","")</f>
        <v/>
      </c>
      <c r="B2652" s="5">
        <f>IF(A2652="","",24)</f>
        <v/>
      </c>
      <c r="C2652" s="17" t="n">
        <v>46388</v>
      </c>
      <c r="D2652" s="5">
        <f>IF(A2652="","",IF(C2652=DATE(2026,11,29),"培训；注册午餐；早餐参数",IF(C2652=DATE(2026,11,30),"培训；注册午餐",IF(C2652=DATE(2026,12,1),"培训；注册午餐；机构晚餐",IF(C2652=Options!$B$9,"抵达；"&amp;IF(C2652=DATE(2026,11,28),"机构晚餐","无统一供餐"),IF(C2652=Options!$B$10,"返程；"&amp;IF(C2652=DATE(2026,12,2),"机构午餐","无统一供餐"),"差旅状态；无统一日程"))))))</f>
        <v/>
      </c>
      <c r="E2652" s="13">
        <f>IF(C2652=Options!$B$9,Options!$C$21,0)</f>
        <v/>
      </c>
      <c r="F2652" s="13">
        <f>IF(AND(A2652&lt;&gt;"",C2652&lt;Options!$B$10),B2652*Options!$X$8,0)</f>
        <v/>
      </c>
      <c r="G2652" s="13">
        <f>F2652*12%</f>
        <v/>
      </c>
      <c r="H2652" s="13">
        <f>IF(A2652="",0,B2652*(92*IF(OR(C2652=Options!$B$9,C2652=Options!$B$10),75%,100%)-IF(C2652=DATE(2026,11,29),26+IF(Options!$B$8="是",23,0),0)-IF(C2652=DATE(2026,11,30),26,0)-IF(C2652=DATE(2026,12,1),64,0)-IF(C2652=DATE(2026,11,28),38,0)-IF(C2652=DATE(2026,12,2),26,0)))</f>
        <v/>
      </c>
      <c r="I2652" s="13">
        <f>IF(AND(C2652&gt;=DATE(2026,11,29),C2652&lt;=DATE(2026,12,1)),B2652*60,0)</f>
        <v/>
      </c>
      <c r="J2652" s="13">
        <f>IF(A2652="",0,B2652*(IF(C2652=DATE(2026,11,28),38,0)+IF(C2652=DATE(2026,12,1),38,0)+IF(C2652=DATE(2026,12,2),26,0)))</f>
        <v/>
      </c>
      <c r="K2652" s="13">
        <f>IF(C2652=Options!$B$9,B2652*12,0)</f>
        <v/>
      </c>
      <c r="L2652" s="13">
        <f>IF(C2652=Options!$B$9,B2652*Options!$Z$8,0)</f>
        <v/>
      </c>
      <c r="M2652" s="13" t="n">
        <v>0</v>
      </c>
      <c r="N2652" s="13">
        <f>SUM(E2652:M2652)</f>
        <v/>
      </c>
    </row>
    <row r="2653">
      <c r="A2653" s="5">
        <f>IF(AND(C2653&gt;=Options!$B$9,C2653&lt;=Options!$B$10),"Boston","")</f>
        <v/>
      </c>
      <c r="B2653" s="5">
        <f>IF(A2653="","",24)</f>
        <v/>
      </c>
      <c r="C2653" s="17" t="n">
        <v>46389</v>
      </c>
      <c r="D2653" s="5">
        <f>IF(A2653="","",IF(C2653=DATE(2026,11,29),"培训；注册午餐；早餐参数",IF(C2653=DATE(2026,11,30),"培训；注册午餐",IF(C2653=DATE(2026,12,1),"培训；注册午餐；机构晚餐",IF(C2653=Options!$B$9,"抵达；"&amp;IF(C2653=DATE(2026,11,28),"机构晚餐","无统一供餐"),IF(C2653=Options!$B$10,"返程；"&amp;IF(C2653=DATE(2026,12,2),"机构午餐","无统一供餐"),"差旅状态；无统一日程"))))))</f>
        <v/>
      </c>
      <c r="E2653" s="13">
        <f>IF(C2653=Options!$B$9,Options!$C$21,0)</f>
        <v/>
      </c>
      <c r="F2653" s="13">
        <f>IF(AND(A2653&lt;&gt;"",C2653&lt;Options!$B$10),B2653*Options!$X$8,0)</f>
        <v/>
      </c>
      <c r="G2653" s="13">
        <f>F2653*12%</f>
        <v/>
      </c>
      <c r="H2653" s="13">
        <f>IF(A2653="",0,B2653*(92*IF(OR(C2653=Options!$B$9,C2653=Options!$B$10),75%,100%)-IF(C2653=DATE(2026,11,29),26+IF(Options!$B$8="是",23,0),0)-IF(C2653=DATE(2026,11,30),26,0)-IF(C2653=DATE(2026,12,1),64,0)-IF(C2653=DATE(2026,11,28),38,0)-IF(C2653=DATE(2026,12,2),26,0)))</f>
        <v/>
      </c>
      <c r="I2653" s="13">
        <f>IF(AND(C2653&gt;=DATE(2026,11,29),C2653&lt;=DATE(2026,12,1)),B2653*60,0)</f>
        <v/>
      </c>
      <c r="J2653" s="13">
        <f>IF(A2653="",0,B2653*(IF(C2653=DATE(2026,11,28),38,0)+IF(C2653=DATE(2026,12,1),38,0)+IF(C2653=DATE(2026,12,2),26,0)))</f>
        <v/>
      </c>
      <c r="K2653" s="13">
        <f>IF(C2653=Options!$B$9,B2653*12,0)</f>
        <v/>
      </c>
      <c r="L2653" s="13">
        <f>IF(C2653=Options!$B$9,B2653*Options!$Z$8,0)</f>
        <v/>
      </c>
      <c r="M2653" s="13" t="n">
        <v>0</v>
      </c>
      <c r="N2653" s="13">
        <f>SUM(E2653:M2653)</f>
        <v/>
      </c>
    </row>
    <row r="2654">
      <c r="A2654" s="5">
        <f>IF(AND(C2654&gt;=Options!$B$9,C2654&lt;=Options!$B$10),"Boston","")</f>
        <v/>
      </c>
      <c r="B2654" s="5">
        <f>IF(A2654="","",24)</f>
        <v/>
      </c>
      <c r="C2654" s="17" t="n">
        <v>46390</v>
      </c>
      <c r="D2654" s="5">
        <f>IF(A2654="","",IF(C2654=DATE(2026,11,29),"培训；注册午餐；早餐参数",IF(C2654=DATE(2026,11,30),"培训；注册午餐",IF(C2654=DATE(2026,12,1),"培训；注册午餐；机构晚餐",IF(C2654=Options!$B$9,"抵达；"&amp;IF(C2654=DATE(2026,11,28),"机构晚餐","无统一供餐"),IF(C2654=Options!$B$10,"返程；"&amp;IF(C2654=DATE(2026,12,2),"机构午餐","无统一供餐"),"差旅状态；无统一日程"))))))</f>
        <v/>
      </c>
      <c r="E2654" s="13">
        <f>IF(C2654=Options!$B$9,Options!$C$21,0)</f>
        <v/>
      </c>
      <c r="F2654" s="13">
        <f>IF(AND(A2654&lt;&gt;"",C2654&lt;Options!$B$10),B2654*Options!$X$8,0)</f>
        <v/>
      </c>
      <c r="G2654" s="13">
        <f>F2654*12%</f>
        <v/>
      </c>
      <c r="H2654" s="13">
        <f>IF(A2654="",0,B2654*(92*IF(OR(C2654=Options!$B$9,C2654=Options!$B$10),75%,100%)-IF(C2654=DATE(2026,11,29),26+IF(Options!$B$8="是",23,0),0)-IF(C2654=DATE(2026,11,30),26,0)-IF(C2654=DATE(2026,12,1),64,0)-IF(C2654=DATE(2026,11,28),38,0)-IF(C2654=DATE(2026,12,2),26,0)))</f>
        <v/>
      </c>
      <c r="I2654" s="13">
        <f>IF(AND(C2654&gt;=DATE(2026,11,29),C2654&lt;=DATE(2026,12,1)),B2654*60,0)</f>
        <v/>
      </c>
      <c r="J2654" s="13">
        <f>IF(A2654="",0,B2654*(IF(C2654=DATE(2026,11,28),38,0)+IF(C2654=DATE(2026,12,1),38,0)+IF(C2654=DATE(2026,12,2),26,0)))</f>
        <v/>
      </c>
      <c r="K2654" s="13">
        <f>IF(C2654=Options!$B$9,B2654*12,0)</f>
        <v/>
      </c>
      <c r="L2654" s="13">
        <f>IF(C2654=Options!$B$9,B2654*Options!$Z$8,0)</f>
        <v/>
      </c>
      <c r="M2654" s="13" t="n">
        <v>0</v>
      </c>
      <c r="N2654" s="13">
        <f>SUM(E2654:M2654)</f>
        <v/>
      </c>
    </row>
    <row r="2655">
      <c r="A2655" s="5">
        <f>IF(AND(C2655&gt;=Options!$B$9,C2655&lt;=Options!$B$10),"Boston","")</f>
        <v/>
      </c>
      <c r="B2655" s="5">
        <f>IF(A2655="","",24)</f>
        <v/>
      </c>
      <c r="C2655" s="17" t="n">
        <v>46391</v>
      </c>
      <c r="D2655" s="5">
        <f>IF(A2655="","",IF(C2655=DATE(2026,11,29),"培训；注册午餐；早餐参数",IF(C2655=DATE(2026,11,30),"培训；注册午餐",IF(C2655=DATE(2026,12,1),"培训；注册午餐；机构晚餐",IF(C2655=Options!$B$9,"抵达；"&amp;IF(C2655=DATE(2026,11,28),"机构晚餐","无统一供餐"),IF(C2655=Options!$B$10,"返程；"&amp;IF(C2655=DATE(2026,12,2),"机构午餐","无统一供餐"),"差旅状态；无统一日程"))))))</f>
        <v/>
      </c>
      <c r="E2655" s="13">
        <f>IF(C2655=Options!$B$9,Options!$C$21,0)</f>
        <v/>
      </c>
      <c r="F2655" s="13">
        <f>IF(AND(A2655&lt;&gt;"",C2655&lt;Options!$B$10),B2655*Options!$X$8,0)</f>
        <v/>
      </c>
      <c r="G2655" s="13">
        <f>F2655*12%</f>
        <v/>
      </c>
      <c r="H2655" s="13">
        <f>IF(A2655="",0,B2655*(92*IF(OR(C2655=Options!$B$9,C2655=Options!$B$10),75%,100%)-IF(C2655=DATE(2026,11,29),26+IF(Options!$B$8="是",23,0),0)-IF(C2655=DATE(2026,11,30),26,0)-IF(C2655=DATE(2026,12,1),64,0)-IF(C2655=DATE(2026,11,28),38,0)-IF(C2655=DATE(2026,12,2),26,0)))</f>
        <v/>
      </c>
      <c r="I2655" s="13">
        <f>IF(AND(C2655&gt;=DATE(2026,11,29),C2655&lt;=DATE(2026,12,1)),B2655*60,0)</f>
        <v/>
      </c>
      <c r="J2655" s="13">
        <f>IF(A2655="",0,B2655*(IF(C2655=DATE(2026,11,28),38,0)+IF(C2655=DATE(2026,12,1),38,0)+IF(C2655=DATE(2026,12,2),26,0)))</f>
        <v/>
      </c>
      <c r="K2655" s="13">
        <f>IF(C2655=Options!$B$9,B2655*12,0)</f>
        <v/>
      </c>
      <c r="L2655" s="13">
        <f>IF(C2655=Options!$B$9,B2655*Options!$Z$8,0)</f>
        <v/>
      </c>
      <c r="M2655" s="13" t="n">
        <v>0</v>
      </c>
      <c r="N2655" s="13">
        <f>SUM(E2655:M2655)</f>
        <v/>
      </c>
    </row>
    <row r="2656">
      <c r="A2656" s="5">
        <f>IF(AND(C2656&gt;=Options!$B$9,C2656&lt;=Options!$B$10),"Boston","")</f>
        <v/>
      </c>
      <c r="B2656" s="5">
        <f>IF(A2656="","",24)</f>
        <v/>
      </c>
      <c r="C2656" s="17" t="n">
        <v>46392</v>
      </c>
      <c r="D2656" s="5">
        <f>IF(A2656="","",IF(C2656=DATE(2026,11,29),"培训；注册午餐；早餐参数",IF(C2656=DATE(2026,11,30),"培训；注册午餐",IF(C2656=DATE(2026,12,1),"培训；注册午餐；机构晚餐",IF(C2656=Options!$B$9,"抵达；"&amp;IF(C2656=DATE(2026,11,28),"机构晚餐","无统一供餐"),IF(C2656=Options!$B$10,"返程；"&amp;IF(C2656=DATE(2026,12,2),"机构午餐","无统一供餐"),"差旅状态；无统一日程"))))))</f>
        <v/>
      </c>
      <c r="E2656" s="13">
        <f>IF(C2656=Options!$B$9,Options!$C$21,0)</f>
        <v/>
      </c>
      <c r="F2656" s="13">
        <f>IF(AND(A2656&lt;&gt;"",C2656&lt;Options!$B$10),B2656*Options!$X$8,0)</f>
        <v/>
      </c>
      <c r="G2656" s="13">
        <f>F2656*12%</f>
        <v/>
      </c>
      <c r="H2656" s="13">
        <f>IF(A2656="",0,B2656*(92*IF(OR(C2656=Options!$B$9,C2656=Options!$B$10),75%,100%)-IF(C2656=DATE(2026,11,29),26+IF(Options!$B$8="是",23,0),0)-IF(C2656=DATE(2026,11,30),26,0)-IF(C2656=DATE(2026,12,1),64,0)-IF(C2656=DATE(2026,11,28),38,0)-IF(C2656=DATE(2026,12,2),26,0)))</f>
        <v/>
      </c>
      <c r="I2656" s="13">
        <f>IF(AND(C2656&gt;=DATE(2026,11,29),C2656&lt;=DATE(2026,12,1)),B2656*60,0)</f>
        <v/>
      </c>
      <c r="J2656" s="13">
        <f>IF(A2656="",0,B2656*(IF(C2656=DATE(2026,11,28),38,0)+IF(C2656=DATE(2026,12,1),38,0)+IF(C2656=DATE(2026,12,2),26,0)))</f>
        <v/>
      </c>
      <c r="K2656" s="13">
        <f>IF(C2656=Options!$B$9,B2656*12,0)</f>
        <v/>
      </c>
      <c r="L2656" s="13">
        <f>IF(C2656=Options!$B$9,B2656*Options!$Z$8,0)</f>
        <v/>
      </c>
      <c r="M2656" s="13" t="n">
        <v>0</v>
      </c>
      <c r="N2656" s="13">
        <f>SUM(E2656:M2656)</f>
        <v/>
      </c>
    </row>
    <row r="2657">
      <c r="A2657" s="5">
        <f>IF(AND(C2657&gt;=Options!$B$9,C2657&lt;=Options!$B$10),"Boston","")</f>
        <v/>
      </c>
      <c r="B2657" s="5">
        <f>IF(A2657="","",24)</f>
        <v/>
      </c>
      <c r="C2657" s="17" t="n">
        <v>46393</v>
      </c>
      <c r="D2657" s="5">
        <f>IF(A2657="","",IF(C2657=DATE(2026,11,29),"培训；注册午餐；早餐参数",IF(C2657=DATE(2026,11,30),"培训；注册午餐",IF(C2657=DATE(2026,12,1),"培训；注册午餐；机构晚餐",IF(C2657=Options!$B$9,"抵达；"&amp;IF(C2657=DATE(2026,11,28),"机构晚餐","无统一供餐"),IF(C2657=Options!$B$10,"返程；"&amp;IF(C2657=DATE(2026,12,2),"机构午餐","无统一供餐"),"差旅状态；无统一日程"))))))</f>
        <v/>
      </c>
      <c r="E2657" s="13">
        <f>IF(C2657=Options!$B$9,Options!$C$21,0)</f>
        <v/>
      </c>
      <c r="F2657" s="13">
        <f>IF(AND(A2657&lt;&gt;"",C2657&lt;Options!$B$10),B2657*Options!$X$8,0)</f>
        <v/>
      </c>
      <c r="G2657" s="13">
        <f>F2657*12%</f>
        <v/>
      </c>
      <c r="H2657" s="13">
        <f>IF(A2657="",0,B2657*(92*IF(OR(C2657=Options!$B$9,C2657=Options!$B$10),75%,100%)-IF(C2657=DATE(2026,11,29),26+IF(Options!$B$8="是",23,0),0)-IF(C2657=DATE(2026,11,30),26,0)-IF(C2657=DATE(2026,12,1),64,0)-IF(C2657=DATE(2026,11,28),38,0)-IF(C2657=DATE(2026,12,2),26,0)))</f>
        <v/>
      </c>
      <c r="I2657" s="13">
        <f>IF(AND(C2657&gt;=DATE(2026,11,29),C2657&lt;=DATE(2026,12,1)),B2657*60,0)</f>
        <v/>
      </c>
      <c r="J2657" s="13">
        <f>IF(A2657="",0,B2657*(IF(C2657=DATE(2026,11,28),38,0)+IF(C2657=DATE(2026,12,1),38,0)+IF(C2657=DATE(2026,12,2),26,0)))</f>
        <v/>
      </c>
      <c r="K2657" s="13">
        <f>IF(C2657=Options!$B$9,B2657*12,0)</f>
        <v/>
      </c>
      <c r="L2657" s="13">
        <f>IF(C2657=Options!$B$9,B2657*Options!$Z$8,0)</f>
        <v/>
      </c>
      <c r="M2657" s="13" t="n">
        <v>0</v>
      </c>
      <c r="N2657" s="13">
        <f>SUM(E2657:M2657)</f>
        <v/>
      </c>
    </row>
    <row r="2658">
      <c r="A2658" s="5">
        <f>IF(AND(C2658&gt;=Options!$B$9,C2658&lt;=Options!$B$10),"Boston","")</f>
        <v/>
      </c>
      <c r="B2658" s="5">
        <f>IF(A2658="","",24)</f>
        <v/>
      </c>
      <c r="C2658" s="17" t="n">
        <v>46394</v>
      </c>
      <c r="D2658" s="5">
        <f>IF(A2658="","",IF(C2658=DATE(2026,11,29),"培训；注册午餐；早餐参数",IF(C2658=DATE(2026,11,30),"培训；注册午餐",IF(C2658=DATE(2026,12,1),"培训；注册午餐；机构晚餐",IF(C2658=Options!$B$9,"抵达；"&amp;IF(C2658=DATE(2026,11,28),"机构晚餐","无统一供餐"),IF(C2658=Options!$B$10,"返程；"&amp;IF(C2658=DATE(2026,12,2),"机构午餐","无统一供餐"),"差旅状态；无统一日程"))))))</f>
        <v/>
      </c>
      <c r="E2658" s="13">
        <f>IF(C2658=Options!$B$9,Options!$C$21,0)</f>
        <v/>
      </c>
      <c r="F2658" s="13">
        <f>IF(AND(A2658&lt;&gt;"",C2658&lt;Options!$B$10),B2658*Options!$X$8,0)</f>
        <v/>
      </c>
      <c r="G2658" s="13">
        <f>F2658*12%</f>
        <v/>
      </c>
      <c r="H2658" s="13">
        <f>IF(A2658="",0,B2658*(92*IF(OR(C2658=Options!$B$9,C2658=Options!$B$10),75%,100%)-IF(C2658=DATE(2026,11,29),26+IF(Options!$B$8="是",23,0),0)-IF(C2658=DATE(2026,11,30),26,0)-IF(C2658=DATE(2026,12,1),64,0)-IF(C2658=DATE(2026,11,28),38,0)-IF(C2658=DATE(2026,12,2),26,0)))</f>
        <v/>
      </c>
      <c r="I2658" s="13">
        <f>IF(AND(C2658&gt;=DATE(2026,11,29),C2658&lt;=DATE(2026,12,1)),B2658*60,0)</f>
        <v/>
      </c>
      <c r="J2658" s="13">
        <f>IF(A2658="",0,B2658*(IF(C2658=DATE(2026,11,28),38,0)+IF(C2658=DATE(2026,12,1),38,0)+IF(C2658=DATE(2026,12,2),26,0)))</f>
        <v/>
      </c>
      <c r="K2658" s="13">
        <f>IF(C2658=Options!$B$9,B2658*12,0)</f>
        <v/>
      </c>
      <c r="L2658" s="13">
        <f>IF(C2658=Options!$B$9,B2658*Options!$Z$8,0)</f>
        <v/>
      </c>
      <c r="M2658" s="13" t="n">
        <v>0</v>
      </c>
      <c r="N2658" s="13">
        <f>SUM(E2658:M2658)</f>
        <v/>
      </c>
    </row>
    <row r="2659">
      <c r="A2659" s="5">
        <f>IF(AND(C2659&gt;=Options!$B$9,C2659&lt;=Options!$B$10),"Boston","")</f>
        <v/>
      </c>
      <c r="B2659" s="5">
        <f>IF(A2659="","",24)</f>
        <v/>
      </c>
      <c r="C2659" s="17" t="n">
        <v>46395</v>
      </c>
      <c r="D2659" s="5">
        <f>IF(A2659="","",IF(C2659=DATE(2026,11,29),"培训；注册午餐；早餐参数",IF(C2659=DATE(2026,11,30),"培训；注册午餐",IF(C2659=DATE(2026,12,1),"培训；注册午餐；机构晚餐",IF(C2659=Options!$B$9,"抵达；"&amp;IF(C2659=DATE(2026,11,28),"机构晚餐","无统一供餐"),IF(C2659=Options!$B$10,"返程；"&amp;IF(C2659=DATE(2026,12,2),"机构午餐","无统一供餐"),"差旅状态；无统一日程"))))))</f>
        <v/>
      </c>
      <c r="E2659" s="13">
        <f>IF(C2659=Options!$B$9,Options!$C$21,0)</f>
        <v/>
      </c>
      <c r="F2659" s="13">
        <f>IF(AND(A2659&lt;&gt;"",C2659&lt;Options!$B$10),B2659*Options!$X$8,0)</f>
        <v/>
      </c>
      <c r="G2659" s="13">
        <f>F2659*12%</f>
        <v/>
      </c>
      <c r="H2659" s="13">
        <f>IF(A2659="",0,B2659*(92*IF(OR(C2659=Options!$B$9,C2659=Options!$B$10),75%,100%)-IF(C2659=DATE(2026,11,29),26+IF(Options!$B$8="是",23,0),0)-IF(C2659=DATE(2026,11,30),26,0)-IF(C2659=DATE(2026,12,1),64,0)-IF(C2659=DATE(2026,11,28),38,0)-IF(C2659=DATE(2026,12,2),26,0)))</f>
        <v/>
      </c>
      <c r="I2659" s="13">
        <f>IF(AND(C2659&gt;=DATE(2026,11,29),C2659&lt;=DATE(2026,12,1)),B2659*60,0)</f>
        <v/>
      </c>
      <c r="J2659" s="13">
        <f>IF(A2659="",0,B2659*(IF(C2659=DATE(2026,11,28),38,0)+IF(C2659=DATE(2026,12,1),38,0)+IF(C2659=DATE(2026,12,2),26,0)))</f>
        <v/>
      </c>
      <c r="K2659" s="13">
        <f>IF(C2659=Options!$B$9,B2659*12,0)</f>
        <v/>
      </c>
      <c r="L2659" s="13">
        <f>IF(C2659=Options!$B$9,B2659*Options!$Z$8,0)</f>
        <v/>
      </c>
      <c r="M2659" s="13" t="n">
        <v>0</v>
      </c>
      <c r="N2659" s="13">
        <f>SUM(E2659:M2659)</f>
        <v/>
      </c>
    </row>
    <row r="2660">
      <c r="A2660" s="5">
        <f>IF(AND(C2660&gt;=Options!$B$9,C2660&lt;=Options!$B$10),"Boston","")</f>
        <v/>
      </c>
      <c r="B2660" s="5">
        <f>IF(A2660="","",24)</f>
        <v/>
      </c>
      <c r="C2660" s="17" t="n">
        <v>46396</v>
      </c>
      <c r="D2660" s="5">
        <f>IF(A2660="","",IF(C2660=DATE(2026,11,29),"培训；注册午餐；早餐参数",IF(C2660=DATE(2026,11,30),"培训；注册午餐",IF(C2660=DATE(2026,12,1),"培训；注册午餐；机构晚餐",IF(C2660=Options!$B$9,"抵达；"&amp;IF(C2660=DATE(2026,11,28),"机构晚餐","无统一供餐"),IF(C2660=Options!$B$10,"返程；"&amp;IF(C2660=DATE(2026,12,2),"机构午餐","无统一供餐"),"差旅状态；无统一日程"))))))</f>
        <v/>
      </c>
      <c r="E2660" s="13">
        <f>IF(C2660=Options!$B$9,Options!$C$21,0)</f>
        <v/>
      </c>
      <c r="F2660" s="13">
        <f>IF(AND(A2660&lt;&gt;"",C2660&lt;Options!$B$10),B2660*Options!$X$8,0)</f>
        <v/>
      </c>
      <c r="G2660" s="13">
        <f>F2660*12%</f>
        <v/>
      </c>
      <c r="H2660" s="13">
        <f>IF(A2660="",0,B2660*(92*IF(OR(C2660=Options!$B$9,C2660=Options!$B$10),75%,100%)-IF(C2660=DATE(2026,11,29),26+IF(Options!$B$8="是",23,0),0)-IF(C2660=DATE(2026,11,30),26,0)-IF(C2660=DATE(2026,12,1),64,0)-IF(C2660=DATE(2026,11,28),38,0)-IF(C2660=DATE(2026,12,2),26,0)))</f>
        <v/>
      </c>
      <c r="I2660" s="13">
        <f>IF(AND(C2660&gt;=DATE(2026,11,29),C2660&lt;=DATE(2026,12,1)),B2660*60,0)</f>
        <v/>
      </c>
      <c r="J2660" s="13">
        <f>IF(A2660="",0,B2660*(IF(C2660=DATE(2026,11,28),38,0)+IF(C2660=DATE(2026,12,1),38,0)+IF(C2660=DATE(2026,12,2),26,0)))</f>
        <v/>
      </c>
      <c r="K2660" s="13">
        <f>IF(C2660=Options!$B$9,B2660*12,0)</f>
        <v/>
      </c>
      <c r="L2660" s="13">
        <f>IF(C2660=Options!$B$9,B2660*Options!$Z$8,0)</f>
        <v/>
      </c>
      <c r="M2660" s="13" t="n">
        <v>0</v>
      </c>
      <c r="N2660" s="13">
        <f>SUM(E2660:M2660)</f>
        <v/>
      </c>
    </row>
    <row r="2661">
      <c r="A2661" s="5">
        <f>IF(AND(C2661&gt;=Options!$B$9,C2661&lt;=Options!$B$10),"Boston","")</f>
        <v/>
      </c>
      <c r="B2661" s="5">
        <f>IF(A2661="","",24)</f>
        <v/>
      </c>
      <c r="C2661" s="17" t="n">
        <v>46397</v>
      </c>
      <c r="D2661" s="5">
        <f>IF(A2661="","",IF(C2661=DATE(2026,11,29),"培训；注册午餐；早餐参数",IF(C2661=DATE(2026,11,30),"培训；注册午餐",IF(C2661=DATE(2026,12,1),"培训；注册午餐；机构晚餐",IF(C2661=Options!$B$9,"抵达；"&amp;IF(C2661=DATE(2026,11,28),"机构晚餐","无统一供餐"),IF(C2661=Options!$B$10,"返程；"&amp;IF(C2661=DATE(2026,12,2),"机构午餐","无统一供餐"),"差旅状态；无统一日程"))))))</f>
        <v/>
      </c>
      <c r="E2661" s="13">
        <f>IF(C2661=Options!$B$9,Options!$C$21,0)</f>
        <v/>
      </c>
      <c r="F2661" s="13">
        <f>IF(AND(A2661&lt;&gt;"",C2661&lt;Options!$B$10),B2661*Options!$X$8,0)</f>
        <v/>
      </c>
      <c r="G2661" s="13">
        <f>F2661*12%</f>
        <v/>
      </c>
      <c r="H2661" s="13">
        <f>IF(A2661="",0,B2661*(92*IF(OR(C2661=Options!$B$9,C2661=Options!$B$10),75%,100%)-IF(C2661=DATE(2026,11,29),26+IF(Options!$B$8="是",23,0),0)-IF(C2661=DATE(2026,11,30),26,0)-IF(C2661=DATE(2026,12,1),64,0)-IF(C2661=DATE(2026,11,28),38,0)-IF(C2661=DATE(2026,12,2),26,0)))</f>
        <v/>
      </c>
      <c r="I2661" s="13">
        <f>IF(AND(C2661&gt;=DATE(2026,11,29),C2661&lt;=DATE(2026,12,1)),B2661*60,0)</f>
        <v/>
      </c>
      <c r="J2661" s="13">
        <f>IF(A2661="",0,B2661*(IF(C2661=DATE(2026,11,28),38,0)+IF(C2661=DATE(2026,12,1),38,0)+IF(C2661=DATE(2026,12,2),26,0)))</f>
        <v/>
      </c>
      <c r="K2661" s="13">
        <f>IF(C2661=Options!$B$9,B2661*12,0)</f>
        <v/>
      </c>
      <c r="L2661" s="13">
        <f>IF(C2661=Options!$B$9,B2661*Options!$Z$8,0)</f>
        <v/>
      </c>
      <c r="M2661" s="13" t="n">
        <v>0</v>
      </c>
      <c r="N2661" s="13">
        <f>SUM(E2661:M2661)</f>
        <v/>
      </c>
    </row>
    <row r="2662">
      <c r="A2662" s="5">
        <f>IF(AND(C2662&gt;=Options!$B$9,C2662&lt;=Options!$B$10),"Boston","")</f>
        <v/>
      </c>
      <c r="B2662" s="5">
        <f>IF(A2662="","",24)</f>
        <v/>
      </c>
      <c r="C2662" s="17" t="n">
        <v>46398</v>
      </c>
      <c r="D2662" s="5">
        <f>IF(A2662="","",IF(C2662=DATE(2026,11,29),"培训；注册午餐；早餐参数",IF(C2662=DATE(2026,11,30),"培训；注册午餐",IF(C2662=DATE(2026,12,1),"培训；注册午餐；机构晚餐",IF(C2662=Options!$B$9,"抵达；"&amp;IF(C2662=DATE(2026,11,28),"机构晚餐","无统一供餐"),IF(C2662=Options!$B$10,"返程；"&amp;IF(C2662=DATE(2026,12,2),"机构午餐","无统一供餐"),"差旅状态；无统一日程"))))))</f>
        <v/>
      </c>
      <c r="E2662" s="13">
        <f>IF(C2662=Options!$B$9,Options!$C$21,0)</f>
        <v/>
      </c>
      <c r="F2662" s="13">
        <f>IF(AND(A2662&lt;&gt;"",C2662&lt;Options!$B$10),B2662*Options!$X$8,0)</f>
        <v/>
      </c>
      <c r="G2662" s="13">
        <f>F2662*12%</f>
        <v/>
      </c>
      <c r="H2662" s="13">
        <f>IF(A2662="",0,B2662*(92*IF(OR(C2662=Options!$B$9,C2662=Options!$B$10),75%,100%)-IF(C2662=DATE(2026,11,29),26+IF(Options!$B$8="是",23,0),0)-IF(C2662=DATE(2026,11,30),26,0)-IF(C2662=DATE(2026,12,1),64,0)-IF(C2662=DATE(2026,11,28),38,0)-IF(C2662=DATE(2026,12,2),26,0)))</f>
        <v/>
      </c>
      <c r="I2662" s="13">
        <f>IF(AND(C2662&gt;=DATE(2026,11,29),C2662&lt;=DATE(2026,12,1)),B2662*60,0)</f>
        <v/>
      </c>
      <c r="J2662" s="13">
        <f>IF(A2662="",0,B2662*(IF(C2662=DATE(2026,11,28),38,0)+IF(C2662=DATE(2026,12,1),38,0)+IF(C2662=DATE(2026,12,2),26,0)))</f>
        <v/>
      </c>
      <c r="K2662" s="13">
        <f>IF(C2662=Options!$B$9,B2662*12,0)</f>
        <v/>
      </c>
      <c r="L2662" s="13">
        <f>IF(C2662=Options!$B$9,B2662*Options!$Z$8,0)</f>
        <v/>
      </c>
      <c r="M2662" s="13" t="n">
        <v>0</v>
      </c>
      <c r="N2662" s="13">
        <f>SUM(E2662:M2662)</f>
        <v/>
      </c>
    </row>
    <row r="2663">
      <c r="A2663" s="5">
        <f>IF(AND(C2663&gt;=Options!$B$9,C2663&lt;=Options!$B$10),"Boston","")</f>
        <v/>
      </c>
      <c r="B2663" s="5">
        <f>IF(A2663="","",24)</f>
        <v/>
      </c>
      <c r="C2663" s="17" t="n">
        <v>46399</v>
      </c>
      <c r="D2663" s="5">
        <f>IF(A2663="","",IF(C2663=DATE(2026,11,29),"培训；注册午餐；早餐参数",IF(C2663=DATE(2026,11,30),"培训；注册午餐",IF(C2663=DATE(2026,12,1),"培训；注册午餐；机构晚餐",IF(C2663=Options!$B$9,"抵达；"&amp;IF(C2663=DATE(2026,11,28),"机构晚餐","无统一供餐"),IF(C2663=Options!$B$10,"返程；"&amp;IF(C2663=DATE(2026,12,2),"机构午餐","无统一供餐"),"差旅状态；无统一日程"))))))</f>
        <v/>
      </c>
      <c r="E2663" s="13">
        <f>IF(C2663=Options!$B$9,Options!$C$21,0)</f>
        <v/>
      </c>
      <c r="F2663" s="13">
        <f>IF(AND(A2663&lt;&gt;"",C2663&lt;Options!$B$10),B2663*Options!$X$8,0)</f>
        <v/>
      </c>
      <c r="G2663" s="13">
        <f>F2663*12%</f>
        <v/>
      </c>
      <c r="H2663" s="13">
        <f>IF(A2663="",0,B2663*(92*IF(OR(C2663=Options!$B$9,C2663=Options!$B$10),75%,100%)-IF(C2663=DATE(2026,11,29),26+IF(Options!$B$8="是",23,0),0)-IF(C2663=DATE(2026,11,30),26,0)-IF(C2663=DATE(2026,12,1),64,0)-IF(C2663=DATE(2026,11,28),38,0)-IF(C2663=DATE(2026,12,2),26,0)))</f>
        <v/>
      </c>
      <c r="I2663" s="13">
        <f>IF(AND(C2663&gt;=DATE(2026,11,29),C2663&lt;=DATE(2026,12,1)),B2663*60,0)</f>
        <v/>
      </c>
      <c r="J2663" s="13">
        <f>IF(A2663="",0,B2663*(IF(C2663=DATE(2026,11,28),38,0)+IF(C2663=DATE(2026,12,1),38,0)+IF(C2663=DATE(2026,12,2),26,0)))</f>
        <v/>
      </c>
      <c r="K2663" s="13">
        <f>IF(C2663=Options!$B$9,B2663*12,0)</f>
        <v/>
      </c>
      <c r="L2663" s="13">
        <f>IF(C2663=Options!$B$9,B2663*Options!$Z$8,0)</f>
        <v/>
      </c>
      <c r="M2663" s="13" t="n">
        <v>0</v>
      </c>
      <c r="N2663" s="13">
        <f>SUM(E2663:M2663)</f>
        <v/>
      </c>
    </row>
    <row r="2664">
      <c r="A2664" s="5">
        <f>IF(AND(C2664&gt;=Options!$B$9,C2664&lt;=Options!$B$10),"Boston","")</f>
        <v/>
      </c>
      <c r="B2664" s="5">
        <f>IF(A2664="","",24)</f>
        <v/>
      </c>
      <c r="C2664" s="17" t="n">
        <v>46400</v>
      </c>
      <c r="D2664" s="5">
        <f>IF(A2664="","",IF(C2664=DATE(2026,11,29),"培训；注册午餐；早餐参数",IF(C2664=DATE(2026,11,30),"培训；注册午餐",IF(C2664=DATE(2026,12,1),"培训；注册午餐；机构晚餐",IF(C2664=Options!$B$9,"抵达；"&amp;IF(C2664=DATE(2026,11,28),"机构晚餐","无统一供餐"),IF(C2664=Options!$B$10,"返程；"&amp;IF(C2664=DATE(2026,12,2),"机构午餐","无统一供餐"),"差旅状态；无统一日程"))))))</f>
        <v/>
      </c>
      <c r="E2664" s="13">
        <f>IF(C2664=Options!$B$9,Options!$C$21,0)</f>
        <v/>
      </c>
      <c r="F2664" s="13">
        <f>IF(AND(A2664&lt;&gt;"",C2664&lt;Options!$B$10),B2664*Options!$X$8,0)</f>
        <v/>
      </c>
      <c r="G2664" s="13">
        <f>F2664*12%</f>
        <v/>
      </c>
      <c r="H2664" s="13">
        <f>IF(A2664="",0,B2664*(92*IF(OR(C2664=Options!$B$9,C2664=Options!$B$10),75%,100%)-IF(C2664=DATE(2026,11,29),26+IF(Options!$B$8="是",23,0),0)-IF(C2664=DATE(2026,11,30),26,0)-IF(C2664=DATE(2026,12,1),64,0)-IF(C2664=DATE(2026,11,28),38,0)-IF(C2664=DATE(2026,12,2),26,0)))</f>
        <v/>
      </c>
      <c r="I2664" s="13">
        <f>IF(AND(C2664&gt;=DATE(2026,11,29),C2664&lt;=DATE(2026,12,1)),B2664*60,0)</f>
        <v/>
      </c>
      <c r="J2664" s="13">
        <f>IF(A2664="",0,B2664*(IF(C2664=DATE(2026,11,28),38,0)+IF(C2664=DATE(2026,12,1),38,0)+IF(C2664=DATE(2026,12,2),26,0)))</f>
        <v/>
      </c>
      <c r="K2664" s="13">
        <f>IF(C2664=Options!$B$9,B2664*12,0)</f>
        <v/>
      </c>
      <c r="L2664" s="13">
        <f>IF(C2664=Options!$B$9,B2664*Options!$Z$8,0)</f>
        <v/>
      </c>
      <c r="M2664" s="13" t="n">
        <v>0</v>
      </c>
      <c r="N2664" s="13">
        <f>SUM(E2664:M2664)</f>
        <v/>
      </c>
    </row>
    <row r="2665">
      <c r="A2665" s="5">
        <f>IF(AND(C2665&gt;=Options!$B$9,C2665&lt;=Options!$B$10),"Boston","")</f>
        <v/>
      </c>
      <c r="B2665" s="5">
        <f>IF(A2665="","",24)</f>
        <v/>
      </c>
      <c r="C2665" s="17" t="n">
        <v>46401</v>
      </c>
      <c r="D2665" s="5">
        <f>IF(A2665="","",IF(C2665=DATE(2026,11,29),"培训；注册午餐；早餐参数",IF(C2665=DATE(2026,11,30),"培训；注册午餐",IF(C2665=DATE(2026,12,1),"培训；注册午餐；机构晚餐",IF(C2665=Options!$B$9,"抵达；"&amp;IF(C2665=DATE(2026,11,28),"机构晚餐","无统一供餐"),IF(C2665=Options!$B$10,"返程；"&amp;IF(C2665=DATE(2026,12,2),"机构午餐","无统一供餐"),"差旅状态；无统一日程"))))))</f>
        <v/>
      </c>
      <c r="E2665" s="13">
        <f>IF(C2665=Options!$B$9,Options!$C$21,0)</f>
        <v/>
      </c>
      <c r="F2665" s="13">
        <f>IF(AND(A2665&lt;&gt;"",C2665&lt;Options!$B$10),B2665*Options!$X$8,0)</f>
        <v/>
      </c>
      <c r="G2665" s="13">
        <f>F2665*12%</f>
        <v/>
      </c>
      <c r="H2665" s="13">
        <f>IF(A2665="",0,B2665*(92*IF(OR(C2665=Options!$B$9,C2665=Options!$B$10),75%,100%)-IF(C2665=DATE(2026,11,29),26+IF(Options!$B$8="是",23,0),0)-IF(C2665=DATE(2026,11,30),26,0)-IF(C2665=DATE(2026,12,1),64,0)-IF(C2665=DATE(2026,11,28),38,0)-IF(C2665=DATE(2026,12,2),26,0)))</f>
        <v/>
      </c>
      <c r="I2665" s="13">
        <f>IF(AND(C2665&gt;=DATE(2026,11,29),C2665&lt;=DATE(2026,12,1)),B2665*60,0)</f>
        <v/>
      </c>
      <c r="J2665" s="13">
        <f>IF(A2665="",0,B2665*(IF(C2665=DATE(2026,11,28),38,0)+IF(C2665=DATE(2026,12,1),38,0)+IF(C2665=DATE(2026,12,2),26,0)))</f>
        <v/>
      </c>
      <c r="K2665" s="13">
        <f>IF(C2665=Options!$B$9,B2665*12,0)</f>
        <v/>
      </c>
      <c r="L2665" s="13">
        <f>IF(C2665=Options!$B$9,B2665*Options!$Z$8,0)</f>
        <v/>
      </c>
      <c r="M2665" s="13" t="n">
        <v>0</v>
      </c>
      <c r="N2665" s="13">
        <f>SUM(E2665:M2665)</f>
        <v/>
      </c>
    </row>
    <row r="2666">
      <c r="A2666" s="5">
        <f>IF(AND(C2666&gt;=Options!$B$9,C2666&lt;=Options!$B$10),"Boston","")</f>
        <v/>
      </c>
      <c r="B2666" s="5">
        <f>IF(A2666="","",24)</f>
        <v/>
      </c>
      <c r="C2666" s="17" t="n">
        <v>46402</v>
      </c>
      <c r="D2666" s="5">
        <f>IF(A2666="","",IF(C2666=DATE(2026,11,29),"培训；注册午餐；早餐参数",IF(C2666=DATE(2026,11,30),"培训；注册午餐",IF(C2666=DATE(2026,12,1),"培训；注册午餐；机构晚餐",IF(C2666=Options!$B$9,"抵达；"&amp;IF(C2666=DATE(2026,11,28),"机构晚餐","无统一供餐"),IF(C2666=Options!$B$10,"返程；"&amp;IF(C2666=DATE(2026,12,2),"机构午餐","无统一供餐"),"差旅状态；无统一日程"))))))</f>
        <v/>
      </c>
      <c r="E2666" s="13">
        <f>IF(C2666=Options!$B$9,Options!$C$21,0)</f>
        <v/>
      </c>
      <c r="F2666" s="13">
        <f>IF(AND(A2666&lt;&gt;"",C2666&lt;Options!$B$10),B2666*Options!$X$8,0)</f>
        <v/>
      </c>
      <c r="G2666" s="13">
        <f>F2666*12%</f>
        <v/>
      </c>
      <c r="H2666" s="13">
        <f>IF(A2666="",0,B2666*(92*IF(OR(C2666=Options!$B$9,C2666=Options!$B$10),75%,100%)-IF(C2666=DATE(2026,11,29),26+IF(Options!$B$8="是",23,0),0)-IF(C2666=DATE(2026,11,30),26,0)-IF(C2666=DATE(2026,12,1),64,0)-IF(C2666=DATE(2026,11,28),38,0)-IF(C2666=DATE(2026,12,2),26,0)))</f>
        <v/>
      </c>
      <c r="I2666" s="13">
        <f>IF(AND(C2666&gt;=DATE(2026,11,29),C2666&lt;=DATE(2026,12,1)),B2666*60,0)</f>
        <v/>
      </c>
      <c r="J2666" s="13">
        <f>IF(A2666="",0,B2666*(IF(C2666=DATE(2026,11,28),38,0)+IF(C2666=DATE(2026,12,1),38,0)+IF(C2666=DATE(2026,12,2),26,0)))</f>
        <v/>
      </c>
      <c r="K2666" s="13">
        <f>IF(C2666=Options!$B$9,B2666*12,0)</f>
        <v/>
      </c>
      <c r="L2666" s="13">
        <f>IF(C2666=Options!$B$9,B2666*Options!$Z$8,0)</f>
        <v/>
      </c>
      <c r="M2666" s="13" t="n">
        <v>0</v>
      </c>
      <c r="N2666" s="13">
        <f>SUM(E2666:M2666)</f>
        <v/>
      </c>
    </row>
    <row r="2667">
      <c r="A2667" s="5">
        <f>IF(AND(C2667&gt;=Options!$B$9,C2667&lt;=Options!$B$10),"Boston","")</f>
        <v/>
      </c>
      <c r="B2667" s="5">
        <f>IF(A2667="","",24)</f>
        <v/>
      </c>
      <c r="C2667" s="17" t="n">
        <v>46403</v>
      </c>
      <c r="D2667" s="5">
        <f>IF(A2667="","",IF(C2667=DATE(2026,11,29),"培训；注册午餐；早餐参数",IF(C2667=DATE(2026,11,30),"培训；注册午餐",IF(C2667=DATE(2026,12,1),"培训；注册午餐；机构晚餐",IF(C2667=Options!$B$9,"抵达；"&amp;IF(C2667=DATE(2026,11,28),"机构晚餐","无统一供餐"),IF(C2667=Options!$B$10,"返程；"&amp;IF(C2667=DATE(2026,12,2),"机构午餐","无统一供餐"),"差旅状态；无统一日程"))))))</f>
        <v/>
      </c>
      <c r="E2667" s="13">
        <f>IF(C2667=Options!$B$9,Options!$C$21,0)</f>
        <v/>
      </c>
      <c r="F2667" s="13">
        <f>IF(AND(A2667&lt;&gt;"",C2667&lt;Options!$B$10),B2667*Options!$X$8,0)</f>
        <v/>
      </c>
      <c r="G2667" s="13">
        <f>F2667*12%</f>
        <v/>
      </c>
      <c r="H2667" s="13">
        <f>IF(A2667="",0,B2667*(92*IF(OR(C2667=Options!$B$9,C2667=Options!$B$10),75%,100%)-IF(C2667=DATE(2026,11,29),26+IF(Options!$B$8="是",23,0),0)-IF(C2667=DATE(2026,11,30),26,0)-IF(C2667=DATE(2026,12,1),64,0)-IF(C2667=DATE(2026,11,28),38,0)-IF(C2667=DATE(2026,12,2),26,0)))</f>
        <v/>
      </c>
      <c r="I2667" s="13">
        <f>IF(AND(C2667&gt;=DATE(2026,11,29),C2667&lt;=DATE(2026,12,1)),B2667*60,0)</f>
        <v/>
      </c>
      <c r="J2667" s="13">
        <f>IF(A2667="",0,B2667*(IF(C2667=DATE(2026,11,28),38,0)+IF(C2667=DATE(2026,12,1),38,0)+IF(C2667=DATE(2026,12,2),26,0)))</f>
        <v/>
      </c>
      <c r="K2667" s="13">
        <f>IF(C2667=Options!$B$9,B2667*12,0)</f>
        <v/>
      </c>
      <c r="L2667" s="13">
        <f>IF(C2667=Options!$B$9,B2667*Options!$Z$8,0)</f>
        <v/>
      </c>
      <c r="M2667" s="13" t="n">
        <v>0</v>
      </c>
      <c r="N2667" s="13">
        <f>SUM(E2667:M2667)</f>
        <v/>
      </c>
    </row>
    <row r="2668">
      <c r="A2668" s="5">
        <f>IF(AND(C2668&gt;=Options!$B$9,C2668&lt;=Options!$B$10),"Boston","")</f>
        <v/>
      </c>
      <c r="B2668" s="5">
        <f>IF(A2668="","",24)</f>
        <v/>
      </c>
      <c r="C2668" s="17" t="n">
        <v>46404</v>
      </c>
      <c r="D2668" s="5">
        <f>IF(A2668="","",IF(C2668=DATE(2026,11,29),"培训；注册午餐；早餐参数",IF(C2668=DATE(2026,11,30),"培训；注册午餐",IF(C2668=DATE(2026,12,1),"培训；注册午餐；机构晚餐",IF(C2668=Options!$B$9,"抵达；"&amp;IF(C2668=DATE(2026,11,28),"机构晚餐","无统一供餐"),IF(C2668=Options!$B$10,"返程；"&amp;IF(C2668=DATE(2026,12,2),"机构午餐","无统一供餐"),"差旅状态；无统一日程"))))))</f>
        <v/>
      </c>
      <c r="E2668" s="13">
        <f>IF(C2668=Options!$B$9,Options!$C$21,0)</f>
        <v/>
      </c>
      <c r="F2668" s="13">
        <f>IF(AND(A2668&lt;&gt;"",C2668&lt;Options!$B$10),B2668*Options!$X$8,0)</f>
        <v/>
      </c>
      <c r="G2668" s="13">
        <f>F2668*12%</f>
        <v/>
      </c>
      <c r="H2668" s="13">
        <f>IF(A2668="",0,B2668*(92*IF(OR(C2668=Options!$B$9,C2668=Options!$B$10),75%,100%)-IF(C2668=DATE(2026,11,29),26+IF(Options!$B$8="是",23,0),0)-IF(C2668=DATE(2026,11,30),26,0)-IF(C2668=DATE(2026,12,1),64,0)-IF(C2668=DATE(2026,11,28),38,0)-IF(C2668=DATE(2026,12,2),26,0)))</f>
        <v/>
      </c>
      <c r="I2668" s="13">
        <f>IF(AND(C2668&gt;=DATE(2026,11,29),C2668&lt;=DATE(2026,12,1)),B2668*60,0)</f>
        <v/>
      </c>
      <c r="J2668" s="13">
        <f>IF(A2668="",0,B2668*(IF(C2668=DATE(2026,11,28),38,0)+IF(C2668=DATE(2026,12,1),38,0)+IF(C2668=DATE(2026,12,2),26,0)))</f>
        <v/>
      </c>
      <c r="K2668" s="13">
        <f>IF(C2668=Options!$B$9,B2668*12,0)</f>
        <v/>
      </c>
      <c r="L2668" s="13">
        <f>IF(C2668=Options!$B$9,B2668*Options!$Z$8,0)</f>
        <v/>
      </c>
      <c r="M2668" s="13" t="n">
        <v>0</v>
      </c>
      <c r="N2668" s="13">
        <f>SUM(E2668:M2668)</f>
        <v/>
      </c>
    </row>
    <row r="2669">
      <c r="A2669" s="5">
        <f>IF(AND(C2669&gt;=Options!$B$9,C2669&lt;=Options!$B$10),"Boston","")</f>
        <v/>
      </c>
      <c r="B2669" s="5">
        <f>IF(A2669="","",24)</f>
        <v/>
      </c>
      <c r="C2669" s="17" t="n">
        <v>46405</v>
      </c>
      <c r="D2669" s="5">
        <f>IF(A2669="","",IF(C2669=DATE(2026,11,29),"培训；注册午餐；早餐参数",IF(C2669=DATE(2026,11,30),"培训；注册午餐",IF(C2669=DATE(2026,12,1),"培训；注册午餐；机构晚餐",IF(C2669=Options!$B$9,"抵达；"&amp;IF(C2669=DATE(2026,11,28),"机构晚餐","无统一供餐"),IF(C2669=Options!$B$10,"返程；"&amp;IF(C2669=DATE(2026,12,2),"机构午餐","无统一供餐"),"差旅状态；无统一日程"))))))</f>
        <v/>
      </c>
      <c r="E2669" s="13">
        <f>IF(C2669=Options!$B$9,Options!$C$21,0)</f>
        <v/>
      </c>
      <c r="F2669" s="13">
        <f>IF(AND(A2669&lt;&gt;"",C2669&lt;Options!$B$10),B2669*Options!$X$8,0)</f>
        <v/>
      </c>
      <c r="G2669" s="13">
        <f>F2669*12%</f>
        <v/>
      </c>
      <c r="H2669" s="13">
        <f>IF(A2669="",0,B2669*(92*IF(OR(C2669=Options!$B$9,C2669=Options!$B$10),75%,100%)-IF(C2669=DATE(2026,11,29),26+IF(Options!$B$8="是",23,0),0)-IF(C2669=DATE(2026,11,30),26,0)-IF(C2669=DATE(2026,12,1),64,0)-IF(C2669=DATE(2026,11,28),38,0)-IF(C2669=DATE(2026,12,2),26,0)))</f>
        <v/>
      </c>
      <c r="I2669" s="13">
        <f>IF(AND(C2669&gt;=DATE(2026,11,29),C2669&lt;=DATE(2026,12,1)),B2669*60,0)</f>
        <v/>
      </c>
      <c r="J2669" s="13">
        <f>IF(A2669="",0,B2669*(IF(C2669=DATE(2026,11,28),38,0)+IF(C2669=DATE(2026,12,1),38,0)+IF(C2669=DATE(2026,12,2),26,0)))</f>
        <v/>
      </c>
      <c r="K2669" s="13">
        <f>IF(C2669=Options!$B$9,B2669*12,0)</f>
        <v/>
      </c>
      <c r="L2669" s="13">
        <f>IF(C2669=Options!$B$9,B2669*Options!$Z$8,0)</f>
        <v/>
      </c>
      <c r="M2669" s="13" t="n">
        <v>0</v>
      </c>
      <c r="N2669" s="13">
        <f>SUM(E2669:M2669)</f>
        <v/>
      </c>
    </row>
    <row r="2670">
      <c r="A2670" s="5">
        <f>IF(AND(C2670&gt;=Options!$B$9,C2670&lt;=Options!$B$10),"Boston","")</f>
        <v/>
      </c>
      <c r="B2670" s="5">
        <f>IF(A2670="","",24)</f>
        <v/>
      </c>
      <c r="C2670" s="17" t="n">
        <v>46406</v>
      </c>
      <c r="D2670" s="5">
        <f>IF(A2670="","",IF(C2670=DATE(2026,11,29),"培训；注册午餐；早餐参数",IF(C2670=DATE(2026,11,30),"培训；注册午餐",IF(C2670=DATE(2026,12,1),"培训；注册午餐；机构晚餐",IF(C2670=Options!$B$9,"抵达；"&amp;IF(C2670=DATE(2026,11,28),"机构晚餐","无统一供餐"),IF(C2670=Options!$B$10,"返程；"&amp;IF(C2670=DATE(2026,12,2),"机构午餐","无统一供餐"),"差旅状态；无统一日程"))))))</f>
        <v/>
      </c>
      <c r="E2670" s="13">
        <f>IF(C2670=Options!$B$9,Options!$C$21,0)</f>
        <v/>
      </c>
      <c r="F2670" s="13">
        <f>IF(AND(A2670&lt;&gt;"",C2670&lt;Options!$B$10),B2670*Options!$X$8,0)</f>
        <v/>
      </c>
      <c r="G2670" s="13">
        <f>F2670*12%</f>
        <v/>
      </c>
      <c r="H2670" s="13">
        <f>IF(A2670="",0,B2670*(92*IF(OR(C2670=Options!$B$9,C2670=Options!$B$10),75%,100%)-IF(C2670=DATE(2026,11,29),26+IF(Options!$B$8="是",23,0),0)-IF(C2670=DATE(2026,11,30),26,0)-IF(C2670=DATE(2026,12,1),64,0)-IF(C2670=DATE(2026,11,28),38,0)-IF(C2670=DATE(2026,12,2),26,0)))</f>
        <v/>
      </c>
      <c r="I2670" s="13">
        <f>IF(AND(C2670&gt;=DATE(2026,11,29),C2670&lt;=DATE(2026,12,1)),B2670*60,0)</f>
        <v/>
      </c>
      <c r="J2670" s="13">
        <f>IF(A2670="",0,B2670*(IF(C2670=DATE(2026,11,28),38,0)+IF(C2670=DATE(2026,12,1),38,0)+IF(C2670=DATE(2026,12,2),26,0)))</f>
        <v/>
      </c>
      <c r="K2670" s="13">
        <f>IF(C2670=Options!$B$9,B2670*12,0)</f>
        <v/>
      </c>
      <c r="L2670" s="13">
        <f>IF(C2670=Options!$B$9,B2670*Options!$Z$8,0)</f>
        <v/>
      </c>
      <c r="M2670" s="13" t="n">
        <v>0</v>
      </c>
      <c r="N2670" s="13">
        <f>SUM(E2670:M2670)</f>
        <v/>
      </c>
    </row>
    <row r="2671">
      <c r="A2671" s="5">
        <f>IF(AND(C2671&gt;=Options!$B$9,C2671&lt;=Options!$B$10),"Boston","")</f>
        <v/>
      </c>
      <c r="B2671" s="5">
        <f>IF(A2671="","",24)</f>
        <v/>
      </c>
      <c r="C2671" s="17" t="n">
        <v>46407</v>
      </c>
      <c r="D2671" s="5">
        <f>IF(A2671="","",IF(C2671=DATE(2026,11,29),"培训；注册午餐；早餐参数",IF(C2671=DATE(2026,11,30),"培训；注册午餐",IF(C2671=DATE(2026,12,1),"培训；注册午餐；机构晚餐",IF(C2671=Options!$B$9,"抵达；"&amp;IF(C2671=DATE(2026,11,28),"机构晚餐","无统一供餐"),IF(C2671=Options!$B$10,"返程；"&amp;IF(C2671=DATE(2026,12,2),"机构午餐","无统一供餐"),"差旅状态；无统一日程"))))))</f>
        <v/>
      </c>
      <c r="E2671" s="13">
        <f>IF(C2671=Options!$B$9,Options!$C$21,0)</f>
        <v/>
      </c>
      <c r="F2671" s="13">
        <f>IF(AND(A2671&lt;&gt;"",C2671&lt;Options!$B$10),B2671*Options!$X$8,0)</f>
        <v/>
      </c>
      <c r="G2671" s="13">
        <f>F2671*12%</f>
        <v/>
      </c>
      <c r="H2671" s="13">
        <f>IF(A2671="",0,B2671*(92*IF(OR(C2671=Options!$B$9,C2671=Options!$B$10),75%,100%)-IF(C2671=DATE(2026,11,29),26+IF(Options!$B$8="是",23,0),0)-IF(C2671=DATE(2026,11,30),26,0)-IF(C2671=DATE(2026,12,1),64,0)-IF(C2671=DATE(2026,11,28),38,0)-IF(C2671=DATE(2026,12,2),26,0)))</f>
        <v/>
      </c>
      <c r="I2671" s="13">
        <f>IF(AND(C2671&gt;=DATE(2026,11,29),C2671&lt;=DATE(2026,12,1)),B2671*60,0)</f>
        <v/>
      </c>
      <c r="J2671" s="13">
        <f>IF(A2671="",0,B2671*(IF(C2671=DATE(2026,11,28),38,0)+IF(C2671=DATE(2026,12,1),38,0)+IF(C2671=DATE(2026,12,2),26,0)))</f>
        <v/>
      </c>
      <c r="K2671" s="13">
        <f>IF(C2671=Options!$B$9,B2671*12,0)</f>
        <v/>
      </c>
      <c r="L2671" s="13">
        <f>IF(C2671=Options!$B$9,B2671*Options!$Z$8,0)</f>
        <v/>
      </c>
      <c r="M2671" s="13" t="n">
        <v>0</v>
      </c>
      <c r="N2671" s="13">
        <f>SUM(E2671:M2671)</f>
        <v/>
      </c>
    </row>
    <row r="2672">
      <c r="A2672" s="5">
        <f>IF(AND(C2672&gt;=Options!$B$9,C2672&lt;=Options!$B$10),"Boston","")</f>
        <v/>
      </c>
      <c r="B2672" s="5">
        <f>IF(A2672="","",24)</f>
        <v/>
      </c>
      <c r="C2672" s="17" t="n">
        <v>46408</v>
      </c>
      <c r="D2672" s="5">
        <f>IF(A2672="","",IF(C2672=DATE(2026,11,29),"培训；注册午餐；早餐参数",IF(C2672=DATE(2026,11,30),"培训；注册午餐",IF(C2672=DATE(2026,12,1),"培训；注册午餐；机构晚餐",IF(C2672=Options!$B$9,"抵达；"&amp;IF(C2672=DATE(2026,11,28),"机构晚餐","无统一供餐"),IF(C2672=Options!$B$10,"返程；"&amp;IF(C2672=DATE(2026,12,2),"机构午餐","无统一供餐"),"差旅状态；无统一日程"))))))</f>
        <v/>
      </c>
      <c r="E2672" s="13">
        <f>IF(C2672=Options!$B$9,Options!$C$21,0)</f>
        <v/>
      </c>
      <c r="F2672" s="13">
        <f>IF(AND(A2672&lt;&gt;"",C2672&lt;Options!$B$10),B2672*Options!$X$8,0)</f>
        <v/>
      </c>
      <c r="G2672" s="13">
        <f>F2672*12%</f>
        <v/>
      </c>
      <c r="H2672" s="13">
        <f>IF(A2672="",0,B2672*(92*IF(OR(C2672=Options!$B$9,C2672=Options!$B$10),75%,100%)-IF(C2672=DATE(2026,11,29),26+IF(Options!$B$8="是",23,0),0)-IF(C2672=DATE(2026,11,30),26,0)-IF(C2672=DATE(2026,12,1),64,0)-IF(C2672=DATE(2026,11,28),38,0)-IF(C2672=DATE(2026,12,2),26,0)))</f>
        <v/>
      </c>
      <c r="I2672" s="13">
        <f>IF(AND(C2672&gt;=DATE(2026,11,29),C2672&lt;=DATE(2026,12,1)),B2672*60,0)</f>
        <v/>
      </c>
      <c r="J2672" s="13">
        <f>IF(A2672="",0,B2672*(IF(C2672=DATE(2026,11,28),38,0)+IF(C2672=DATE(2026,12,1),38,0)+IF(C2672=DATE(2026,12,2),26,0)))</f>
        <v/>
      </c>
      <c r="K2672" s="13">
        <f>IF(C2672=Options!$B$9,B2672*12,0)</f>
        <v/>
      </c>
      <c r="L2672" s="13">
        <f>IF(C2672=Options!$B$9,B2672*Options!$Z$8,0)</f>
        <v/>
      </c>
      <c r="M2672" s="13" t="n">
        <v>0</v>
      </c>
      <c r="N2672" s="13">
        <f>SUM(E2672:M2672)</f>
        <v/>
      </c>
    </row>
    <row r="2673">
      <c r="A2673" s="5">
        <f>IF(AND(C2673&gt;=Options!$B$9,C2673&lt;=Options!$B$10),"Boston","")</f>
        <v/>
      </c>
      <c r="B2673" s="5">
        <f>IF(A2673="","",24)</f>
        <v/>
      </c>
      <c r="C2673" s="17" t="n">
        <v>46409</v>
      </c>
      <c r="D2673" s="5">
        <f>IF(A2673="","",IF(C2673=DATE(2026,11,29),"培训；注册午餐；早餐参数",IF(C2673=DATE(2026,11,30),"培训；注册午餐",IF(C2673=DATE(2026,12,1),"培训；注册午餐；机构晚餐",IF(C2673=Options!$B$9,"抵达；"&amp;IF(C2673=DATE(2026,11,28),"机构晚餐","无统一供餐"),IF(C2673=Options!$B$10,"返程；"&amp;IF(C2673=DATE(2026,12,2),"机构午餐","无统一供餐"),"差旅状态；无统一日程"))))))</f>
        <v/>
      </c>
      <c r="E2673" s="13">
        <f>IF(C2673=Options!$B$9,Options!$C$21,0)</f>
        <v/>
      </c>
      <c r="F2673" s="13">
        <f>IF(AND(A2673&lt;&gt;"",C2673&lt;Options!$B$10),B2673*Options!$X$8,0)</f>
        <v/>
      </c>
      <c r="G2673" s="13">
        <f>F2673*12%</f>
        <v/>
      </c>
      <c r="H2673" s="13">
        <f>IF(A2673="",0,B2673*(92*IF(OR(C2673=Options!$B$9,C2673=Options!$B$10),75%,100%)-IF(C2673=DATE(2026,11,29),26+IF(Options!$B$8="是",23,0),0)-IF(C2673=DATE(2026,11,30),26,0)-IF(C2673=DATE(2026,12,1),64,0)-IF(C2673=DATE(2026,11,28),38,0)-IF(C2673=DATE(2026,12,2),26,0)))</f>
        <v/>
      </c>
      <c r="I2673" s="13">
        <f>IF(AND(C2673&gt;=DATE(2026,11,29),C2673&lt;=DATE(2026,12,1)),B2673*60,0)</f>
        <v/>
      </c>
      <c r="J2673" s="13">
        <f>IF(A2673="",0,B2673*(IF(C2673=DATE(2026,11,28),38,0)+IF(C2673=DATE(2026,12,1),38,0)+IF(C2673=DATE(2026,12,2),26,0)))</f>
        <v/>
      </c>
      <c r="K2673" s="13">
        <f>IF(C2673=Options!$B$9,B2673*12,0)</f>
        <v/>
      </c>
      <c r="L2673" s="13">
        <f>IF(C2673=Options!$B$9,B2673*Options!$Z$8,0)</f>
        <v/>
      </c>
      <c r="M2673" s="13" t="n">
        <v>0</v>
      </c>
      <c r="N2673" s="13">
        <f>SUM(E2673:M2673)</f>
        <v/>
      </c>
    </row>
    <row r="2674">
      <c r="A2674" s="5">
        <f>IF(AND(C2674&gt;=Options!$B$9,C2674&lt;=Options!$B$10),"Boston","")</f>
        <v/>
      </c>
      <c r="B2674" s="5">
        <f>IF(A2674="","",24)</f>
        <v/>
      </c>
      <c r="C2674" s="17" t="n">
        <v>46410</v>
      </c>
      <c r="D2674" s="5">
        <f>IF(A2674="","",IF(C2674=DATE(2026,11,29),"培训；注册午餐；早餐参数",IF(C2674=DATE(2026,11,30),"培训；注册午餐",IF(C2674=DATE(2026,12,1),"培训；注册午餐；机构晚餐",IF(C2674=Options!$B$9,"抵达；"&amp;IF(C2674=DATE(2026,11,28),"机构晚餐","无统一供餐"),IF(C2674=Options!$B$10,"返程；"&amp;IF(C2674=DATE(2026,12,2),"机构午餐","无统一供餐"),"差旅状态；无统一日程"))))))</f>
        <v/>
      </c>
      <c r="E2674" s="13">
        <f>IF(C2674=Options!$B$9,Options!$C$21,0)</f>
        <v/>
      </c>
      <c r="F2674" s="13">
        <f>IF(AND(A2674&lt;&gt;"",C2674&lt;Options!$B$10),B2674*Options!$X$8,0)</f>
        <v/>
      </c>
      <c r="G2674" s="13">
        <f>F2674*12%</f>
        <v/>
      </c>
      <c r="H2674" s="13">
        <f>IF(A2674="",0,B2674*(92*IF(OR(C2674=Options!$B$9,C2674=Options!$B$10),75%,100%)-IF(C2674=DATE(2026,11,29),26+IF(Options!$B$8="是",23,0),0)-IF(C2674=DATE(2026,11,30),26,0)-IF(C2674=DATE(2026,12,1),64,0)-IF(C2674=DATE(2026,11,28),38,0)-IF(C2674=DATE(2026,12,2),26,0)))</f>
        <v/>
      </c>
      <c r="I2674" s="13">
        <f>IF(AND(C2674&gt;=DATE(2026,11,29),C2674&lt;=DATE(2026,12,1)),B2674*60,0)</f>
        <v/>
      </c>
      <c r="J2674" s="13">
        <f>IF(A2674="",0,B2674*(IF(C2674=DATE(2026,11,28),38,0)+IF(C2674=DATE(2026,12,1),38,0)+IF(C2674=DATE(2026,12,2),26,0)))</f>
        <v/>
      </c>
      <c r="K2674" s="13">
        <f>IF(C2674=Options!$B$9,B2674*12,0)</f>
        <v/>
      </c>
      <c r="L2674" s="13">
        <f>IF(C2674=Options!$B$9,B2674*Options!$Z$8,0)</f>
        <v/>
      </c>
      <c r="M2674" s="13" t="n">
        <v>0</v>
      </c>
      <c r="N2674" s="13">
        <f>SUM(E2674:M2674)</f>
        <v/>
      </c>
    </row>
    <row r="2675">
      <c r="A2675" s="5">
        <f>IF(AND(C2675&gt;=Options!$B$9,C2675&lt;=Options!$B$10),"Boston","")</f>
        <v/>
      </c>
      <c r="B2675" s="5">
        <f>IF(A2675="","",24)</f>
        <v/>
      </c>
      <c r="C2675" s="17" t="n">
        <v>46411</v>
      </c>
      <c r="D2675" s="5">
        <f>IF(A2675="","",IF(C2675=DATE(2026,11,29),"培训；注册午餐；早餐参数",IF(C2675=DATE(2026,11,30),"培训；注册午餐",IF(C2675=DATE(2026,12,1),"培训；注册午餐；机构晚餐",IF(C2675=Options!$B$9,"抵达；"&amp;IF(C2675=DATE(2026,11,28),"机构晚餐","无统一供餐"),IF(C2675=Options!$B$10,"返程；"&amp;IF(C2675=DATE(2026,12,2),"机构午餐","无统一供餐"),"差旅状态；无统一日程"))))))</f>
        <v/>
      </c>
      <c r="E2675" s="13">
        <f>IF(C2675=Options!$B$9,Options!$C$21,0)</f>
        <v/>
      </c>
      <c r="F2675" s="13">
        <f>IF(AND(A2675&lt;&gt;"",C2675&lt;Options!$B$10),B2675*Options!$X$8,0)</f>
        <v/>
      </c>
      <c r="G2675" s="13">
        <f>F2675*12%</f>
        <v/>
      </c>
      <c r="H2675" s="13">
        <f>IF(A2675="",0,B2675*(92*IF(OR(C2675=Options!$B$9,C2675=Options!$B$10),75%,100%)-IF(C2675=DATE(2026,11,29),26+IF(Options!$B$8="是",23,0),0)-IF(C2675=DATE(2026,11,30),26,0)-IF(C2675=DATE(2026,12,1),64,0)-IF(C2675=DATE(2026,11,28),38,0)-IF(C2675=DATE(2026,12,2),26,0)))</f>
        <v/>
      </c>
      <c r="I2675" s="13">
        <f>IF(AND(C2675&gt;=DATE(2026,11,29),C2675&lt;=DATE(2026,12,1)),B2675*60,0)</f>
        <v/>
      </c>
      <c r="J2675" s="13">
        <f>IF(A2675="",0,B2675*(IF(C2675=DATE(2026,11,28),38,0)+IF(C2675=DATE(2026,12,1),38,0)+IF(C2675=DATE(2026,12,2),26,0)))</f>
        <v/>
      </c>
      <c r="K2675" s="13">
        <f>IF(C2675=Options!$B$9,B2675*12,0)</f>
        <v/>
      </c>
      <c r="L2675" s="13">
        <f>IF(C2675=Options!$B$9,B2675*Options!$Z$8,0)</f>
        <v/>
      </c>
      <c r="M2675" s="13" t="n">
        <v>0</v>
      </c>
      <c r="N2675" s="13">
        <f>SUM(E2675:M2675)</f>
        <v/>
      </c>
    </row>
    <row r="2676">
      <c r="A2676" s="5">
        <f>IF(AND(C2676&gt;=Options!$B$9,C2676&lt;=Options!$B$10),"Boston","")</f>
        <v/>
      </c>
      <c r="B2676" s="5">
        <f>IF(A2676="","",24)</f>
        <v/>
      </c>
      <c r="C2676" s="17" t="n">
        <v>46412</v>
      </c>
      <c r="D2676" s="5">
        <f>IF(A2676="","",IF(C2676=DATE(2026,11,29),"培训；注册午餐；早餐参数",IF(C2676=DATE(2026,11,30),"培训；注册午餐",IF(C2676=DATE(2026,12,1),"培训；注册午餐；机构晚餐",IF(C2676=Options!$B$9,"抵达；"&amp;IF(C2676=DATE(2026,11,28),"机构晚餐","无统一供餐"),IF(C2676=Options!$B$10,"返程；"&amp;IF(C2676=DATE(2026,12,2),"机构午餐","无统一供餐"),"差旅状态；无统一日程"))))))</f>
        <v/>
      </c>
      <c r="E2676" s="13">
        <f>IF(C2676=Options!$B$9,Options!$C$21,0)</f>
        <v/>
      </c>
      <c r="F2676" s="13">
        <f>IF(AND(A2676&lt;&gt;"",C2676&lt;Options!$B$10),B2676*Options!$X$8,0)</f>
        <v/>
      </c>
      <c r="G2676" s="13">
        <f>F2676*12%</f>
        <v/>
      </c>
      <c r="H2676" s="13">
        <f>IF(A2676="",0,B2676*(92*IF(OR(C2676=Options!$B$9,C2676=Options!$B$10),75%,100%)-IF(C2676=DATE(2026,11,29),26+IF(Options!$B$8="是",23,0),0)-IF(C2676=DATE(2026,11,30),26,0)-IF(C2676=DATE(2026,12,1),64,0)-IF(C2676=DATE(2026,11,28),38,0)-IF(C2676=DATE(2026,12,2),26,0)))</f>
        <v/>
      </c>
      <c r="I2676" s="13">
        <f>IF(AND(C2676&gt;=DATE(2026,11,29),C2676&lt;=DATE(2026,12,1)),B2676*60,0)</f>
        <v/>
      </c>
      <c r="J2676" s="13">
        <f>IF(A2676="",0,B2676*(IF(C2676=DATE(2026,11,28),38,0)+IF(C2676=DATE(2026,12,1),38,0)+IF(C2676=DATE(2026,12,2),26,0)))</f>
        <v/>
      </c>
      <c r="K2676" s="13">
        <f>IF(C2676=Options!$B$9,B2676*12,0)</f>
        <v/>
      </c>
      <c r="L2676" s="13">
        <f>IF(C2676=Options!$B$9,B2676*Options!$Z$8,0)</f>
        <v/>
      </c>
      <c r="M2676" s="13" t="n">
        <v>0</v>
      </c>
      <c r="N2676" s="13">
        <f>SUM(E2676:M2676)</f>
        <v/>
      </c>
    </row>
    <row r="2677">
      <c r="A2677" s="5">
        <f>IF(AND(C2677&gt;=Options!$B$9,C2677&lt;=Options!$B$10),"Boston","")</f>
        <v/>
      </c>
      <c r="B2677" s="5">
        <f>IF(A2677="","",24)</f>
        <v/>
      </c>
      <c r="C2677" s="17" t="n">
        <v>46413</v>
      </c>
      <c r="D2677" s="5">
        <f>IF(A2677="","",IF(C2677=DATE(2026,11,29),"培训；注册午餐；早餐参数",IF(C2677=DATE(2026,11,30),"培训；注册午餐",IF(C2677=DATE(2026,12,1),"培训；注册午餐；机构晚餐",IF(C2677=Options!$B$9,"抵达；"&amp;IF(C2677=DATE(2026,11,28),"机构晚餐","无统一供餐"),IF(C2677=Options!$B$10,"返程；"&amp;IF(C2677=DATE(2026,12,2),"机构午餐","无统一供餐"),"差旅状态；无统一日程"))))))</f>
        <v/>
      </c>
      <c r="E2677" s="13">
        <f>IF(C2677=Options!$B$9,Options!$C$21,0)</f>
        <v/>
      </c>
      <c r="F2677" s="13">
        <f>IF(AND(A2677&lt;&gt;"",C2677&lt;Options!$B$10),B2677*Options!$X$8,0)</f>
        <v/>
      </c>
      <c r="G2677" s="13">
        <f>F2677*12%</f>
        <v/>
      </c>
      <c r="H2677" s="13">
        <f>IF(A2677="",0,B2677*(92*IF(OR(C2677=Options!$B$9,C2677=Options!$B$10),75%,100%)-IF(C2677=DATE(2026,11,29),26+IF(Options!$B$8="是",23,0),0)-IF(C2677=DATE(2026,11,30),26,0)-IF(C2677=DATE(2026,12,1),64,0)-IF(C2677=DATE(2026,11,28),38,0)-IF(C2677=DATE(2026,12,2),26,0)))</f>
        <v/>
      </c>
      <c r="I2677" s="13">
        <f>IF(AND(C2677&gt;=DATE(2026,11,29),C2677&lt;=DATE(2026,12,1)),B2677*60,0)</f>
        <v/>
      </c>
      <c r="J2677" s="13">
        <f>IF(A2677="",0,B2677*(IF(C2677=DATE(2026,11,28),38,0)+IF(C2677=DATE(2026,12,1),38,0)+IF(C2677=DATE(2026,12,2),26,0)))</f>
        <v/>
      </c>
      <c r="K2677" s="13">
        <f>IF(C2677=Options!$B$9,B2677*12,0)</f>
        <v/>
      </c>
      <c r="L2677" s="13">
        <f>IF(C2677=Options!$B$9,B2677*Options!$Z$8,0)</f>
        <v/>
      </c>
      <c r="M2677" s="13" t="n">
        <v>0</v>
      </c>
      <c r="N2677" s="13">
        <f>SUM(E2677:M2677)</f>
        <v/>
      </c>
    </row>
    <row r="2678">
      <c r="A2678" s="5">
        <f>IF(AND(C2678&gt;=Options!$B$9,C2678&lt;=Options!$B$10),"Boston","")</f>
        <v/>
      </c>
      <c r="B2678" s="5">
        <f>IF(A2678="","",24)</f>
        <v/>
      </c>
      <c r="C2678" s="17" t="n">
        <v>46414</v>
      </c>
      <c r="D2678" s="5">
        <f>IF(A2678="","",IF(C2678=DATE(2026,11,29),"培训；注册午餐；早餐参数",IF(C2678=DATE(2026,11,30),"培训；注册午餐",IF(C2678=DATE(2026,12,1),"培训；注册午餐；机构晚餐",IF(C2678=Options!$B$9,"抵达；"&amp;IF(C2678=DATE(2026,11,28),"机构晚餐","无统一供餐"),IF(C2678=Options!$B$10,"返程；"&amp;IF(C2678=DATE(2026,12,2),"机构午餐","无统一供餐"),"差旅状态；无统一日程"))))))</f>
        <v/>
      </c>
      <c r="E2678" s="13">
        <f>IF(C2678=Options!$B$9,Options!$C$21,0)</f>
        <v/>
      </c>
      <c r="F2678" s="13">
        <f>IF(AND(A2678&lt;&gt;"",C2678&lt;Options!$B$10),B2678*Options!$X$8,0)</f>
        <v/>
      </c>
      <c r="G2678" s="13">
        <f>F2678*12%</f>
        <v/>
      </c>
      <c r="H2678" s="13">
        <f>IF(A2678="",0,B2678*(92*IF(OR(C2678=Options!$B$9,C2678=Options!$B$10),75%,100%)-IF(C2678=DATE(2026,11,29),26+IF(Options!$B$8="是",23,0),0)-IF(C2678=DATE(2026,11,30),26,0)-IF(C2678=DATE(2026,12,1),64,0)-IF(C2678=DATE(2026,11,28),38,0)-IF(C2678=DATE(2026,12,2),26,0)))</f>
        <v/>
      </c>
      <c r="I2678" s="13">
        <f>IF(AND(C2678&gt;=DATE(2026,11,29),C2678&lt;=DATE(2026,12,1)),B2678*60,0)</f>
        <v/>
      </c>
      <c r="J2678" s="13">
        <f>IF(A2678="",0,B2678*(IF(C2678=DATE(2026,11,28),38,0)+IF(C2678=DATE(2026,12,1),38,0)+IF(C2678=DATE(2026,12,2),26,0)))</f>
        <v/>
      </c>
      <c r="K2678" s="13">
        <f>IF(C2678=Options!$B$9,B2678*12,0)</f>
        <v/>
      </c>
      <c r="L2678" s="13">
        <f>IF(C2678=Options!$B$9,B2678*Options!$Z$8,0)</f>
        <v/>
      </c>
      <c r="M2678" s="13" t="n">
        <v>0</v>
      </c>
      <c r="N2678" s="13">
        <f>SUM(E2678:M2678)</f>
        <v/>
      </c>
    </row>
    <row r="2679">
      <c r="A2679" s="5">
        <f>IF(AND(C2679&gt;=Options!$B$9,C2679&lt;=Options!$B$10),"Boston","")</f>
        <v/>
      </c>
      <c r="B2679" s="5">
        <f>IF(A2679="","",24)</f>
        <v/>
      </c>
      <c r="C2679" s="17" t="n">
        <v>46415</v>
      </c>
      <c r="D2679" s="5">
        <f>IF(A2679="","",IF(C2679=DATE(2026,11,29),"培训；注册午餐；早餐参数",IF(C2679=DATE(2026,11,30),"培训；注册午餐",IF(C2679=DATE(2026,12,1),"培训；注册午餐；机构晚餐",IF(C2679=Options!$B$9,"抵达；"&amp;IF(C2679=DATE(2026,11,28),"机构晚餐","无统一供餐"),IF(C2679=Options!$B$10,"返程；"&amp;IF(C2679=DATE(2026,12,2),"机构午餐","无统一供餐"),"差旅状态；无统一日程"))))))</f>
        <v/>
      </c>
      <c r="E2679" s="13">
        <f>IF(C2679=Options!$B$9,Options!$C$21,0)</f>
        <v/>
      </c>
      <c r="F2679" s="13">
        <f>IF(AND(A2679&lt;&gt;"",C2679&lt;Options!$B$10),B2679*Options!$X$8,0)</f>
        <v/>
      </c>
      <c r="G2679" s="13">
        <f>F2679*12%</f>
        <v/>
      </c>
      <c r="H2679" s="13">
        <f>IF(A2679="",0,B2679*(92*IF(OR(C2679=Options!$B$9,C2679=Options!$B$10),75%,100%)-IF(C2679=DATE(2026,11,29),26+IF(Options!$B$8="是",23,0),0)-IF(C2679=DATE(2026,11,30),26,0)-IF(C2679=DATE(2026,12,1),64,0)-IF(C2679=DATE(2026,11,28),38,0)-IF(C2679=DATE(2026,12,2),26,0)))</f>
        <v/>
      </c>
      <c r="I2679" s="13">
        <f>IF(AND(C2679&gt;=DATE(2026,11,29),C2679&lt;=DATE(2026,12,1)),B2679*60,0)</f>
        <v/>
      </c>
      <c r="J2679" s="13">
        <f>IF(A2679="",0,B2679*(IF(C2679=DATE(2026,11,28),38,0)+IF(C2679=DATE(2026,12,1),38,0)+IF(C2679=DATE(2026,12,2),26,0)))</f>
        <v/>
      </c>
      <c r="K2679" s="13">
        <f>IF(C2679=Options!$B$9,B2679*12,0)</f>
        <v/>
      </c>
      <c r="L2679" s="13">
        <f>IF(C2679=Options!$B$9,B2679*Options!$Z$8,0)</f>
        <v/>
      </c>
      <c r="M2679" s="13" t="n">
        <v>0</v>
      </c>
      <c r="N2679" s="13">
        <f>SUM(E2679:M2679)</f>
        <v/>
      </c>
    </row>
    <row r="2680">
      <c r="A2680" s="5">
        <f>IF(AND(C2680&gt;=Options!$B$9,C2680&lt;=Options!$B$10),"Boston","")</f>
        <v/>
      </c>
      <c r="B2680" s="5">
        <f>IF(A2680="","",24)</f>
        <v/>
      </c>
      <c r="C2680" s="17" t="n">
        <v>46416</v>
      </c>
      <c r="D2680" s="5">
        <f>IF(A2680="","",IF(C2680=DATE(2026,11,29),"培训；注册午餐；早餐参数",IF(C2680=DATE(2026,11,30),"培训；注册午餐",IF(C2680=DATE(2026,12,1),"培训；注册午餐；机构晚餐",IF(C2680=Options!$B$9,"抵达；"&amp;IF(C2680=DATE(2026,11,28),"机构晚餐","无统一供餐"),IF(C2680=Options!$B$10,"返程；"&amp;IF(C2680=DATE(2026,12,2),"机构午餐","无统一供餐"),"差旅状态；无统一日程"))))))</f>
        <v/>
      </c>
      <c r="E2680" s="13">
        <f>IF(C2680=Options!$B$9,Options!$C$21,0)</f>
        <v/>
      </c>
      <c r="F2680" s="13">
        <f>IF(AND(A2680&lt;&gt;"",C2680&lt;Options!$B$10),B2680*Options!$X$8,0)</f>
        <v/>
      </c>
      <c r="G2680" s="13">
        <f>F2680*12%</f>
        <v/>
      </c>
      <c r="H2680" s="13">
        <f>IF(A2680="",0,B2680*(92*IF(OR(C2680=Options!$B$9,C2680=Options!$B$10),75%,100%)-IF(C2680=DATE(2026,11,29),26+IF(Options!$B$8="是",23,0),0)-IF(C2680=DATE(2026,11,30),26,0)-IF(C2680=DATE(2026,12,1),64,0)-IF(C2680=DATE(2026,11,28),38,0)-IF(C2680=DATE(2026,12,2),26,0)))</f>
        <v/>
      </c>
      <c r="I2680" s="13">
        <f>IF(AND(C2680&gt;=DATE(2026,11,29),C2680&lt;=DATE(2026,12,1)),B2680*60,0)</f>
        <v/>
      </c>
      <c r="J2680" s="13">
        <f>IF(A2680="",0,B2680*(IF(C2680=DATE(2026,11,28),38,0)+IF(C2680=DATE(2026,12,1),38,0)+IF(C2680=DATE(2026,12,2),26,0)))</f>
        <v/>
      </c>
      <c r="K2680" s="13">
        <f>IF(C2680=Options!$B$9,B2680*12,0)</f>
        <v/>
      </c>
      <c r="L2680" s="13">
        <f>IF(C2680=Options!$B$9,B2680*Options!$Z$8,0)</f>
        <v/>
      </c>
      <c r="M2680" s="13" t="n">
        <v>0</v>
      </c>
      <c r="N2680" s="13">
        <f>SUM(E2680:M2680)</f>
        <v/>
      </c>
    </row>
    <row r="2681">
      <c r="A2681" s="5">
        <f>IF(AND(C2681&gt;=Options!$B$9,C2681&lt;=Options!$B$10),"Boston","")</f>
        <v/>
      </c>
      <c r="B2681" s="5">
        <f>IF(A2681="","",24)</f>
        <v/>
      </c>
      <c r="C2681" s="17" t="n">
        <v>46417</v>
      </c>
      <c r="D2681" s="5">
        <f>IF(A2681="","",IF(C2681=DATE(2026,11,29),"培训；注册午餐；早餐参数",IF(C2681=DATE(2026,11,30),"培训；注册午餐",IF(C2681=DATE(2026,12,1),"培训；注册午餐；机构晚餐",IF(C2681=Options!$B$9,"抵达；"&amp;IF(C2681=DATE(2026,11,28),"机构晚餐","无统一供餐"),IF(C2681=Options!$B$10,"返程；"&amp;IF(C2681=DATE(2026,12,2),"机构午餐","无统一供餐"),"差旅状态；无统一日程"))))))</f>
        <v/>
      </c>
      <c r="E2681" s="13">
        <f>IF(C2681=Options!$B$9,Options!$C$21,0)</f>
        <v/>
      </c>
      <c r="F2681" s="13">
        <f>IF(AND(A2681&lt;&gt;"",C2681&lt;Options!$B$10),B2681*Options!$X$8,0)</f>
        <v/>
      </c>
      <c r="G2681" s="13">
        <f>F2681*12%</f>
        <v/>
      </c>
      <c r="H2681" s="13">
        <f>IF(A2681="",0,B2681*(92*IF(OR(C2681=Options!$B$9,C2681=Options!$B$10),75%,100%)-IF(C2681=DATE(2026,11,29),26+IF(Options!$B$8="是",23,0),0)-IF(C2681=DATE(2026,11,30),26,0)-IF(C2681=DATE(2026,12,1),64,0)-IF(C2681=DATE(2026,11,28),38,0)-IF(C2681=DATE(2026,12,2),26,0)))</f>
        <v/>
      </c>
      <c r="I2681" s="13">
        <f>IF(AND(C2681&gt;=DATE(2026,11,29),C2681&lt;=DATE(2026,12,1)),B2681*60,0)</f>
        <v/>
      </c>
      <c r="J2681" s="13">
        <f>IF(A2681="",0,B2681*(IF(C2681=DATE(2026,11,28),38,0)+IF(C2681=DATE(2026,12,1),38,0)+IF(C2681=DATE(2026,12,2),26,0)))</f>
        <v/>
      </c>
      <c r="K2681" s="13">
        <f>IF(C2681=Options!$B$9,B2681*12,0)</f>
        <v/>
      </c>
      <c r="L2681" s="13">
        <f>IF(C2681=Options!$B$9,B2681*Options!$Z$8,0)</f>
        <v/>
      </c>
      <c r="M2681" s="13" t="n">
        <v>0</v>
      </c>
      <c r="N2681" s="13">
        <f>SUM(E2681:M2681)</f>
        <v/>
      </c>
    </row>
    <row r="2682">
      <c r="A2682" s="5">
        <f>IF(AND(C2682&gt;=Options!$B$9,C2682&lt;=Options!$B$10),"Boston","")</f>
        <v/>
      </c>
      <c r="B2682" s="5">
        <f>IF(A2682="","",24)</f>
        <v/>
      </c>
      <c r="C2682" s="17" t="n">
        <v>46418</v>
      </c>
      <c r="D2682" s="5">
        <f>IF(A2682="","",IF(C2682=DATE(2026,11,29),"培训；注册午餐；早餐参数",IF(C2682=DATE(2026,11,30),"培训；注册午餐",IF(C2682=DATE(2026,12,1),"培训；注册午餐；机构晚餐",IF(C2682=Options!$B$9,"抵达；"&amp;IF(C2682=DATE(2026,11,28),"机构晚餐","无统一供餐"),IF(C2682=Options!$B$10,"返程；"&amp;IF(C2682=DATE(2026,12,2),"机构午餐","无统一供餐"),"差旅状态；无统一日程"))))))</f>
        <v/>
      </c>
      <c r="E2682" s="13">
        <f>IF(C2682=Options!$B$9,Options!$C$21,0)</f>
        <v/>
      </c>
      <c r="F2682" s="13">
        <f>IF(AND(A2682&lt;&gt;"",C2682&lt;Options!$B$10),B2682*Options!$X$8,0)</f>
        <v/>
      </c>
      <c r="G2682" s="13">
        <f>F2682*12%</f>
        <v/>
      </c>
      <c r="H2682" s="13">
        <f>IF(A2682="",0,B2682*(92*IF(OR(C2682=Options!$B$9,C2682=Options!$B$10),75%,100%)-IF(C2682=DATE(2026,11,29),26+IF(Options!$B$8="是",23,0),0)-IF(C2682=DATE(2026,11,30),26,0)-IF(C2682=DATE(2026,12,1),64,0)-IF(C2682=DATE(2026,11,28),38,0)-IF(C2682=DATE(2026,12,2),26,0)))</f>
        <v/>
      </c>
      <c r="I2682" s="13">
        <f>IF(AND(C2682&gt;=DATE(2026,11,29),C2682&lt;=DATE(2026,12,1)),B2682*60,0)</f>
        <v/>
      </c>
      <c r="J2682" s="13">
        <f>IF(A2682="",0,B2682*(IF(C2682=DATE(2026,11,28),38,0)+IF(C2682=DATE(2026,12,1),38,0)+IF(C2682=DATE(2026,12,2),26,0)))</f>
        <v/>
      </c>
      <c r="K2682" s="13">
        <f>IF(C2682=Options!$B$9,B2682*12,0)</f>
        <v/>
      </c>
      <c r="L2682" s="13">
        <f>IF(C2682=Options!$B$9,B2682*Options!$Z$8,0)</f>
        <v/>
      </c>
      <c r="M2682" s="13" t="n">
        <v>0</v>
      </c>
      <c r="N2682" s="13">
        <f>SUM(E2682:M2682)</f>
        <v/>
      </c>
    </row>
    <row r="2683">
      <c r="A2683" s="5">
        <f>IF(AND(C2683&gt;=Options!$B$9,C2683&lt;=Options!$B$10),"Boston","")</f>
        <v/>
      </c>
      <c r="B2683" s="5">
        <f>IF(A2683="","",24)</f>
        <v/>
      </c>
      <c r="C2683" s="17" t="n">
        <v>46419</v>
      </c>
      <c r="D2683" s="5">
        <f>IF(A2683="","",IF(C2683=DATE(2026,11,29),"培训；注册午餐；早餐参数",IF(C2683=DATE(2026,11,30),"培训；注册午餐",IF(C2683=DATE(2026,12,1),"培训；注册午餐；机构晚餐",IF(C2683=Options!$B$9,"抵达；"&amp;IF(C2683=DATE(2026,11,28),"机构晚餐","无统一供餐"),IF(C2683=Options!$B$10,"返程；"&amp;IF(C2683=DATE(2026,12,2),"机构午餐","无统一供餐"),"差旅状态；无统一日程"))))))</f>
        <v/>
      </c>
      <c r="E2683" s="13">
        <f>IF(C2683=Options!$B$9,Options!$C$21,0)</f>
        <v/>
      </c>
      <c r="F2683" s="13">
        <f>IF(AND(A2683&lt;&gt;"",C2683&lt;Options!$B$10),B2683*Options!$X$8,0)</f>
        <v/>
      </c>
      <c r="G2683" s="13">
        <f>F2683*12%</f>
        <v/>
      </c>
      <c r="H2683" s="13">
        <f>IF(A2683="",0,B2683*(92*IF(OR(C2683=Options!$B$9,C2683=Options!$B$10),75%,100%)-IF(C2683=DATE(2026,11,29),26+IF(Options!$B$8="是",23,0),0)-IF(C2683=DATE(2026,11,30),26,0)-IF(C2683=DATE(2026,12,1),64,0)-IF(C2683=DATE(2026,11,28),38,0)-IF(C2683=DATE(2026,12,2),26,0)))</f>
        <v/>
      </c>
      <c r="I2683" s="13">
        <f>IF(AND(C2683&gt;=DATE(2026,11,29),C2683&lt;=DATE(2026,12,1)),B2683*60,0)</f>
        <v/>
      </c>
      <c r="J2683" s="13">
        <f>IF(A2683="",0,B2683*(IF(C2683=DATE(2026,11,28),38,0)+IF(C2683=DATE(2026,12,1),38,0)+IF(C2683=DATE(2026,12,2),26,0)))</f>
        <v/>
      </c>
      <c r="K2683" s="13">
        <f>IF(C2683=Options!$B$9,B2683*12,0)</f>
        <v/>
      </c>
      <c r="L2683" s="13">
        <f>IF(C2683=Options!$B$9,B2683*Options!$Z$8,0)</f>
        <v/>
      </c>
      <c r="M2683" s="13" t="n">
        <v>0</v>
      </c>
      <c r="N2683" s="13">
        <f>SUM(E2683:M2683)</f>
        <v/>
      </c>
    </row>
    <row r="2684">
      <c r="A2684" s="5">
        <f>IF(AND(C2684&gt;=Options!$B$9,C2684&lt;=Options!$B$10),"Boston","")</f>
        <v/>
      </c>
      <c r="B2684" s="5">
        <f>IF(A2684="","",24)</f>
        <v/>
      </c>
      <c r="C2684" s="17" t="n">
        <v>46420</v>
      </c>
      <c r="D2684" s="5">
        <f>IF(A2684="","",IF(C2684=DATE(2026,11,29),"培训；注册午餐；早餐参数",IF(C2684=DATE(2026,11,30),"培训；注册午餐",IF(C2684=DATE(2026,12,1),"培训；注册午餐；机构晚餐",IF(C2684=Options!$B$9,"抵达；"&amp;IF(C2684=DATE(2026,11,28),"机构晚餐","无统一供餐"),IF(C2684=Options!$B$10,"返程；"&amp;IF(C2684=DATE(2026,12,2),"机构午餐","无统一供餐"),"差旅状态；无统一日程"))))))</f>
        <v/>
      </c>
      <c r="E2684" s="13">
        <f>IF(C2684=Options!$B$9,Options!$C$21,0)</f>
        <v/>
      </c>
      <c r="F2684" s="13">
        <f>IF(AND(A2684&lt;&gt;"",C2684&lt;Options!$B$10),B2684*Options!$X$8,0)</f>
        <v/>
      </c>
      <c r="G2684" s="13">
        <f>F2684*12%</f>
        <v/>
      </c>
      <c r="H2684" s="13">
        <f>IF(A2684="",0,B2684*(92*IF(OR(C2684=Options!$B$9,C2684=Options!$B$10),75%,100%)-IF(C2684=DATE(2026,11,29),26+IF(Options!$B$8="是",23,0),0)-IF(C2684=DATE(2026,11,30),26,0)-IF(C2684=DATE(2026,12,1),64,0)-IF(C2684=DATE(2026,11,28),38,0)-IF(C2684=DATE(2026,12,2),26,0)))</f>
        <v/>
      </c>
      <c r="I2684" s="13">
        <f>IF(AND(C2684&gt;=DATE(2026,11,29),C2684&lt;=DATE(2026,12,1)),B2684*60,0)</f>
        <v/>
      </c>
      <c r="J2684" s="13">
        <f>IF(A2684="",0,B2684*(IF(C2684=DATE(2026,11,28),38,0)+IF(C2684=DATE(2026,12,1),38,0)+IF(C2684=DATE(2026,12,2),26,0)))</f>
        <v/>
      </c>
      <c r="K2684" s="13">
        <f>IF(C2684=Options!$B$9,B2684*12,0)</f>
        <v/>
      </c>
      <c r="L2684" s="13">
        <f>IF(C2684=Options!$B$9,B2684*Options!$Z$8,0)</f>
        <v/>
      </c>
      <c r="M2684" s="13" t="n">
        <v>0</v>
      </c>
      <c r="N2684" s="13">
        <f>SUM(E2684:M2684)</f>
        <v/>
      </c>
    </row>
    <row r="2685">
      <c r="A2685" s="5">
        <f>IF(AND(C2685&gt;=Options!$B$9,C2685&lt;=Options!$B$10),"Boston","")</f>
        <v/>
      </c>
      <c r="B2685" s="5">
        <f>IF(A2685="","",24)</f>
        <v/>
      </c>
      <c r="C2685" s="17" t="n">
        <v>46421</v>
      </c>
      <c r="D2685" s="5">
        <f>IF(A2685="","",IF(C2685=DATE(2026,11,29),"培训；注册午餐；早餐参数",IF(C2685=DATE(2026,11,30),"培训；注册午餐",IF(C2685=DATE(2026,12,1),"培训；注册午餐；机构晚餐",IF(C2685=Options!$B$9,"抵达；"&amp;IF(C2685=DATE(2026,11,28),"机构晚餐","无统一供餐"),IF(C2685=Options!$B$10,"返程；"&amp;IF(C2685=DATE(2026,12,2),"机构午餐","无统一供餐"),"差旅状态；无统一日程"))))))</f>
        <v/>
      </c>
      <c r="E2685" s="13">
        <f>IF(C2685=Options!$B$9,Options!$C$21,0)</f>
        <v/>
      </c>
      <c r="F2685" s="13">
        <f>IF(AND(A2685&lt;&gt;"",C2685&lt;Options!$B$10),B2685*Options!$X$8,0)</f>
        <v/>
      </c>
      <c r="G2685" s="13">
        <f>F2685*12%</f>
        <v/>
      </c>
      <c r="H2685" s="13">
        <f>IF(A2685="",0,B2685*(92*IF(OR(C2685=Options!$B$9,C2685=Options!$B$10),75%,100%)-IF(C2685=DATE(2026,11,29),26+IF(Options!$B$8="是",23,0),0)-IF(C2685=DATE(2026,11,30),26,0)-IF(C2685=DATE(2026,12,1),64,0)-IF(C2685=DATE(2026,11,28),38,0)-IF(C2685=DATE(2026,12,2),26,0)))</f>
        <v/>
      </c>
      <c r="I2685" s="13">
        <f>IF(AND(C2685&gt;=DATE(2026,11,29),C2685&lt;=DATE(2026,12,1)),B2685*60,0)</f>
        <v/>
      </c>
      <c r="J2685" s="13">
        <f>IF(A2685="",0,B2685*(IF(C2685=DATE(2026,11,28),38,0)+IF(C2685=DATE(2026,12,1),38,0)+IF(C2685=DATE(2026,12,2),26,0)))</f>
        <v/>
      </c>
      <c r="K2685" s="13">
        <f>IF(C2685=Options!$B$9,B2685*12,0)</f>
        <v/>
      </c>
      <c r="L2685" s="13">
        <f>IF(C2685=Options!$B$9,B2685*Options!$Z$8,0)</f>
        <v/>
      </c>
      <c r="M2685" s="13" t="n">
        <v>0</v>
      </c>
      <c r="N2685" s="13">
        <f>SUM(E2685:M2685)</f>
        <v/>
      </c>
    </row>
    <row r="2686">
      <c r="A2686" s="5">
        <f>IF(AND(C2686&gt;=Options!$B$9,C2686&lt;=Options!$B$10),"Boston","")</f>
        <v/>
      </c>
      <c r="B2686" s="5">
        <f>IF(A2686="","",24)</f>
        <v/>
      </c>
      <c r="C2686" s="17" t="n">
        <v>46422</v>
      </c>
      <c r="D2686" s="5">
        <f>IF(A2686="","",IF(C2686=DATE(2026,11,29),"培训；注册午餐；早餐参数",IF(C2686=DATE(2026,11,30),"培训；注册午餐",IF(C2686=DATE(2026,12,1),"培训；注册午餐；机构晚餐",IF(C2686=Options!$B$9,"抵达；"&amp;IF(C2686=DATE(2026,11,28),"机构晚餐","无统一供餐"),IF(C2686=Options!$B$10,"返程；"&amp;IF(C2686=DATE(2026,12,2),"机构午餐","无统一供餐"),"差旅状态；无统一日程"))))))</f>
        <v/>
      </c>
      <c r="E2686" s="13">
        <f>IF(C2686=Options!$B$9,Options!$C$21,0)</f>
        <v/>
      </c>
      <c r="F2686" s="13">
        <f>IF(AND(A2686&lt;&gt;"",C2686&lt;Options!$B$10),B2686*Options!$X$8,0)</f>
        <v/>
      </c>
      <c r="G2686" s="13">
        <f>F2686*12%</f>
        <v/>
      </c>
      <c r="H2686" s="13">
        <f>IF(A2686="",0,B2686*(92*IF(OR(C2686=Options!$B$9,C2686=Options!$B$10),75%,100%)-IF(C2686=DATE(2026,11,29),26+IF(Options!$B$8="是",23,0),0)-IF(C2686=DATE(2026,11,30),26,0)-IF(C2686=DATE(2026,12,1),64,0)-IF(C2686=DATE(2026,11,28),38,0)-IF(C2686=DATE(2026,12,2),26,0)))</f>
        <v/>
      </c>
      <c r="I2686" s="13">
        <f>IF(AND(C2686&gt;=DATE(2026,11,29),C2686&lt;=DATE(2026,12,1)),B2686*60,0)</f>
        <v/>
      </c>
      <c r="J2686" s="13">
        <f>IF(A2686="",0,B2686*(IF(C2686=DATE(2026,11,28),38,0)+IF(C2686=DATE(2026,12,1),38,0)+IF(C2686=DATE(2026,12,2),26,0)))</f>
        <v/>
      </c>
      <c r="K2686" s="13">
        <f>IF(C2686=Options!$B$9,B2686*12,0)</f>
        <v/>
      </c>
      <c r="L2686" s="13">
        <f>IF(C2686=Options!$B$9,B2686*Options!$Z$8,0)</f>
        <v/>
      </c>
      <c r="M2686" s="13" t="n">
        <v>0</v>
      </c>
      <c r="N2686" s="13">
        <f>SUM(E2686:M2686)</f>
        <v/>
      </c>
    </row>
    <row r="2687">
      <c r="A2687" s="5">
        <f>IF(AND(C2687&gt;=Options!$B$9,C2687&lt;=Options!$B$10),"Boston","")</f>
        <v/>
      </c>
      <c r="B2687" s="5">
        <f>IF(A2687="","",24)</f>
        <v/>
      </c>
      <c r="C2687" s="17" t="n">
        <v>46423</v>
      </c>
      <c r="D2687" s="5">
        <f>IF(A2687="","",IF(C2687=DATE(2026,11,29),"培训；注册午餐；早餐参数",IF(C2687=DATE(2026,11,30),"培训；注册午餐",IF(C2687=DATE(2026,12,1),"培训；注册午餐；机构晚餐",IF(C2687=Options!$B$9,"抵达；"&amp;IF(C2687=DATE(2026,11,28),"机构晚餐","无统一供餐"),IF(C2687=Options!$B$10,"返程；"&amp;IF(C2687=DATE(2026,12,2),"机构午餐","无统一供餐"),"差旅状态；无统一日程"))))))</f>
        <v/>
      </c>
      <c r="E2687" s="13">
        <f>IF(C2687=Options!$B$9,Options!$C$21,0)</f>
        <v/>
      </c>
      <c r="F2687" s="13">
        <f>IF(AND(A2687&lt;&gt;"",C2687&lt;Options!$B$10),B2687*Options!$X$8,0)</f>
        <v/>
      </c>
      <c r="G2687" s="13">
        <f>F2687*12%</f>
        <v/>
      </c>
      <c r="H2687" s="13">
        <f>IF(A2687="",0,B2687*(92*IF(OR(C2687=Options!$B$9,C2687=Options!$B$10),75%,100%)-IF(C2687=DATE(2026,11,29),26+IF(Options!$B$8="是",23,0),0)-IF(C2687=DATE(2026,11,30),26,0)-IF(C2687=DATE(2026,12,1),64,0)-IF(C2687=DATE(2026,11,28),38,0)-IF(C2687=DATE(2026,12,2),26,0)))</f>
        <v/>
      </c>
      <c r="I2687" s="13">
        <f>IF(AND(C2687&gt;=DATE(2026,11,29),C2687&lt;=DATE(2026,12,1)),B2687*60,0)</f>
        <v/>
      </c>
      <c r="J2687" s="13">
        <f>IF(A2687="",0,B2687*(IF(C2687=DATE(2026,11,28),38,0)+IF(C2687=DATE(2026,12,1),38,0)+IF(C2687=DATE(2026,12,2),26,0)))</f>
        <v/>
      </c>
      <c r="K2687" s="13">
        <f>IF(C2687=Options!$B$9,B2687*12,0)</f>
        <v/>
      </c>
      <c r="L2687" s="13">
        <f>IF(C2687=Options!$B$9,B2687*Options!$Z$8,0)</f>
        <v/>
      </c>
      <c r="M2687" s="13" t="n">
        <v>0</v>
      </c>
      <c r="N2687" s="13">
        <f>SUM(E2687:M2687)</f>
        <v/>
      </c>
    </row>
    <row r="2688">
      <c r="A2688" s="5">
        <f>IF(AND(C2688&gt;=Options!$B$9,C2688&lt;=Options!$B$10),"Boston","")</f>
        <v/>
      </c>
      <c r="B2688" s="5">
        <f>IF(A2688="","",24)</f>
        <v/>
      </c>
      <c r="C2688" s="17" t="n">
        <v>46424</v>
      </c>
      <c r="D2688" s="5">
        <f>IF(A2688="","",IF(C2688=DATE(2026,11,29),"培训；注册午餐；早餐参数",IF(C2688=DATE(2026,11,30),"培训；注册午餐",IF(C2688=DATE(2026,12,1),"培训；注册午餐；机构晚餐",IF(C2688=Options!$B$9,"抵达；"&amp;IF(C2688=DATE(2026,11,28),"机构晚餐","无统一供餐"),IF(C2688=Options!$B$10,"返程；"&amp;IF(C2688=DATE(2026,12,2),"机构午餐","无统一供餐"),"差旅状态；无统一日程"))))))</f>
        <v/>
      </c>
      <c r="E2688" s="13">
        <f>IF(C2688=Options!$B$9,Options!$C$21,0)</f>
        <v/>
      </c>
      <c r="F2688" s="13">
        <f>IF(AND(A2688&lt;&gt;"",C2688&lt;Options!$B$10),B2688*Options!$X$8,0)</f>
        <v/>
      </c>
      <c r="G2688" s="13">
        <f>F2688*12%</f>
        <v/>
      </c>
      <c r="H2688" s="13">
        <f>IF(A2688="",0,B2688*(92*IF(OR(C2688=Options!$B$9,C2688=Options!$B$10),75%,100%)-IF(C2688=DATE(2026,11,29),26+IF(Options!$B$8="是",23,0),0)-IF(C2688=DATE(2026,11,30),26,0)-IF(C2688=DATE(2026,12,1),64,0)-IF(C2688=DATE(2026,11,28),38,0)-IF(C2688=DATE(2026,12,2),26,0)))</f>
        <v/>
      </c>
      <c r="I2688" s="13">
        <f>IF(AND(C2688&gt;=DATE(2026,11,29),C2688&lt;=DATE(2026,12,1)),B2688*60,0)</f>
        <v/>
      </c>
      <c r="J2688" s="13">
        <f>IF(A2688="",0,B2688*(IF(C2688=DATE(2026,11,28),38,0)+IF(C2688=DATE(2026,12,1),38,0)+IF(C2688=DATE(2026,12,2),26,0)))</f>
        <v/>
      </c>
      <c r="K2688" s="13">
        <f>IF(C2688=Options!$B$9,B2688*12,0)</f>
        <v/>
      </c>
      <c r="L2688" s="13">
        <f>IF(C2688=Options!$B$9,B2688*Options!$Z$8,0)</f>
        <v/>
      </c>
      <c r="M2688" s="13" t="n">
        <v>0</v>
      </c>
      <c r="N2688" s="13">
        <f>SUM(E2688:M2688)</f>
        <v/>
      </c>
    </row>
    <row r="2689">
      <c r="A2689" s="5">
        <f>IF(AND(C2689&gt;=Options!$B$9,C2689&lt;=Options!$B$10),"Boston","")</f>
        <v/>
      </c>
      <c r="B2689" s="5">
        <f>IF(A2689="","",24)</f>
        <v/>
      </c>
      <c r="C2689" s="17" t="n">
        <v>46425</v>
      </c>
      <c r="D2689" s="5">
        <f>IF(A2689="","",IF(C2689=DATE(2026,11,29),"培训；注册午餐；早餐参数",IF(C2689=DATE(2026,11,30),"培训；注册午餐",IF(C2689=DATE(2026,12,1),"培训；注册午餐；机构晚餐",IF(C2689=Options!$B$9,"抵达；"&amp;IF(C2689=DATE(2026,11,28),"机构晚餐","无统一供餐"),IF(C2689=Options!$B$10,"返程；"&amp;IF(C2689=DATE(2026,12,2),"机构午餐","无统一供餐"),"差旅状态；无统一日程"))))))</f>
        <v/>
      </c>
      <c r="E2689" s="13">
        <f>IF(C2689=Options!$B$9,Options!$C$21,0)</f>
        <v/>
      </c>
      <c r="F2689" s="13">
        <f>IF(AND(A2689&lt;&gt;"",C2689&lt;Options!$B$10),B2689*Options!$X$8,0)</f>
        <v/>
      </c>
      <c r="G2689" s="13">
        <f>F2689*12%</f>
        <v/>
      </c>
      <c r="H2689" s="13">
        <f>IF(A2689="",0,B2689*(92*IF(OR(C2689=Options!$B$9,C2689=Options!$B$10),75%,100%)-IF(C2689=DATE(2026,11,29),26+IF(Options!$B$8="是",23,0),0)-IF(C2689=DATE(2026,11,30),26,0)-IF(C2689=DATE(2026,12,1),64,0)-IF(C2689=DATE(2026,11,28),38,0)-IF(C2689=DATE(2026,12,2),26,0)))</f>
        <v/>
      </c>
      <c r="I2689" s="13">
        <f>IF(AND(C2689&gt;=DATE(2026,11,29),C2689&lt;=DATE(2026,12,1)),B2689*60,0)</f>
        <v/>
      </c>
      <c r="J2689" s="13">
        <f>IF(A2689="",0,B2689*(IF(C2689=DATE(2026,11,28),38,0)+IF(C2689=DATE(2026,12,1),38,0)+IF(C2689=DATE(2026,12,2),26,0)))</f>
        <v/>
      </c>
      <c r="K2689" s="13">
        <f>IF(C2689=Options!$B$9,B2689*12,0)</f>
        <v/>
      </c>
      <c r="L2689" s="13">
        <f>IF(C2689=Options!$B$9,B2689*Options!$Z$8,0)</f>
        <v/>
      </c>
      <c r="M2689" s="13" t="n">
        <v>0</v>
      </c>
      <c r="N2689" s="13">
        <f>SUM(E2689:M2689)</f>
        <v/>
      </c>
    </row>
    <row r="2690">
      <c r="A2690" s="5">
        <f>IF(AND(C2690&gt;=Options!$B$9,C2690&lt;=Options!$B$10),"Boston","")</f>
        <v/>
      </c>
      <c r="B2690" s="5">
        <f>IF(A2690="","",24)</f>
        <v/>
      </c>
      <c r="C2690" s="17" t="n">
        <v>46426</v>
      </c>
      <c r="D2690" s="5">
        <f>IF(A2690="","",IF(C2690=DATE(2026,11,29),"培训；注册午餐；早餐参数",IF(C2690=DATE(2026,11,30),"培训；注册午餐",IF(C2690=DATE(2026,12,1),"培训；注册午餐；机构晚餐",IF(C2690=Options!$B$9,"抵达；"&amp;IF(C2690=DATE(2026,11,28),"机构晚餐","无统一供餐"),IF(C2690=Options!$B$10,"返程；"&amp;IF(C2690=DATE(2026,12,2),"机构午餐","无统一供餐"),"差旅状态；无统一日程"))))))</f>
        <v/>
      </c>
      <c r="E2690" s="13">
        <f>IF(C2690=Options!$B$9,Options!$C$21,0)</f>
        <v/>
      </c>
      <c r="F2690" s="13">
        <f>IF(AND(A2690&lt;&gt;"",C2690&lt;Options!$B$10),B2690*Options!$X$8,0)</f>
        <v/>
      </c>
      <c r="G2690" s="13">
        <f>F2690*12%</f>
        <v/>
      </c>
      <c r="H2690" s="13">
        <f>IF(A2690="",0,B2690*(92*IF(OR(C2690=Options!$B$9,C2690=Options!$B$10),75%,100%)-IF(C2690=DATE(2026,11,29),26+IF(Options!$B$8="是",23,0),0)-IF(C2690=DATE(2026,11,30),26,0)-IF(C2690=DATE(2026,12,1),64,0)-IF(C2690=DATE(2026,11,28),38,0)-IF(C2690=DATE(2026,12,2),26,0)))</f>
        <v/>
      </c>
      <c r="I2690" s="13">
        <f>IF(AND(C2690&gt;=DATE(2026,11,29),C2690&lt;=DATE(2026,12,1)),B2690*60,0)</f>
        <v/>
      </c>
      <c r="J2690" s="13">
        <f>IF(A2690="",0,B2690*(IF(C2690=DATE(2026,11,28),38,0)+IF(C2690=DATE(2026,12,1),38,0)+IF(C2690=DATE(2026,12,2),26,0)))</f>
        <v/>
      </c>
      <c r="K2690" s="13">
        <f>IF(C2690=Options!$B$9,B2690*12,0)</f>
        <v/>
      </c>
      <c r="L2690" s="13">
        <f>IF(C2690=Options!$B$9,B2690*Options!$Z$8,0)</f>
        <v/>
      </c>
      <c r="M2690" s="13" t="n">
        <v>0</v>
      </c>
      <c r="N2690" s="13">
        <f>SUM(E2690:M2690)</f>
        <v/>
      </c>
    </row>
    <row r="2691">
      <c r="A2691" s="5">
        <f>IF(AND(C2691&gt;=Options!$B$9,C2691&lt;=Options!$B$10),"Boston","")</f>
        <v/>
      </c>
      <c r="B2691" s="5">
        <f>IF(A2691="","",24)</f>
        <v/>
      </c>
      <c r="C2691" s="17" t="n">
        <v>46427</v>
      </c>
      <c r="D2691" s="5">
        <f>IF(A2691="","",IF(C2691=DATE(2026,11,29),"培训；注册午餐；早餐参数",IF(C2691=DATE(2026,11,30),"培训；注册午餐",IF(C2691=DATE(2026,12,1),"培训；注册午餐；机构晚餐",IF(C2691=Options!$B$9,"抵达；"&amp;IF(C2691=DATE(2026,11,28),"机构晚餐","无统一供餐"),IF(C2691=Options!$B$10,"返程；"&amp;IF(C2691=DATE(2026,12,2),"机构午餐","无统一供餐"),"差旅状态；无统一日程"))))))</f>
        <v/>
      </c>
      <c r="E2691" s="13">
        <f>IF(C2691=Options!$B$9,Options!$C$21,0)</f>
        <v/>
      </c>
      <c r="F2691" s="13">
        <f>IF(AND(A2691&lt;&gt;"",C2691&lt;Options!$B$10),B2691*Options!$X$8,0)</f>
        <v/>
      </c>
      <c r="G2691" s="13">
        <f>F2691*12%</f>
        <v/>
      </c>
      <c r="H2691" s="13">
        <f>IF(A2691="",0,B2691*(92*IF(OR(C2691=Options!$B$9,C2691=Options!$B$10),75%,100%)-IF(C2691=DATE(2026,11,29),26+IF(Options!$B$8="是",23,0),0)-IF(C2691=DATE(2026,11,30),26,0)-IF(C2691=DATE(2026,12,1),64,0)-IF(C2691=DATE(2026,11,28),38,0)-IF(C2691=DATE(2026,12,2),26,0)))</f>
        <v/>
      </c>
      <c r="I2691" s="13">
        <f>IF(AND(C2691&gt;=DATE(2026,11,29),C2691&lt;=DATE(2026,12,1)),B2691*60,0)</f>
        <v/>
      </c>
      <c r="J2691" s="13">
        <f>IF(A2691="",0,B2691*(IF(C2691=DATE(2026,11,28),38,0)+IF(C2691=DATE(2026,12,1),38,0)+IF(C2691=DATE(2026,12,2),26,0)))</f>
        <v/>
      </c>
      <c r="K2691" s="13">
        <f>IF(C2691=Options!$B$9,B2691*12,0)</f>
        <v/>
      </c>
      <c r="L2691" s="13">
        <f>IF(C2691=Options!$B$9,B2691*Options!$Z$8,0)</f>
        <v/>
      </c>
      <c r="M2691" s="13" t="n">
        <v>0</v>
      </c>
      <c r="N2691" s="13">
        <f>SUM(E2691:M2691)</f>
        <v/>
      </c>
    </row>
    <row r="2692">
      <c r="A2692" s="5">
        <f>IF(AND(C2692&gt;=Options!$B$9,C2692&lt;=Options!$B$10),"Boston","")</f>
        <v/>
      </c>
      <c r="B2692" s="5">
        <f>IF(A2692="","",24)</f>
        <v/>
      </c>
      <c r="C2692" s="17" t="n">
        <v>46428</v>
      </c>
      <c r="D2692" s="5">
        <f>IF(A2692="","",IF(C2692=DATE(2026,11,29),"培训；注册午餐；早餐参数",IF(C2692=DATE(2026,11,30),"培训；注册午餐",IF(C2692=DATE(2026,12,1),"培训；注册午餐；机构晚餐",IF(C2692=Options!$B$9,"抵达；"&amp;IF(C2692=DATE(2026,11,28),"机构晚餐","无统一供餐"),IF(C2692=Options!$B$10,"返程；"&amp;IF(C2692=DATE(2026,12,2),"机构午餐","无统一供餐"),"差旅状态；无统一日程"))))))</f>
        <v/>
      </c>
      <c r="E2692" s="13">
        <f>IF(C2692=Options!$B$9,Options!$C$21,0)</f>
        <v/>
      </c>
      <c r="F2692" s="13">
        <f>IF(AND(A2692&lt;&gt;"",C2692&lt;Options!$B$10),B2692*Options!$X$8,0)</f>
        <v/>
      </c>
      <c r="G2692" s="13">
        <f>F2692*12%</f>
        <v/>
      </c>
      <c r="H2692" s="13">
        <f>IF(A2692="",0,B2692*(92*IF(OR(C2692=Options!$B$9,C2692=Options!$B$10),75%,100%)-IF(C2692=DATE(2026,11,29),26+IF(Options!$B$8="是",23,0),0)-IF(C2692=DATE(2026,11,30),26,0)-IF(C2692=DATE(2026,12,1),64,0)-IF(C2692=DATE(2026,11,28),38,0)-IF(C2692=DATE(2026,12,2),26,0)))</f>
        <v/>
      </c>
      <c r="I2692" s="13">
        <f>IF(AND(C2692&gt;=DATE(2026,11,29),C2692&lt;=DATE(2026,12,1)),B2692*60,0)</f>
        <v/>
      </c>
      <c r="J2692" s="13">
        <f>IF(A2692="",0,B2692*(IF(C2692=DATE(2026,11,28),38,0)+IF(C2692=DATE(2026,12,1),38,0)+IF(C2692=DATE(2026,12,2),26,0)))</f>
        <v/>
      </c>
      <c r="K2692" s="13">
        <f>IF(C2692=Options!$B$9,B2692*12,0)</f>
        <v/>
      </c>
      <c r="L2692" s="13">
        <f>IF(C2692=Options!$B$9,B2692*Options!$Z$8,0)</f>
        <v/>
      </c>
      <c r="M2692" s="13" t="n">
        <v>0</v>
      </c>
      <c r="N2692" s="13">
        <f>SUM(E2692:M2692)</f>
        <v/>
      </c>
    </row>
    <row r="2693">
      <c r="A2693" s="5">
        <f>IF(AND(C2693&gt;=Options!$B$9,C2693&lt;=Options!$B$10),"Boston","")</f>
        <v/>
      </c>
      <c r="B2693" s="5">
        <f>IF(A2693="","",24)</f>
        <v/>
      </c>
      <c r="C2693" s="17" t="n">
        <v>46429</v>
      </c>
      <c r="D2693" s="5">
        <f>IF(A2693="","",IF(C2693=DATE(2026,11,29),"培训；注册午餐；早餐参数",IF(C2693=DATE(2026,11,30),"培训；注册午餐",IF(C2693=DATE(2026,12,1),"培训；注册午餐；机构晚餐",IF(C2693=Options!$B$9,"抵达；"&amp;IF(C2693=DATE(2026,11,28),"机构晚餐","无统一供餐"),IF(C2693=Options!$B$10,"返程；"&amp;IF(C2693=DATE(2026,12,2),"机构午餐","无统一供餐"),"差旅状态；无统一日程"))))))</f>
        <v/>
      </c>
      <c r="E2693" s="13">
        <f>IF(C2693=Options!$B$9,Options!$C$21,0)</f>
        <v/>
      </c>
      <c r="F2693" s="13">
        <f>IF(AND(A2693&lt;&gt;"",C2693&lt;Options!$B$10),B2693*Options!$X$8,0)</f>
        <v/>
      </c>
      <c r="G2693" s="13">
        <f>F2693*12%</f>
        <v/>
      </c>
      <c r="H2693" s="13">
        <f>IF(A2693="",0,B2693*(92*IF(OR(C2693=Options!$B$9,C2693=Options!$B$10),75%,100%)-IF(C2693=DATE(2026,11,29),26+IF(Options!$B$8="是",23,0),0)-IF(C2693=DATE(2026,11,30),26,0)-IF(C2693=DATE(2026,12,1),64,0)-IF(C2693=DATE(2026,11,28),38,0)-IF(C2693=DATE(2026,12,2),26,0)))</f>
        <v/>
      </c>
      <c r="I2693" s="13">
        <f>IF(AND(C2693&gt;=DATE(2026,11,29),C2693&lt;=DATE(2026,12,1)),B2693*60,0)</f>
        <v/>
      </c>
      <c r="J2693" s="13">
        <f>IF(A2693="",0,B2693*(IF(C2693=DATE(2026,11,28),38,0)+IF(C2693=DATE(2026,12,1),38,0)+IF(C2693=DATE(2026,12,2),26,0)))</f>
        <v/>
      </c>
      <c r="K2693" s="13">
        <f>IF(C2693=Options!$B$9,B2693*12,0)</f>
        <v/>
      </c>
      <c r="L2693" s="13">
        <f>IF(C2693=Options!$B$9,B2693*Options!$Z$8,0)</f>
        <v/>
      </c>
      <c r="M2693" s="13" t="n">
        <v>0</v>
      </c>
      <c r="N2693" s="13">
        <f>SUM(E2693:M2693)</f>
        <v/>
      </c>
    </row>
    <row r="2694">
      <c r="A2694" s="5">
        <f>IF(AND(C2694&gt;=Options!$B$9,C2694&lt;=Options!$B$10),"Boston","")</f>
        <v/>
      </c>
      <c r="B2694" s="5">
        <f>IF(A2694="","",24)</f>
        <v/>
      </c>
      <c r="C2694" s="17" t="n">
        <v>46430</v>
      </c>
      <c r="D2694" s="5">
        <f>IF(A2694="","",IF(C2694=DATE(2026,11,29),"培训；注册午餐；早餐参数",IF(C2694=DATE(2026,11,30),"培训；注册午餐",IF(C2694=DATE(2026,12,1),"培训；注册午餐；机构晚餐",IF(C2694=Options!$B$9,"抵达；"&amp;IF(C2694=DATE(2026,11,28),"机构晚餐","无统一供餐"),IF(C2694=Options!$B$10,"返程；"&amp;IF(C2694=DATE(2026,12,2),"机构午餐","无统一供餐"),"差旅状态；无统一日程"))))))</f>
        <v/>
      </c>
      <c r="E2694" s="13">
        <f>IF(C2694=Options!$B$9,Options!$C$21,0)</f>
        <v/>
      </c>
      <c r="F2694" s="13">
        <f>IF(AND(A2694&lt;&gt;"",C2694&lt;Options!$B$10),B2694*Options!$X$8,0)</f>
        <v/>
      </c>
      <c r="G2694" s="13">
        <f>F2694*12%</f>
        <v/>
      </c>
      <c r="H2694" s="13">
        <f>IF(A2694="",0,B2694*(92*IF(OR(C2694=Options!$B$9,C2694=Options!$B$10),75%,100%)-IF(C2694=DATE(2026,11,29),26+IF(Options!$B$8="是",23,0),0)-IF(C2694=DATE(2026,11,30),26,0)-IF(C2694=DATE(2026,12,1),64,0)-IF(C2694=DATE(2026,11,28),38,0)-IF(C2694=DATE(2026,12,2),26,0)))</f>
        <v/>
      </c>
      <c r="I2694" s="13">
        <f>IF(AND(C2694&gt;=DATE(2026,11,29),C2694&lt;=DATE(2026,12,1)),B2694*60,0)</f>
        <v/>
      </c>
      <c r="J2694" s="13">
        <f>IF(A2694="",0,B2694*(IF(C2694=DATE(2026,11,28),38,0)+IF(C2694=DATE(2026,12,1),38,0)+IF(C2694=DATE(2026,12,2),26,0)))</f>
        <v/>
      </c>
      <c r="K2694" s="13">
        <f>IF(C2694=Options!$B$9,B2694*12,0)</f>
        <v/>
      </c>
      <c r="L2694" s="13">
        <f>IF(C2694=Options!$B$9,B2694*Options!$Z$8,0)</f>
        <v/>
      </c>
      <c r="M2694" s="13" t="n">
        <v>0</v>
      </c>
      <c r="N2694" s="13">
        <f>SUM(E2694:M2694)</f>
        <v/>
      </c>
    </row>
    <row r="2695">
      <c r="A2695" s="5">
        <f>IF(AND(C2695&gt;=Options!$B$9,C2695&lt;=Options!$B$10),"Boston","")</f>
        <v/>
      </c>
      <c r="B2695" s="5">
        <f>IF(A2695="","",24)</f>
        <v/>
      </c>
      <c r="C2695" s="17" t="n">
        <v>46431</v>
      </c>
      <c r="D2695" s="5">
        <f>IF(A2695="","",IF(C2695=DATE(2026,11,29),"培训；注册午餐；早餐参数",IF(C2695=DATE(2026,11,30),"培训；注册午餐",IF(C2695=DATE(2026,12,1),"培训；注册午餐；机构晚餐",IF(C2695=Options!$B$9,"抵达；"&amp;IF(C2695=DATE(2026,11,28),"机构晚餐","无统一供餐"),IF(C2695=Options!$B$10,"返程；"&amp;IF(C2695=DATE(2026,12,2),"机构午餐","无统一供餐"),"差旅状态；无统一日程"))))))</f>
        <v/>
      </c>
      <c r="E2695" s="13">
        <f>IF(C2695=Options!$B$9,Options!$C$21,0)</f>
        <v/>
      </c>
      <c r="F2695" s="13">
        <f>IF(AND(A2695&lt;&gt;"",C2695&lt;Options!$B$10),B2695*Options!$X$8,0)</f>
        <v/>
      </c>
      <c r="G2695" s="13">
        <f>F2695*12%</f>
        <v/>
      </c>
      <c r="H2695" s="13">
        <f>IF(A2695="",0,B2695*(92*IF(OR(C2695=Options!$B$9,C2695=Options!$B$10),75%,100%)-IF(C2695=DATE(2026,11,29),26+IF(Options!$B$8="是",23,0),0)-IF(C2695=DATE(2026,11,30),26,0)-IF(C2695=DATE(2026,12,1),64,0)-IF(C2695=DATE(2026,11,28),38,0)-IF(C2695=DATE(2026,12,2),26,0)))</f>
        <v/>
      </c>
      <c r="I2695" s="13">
        <f>IF(AND(C2695&gt;=DATE(2026,11,29),C2695&lt;=DATE(2026,12,1)),B2695*60,0)</f>
        <v/>
      </c>
      <c r="J2695" s="13">
        <f>IF(A2695="",0,B2695*(IF(C2695=DATE(2026,11,28),38,0)+IF(C2695=DATE(2026,12,1),38,0)+IF(C2695=DATE(2026,12,2),26,0)))</f>
        <v/>
      </c>
      <c r="K2695" s="13">
        <f>IF(C2695=Options!$B$9,B2695*12,0)</f>
        <v/>
      </c>
      <c r="L2695" s="13">
        <f>IF(C2695=Options!$B$9,B2695*Options!$Z$8,0)</f>
        <v/>
      </c>
      <c r="M2695" s="13" t="n">
        <v>0</v>
      </c>
      <c r="N2695" s="13">
        <f>SUM(E2695:M2695)</f>
        <v/>
      </c>
    </row>
    <row r="2696">
      <c r="A2696" s="5">
        <f>IF(AND(C2696&gt;=Options!$B$9,C2696&lt;=Options!$B$10),"Boston","")</f>
        <v/>
      </c>
      <c r="B2696" s="5">
        <f>IF(A2696="","",24)</f>
        <v/>
      </c>
      <c r="C2696" s="17" t="n">
        <v>46432</v>
      </c>
      <c r="D2696" s="5">
        <f>IF(A2696="","",IF(C2696=DATE(2026,11,29),"培训；注册午餐；早餐参数",IF(C2696=DATE(2026,11,30),"培训；注册午餐",IF(C2696=DATE(2026,12,1),"培训；注册午餐；机构晚餐",IF(C2696=Options!$B$9,"抵达；"&amp;IF(C2696=DATE(2026,11,28),"机构晚餐","无统一供餐"),IF(C2696=Options!$B$10,"返程；"&amp;IF(C2696=DATE(2026,12,2),"机构午餐","无统一供餐"),"差旅状态；无统一日程"))))))</f>
        <v/>
      </c>
      <c r="E2696" s="13">
        <f>IF(C2696=Options!$B$9,Options!$C$21,0)</f>
        <v/>
      </c>
      <c r="F2696" s="13">
        <f>IF(AND(A2696&lt;&gt;"",C2696&lt;Options!$B$10),B2696*Options!$X$8,0)</f>
        <v/>
      </c>
      <c r="G2696" s="13">
        <f>F2696*12%</f>
        <v/>
      </c>
      <c r="H2696" s="13">
        <f>IF(A2696="",0,B2696*(92*IF(OR(C2696=Options!$B$9,C2696=Options!$B$10),75%,100%)-IF(C2696=DATE(2026,11,29),26+IF(Options!$B$8="是",23,0),0)-IF(C2696=DATE(2026,11,30),26,0)-IF(C2696=DATE(2026,12,1),64,0)-IF(C2696=DATE(2026,11,28),38,0)-IF(C2696=DATE(2026,12,2),26,0)))</f>
        <v/>
      </c>
      <c r="I2696" s="13">
        <f>IF(AND(C2696&gt;=DATE(2026,11,29),C2696&lt;=DATE(2026,12,1)),B2696*60,0)</f>
        <v/>
      </c>
      <c r="J2696" s="13">
        <f>IF(A2696="",0,B2696*(IF(C2696=DATE(2026,11,28),38,0)+IF(C2696=DATE(2026,12,1),38,0)+IF(C2696=DATE(2026,12,2),26,0)))</f>
        <v/>
      </c>
      <c r="K2696" s="13">
        <f>IF(C2696=Options!$B$9,B2696*12,0)</f>
        <v/>
      </c>
      <c r="L2696" s="13">
        <f>IF(C2696=Options!$B$9,B2696*Options!$Z$8,0)</f>
        <v/>
      </c>
      <c r="M2696" s="13" t="n">
        <v>0</v>
      </c>
      <c r="N2696" s="13">
        <f>SUM(E2696:M2696)</f>
        <v/>
      </c>
    </row>
    <row r="2697">
      <c r="A2697" s="5">
        <f>IF(AND(C2697&gt;=Options!$B$9,C2697&lt;=Options!$B$10),"Boston","")</f>
        <v/>
      </c>
      <c r="B2697" s="5">
        <f>IF(A2697="","",24)</f>
        <v/>
      </c>
      <c r="C2697" s="17" t="n">
        <v>46433</v>
      </c>
      <c r="D2697" s="5">
        <f>IF(A2697="","",IF(C2697=DATE(2026,11,29),"培训；注册午餐；早餐参数",IF(C2697=DATE(2026,11,30),"培训；注册午餐",IF(C2697=DATE(2026,12,1),"培训；注册午餐；机构晚餐",IF(C2697=Options!$B$9,"抵达；"&amp;IF(C2697=DATE(2026,11,28),"机构晚餐","无统一供餐"),IF(C2697=Options!$B$10,"返程；"&amp;IF(C2697=DATE(2026,12,2),"机构午餐","无统一供餐"),"差旅状态；无统一日程"))))))</f>
        <v/>
      </c>
      <c r="E2697" s="13">
        <f>IF(C2697=Options!$B$9,Options!$C$21,0)</f>
        <v/>
      </c>
      <c r="F2697" s="13">
        <f>IF(AND(A2697&lt;&gt;"",C2697&lt;Options!$B$10),B2697*Options!$X$8,0)</f>
        <v/>
      </c>
      <c r="G2697" s="13">
        <f>F2697*12%</f>
        <v/>
      </c>
      <c r="H2697" s="13">
        <f>IF(A2697="",0,B2697*(92*IF(OR(C2697=Options!$B$9,C2697=Options!$B$10),75%,100%)-IF(C2697=DATE(2026,11,29),26+IF(Options!$B$8="是",23,0),0)-IF(C2697=DATE(2026,11,30),26,0)-IF(C2697=DATE(2026,12,1),64,0)-IF(C2697=DATE(2026,11,28),38,0)-IF(C2697=DATE(2026,12,2),26,0)))</f>
        <v/>
      </c>
      <c r="I2697" s="13">
        <f>IF(AND(C2697&gt;=DATE(2026,11,29),C2697&lt;=DATE(2026,12,1)),B2697*60,0)</f>
        <v/>
      </c>
      <c r="J2697" s="13">
        <f>IF(A2697="",0,B2697*(IF(C2697=DATE(2026,11,28),38,0)+IF(C2697=DATE(2026,12,1),38,0)+IF(C2697=DATE(2026,12,2),26,0)))</f>
        <v/>
      </c>
      <c r="K2697" s="13">
        <f>IF(C2697=Options!$B$9,B2697*12,0)</f>
        <v/>
      </c>
      <c r="L2697" s="13">
        <f>IF(C2697=Options!$B$9,B2697*Options!$Z$8,0)</f>
        <v/>
      </c>
      <c r="M2697" s="13" t="n">
        <v>0</v>
      </c>
      <c r="N2697" s="13">
        <f>SUM(E2697:M2697)</f>
        <v/>
      </c>
    </row>
    <row r="2698">
      <c r="A2698" s="5">
        <f>IF(AND(C2698&gt;=Options!$B$9,C2698&lt;=Options!$B$10),"Boston","")</f>
        <v/>
      </c>
      <c r="B2698" s="5">
        <f>IF(A2698="","",24)</f>
        <v/>
      </c>
      <c r="C2698" s="17" t="n">
        <v>46434</v>
      </c>
      <c r="D2698" s="5">
        <f>IF(A2698="","",IF(C2698=DATE(2026,11,29),"培训；注册午餐；早餐参数",IF(C2698=DATE(2026,11,30),"培训；注册午餐",IF(C2698=DATE(2026,12,1),"培训；注册午餐；机构晚餐",IF(C2698=Options!$B$9,"抵达；"&amp;IF(C2698=DATE(2026,11,28),"机构晚餐","无统一供餐"),IF(C2698=Options!$B$10,"返程；"&amp;IF(C2698=DATE(2026,12,2),"机构午餐","无统一供餐"),"差旅状态；无统一日程"))))))</f>
        <v/>
      </c>
      <c r="E2698" s="13">
        <f>IF(C2698=Options!$B$9,Options!$C$21,0)</f>
        <v/>
      </c>
      <c r="F2698" s="13">
        <f>IF(AND(A2698&lt;&gt;"",C2698&lt;Options!$B$10),B2698*Options!$X$8,0)</f>
        <v/>
      </c>
      <c r="G2698" s="13">
        <f>F2698*12%</f>
        <v/>
      </c>
      <c r="H2698" s="13">
        <f>IF(A2698="",0,B2698*(92*IF(OR(C2698=Options!$B$9,C2698=Options!$B$10),75%,100%)-IF(C2698=DATE(2026,11,29),26+IF(Options!$B$8="是",23,0),0)-IF(C2698=DATE(2026,11,30),26,0)-IF(C2698=DATE(2026,12,1),64,0)-IF(C2698=DATE(2026,11,28),38,0)-IF(C2698=DATE(2026,12,2),26,0)))</f>
        <v/>
      </c>
      <c r="I2698" s="13">
        <f>IF(AND(C2698&gt;=DATE(2026,11,29),C2698&lt;=DATE(2026,12,1)),B2698*60,0)</f>
        <v/>
      </c>
      <c r="J2698" s="13">
        <f>IF(A2698="",0,B2698*(IF(C2698=DATE(2026,11,28),38,0)+IF(C2698=DATE(2026,12,1),38,0)+IF(C2698=DATE(2026,12,2),26,0)))</f>
        <v/>
      </c>
      <c r="K2698" s="13">
        <f>IF(C2698=Options!$B$9,B2698*12,0)</f>
        <v/>
      </c>
      <c r="L2698" s="13">
        <f>IF(C2698=Options!$B$9,B2698*Options!$Z$8,0)</f>
        <v/>
      </c>
      <c r="M2698" s="13" t="n">
        <v>0</v>
      </c>
      <c r="N2698" s="13">
        <f>SUM(E2698:M2698)</f>
        <v/>
      </c>
    </row>
    <row r="2699">
      <c r="A2699" s="5">
        <f>IF(AND(C2699&gt;=Options!$B$9,C2699&lt;=Options!$B$10),"Boston","")</f>
        <v/>
      </c>
      <c r="B2699" s="5">
        <f>IF(A2699="","",24)</f>
        <v/>
      </c>
      <c r="C2699" s="17" t="n">
        <v>46435</v>
      </c>
      <c r="D2699" s="5">
        <f>IF(A2699="","",IF(C2699=DATE(2026,11,29),"培训；注册午餐；早餐参数",IF(C2699=DATE(2026,11,30),"培训；注册午餐",IF(C2699=DATE(2026,12,1),"培训；注册午餐；机构晚餐",IF(C2699=Options!$B$9,"抵达；"&amp;IF(C2699=DATE(2026,11,28),"机构晚餐","无统一供餐"),IF(C2699=Options!$B$10,"返程；"&amp;IF(C2699=DATE(2026,12,2),"机构午餐","无统一供餐"),"差旅状态；无统一日程"))))))</f>
        <v/>
      </c>
      <c r="E2699" s="13">
        <f>IF(C2699=Options!$B$9,Options!$C$21,0)</f>
        <v/>
      </c>
      <c r="F2699" s="13">
        <f>IF(AND(A2699&lt;&gt;"",C2699&lt;Options!$B$10),B2699*Options!$X$8,0)</f>
        <v/>
      </c>
      <c r="G2699" s="13">
        <f>F2699*12%</f>
        <v/>
      </c>
      <c r="H2699" s="13">
        <f>IF(A2699="",0,B2699*(92*IF(OR(C2699=Options!$B$9,C2699=Options!$B$10),75%,100%)-IF(C2699=DATE(2026,11,29),26+IF(Options!$B$8="是",23,0),0)-IF(C2699=DATE(2026,11,30),26,0)-IF(C2699=DATE(2026,12,1),64,0)-IF(C2699=DATE(2026,11,28),38,0)-IF(C2699=DATE(2026,12,2),26,0)))</f>
        <v/>
      </c>
      <c r="I2699" s="13">
        <f>IF(AND(C2699&gt;=DATE(2026,11,29),C2699&lt;=DATE(2026,12,1)),B2699*60,0)</f>
        <v/>
      </c>
      <c r="J2699" s="13">
        <f>IF(A2699="",0,B2699*(IF(C2699=DATE(2026,11,28),38,0)+IF(C2699=DATE(2026,12,1),38,0)+IF(C2699=DATE(2026,12,2),26,0)))</f>
        <v/>
      </c>
      <c r="K2699" s="13">
        <f>IF(C2699=Options!$B$9,B2699*12,0)</f>
        <v/>
      </c>
      <c r="L2699" s="13">
        <f>IF(C2699=Options!$B$9,B2699*Options!$Z$8,0)</f>
        <v/>
      </c>
      <c r="M2699" s="13" t="n">
        <v>0</v>
      </c>
      <c r="N2699" s="13">
        <f>SUM(E2699:M2699)</f>
        <v/>
      </c>
    </row>
    <row r="2700">
      <c r="A2700" s="5">
        <f>IF(AND(C2700&gt;=Options!$B$9,C2700&lt;=Options!$B$10),"Boston","")</f>
        <v/>
      </c>
      <c r="B2700" s="5">
        <f>IF(A2700="","",24)</f>
        <v/>
      </c>
      <c r="C2700" s="17" t="n">
        <v>46436</v>
      </c>
      <c r="D2700" s="5">
        <f>IF(A2700="","",IF(C2700=DATE(2026,11,29),"培训；注册午餐；早餐参数",IF(C2700=DATE(2026,11,30),"培训；注册午餐",IF(C2700=DATE(2026,12,1),"培训；注册午餐；机构晚餐",IF(C2700=Options!$B$9,"抵达；"&amp;IF(C2700=DATE(2026,11,28),"机构晚餐","无统一供餐"),IF(C2700=Options!$B$10,"返程；"&amp;IF(C2700=DATE(2026,12,2),"机构午餐","无统一供餐"),"差旅状态；无统一日程"))))))</f>
        <v/>
      </c>
      <c r="E2700" s="13">
        <f>IF(C2700=Options!$B$9,Options!$C$21,0)</f>
        <v/>
      </c>
      <c r="F2700" s="13">
        <f>IF(AND(A2700&lt;&gt;"",C2700&lt;Options!$B$10),B2700*Options!$X$8,0)</f>
        <v/>
      </c>
      <c r="G2700" s="13">
        <f>F2700*12%</f>
        <v/>
      </c>
      <c r="H2700" s="13">
        <f>IF(A2700="",0,B2700*(92*IF(OR(C2700=Options!$B$9,C2700=Options!$B$10),75%,100%)-IF(C2700=DATE(2026,11,29),26+IF(Options!$B$8="是",23,0),0)-IF(C2700=DATE(2026,11,30),26,0)-IF(C2700=DATE(2026,12,1),64,0)-IF(C2700=DATE(2026,11,28),38,0)-IF(C2700=DATE(2026,12,2),26,0)))</f>
        <v/>
      </c>
      <c r="I2700" s="13">
        <f>IF(AND(C2700&gt;=DATE(2026,11,29),C2700&lt;=DATE(2026,12,1)),B2700*60,0)</f>
        <v/>
      </c>
      <c r="J2700" s="13">
        <f>IF(A2700="",0,B2700*(IF(C2700=DATE(2026,11,28),38,0)+IF(C2700=DATE(2026,12,1),38,0)+IF(C2700=DATE(2026,12,2),26,0)))</f>
        <v/>
      </c>
      <c r="K2700" s="13">
        <f>IF(C2700=Options!$B$9,B2700*12,0)</f>
        <v/>
      </c>
      <c r="L2700" s="13">
        <f>IF(C2700=Options!$B$9,B2700*Options!$Z$8,0)</f>
        <v/>
      </c>
      <c r="M2700" s="13" t="n">
        <v>0</v>
      </c>
      <c r="N2700" s="13">
        <f>SUM(E2700:M2700)</f>
        <v/>
      </c>
    </row>
    <row r="2701">
      <c r="A2701" s="5">
        <f>IF(AND(C2701&gt;=Options!$B$9,C2701&lt;=Options!$B$10),"Boston","")</f>
        <v/>
      </c>
      <c r="B2701" s="5">
        <f>IF(A2701="","",24)</f>
        <v/>
      </c>
      <c r="C2701" s="17" t="n">
        <v>46437</v>
      </c>
      <c r="D2701" s="5">
        <f>IF(A2701="","",IF(C2701=DATE(2026,11,29),"培训；注册午餐；早餐参数",IF(C2701=DATE(2026,11,30),"培训；注册午餐",IF(C2701=DATE(2026,12,1),"培训；注册午餐；机构晚餐",IF(C2701=Options!$B$9,"抵达；"&amp;IF(C2701=DATE(2026,11,28),"机构晚餐","无统一供餐"),IF(C2701=Options!$B$10,"返程；"&amp;IF(C2701=DATE(2026,12,2),"机构午餐","无统一供餐"),"差旅状态；无统一日程"))))))</f>
        <v/>
      </c>
      <c r="E2701" s="13">
        <f>IF(C2701=Options!$B$9,Options!$C$21,0)</f>
        <v/>
      </c>
      <c r="F2701" s="13">
        <f>IF(AND(A2701&lt;&gt;"",C2701&lt;Options!$B$10),B2701*Options!$X$8,0)</f>
        <v/>
      </c>
      <c r="G2701" s="13">
        <f>F2701*12%</f>
        <v/>
      </c>
      <c r="H2701" s="13">
        <f>IF(A2701="",0,B2701*(92*IF(OR(C2701=Options!$B$9,C2701=Options!$B$10),75%,100%)-IF(C2701=DATE(2026,11,29),26+IF(Options!$B$8="是",23,0),0)-IF(C2701=DATE(2026,11,30),26,0)-IF(C2701=DATE(2026,12,1),64,0)-IF(C2701=DATE(2026,11,28),38,0)-IF(C2701=DATE(2026,12,2),26,0)))</f>
        <v/>
      </c>
      <c r="I2701" s="13">
        <f>IF(AND(C2701&gt;=DATE(2026,11,29),C2701&lt;=DATE(2026,12,1)),B2701*60,0)</f>
        <v/>
      </c>
      <c r="J2701" s="13">
        <f>IF(A2701="",0,B2701*(IF(C2701=DATE(2026,11,28),38,0)+IF(C2701=DATE(2026,12,1),38,0)+IF(C2701=DATE(2026,12,2),26,0)))</f>
        <v/>
      </c>
      <c r="K2701" s="13">
        <f>IF(C2701=Options!$B$9,B2701*12,0)</f>
        <v/>
      </c>
      <c r="L2701" s="13">
        <f>IF(C2701=Options!$B$9,B2701*Options!$Z$8,0)</f>
        <v/>
      </c>
      <c r="M2701" s="13" t="n">
        <v>0</v>
      </c>
      <c r="N2701" s="13">
        <f>SUM(E2701:M2701)</f>
        <v/>
      </c>
    </row>
    <row r="2702">
      <c r="A2702" s="5">
        <f>IF(AND(C2702&gt;=Options!$B$9,C2702&lt;=Options!$B$10),"Boston","")</f>
        <v/>
      </c>
      <c r="B2702" s="5">
        <f>IF(A2702="","",24)</f>
        <v/>
      </c>
      <c r="C2702" s="17" t="n">
        <v>46438</v>
      </c>
      <c r="D2702" s="5">
        <f>IF(A2702="","",IF(C2702=DATE(2026,11,29),"培训；注册午餐；早餐参数",IF(C2702=DATE(2026,11,30),"培训；注册午餐",IF(C2702=DATE(2026,12,1),"培训；注册午餐；机构晚餐",IF(C2702=Options!$B$9,"抵达；"&amp;IF(C2702=DATE(2026,11,28),"机构晚餐","无统一供餐"),IF(C2702=Options!$B$10,"返程；"&amp;IF(C2702=DATE(2026,12,2),"机构午餐","无统一供餐"),"差旅状态；无统一日程"))))))</f>
        <v/>
      </c>
      <c r="E2702" s="13">
        <f>IF(C2702=Options!$B$9,Options!$C$21,0)</f>
        <v/>
      </c>
      <c r="F2702" s="13">
        <f>IF(AND(A2702&lt;&gt;"",C2702&lt;Options!$B$10),B2702*Options!$X$8,0)</f>
        <v/>
      </c>
      <c r="G2702" s="13">
        <f>F2702*12%</f>
        <v/>
      </c>
      <c r="H2702" s="13">
        <f>IF(A2702="",0,B2702*(92*IF(OR(C2702=Options!$B$9,C2702=Options!$B$10),75%,100%)-IF(C2702=DATE(2026,11,29),26+IF(Options!$B$8="是",23,0),0)-IF(C2702=DATE(2026,11,30),26,0)-IF(C2702=DATE(2026,12,1),64,0)-IF(C2702=DATE(2026,11,28),38,0)-IF(C2702=DATE(2026,12,2),26,0)))</f>
        <v/>
      </c>
      <c r="I2702" s="13">
        <f>IF(AND(C2702&gt;=DATE(2026,11,29),C2702&lt;=DATE(2026,12,1)),B2702*60,0)</f>
        <v/>
      </c>
      <c r="J2702" s="13">
        <f>IF(A2702="",0,B2702*(IF(C2702=DATE(2026,11,28),38,0)+IF(C2702=DATE(2026,12,1),38,0)+IF(C2702=DATE(2026,12,2),26,0)))</f>
        <v/>
      </c>
      <c r="K2702" s="13">
        <f>IF(C2702=Options!$B$9,B2702*12,0)</f>
        <v/>
      </c>
      <c r="L2702" s="13">
        <f>IF(C2702=Options!$B$9,B2702*Options!$Z$8,0)</f>
        <v/>
      </c>
      <c r="M2702" s="13" t="n">
        <v>0</v>
      </c>
      <c r="N2702" s="13">
        <f>SUM(E2702:M2702)</f>
        <v/>
      </c>
    </row>
    <row r="2703">
      <c r="A2703" s="5">
        <f>IF(AND(C2703&gt;=Options!$B$9,C2703&lt;=Options!$B$10),"Boston","")</f>
        <v/>
      </c>
      <c r="B2703" s="5">
        <f>IF(A2703="","",24)</f>
        <v/>
      </c>
      <c r="C2703" s="17" t="n">
        <v>46439</v>
      </c>
      <c r="D2703" s="5">
        <f>IF(A2703="","",IF(C2703=DATE(2026,11,29),"培训；注册午餐；早餐参数",IF(C2703=DATE(2026,11,30),"培训；注册午餐",IF(C2703=DATE(2026,12,1),"培训；注册午餐；机构晚餐",IF(C2703=Options!$B$9,"抵达；"&amp;IF(C2703=DATE(2026,11,28),"机构晚餐","无统一供餐"),IF(C2703=Options!$B$10,"返程；"&amp;IF(C2703=DATE(2026,12,2),"机构午餐","无统一供餐"),"差旅状态；无统一日程"))))))</f>
        <v/>
      </c>
      <c r="E2703" s="13">
        <f>IF(C2703=Options!$B$9,Options!$C$21,0)</f>
        <v/>
      </c>
      <c r="F2703" s="13">
        <f>IF(AND(A2703&lt;&gt;"",C2703&lt;Options!$B$10),B2703*Options!$X$8,0)</f>
        <v/>
      </c>
      <c r="G2703" s="13">
        <f>F2703*12%</f>
        <v/>
      </c>
      <c r="H2703" s="13">
        <f>IF(A2703="",0,B2703*(92*IF(OR(C2703=Options!$B$9,C2703=Options!$B$10),75%,100%)-IF(C2703=DATE(2026,11,29),26+IF(Options!$B$8="是",23,0),0)-IF(C2703=DATE(2026,11,30),26,0)-IF(C2703=DATE(2026,12,1),64,0)-IF(C2703=DATE(2026,11,28),38,0)-IF(C2703=DATE(2026,12,2),26,0)))</f>
        <v/>
      </c>
      <c r="I2703" s="13">
        <f>IF(AND(C2703&gt;=DATE(2026,11,29),C2703&lt;=DATE(2026,12,1)),B2703*60,0)</f>
        <v/>
      </c>
      <c r="J2703" s="13">
        <f>IF(A2703="",0,B2703*(IF(C2703=DATE(2026,11,28),38,0)+IF(C2703=DATE(2026,12,1),38,0)+IF(C2703=DATE(2026,12,2),26,0)))</f>
        <v/>
      </c>
      <c r="K2703" s="13">
        <f>IF(C2703=Options!$B$9,B2703*12,0)</f>
        <v/>
      </c>
      <c r="L2703" s="13">
        <f>IF(C2703=Options!$B$9,B2703*Options!$Z$8,0)</f>
        <v/>
      </c>
      <c r="M2703" s="13" t="n">
        <v>0</v>
      </c>
      <c r="N2703" s="13">
        <f>SUM(E2703:M2703)</f>
        <v/>
      </c>
    </row>
    <row r="2704">
      <c r="A2704" s="5">
        <f>IF(AND(C2704&gt;=Options!$B$9,C2704&lt;=Options!$B$10),"Boston","")</f>
        <v/>
      </c>
      <c r="B2704" s="5">
        <f>IF(A2704="","",24)</f>
        <v/>
      </c>
      <c r="C2704" s="17" t="n">
        <v>46440</v>
      </c>
      <c r="D2704" s="5">
        <f>IF(A2704="","",IF(C2704=DATE(2026,11,29),"培训；注册午餐；早餐参数",IF(C2704=DATE(2026,11,30),"培训；注册午餐",IF(C2704=DATE(2026,12,1),"培训；注册午餐；机构晚餐",IF(C2704=Options!$B$9,"抵达；"&amp;IF(C2704=DATE(2026,11,28),"机构晚餐","无统一供餐"),IF(C2704=Options!$B$10,"返程；"&amp;IF(C2704=DATE(2026,12,2),"机构午餐","无统一供餐"),"差旅状态；无统一日程"))))))</f>
        <v/>
      </c>
      <c r="E2704" s="13">
        <f>IF(C2704=Options!$B$9,Options!$C$21,0)</f>
        <v/>
      </c>
      <c r="F2704" s="13">
        <f>IF(AND(A2704&lt;&gt;"",C2704&lt;Options!$B$10),B2704*Options!$X$8,0)</f>
        <v/>
      </c>
      <c r="G2704" s="13">
        <f>F2704*12%</f>
        <v/>
      </c>
      <c r="H2704" s="13">
        <f>IF(A2704="",0,B2704*(92*IF(OR(C2704=Options!$B$9,C2704=Options!$B$10),75%,100%)-IF(C2704=DATE(2026,11,29),26+IF(Options!$B$8="是",23,0),0)-IF(C2704=DATE(2026,11,30),26,0)-IF(C2704=DATE(2026,12,1),64,0)-IF(C2704=DATE(2026,11,28),38,0)-IF(C2704=DATE(2026,12,2),26,0)))</f>
        <v/>
      </c>
      <c r="I2704" s="13">
        <f>IF(AND(C2704&gt;=DATE(2026,11,29),C2704&lt;=DATE(2026,12,1)),B2704*60,0)</f>
        <v/>
      </c>
      <c r="J2704" s="13">
        <f>IF(A2704="",0,B2704*(IF(C2704=DATE(2026,11,28),38,0)+IF(C2704=DATE(2026,12,1),38,0)+IF(C2704=DATE(2026,12,2),26,0)))</f>
        <v/>
      </c>
      <c r="K2704" s="13">
        <f>IF(C2704=Options!$B$9,B2704*12,0)</f>
        <v/>
      </c>
      <c r="L2704" s="13">
        <f>IF(C2704=Options!$B$9,B2704*Options!$Z$8,0)</f>
        <v/>
      </c>
      <c r="M2704" s="13" t="n">
        <v>0</v>
      </c>
      <c r="N2704" s="13">
        <f>SUM(E2704:M2704)</f>
        <v/>
      </c>
    </row>
    <row r="2705">
      <c r="A2705" s="5">
        <f>IF(AND(C2705&gt;=Options!$B$9,C2705&lt;=Options!$B$10),"Boston","")</f>
        <v/>
      </c>
      <c r="B2705" s="5">
        <f>IF(A2705="","",24)</f>
        <v/>
      </c>
      <c r="C2705" s="17" t="n">
        <v>46441</v>
      </c>
      <c r="D2705" s="5">
        <f>IF(A2705="","",IF(C2705=DATE(2026,11,29),"培训；注册午餐；早餐参数",IF(C2705=DATE(2026,11,30),"培训；注册午餐",IF(C2705=DATE(2026,12,1),"培训；注册午餐；机构晚餐",IF(C2705=Options!$B$9,"抵达；"&amp;IF(C2705=DATE(2026,11,28),"机构晚餐","无统一供餐"),IF(C2705=Options!$B$10,"返程；"&amp;IF(C2705=DATE(2026,12,2),"机构午餐","无统一供餐"),"差旅状态；无统一日程"))))))</f>
        <v/>
      </c>
      <c r="E2705" s="13">
        <f>IF(C2705=Options!$B$9,Options!$C$21,0)</f>
        <v/>
      </c>
      <c r="F2705" s="13">
        <f>IF(AND(A2705&lt;&gt;"",C2705&lt;Options!$B$10),B2705*Options!$X$8,0)</f>
        <v/>
      </c>
      <c r="G2705" s="13">
        <f>F2705*12%</f>
        <v/>
      </c>
      <c r="H2705" s="13">
        <f>IF(A2705="",0,B2705*(92*IF(OR(C2705=Options!$B$9,C2705=Options!$B$10),75%,100%)-IF(C2705=DATE(2026,11,29),26+IF(Options!$B$8="是",23,0),0)-IF(C2705=DATE(2026,11,30),26,0)-IF(C2705=DATE(2026,12,1),64,0)-IF(C2705=DATE(2026,11,28),38,0)-IF(C2705=DATE(2026,12,2),26,0)))</f>
        <v/>
      </c>
      <c r="I2705" s="13">
        <f>IF(AND(C2705&gt;=DATE(2026,11,29),C2705&lt;=DATE(2026,12,1)),B2705*60,0)</f>
        <v/>
      </c>
      <c r="J2705" s="13">
        <f>IF(A2705="",0,B2705*(IF(C2705=DATE(2026,11,28),38,0)+IF(C2705=DATE(2026,12,1),38,0)+IF(C2705=DATE(2026,12,2),26,0)))</f>
        <v/>
      </c>
      <c r="K2705" s="13">
        <f>IF(C2705=Options!$B$9,B2705*12,0)</f>
        <v/>
      </c>
      <c r="L2705" s="13">
        <f>IF(C2705=Options!$B$9,B2705*Options!$Z$8,0)</f>
        <v/>
      </c>
      <c r="M2705" s="13" t="n">
        <v>0</v>
      </c>
      <c r="N2705" s="13">
        <f>SUM(E2705:M2705)</f>
        <v/>
      </c>
    </row>
    <row r="2706">
      <c r="A2706" s="5">
        <f>IF(AND(C2706&gt;=Options!$B$9,C2706&lt;=Options!$B$10),"Boston","")</f>
        <v/>
      </c>
      <c r="B2706" s="5">
        <f>IF(A2706="","",24)</f>
        <v/>
      </c>
      <c r="C2706" s="17" t="n">
        <v>46442</v>
      </c>
      <c r="D2706" s="5">
        <f>IF(A2706="","",IF(C2706=DATE(2026,11,29),"培训；注册午餐；早餐参数",IF(C2706=DATE(2026,11,30),"培训；注册午餐",IF(C2706=DATE(2026,12,1),"培训；注册午餐；机构晚餐",IF(C2706=Options!$B$9,"抵达；"&amp;IF(C2706=DATE(2026,11,28),"机构晚餐","无统一供餐"),IF(C2706=Options!$B$10,"返程；"&amp;IF(C2706=DATE(2026,12,2),"机构午餐","无统一供餐"),"差旅状态；无统一日程"))))))</f>
        <v/>
      </c>
      <c r="E2706" s="13">
        <f>IF(C2706=Options!$B$9,Options!$C$21,0)</f>
        <v/>
      </c>
      <c r="F2706" s="13">
        <f>IF(AND(A2706&lt;&gt;"",C2706&lt;Options!$B$10),B2706*Options!$X$8,0)</f>
        <v/>
      </c>
      <c r="G2706" s="13">
        <f>F2706*12%</f>
        <v/>
      </c>
      <c r="H2706" s="13">
        <f>IF(A2706="",0,B2706*(92*IF(OR(C2706=Options!$B$9,C2706=Options!$B$10),75%,100%)-IF(C2706=DATE(2026,11,29),26+IF(Options!$B$8="是",23,0),0)-IF(C2706=DATE(2026,11,30),26,0)-IF(C2706=DATE(2026,12,1),64,0)-IF(C2706=DATE(2026,11,28),38,0)-IF(C2706=DATE(2026,12,2),26,0)))</f>
        <v/>
      </c>
      <c r="I2706" s="13">
        <f>IF(AND(C2706&gt;=DATE(2026,11,29),C2706&lt;=DATE(2026,12,1)),B2706*60,0)</f>
        <v/>
      </c>
      <c r="J2706" s="13">
        <f>IF(A2706="",0,B2706*(IF(C2706=DATE(2026,11,28),38,0)+IF(C2706=DATE(2026,12,1),38,0)+IF(C2706=DATE(2026,12,2),26,0)))</f>
        <v/>
      </c>
      <c r="K2706" s="13">
        <f>IF(C2706=Options!$B$9,B2706*12,0)</f>
        <v/>
      </c>
      <c r="L2706" s="13">
        <f>IF(C2706=Options!$B$9,B2706*Options!$Z$8,0)</f>
        <v/>
      </c>
      <c r="M2706" s="13" t="n">
        <v>0</v>
      </c>
      <c r="N2706" s="13">
        <f>SUM(E2706:M2706)</f>
        <v/>
      </c>
    </row>
    <row r="2707">
      <c r="A2707" s="5">
        <f>IF(AND(C2707&gt;=Options!$B$9,C2707&lt;=Options!$B$10),"Boston","")</f>
        <v/>
      </c>
      <c r="B2707" s="5">
        <f>IF(A2707="","",24)</f>
        <v/>
      </c>
      <c r="C2707" s="17" t="n">
        <v>46443</v>
      </c>
      <c r="D2707" s="5">
        <f>IF(A2707="","",IF(C2707=DATE(2026,11,29),"培训；注册午餐；早餐参数",IF(C2707=DATE(2026,11,30),"培训；注册午餐",IF(C2707=DATE(2026,12,1),"培训；注册午餐；机构晚餐",IF(C2707=Options!$B$9,"抵达；"&amp;IF(C2707=DATE(2026,11,28),"机构晚餐","无统一供餐"),IF(C2707=Options!$B$10,"返程；"&amp;IF(C2707=DATE(2026,12,2),"机构午餐","无统一供餐"),"差旅状态；无统一日程"))))))</f>
        <v/>
      </c>
      <c r="E2707" s="13">
        <f>IF(C2707=Options!$B$9,Options!$C$21,0)</f>
        <v/>
      </c>
      <c r="F2707" s="13">
        <f>IF(AND(A2707&lt;&gt;"",C2707&lt;Options!$B$10),B2707*Options!$X$8,0)</f>
        <v/>
      </c>
      <c r="G2707" s="13">
        <f>F2707*12%</f>
        <v/>
      </c>
      <c r="H2707" s="13">
        <f>IF(A2707="",0,B2707*(92*IF(OR(C2707=Options!$B$9,C2707=Options!$B$10),75%,100%)-IF(C2707=DATE(2026,11,29),26+IF(Options!$B$8="是",23,0),0)-IF(C2707=DATE(2026,11,30),26,0)-IF(C2707=DATE(2026,12,1),64,0)-IF(C2707=DATE(2026,11,28),38,0)-IF(C2707=DATE(2026,12,2),26,0)))</f>
        <v/>
      </c>
      <c r="I2707" s="13">
        <f>IF(AND(C2707&gt;=DATE(2026,11,29),C2707&lt;=DATE(2026,12,1)),B2707*60,0)</f>
        <v/>
      </c>
      <c r="J2707" s="13">
        <f>IF(A2707="",0,B2707*(IF(C2707=DATE(2026,11,28),38,0)+IF(C2707=DATE(2026,12,1),38,0)+IF(C2707=DATE(2026,12,2),26,0)))</f>
        <v/>
      </c>
      <c r="K2707" s="13">
        <f>IF(C2707=Options!$B$9,B2707*12,0)</f>
        <v/>
      </c>
      <c r="L2707" s="13">
        <f>IF(C2707=Options!$B$9,B2707*Options!$Z$8,0)</f>
        <v/>
      </c>
      <c r="M2707" s="13" t="n">
        <v>0</v>
      </c>
      <c r="N2707" s="13">
        <f>SUM(E2707:M2707)</f>
        <v/>
      </c>
    </row>
    <row r="2708">
      <c r="A2708" s="5">
        <f>IF(AND(C2708&gt;=Options!$B$9,C2708&lt;=Options!$B$10),"Boston","")</f>
        <v/>
      </c>
      <c r="B2708" s="5">
        <f>IF(A2708="","",24)</f>
        <v/>
      </c>
      <c r="C2708" s="17" t="n">
        <v>46444</v>
      </c>
      <c r="D2708" s="5">
        <f>IF(A2708="","",IF(C2708=DATE(2026,11,29),"培训；注册午餐；早餐参数",IF(C2708=DATE(2026,11,30),"培训；注册午餐",IF(C2708=DATE(2026,12,1),"培训；注册午餐；机构晚餐",IF(C2708=Options!$B$9,"抵达；"&amp;IF(C2708=DATE(2026,11,28),"机构晚餐","无统一供餐"),IF(C2708=Options!$B$10,"返程；"&amp;IF(C2708=DATE(2026,12,2),"机构午餐","无统一供餐"),"差旅状态；无统一日程"))))))</f>
        <v/>
      </c>
      <c r="E2708" s="13">
        <f>IF(C2708=Options!$B$9,Options!$C$21,0)</f>
        <v/>
      </c>
      <c r="F2708" s="13">
        <f>IF(AND(A2708&lt;&gt;"",C2708&lt;Options!$B$10),B2708*Options!$X$8,0)</f>
        <v/>
      </c>
      <c r="G2708" s="13">
        <f>F2708*12%</f>
        <v/>
      </c>
      <c r="H2708" s="13">
        <f>IF(A2708="",0,B2708*(92*IF(OR(C2708=Options!$B$9,C2708=Options!$B$10),75%,100%)-IF(C2708=DATE(2026,11,29),26+IF(Options!$B$8="是",23,0),0)-IF(C2708=DATE(2026,11,30),26,0)-IF(C2708=DATE(2026,12,1),64,0)-IF(C2708=DATE(2026,11,28),38,0)-IF(C2708=DATE(2026,12,2),26,0)))</f>
        <v/>
      </c>
      <c r="I2708" s="13">
        <f>IF(AND(C2708&gt;=DATE(2026,11,29),C2708&lt;=DATE(2026,12,1)),B2708*60,0)</f>
        <v/>
      </c>
      <c r="J2708" s="13">
        <f>IF(A2708="",0,B2708*(IF(C2708=DATE(2026,11,28),38,0)+IF(C2708=DATE(2026,12,1),38,0)+IF(C2708=DATE(2026,12,2),26,0)))</f>
        <v/>
      </c>
      <c r="K2708" s="13">
        <f>IF(C2708=Options!$B$9,B2708*12,0)</f>
        <v/>
      </c>
      <c r="L2708" s="13">
        <f>IF(C2708=Options!$B$9,B2708*Options!$Z$8,0)</f>
        <v/>
      </c>
      <c r="M2708" s="13" t="n">
        <v>0</v>
      </c>
      <c r="N2708" s="13">
        <f>SUM(E2708:M2708)</f>
        <v/>
      </c>
    </row>
    <row r="2709">
      <c r="A2709" s="5">
        <f>IF(AND(C2709&gt;=Options!$B$9,C2709&lt;=Options!$B$10),"Boston","")</f>
        <v/>
      </c>
      <c r="B2709" s="5">
        <f>IF(A2709="","",24)</f>
        <v/>
      </c>
      <c r="C2709" s="17" t="n">
        <v>46445</v>
      </c>
      <c r="D2709" s="5">
        <f>IF(A2709="","",IF(C2709=DATE(2026,11,29),"培训；注册午餐；早餐参数",IF(C2709=DATE(2026,11,30),"培训；注册午餐",IF(C2709=DATE(2026,12,1),"培训；注册午餐；机构晚餐",IF(C2709=Options!$B$9,"抵达；"&amp;IF(C2709=DATE(2026,11,28),"机构晚餐","无统一供餐"),IF(C2709=Options!$B$10,"返程；"&amp;IF(C2709=DATE(2026,12,2),"机构午餐","无统一供餐"),"差旅状态；无统一日程"))))))</f>
        <v/>
      </c>
      <c r="E2709" s="13">
        <f>IF(C2709=Options!$B$9,Options!$C$21,0)</f>
        <v/>
      </c>
      <c r="F2709" s="13">
        <f>IF(AND(A2709&lt;&gt;"",C2709&lt;Options!$B$10),B2709*Options!$X$8,0)</f>
        <v/>
      </c>
      <c r="G2709" s="13">
        <f>F2709*12%</f>
        <v/>
      </c>
      <c r="H2709" s="13">
        <f>IF(A2709="",0,B2709*(92*IF(OR(C2709=Options!$B$9,C2709=Options!$B$10),75%,100%)-IF(C2709=DATE(2026,11,29),26+IF(Options!$B$8="是",23,0),0)-IF(C2709=DATE(2026,11,30),26,0)-IF(C2709=DATE(2026,12,1),64,0)-IF(C2709=DATE(2026,11,28),38,0)-IF(C2709=DATE(2026,12,2),26,0)))</f>
        <v/>
      </c>
      <c r="I2709" s="13">
        <f>IF(AND(C2709&gt;=DATE(2026,11,29),C2709&lt;=DATE(2026,12,1)),B2709*60,0)</f>
        <v/>
      </c>
      <c r="J2709" s="13">
        <f>IF(A2709="",0,B2709*(IF(C2709=DATE(2026,11,28),38,0)+IF(C2709=DATE(2026,12,1),38,0)+IF(C2709=DATE(2026,12,2),26,0)))</f>
        <v/>
      </c>
      <c r="K2709" s="13">
        <f>IF(C2709=Options!$B$9,B2709*12,0)</f>
        <v/>
      </c>
      <c r="L2709" s="13">
        <f>IF(C2709=Options!$B$9,B2709*Options!$Z$8,0)</f>
        <v/>
      </c>
      <c r="M2709" s="13" t="n">
        <v>0</v>
      </c>
      <c r="N2709" s="13">
        <f>SUM(E2709:M2709)</f>
        <v/>
      </c>
    </row>
    <row r="2710">
      <c r="A2710" s="5">
        <f>IF(AND(C2710&gt;=Options!$B$9,C2710&lt;=Options!$B$10),"Boston","")</f>
        <v/>
      </c>
      <c r="B2710" s="5">
        <f>IF(A2710="","",24)</f>
        <v/>
      </c>
      <c r="C2710" s="17" t="n">
        <v>46446</v>
      </c>
      <c r="D2710" s="5">
        <f>IF(A2710="","",IF(C2710=DATE(2026,11,29),"培训；注册午餐；早餐参数",IF(C2710=DATE(2026,11,30),"培训；注册午餐",IF(C2710=DATE(2026,12,1),"培训；注册午餐；机构晚餐",IF(C2710=Options!$B$9,"抵达；"&amp;IF(C2710=DATE(2026,11,28),"机构晚餐","无统一供餐"),IF(C2710=Options!$B$10,"返程；"&amp;IF(C2710=DATE(2026,12,2),"机构午餐","无统一供餐"),"差旅状态；无统一日程"))))))</f>
        <v/>
      </c>
      <c r="E2710" s="13">
        <f>IF(C2710=Options!$B$9,Options!$C$21,0)</f>
        <v/>
      </c>
      <c r="F2710" s="13">
        <f>IF(AND(A2710&lt;&gt;"",C2710&lt;Options!$B$10),B2710*Options!$X$8,0)</f>
        <v/>
      </c>
      <c r="G2710" s="13">
        <f>F2710*12%</f>
        <v/>
      </c>
      <c r="H2710" s="13">
        <f>IF(A2710="",0,B2710*(92*IF(OR(C2710=Options!$B$9,C2710=Options!$B$10),75%,100%)-IF(C2710=DATE(2026,11,29),26+IF(Options!$B$8="是",23,0),0)-IF(C2710=DATE(2026,11,30),26,0)-IF(C2710=DATE(2026,12,1),64,0)-IF(C2710=DATE(2026,11,28),38,0)-IF(C2710=DATE(2026,12,2),26,0)))</f>
        <v/>
      </c>
      <c r="I2710" s="13">
        <f>IF(AND(C2710&gt;=DATE(2026,11,29),C2710&lt;=DATE(2026,12,1)),B2710*60,0)</f>
        <v/>
      </c>
      <c r="J2710" s="13">
        <f>IF(A2710="",0,B2710*(IF(C2710=DATE(2026,11,28),38,0)+IF(C2710=DATE(2026,12,1),38,0)+IF(C2710=DATE(2026,12,2),26,0)))</f>
        <v/>
      </c>
      <c r="K2710" s="13">
        <f>IF(C2710=Options!$B$9,B2710*12,0)</f>
        <v/>
      </c>
      <c r="L2710" s="13">
        <f>IF(C2710=Options!$B$9,B2710*Options!$Z$8,0)</f>
        <v/>
      </c>
      <c r="M2710" s="13" t="n">
        <v>0</v>
      </c>
      <c r="N2710" s="13">
        <f>SUM(E2710:M2710)</f>
        <v/>
      </c>
    </row>
    <row r="2711">
      <c r="A2711" s="5">
        <f>IF(AND(C2711&gt;=Options!$B$9,C2711&lt;=Options!$B$10),"Boston","")</f>
        <v/>
      </c>
      <c r="B2711" s="5">
        <f>IF(A2711="","",24)</f>
        <v/>
      </c>
      <c r="C2711" s="17" t="n">
        <v>46447</v>
      </c>
      <c r="D2711" s="5">
        <f>IF(A2711="","",IF(C2711=DATE(2026,11,29),"培训；注册午餐；早餐参数",IF(C2711=DATE(2026,11,30),"培训；注册午餐",IF(C2711=DATE(2026,12,1),"培训；注册午餐；机构晚餐",IF(C2711=Options!$B$9,"抵达；"&amp;IF(C2711=DATE(2026,11,28),"机构晚餐","无统一供餐"),IF(C2711=Options!$B$10,"返程；"&amp;IF(C2711=DATE(2026,12,2),"机构午餐","无统一供餐"),"差旅状态；无统一日程"))))))</f>
        <v/>
      </c>
      <c r="E2711" s="13">
        <f>IF(C2711=Options!$B$9,Options!$C$21,0)</f>
        <v/>
      </c>
      <c r="F2711" s="13">
        <f>IF(AND(A2711&lt;&gt;"",C2711&lt;Options!$B$10),B2711*Options!$X$8,0)</f>
        <v/>
      </c>
      <c r="G2711" s="13">
        <f>F2711*12%</f>
        <v/>
      </c>
      <c r="H2711" s="13">
        <f>IF(A2711="",0,B2711*(92*IF(OR(C2711=Options!$B$9,C2711=Options!$B$10),75%,100%)-IF(C2711=DATE(2026,11,29),26+IF(Options!$B$8="是",23,0),0)-IF(C2711=DATE(2026,11,30),26,0)-IF(C2711=DATE(2026,12,1),64,0)-IF(C2711=DATE(2026,11,28),38,0)-IF(C2711=DATE(2026,12,2),26,0)))</f>
        <v/>
      </c>
      <c r="I2711" s="13">
        <f>IF(AND(C2711&gt;=DATE(2026,11,29),C2711&lt;=DATE(2026,12,1)),B2711*60,0)</f>
        <v/>
      </c>
      <c r="J2711" s="13">
        <f>IF(A2711="",0,B2711*(IF(C2711=DATE(2026,11,28),38,0)+IF(C2711=DATE(2026,12,1),38,0)+IF(C2711=DATE(2026,12,2),26,0)))</f>
        <v/>
      </c>
      <c r="K2711" s="13">
        <f>IF(C2711=Options!$B$9,B2711*12,0)</f>
        <v/>
      </c>
      <c r="L2711" s="13">
        <f>IF(C2711=Options!$B$9,B2711*Options!$Z$8,0)</f>
        <v/>
      </c>
      <c r="M2711" s="13" t="n">
        <v>0</v>
      </c>
      <c r="N2711" s="13">
        <f>SUM(E2711:M2711)</f>
        <v/>
      </c>
    </row>
    <row r="2712">
      <c r="A2712" s="5">
        <f>IF(AND(C2712&gt;=Options!$B$9,C2712&lt;=Options!$B$10),"Boston","")</f>
        <v/>
      </c>
      <c r="B2712" s="5">
        <f>IF(A2712="","",24)</f>
        <v/>
      </c>
      <c r="C2712" s="17" t="n">
        <v>46448</v>
      </c>
      <c r="D2712" s="5">
        <f>IF(A2712="","",IF(C2712=DATE(2026,11,29),"培训；注册午餐；早餐参数",IF(C2712=DATE(2026,11,30),"培训；注册午餐",IF(C2712=DATE(2026,12,1),"培训；注册午餐；机构晚餐",IF(C2712=Options!$B$9,"抵达；"&amp;IF(C2712=DATE(2026,11,28),"机构晚餐","无统一供餐"),IF(C2712=Options!$B$10,"返程；"&amp;IF(C2712=DATE(2026,12,2),"机构午餐","无统一供餐"),"差旅状态；无统一日程"))))))</f>
        <v/>
      </c>
      <c r="E2712" s="13">
        <f>IF(C2712=Options!$B$9,Options!$C$21,0)</f>
        <v/>
      </c>
      <c r="F2712" s="13">
        <f>IF(AND(A2712&lt;&gt;"",C2712&lt;Options!$B$10),B2712*Options!$X$8,0)</f>
        <v/>
      </c>
      <c r="G2712" s="13">
        <f>F2712*12%</f>
        <v/>
      </c>
      <c r="H2712" s="13">
        <f>IF(A2712="",0,B2712*(92*IF(OR(C2712=Options!$B$9,C2712=Options!$B$10),75%,100%)-IF(C2712=DATE(2026,11,29),26+IF(Options!$B$8="是",23,0),0)-IF(C2712=DATE(2026,11,30),26,0)-IF(C2712=DATE(2026,12,1),64,0)-IF(C2712=DATE(2026,11,28),38,0)-IF(C2712=DATE(2026,12,2),26,0)))</f>
        <v/>
      </c>
      <c r="I2712" s="13">
        <f>IF(AND(C2712&gt;=DATE(2026,11,29),C2712&lt;=DATE(2026,12,1)),B2712*60,0)</f>
        <v/>
      </c>
      <c r="J2712" s="13">
        <f>IF(A2712="",0,B2712*(IF(C2712=DATE(2026,11,28),38,0)+IF(C2712=DATE(2026,12,1),38,0)+IF(C2712=DATE(2026,12,2),26,0)))</f>
        <v/>
      </c>
      <c r="K2712" s="13">
        <f>IF(C2712=Options!$B$9,B2712*12,0)</f>
        <v/>
      </c>
      <c r="L2712" s="13">
        <f>IF(C2712=Options!$B$9,B2712*Options!$Z$8,0)</f>
        <v/>
      </c>
      <c r="M2712" s="13" t="n">
        <v>0</v>
      </c>
      <c r="N2712" s="13">
        <f>SUM(E2712:M2712)</f>
        <v/>
      </c>
    </row>
    <row r="2713">
      <c r="A2713" s="5">
        <f>IF(AND(C2713&gt;=Options!$B$9,C2713&lt;=Options!$B$10),"Boston","")</f>
        <v/>
      </c>
      <c r="B2713" s="5">
        <f>IF(A2713="","",24)</f>
        <v/>
      </c>
      <c r="C2713" s="17" t="n">
        <v>46449</v>
      </c>
      <c r="D2713" s="5">
        <f>IF(A2713="","",IF(C2713=DATE(2026,11,29),"培训；注册午餐；早餐参数",IF(C2713=DATE(2026,11,30),"培训；注册午餐",IF(C2713=DATE(2026,12,1),"培训；注册午餐；机构晚餐",IF(C2713=Options!$B$9,"抵达；"&amp;IF(C2713=DATE(2026,11,28),"机构晚餐","无统一供餐"),IF(C2713=Options!$B$10,"返程；"&amp;IF(C2713=DATE(2026,12,2),"机构午餐","无统一供餐"),"差旅状态；无统一日程"))))))</f>
        <v/>
      </c>
      <c r="E2713" s="13">
        <f>IF(C2713=Options!$B$9,Options!$C$21,0)</f>
        <v/>
      </c>
      <c r="F2713" s="13">
        <f>IF(AND(A2713&lt;&gt;"",C2713&lt;Options!$B$10),B2713*Options!$X$8,0)</f>
        <v/>
      </c>
      <c r="G2713" s="13">
        <f>F2713*12%</f>
        <v/>
      </c>
      <c r="H2713" s="13">
        <f>IF(A2713="",0,B2713*(92*IF(OR(C2713=Options!$B$9,C2713=Options!$B$10),75%,100%)-IF(C2713=DATE(2026,11,29),26+IF(Options!$B$8="是",23,0),0)-IF(C2713=DATE(2026,11,30),26,0)-IF(C2713=DATE(2026,12,1),64,0)-IF(C2713=DATE(2026,11,28),38,0)-IF(C2713=DATE(2026,12,2),26,0)))</f>
        <v/>
      </c>
      <c r="I2713" s="13">
        <f>IF(AND(C2713&gt;=DATE(2026,11,29),C2713&lt;=DATE(2026,12,1)),B2713*60,0)</f>
        <v/>
      </c>
      <c r="J2713" s="13">
        <f>IF(A2713="",0,B2713*(IF(C2713=DATE(2026,11,28),38,0)+IF(C2713=DATE(2026,12,1),38,0)+IF(C2713=DATE(2026,12,2),26,0)))</f>
        <v/>
      </c>
      <c r="K2713" s="13">
        <f>IF(C2713=Options!$B$9,B2713*12,0)</f>
        <v/>
      </c>
      <c r="L2713" s="13">
        <f>IF(C2713=Options!$B$9,B2713*Options!$Z$8,0)</f>
        <v/>
      </c>
      <c r="M2713" s="13" t="n">
        <v>0</v>
      </c>
      <c r="N2713" s="13">
        <f>SUM(E2713:M2713)</f>
        <v/>
      </c>
    </row>
    <row r="2714">
      <c r="A2714" s="5">
        <f>IF(AND(C2714&gt;=Options!$B$9,C2714&lt;=Options!$B$10),"Boston","")</f>
        <v/>
      </c>
      <c r="B2714" s="5">
        <f>IF(A2714="","",24)</f>
        <v/>
      </c>
      <c r="C2714" s="17" t="n">
        <v>46450</v>
      </c>
      <c r="D2714" s="5">
        <f>IF(A2714="","",IF(C2714=DATE(2026,11,29),"培训；注册午餐；早餐参数",IF(C2714=DATE(2026,11,30),"培训；注册午餐",IF(C2714=DATE(2026,12,1),"培训；注册午餐；机构晚餐",IF(C2714=Options!$B$9,"抵达；"&amp;IF(C2714=DATE(2026,11,28),"机构晚餐","无统一供餐"),IF(C2714=Options!$B$10,"返程；"&amp;IF(C2714=DATE(2026,12,2),"机构午餐","无统一供餐"),"差旅状态；无统一日程"))))))</f>
        <v/>
      </c>
      <c r="E2714" s="13">
        <f>IF(C2714=Options!$B$9,Options!$C$21,0)</f>
        <v/>
      </c>
      <c r="F2714" s="13">
        <f>IF(AND(A2714&lt;&gt;"",C2714&lt;Options!$B$10),B2714*Options!$X$8,0)</f>
        <v/>
      </c>
      <c r="G2714" s="13">
        <f>F2714*12%</f>
        <v/>
      </c>
      <c r="H2714" s="13">
        <f>IF(A2714="",0,B2714*(92*IF(OR(C2714=Options!$B$9,C2714=Options!$B$10),75%,100%)-IF(C2714=DATE(2026,11,29),26+IF(Options!$B$8="是",23,0),0)-IF(C2714=DATE(2026,11,30),26,0)-IF(C2714=DATE(2026,12,1),64,0)-IF(C2714=DATE(2026,11,28),38,0)-IF(C2714=DATE(2026,12,2),26,0)))</f>
        <v/>
      </c>
      <c r="I2714" s="13">
        <f>IF(AND(C2714&gt;=DATE(2026,11,29),C2714&lt;=DATE(2026,12,1)),B2714*60,0)</f>
        <v/>
      </c>
      <c r="J2714" s="13">
        <f>IF(A2714="",0,B2714*(IF(C2714=DATE(2026,11,28),38,0)+IF(C2714=DATE(2026,12,1),38,0)+IF(C2714=DATE(2026,12,2),26,0)))</f>
        <v/>
      </c>
      <c r="K2714" s="13">
        <f>IF(C2714=Options!$B$9,B2714*12,0)</f>
        <v/>
      </c>
      <c r="L2714" s="13">
        <f>IF(C2714=Options!$B$9,B2714*Options!$Z$8,0)</f>
        <v/>
      </c>
      <c r="M2714" s="13" t="n">
        <v>0</v>
      </c>
      <c r="N2714" s="13">
        <f>SUM(E2714:M2714)</f>
        <v/>
      </c>
    </row>
    <row r="2715">
      <c r="A2715" s="5">
        <f>IF(AND(C2715&gt;=Options!$B$9,C2715&lt;=Options!$B$10),"Boston","")</f>
        <v/>
      </c>
      <c r="B2715" s="5">
        <f>IF(A2715="","",24)</f>
        <v/>
      </c>
      <c r="C2715" s="17" t="n">
        <v>46451</v>
      </c>
      <c r="D2715" s="5">
        <f>IF(A2715="","",IF(C2715=DATE(2026,11,29),"培训；注册午餐；早餐参数",IF(C2715=DATE(2026,11,30),"培训；注册午餐",IF(C2715=DATE(2026,12,1),"培训；注册午餐；机构晚餐",IF(C2715=Options!$B$9,"抵达；"&amp;IF(C2715=DATE(2026,11,28),"机构晚餐","无统一供餐"),IF(C2715=Options!$B$10,"返程；"&amp;IF(C2715=DATE(2026,12,2),"机构午餐","无统一供餐"),"差旅状态；无统一日程"))))))</f>
        <v/>
      </c>
      <c r="E2715" s="13">
        <f>IF(C2715=Options!$B$9,Options!$C$21,0)</f>
        <v/>
      </c>
      <c r="F2715" s="13">
        <f>IF(AND(A2715&lt;&gt;"",C2715&lt;Options!$B$10),B2715*Options!$X$8,0)</f>
        <v/>
      </c>
      <c r="G2715" s="13">
        <f>F2715*12%</f>
        <v/>
      </c>
      <c r="H2715" s="13">
        <f>IF(A2715="",0,B2715*(92*IF(OR(C2715=Options!$B$9,C2715=Options!$B$10),75%,100%)-IF(C2715=DATE(2026,11,29),26+IF(Options!$B$8="是",23,0),0)-IF(C2715=DATE(2026,11,30),26,0)-IF(C2715=DATE(2026,12,1),64,0)-IF(C2715=DATE(2026,11,28),38,0)-IF(C2715=DATE(2026,12,2),26,0)))</f>
        <v/>
      </c>
      <c r="I2715" s="13">
        <f>IF(AND(C2715&gt;=DATE(2026,11,29),C2715&lt;=DATE(2026,12,1)),B2715*60,0)</f>
        <v/>
      </c>
      <c r="J2715" s="13">
        <f>IF(A2715="",0,B2715*(IF(C2715=DATE(2026,11,28),38,0)+IF(C2715=DATE(2026,12,1),38,0)+IF(C2715=DATE(2026,12,2),26,0)))</f>
        <v/>
      </c>
      <c r="K2715" s="13">
        <f>IF(C2715=Options!$B$9,B2715*12,0)</f>
        <v/>
      </c>
      <c r="L2715" s="13">
        <f>IF(C2715=Options!$B$9,B2715*Options!$Z$8,0)</f>
        <v/>
      </c>
      <c r="M2715" s="13" t="n">
        <v>0</v>
      </c>
      <c r="N2715" s="13">
        <f>SUM(E2715:M2715)</f>
        <v/>
      </c>
    </row>
    <row r="2716">
      <c r="A2716" s="5">
        <f>IF(AND(C2716&gt;=Options!$B$9,C2716&lt;=Options!$B$10),"Boston","")</f>
        <v/>
      </c>
      <c r="B2716" s="5">
        <f>IF(A2716="","",24)</f>
        <v/>
      </c>
      <c r="C2716" s="17" t="n">
        <v>46452</v>
      </c>
      <c r="D2716" s="5">
        <f>IF(A2716="","",IF(C2716=DATE(2026,11,29),"培训；注册午餐；早餐参数",IF(C2716=DATE(2026,11,30),"培训；注册午餐",IF(C2716=DATE(2026,12,1),"培训；注册午餐；机构晚餐",IF(C2716=Options!$B$9,"抵达；"&amp;IF(C2716=DATE(2026,11,28),"机构晚餐","无统一供餐"),IF(C2716=Options!$B$10,"返程；"&amp;IF(C2716=DATE(2026,12,2),"机构午餐","无统一供餐"),"差旅状态；无统一日程"))))))</f>
        <v/>
      </c>
      <c r="E2716" s="13">
        <f>IF(C2716=Options!$B$9,Options!$C$21,0)</f>
        <v/>
      </c>
      <c r="F2716" s="13">
        <f>IF(AND(A2716&lt;&gt;"",C2716&lt;Options!$B$10),B2716*Options!$X$8,0)</f>
        <v/>
      </c>
      <c r="G2716" s="13">
        <f>F2716*12%</f>
        <v/>
      </c>
      <c r="H2716" s="13">
        <f>IF(A2716="",0,B2716*(92*IF(OR(C2716=Options!$B$9,C2716=Options!$B$10),75%,100%)-IF(C2716=DATE(2026,11,29),26+IF(Options!$B$8="是",23,0),0)-IF(C2716=DATE(2026,11,30),26,0)-IF(C2716=DATE(2026,12,1),64,0)-IF(C2716=DATE(2026,11,28),38,0)-IF(C2716=DATE(2026,12,2),26,0)))</f>
        <v/>
      </c>
      <c r="I2716" s="13">
        <f>IF(AND(C2716&gt;=DATE(2026,11,29),C2716&lt;=DATE(2026,12,1)),B2716*60,0)</f>
        <v/>
      </c>
      <c r="J2716" s="13">
        <f>IF(A2716="",0,B2716*(IF(C2716=DATE(2026,11,28),38,0)+IF(C2716=DATE(2026,12,1),38,0)+IF(C2716=DATE(2026,12,2),26,0)))</f>
        <v/>
      </c>
      <c r="K2716" s="13">
        <f>IF(C2716=Options!$B$9,B2716*12,0)</f>
        <v/>
      </c>
      <c r="L2716" s="13">
        <f>IF(C2716=Options!$B$9,B2716*Options!$Z$8,0)</f>
        <v/>
      </c>
      <c r="M2716" s="13" t="n">
        <v>0</v>
      </c>
      <c r="N2716" s="13">
        <f>SUM(E2716:M2716)</f>
        <v/>
      </c>
    </row>
    <row r="2717">
      <c r="A2717" s="5">
        <f>IF(AND(C2717&gt;=Options!$B$9,C2717&lt;=Options!$B$10),"Boston","")</f>
        <v/>
      </c>
      <c r="B2717" s="5">
        <f>IF(A2717="","",24)</f>
        <v/>
      </c>
      <c r="C2717" s="17" t="n">
        <v>46453</v>
      </c>
      <c r="D2717" s="5">
        <f>IF(A2717="","",IF(C2717=DATE(2026,11,29),"培训；注册午餐；早餐参数",IF(C2717=DATE(2026,11,30),"培训；注册午餐",IF(C2717=DATE(2026,12,1),"培训；注册午餐；机构晚餐",IF(C2717=Options!$B$9,"抵达；"&amp;IF(C2717=DATE(2026,11,28),"机构晚餐","无统一供餐"),IF(C2717=Options!$B$10,"返程；"&amp;IF(C2717=DATE(2026,12,2),"机构午餐","无统一供餐"),"差旅状态；无统一日程"))))))</f>
        <v/>
      </c>
      <c r="E2717" s="13">
        <f>IF(C2717=Options!$B$9,Options!$C$21,0)</f>
        <v/>
      </c>
      <c r="F2717" s="13">
        <f>IF(AND(A2717&lt;&gt;"",C2717&lt;Options!$B$10),B2717*Options!$X$8,0)</f>
        <v/>
      </c>
      <c r="G2717" s="13">
        <f>F2717*12%</f>
        <v/>
      </c>
      <c r="H2717" s="13">
        <f>IF(A2717="",0,B2717*(92*IF(OR(C2717=Options!$B$9,C2717=Options!$B$10),75%,100%)-IF(C2717=DATE(2026,11,29),26+IF(Options!$B$8="是",23,0),0)-IF(C2717=DATE(2026,11,30),26,0)-IF(C2717=DATE(2026,12,1),64,0)-IF(C2717=DATE(2026,11,28),38,0)-IF(C2717=DATE(2026,12,2),26,0)))</f>
        <v/>
      </c>
      <c r="I2717" s="13">
        <f>IF(AND(C2717&gt;=DATE(2026,11,29),C2717&lt;=DATE(2026,12,1)),B2717*60,0)</f>
        <v/>
      </c>
      <c r="J2717" s="13">
        <f>IF(A2717="",0,B2717*(IF(C2717=DATE(2026,11,28),38,0)+IF(C2717=DATE(2026,12,1),38,0)+IF(C2717=DATE(2026,12,2),26,0)))</f>
        <v/>
      </c>
      <c r="K2717" s="13">
        <f>IF(C2717=Options!$B$9,B2717*12,0)</f>
        <v/>
      </c>
      <c r="L2717" s="13">
        <f>IF(C2717=Options!$B$9,B2717*Options!$Z$8,0)</f>
        <v/>
      </c>
      <c r="M2717" s="13" t="n">
        <v>0</v>
      </c>
      <c r="N2717" s="13">
        <f>SUM(E2717:M2717)</f>
        <v/>
      </c>
    </row>
    <row r="2718">
      <c r="A2718" s="5">
        <f>IF(AND(C2718&gt;=Options!$B$9,C2718&lt;=Options!$B$10),"Boston","")</f>
        <v/>
      </c>
      <c r="B2718" s="5">
        <f>IF(A2718="","",24)</f>
        <v/>
      </c>
      <c r="C2718" s="17" t="n">
        <v>46454</v>
      </c>
      <c r="D2718" s="5">
        <f>IF(A2718="","",IF(C2718=DATE(2026,11,29),"培训；注册午餐；早餐参数",IF(C2718=DATE(2026,11,30),"培训；注册午餐",IF(C2718=DATE(2026,12,1),"培训；注册午餐；机构晚餐",IF(C2718=Options!$B$9,"抵达；"&amp;IF(C2718=DATE(2026,11,28),"机构晚餐","无统一供餐"),IF(C2718=Options!$B$10,"返程；"&amp;IF(C2718=DATE(2026,12,2),"机构午餐","无统一供餐"),"差旅状态；无统一日程"))))))</f>
        <v/>
      </c>
      <c r="E2718" s="13">
        <f>IF(C2718=Options!$B$9,Options!$C$21,0)</f>
        <v/>
      </c>
      <c r="F2718" s="13">
        <f>IF(AND(A2718&lt;&gt;"",C2718&lt;Options!$B$10),B2718*Options!$X$8,0)</f>
        <v/>
      </c>
      <c r="G2718" s="13">
        <f>F2718*12%</f>
        <v/>
      </c>
      <c r="H2718" s="13">
        <f>IF(A2718="",0,B2718*(92*IF(OR(C2718=Options!$B$9,C2718=Options!$B$10),75%,100%)-IF(C2718=DATE(2026,11,29),26+IF(Options!$B$8="是",23,0),0)-IF(C2718=DATE(2026,11,30),26,0)-IF(C2718=DATE(2026,12,1),64,0)-IF(C2718=DATE(2026,11,28),38,0)-IF(C2718=DATE(2026,12,2),26,0)))</f>
        <v/>
      </c>
      <c r="I2718" s="13">
        <f>IF(AND(C2718&gt;=DATE(2026,11,29),C2718&lt;=DATE(2026,12,1)),B2718*60,0)</f>
        <v/>
      </c>
      <c r="J2718" s="13">
        <f>IF(A2718="",0,B2718*(IF(C2718=DATE(2026,11,28),38,0)+IF(C2718=DATE(2026,12,1),38,0)+IF(C2718=DATE(2026,12,2),26,0)))</f>
        <v/>
      </c>
      <c r="K2718" s="13">
        <f>IF(C2718=Options!$B$9,B2718*12,0)</f>
        <v/>
      </c>
      <c r="L2718" s="13">
        <f>IF(C2718=Options!$B$9,B2718*Options!$Z$8,0)</f>
        <v/>
      </c>
      <c r="M2718" s="13" t="n">
        <v>0</v>
      </c>
      <c r="N2718" s="13">
        <f>SUM(E2718:M2718)</f>
        <v/>
      </c>
    </row>
    <row r="2719">
      <c r="A2719" s="5">
        <f>IF(AND(C2719&gt;=Options!$B$9,C2719&lt;=Options!$B$10),"Boston","")</f>
        <v/>
      </c>
      <c r="B2719" s="5">
        <f>IF(A2719="","",24)</f>
        <v/>
      </c>
      <c r="C2719" s="17" t="n">
        <v>46455</v>
      </c>
      <c r="D2719" s="5">
        <f>IF(A2719="","",IF(C2719=DATE(2026,11,29),"培训；注册午餐；早餐参数",IF(C2719=DATE(2026,11,30),"培训；注册午餐",IF(C2719=DATE(2026,12,1),"培训；注册午餐；机构晚餐",IF(C2719=Options!$B$9,"抵达；"&amp;IF(C2719=DATE(2026,11,28),"机构晚餐","无统一供餐"),IF(C2719=Options!$B$10,"返程；"&amp;IF(C2719=DATE(2026,12,2),"机构午餐","无统一供餐"),"差旅状态；无统一日程"))))))</f>
        <v/>
      </c>
      <c r="E2719" s="13">
        <f>IF(C2719=Options!$B$9,Options!$C$21,0)</f>
        <v/>
      </c>
      <c r="F2719" s="13">
        <f>IF(AND(A2719&lt;&gt;"",C2719&lt;Options!$B$10),B2719*Options!$X$8,0)</f>
        <v/>
      </c>
      <c r="G2719" s="13">
        <f>F2719*12%</f>
        <v/>
      </c>
      <c r="H2719" s="13">
        <f>IF(A2719="",0,B2719*(92*IF(OR(C2719=Options!$B$9,C2719=Options!$B$10),75%,100%)-IF(C2719=DATE(2026,11,29),26+IF(Options!$B$8="是",23,0),0)-IF(C2719=DATE(2026,11,30),26,0)-IF(C2719=DATE(2026,12,1),64,0)-IF(C2719=DATE(2026,11,28),38,0)-IF(C2719=DATE(2026,12,2),26,0)))</f>
        <v/>
      </c>
      <c r="I2719" s="13">
        <f>IF(AND(C2719&gt;=DATE(2026,11,29),C2719&lt;=DATE(2026,12,1)),B2719*60,0)</f>
        <v/>
      </c>
      <c r="J2719" s="13">
        <f>IF(A2719="",0,B2719*(IF(C2719=DATE(2026,11,28),38,0)+IF(C2719=DATE(2026,12,1),38,0)+IF(C2719=DATE(2026,12,2),26,0)))</f>
        <v/>
      </c>
      <c r="K2719" s="13">
        <f>IF(C2719=Options!$B$9,B2719*12,0)</f>
        <v/>
      </c>
      <c r="L2719" s="13">
        <f>IF(C2719=Options!$B$9,B2719*Options!$Z$8,0)</f>
        <v/>
      </c>
      <c r="M2719" s="13" t="n">
        <v>0</v>
      </c>
      <c r="N2719" s="13">
        <f>SUM(E2719:M2719)</f>
        <v/>
      </c>
    </row>
    <row r="2720">
      <c r="A2720" s="5">
        <f>IF(AND(C2720&gt;=Options!$B$9,C2720&lt;=Options!$B$10),"Boston","")</f>
        <v/>
      </c>
      <c r="B2720" s="5">
        <f>IF(A2720="","",24)</f>
        <v/>
      </c>
      <c r="C2720" s="17" t="n">
        <v>46456</v>
      </c>
      <c r="D2720" s="5">
        <f>IF(A2720="","",IF(C2720=DATE(2026,11,29),"培训；注册午餐；早餐参数",IF(C2720=DATE(2026,11,30),"培训；注册午餐",IF(C2720=DATE(2026,12,1),"培训；注册午餐；机构晚餐",IF(C2720=Options!$B$9,"抵达；"&amp;IF(C2720=DATE(2026,11,28),"机构晚餐","无统一供餐"),IF(C2720=Options!$B$10,"返程；"&amp;IF(C2720=DATE(2026,12,2),"机构午餐","无统一供餐"),"差旅状态；无统一日程"))))))</f>
        <v/>
      </c>
      <c r="E2720" s="13">
        <f>IF(C2720=Options!$B$9,Options!$C$21,0)</f>
        <v/>
      </c>
      <c r="F2720" s="13">
        <f>IF(AND(A2720&lt;&gt;"",C2720&lt;Options!$B$10),B2720*Options!$X$8,0)</f>
        <v/>
      </c>
      <c r="G2720" s="13">
        <f>F2720*12%</f>
        <v/>
      </c>
      <c r="H2720" s="13">
        <f>IF(A2720="",0,B2720*(92*IF(OR(C2720=Options!$B$9,C2720=Options!$B$10),75%,100%)-IF(C2720=DATE(2026,11,29),26+IF(Options!$B$8="是",23,0),0)-IF(C2720=DATE(2026,11,30),26,0)-IF(C2720=DATE(2026,12,1),64,0)-IF(C2720=DATE(2026,11,28),38,0)-IF(C2720=DATE(2026,12,2),26,0)))</f>
        <v/>
      </c>
      <c r="I2720" s="13">
        <f>IF(AND(C2720&gt;=DATE(2026,11,29),C2720&lt;=DATE(2026,12,1)),B2720*60,0)</f>
        <v/>
      </c>
      <c r="J2720" s="13">
        <f>IF(A2720="",0,B2720*(IF(C2720=DATE(2026,11,28),38,0)+IF(C2720=DATE(2026,12,1),38,0)+IF(C2720=DATE(2026,12,2),26,0)))</f>
        <v/>
      </c>
      <c r="K2720" s="13">
        <f>IF(C2720=Options!$B$9,B2720*12,0)</f>
        <v/>
      </c>
      <c r="L2720" s="13">
        <f>IF(C2720=Options!$B$9,B2720*Options!$Z$8,0)</f>
        <v/>
      </c>
      <c r="M2720" s="13" t="n">
        <v>0</v>
      </c>
      <c r="N2720" s="13">
        <f>SUM(E2720:M2720)</f>
        <v/>
      </c>
    </row>
    <row r="2721">
      <c r="A2721" s="5">
        <f>IF(AND(C2721&gt;=Options!$B$9,C2721&lt;=Options!$B$10),"Boston","")</f>
        <v/>
      </c>
      <c r="B2721" s="5">
        <f>IF(A2721="","",24)</f>
        <v/>
      </c>
      <c r="C2721" s="17" t="n">
        <v>46457</v>
      </c>
      <c r="D2721" s="5">
        <f>IF(A2721="","",IF(C2721=DATE(2026,11,29),"培训；注册午餐；早餐参数",IF(C2721=DATE(2026,11,30),"培训；注册午餐",IF(C2721=DATE(2026,12,1),"培训；注册午餐；机构晚餐",IF(C2721=Options!$B$9,"抵达；"&amp;IF(C2721=DATE(2026,11,28),"机构晚餐","无统一供餐"),IF(C2721=Options!$B$10,"返程；"&amp;IF(C2721=DATE(2026,12,2),"机构午餐","无统一供餐"),"差旅状态；无统一日程"))))))</f>
        <v/>
      </c>
      <c r="E2721" s="13">
        <f>IF(C2721=Options!$B$9,Options!$C$21,0)</f>
        <v/>
      </c>
      <c r="F2721" s="13">
        <f>IF(AND(A2721&lt;&gt;"",C2721&lt;Options!$B$10),B2721*Options!$X$8,0)</f>
        <v/>
      </c>
      <c r="G2721" s="13">
        <f>F2721*12%</f>
        <v/>
      </c>
      <c r="H2721" s="13">
        <f>IF(A2721="",0,B2721*(92*IF(OR(C2721=Options!$B$9,C2721=Options!$B$10),75%,100%)-IF(C2721=DATE(2026,11,29),26+IF(Options!$B$8="是",23,0),0)-IF(C2721=DATE(2026,11,30),26,0)-IF(C2721=DATE(2026,12,1),64,0)-IF(C2721=DATE(2026,11,28),38,0)-IF(C2721=DATE(2026,12,2),26,0)))</f>
        <v/>
      </c>
      <c r="I2721" s="13">
        <f>IF(AND(C2721&gt;=DATE(2026,11,29),C2721&lt;=DATE(2026,12,1)),B2721*60,0)</f>
        <v/>
      </c>
      <c r="J2721" s="13">
        <f>IF(A2721="",0,B2721*(IF(C2721=DATE(2026,11,28),38,0)+IF(C2721=DATE(2026,12,1),38,0)+IF(C2721=DATE(2026,12,2),26,0)))</f>
        <v/>
      </c>
      <c r="K2721" s="13">
        <f>IF(C2721=Options!$B$9,B2721*12,0)</f>
        <v/>
      </c>
      <c r="L2721" s="13">
        <f>IF(C2721=Options!$B$9,B2721*Options!$Z$8,0)</f>
        <v/>
      </c>
      <c r="M2721" s="13" t="n">
        <v>0</v>
      </c>
      <c r="N2721" s="13">
        <f>SUM(E2721:M2721)</f>
        <v/>
      </c>
    </row>
    <row r="2722">
      <c r="A2722" s="5">
        <f>IF(AND(C2722&gt;=Options!$B$9,C2722&lt;=Options!$B$10),"Boston","")</f>
        <v/>
      </c>
      <c r="B2722" s="5">
        <f>IF(A2722="","",24)</f>
        <v/>
      </c>
      <c r="C2722" s="17" t="n">
        <v>46458</v>
      </c>
      <c r="D2722" s="5">
        <f>IF(A2722="","",IF(C2722=DATE(2026,11,29),"培训；注册午餐；早餐参数",IF(C2722=DATE(2026,11,30),"培训；注册午餐",IF(C2722=DATE(2026,12,1),"培训；注册午餐；机构晚餐",IF(C2722=Options!$B$9,"抵达；"&amp;IF(C2722=DATE(2026,11,28),"机构晚餐","无统一供餐"),IF(C2722=Options!$B$10,"返程；"&amp;IF(C2722=DATE(2026,12,2),"机构午餐","无统一供餐"),"差旅状态；无统一日程"))))))</f>
        <v/>
      </c>
      <c r="E2722" s="13">
        <f>IF(C2722=Options!$B$9,Options!$C$21,0)</f>
        <v/>
      </c>
      <c r="F2722" s="13">
        <f>IF(AND(A2722&lt;&gt;"",C2722&lt;Options!$B$10),B2722*Options!$X$8,0)</f>
        <v/>
      </c>
      <c r="G2722" s="13">
        <f>F2722*12%</f>
        <v/>
      </c>
      <c r="H2722" s="13">
        <f>IF(A2722="",0,B2722*(92*IF(OR(C2722=Options!$B$9,C2722=Options!$B$10),75%,100%)-IF(C2722=DATE(2026,11,29),26+IF(Options!$B$8="是",23,0),0)-IF(C2722=DATE(2026,11,30),26,0)-IF(C2722=DATE(2026,12,1),64,0)-IF(C2722=DATE(2026,11,28),38,0)-IF(C2722=DATE(2026,12,2),26,0)))</f>
        <v/>
      </c>
      <c r="I2722" s="13">
        <f>IF(AND(C2722&gt;=DATE(2026,11,29),C2722&lt;=DATE(2026,12,1)),B2722*60,0)</f>
        <v/>
      </c>
      <c r="J2722" s="13">
        <f>IF(A2722="",0,B2722*(IF(C2722=DATE(2026,11,28),38,0)+IF(C2722=DATE(2026,12,1),38,0)+IF(C2722=DATE(2026,12,2),26,0)))</f>
        <v/>
      </c>
      <c r="K2722" s="13">
        <f>IF(C2722=Options!$B$9,B2722*12,0)</f>
        <v/>
      </c>
      <c r="L2722" s="13">
        <f>IF(C2722=Options!$B$9,B2722*Options!$Z$8,0)</f>
        <v/>
      </c>
      <c r="M2722" s="13" t="n">
        <v>0</v>
      </c>
      <c r="N2722" s="13">
        <f>SUM(E2722:M2722)</f>
        <v/>
      </c>
    </row>
    <row r="2723">
      <c r="A2723" s="5">
        <f>IF(AND(C2723&gt;=Options!$B$9,C2723&lt;=Options!$B$10),"Boston","")</f>
        <v/>
      </c>
      <c r="B2723" s="5">
        <f>IF(A2723="","",24)</f>
        <v/>
      </c>
      <c r="C2723" s="17" t="n">
        <v>46459</v>
      </c>
      <c r="D2723" s="5">
        <f>IF(A2723="","",IF(C2723=DATE(2026,11,29),"培训；注册午餐；早餐参数",IF(C2723=DATE(2026,11,30),"培训；注册午餐",IF(C2723=DATE(2026,12,1),"培训；注册午餐；机构晚餐",IF(C2723=Options!$B$9,"抵达；"&amp;IF(C2723=DATE(2026,11,28),"机构晚餐","无统一供餐"),IF(C2723=Options!$B$10,"返程；"&amp;IF(C2723=DATE(2026,12,2),"机构午餐","无统一供餐"),"差旅状态；无统一日程"))))))</f>
        <v/>
      </c>
      <c r="E2723" s="13">
        <f>IF(C2723=Options!$B$9,Options!$C$21,0)</f>
        <v/>
      </c>
      <c r="F2723" s="13">
        <f>IF(AND(A2723&lt;&gt;"",C2723&lt;Options!$B$10),B2723*Options!$X$8,0)</f>
        <v/>
      </c>
      <c r="G2723" s="13">
        <f>F2723*12%</f>
        <v/>
      </c>
      <c r="H2723" s="13">
        <f>IF(A2723="",0,B2723*(92*IF(OR(C2723=Options!$B$9,C2723=Options!$B$10),75%,100%)-IF(C2723=DATE(2026,11,29),26+IF(Options!$B$8="是",23,0),0)-IF(C2723=DATE(2026,11,30),26,0)-IF(C2723=DATE(2026,12,1),64,0)-IF(C2723=DATE(2026,11,28),38,0)-IF(C2723=DATE(2026,12,2),26,0)))</f>
        <v/>
      </c>
      <c r="I2723" s="13">
        <f>IF(AND(C2723&gt;=DATE(2026,11,29),C2723&lt;=DATE(2026,12,1)),B2723*60,0)</f>
        <v/>
      </c>
      <c r="J2723" s="13">
        <f>IF(A2723="",0,B2723*(IF(C2723=DATE(2026,11,28),38,0)+IF(C2723=DATE(2026,12,1),38,0)+IF(C2723=DATE(2026,12,2),26,0)))</f>
        <v/>
      </c>
      <c r="K2723" s="13">
        <f>IF(C2723=Options!$B$9,B2723*12,0)</f>
        <v/>
      </c>
      <c r="L2723" s="13">
        <f>IF(C2723=Options!$B$9,B2723*Options!$Z$8,0)</f>
        <v/>
      </c>
      <c r="M2723" s="13" t="n">
        <v>0</v>
      </c>
      <c r="N2723" s="13">
        <f>SUM(E2723:M2723)</f>
        <v/>
      </c>
    </row>
    <row r="2724">
      <c r="A2724" s="5">
        <f>IF(AND(C2724&gt;=Options!$B$9,C2724&lt;=Options!$B$10),"Boston","")</f>
        <v/>
      </c>
      <c r="B2724" s="5">
        <f>IF(A2724="","",24)</f>
        <v/>
      </c>
      <c r="C2724" s="17" t="n">
        <v>46460</v>
      </c>
      <c r="D2724" s="5">
        <f>IF(A2724="","",IF(C2724=DATE(2026,11,29),"培训；注册午餐；早餐参数",IF(C2724=DATE(2026,11,30),"培训；注册午餐",IF(C2724=DATE(2026,12,1),"培训；注册午餐；机构晚餐",IF(C2724=Options!$B$9,"抵达；"&amp;IF(C2724=DATE(2026,11,28),"机构晚餐","无统一供餐"),IF(C2724=Options!$B$10,"返程；"&amp;IF(C2724=DATE(2026,12,2),"机构午餐","无统一供餐"),"差旅状态；无统一日程"))))))</f>
        <v/>
      </c>
      <c r="E2724" s="13">
        <f>IF(C2724=Options!$B$9,Options!$C$21,0)</f>
        <v/>
      </c>
      <c r="F2724" s="13">
        <f>IF(AND(A2724&lt;&gt;"",C2724&lt;Options!$B$10),B2724*Options!$X$8,0)</f>
        <v/>
      </c>
      <c r="G2724" s="13">
        <f>F2724*12%</f>
        <v/>
      </c>
      <c r="H2724" s="13">
        <f>IF(A2724="",0,B2724*(92*IF(OR(C2724=Options!$B$9,C2724=Options!$B$10),75%,100%)-IF(C2724=DATE(2026,11,29),26+IF(Options!$B$8="是",23,0),0)-IF(C2724=DATE(2026,11,30),26,0)-IF(C2724=DATE(2026,12,1),64,0)-IF(C2724=DATE(2026,11,28),38,0)-IF(C2724=DATE(2026,12,2),26,0)))</f>
        <v/>
      </c>
      <c r="I2724" s="13">
        <f>IF(AND(C2724&gt;=DATE(2026,11,29),C2724&lt;=DATE(2026,12,1)),B2724*60,0)</f>
        <v/>
      </c>
      <c r="J2724" s="13">
        <f>IF(A2724="",0,B2724*(IF(C2724=DATE(2026,11,28),38,0)+IF(C2724=DATE(2026,12,1),38,0)+IF(C2724=DATE(2026,12,2),26,0)))</f>
        <v/>
      </c>
      <c r="K2724" s="13">
        <f>IF(C2724=Options!$B$9,B2724*12,0)</f>
        <v/>
      </c>
      <c r="L2724" s="13">
        <f>IF(C2724=Options!$B$9,B2724*Options!$Z$8,0)</f>
        <v/>
      </c>
      <c r="M2724" s="13" t="n">
        <v>0</v>
      </c>
      <c r="N2724" s="13">
        <f>SUM(E2724:M2724)</f>
        <v/>
      </c>
    </row>
    <row r="2725">
      <c r="A2725" s="5">
        <f>IF(AND(C2725&gt;=Options!$B$9,C2725&lt;=Options!$B$10),"Boston","")</f>
        <v/>
      </c>
      <c r="B2725" s="5">
        <f>IF(A2725="","",24)</f>
        <v/>
      </c>
      <c r="C2725" s="17" t="n">
        <v>46461</v>
      </c>
      <c r="D2725" s="5">
        <f>IF(A2725="","",IF(C2725=DATE(2026,11,29),"培训；注册午餐；早餐参数",IF(C2725=DATE(2026,11,30),"培训；注册午餐",IF(C2725=DATE(2026,12,1),"培训；注册午餐；机构晚餐",IF(C2725=Options!$B$9,"抵达；"&amp;IF(C2725=DATE(2026,11,28),"机构晚餐","无统一供餐"),IF(C2725=Options!$B$10,"返程；"&amp;IF(C2725=DATE(2026,12,2),"机构午餐","无统一供餐"),"差旅状态；无统一日程"))))))</f>
        <v/>
      </c>
      <c r="E2725" s="13">
        <f>IF(C2725=Options!$B$9,Options!$C$21,0)</f>
        <v/>
      </c>
      <c r="F2725" s="13">
        <f>IF(AND(A2725&lt;&gt;"",C2725&lt;Options!$B$10),B2725*Options!$X$8,0)</f>
        <v/>
      </c>
      <c r="G2725" s="13">
        <f>F2725*12%</f>
        <v/>
      </c>
      <c r="H2725" s="13">
        <f>IF(A2725="",0,B2725*(92*IF(OR(C2725=Options!$B$9,C2725=Options!$B$10),75%,100%)-IF(C2725=DATE(2026,11,29),26+IF(Options!$B$8="是",23,0),0)-IF(C2725=DATE(2026,11,30),26,0)-IF(C2725=DATE(2026,12,1),64,0)-IF(C2725=DATE(2026,11,28),38,0)-IF(C2725=DATE(2026,12,2),26,0)))</f>
        <v/>
      </c>
      <c r="I2725" s="13">
        <f>IF(AND(C2725&gt;=DATE(2026,11,29),C2725&lt;=DATE(2026,12,1)),B2725*60,0)</f>
        <v/>
      </c>
      <c r="J2725" s="13">
        <f>IF(A2725="",0,B2725*(IF(C2725=DATE(2026,11,28),38,0)+IF(C2725=DATE(2026,12,1),38,0)+IF(C2725=DATE(2026,12,2),26,0)))</f>
        <v/>
      </c>
      <c r="K2725" s="13">
        <f>IF(C2725=Options!$B$9,B2725*12,0)</f>
        <v/>
      </c>
      <c r="L2725" s="13">
        <f>IF(C2725=Options!$B$9,B2725*Options!$Z$8,0)</f>
        <v/>
      </c>
      <c r="M2725" s="13" t="n">
        <v>0</v>
      </c>
      <c r="N2725" s="13">
        <f>SUM(E2725:M2725)</f>
        <v/>
      </c>
    </row>
    <row r="2726">
      <c r="A2726" s="5">
        <f>IF(AND(C2726&gt;=Options!$B$9,C2726&lt;=Options!$B$10),"Boston","")</f>
        <v/>
      </c>
      <c r="B2726" s="5">
        <f>IF(A2726="","",24)</f>
        <v/>
      </c>
      <c r="C2726" s="17" t="n">
        <v>46462</v>
      </c>
      <c r="D2726" s="5">
        <f>IF(A2726="","",IF(C2726=DATE(2026,11,29),"培训；注册午餐；早餐参数",IF(C2726=DATE(2026,11,30),"培训；注册午餐",IF(C2726=DATE(2026,12,1),"培训；注册午餐；机构晚餐",IF(C2726=Options!$B$9,"抵达；"&amp;IF(C2726=DATE(2026,11,28),"机构晚餐","无统一供餐"),IF(C2726=Options!$B$10,"返程；"&amp;IF(C2726=DATE(2026,12,2),"机构午餐","无统一供餐"),"差旅状态；无统一日程"))))))</f>
        <v/>
      </c>
      <c r="E2726" s="13">
        <f>IF(C2726=Options!$B$9,Options!$C$21,0)</f>
        <v/>
      </c>
      <c r="F2726" s="13">
        <f>IF(AND(A2726&lt;&gt;"",C2726&lt;Options!$B$10),B2726*Options!$X$8,0)</f>
        <v/>
      </c>
      <c r="G2726" s="13">
        <f>F2726*12%</f>
        <v/>
      </c>
      <c r="H2726" s="13">
        <f>IF(A2726="",0,B2726*(92*IF(OR(C2726=Options!$B$9,C2726=Options!$B$10),75%,100%)-IF(C2726=DATE(2026,11,29),26+IF(Options!$B$8="是",23,0),0)-IF(C2726=DATE(2026,11,30),26,0)-IF(C2726=DATE(2026,12,1),64,0)-IF(C2726=DATE(2026,11,28),38,0)-IF(C2726=DATE(2026,12,2),26,0)))</f>
        <v/>
      </c>
      <c r="I2726" s="13">
        <f>IF(AND(C2726&gt;=DATE(2026,11,29),C2726&lt;=DATE(2026,12,1)),B2726*60,0)</f>
        <v/>
      </c>
      <c r="J2726" s="13">
        <f>IF(A2726="",0,B2726*(IF(C2726=DATE(2026,11,28),38,0)+IF(C2726=DATE(2026,12,1),38,0)+IF(C2726=DATE(2026,12,2),26,0)))</f>
        <v/>
      </c>
      <c r="K2726" s="13">
        <f>IF(C2726=Options!$B$9,B2726*12,0)</f>
        <v/>
      </c>
      <c r="L2726" s="13">
        <f>IF(C2726=Options!$B$9,B2726*Options!$Z$8,0)</f>
        <v/>
      </c>
      <c r="M2726" s="13" t="n">
        <v>0</v>
      </c>
      <c r="N2726" s="13">
        <f>SUM(E2726:M2726)</f>
        <v/>
      </c>
    </row>
    <row r="2727">
      <c r="A2727" s="5">
        <f>IF(AND(C2727&gt;=Options!$B$9,C2727&lt;=Options!$B$10),"Boston","")</f>
        <v/>
      </c>
      <c r="B2727" s="5">
        <f>IF(A2727="","",24)</f>
        <v/>
      </c>
      <c r="C2727" s="17" t="n">
        <v>46463</v>
      </c>
      <c r="D2727" s="5">
        <f>IF(A2727="","",IF(C2727=DATE(2026,11,29),"培训；注册午餐；早餐参数",IF(C2727=DATE(2026,11,30),"培训；注册午餐",IF(C2727=DATE(2026,12,1),"培训；注册午餐；机构晚餐",IF(C2727=Options!$B$9,"抵达；"&amp;IF(C2727=DATE(2026,11,28),"机构晚餐","无统一供餐"),IF(C2727=Options!$B$10,"返程；"&amp;IF(C2727=DATE(2026,12,2),"机构午餐","无统一供餐"),"差旅状态；无统一日程"))))))</f>
        <v/>
      </c>
      <c r="E2727" s="13">
        <f>IF(C2727=Options!$B$9,Options!$C$21,0)</f>
        <v/>
      </c>
      <c r="F2727" s="13">
        <f>IF(AND(A2727&lt;&gt;"",C2727&lt;Options!$B$10),B2727*Options!$X$8,0)</f>
        <v/>
      </c>
      <c r="G2727" s="13">
        <f>F2727*12%</f>
        <v/>
      </c>
      <c r="H2727" s="13">
        <f>IF(A2727="",0,B2727*(92*IF(OR(C2727=Options!$B$9,C2727=Options!$B$10),75%,100%)-IF(C2727=DATE(2026,11,29),26+IF(Options!$B$8="是",23,0),0)-IF(C2727=DATE(2026,11,30),26,0)-IF(C2727=DATE(2026,12,1),64,0)-IF(C2727=DATE(2026,11,28),38,0)-IF(C2727=DATE(2026,12,2),26,0)))</f>
        <v/>
      </c>
      <c r="I2727" s="13">
        <f>IF(AND(C2727&gt;=DATE(2026,11,29),C2727&lt;=DATE(2026,12,1)),B2727*60,0)</f>
        <v/>
      </c>
      <c r="J2727" s="13">
        <f>IF(A2727="",0,B2727*(IF(C2727=DATE(2026,11,28),38,0)+IF(C2727=DATE(2026,12,1),38,0)+IF(C2727=DATE(2026,12,2),26,0)))</f>
        <v/>
      </c>
      <c r="K2727" s="13">
        <f>IF(C2727=Options!$B$9,B2727*12,0)</f>
        <v/>
      </c>
      <c r="L2727" s="13">
        <f>IF(C2727=Options!$B$9,B2727*Options!$Z$8,0)</f>
        <v/>
      </c>
      <c r="M2727" s="13" t="n">
        <v>0</v>
      </c>
      <c r="N2727" s="13">
        <f>SUM(E2727:M2727)</f>
        <v/>
      </c>
    </row>
    <row r="2728">
      <c r="A2728" s="5">
        <f>IF(AND(C2728&gt;=Options!$B$9,C2728&lt;=Options!$B$10),"Boston","")</f>
        <v/>
      </c>
      <c r="B2728" s="5">
        <f>IF(A2728="","",24)</f>
        <v/>
      </c>
      <c r="C2728" s="17" t="n">
        <v>46464</v>
      </c>
      <c r="D2728" s="5">
        <f>IF(A2728="","",IF(C2728=DATE(2026,11,29),"培训；注册午餐；早餐参数",IF(C2728=DATE(2026,11,30),"培训；注册午餐",IF(C2728=DATE(2026,12,1),"培训；注册午餐；机构晚餐",IF(C2728=Options!$B$9,"抵达；"&amp;IF(C2728=DATE(2026,11,28),"机构晚餐","无统一供餐"),IF(C2728=Options!$B$10,"返程；"&amp;IF(C2728=DATE(2026,12,2),"机构午餐","无统一供餐"),"差旅状态；无统一日程"))))))</f>
        <v/>
      </c>
      <c r="E2728" s="13">
        <f>IF(C2728=Options!$B$9,Options!$C$21,0)</f>
        <v/>
      </c>
      <c r="F2728" s="13">
        <f>IF(AND(A2728&lt;&gt;"",C2728&lt;Options!$B$10),B2728*Options!$X$8,0)</f>
        <v/>
      </c>
      <c r="G2728" s="13">
        <f>F2728*12%</f>
        <v/>
      </c>
      <c r="H2728" s="13">
        <f>IF(A2728="",0,B2728*(92*IF(OR(C2728=Options!$B$9,C2728=Options!$B$10),75%,100%)-IF(C2728=DATE(2026,11,29),26+IF(Options!$B$8="是",23,0),0)-IF(C2728=DATE(2026,11,30),26,0)-IF(C2728=DATE(2026,12,1),64,0)-IF(C2728=DATE(2026,11,28),38,0)-IF(C2728=DATE(2026,12,2),26,0)))</f>
        <v/>
      </c>
      <c r="I2728" s="13">
        <f>IF(AND(C2728&gt;=DATE(2026,11,29),C2728&lt;=DATE(2026,12,1)),B2728*60,0)</f>
        <v/>
      </c>
      <c r="J2728" s="13">
        <f>IF(A2728="",0,B2728*(IF(C2728=DATE(2026,11,28),38,0)+IF(C2728=DATE(2026,12,1),38,0)+IF(C2728=DATE(2026,12,2),26,0)))</f>
        <v/>
      </c>
      <c r="K2728" s="13">
        <f>IF(C2728=Options!$B$9,B2728*12,0)</f>
        <v/>
      </c>
      <c r="L2728" s="13">
        <f>IF(C2728=Options!$B$9,B2728*Options!$Z$8,0)</f>
        <v/>
      </c>
      <c r="M2728" s="13" t="n">
        <v>0</v>
      </c>
      <c r="N2728" s="13">
        <f>SUM(E2728:M2728)</f>
        <v/>
      </c>
    </row>
    <row r="2729">
      <c r="A2729" s="5">
        <f>IF(AND(C2729&gt;=Options!$B$9,C2729&lt;=Options!$B$10),"Boston","")</f>
        <v/>
      </c>
      <c r="B2729" s="5">
        <f>IF(A2729="","",24)</f>
        <v/>
      </c>
      <c r="C2729" s="17" t="n">
        <v>46465</v>
      </c>
      <c r="D2729" s="5">
        <f>IF(A2729="","",IF(C2729=DATE(2026,11,29),"培训；注册午餐；早餐参数",IF(C2729=DATE(2026,11,30),"培训；注册午餐",IF(C2729=DATE(2026,12,1),"培训；注册午餐；机构晚餐",IF(C2729=Options!$B$9,"抵达；"&amp;IF(C2729=DATE(2026,11,28),"机构晚餐","无统一供餐"),IF(C2729=Options!$B$10,"返程；"&amp;IF(C2729=DATE(2026,12,2),"机构午餐","无统一供餐"),"差旅状态；无统一日程"))))))</f>
        <v/>
      </c>
      <c r="E2729" s="13">
        <f>IF(C2729=Options!$B$9,Options!$C$21,0)</f>
        <v/>
      </c>
      <c r="F2729" s="13">
        <f>IF(AND(A2729&lt;&gt;"",C2729&lt;Options!$B$10),B2729*Options!$X$8,0)</f>
        <v/>
      </c>
      <c r="G2729" s="13">
        <f>F2729*12%</f>
        <v/>
      </c>
      <c r="H2729" s="13">
        <f>IF(A2729="",0,B2729*(92*IF(OR(C2729=Options!$B$9,C2729=Options!$B$10),75%,100%)-IF(C2729=DATE(2026,11,29),26+IF(Options!$B$8="是",23,0),0)-IF(C2729=DATE(2026,11,30),26,0)-IF(C2729=DATE(2026,12,1),64,0)-IF(C2729=DATE(2026,11,28),38,0)-IF(C2729=DATE(2026,12,2),26,0)))</f>
        <v/>
      </c>
      <c r="I2729" s="13">
        <f>IF(AND(C2729&gt;=DATE(2026,11,29),C2729&lt;=DATE(2026,12,1)),B2729*60,0)</f>
        <v/>
      </c>
      <c r="J2729" s="13">
        <f>IF(A2729="",0,B2729*(IF(C2729=DATE(2026,11,28),38,0)+IF(C2729=DATE(2026,12,1),38,0)+IF(C2729=DATE(2026,12,2),26,0)))</f>
        <v/>
      </c>
      <c r="K2729" s="13">
        <f>IF(C2729=Options!$B$9,B2729*12,0)</f>
        <v/>
      </c>
      <c r="L2729" s="13">
        <f>IF(C2729=Options!$B$9,B2729*Options!$Z$8,0)</f>
        <v/>
      </c>
      <c r="M2729" s="13" t="n">
        <v>0</v>
      </c>
      <c r="N2729" s="13">
        <f>SUM(E2729:M2729)</f>
        <v/>
      </c>
    </row>
    <row r="2730">
      <c r="A2730" s="5">
        <f>IF(AND(C2730&gt;=Options!$B$9,C2730&lt;=Options!$B$10),"Boston","")</f>
        <v/>
      </c>
      <c r="B2730" s="5">
        <f>IF(A2730="","",24)</f>
        <v/>
      </c>
      <c r="C2730" s="17" t="n">
        <v>46466</v>
      </c>
      <c r="D2730" s="5">
        <f>IF(A2730="","",IF(C2730=DATE(2026,11,29),"培训；注册午餐；早餐参数",IF(C2730=DATE(2026,11,30),"培训；注册午餐",IF(C2730=DATE(2026,12,1),"培训；注册午餐；机构晚餐",IF(C2730=Options!$B$9,"抵达；"&amp;IF(C2730=DATE(2026,11,28),"机构晚餐","无统一供餐"),IF(C2730=Options!$B$10,"返程；"&amp;IF(C2730=DATE(2026,12,2),"机构午餐","无统一供餐"),"差旅状态；无统一日程"))))))</f>
        <v/>
      </c>
      <c r="E2730" s="13">
        <f>IF(C2730=Options!$B$9,Options!$C$21,0)</f>
        <v/>
      </c>
      <c r="F2730" s="13">
        <f>IF(AND(A2730&lt;&gt;"",C2730&lt;Options!$B$10),B2730*Options!$X$8,0)</f>
        <v/>
      </c>
      <c r="G2730" s="13">
        <f>F2730*12%</f>
        <v/>
      </c>
      <c r="H2730" s="13">
        <f>IF(A2730="",0,B2730*(92*IF(OR(C2730=Options!$B$9,C2730=Options!$B$10),75%,100%)-IF(C2730=DATE(2026,11,29),26+IF(Options!$B$8="是",23,0),0)-IF(C2730=DATE(2026,11,30),26,0)-IF(C2730=DATE(2026,12,1),64,0)-IF(C2730=DATE(2026,11,28),38,0)-IF(C2730=DATE(2026,12,2),26,0)))</f>
        <v/>
      </c>
      <c r="I2730" s="13">
        <f>IF(AND(C2730&gt;=DATE(2026,11,29),C2730&lt;=DATE(2026,12,1)),B2730*60,0)</f>
        <v/>
      </c>
      <c r="J2730" s="13">
        <f>IF(A2730="",0,B2730*(IF(C2730=DATE(2026,11,28),38,0)+IF(C2730=DATE(2026,12,1),38,0)+IF(C2730=DATE(2026,12,2),26,0)))</f>
        <v/>
      </c>
      <c r="K2730" s="13">
        <f>IF(C2730=Options!$B$9,B2730*12,0)</f>
        <v/>
      </c>
      <c r="L2730" s="13">
        <f>IF(C2730=Options!$B$9,B2730*Options!$Z$8,0)</f>
        <v/>
      </c>
      <c r="M2730" s="13" t="n">
        <v>0</v>
      </c>
      <c r="N2730" s="13">
        <f>SUM(E2730:M2730)</f>
        <v/>
      </c>
    </row>
    <row r="2731">
      <c r="A2731" s="5">
        <f>IF(AND(C2731&gt;=Options!$B$9,C2731&lt;=Options!$B$10),"Boston","")</f>
        <v/>
      </c>
      <c r="B2731" s="5">
        <f>IF(A2731="","",24)</f>
        <v/>
      </c>
      <c r="C2731" s="17" t="n">
        <v>46467</v>
      </c>
      <c r="D2731" s="5">
        <f>IF(A2731="","",IF(C2731=DATE(2026,11,29),"培训；注册午餐；早餐参数",IF(C2731=DATE(2026,11,30),"培训；注册午餐",IF(C2731=DATE(2026,12,1),"培训；注册午餐；机构晚餐",IF(C2731=Options!$B$9,"抵达；"&amp;IF(C2731=DATE(2026,11,28),"机构晚餐","无统一供餐"),IF(C2731=Options!$B$10,"返程；"&amp;IF(C2731=DATE(2026,12,2),"机构午餐","无统一供餐"),"差旅状态；无统一日程"))))))</f>
        <v/>
      </c>
      <c r="E2731" s="13">
        <f>IF(C2731=Options!$B$9,Options!$C$21,0)</f>
        <v/>
      </c>
      <c r="F2731" s="13">
        <f>IF(AND(A2731&lt;&gt;"",C2731&lt;Options!$B$10),B2731*Options!$X$8,0)</f>
        <v/>
      </c>
      <c r="G2731" s="13">
        <f>F2731*12%</f>
        <v/>
      </c>
      <c r="H2731" s="13">
        <f>IF(A2731="",0,B2731*(92*IF(OR(C2731=Options!$B$9,C2731=Options!$B$10),75%,100%)-IF(C2731=DATE(2026,11,29),26+IF(Options!$B$8="是",23,0),0)-IF(C2731=DATE(2026,11,30),26,0)-IF(C2731=DATE(2026,12,1),64,0)-IF(C2731=DATE(2026,11,28),38,0)-IF(C2731=DATE(2026,12,2),26,0)))</f>
        <v/>
      </c>
      <c r="I2731" s="13">
        <f>IF(AND(C2731&gt;=DATE(2026,11,29),C2731&lt;=DATE(2026,12,1)),B2731*60,0)</f>
        <v/>
      </c>
      <c r="J2731" s="13">
        <f>IF(A2731="",0,B2731*(IF(C2731=DATE(2026,11,28),38,0)+IF(C2731=DATE(2026,12,1),38,0)+IF(C2731=DATE(2026,12,2),26,0)))</f>
        <v/>
      </c>
      <c r="K2731" s="13">
        <f>IF(C2731=Options!$B$9,B2731*12,0)</f>
        <v/>
      </c>
      <c r="L2731" s="13">
        <f>IF(C2731=Options!$B$9,B2731*Options!$Z$8,0)</f>
        <v/>
      </c>
      <c r="M2731" s="13" t="n">
        <v>0</v>
      </c>
      <c r="N2731" s="13">
        <f>SUM(E2731:M2731)</f>
        <v/>
      </c>
    </row>
    <row r="2732">
      <c r="A2732" s="5">
        <f>IF(AND(C2732&gt;=Options!$B$9,C2732&lt;=Options!$B$10),"Boston","")</f>
        <v/>
      </c>
      <c r="B2732" s="5">
        <f>IF(A2732="","",24)</f>
        <v/>
      </c>
      <c r="C2732" s="17" t="n">
        <v>46468</v>
      </c>
      <c r="D2732" s="5">
        <f>IF(A2732="","",IF(C2732=DATE(2026,11,29),"培训；注册午餐；早餐参数",IF(C2732=DATE(2026,11,30),"培训；注册午餐",IF(C2732=DATE(2026,12,1),"培训；注册午餐；机构晚餐",IF(C2732=Options!$B$9,"抵达；"&amp;IF(C2732=DATE(2026,11,28),"机构晚餐","无统一供餐"),IF(C2732=Options!$B$10,"返程；"&amp;IF(C2732=DATE(2026,12,2),"机构午餐","无统一供餐"),"差旅状态；无统一日程"))))))</f>
        <v/>
      </c>
      <c r="E2732" s="13">
        <f>IF(C2732=Options!$B$9,Options!$C$21,0)</f>
        <v/>
      </c>
      <c r="F2732" s="13">
        <f>IF(AND(A2732&lt;&gt;"",C2732&lt;Options!$B$10),B2732*Options!$X$8,0)</f>
        <v/>
      </c>
      <c r="G2732" s="13">
        <f>F2732*12%</f>
        <v/>
      </c>
      <c r="H2732" s="13">
        <f>IF(A2732="",0,B2732*(92*IF(OR(C2732=Options!$B$9,C2732=Options!$B$10),75%,100%)-IF(C2732=DATE(2026,11,29),26+IF(Options!$B$8="是",23,0),0)-IF(C2732=DATE(2026,11,30),26,0)-IF(C2732=DATE(2026,12,1),64,0)-IF(C2732=DATE(2026,11,28),38,0)-IF(C2732=DATE(2026,12,2),26,0)))</f>
        <v/>
      </c>
      <c r="I2732" s="13">
        <f>IF(AND(C2732&gt;=DATE(2026,11,29),C2732&lt;=DATE(2026,12,1)),B2732*60,0)</f>
        <v/>
      </c>
      <c r="J2732" s="13">
        <f>IF(A2732="",0,B2732*(IF(C2732=DATE(2026,11,28),38,0)+IF(C2732=DATE(2026,12,1),38,0)+IF(C2732=DATE(2026,12,2),26,0)))</f>
        <v/>
      </c>
      <c r="K2732" s="13">
        <f>IF(C2732=Options!$B$9,B2732*12,0)</f>
        <v/>
      </c>
      <c r="L2732" s="13">
        <f>IF(C2732=Options!$B$9,B2732*Options!$Z$8,0)</f>
        <v/>
      </c>
      <c r="M2732" s="13" t="n">
        <v>0</v>
      </c>
      <c r="N2732" s="13">
        <f>SUM(E2732:M2732)</f>
        <v/>
      </c>
    </row>
    <row r="2733">
      <c r="A2733" s="5">
        <f>IF(AND(C2733&gt;=Options!$B$9,C2733&lt;=Options!$B$10),"Boston","")</f>
        <v/>
      </c>
      <c r="B2733" s="5">
        <f>IF(A2733="","",24)</f>
        <v/>
      </c>
      <c r="C2733" s="17" t="n">
        <v>46469</v>
      </c>
      <c r="D2733" s="5">
        <f>IF(A2733="","",IF(C2733=DATE(2026,11,29),"培训；注册午餐；早餐参数",IF(C2733=DATE(2026,11,30),"培训；注册午餐",IF(C2733=DATE(2026,12,1),"培训；注册午餐；机构晚餐",IF(C2733=Options!$B$9,"抵达；"&amp;IF(C2733=DATE(2026,11,28),"机构晚餐","无统一供餐"),IF(C2733=Options!$B$10,"返程；"&amp;IF(C2733=DATE(2026,12,2),"机构午餐","无统一供餐"),"差旅状态；无统一日程"))))))</f>
        <v/>
      </c>
      <c r="E2733" s="13">
        <f>IF(C2733=Options!$B$9,Options!$C$21,0)</f>
        <v/>
      </c>
      <c r="F2733" s="13">
        <f>IF(AND(A2733&lt;&gt;"",C2733&lt;Options!$B$10),B2733*Options!$X$8,0)</f>
        <v/>
      </c>
      <c r="G2733" s="13">
        <f>F2733*12%</f>
        <v/>
      </c>
      <c r="H2733" s="13">
        <f>IF(A2733="",0,B2733*(92*IF(OR(C2733=Options!$B$9,C2733=Options!$B$10),75%,100%)-IF(C2733=DATE(2026,11,29),26+IF(Options!$B$8="是",23,0),0)-IF(C2733=DATE(2026,11,30),26,0)-IF(C2733=DATE(2026,12,1),64,0)-IF(C2733=DATE(2026,11,28),38,0)-IF(C2733=DATE(2026,12,2),26,0)))</f>
        <v/>
      </c>
      <c r="I2733" s="13">
        <f>IF(AND(C2733&gt;=DATE(2026,11,29),C2733&lt;=DATE(2026,12,1)),B2733*60,0)</f>
        <v/>
      </c>
      <c r="J2733" s="13">
        <f>IF(A2733="",0,B2733*(IF(C2733=DATE(2026,11,28),38,0)+IF(C2733=DATE(2026,12,1),38,0)+IF(C2733=DATE(2026,12,2),26,0)))</f>
        <v/>
      </c>
      <c r="K2733" s="13">
        <f>IF(C2733=Options!$B$9,B2733*12,0)</f>
        <v/>
      </c>
      <c r="L2733" s="13">
        <f>IF(C2733=Options!$B$9,B2733*Options!$Z$8,0)</f>
        <v/>
      </c>
      <c r="M2733" s="13" t="n">
        <v>0</v>
      </c>
      <c r="N2733" s="13">
        <f>SUM(E2733:M2733)</f>
        <v/>
      </c>
    </row>
    <row r="2734">
      <c r="A2734" s="5">
        <f>IF(AND(C2734&gt;=Options!$B$9,C2734&lt;=Options!$B$10),"Boston","")</f>
        <v/>
      </c>
      <c r="B2734" s="5">
        <f>IF(A2734="","",24)</f>
        <v/>
      </c>
      <c r="C2734" s="17" t="n">
        <v>46470</v>
      </c>
      <c r="D2734" s="5">
        <f>IF(A2734="","",IF(C2734=DATE(2026,11,29),"培训；注册午餐；早餐参数",IF(C2734=DATE(2026,11,30),"培训；注册午餐",IF(C2734=DATE(2026,12,1),"培训；注册午餐；机构晚餐",IF(C2734=Options!$B$9,"抵达；"&amp;IF(C2734=DATE(2026,11,28),"机构晚餐","无统一供餐"),IF(C2734=Options!$B$10,"返程；"&amp;IF(C2734=DATE(2026,12,2),"机构午餐","无统一供餐"),"差旅状态；无统一日程"))))))</f>
        <v/>
      </c>
      <c r="E2734" s="13">
        <f>IF(C2734=Options!$B$9,Options!$C$21,0)</f>
        <v/>
      </c>
      <c r="F2734" s="13">
        <f>IF(AND(A2734&lt;&gt;"",C2734&lt;Options!$B$10),B2734*Options!$X$8,0)</f>
        <v/>
      </c>
      <c r="G2734" s="13">
        <f>F2734*12%</f>
        <v/>
      </c>
      <c r="H2734" s="13">
        <f>IF(A2734="",0,B2734*(92*IF(OR(C2734=Options!$B$9,C2734=Options!$B$10),75%,100%)-IF(C2734=DATE(2026,11,29),26+IF(Options!$B$8="是",23,0),0)-IF(C2734=DATE(2026,11,30),26,0)-IF(C2734=DATE(2026,12,1),64,0)-IF(C2734=DATE(2026,11,28),38,0)-IF(C2734=DATE(2026,12,2),26,0)))</f>
        <v/>
      </c>
      <c r="I2734" s="13">
        <f>IF(AND(C2734&gt;=DATE(2026,11,29),C2734&lt;=DATE(2026,12,1)),B2734*60,0)</f>
        <v/>
      </c>
      <c r="J2734" s="13">
        <f>IF(A2734="",0,B2734*(IF(C2734=DATE(2026,11,28),38,0)+IF(C2734=DATE(2026,12,1),38,0)+IF(C2734=DATE(2026,12,2),26,0)))</f>
        <v/>
      </c>
      <c r="K2734" s="13">
        <f>IF(C2734=Options!$B$9,B2734*12,0)</f>
        <v/>
      </c>
      <c r="L2734" s="13">
        <f>IF(C2734=Options!$B$9,B2734*Options!$Z$8,0)</f>
        <v/>
      </c>
      <c r="M2734" s="13" t="n">
        <v>0</v>
      </c>
      <c r="N2734" s="13">
        <f>SUM(E2734:M2734)</f>
        <v/>
      </c>
    </row>
    <row r="2735">
      <c r="A2735" s="5">
        <f>IF(AND(C2735&gt;=Options!$B$9,C2735&lt;=Options!$B$10),"Boston","")</f>
        <v/>
      </c>
      <c r="B2735" s="5">
        <f>IF(A2735="","",24)</f>
        <v/>
      </c>
      <c r="C2735" s="17" t="n">
        <v>46471</v>
      </c>
      <c r="D2735" s="5">
        <f>IF(A2735="","",IF(C2735=DATE(2026,11,29),"培训；注册午餐；早餐参数",IF(C2735=DATE(2026,11,30),"培训；注册午餐",IF(C2735=DATE(2026,12,1),"培训；注册午餐；机构晚餐",IF(C2735=Options!$B$9,"抵达；"&amp;IF(C2735=DATE(2026,11,28),"机构晚餐","无统一供餐"),IF(C2735=Options!$B$10,"返程；"&amp;IF(C2735=DATE(2026,12,2),"机构午餐","无统一供餐"),"差旅状态；无统一日程"))))))</f>
        <v/>
      </c>
      <c r="E2735" s="13">
        <f>IF(C2735=Options!$B$9,Options!$C$21,0)</f>
        <v/>
      </c>
      <c r="F2735" s="13">
        <f>IF(AND(A2735&lt;&gt;"",C2735&lt;Options!$B$10),B2735*Options!$X$8,0)</f>
        <v/>
      </c>
      <c r="G2735" s="13">
        <f>F2735*12%</f>
        <v/>
      </c>
      <c r="H2735" s="13">
        <f>IF(A2735="",0,B2735*(92*IF(OR(C2735=Options!$B$9,C2735=Options!$B$10),75%,100%)-IF(C2735=DATE(2026,11,29),26+IF(Options!$B$8="是",23,0),0)-IF(C2735=DATE(2026,11,30),26,0)-IF(C2735=DATE(2026,12,1),64,0)-IF(C2735=DATE(2026,11,28),38,0)-IF(C2735=DATE(2026,12,2),26,0)))</f>
        <v/>
      </c>
      <c r="I2735" s="13">
        <f>IF(AND(C2735&gt;=DATE(2026,11,29),C2735&lt;=DATE(2026,12,1)),B2735*60,0)</f>
        <v/>
      </c>
      <c r="J2735" s="13">
        <f>IF(A2735="",0,B2735*(IF(C2735=DATE(2026,11,28),38,0)+IF(C2735=DATE(2026,12,1),38,0)+IF(C2735=DATE(2026,12,2),26,0)))</f>
        <v/>
      </c>
      <c r="K2735" s="13">
        <f>IF(C2735=Options!$B$9,B2735*12,0)</f>
        <v/>
      </c>
      <c r="L2735" s="13">
        <f>IF(C2735=Options!$B$9,B2735*Options!$Z$8,0)</f>
        <v/>
      </c>
      <c r="M2735" s="13" t="n">
        <v>0</v>
      </c>
      <c r="N2735" s="13">
        <f>SUM(E2735:M2735)</f>
        <v/>
      </c>
    </row>
    <row r="2736">
      <c r="A2736" s="5">
        <f>IF(AND(C2736&gt;=Options!$B$9,C2736&lt;=Options!$B$10),"Boston","")</f>
        <v/>
      </c>
      <c r="B2736" s="5">
        <f>IF(A2736="","",24)</f>
        <v/>
      </c>
      <c r="C2736" s="17" t="n">
        <v>46472</v>
      </c>
      <c r="D2736" s="5">
        <f>IF(A2736="","",IF(C2736=DATE(2026,11,29),"培训；注册午餐；早餐参数",IF(C2736=DATE(2026,11,30),"培训；注册午餐",IF(C2736=DATE(2026,12,1),"培训；注册午餐；机构晚餐",IF(C2736=Options!$B$9,"抵达；"&amp;IF(C2736=DATE(2026,11,28),"机构晚餐","无统一供餐"),IF(C2736=Options!$B$10,"返程；"&amp;IF(C2736=DATE(2026,12,2),"机构午餐","无统一供餐"),"差旅状态；无统一日程"))))))</f>
        <v/>
      </c>
      <c r="E2736" s="13">
        <f>IF(C2736=Options!$B$9,Options!$C$21,0)</f>
        <v/>
      </c>
      <c r="F2736" s="13">
        <f>IF(AND(A2736&lt;&gt;"",C2736&lt;Options!$B$10),B2736*Options!$X$8,0)</f>
        <v/>
      </c>
      <c r="G2736" s="13">
        <f>F2736*12%</f>
        <v/>
      </c>
      <c r="H2736" s="13">
        <f>IF(A2736="",0,B2736*(92*IF(OR(C2736=Options!$B$9,C2736=Options!$B$10),75%,100%)-IF(C2736=DATE(2026,11,29),26+IF(Options!$B$8="是",23,0),0)-IF(C2736=DATE(2026,11,30),26,0)-IF(C2736=DATE(2026,12,1),64,0)-IF(C2736=DATE(2026,11,28),38,0)-IF(C2736=DATE(2026,12,2),26,0)))</f>
        <v/>
      </c>
      <c r="I2736" s="13">
        <f>IF(AND(C2736&gt;=DATE(2026,11,29),C2736&lt;=DATE(2026,12,1)),B2736*60,0)</f>
        <v/>
      </c>
      <c r="J2736" s="13">
        <f>IF(A2736="",0,B2736*(IF(C2736=DATE(2026,11,28),38,0)+IF(C2736=DATE(2026,12,1),38,0)+IF(C2736=DATE(2026,12,2),26,0)))</f>
        <v/>
      </c>
      <c r="K2736" s="13">
        <f>IF(C2736=Options!$B$9,B2736*12,0)</f>
        <v/>
      </c>
      <c r="L2736" s="13">
        <f>IF(C2736=Options!$B$9,B2736*Options!$Z$8,0)</f>
        <v/>
      </c>
      <c r="M2736" s="13" t="n">
        <v>0</v>
      </c>
      <c r="N2736" s="13">
        <f>SUM(E2736:M2736)</f>
        <v/>
      </c>
    </row>
    <row r="2737">
      <c r="A2737" s="5">
        <f>IF(AND(C2737&gt;=Options!$B$9,C2737&lt;=Options!$B$10),"Boston","")</f>
        <v/>
      </c>
      <c r="B2737" s="5">
        <f>IF(A2737="","",24)</f>
        <v/>
      </c>
      <c r="C2737" s="17" t="n">
        <v>46473</v>
      </c>
      <c r="D2737" s="5">
        <f>IF(A2737="","",IF(C2737=DATE(2026,11,29),"培训；注册午餐；早餐参数",IF(C2737=DATE(2026,11,30),"培训；注册午餐",IF(C2737=DATE(2026,12,1),"培训；注册午餐；机构晚餐",IF(C2737=Options!$B$9,"抵达；"&amp;IF(C2737=DATE(2026,11,28),"机构晚餐","无统一供餐"),IF(C2737=Options!$B$10,"返程；"&amp;IF(C2737=DATE(2026,12,2),"机构午餐","无统一供餐"),"差旅状态；无统一日程"))))))</f>
        <v/>
      </c>
      <c r="E2737" s="13">
        <f>IF(C2737=Options!$B$9,Options!$C$21,0)</f>
        <v/>
      </c>
      <c r="F2737" s="13">
        <f>IF(AND(A2737&lt;&gt;"",C2737&lt;Options!$B$10),B2737*Options!$X$8,0)</f>
        <v/>
      </c>
      <c r="G2737" s="13">
        <f>F2737*12%</f>
        <v/>
      </c>
      <c r="H2737" s="13">
        <f>IF(A2737="",0,B2737*(92*IF(OR(C2737=Options!$B$9,C2737=Options!$B$10),75%,100%)-IF(C2737=DATE(2026,11,29),26+IF(Options!$B$8="是",23,0),0)-IF(C2737=DATE(2026,11,30),26,0)-IF(C2737=DATE(2026,12,1),64,0)-IF(C2737=DATE(2026,11,28),38,0)-IF(C2737=DATE(2026,12,2),26,0)))</f>
        <v/>
      </c>
      <c r="I2737" s="13">
        <f>IF(AND(C2737&gt;=DATE(2026,11,29),C2737&lt;=DATE(2026,12,1)),B2737*60,0)</f>
        <v/>
      </c>
      <c r="J2737" s="13">
        <f>IF(A2737="",0,B2737*(IF(C2737=DATE(2026,11,28),38,0)+IF(C2737=DATE(2026,12,1),38,0)+IF(C2737=DATE(2026,12,2),26,0)))</f>
        <v/>
      </c>
      <c r="K2737" s="13">
        <f>IF(C2737=Options!$B$9,B2737*12,0)</f>
        <v/>
      </c>
      <c r="L2737" s="13">
        <f>IF(C2737=Options!$B$9,B2737*Options!$Z$8,0)</f>
        <v/>
      </c>
      <c r="M2737" s="13" t="n">
        <v>0</v>
      </c>
      <c r="N2737" s="13">
        <f>SUM(E2737:M2737)</f>
        <v/>
      </c>
    </row>
    <row r="2738">
      <c r="A2738" s="5">
        <f>IF(AND(C2738&gt;=Options!$B$9,C2738&lt;=Options!$B$10),"Boston","")</f>
        <v/>
      </c>
      <c r="B2738" s="5">
        <f>IF(A2738="","",24)</f>
        <v/>
      </c>
      <c r="C2738" s="17" t="n">
        <v>46474</v>
      </c>
      <c r="D2738" s="5">
        <f>IF(A2738="","",IF(C2738=DATE(2026,11,29),"培训；注册午餐；早餐参数",IF(C2738=DATE(2026,11,30),"培训；注册午餐",IF(C2738=DATE(2026,12,1),"培训；注册午餐；机构晚餐",IF(C2738=Options!$B$9,"抵达；"&amp;IF(C2738=DATE(2026,11,28),"机构晚餐","无统一供餐"),IF(C2738=Options!$B$10,"返程；"&amp;IF(C2738=DATE(2026,12,2),"机构午餐","无统一供餐"),"差旅状态；无统一日程"))))))</f>
        <v/>
      </c>
      <c r="E2738" s="13">
        <f>IF(C2738=Options!$B$9,Options!$C$21,0)</f>
        <v/>
      </c>
      <c r="F2738" s="13">
        <f>IF(AND(A2738&lt;&gt;"",C2738&lt;Options!$B$10),B2738*Options!$X$8,0)</f>
        <v/>
      </c>
      <c r="G2738" s="13">
        <f>F2738*12%</f>
        <v/>
      </c>
      <c r="H2738" s="13">
        <f>IF(A2738="",0,B2738*(92*IF(OR(C2738=Options!$B$9,C2738=Options!$B$10),75%,100%)-IF(C2738=DATE(2026,11,29),26+IF(Options!$B$8="是",23,0),0)-IF(C2738=DATE(2026,11,30),26,0)-IF(C2738=DATE(2026,12,1),64,0)-IF(C2738=DATE(2026,11,28),38,0)-IF(C2738=DATE(2026,12,2),26,0)))</f>
        <v/>
      </c>
      <c r="I2738" s="13">
        <f>IF(AND(C2738&gt;=DATE(2026,11,29),C2738&lt;=DATE(2026,12,1)),B2738*60,0)</f>
        <v/>
      </c>
      <c r="J2738" s="13">
        <f>IF(A2738="",0,B2738*(IF(C2738=DATE(2026,11,28),38,0)+IF(C2738=DATE(2026,12,1),38,0)+IF(C2738=DATE(2026,12,2),26,0)))</f>
        <v/>
      </c>
      <c r="K2738" s="13">
        <f>IF(C2738=Options!$B$9,B2738*12,0)</f>
        <v/>
      </c>
      <c r="L2738" s="13">
        <f>IF(C2738=Options!$B$9,B2738*Options!$Z$8,0)</f>
        <v/>
      </c>
      <c r="M2738" s="13" t="n">
        <v>0</v>
      </c>
      <c r="N2738" s="13">
        <f>SUM(E2738:M2738)</f>
        <v/>
      </c>
    </row>
    <row r="2739">
      <c r="A2739" s="5">
        <f>IF(AND(C2739&gt;=Options!$B$9,C2739&lt;=Options!$B$10),"Boston","")</f>
        <v/>
      </c>
      <c r="B2739" s="5">
        <f>IF(A2739="","",24)</f>
        <v/>
      </c>
      <c r="C2739" s="17" t="n">
        <v>46475</v>
      </c>
      <c r="D2739" s="5">
        <f>IF(A2739="","",IF(C2739=DATE(2026,11,29),"培训；注册午餐；早餐参数",IF(C2739=DATE(2026,11,30),"培训；注册午餐",IF(C2739=DATE(2026,12,1),"培训；注册午餐；机构晚餐",IF(C2739=Options!$B$9,"抵达；"&amp;IF(C2739=DATE(2026,11,28),"机构晚餐","无统一供餐"),IF(C2739=Options!$B$10,"返程；"&amp;IF(C2739=DATE(2026,12,2),"机构午餐","无统一供餐"),"差旅状态；无统一日程"))))))</f>
        <v/>
      </c>
      <c r="E2739" s="13">
        <f>IF(C2739=Options!$B$9,Options!$C$21,0)</f>
        <v/>
      </c>
      <c r="F2739" s="13">
        <f>IF(AND(A2739&lt;&gt;"",C2739&lt;Options!$B$10),B2739*Options!$X$8,0)</f>
        <v/>
      </c>
      <c r="G2739" s="13">
        <f>F2739*12%</f>
        <v/>
      </c>
      <c r="H2739" s="13">
        <f>IF(A2739="",0,B2739*(92*IF(OR(C2739=Options!$B$9,C2739=Options!$B$10),75%,100%)-IF(C2739=DATE(2026,11,29),26+IF(Options!$B$8="是",23,0),0)-IF(C2739=DATE(2026,11,30),26,0)-IF(C2739=DATE(2026,12,1),64,0)-IF(C2739=DATE(2026,11,28),38,0)-IF(C2739=DATE(2026,12,2),26,0)))</f>
        <v/>
      </c>
      <c r="I2739" s="13">
        <f>IF(AND(C2739&gt;=DATE(2026,11,29),C2739&lt;=DATE(2026,12,1)),B2739*60,0)</f>
        <v/>
      </c>
      <c r="J2739" s="13">
        <f>IF(A2739="",0,B2739*(IF(C2739=DATE(2026,11,28),38,0)+IF(C2739=DATE(2026,12,1),38,0)+IF(C2739=DATE(2026,12,2),26,0)))</f>
        <v/>
      </c>
      <c r="K2739" s="13">
        <f>IF(C2739=Options!$B$9,B2739*12,0)</f>
        <v/>
      </c>
      <c r="L2739" s="13">
        <f>IF(C2739=Options!$B$9,B2739*Options!$Z$8,0)</f>
        <v/>
      </c>
      <c r="M2739" s="13" t="n">
        <v>0</v>
      </c>
      <c r="N2739" s="13">
        <f>SUM(E2739:M2739)</f>
        <v/>
      </c>
    </row>
    <row r="2740">
      <c r="A2740" s="5">
        <f>IF(AND(C2740&gt;=Options!$B$9,C2740&lt;=Options!$B$10),"Boston","")</f>
        <v/>
      </c>
      <c r="B2740" s="5">
        <f>IF(A2740="","",24)</f>
        <v/>
      </c>
      <c r="C2740" s="17" t="n">
        <v>46476</v>
      </c>
      <c r="D2740" s="5">
        <f>IF(A2740="","",IF(C2740=DATE(2026,11,29),"培训；注册午餐；早餐参数",IF(C2740=DATE(2026,11,30),"培训；注册午餐",IF(C2740=DATE(2026,12,1),"培训；注册午餐；机构晚餐",IF(C2740=Options!$B$9,"抵达；"&amp;IF(C2740=DATE(2026,11,28),"机构晚餐","无统一供餐"),IF(C2740=Options!$B$10,"返程；"&amp;IF(C2740=DATE(2026,12,2),"机构午餐","无统一供餐"),"差旅状态；无统一日程"))))))</f>
        <v/>
      </c>
      <c r="E2740" s="13">
        <f>IF(C2740=Options!$B$9,Options!$C$21,0)</f>
        <v/>
      </c>
      <c r="F2740" s="13">
        <f>IF(AND(A2740&lt;&gt;"",C2740&lt;Options!$B$10),B2740*Options!$X$8,0)</f>
        <v/>
      </c>
      <c r="G2740" s="13">
        <f>F2740*12%</f>
        <v/>
      </c>
      <c r="H2740" s="13">
        <f>IF(A2740="",0,B2740*(92*IF(OR(C2740=Options!$B$9,C2740=Options!$B$10),75%,100%)-IF(C2740=DATE(2026,11,29),26+IF(Options!$B$8="是",23,0),0)-IF(C2740=DATE(2026,11,30),26,0)-IF(C2740=DATE(2026,12,1),64,0)-IF(C2740=DATE(2026,11,28),38,0)-IF(C2740=DATE(2026,12,2),26,0)))</f>
        <v/>
      </c>
      <c r="I2740" s="13">
        <f>IF(AND(C2740&gt;=DATE(2026,11,29),C2740&lt;=DATE(2026,12,1)),B2740*60,0)</f>
        <v/>
      </c>
      <c r="J2740" s="13">
        <f>IF(A2740="",0,B2740*(IF(C2740=DATE(2026,11,28),38,0)+IF(C2740=DATE(2026,12,1),38,0)+IF(C2740=DATE(2026,12,2),26,0)))</f>
        <v/>
      </c>
      <c r="K2740" s="13">
        <f>IF(C2740=Options!$B$9,B2740*12,0)</f>
        <v/>
      </c>
      <c r="L2740" s="13">
        <f>IF(C2740=Options!$B$9,B2740*Options!$Z$8,0)</f>
        <v/>
      </c>
      <c r="M2740" s="13" t="n">
        <v>0</v>
      </c>
      <c r="N2740" s="13">
        <f>SUM(E2740:M2740)</f>
        <v/>
      </c>
    </row>
    <row r="2741">
      <c r="A2741" s="5">
        <f>IF(AND(C2741&gt;=Options!$B$9,C2741&lt;=Options!$B$10),"Boston","")</f>
        <v/>
      </c>
      <c r="B2741" s="5">
        <f>IF(A2741="","",24)</f>
        <v/>
      </c>
      <c r="C2741" s="17" t="n">
        <v>46477</v>
      </c>
      <c r="D2741" s="5">
        <f>IF(A2741="","",IF(C2741=DATE(2026,11,29),"培训；注册午餐；早餐参数",IF(C2741=DATE(2026,11,30),"培训；注册午餐",IF(C2741=DATE(2026,12,1),"培训；注册午餐；机构晚餐",IF(C2741=Options!$B$9,"抵达；"&amp;IF(C2741=DATE(2026,11,28),"机构晚餐","无统一供餐"),IF(C2741=Options!$B$10,"返程；"&amp;IF(C2741=DATE(2026,12,2),"机构午餐","无统一供餐"),"差旅状态；无统一日程"))))))</f>
        <v/>
      </c>
      <c r="E2741" s="13">
        <f>IF(C2741=Options!$B$9,Options!$C$21,0)</f>
        <v/>
      </c>
      <c r="F2741" s="13">
        <f>IF(AND(A2741&lt;&gt;"",C2741&lt;Options!$B$10),B2741*Options!$X$8,0)</f>
        <v/>
      </c>
      <c r="G2741" s="13">
        <f>F2741*12%</f>
        <v/>
      </c>
      <c r="H2741" s="13">
        <f>IF(A2741="",0,B2741*(92*IF(OR(C2741=Options!$B$9,C2741=Options!$B$10),75%,100%)-IF(C2741=DATE(2026,11,29),26+IF(Options!$B$8="是",23,0),0)-IF(C2741=DATE(2026,11,30),26,0)-IF(C2741=DATE(2026,12,1),64,0)-IF(C2741=DATE(2026,11,28),38,0)-IF(C2741=DATE(2026,12,2),26,0)))</f>
        <v/>
      </c>
      <c r="I2741" s="13">
        <f>IF(AND(C2741&gt;=DATE(2026,11,29),C2741&lt;=DATE(2026,12,1)),B2741*60,0)</f>
        <v/>
      </c>
      <c r="J2741" s="13">
        <f>IF(A2741="",0,B2741*(IF(C2741=DATE(2026,11,28),38,0)+IF(C2741=DATE(2026,12,1),38,0)+IF(C2741=DATE(2026,12,2),26,0)))</f>
        <v/>
      </c>
      <c r="K2741" s="13">
        <f>IF(C2741=Options!$B$9,B2741*12,0)</f>
        <v/>
      </c>
      <c r="L2741" s="13">
        <f>IF(C2741=Options!$B$9,B2741*Options!$Z$8,0)</f>
        <v/>
      </c>
      <c r="M2741" s="13" t="n">
        <v>0</v>
      </c>
      <c r="N2741" s="13">
        <f>SUM(E2741:M2741)</f>
        <v/>
      </c>
    </row>
    <row r="2742">
      <c r="A2742" s="5">
        <f>IF(AND(C2742&gt;=Options!$B$9,C2742&lt;=Options!$B$10),"Boston","")</f>
        <v/>
      </c>
      <c r="B2742" s="5">
        <f>IF(A2742="","",24)</f>
        <v/>
      </c>
      <c r="C2742" s="17" t="n">
        <v>46478</v>
      </c>
      <c r="D2742" s="5">
        <f>IF(A2742="","",IF(C2742=DATE(2026,11,29),"培训；注册午餐；早餐参数",IF(C2742=DATE(2026,11,30),"培训；注册午餐",IF(C2742=DATE(2026,12,1),"培训；注册午餐；机构晚餐",IF(C2742=Options!$B$9,"抵达；"&amp;IF(C2742=DATE(2026,11,28),"机构晚餐","无统一供餐"),IF(C2742=Options!$B$10,"返程；"&amp;IF(C2742=DATE(2026,12,2),"机构午餐","无统一供餐"),"差旅状态；无统一日程"))))))</f>
        <v/>
      </c>
      <c r="E2742" s="13">
        <f>IF(C2742=Options!$B$9,Options!$C$21,0)</f>
        <v/>
      </c>
      <c r="F2742" s="13">
        <f>IF(AND(A2742&lt;&gt;"",C2742&lt;Options!$B$10),B2742*Options!$X$8,0)</f>
        <v/>
      </c>
      <c r="G2742" s="13">
        <f>F2742*12%</f>
        <v/>
      </c>
      <c r="H2742" s="13">
        <f>IF(A2742="",0,B2742*(92*IF(OR(C2742=Options!$B$9,C2742=Options!$B$10),75%,100%)-IF(C2742=DATE(2026,11,29),26+IF(Options!$B$8="是",23,0),0)-IF(C2742=DATE(2026,11,30),26,0)-IF(C2742=DATE(2026,12,1),64,0)-IF(C2742=DATE(2026,11,28),38,0)-IF(C2742=DATE(2026,12,2),26,0)))</f>
        <v/>
      </c>
      <c r="I2742" s="13">
        <f>IF(AND(C2742&gt;=DATE(2026,11,29),C2742&lt;=DATE(2026,12,1)),B2742*60,0)</f>
        <v/>
      </c>
      <c r="J2742" s="13">
        <f>IF(A2742="",0,B2742*(IF(C2742=DATE(2026,11,28),38,0)+IF(C2742=DATE(2026,12,1),38,0)+IF(C2742=DATE(2026,12,2),26,0)))</f>
        <v/>
      </c>
      <c r="K2742" s="13">
        <f>IF(C2742=Options!$B$9,B2742*12,0)</f>
        <v/>
      </c>
      <c r="L2742" s="13">
        <f>IF(C2742=Options!$B$9,B2742*Options!$Z$8,0)</f>
        <v/>
      </c>
      <c r="M2742" s="13" t="n">
        <v>0</v>
      </c>
      <c r="N2742" s="13">
        <f>SUM(E2742:M2742)</f>
        <v/>
      </c>
    </row>
    <row r="2743">
      <c r="A2743" s="5">
        <f>IF(AND(C2743&gt;=Options!$B$9,C2743&lt;=Options!$B$10),"Boston","")</f>
        <v/>
      </c>
      <c r="B2743" s="5">
        <f>IF(A2743="","",24)</f>
        <v/>
      </c>
      <c r="C2743" s="17" t="n">
        <v>46479</v>
      </c>
      <c r="D2743" s="5">
        <f>IF(A2743="","",IF(C2743=DATE(2026,11,29),"培训；注册午餐；早餐参数",IF(C2743=DATE(2026,11,30),"培训；注册午餐",IF(C2743=DATE(2026,12,1),"培训；注册午餐；机构晚餐",IF(C2743=Options!$B$9,"抵达；"&amp;IF(C2743=DATE(2026,11,28),"机构晚餐","无统一供餐"),IF(C2743=Options!$B$10,"返程；"&amp;IF(C2743=DATE(2026,12,2),"机构午餐","无统一供餐"),"差旅状态；无统一日程"))))))</f>
        <v/>
      </c>
      <c r="E2743" s="13">
        <f>IF(C2743=Options!$B$9,Options!$C$21,0)</f>
        <v/>
      </c>
      <c r="F2743" s="13">
        <f>IF(AND(A2743&lt;&gt;"",C2743&lt;Options!$B$10),B2743*Options!$X$8,0)</f>
        <v/>
      </c>
      <c r="G2743" s="13">
        <f>F2743*12%</f>
        <v/>
      </c>
      <c r="H2743" s="13">
        <f>IF(A2743="",0,B2743*(92*IF(OR(C2743=Options!$B$9,C2743=Options!$B$10),75%,100%)-IF(C2743=DATE(2026,11,29),26+IF(Options!$B$8="是",23,0),0)-IF(C2743=DATE(2026,11,30),26,0)-IF(C2743=DATE(2026,12,1),64,0)-IF(C2743=DATE(2026,11,28),38,0)-IF(C2743=DATE(2026,12,2),26,0)))</f>
        <v/>
      </c>
      <c r="I2743" s="13">
        <f>IF(AND(C2743&gt;=DATE(2026,11,29),C2743&lt;=DATE(2026,12,1)),B2743*60,0)</f>
        <v/>
      </c>
      <c r="J2743" s="13">
        <f>IF(A2743="",0,B2743*(IF(C2743=DATE(2026,11,28),38,0)+IF(C2743=DATE(2026,12,1),38,0)+IF(C2743=DATE(2026,12,2),26,0)))</f>
        <v/>
      </c>
      <c r="K2743" s="13">
        <f>IF(C2743=Options!$B$9,B2743*12,0)</f>
        <v/>
      </c>
      <c r="L2743" s="13">
        <f>IF(C2743=Options!$B$9,B2743*Options!$Z$8,0)</f>
        <v/>
      </c>
      <c r="M2743" s="13" t="n">
        <v>0</v>
      </c>
      <c r="N2743" s="13">
        <f>SUM(E2743:M2743)</f>
        <v/>
      </c>
    </row>
    <row r="2744">
      <c r="A2744" s="5">
        <f>IF(AND(C2744&gt;=Options!$B$9,C2744&lt;=Options!$B$10),"Boston","")</f>
        <v/>
      </c>
      <c r="B2744" s="5">
        <f>IF(A2744="","",24)</f>
        <v/>
      </c>
      <c r="C2744" s="17" t="n">
        <v>46480</v>
      </c>
      <c r="D2744" s="5">
        <f>IF(A2744="","",IF(C2744=DATE(2026,11,29),"培训；注册午餐；早餐参数",IF(C2744=DATE(2026,11,30),"培训；注册午餐",IF(C2744=DATE(2026,12,1),"培训；注册午餐；机构晚餐",IF(C2744=Options!$B$9,"抵达；"&amp;IF(C2744=DATE(2026,11,28),"机构晚餐","无统一供餐"),IF(C2744=Options!$B$10,"返程；"&amp;IF(C2744=DATE(2026,12,2),"机构午餐","无统一供餐"),"差旅状态；无统一日程"))))))</f>
        <v/>
      </c>
      <c r="E2744" s="13">
        <f>IF(C2744=Options!$B$9,Options!$C$21,0)</f>
        <v/>
      </c>
      <c r="F2744" s="13">
        <f>IF(AND(A2744&lt;&gt;"",C2744&lt;Options!$B$10),B2744*Options!$X$8,0)</f>
        <v/>
      </c>
      <c r="G2744" s="13">
        <f>F2744*12%</f>
        <v/>
      </c>
      <c r="H2744" s="13">
        <f>IF(A2744="",0,B2744*(92*IF(OR(C2744=Options!$B$9,C2744=Options!$B$10),75%,100%)-IF(C2744=DATE(2026,11,29),26+IF(Options!$B$8="是",23,0),0)-IF(C2744=DATE(2026,11,30),26,0)-IF(C2744=DATE(2026,12,1),64,0)-IF(C2744=DATE(2026,11,28),38,0)-IF(C2744=DATE(2026,12,2),26,0)))</f>
        <v/>
      </c>
      <c r="I2744" s="13">
        <f>IF(AND(C2744&gt;=DATE(2026,11,29),C2744&lt;=DATE(2026,12,1)),B2744*60,0)</f>
        <v/>
      </c>
      <c r="J2744" s="13">
        <f>IF(A2744="",0,B2744*(IF(C2744=DATE(2026,11,28),38,0)+IF(C2744=DATE(2026,12,1),38,0)+IF(C2744=DATE(2026,12,2),26,0)))</f>
        <v/>
      </c>
      <c r="K2744" s="13">
        <f>IF(C2744=Options!$B$9,B2744*12,0)</f>
        <v/>
      </c>
      <c r="L2744" s="13">
        <f>IF(C2744=Options!$B$9,B2744*Options!$Z$8,0)</f>
        <v/>
      </c>
      <c r="M2744" s="13" t="n">
        <v>0</v>
      </c>
      <c r="N2744" s="13">
        <f>SUM(E2744:M2744)</f>
        <v/>
      </c>
    </row>
    <row r="2745">
      <c r="A2745" s="5">
        <f>IF(AND(C2745&gt;=Options!$B$9,C2745&lt;=Options!$B$10),"Boston","")</f>
        <v/>
      </c>
      <c r="B2745" s="5">
        <f>IF(A2745="","",24)</f>
        <v/>
      </c>
      <c r="C2745" s="17" t="n">
        <v>46481</v>
      </c>
      <c r="D2745" s="5">
        <f>IF(A2745="","",IF(C2745=DATE(2026,11,29),"培训；注册午餐；早餐参数",IF(C2745=DATE(2026,11,30),"培训；注册午餐",IF(C2745=DATE(2026,12,1),"培训；注册午餐；机构晚餐",IF(C2745=Options!$B$9,"抵达；"&amp;IF(C2745=DATE(2026,11,28),"机构晚餐","无统一供餐"),IF(C2745=Options!$B$10,"返程；"&amp;IF(C2745=DATE(2026,12,2),"机构午餐","无统一供餐"),"差旅状态；无统一日程"))))))</f>
        <v/>
      </c>
      <c r="E2745" s="13">
        <f>IF(C2745=Options!$B$9,Options!$C$21,0)</f>
        <v/>
      </c>
      <c r="F2745" s="13">
        <f>IF(AND(A2745&lt;&gt;"",C2745&lt;Options!$B$10),B2745*Options!$X$8,0)</f>
        <v/>
      </c>
      <c r="G2745" s="13">
        <f>F2745*12%</f>
        <v/>
      </c>
      <c r="H2745" s="13">
        <f>IF(A2745="",0,B2745*(92*IF(OR(C2745=Options!$B$9,C2745=Options!$B$10),75%,100%)-IF(C2745=DATE(2026,11,29),26+IF(Options!$B$8="是",23,0),0)-IF(C2745=DATE(2026,11,30),26,0)-IF(C2745=DATE(2026,12,1),64,0)-IF(C2745=DATE(2026,11,28),38,0)-IF(C2745=DATE(2026,12,2),26,0)))</f>
        <v/>
      </c>
      <c r="I2745" s="13">
        <f>IF(AND(C2745&gt;=DATE(2026,11,29),C2745&lt;=DATE(2026,12,1)),B2745*60,0)</f>
        <v/>
      </c>
      <c r="J2745" s="13">
        <f>IF(A2745="",0,B2745*(IF(C2745=DATE(2026,11,28),38,0)+IF(C2745=DATE(2026,12,1),38,0)+IF(C2745=DATE(2026,12,2),26,0)))</f>
        <v/>
      </c>
      <c r="K2745" s="13">
        <f>IF(C2745=Options!$B$9,B2745*12,0)</f>
        <v/>
      </c>
      <c r="L2745" s="13">
        <f>IF(C2745=Options!$B$9,B2745*Options!$Z$8,0)</f>
        <v/>
      </c>
      <c r="M2745" s="13" t="n">
        <v>0</v>
      </c>
      <c r="N2745" s="13">
        <f>SUM(E2745:M2745)</f>
        <v/>
      </c>
    </row>
    <row r="2746">
      <c r="A2746" s="5">
        <f>IF(AND(C2746&gt;=Options!$B$9,C2746&lt;=Options!$B$10),"Boston","")</f>
        <v/>
      </c>
      <c r="B2746" s="5">
        <f>IF(A2746="","",24)</f>
        <v/>
      </c>
      <c r="C2746" s="17" t="n">
        <v>46482</v>
      </c>
      <c r="D2746" s="5">
        <f>IF(A2746="","",IF(C2746=DATE(2026,11,29),"培训；注册午餐；早餐参数",IF(C2746=DATE(2026,11,30),"培训；注册午餐",IF(C2746=DATE(2026,12,1),"培训；注册午餐；机构晚餐",IF(C2746=Options!$B$9,"抵达；"&amp;IF(C2746=DATE(2026,11,28),"机构晚餐","无统一供餐"),IF(C2746=Options!$B$10,"返程；"&amp;IF(C2746=DATE(2026,12,2),"机构午餐","无统一供餐"),"差旅状态；无统一日程"))))))</f>
        <v/>
      </c>
      <c r="E2746" s="13">
        <f>IF(C2746=Options!$B$9,Options!$C$21,0)</f>
        <v/>
      </c>
      <c r="F2746" s="13">
        <f>IF(AND(A2746&lt;&gt;"",C2746&lt;Options!$B$10),B2746*Options!$X$8,0)</f>
        <v/>
      </c>
      <c r="G2746" s="13">
        <f>F2746*12%</f>
        <v/>
      </c>
      <c r="H2746" s="13">
        <f>IF(A2746="",0,B2746*(92*IF(OR(C2746=Options!$B$9,C2746=Options!$B$10),75%,100%)-IF(C2746=DATE(2026,11,29),26+IF(Options!$B$8="是",23,0),0)-IF(C2746=DATE(2026,11,30),26,0)-IF(C2746=DATE(2026,12,1),64,0)-IF(C2746=DATE(2026,11,28),38,0)-IF(C2746=DATE(2026,12,2),26,0)))</f>
        <v/>
      </c>
      <c r="I2746" s="13">
        <f>IF(AND(C2746&gt;=DATE(2026,11,29),C2746&lt;=DATE(2026,12,1)),B2746*60,0)</f>
        <v/>
      </c>
      <c r="J2746" s="13">
        <f>IF(A2746="",0,B2746*(IF(C2746=DATE(2026,11,28),38,0)+IF(C2746=DATE(2026,12,1),38,0)+IF(C2746=DATE(2026,12,2),26,0)))</f>
        <v/>
      </c>
      <c r="K2746" s="13">
        <f>IF(C2746=Options!$B$9,B2746*12,0)</f>
        <v/>
      </c>
      <c r="L2746" s="13">
        <f>IF(C2746=Options!$B$9,B2746*Options!$Z$8,0)</f>
        <v/>
      </c>
      <c r="M2746" s="13" t="n">
        <v>0</v>
      </c>
      <c r="N2746" s="13">
        <f>SUM(E2746:M2746)</f>
        <v/>
      </c>
    </row>
    <row r="2747">
      <c r="A2747" s="5">
        <f>IF(AND(C2747&gt;=Options!$B$9,C2747&lt;=Options!$B$10),"Boston","")</f>
        <v/>
      </c>
      <c r="B2747" s="5">
        <f>IF(A2747="","",24)</f>
        <v/>
      </c>
      <c r="C2747" s="17" t="n">
        <v>46483</v>
      </c>
      <c r="D2747" s="5">
        <f>IF(A2747="","",IF(C2747=DATE(2026,11,29),"培训；注册午餐；早餐参数",IF(C2747=DATE(2026,11,30),"培训；注册午餐",IF(C2747=DATE(2026,12,1),"培训；注册午餐；机构晚餐",IF(C2747=Options!$B$9,"抵达；"&amp;IF(C2747=DATE(2026,11,28),"机构晚餐","无统一供餐"),IF(C2747=Options!$B$10,"返程；"&amp;IF(C2747=DATE(2026,12,2),"机构午餐","无统一供餐"),"差旅状态；无统一日程"))))))</f>
        <v/>
      </c>
      <c r="E2747" s="13">
        <f>IF(C2747=Options!$B$9,Options!$C$21,0)</f>
        <v/>
      </c>
      <c r="F2747" s="13">
        <f>IF(AND(A2747&lt;&gt;"",C2747&lt;Options!$B$10),B2747*Options!$X$8,0)</f>
        <v/>
      </c>
      <c r="G2747" s="13">
        <f>F2747*12%</f>
        <v/>
      </c>
      <c r="H2747" s="13">
        <f>IF(A2747="",0,B2747*(92*IF(OR(C2747=Options!$B$9,C2747=Options!$B$10),75%,100%)-IF(C2747=DATE(2026,11,29),26+IF(Options!$B$8="是",23,0),0)-IF(C2747=DATE(2026,11,30),26,0)-IF(C2747=DATE(2026,12,1),64,0)-IF(C2747=DATE(2026,11,28),38,0)-IF(C2747=DATE(2026,12,2),26,0)))</f>
        <v/>
      </c>
      <c r="I2747" s="13">
        <f>IF(AND(C2747&gt;=DATE(2026,11,29),C2747&lt;=DATE(2026,12,1)),B2747*60,0)</f>
        <v/>
      </c>
      <c r="J2747" s="13">
        <f>IF(A2747="",0,B2747*(IF(C2747=DATE(2026,11,28),38,0)+IF(C2747=DATE(2026,12,1),38,0)+IF(C2747=DATE(2026,12,2),26,0)))</f>
        <v/>
      </c>
      <c r="K2747" s="13">
        <f>IF(C2747=Options!$B$9,B2747*12,0)</f>
        <v/>
      </c>
      <c r="L2747" s="13">
        <f>IF(C2747=Options!$B$9,B2747*Options!$Z$8,0)</f>
        <v/>
      </c>
      <c r="M2747" s="13" t="n">
        <v>0</v>
      </c>
      <c r="N2747" s="13">
        <f>SUM(E2747:M2747)</f>
        <v/>
      </c>
    </row>
    <row r="2748">
      <c r="A2748" s="5">
        <f>IF(AND(C2748&gt;=Options!$B$9,C2748&lt;=Options!$B$10),"Boston","")</f>
        <v/>
      </c>
      <c r="B2748" s="5">
        <f>IF(A2748="","",24)</f>
        <v/>
      </c>
      <c r="C2748" s="17" t="n">
        <v>46484</v>
      </c>
      <c r="D2748" s="5">
        <f>IF(A2748="","",IF(C2748=DATE(2026,11,29),"培训；注册午餐；早餐参数",IF(C2748=DATE(2026,11,30),"培训；注册午餐",IF(C2748=DATE(2026,12,1),"培训；注册午餐；机构晚餐",IF(C2748=Options!$B$9,"抵达；"&amp;IF(C2748=DATE(2026,11,28),"机构晚餐","无统一供餐"),IF(C2748=Options!$B$10,"返程；"&amp;IF(C2748=DATE(2026,12,2),"机构午餐","无统一供餐"),"差旅状态；无统一日程"))))))</f>
        <v/>
      </c>
      <c r="E2748" s="13">
        <f>IF(C2748=Options!$B$9,Options!$C$21,0)</f>
        <v/>
      </c>
      <c r="F2748" s="13">
        <f>IF(AND(A2748&lt;&gt;"",C2748&lt;Options!$B$10),B2748*Options!$X$8,0)</f>
        <v/>
      </c>
      <c r="G2748" s="13">
        <f>F2748*12%</f>
        <v/>
      </c>
      <c r="H2748" s="13">
        <f>IF(A2748="",0,B2748*(92*IF(OR(C2748=Options!$B$9,C2748=Options!$B$10),75%,100%)-IF(C2748=DATE(2026,11,29),26+IF(Options!$B$8="是",23,0),0)-IF(C2748=DATE(2026,11,30),26,0)-IF(C2748=DATE(2026,12,1),64,0)-IF(C2748=DATE(2026,11,28),38,0)-IF(C2748=DATE(2026,12,2),26,0)))</f>
        <v/>
      </c>
      <c r="I2748" s="13">
        <f>IF(AND(C2748&gt;=DATE(2026,11,29),C2748&lt;=DATE(2026,12,1)),B2748*60,0)</f>
        <v/>
      </c>
      <c r="J2748" s="13">
        <f>IF(A2748="",0,B2748*(IF(C2748=DATE(2026,11,28),38,0)+IF(C2748=DATE(2026,12,1),38,0)+IF(C2748=DATE(2026,12,2),26,0)))</f>
        <v/>
      </c>
      <c r="K2748" s="13">
        <f>IF(C2748=Options!$B$9,B2748*12,0)</f>
        <v/>
      </c>
      <c r="L2748" s="13">
        <f>IF(C2748=Options!$B$9,B2748*Options!$Z$8,0)</f>
        <v/>
      </c>
      <c r="M2748" s="13" t="n">
        <v>0</v>
      </c>
      <c r="N2748" s="13">
        <f>SUM(E2748:M2748)</f>
        <v/>
      </c>
    </row>
    <row r="2749">
      <c r="A2749" s="5">
        <f>IF(AND(C2749&gt;=Options!$B$9,C2749&lt;=Options!$B$10),"Boston","")</f>
        <v/>
      </c>
      <c r="B2749" s="5">
        <f>IF(A2749="","",24)</f>
        <v/>
      </c>
      <c r="C2749" s="17" t="n">
        <v>46485</v>
      </c>
      <c r="D2749" s="5">
        <f>IF(A2749="","",IF(C2749=DATE(2026,11,29),"培训；注册午餐；早餐参数",IF(C2749=DATE(2026,11,30),"培训；注册午餐",IF(C2749=DATE(2026,12,1),"培训；注册午餐；机构晚餐",IF(C2749=Options!$B$9,"抵达；"&amp;IF(C2749=DATE(2026,11,28),"机构晚餐","无统一供餐"),IF(C2749=Options!$B$10,"返程；"&amp;IF(C2749=DATE(2026,12,2),"机构午餐","无统一供餐"),"差旅状态；无统一日程"))))))</f>
        <v/>
      </c>
      <c r="E2749" s="13">
        <f>IF(C2749=Options!$B$9,Options!$C$21,0)</f>
        <v/>
      </c>
      <c r="F2749" s="13">
        <f>IF(AND(A2749&lt;&gt;"",C2749&lt;Options!$B$10),B2749*Options!$X$8,0)</f>
        <v/>
      </c>
      <c r="G2749" s="13">
        <f>F2749*12%</f>
        <v/>
      </c>
      <c r="H2749" s="13">
        <f>IF(A2749="",0,B2749*(92*IF(OR(C2749=Options!$B$9,C2749=Options!$B$10),75%,100%)-IF(C2749=DATE(2026,11,29),26+IF(Options!$B$8="是",23,0),0)-IF(C2749=DATE(2026,11,30),26,0)-IF(C2749=DATE(2026,12,1),64,0)-IF(C2749=DATE(2026,11,28),38,0)-IF(C2749=DATE(2026,12,2),26,0)))</f>
        <v/>
      </c>
      <c r="I2749" s="13">
        <f>IF(AND(C2749&gt;=DATE(2026,11,29),C2749&lt;=DATE(2026,12,1)),B2749*60,0)</f>
        <v/>
      </c>
      <c r="J2749" s="13">
        <f>IF(A2749="",0,B2749*(IF(C2749=DATE(2026,11,28),38,0)+IF(C2749=DATE(2026,12,1),38,0)+IF(C2749=DATE(2026,12,2),26,0)))</f>
        <v/>
      </c>
      <c r="K2749" s="13">
        <f>IF(C2749=Options!$B$9,B2749*12,0)</f>
        <v/>
      </c>
      <c r="L2749" s="13">
        <f>IF(C2749=Options!$B$9,B2749*Options!$Z$8,0)</f>
        <v/>
      </c>
      <c r="M2749" s="13" t="n">
        <v>0</v>
      </c>
      <c r="N2749" s="13">
        <f>SUM(E2749:M2749)</f>
        <v/>
      </c>
    </row>
    <row r="2750">
      <c r="A2750" s="5">
        <f>IF(AND(C2750&gt;=Options!$B$9,C2750&lt;=Options!$B$10),"Boston","")</f>
        <v/>
      </c>
      <c r="B2750" s="5">
        <f>IF(A2750="","",24)</f>
        <v/>
      </c>
      <c r="C2750" s="17" t="n">
        <v>46486</v>
      </c>
      <c r="D2750" s="5">
        <f>IF(A2750="","",IF(C2750=DATE(2026,11,29),"培训；注册午餐；早餐参数",IF(C2750=DATE(2026,11,30),"培训；注册午餐",IF(C2750=DATE(2026,12,1),"培训；注册午餐；机构晚餐",IF(C2750=Options!$B$9,"抵达；"&amp;IF(C2750=DATE(2026,11,28),"机构晚餐","无统一供餐"),IF(C2750=Options!$B$10,"返程；"&amp;IF(C2750=DATE(2026,12,2),"机构午餐","无统一供餐"),"差旅状态；无统一日程"))))))</f>
        <v/>
      </c>
      <c r="E2750" s="13">
        <f>IF(C2750=Options!$B$9,Options!$C$21,0)</f>
        <v/>
      </c>
      <c r="F2750" s="13">
        <f>IF(AND(A2750&lt;&gt;"",C2750&lt;Options!$B$10),B2750*Options!$X$8,0)</f>
        <v/>
      </c>
      <c r="G2750" s="13">
        <f>F2750*12%</f>
        <v/>
      </c>
      <c r="H2750" s="13">
        <f>IF(A2750="",0,B2750*(92*IF(OR(C2750=Options!$B$9,C2750=Options!$B$10),75%,100%)-IF(C2750=DATE(2026,11,29),26+IF(Options!$B$8="是",23,0),0)-IF(C2750=DATE(2026,11,30),26,0)-IF(C2750=DATE(2026,12,1),64,0)-IF(C2750=DATE(2026,11,28),38,0)-IF(C2750=DATE(2026,12,2),26,0)))</f>
        <v/>
      </c>
      <c r="I2750" s="13">
        <f>IF(AND(C2750&gt;=DATE(2026,11,29),C2750&lt;=DATE(2026,12,1)),B2750*60,0)</f>
        <v/>
      </c>
      <c r="J2750" s="13">
        <f>IF(A2750="",0,B2750*(IF(C2750=DATE(2026,11,28),38,0)+IF(C2750=DATE(2026,12,1),38,0)+IF(C2750=DATE(2026,12,2),26,0)))</f>
        <v/>
      </c>
      <c r="K2750" s="13">
        <f>IF(C2750=Options!$B$9,B2750*12,0)</f>
        <v/>
      </c>
      <c r="L2750" s="13">
        <f>IF(C2750=Options!$B$9,B2750*Options!$Z$8,0)</f>
        <v/>
      </c>
      <c r="M2750" s="13" t="n">
        <v>0</v>
      </c>
      <c r="N2750" s="13">
        <f>SUM(E2750:M2750)</f>
        <v/>
      </c>
    </row>
    <row r="2751">
      <c r="A2751" s="5">
        <f>IF(AND(C2751&gt;=Options!$B$9,C2751&lt;=Options!$B$10),"Boston","")</f>
        <v/>
      </c>
      <c r="B2751" s="5">
        <f>IF(A2751="","",24)</f>
        <v/>
      </c>
      <c r="C2751" s="17" t="n">
        <v>46487</v>
      </c>
      <c r="D2751" s="5">
        <f>IF(A2751="","",IF(C2751=DATE(2026,11,29),"培训；注册午餐；早餐参数",IF(C2751=DATE(2026,11,30),"培训；注册午餐",IF(C2751=DATE(2026,12,1),"培训；注册午餐；机构晚餐",IF(C2751=Options!$B$9,"抵达；"&amp;IF(C2751=DATE(2026,11,28),"机构晚餐","无统一供餐"),IF(C2751=Options!$B$10,"返程；"&amp;IF(C2751=DATE(2026,12,2),"机构午餐","无统一供餐"),"差旅状态；无统一日程"))))))</f>
        <v/>
      </c>
      <c r="E2751" s="13">
        <f>IF(C2751=Options!$B$9,Options!$C$21,0)</f>
        <v/>
      </c>
      <c r="F2751" s="13">
        <f>IF(AND(A2751&lt;&gt;"",C2751&lt;Options!$B$10),B2751*Options!$X$8,0)</f>
        <v/>
      </c>
      <c r="G2751" s="13">
        <f>F2751*12%</f>
        <v/>
      </c>
      <c r="H2751" s="13">
        <f>IF(A2751="",0,B2751*(92*IF(OR(C2751=Options!$B$9,C2751=Options!$B$10),75%,100%)-IF(C2751=DATE(2026,11,29),26+IF(Options!$B$8="是",23,0),0)-IF(C2751=DATE(2026,11,30),26,0)-IF(C2751=DATE(2026,12,1),64,0)-IF(C2751=DATE(2026,11,28),38,0)-IF(C2751=DATE(2026,12,2),26,0)))</f>
        <v/>
      </c>
      <c r="I2751" s="13">
        <f>IF(AND(C2751&gt;=DATE(2026,11,29),C2751&lt;=DATE(2026,12,1)),B2751*60,0)</f>
        <v/>
      </c>
      <c r="J2751" s="13">
        <f>IF(A2751="",0,B2751*(IF(C2751=DATE(2026,11,28),38,0)+IF(C2751=DATE(2026,12,1),38,0)+IF(C2751=DATE(2026,12,2),26,0)))</f>
        <v/>
      </c>
      <c r="K2751" s="13">
        <f>IF(C2751=Options!$B$9,B2751*12,0)</f>
        <v/>
      </c>
      <c r="L2751" s="13">
        <f>IF(C2751=Options!$B$9,B2751*Options!$Z$8,0)</f>
        <v/>
      </c>
      <c r="M2751" s="13" t="n">
        <v>0</v>
      </c>
      <c r="N2751" s="13">
        <f>SUM(E2751:M2751)</f>
        <v/>
      </c>
    </row>
    <row r="2752">
      <c r="A2752" s="5">
        <f>IF(AND(C2752&gt;=Options!$B$9,C2752&lt;=Options!$B$10),"Boston","")</f>
        <v/>
      </c>
      <c r="B2752" s="5">
        <f>IF(A2752="","",24)</f>
        <v/>
      </c>
      <c r="C2752" s="17" t="n">
        <v>46488</v>
      </c>
      <c r="D2752" s="5">
        <f>IF(A2752="","",IF(C2752=DATE(2026,11,29),"培训；注册午餐；早餐参数",IF(C2752=DATE(2026,11,30),"培训；注册午餐",IF(C2752=DATE(2026,12,1),"培训；注册午餐；机构晚餐",IF(C2752=Options!$B$9,"抵达；"&amp;IF(C2752=DATE(2026,11,28),"机构晚餐","无统一供餐"),IF(C2752=Options!$B$10,"返程；"&amp;IF(C2752=DATE(2026,12,2),"机构午餐","无统一供餐"),"差旅状态；无统一日程"))))))</f>
        <v/>
      </c>
      <c r="E2752" s="13">
        <f>IF(C2752=Options!$B$9,Options!$C$21,0)</f>
        <v/>
      </c>
      <c r="F2752" s="13">
        <f>IF(AND(A2752&lt;&gt;"",C2752&lt;Options!$B$10),B2752*Options!$X$8,0)</f>
        <v/>
      </c>
      <c r="G2752" s="13">
        <f>F2752*12%</f>
        <v/>
      </c>
      <c r="H2752" s="13">
        <f>IF(A2752="",0,B2752*(92*IF(OR(C2752=Options!$B$9,C2752=Options!$B$10),75%,100%)-IF(C2752=DATE(2026,11,29),26+IF(Options!$B$8="是",23,0),0)-IF(C2752=DATE(2026,11,30),26,0)-IF(C2752=DATE(2026,12,1),64,0)-IF(C2752=DATE(2026,11,28),38,0)-IF(C2752=DATE(2026,12,2),26,0)))</f>
        <v/>
      </c>
      <c r="I2752" s="13">
        <f>IF(AND(C2752&gt;=DATE(2026,11,29),C2752&lt;=DATE(2026,12,1)),B2752*60,0)</f>
        <v/>
      </c>
      <c r="J2752" s="13">
        <f>IF(A2752="",0,B2752*(IF(C2752=DATE(2026,11,28),38,0)+IF(C2752=DATE(2026,12,1),38,0)+IF(C2752=DATE(2026,12,2),26,0)))</f>
        <v/>
      </c>
      <c r="K2752" s="13">
        <f>IF(C2752=Options!$B$9,B2752*12,0)</f>
        <v/>
      </c>
      <c r="L2752" s="13">
        <f>IF(C2752=Options!$B$9,B2752*Options!$Z$8,0)</f>
        <v/>
      </c>
      <c r="M2752" s="13" t="n">
        <v>0</v>
      </c>
      <c r="N2752" s="13">
        <f>SUM(E2752:M2752)</f>
        <v/>
      </c>
    </row>
    <row r="2753">
      <c r="A2753" s="5">
        <f>IF(AND(C2753&gt;=Options!$B$9,C2753&lt;=Options!$B$10),"Boston","")</f>
        <v/>
      </c>
      <c r="B2753" s="5">
        <f>IF(A2753="","",24)</f>
        <v/>
      </c>
      <c r="C2753" s="17" t="n">
        <v>46489</v>
      </c>
      <c r="D2753" s="5">
        <f>IF(A2753="","",IF(C2753=DATE(2026,11,29),"培训；注册午餐；早餐参数",IF(C2753=DATE(2026,11,30),"培训；注册午餐",IF(C2753=DATE(2026,12,1),"培训；注册午餐；机构晚餐",IF(C2753=Options!$B$9,"抵达；"&amp;IF(C2753=DATE(2026,11,28),"机构晚餐","无统一供餐"),IF(C2753=Options!$B$10,"返程；"&amp;IF(C2753=DATE(2026,12,2),"机构午餐","无统一供餐"),"差旅状态；无统一日程"))))))</f>
        <v/>
      </c>
      <c r="E2753" s="13">
        <f>IF(C2753=Options!$B$9,Options!$C$21,0)</f>
        <v/>
      </c>
      <c r="F2753" s="13">
        <f>IF(AND(A2753&lt;&gt;"",C2753&lt;Options!$B$10),B2753*Options!$X$8,0)</f>
        <v/>
      </c>
      <c r="G2753" s="13">
        <f>F2753*12%</f>
        <v/>
      </c>
      <c r="H2753" s="13">
        <f>IF(A2753="",0,B2753*(92*IF(OR(C2753=Options!$B$9,C2753=Options!$B$10),75%,100%)-IF(C2753=DATE(2026,11,29),26+IF(Options!$B$8="是",23,0),0)-IF(C2753=DATE(2026,11,30),26,0)-IF(C2753=DATE(2026,12,1),64,0)-IF(C2753=DATE(2026,11,28),38,0)-IF(C2753=DATE(2026,12,2),26,0)))</f>
        <v/>
      </c>
      <c r="I2753" s="13">
        <f>IF(AND(C2753&gt;=DATE(2026,11,29),C2753&lt;=DATE(2026,12,1)),B2753*60,0)</f>
        <v/>
      </c>
      <c r="J2753" s="13">
        <f>IF(A2753="",0,B2753*(IF(C2753=DATE(2026,11,28),38,0)+IF(C2753=DATE(2026,12,1),38,0)+IF(C2753=DATE(2026,12,2),26,0)))</f>
        <v/>
      </c>
      <c r="K2753" s="13">
        <f>IF(C2753=Options!$B$9,B2753*12,0)</f>
        <v/>
      </c>
      <c r="L2753" s="13">
        <f>IF(C2753=Options!$B$9,B2753*Options!$Z$8,0)</f>
        <v/>
      </c>
      <c r="M2753" s="13" t="n">
        <v>0</v>
      </c>
      <c r="N2753" s="13">
        <f>SUM(E2753:M2753)</f>
        <v/>
      </c>
    </row>
    <row r="2754">
      <c r="A2754" s="5">
        <f>IF(AND(C2754&gt;=Options!$B$9,C2754&lt;=Options!$B$10),"Boston","")</f>
        <v/>
      </c>
      <c r="B2754" s="5">
        <f>IF(A2754="","",24)</f>
        <v/>
      </c>
      <c r="C2754" s="17" t="n">
        <v>46490</v>
      </c>
      <c r="D2754" s="5">
        <f>IF(A2754="","",IF(C2754=DATE(2026,11,29),"培训；注册午餐；早餐参数",IF(C2754=DATE(2026,11,30),"培训；注册午餐",IF(C2754=DATE(2026,12,1),"培训；注册午餐；机构晚餐",IF(C2754=Options!$B$9,"抵达；"&amp;IF(C2754=DATE(2026,11,28),"机构晚餐","无统一供餐"),IF(C2754=Options!$B$10,"返程；"&amp;IF(C2754=DATE(2026,12,2),"机构午餐","无统一供餐"),"差旅状态；无统一日程"))))))</f>
        <v/>
      </c>
      <c r="E2754" s="13">
        <f>IF(C2754=Options!$B$9,Options!$C$21,0)</f>
        <v/>
      </c>
      <c r="F2754" s="13">
        <f>IF(AND(A2754&lt;&gt;"",C2754&lt;Options!$B$10),B2754*Options!$X$8,0)</f>
        <v/>
      </c>
      <c r="G2754" s="13">
        <f>F2754*12%</f>
        <v/>
      </c>
      <c r="H2754" s="13">
        <f>IF(A2754="",0,B2754*(92*IF(OR(C2754=Options!$B$9,C2754=Options!$B$10),75%,100%)-IF(C2754=DATE(2026,11,29),26+IF(Options!$B$8="是",23,0),0)-IF(C2754=DATE(2026,11,30),26,0)-IF(C2754=DATE(2026,12,1),64,0)-IF(C2754=DATE(2026,11,28),38,0)-IF(C2754=DATE(2026,12,2),26,0)))</f>
        <v/>
      </c>
      <c r="I2754" s="13">
        <f>IF(AND(C2754&gt;=DATE(2026,11,29),C2754&lt;=DATE(2026,12,1)),B2754*60,0)</f>
        <v/>
      </c>
      <c r="J2754" s="13">
        <f>IF(A2754="",0,B2754*(IF(C2754=DATE(2026,11,28),38,0)+IF(C2754=DATE(2026,12,1),38,0)+IF(C2754=DATE(2026,12,2),26,0)))</f>
        <v/>
      </c>
      <c r="K2754" s="13">
        <f>IF(C2754=Options!$B$9,B2754*12,0)</f>
        <v/>
      </c>
      <c r="L2754" s="13">
        <f>IF(C2754=Options!$B$9,B2754*Options!$Z$8,0)</f>
        <v/>
      </c>
      <c r="M2754" s="13" t="n">
        <v>0</v>
      </c>
      <c r="N2754" s="13">
        <f>SUM(E2754:M2754)</f>
        <v/>
      </c>
    </row>
    <row r="2755">
      <c r="A2755" s="5">
        <f>IF(AND(C2755&gt;=Options!$B$9,C2755&lt;=Options!$B$10),"Boston","")</f>
        <v/>
      </c>
      <c r="B2755" s="5">
        <f>IF(A2755="","",24)</f>
        <v/>
      </c>
      <c r="C2755" s="17" t="n">
        <v>46491</v>
      </c>
      <c r="D2755" s="5">
        <f>IF(A2755="","",IF(C2755=DATE(2026,11,29),"培训；注册午餐；早餐参数",IF(C2755=DATE(2026,11,30),"培训；注册午餐",IF(C2755=DATE(2026,12,1),"培训；注册午餐；机构晚餐",IF(C2755=Options!$B$9,"抵达；"&amp;IF(C2755=DATE(2026,11,28),"机构晚餐","无统一供餐"),IF(C2755=Options!$B$10,"返程；"&amp;IF(C2755=DATE(2026,12,2),"机构午餐","无统一供餐"),"差旅状态；无统一日程"))))))</f>
        <v/>
      </c>
      <c r="E2755" s="13">
        <f>IF(C2755=Options!$B$9,Options!$C$21,0)</f>
        <v/>
      </c>
      <c r="F2755" s="13">
        <f>IF(AND(A2755&lt;&gt;"",C2755&lt;Options!$B$10),B2755*Options!$X$8,0)</f>
        <v/>
      </c>
      <c r="G2755" s="13">
        <f>F2755*12%</f>
        <v/>
      </c>
      <c r="H2755" s="13">
        <f>IF(A2755="",0,B2755*(92*IF(OR(C2755=Options!$B$9,C2755=Options!$B$10),75%,100%)-IF(C2755=DATE(2026,11,29),26+IF(Options!$B$8="是",23,0),0)-IF(C2755=DATE(2026,11,30),26,0)-IF(C2755=DATE(2026,12,1),64,0)-IF(C2755=DATE(2026,11,28),38,0)-IF(C2755=DATE(2026,12,2),26,0)))</f>
        <v/>
      </c>
      <c r="I2755" s="13">
        <f>IF(AND(C2755&gt;=DATE(2026,11,29),C2755&lt;=DATE(2026,12,1)),B2755*60,0)</f>
        <v/>
      </c>
      <c r="J2755" s="13">
        <f>IF(A2755="",0,B2755*(IF(C2755=DATE(2026,11,28),38,0)+IF(C2755=DATE(2026,12,1),38,0)+IF(C2755=DATE(2026,12,2),26,0)))</f>
        <v/>
      </c>
      <c r="K2755" s="13">
        <f>IF(C2755=Options!$B$9,B2755*12,0)</f>
        <v/>
      </c>
      <c r="L2755" s="13">
        <f>IF(C2755=Options!$B$9,B2755*Options!$Z$8,0)</f>
        <v/>
      </c>
      <c r="M2755" s="13" t="n">
        <v>0</v>
      </c>
      <c r="N2755" s="13">
        <f>SUM(E2755:M2755)</f>
        <v/>
      </c>
    </row>
    <row r="2756">
      <c r="A2756" s="5">
        <f>IF(AND(C2756&gt;=Options!$B$9,C2756&lt;=Options!$B$10),"Boston","")</f>
        <v/>
      </c>
      <c r="B2756" s="5">
        <f>IF(A2756="","",24)</f>
        <v/>
      </c>
      <c r="C2756" s="17" t="n">
        <v>46492</v>
      </c>
      <c r="D2756" s="5">
        <f>IF(A2756="","",IF(C2756=DATE(2026,11,29),"培训；注册午餐；早餐参数",IF(C2756=DATE(2026,11,30),"培训；注册午餐",IF(C2756=DATE(2026,12,1),"培训；注册午餐；机构晚餐",IF(C2756=Options!$B$9,"抵达；"&amp;IF(C2756=DATE(2026,11,28),"机构晚餐","无统一供餐"),IF(C2756=Options!$B$10,"返程；"&amp;IF(C2756=DATE(2026,12,2),"机构午餐","无统一供餐"),"差旅状态；无统一日程"))))))</f>
        <v/>
      </c>
      <c r="E2756" s="13">
        <f>IF(C2756=Options!$B$9,Options!$C$21,0)</f>
        <v/>
      </c>
      <c r="F2756" s="13">
        <f>IF(AND(A2756&lt;&gt;"",C2756&lt;Options!$B$10),B2756*Options!$X$8,0)</f>
        <v/>
      </c>
      <c r="G2756" s="13">
        <f>F2756*12%</f>
        <v/>
      </c>
      <c r="H2756" s="13">
        <f>IF(A2756="",0,B2756*(92*IF(OR(C2756=Options!$B$9,C2756=Options!$B$10),75%,100%)-IF(C2756=DATE(2026,11,29),26+IF(Options!$B$8="是",23,0),0)-IF(C2756=DATE(2026,11,30),26,0)-IF(C2756=DATE(2026,12,1),64,0)-IF(C2756=DATE(2026,11,28),38,0)-IF(C2756=DATE(2026,12,2),26,0)))</f>
        <v/>
      </c>
      <c r="I2756" s="13">
        <f>IF(AND(C2756&gt;=DATE(2026,11,29),C2756&lt;=DATE(2026,12,1)),B2756*60,0)</f>
        <v/>
      </c>
      <c r="J2756" s="13">
        <f>IF(A2756="",0,B2756*(IF(C2756=DATE(2026,11,28),38,0)+IF(C2756=DATE(2026,12,1),38,0)+IF(C2756=DATE(2026,12,2),26,0)))</f>
        <v/>
      </c>
      <c r="K2756" s="13">
        <f>IF(C2756=Options!$B$9,B2756*12,0)</f>
        <v/>
      </c>
      <c r="L2756" s="13">
        <f>IF(C2756=Options!$B$9,B2756*Options!$Z$8,0)</f>
        <v/>
      </c>
      <c r="M2756" s="13" t="n">
        <v>0</v>
      </c>
      <c r="N2756" s="13">
        <f>SUM(E2756:M2756)</f>
        <v/>
      </c>
    </row>
    <row r="2757">
      <c r="A2757" s="5">
        <f>IF(AND(C2757&gt;=Options!$B$9,C2757&lt;=Options!$B$10),"Boston","")</f>
        <v/>
      </c>
      <c r="B2757" s="5">
        <f>IF(A2757="","",24)</f>
        <v/>
      </c>
      <c r="C2757" s="17" t="n">
        <v>46493</v>
      </c>
      <c r="D2757" s="5">
        <f>IF(A2757="","",IF(C2757=DATE(2026,11,29),"培训；注册午餐；早餐参数",IF(C2757=DATE(2026,11,30),"培训；注册午餐",IF(C2757=DATE(2026,12,1),"培训；注册午餐；机构晚餐",IF(C2757=Options!$B$9,"抵达；"&amp;IF(C2757=DATE(2026,11,28),"机构晚餐","无统一供餐"),IF(C2757=Options!$B$10,"返程；"&amp;IF(C2757=DATE(2026,12,2),"机构午餐","无统一供餐"),"差旅状态；无统一日程"))))))</f>
        <v/>
      </c>
      <c r="E2757" s="13">
        <f>IF(C2757=Options!$B$9,Options!$C$21,0)</f>
        <v/>
      </c>
      <c r="F2757" s="13">
        <f>IF(AND(A2757&lt;&gt;"",C2757&lt;Options!$B$10),B2757*Options!$X$8,0)</f>
        <v/>
      </c>
      <c r="G2757" s="13">
        <f>F2757*12%</f>
        <v/>
      </c>
      <c r="H2757" s="13">
        <f>IF(A2757="",0,B2757*(92*IF(OR(C2757=Options!$B$9,C2757=Options!$B$10),75%,100%)-IF(C2757=DATE(2026,11,29),26+IF(Options!$B$8="是",23,0),0)-IF(C2757=DATE(2026,11,30),26,0)-IF(C2757=DATE(2026,12,1),64,0)-IF(C2757=DATE(2026,11,28),38,0)-IF(C2757=DATE(2026,12,2),26,0)))</f>
        <v/>
      </c>
      <c r="I2757" s="13">
        <f>IF(AND(C2757&gt;=DATE(2026,11,29),C2757&lt;=DATE(2026,12,1)),B2757*60,0)</f>
        <v/>
      </c>
      <c r="J2757" s="13">
        <f>IF(A2757="",0,B2757*(IF(C2757=DATE(2026,11,28),38,0)+IF(C2757=DATE(2026,12,1),38,0)+IF(C2757=DATE(2026,12,2),26,0)))</f>
        <v/>
      </c>
      <c r="K2757" s="13">
        <f>IF(C2757=Options!$B$9,B2757*12,0)</f>
        <v/>
      </c>
      <c r="L2757" s="13">
        <f>IF(C2757=Options!$B$9,B2757*Options!$Z$8,0)</f>
        <v/>
      </c>
      <c r="M2757" s="13" t="n">
        <v>0</v>
      </c>
      <c r="N2757" s="13">
        <f>SUM(E2757:M2757)</f>
        <v/>
      </c>
    </row>
    <row r="2758">
      <c r="A2758" s="5">
        <f>IF(AND(C2758&gt;=Options!$B$9,C2758&lt;=Options!$B$10),"Boston","")</f>
        <v/>
      </c>
      <c r="B2758" s="5">
        <f>IF(A2758="","",24)</f>
        <v/>
      </c>
      <c r="C2758" s="17" t="n">
        <v>46494</v>
      </c>
      <c r="D2758" s="5">
        <f>IF(A2758="","",IF(C2758=DATE(2026,11,29),"培训；注册午餐；早餐参数",IF(C2758=DATE(2026,11,30),"培训；注册午餐",IF(C2758=DATE(2026,12,1),"培训；注册午餐；机构晚餐",IF(C2758=Options!$B$9,"抵达；"&amp;IF(C2758=DATE(2026,11,28),"机构晚餐","无统一供餐"),IF(C2758=Options!$B$10,"返程；"&amp;IF(C2758=DATE(2026,12,2),"机构午餐","无统一供餐"),"差旅状态；无统一日程"))))))</f>
        <v/>
      </c>
      <c r="E2758" s="13">
        <f>IF(C2758=Options!$B$9,Options!$C$21,0)</f>
        <v/>
      </c>
      <c r="F2758" s="13">
        <f>IF(AND(A2758&lt;&gt;"",C2758&lt;Options!$B$10),B2758*Options!$X$8,0)</f>
        <v/>
      </c>
      <c r="G2758" s="13">
        <f>F2758*12%</f>
        <v/>
      </c>
      <c r="H2758" s="13">
        <f>IF(A2758="",0,B2758*(92*IF(OR(C2758=Options!$B$9,C2758=Options!$B$10),75%,100%)-IF(C2758=DATE(2026,11,29),26+IF(Options!$B$8="是",23,0),0)-IF(C2758=DATE(2026,11,30),26,0)-IF(C2758=DATE(2026,12,1),64,0)-IF(C2758=DATE(2026,11,28),38,0)-IF(C2758=DATE(2026,12,2),26,0)))</f>
        <v/>
      </c>
      <c r="I2758" s="13">
        <f>IF(AND(C2758&gt;=DATE(2026,11,29),C2758&lt;=DATE(2026,12,1)),B2758*60,0)</f>
        <v/>
      </c>
      <c r="J2758" s="13">
        <f>IF(A2758="",0,B2758*(IF(C2758=DATE(2026,11,28),38,0)+IF(C2758=DATE(2026,12,1),38,0)+IF(C2758=DATE(2026,12,2),26,0)))</f>
        <v/>
      </c>
      <c r="K2758" s="13">
        <f>IF(C2758=Options!$B$9,B2758*12,0)</f>
        <v/>
      </c>
      <c r="L2758" s="13">
        <f>IF(C2758=Options!$B$9,B2758*Options!$Z$8,0)</f>
        <v/>
      </c>
      <c r="M2758" s="13" t="n">
        <v>0</v>
      </c>
      <c r="N2758" s="13">
        <f>SUM(E2758:M2758)</f>
        <v/>
      </c>
    </row>
    <row r="2759">
      <c r="A2759" s="5">
        <f>IF(AND(C2759&gt;=Options!$B$9,C2759&lt;=Options!$B$10),"Boston","")</f>
        <v/>
      </c>
      <c r="B2759" s="5">
        <f>IF(A2759="","",24)</f>
        <v/>
      </c>
      <c r="C2759" s="17" t="n">
        <v>46495</v>
      </c>
      <c r="D2759" s="5">
        <f>IF(A2759="","",IF(C2759=DATE(2026,11,29),"培训；注册午餐；早餐参数",IF(C2759=DATE(2026,11,30),"培训；注册午餐",IF(C2759=DATE(2026,12,1),"培训；注册午餐；机构晚餐",IF(C2759=Options!$B$9,"抵达；"&amp;IF(C2759=DATE(2026,11,28),"机构晚餐","无统一供餐"),IF(C2759=Options!$B$10,"返程；"&amp;IF(C2759=DATE(2026,12,2),"机构午餐","无统一供餐"),"差旅状态；无统一日程"))))))</f>
        <v/>
      </c>
      <c r="E2759" s="13">
        <f>IF(C2759=Options!$B$9,Options!$C$21,0)</f>
        <v/>
      </c>
      <c r="F2759" s="13">
        <f>IF(AND(A2759&lt;&gt;"",C2759&lt;Options!$B$10),B2759*Options!$X$8,0)</f>
        <v/>
      </c>
      <c r="G2759" s="13">
        <f>F2759*12%</f>
        <v/>
      </c>
      <c r="H2759" s="13">
        <f>IF(A2759="",0,B2759*(92*IF(OR(C2759=Options!$B$9,C2759=Options!$B$10),75%,100%)-IF(C2759=DATE(2026,11,29),26+IF(Options!$B$8="是",23,0),0)-IF(C2759=DATE(2026,11,30),26,0)-IF(C2759=DATE(2026,12,1),64,0)-IF(C2759=DATE(2026,11,28),38,0)-IF(C2759=DATE(2026,12,2),26,0)))</f>
        <v/>
      </c>
      <c r="I2759" s="13">
        <f>IF(AND(C2759&gt;=DATE(2026,11,29),C2759&lt;=DATE(2026,12,1)),B2759*60,0)</f>
        <v/>
      </c>
      <c r="J2759" s="13">
        <f>IF(A2759="",0,B2759*(IF(C2759=DATE(2026,11,28),38,0)+IF(C2759=DATE(2026,12,1),38,0)+IF(C2759=DATE(2026,12,2),26,0)))</f>
        <v/>
      </c>
      <c r="K2759" s="13">
        <f>IF(C2759=Options!$B$9,B2759*12,0)</f>
        <v/>
      </c>
      <c r="L2759" s="13">
        <f>IF(C2759=Options!$B$9,B2759*Options!$Z$8,0)</f>
        <v/>
      </c>
      <c r="M2759" s="13" t="n">
        <v>0</v>
      </c>
      <c r="N2759" s="13">
        <f>SUM(E2759:M2759)</f>
        <v/>
      </c>
    </row>
    <row r="2760">
      <c r="A2760" s="5">
        <f>IF(AND(C2760&gt;=Options!$B$9,C2760&lt;=Options!$B$10),"Boston","")</f>
        <v/>
      </c>
      <c r="B2760" s="5">
        <f>IF(A2760="","",24)</f>
        <v/>
      </c>
      <c r="C2760" s="17" t="n">
        <v>46496</v>
      </c>
      <c r="D2760" s="5">
        <f>IF(A2760="","",IF(C2760=DATE(2026,11,29),"培训；注册午餐；早餐参数",IF(C2760=DATE(2026,11,30),"培训；注册午餐",IF(C2760=DATE(2026,12,1),"培训；注册午餐；机构晚餐",IF(C2760=Options!$B$9,"抵达；"&amp;IF(C2760=DATE(2026,11,28),"机构晚餐","无统一供餐"),IF(C2760=Options!$B$10,"返程；"&amp;IF(C2760=DATE(2026,12,2),"机构午餐","无统一供餐"),"差旅状态；无统一日程"))))))</f>
        <v/>
      </c>
      <c r="E2760" s="13">
        <f>IF(C2760=Options!$B$9,Options!$C$21,0)</f>
        <v/>
      </c>
      <c r="F2760" s="13">
        <f>IF(AND(A2760&lt;&gt;"",C2760&lt;Options!$B$10),B2760*Options!$X$8,0)</f>
        <v/>
      </c>
      <c r="G2760" s="13">
        <f>F2760*12%</f>
        <v/>
      </c>
      <c r="H2760" s="13">
        <f>IF(A2760="",0,B2760*(92*IF(OR(C2760=Options!$B$9,C2760=Options!$B$10),75%,100%)-IF(C2760=DATE(2026,11,29),26+IF(Options!$B$8="是",23,0),0)-IF(C2760=DATE(2026,11,30),26,0)-IF(C2760=DATE(2026,12,1),64,0)-IF(C2760=DATE(2026,11,28),38,0)-IF(C2760=DATE(2026,12,2),26,0)))</f>
        <v/>
      </c>
      <c r="I2760" s="13">
        <f>IF(AND(C2760&gt;=DATE(2026,11,29),C2760&lt;=DATE(2026,12,1)),B2760*60,0)</f>
        <v/>
      </c>
      <c r="J2760" s="13">
        <f>IF(A2760="",0,B2760*(IF(C2760=DATE(2026,11,28),38,0)+IF(C2760=DATE(2026,12,1),38,0)+IF(C2760=DATE(2026,12,2),26,0)))</f>
        <v/>
      </c>
      <c r="K2760" s="13">
        <f>IF(C2760=Options!$B$9,B2760*12,0)</f>
        <v/>
      </c>
      <c r="L2760" s="13">
        <f>IF(C2760=Options!$B$9,B2760*Options!$Z$8,0)</f>
        <v/>
      </c>
      <c r="M2760" s="13" t="n">
        <v>0</v>
      </c>
      <c r="N2760" s="13">
        <f>SUM(E2760:M2760)</f>
        <v/>
      </c>
    </row>
    <row r="2761">
      <c r="A2761" s="5">
        <f>IF(AND(C2761&gt;=Options!$B$9,C2761&lt;=Options!$B$10),"Boston","")</f>
        <v/>
      </c>
      <c r="B2761" s="5">
        <f>IF(A2761="","",24)</f>
        <v/>
      </c>
      <c r="C2761" s="17" t="n">
        <v>46497</v>
      </c>
      <c r="D2761" s="5">
        <f>IF(A2761="","",IF(C2761=DATE(2026,11,29),"培训；注册午餐；早餐参数",IF(C2761=DATE(2026,11,30),"培训；注册午餐",IF(C2761=DATE(2026,12,1),"培训；注册午餐；机构晚餐",IF(C2761=Options!$B$9,"抵达；"&amp;IF(C2761=DATE(2026,11,28),"机构晚餐","无统一供餐"),IF(C2761=Options!$B$10,"返程；"&amp;IF(C2761=DATE(2026,12,2),"机构午餐","无统一供餐"),"差旅状态；无统一日程"))))))</f>
        <v/>
      </c>
      <c r="E2761" s="13">
        <f>IF(C2761=Options!$B$9,Options!$C$21,0)</f>
        <v/>
      </c>
      <c r="F2761" s="13">
        <f>IF(AND(A2761&lt;&gt;"",C2761&lt;Options!$B$10),B2761*Options!$X$8,0)</f>
        <v/>
      </c>
      <c r="G2761" s="13">
        <f>F2761*12%</f>
        <v/>
      </c>
      <c r="H2761" s="13">
        <f>IF(A2761="",0,B2761*(92*IF(OR(C2761=Options!$B$9,C2761=Options!$B$10),75%,100%)-IF(C2761=DATE(2026,11,29),26+IF(Options!$B$8="是",23,0),0)-IF(C2761=DATE(2026,11,30),26,0)-IF(C2761=DATE(2026,12,1),64,0)-IF(C2761=DATE(2026,11,28),38,0)-IF(C2761=DATE(2026,12,2),26,0)))</f>
        <v/>
      </c>
      <c r="I2761" s="13">
        <f>IF(AND(C2761&gt;=DATE(2026,11,29),C2761&lt;=DATE(2026,12,1)),B2761*60,0)</f>
        <v/>
      </c>
      <c r="J2761" s="13">
        <f>IF(A2761="",0,B2761*(IF(C2761=DATE(2026,11,28),38,0)+IF(C2761=DATE(2026,12,1),38,0)+IF(C2761=DATE(2026,12,2),26,0)))</f>
        <v/>
      </c>
      <c r="K2761" s="13">
        <f>IF(C2761=Options!$B$9,B2761*12,0)</f>
        <v/>
      </c>
      <c r="L2761" s="13">
        <f>IF(C2761=Options!$B$9,B2761*Options!$Z$8,0)</f>
        <v/>
      </c>
      <c r="M2761" s="13" t="n">
        <v>0</v>
      </c>
      <c r="N2761" s="13">
        <f>SUM(E2761:M2761)</f>
        <v/>
      </c>
    </row>
    <row r="2762">
      <c r="A2762" s="5">
        <f>IF(AND(C2762&gt;=Options!$B$9,C2762&lt;=Options!$B$10),"Boston","")</f>
        <v/>
      </c>
      <c r="B2762" s="5">
        <f>IF(A2762="","",24)</f>
        <v/>
      </c>
      <c r="C2762" s="17" t="n">
        <v>46498</v>
      </c>
      <c r="D2762" s="5">
        <f>IF(A2762="","",IF(C2762=DATE(2026,11,29),"培训；注册午餐；早餐参数",IF(C2762=DATE(2026,11,30),"培训；注册午餐",IF(C2762=DATE(2026,12,1),"培训；注册午餐；机构晚餐",IF(C2762=Options!$B$9,"抵达；"&amp;IF(C2762=DATE(2026,11,28),"机构晚餐","无统一供餐"),IF(C2762=Options!$B$10,"返程；"&amp;IF(C2762=DATE(2026,12,2),"机构午餐","无统一供餐"),"差旅状态；无统一日程"))))))</f>
        <v/>
      </c>
      <c r="E2762" s="13">
        <f>IF(C2762=Options!$B$9,Options!$C$21,0)</f>
        <v/>
      </c>
      <c r="F2762" s="13">
        <f>IF(AND(A2762&lt;&gt;"",C2762&lt;Options!$B$10),B2762*Options!$X$8,0)</f>
        <v/>
      </c>
      <c r="G2762" s="13">
        <f>F2762*12%</f>
        <v/>
      </c>
      <c r="H2762" s="13">
        <f>IF(A2762="",0,B2762*(92*IF(OR(C2762=Options!$B$9,C2762=Options!$B$10),75%,100%)-IF(C2762=DATE(2026,11,29),26+IF(Options!$B$8="是",23,0),0)-IF(C2762=DATE(2026,11,30),26,0)-IF(C2762=DATE(2026,12,1),64,0)-IF(C2762=DATE(2026,11,28),38,0)-IF(C2762=DATE(2026,12,2),26,0)))</f>
        <v/>
      </c>
      <c r="I2762" s="13">
        <f>IF(AND(C2762&gt;=DATE(2026,11,29),C2762&lt;=DATE(2026,12,1)),B2762*60,0)</f>
        <v/>
      </c>
      <c r="J2762" s="13">
        <f>IF(A2762="",0,B2762*(IF(C2762=DATE(2026,11,28),38,0)+IF(C2762=DATE(2026,12,1),38,0)+IF(C2762=DATE(2026,12,2),26,0)))</f>
        <v/>
      </c>
      <c r="K2762" s="13">
        <f>IF(C2762=Options!$B$9,B2762*12,0)</f>
        <v/>
      </c>
      <c r="L2762" s="13">
        <f>IF(C2762=Options!$B$9,B2762*Options!$Z$8,0)</f>
        <v/>
      </c>
      <c r="M2762" s="13" t="n">
        <v>0</v>
      </c>
      <c r="N2762" s="13">
        <f>SUM(E2762:M2762)</f>
        <v/>
      </c>
    </row>
    <row r="2763">
      <c r="A2763" s="5">
        <f>IF(AND(C2763&gt;=Options!$B$9,C2763&lt;=Options!$B$10),"Boston","")</f>
        <v/>
      </c>
      <c r="B2763" s="5">
        <f>IF(A2763="","",24)</f>
        <v/>
      </c>
      <c r="C2763" s="17" t="n">
        <v>46499</v>
      </c>
      <c r="D2763" s="5">
        <f>IF(A2763="","",IF(C2763=DATE(2026,11,29),"培训；注册午餐；早餐参数",IF(C2763=DATE(2026,11,30),"培训；注册午餐",IF(C2763=DATE(2026,12,1),"培训；注册午餐；机构晚餐",IF(C2763=Options!$B$9,"抵达；"&amp;IF(C2763=DATE(2026,11,28),"机构晚餐","无统一供餐"),IF(C2763=Options!$B$10,"返程；"&amp;IF(C2763=DATE(2026,12,2),"机构午餐","无统一供餐"),"差旅状态；无统一日程"))))))</f>
        <v/>
      </c>
      <c r="E2763" s="13">
        <f>IF(C2763=Options!$B$9,Options!$C$21,0)</f>
        <v/>
      </c>
      <c r="F2763" s="13">
        <f>IF(AND(A2763&lt;&gt;"",C2763&lt;Options!$B$10),B2763*Options!$X$8,0)</f>
        <v/>
      </c>
      <c r="G2763" s="13">
        <f>F2763*12%</f>
        <v/>
      </c>
      <c r="H2763" s="13">
        <f>IF(A2763="",0,B2763*(92*IF(OR(C2763=Options!$B$9,C2763=Options!$B$10),75%,100%)-IF(C2763=DATE(2026,11,29),26+IF(Options!$B$8="是",23,0),0)-IF(C2763=DATE(2026,11,30),26,0)-IF(C2763=DATE(2026,12,1),64,0)-IF(C2763=DATE(2026,11,28),38,0)-IF(C2763=DATE(2026,12,2),26,0)))</f>
        <v/>
      </c>
      <c r="I2763" s="13">
        <f>IF(AND(C2763&gt;=DATE(2026,11,29),C2763&lt;=DATE(2026,12,1)),B2763*60,0)</f>
        <v/>
      </c>
      <c r="J2763" s="13">
        <f>IF(A2763="",0,B2763*(IF(C2763=DATE(2026,11,28),38,0)+IF(C2763=DATE(2026,12,1),38,0)+IF(C2763=DATE(2026,12,2),26,0)))</f>
        <v/>
      </c>
      <c r="K2763" s="13">
        <f>IF(C2763=Options!$B$9,B2763*12,0)</f>
        <v/>
      </c>
      <c r="L2763" s="13">
        <f>IF(C2763=Options!$B$9,B2763*Options!$Z$8,0)</f>
        <v/>
      </c>
      <c r="M2763" s="13" t="n">
        <v>0</v>
      </c>
      <c r="N2763" s="13">
        <f>SUM(E2763:M2763)</f>
        <v/>
      </c>
    </row>
    <row r="2764">
      <c r="A2764" s="5">
        <f>IF(AND(C2764&gt;=Options!$B$9,C2764&lt;=Options!$B$10),"Boston","")</f>
        <v/>
      </c>
      <c r="B2764" s="5">
        <f>IF(A2764="","",24)</f>
        <v/>
      </c>
      <c r="C2764" s="17" t="n">
        <v>46500</v>
      </c>
      <c r="D2764" s="5">
        <f>IF(A2764="","",IF(C2764=DATE(2026,11,29),"培训；注册午餐；早餐参数",IF(C2764=DATE(2026,11,30),"培训；注册午餐",IF(C2764=DATE(2026,12,1),"培训；注册午餐；机构晚餐",IF(C2764=Options!$B$9,"抵达；"&amp;IF(C2764=DATE(2026,11,28),"机构晚餐","无统一供餐"),IF(C2764=Options!$B$10,"返程；"&amp;IF(C2764=DATE(2026,12,2),"机构午餐","无统一供餐"),"差旅状态；无统一日程"))))))</f>
        <v/>
      </c>
      <c r="E2764" s="13">
        <f>IF(C2764=Options!$B$9,Options!$C$21,0)</f>
        <v/>
      </c>
      <c r="F2764" s="13">
        <f>IF(AND(A2764&lt;&gt;"",C2764&lt;Options!$B$10),B2764*Options!$X$8,0)</f>
        <v/>
      </c>
      <c r="G2764" s="13">
        <f>F2764*12%</f>
        <v/>
      </c>
      <c r="H2764" s="13">
        <f>IF(A2764="",0,B2764*(92*IF(OR(C2764=Options!$B$9,C2764=Options!$B$10),75%,100%)-IF(C2764=DATE(2026,11,29),26+IF(Options!$B$8="是",23,0),0)-IF(C2764=DATE(2026,11,30),26,0)-IF(C2764=DATE(2026,12,1),64,0)-IF(C2764=DATE(2026,11,28),38,0)-IF(C2764=DATE(2026,12,2),26,0)))</f>
        <v/>
      </c>
      <c r="I2764" s="13">
        <f>IF(AND(C2764&gt;=DATE(2026,11,29),C2764&lt;=DATE(2026,12,1)),B2764*60,0)</f>
        <v/>
      </c>
      <c r="J2764" s="13">
        <f>IF(A2764="",0,B2764*(IF(C2764=DATE(2026,11,28),38,0)+IF(C2764=DATE(2026,12,1),38,0)+IF(C2764=DATE(2026,12,2),26,0)))</f>
        <v/>
      </c>
      <c r="K2764" s="13">
        <f>IF(C2764=Options!$B$9,B2764*12,0)</f>
        <v/>
      </c>
      <c r="L2764" s="13">
        <f>IF(C2764=Options!$B$9,B2764*Options!$Z$8,0)</f>
        <v/>
      </c>
      <c r="M2764" s="13" t="n">
        <v>0</v>
      </c>
      <c r="N2764" s="13">
        <f>SUM(E2764:M2764)</f>
        <v/>
      </c>
    </row>
    <row r="2765">
      <c r="A2765" s="5">
        <f>IF(AND(C2765&gt;=Options!$B$9,C2765&lt;=Options!$B$10),"Boston","")</f>
        <v/>
      </c>
      <c r="B2765" s="5">
        <f>IF(A2765="","",24)</f>
        <v/>
      </c>
      <c r="C2765" s="17" t="n">
        <v>46501</v>
      </c>
      <c r="D2765" s="5">
        <f>IF(A2765="","",IF(C2765=DATE(2026,11,29),"培训；注册午餐；早餐参数",IF(C2765=DATE(2026,11,30),"培训；注册午餐",IF(C2765=DATE(2026,12,1),"培训；注册午餐；机构晚餐",IF(C2765=Options!$B$9,"抵达；"&amp;IF(C2765=DATE(2026,11,28),"机构晚餐","无统一供餐"),IF(C2765=Options!$B$10,"返程；"&amp;IF(C2765=DATE(2026,12,2),"机构午餐","无统一供餐"),"差旅状态；无统一日程"))))))</f>
        <v/>
      </c>
      <c r="E2765" s="13">
        <f>IF(C2765=Options!$B$9,Options!$C$21,0)</f>
        <v/>
      </c>
      <c r="F2765" s="13">
        <f>IF(AND(A2765&lt;&gt;"",C2765&lt;Options!$B$10),B2765*Options!$X$8,0)</f>
        <v/>
      </c>
      <c r="G2765" s="13">
        <f>F2765*12%</f>
        <v/>
      </c>
      <c r="H2765" s="13">
        <f>IF(A2765="",0,B2765*(92*IF(OR(C2765=Options!$B$9,C2765=Options!$B$10),75%,100%)-IF(C2765=DATE(2026,11,29),26+IF(Options!$B$8="是",23,0),0)-IF(C2765=DATE(2026,11,30),26,0)-IF(C2765=DATE(2026,12,1),64,0)-IF(C2765=DATE(2026,11,28),38,0)-IF(C2765=DATE(2026,12,2),26,0)))</f>
        <v/>
      </c>
      <c r="I2765" s="13">
        <f>IF(AND(C2765&gt;=DATE(2026,11,29),C2765&lt;=DATE(2026,12,1)),B2765*60,0)</f>
        <v/>
      </c>
      <c r="J2765" s="13">
        <f>IF(A2765="",0,B2765*(IF(C2765=DATE(2026,11,28),38,0)+IF(C2765=DATE(2026,12,1),38,0)+IF(C2765=DATE(2026,12,2),26,0)))</f>
        <v/>
      </c>
      <c r="K2765" s="13">
        <f>IF(C2765=Options!$B$9,B2765*12,0)</f>
        <v/>
      </c>
      <c r="L2765" s="13">
        <f>IF(C2765=Options!$B$9,B2765*Options!$Z$8,0)</f>
        <v/>
      </c>
      <c r="M2765" s="13" t="n">
        <v>0</v>
      </c>
      <c r="N2765" s="13">
        <f>SUM(E2765:M2765)</f>
        <v/>
      </c>
    </row>
    <row r="2766">
      <c r="A2766" s="5">
        <f>IF(AND(C2766&gt;=Options!$B$9,C2766&lt;=Options!$B$10),"Boston","")</f>
        <v/>
      </c>
      <c r="B2766" s="5">
        <f>IF(A2766="","",24)</f>
        <v/>
      </c>
      <c r="C2766" s="17" t="n">
        <v>46502</v>
      </c>
      <c r="D2766" s="5">
        <f>IF(A2766="","",IF(C2766=DATE(2026,11,29),"培训；注册午餐；早餐参数",IF(C2766=DATE(2026,11,30),"培训；注册午餐",IF(C2766=DATE(2026,12,1),"培训；注册午餐；机构晚餐",IF(C2766=Options!$B$9,"抵达；"&amp;IF(C2766=DATE(2026,11,28),"机构晚餐","无统一供餐"),IF(C2766=Options!$B$10,"返程；"&amp;IF(C2766=DATE(2026,12,2),"机构午餐","无统一供餐"),"差旅状态；无统一日程"))))))</f>
        <v/>
      </c>
      <c r="E2766" s="13">
        <f>IF(C2766=Options!$B$9,Options!$C$21,0)</f>
        <v/>
      </c>
      <c r="F2766" s="13">
        <f>IF(AND(A2766&lt;&gt;"",C2766&lt;Options!$B$10),B2766*Options!$X$8,0)</f>
        <v/>
      </c>
      <c r="G2766" s="13">
        <f>F2766*12%</f>
        <v/>
      </c>
      <c r="H2766" s="13">
        <f>IF(A2766="",0,B2766*(92*IF(OR(C2766=Options!$B$9,C2766=Options!$B$10),75%,100%)-IF(C2766=DATE(2026,11,29),26+IF(Options!$B$8="是",23,0),0)-IF(C2766=DATE(2026,11,30),26,0)-IF(C2766=DATE(2026,12,1),64,0)-IF(C2766=DATE(2026,11,28),38,0)-IF(C2766=DATE(2026,12,2),26,0)))</f>
        <v/>
      </c>
      <c r="I2766" s="13">
        <f>IF(AND(C2766&gt;=DATE(2026,11,29),C2766&lt;=DATE(2026,12,1)),B2766*60,0)</f>
        <v/>
      </c>
      <c r="J2766" s="13">
        <f>IF(A2766="",0,B2766*(IF(C2766=DATE(2026,11,28),38,0)+IF(C2766=DATE(2026,12,1),38,0)+IF(C2766=DATE(2026,12,2),26,0)))</f>
        <v/>
      </c>
      <c r="K2766" s="13">
        <f>IF(C2766=Options!$B$9,B2766*12,0)</f>
        <v/>
      </c>
      <c r="L2766" s="13">
        <f>IF(C2766=Options!$B$9,B2766*Options!$Z$8,0)</f>
        <v/>
      </c>
      <c r="M2766" s="13" t="n">
        <v>0</v>
      </c>
      <c r="N2766" s="13">
        <f>SUM(E2766:M2766)</f>
        <v/>
      </c>
    </row>
    <row r="2767">
      <c r="A2767" s="5">
        <f>IF(AND(C2767&gt;=Options!$B$9,C2767&lt;=Options!$B$10),"Boston","")</f>
        <v/>
      </c>
      <c r="B2767" s="5">
        <f>IF(A2767="","",24)</f>
        <v/>
      </c>
      <c r="C2767" s="17" t="n">
        <v>46503</v>
      </c>
      <c r="D2767" s="5">
        <f>IF(A2767="","",IF(C2767=DATE(2026,11,29),"培训；注册午餐；早餐参数",IF(C2767=DATE(2026,11,30),"培训；注册午餐",IF(C2767=DATE(2026,12,1),"培训；注册午餐；机构晚餐",IF(C2767=Options!$B$9,"抵达；"&amp;IF(C2767=DATE(2026,11,28),"机构晚餐","无统一供餐"),IF(C2767=Options!$B$10,"返程；"&amp;IF(C2767=DATE(2026,12,2),"机构午餐","无统一供餐"),"差旅状态；无统一日程"))))))</f>
        <v/>
      </c>
      <c r="E2767" s="13">
        <f>IF(C2767=Options!$B$9,Options!$C$21,0)</f>
        <v/>
      </c>
      <c r="F2767" s="13">
        <f>IF(AND(A2767&lt;&gt;"",C2767&lt;Options!$B$10),B2767*Options!$X$8,0)</f>
        <v/>
      </c>
      <c r="G2767" s="13">
        <f>F2767*12%</f>
        <v/>
      </c>
      <c r="H2767" s="13">
        <f>IF(A2767="",0,B2767*(92*IF(OR(C2767=Options!$B$9,C2767=Options!$B$10),75%,100%)-IF(C2767=DATE(2026,11,29),26+IF(Options!$B$8="是",23,0),0)-IF(C2767=DATE(2026,11,30),26,0)-IF(C2767=DATE(2026,12,1),64,0)-IF(C2767=DATE(2026,11,28),38,0)-IF(C2767=DATE(2026,12,2),26,0)))</f>
        <v/>
      </c>
      <c r="I2767" s="13">
        <f>IF(AND(C2767&gt;=DATE(2026,11,29),C2767&lt;=DATE(2026,12,1)),B2767*60,0)</f>
        <v/>
      </c>
      <c r="J2767" s="13">
        <f>IF(A2767="",0,B2767*(IF(C2767=DATE(2026,11,28),38,0)+IF(C2767=DATE(2026,12,1),38,0)+IF(C2767=DATE(2026,12,2),26,0)))</f>
        <v/>
      </c>
      <c r="K2767" s="13">
        <f>IF(C2767=Options!$B$9,B2767*12,0)</f>
        <v/>
      </c>
      <c r="L2767" s="13">
        <f>IF(C2767=Options!$B$9,B2767*Options!$Z$8,0)</f>
        <v/>
      </c>
      <c r="M2767" s="13" t="n">
        <v>0</v>
      </c>
      <c r="N2767" s="13">
        <f>SUM(E2767:M2767)</f>
        <v/>
      </c>
    </row>
    <row r="2768">
      <c r="A2768" s="5">
        <f>IF(AND(C2768&gt;=Options!$B$9,C2768&lt;=Options!$B$10),"Boston","")</f>
        <v/>
      </c>
      <c r="B2768" s="5">
        <f>IF(A2768="","",24)</f>
        <v/>
      </c>
      <c r="C2768" s="17" t="n">
        <v>46504</v>
      </c>
      <c r="D2768" s="5">
        <f>IF(A2768="","",IF(C2768=DATE(2026,11,29),"培训；注册午餐；早餐参数",IF(C2768=DATE(2026,11,30),"培训；注册午餐",IF(C2768=DATE(2026,12,1),"培训；注册午餐；机构晚餐",IF(C2768=Options!$B$9,"抵达；"&amp;IF(C2768=DATE(2026,11,28),"机构晚餐","无统一供餐"),IF(C2768=Options!$B$10,"返程；"&amp;IF(C2768=DATE(2026,12,2),"机构午餐","无统一供餐"),"差旅状态；无统一日程"))))))</f>
        <v/>
      </c>
      <c r="E2768" s="13">
        <f>IF(C2768=Options!$B$9,Options!$C$21,0)</f>
        <v/>
      </c>
      <c r="F2768" s="13">
        <f>IF(AND(A2768&lt;&gt;"",C2768&lt;Options!$B$10),B2768*Options!$X$8,0)</f>
        <v/>
      </c>
      <c r="G2768" s="13">
        <f>F2768*12%</f>
        <v/>
      </c>
      <c r="H2768" s="13">
        <f>IF(A2768="",0,B2768*(92*IF(OR(C2768=Options!$B$9,C2768=Options!$B$10),75%,100%)-IF(C2768=DATE(2026,11,29),26+IF(Options!$B$8="是",23,0),0)-IF(C2768=DATE(2026,11,30),26,0)-IF(C2768=DATE(2026,12,1),64,0)-IF(C2768=DATE(2026,11,28),38,0)-IF(C2768=DATE(2026,12,2),26,0)))</f>
        <v/>
      </c>
      <c r="I2768" s="13">
        <f>IF(AND(C2768&gt;=DATE(2026,11,29),C2768&lt;=DATE(2026,12,1)),B2768*60,0)</f>
        <v/>
      </c>
      <c r="J2768" s="13">
        <f>IF(A2768="",0,B2768*(IF(C2768=DATE(2026,11,28),38,0)+IF(C2768=DATE(2026,12,1),38,0)+IF(C2768=DATE(2026,12,2),26,0)))</f>
        <v/>
      </c>
      <c r="K2768" s="13">
        <f>IF(C2768=Options!$B$9,B2768*12,0)</f>
        <v/>
      </c>
      <c r="L2768" s="13">
        <f>IF(C2768=Options!$B$9,B2768*Options!$Z$8,0)</f>
        <v/>
      </c>
      <c r="M2768" s="13" t="n">
        <v>0</v>
      </c>
      <c r="N2768" s="13">
        <f>SUM(E2768:M2768)</f>
        <v/>
      </c>
    </row>
    <row r="2769">
      <c r="A2769" s="5">
        <f>IF(AND(C2769&gt;=Options!$B$9,C2769&lt;=Options!$B$10),"Boston","")</f>
        <v/>
      </c>
      <c r="B2769" s="5">
        <f>IF(A2769="","",24)</f>
        <v/>
      </c>
      <c r="C2769" s="17" t="n">
        <v>46505</v>
      </c>
      <c r="D2769" s="5">
        <f>IF(A2769="","",IF(C2769=DATE(2026,11,29),"培训；注册午餐；早餐参数",IF(C2769=DATE(2026,11,30),"培训；注册午餐",IF(C2769=DATE(2026,12,1),"培训；注册午餐；机构晚餐",IF(C2769=Options!$B$9,"抵达；"&amp;IF(C2769=DATE(2026,11,28),"机构晚餐","无统一供餐"),IF(C2769=Options!$B$10,"返程；"&amp;IF(C2769=DATE(2026,12,2),"机构午餐","无统一供餐"),"差旅状态；无统一日程"))))))</f>
        <v/>
      </c>
      <c r="E2769" s="13">
        <f>IF(C2769=Options!$B$9,Options!$C$21,0)</f>
        <v/>
      </c>
      <c r="F2769" s="13">
        <f>IF(AND(A2769&lt;&gt;"",C2769&lt;Options!$B$10),B2769*Options!$X$8,0)</f>
        <v/>
      </c>
      <c r="G2769" s="13">
        <f>F2769*12%</f>
        <v/>
      </c>
      <c r="H2769" s="13">
        <f>IF(A2769="",0,B2769*(92*IF(OR(C2769=Options!$B$9,C2769=Options!$B$10),75%,100%)-IF(C2769=DATE(2026,11,29),26+IF(Options!$B$8="是",23,0),0)-IF(C2769=DATE(2026,11,30),26,0)-IF(C2769=DATE(2026,12,1),64,0)-IF(C2769=DATE(2026,11,28),38,0)-IF(C2769=DATE(2026,12,2),26,0)))</f>
        <v/>
      </c>
      <c r="I2769" s="13">
        <f>IF(AND(C2769&gt;=DATE(2026,11,29),C2769&lt;=DATE(2026,12,1)),B2769*60,0)</f>
        <v/>
      </c>
      <c r="J2769" s="13">
        <f>IF(A2769="",0,B2769*(IF(C2769=DATE(2026,11,28),38,0)+IF(C2769=DATE(2026,12,1),38,0)+IF(C2769=DATE(2026,12,2),26,0)))</f>
        <v/>
      </c>
      <c r="K2769" s="13">
        <f>IF(C2769=Options!$B$9,B2769*12,0)</f>
        <v/>
      </c>
      <c r="L2769" s="13">
        <f>IF(C2769=Options!$B$9,B2769*Options!$Z$8,0)</f>
        <v/>
      </c>
      <c r="M2769" s="13" t="n">
        <v>0</v>
      </c>
      <c r="N2769" s="13">
        <f>SUM(E2769:M2769)</f>
        <v/>
      </c>
    </row>
    <row r="2770">
      <c r="A2770" s="5">
        <f>IF(AND(C2770&gt;=Options!$B$9,C2770&lt;=Options!$B$10),"Boston","")</f>
        <v/>
      </c>
      <c r="B2770" s="5">
        <f>IF(A2770="","",24)</f>
        <v/>
      </c>
      <c r="C2770" s="17" t="n">
        <v>46506</v>
      </c>
      <c r="D2770" s="5">
        <f>IF(A2770="","",IF(C2770=DATE(2026,11,29),"培训；注册午餐；早餐参数",IF(C2770=DATE(2026,11,30),"培训；注册午餐",IF(C2770=DATE(2026,12,1),"培训；注册午餐；机构晚餐",IF(C2770=Options!$B$9,"抵达；"&amp;IF(C2770=DATE(2026,11,28),"机构晚餐","无统一供餐"),IF(C2770=Options!$B$10,"返程；"&amp;IF(C2770=DATE(2026,12,2),"机构午餐","无统一供餐"),"差旅状态；无统一日程"))))))</f>
        <v/>
      </c>
      <c r="E2770" s="13">
        <f>IF(C2770=Options!$B$9,Options!$C$21,0)</f>
        <v/>
      </c>
      <c r="F2770" s="13">
        <f>IF(AND(A2770&lt;&gt;"",C2770&lt;Options!$B$10),B2770*Options!$X$8,0)</f>
        <v/>
      </c>
      <c r="G2770" s="13">
        <f>F2770*12%</f>
        <v/>
      </c>
      <c r="H2770" s="13">
        <f>IF(A2770="",0,B2770*(92*IF(OR(C2770=Options!$B$9,C2770=Options!$B$10),75%,100%)-IF(C2770=DATE(2026,11,29),26+IF(Options!$B$8="是",23,0),0)-IF(C2770=DATE(2026,11,30),26,0)-IF(C2770=DATE(2026,12,1),64,0)-IF(C2770=DATE(2026,11,28),38,0)-IF(C2770=DATE(2026,12,2),26,0)))</f>
        <v/>
      </c>
      <c r="I2770" s="13">
        <f>IF(AND(C2770&gt;=DATE(2026,11,29),C2770&lt;=DATE(2026,12,1)),B2770*60,0)</f>
        <v/>
      </c>
      <c r="J2770" s="13">
        <f>IF(A2770="",0,B2770*(IF(C2770=DATE(2026,11,28),38,0)+IF(C2770=DATE(2026,12,1),38,0)+IF(C2770=DATE(2026,12,2),26,0)))</f>
        <v/>
      </c>
      <c r="K2770" s="13">
        <f>IF(C2770=Options!$B$9,B2770*12,0)</f>
        <v/>
      </c>
      <c r="L2770" s="13">
        <f>IF(C2770=Options!$B$9,B2770*Options!$Z$8,0)</f>
        <v/>
      </c>
      <c r="M2770" s="13" t="n">
        <v>0</v>
      </c>
      <c r="N2770" s="13">
        <f>SUM(E2770:M2770)</f>
        <v/>
      </c>
    </row>
    <row r="2771">
      <c r="A2771" s="5">
        <f>IF(AND(C2771&gt;=Options!$B$9,C2771&lt;=Options!$B$10),"Boston","")</f>
        <v/>
      </c>
      <c r="B2771" s="5">
        <f>IF(A2771="","",24)</f>
        <v/>
      </c>
      <c r="C2771" s="17" t="n">
        <v>46507</v>
      </c>
      <c r="D2771" s="5">
        <f>IF(A2771="","",IF(C2771=DATE(2026,11,29),"培训；注册午餐；早餐参数",IF(C2771=DATE(2026,11,30),"培训；注册午餐",IF(C2771=DATE(2026,12,1),"培训；注册午餐；机构晚餐",IF(C2771=Options!$B$9,"抵达；"&amp;IF(C2771=DATE(2026,11,28),"机构晚餐","无统一供餐"),IF(C2771=Options!$B$10,"返程；"&amp;IF(C2771=DATE(2026,12,2),"机构午餐","无统一供餐"),"差旅状态；无统一日程"))))))</f>
        <v/>
      </c>
      <c r="E2771" s="13">
        <f>IF(C2771=Options!$B$9,Options!$C$21,0)</f>
        <v/>
      </c>
      <c r="F2771" s="13">
        <f>IF(AND(A2771&lt;&gt;"",C2771&lt;Options!$B$10),B2771*Options!$X$8,0)</f>
        <v/>
      </c>
      <c r="G2771" s="13">
        <f>F2771*12%</f>
        <v/>
      </c>
      <c r="H2771" s="13">
        <f>IF(A2771="",0,B2771*(92*IF(OR(C2771=Options!$B$9,C2771=Options!$B$10),75%,100%)-IF(C2771=DATE(2026,11,29),26+IF(Options!$B$8="是",23,0),0)-IF(C2771=DATE(2026,11,30),26,0)-IF(C2771=DATE(2026,12,1),64,0)-IF(C2771=DATE(2026,11,28),38,0)-IF(C2771=DATE(2026,12,2),26,0)))</f>
        <v/>
      </c>
      <c r="I2771" s="13">
        <f>IF(AND(C2771&gt;=DATE(2026,11,29),C2771&lt;=DATE(2026,12,1)),B2771*60,0)</f>
        <v/>
      </c>
      <c r="J2771" s="13">
        <f>IF(A2771="",0,B2771*(IF(C2771=DATE(2026,11,28),38,0)+IF(C2771=DATE(2026,12,1),38,0)+IF(C2771=DATE(2026,12,2),26,0)))</f>
        <v/>
      </c>
      <c r="K2771" s="13">
        <f>IF(C2771=Options!$B$9,B2771*12,0)</f>
        <v/>
      </c>
      <c r="L2771" s="13">
        <f>IF(C2771=Options!$B$9,B2771*Options!$Z$8,0)</f>
        <v/>
      </c>
      <c r="M2771" s="13" t="n">
        <v>0</v>
      </c>
      <c r="N2771" s="13">
        <f>SUM(E2771:M2771)</f>
        <v/>
      </c>
    </row>
    <row r="2772">
      <c r="A2772" s="5">
        <f>IF(AND(C2772&gt;=Options!$B$9,C2772&lt;=Options!$B$10),"Boston","")</f>
        <v/>
      </c>
      <c r="B2772" s="5">
        <f>IF(A2772="","",24)</f>
        <v/>
      </c>
      <c r="C2772" s="17" t="n">
        <v>46508</v>
      </c>
      <c r="D2772" s="5">
        <f>IF(A2772="","",IF(C2772=DATE(2026,11,29),"培训；注册午餐；早餐参数",IF(C2772=DATE(2026,11,30),"培训；注册午餐",IF(C2772=DATE(2026,12,1),"培训；注册午餐；机构晚餐",IF(C2772=Options!$B$9,"抵达；"&amp;IF(C2772=DATE(2026,11,28),"机构晚餐","无统一供餐"),IF(C2772=Options!$B$10,"返程；"&amp;IF(C2772=DATE(2026,12,2),"机构午餐","无统一供餐"),"差旅状态；无统一日程"))))))</f>
        <v/>
      </c>
      <c r="E2772" s="13">
        <f>IF(C2772=Options!$B$9,Options!$C$21,0)</f>
        <v/>
      </c>
      <c r="F2772" s="13">
        <f>IF(AND(A2772&lt;&gt;"",C2772&lt;Options!$B$10),B2772*Options!$X$8,0)</f>
        <v/>
      </c>
      <c r="G2772" s="13">
        <f>F2772*12%</f>
        <v/>
      </c>
      <c r="H2772" s="13">
        <f>IF(A2772="",0,B2772*(92*IF(OR(C2772=Options!$B$9,C2772=Options!$B$10),75%,100%)-IF(C2772=DATE(2026,11,29),26+IF(Options!$B$8="是",23,0),0)-IF(C2772=DATE(2026,11,30),26,0)-IF(C2772=DATE(2026,12,1),64,0)-IF(C2772=DATE(2026,11,28),38,0)-IF(C2772=DATE(2026,12,2),26,0)))</f>
        <v/>
      </c>
      <c r="I2772" s="13">
        <f>IF(AND(C2772&gt;=DATE(2026,11,29),C2772&lt;=DATE(2026,12,1)),B2772*60,0)</f>
        <v/>
      </c>
      <c r="J2772" s="13">
        <f>IF(A2772="",0,B2772*(IF(C2772=DATE(2026,11,28),38,0)+IF(C2772=DATE(2026,12,1),38,0)+IF(C2772=DATE(2026,12,2),26,0)))</f>
        <v/>
      </c>
      <c r="K2772" s="13">
        <f>IF(C2772=Options!$B$9,B2772*12,0)</f>
        <v/>
      </c>
      <c r="L2772" s="13">
        <f>IF(C2772=Options!$B$9,B2772*Options!$Z$8,0)</f>
        <v/>
      </c>
      <c r="M2772" s="13" t="n">
        <v>0</v>
      </c>
      <c r="N2772" s="13">
        <f>SUM(E2772:M2772)</f>
        <v/>
      </c>
    </row>
    <row r="2773">
      <c r="A2773" s="5">
        <f>IF(AND(C2773&gt;=Options!$B$9,C2773&lt;=Options!$B$10),"Boston","")</f>
        <v/>
      </c>
      <c r="B2773" s="5">
        <f>IF(A2773="","",24)</f>
        <v/>
      </c>
      <c r="C2773" s="17" t="n">
        <v>46509</v>
      </c>
      <c r="D2773" s="5">
        <f>IF(A2773="","",IF(C2773=DATE(2026,11,29),"培训；注册午餐；早餐参数",IF(C2773=DATE(2026,11,30),"培训；注册午餐",IF(C2773=DATE(2026,12,1),"培训；注册午餐；机构晚餐",IF(C2773=Options!$B$9,"抵达；"&amp;IF(C2773=DATE(2026,11,28),"机构晚餐","无统一供餐"),IF(C2773=Options!$B$10,"返程；"&amp;IF(C2773=DATE(2026,12,2),"机构午餐","无统一供餐"),"差旅状态；无统一日程"))))))</f>
        <v/>
      </c>
      <c r="E2773" s="13">
        <f>IF(C2773=Options!$B$9,Options!$C$21,0)</f>
        <v/>
      </c>
      <c r="F2773" s="13">
        <f>IF(AND(A2773&lt;&gt;"",C2773&lt;Options!$B$10),B2773*Options!$X$8,0)</f>
        <v/>
      </c>
      <c r="G2773" s="13">
        <f>F2773*12%</f>
        <v/>
      </c>
      <c r="H2773" s="13">
        <f>IF(A2773="",0,B2773*(92*IF(OR(C2773=Options!$B$9,C2773=Options!$B$10),75%,100%)-IF(C2773=DATE(2026,11,29),26+IF(Options!$B$8="是",23,0),0)-IF(C2773=DATE(2026,11,30),26,0)-IF(C2773=DATE(2026,12,1),64,0)-IF(C2773=DATE(2026,11,28),38,0)-IF(C2773=DATE(2026,12,2),26,0)))</f>
        <v/>
      </c>
      <c r="I2773" s="13">
        <f>IF(AND(C2773&gt;=DATE(2026,11,29),C2773&lt;=DATE(2026,12,1)),B2773*60,0)</f>
        <v/>
      </c>
      <c r="J2773" s="13">
        <f>IF(A2773="",0,B2773*(IF(C2773=DATE(2026,11,28),38,0)+IF(C2773=DATE(2026,12,1),38,0)+IF(C2773=DATE(2026,12,2),26,0)))</f>
        <v/>
      </c>
      <c r="K2773" s="13">
        <f>IF(C2773=Options!$B$9,B2773*12,0)</f>
        <v/>
      </c>
      <c r="L2773" s="13">
        <f>IF(C2773=Options!$B$9,B2773*Options!$Z$8,0)</f>
        <v/>
      </c>
      <c r="M2773" s="13" t="n">
        <v>0</v>
      </c>
      <c r="N2773" s="13">
        <f>SUM(E2773:M2773)</f>
        <v/>
      </c>
    </row>
    <row r="2774">
      <c r="A2774" s="5">
        <f>IF(AND(C2774&gt;=Options!$B$9,C2774&lt;=Options!$B$10),"Boston","")</f>
        <v/>
      </c>
      <c r="B2774" s="5">
        <f>IF(A2774="","",24)</f>
        <v/>
      </c>
      <c r="C2774" s="17" t="n">
        <v>46510</v>
      </c>
      <c r="D2774" s="5">
        <f>IF(A2774="","",IF(C2774=DATE(2026,11,29),"培训；注册午餐；早餐参数",IF(C2774=DATE(2026,11,30),"培训；注册午餐",IF(C2774=DATE(2026,12,1),"培训；注册午餐；机构晚餐",IF(C2774=Options!$B$9,"抵达；"&amp;IF(C2774=DATE(2026,11,28),"机构晚餐","无统一供餐"),IF(C2774=Options!$B$10,"返程；"&amp;IF(C2774=DATE(2026,12,2),"机构午餐","无统一供餐"),"差旅状态；无统一日程"))))))</f>
        <v/>
      </c>
      <c r="E2774" s="13">
        <f>IF(C2774=Options!$B$9,Options!$C$21,0)</f>
        <v/>
      </c>
      <c r="F2774" s="13">
        <f>IF(AND(A2774&lt;&gt;"",C2774&lt;Options!$B$10),B2774*Options!$X$8,0)</f>
        <v/>
      </c>
      <c r="G2774" s="13">
        <f>F2774*12%</f>
        <v/>
      </c>
      <c r="H2774" s="13">
        <f>IF(A2774="",0,B2774*(92*IF(OR(C2774=Options!$B$9,C2774=Options!$B$10),75%,100%)-IF(C2774=DATE(2026,11,29),26+IF(Options!$B$8="是",23,0),0)-IF(C2774=DATE(2026,11,30),26,0)-IF(C2774=DATE(2026,12,1),64,0)-IF(C2774=DATE(2026,11,28),38,0)-IF(C2774=DATE(2026,12,2),26,0)))</f>
        <v/>
      </c>
      <c r="I2774" s="13">
        <f>IF(AND(C2774&gt;=DATE(2026,11,29),C2774&lt;=DATE(2026,12,1)),B2774*60,0)</f>
        <v/>
      </c>
      <c r="J2774" s="13">
        <f>IF(A2774="",0,B2774*(IF(C2774=DATE(2026,11,28),38,0)+IF(C2774=DATE(2026,12,1),38,0)+IF(C2774=DATE(2026,12,2),26,0)))</f>
        <v/>
      </c>
      <c r="K2774" s="13">
        <f>IF(C2774=Options!$B$9,B2774*12,0)</f>
        <v/>
      </c>
      <c r="L2774" s="13">
        <f>IF(C2774=Options!$B$9,B2774*Options!$Z$8,0)</f>
        <v/>
      </c>
      <c r="M2774" s="13" t="n">
        <v>0</v>
      </c>
      <c r="N2774" s="13">
        <f>SUM(E2774:M2774)</f>
        <v/>
      </c>
    </row>
    <row r="2775">
      <c r="A2775" s="5">
        <f>IF(AND(C2775&gt;=Options!$B$9,C2775&lt;=Options!$B$10),"Boston","")</f>
        <v/>
      </c>
      <c r="B2775" s="5">
        <f>IF(A2775="","",24)</f>
        <v/>
      </c>
      <c r="C2775" s="17" t="n">
        <v>46511</v>
      </c>
      <c r="D2775" s="5">
        <f>IF(A2775="","",IF(C2775=DATE(2026,11,29),"培训；注册午餐；早餐参数",IF(C2775=DATE(2026,11,30),"培训；注册午餐",IF(C2775=DATE(2026,12,1),"培训；注册午餐；机构晚餐",IF(C2775=Options!$B$9,"抵达；"&amp;IF(C2775=DATE(2026,11,28),"机构晚餐","无统一供餐"),IF(C2775=Options!$B$10,"返程；"&amp;IF(C2775=DATE(2026,12,2),"机构午餐","无统一供餐"),"差旅状态；无统一日程"))))))</f>
        <v/>
      </c>
      <c r="E2775" s="13">
        <f>IF(C2775=Options!$B$9,Options!$C$21,0)</f>
        <v/>
      </c>
      <c r="F2775" s="13">
        <f>IF(AND(A2775&lt;&gt;"",C2775&lt;Options!$B$10),B2775*Options!$X$8,0)</f>
        <v/>
      </c>
      <c r="G2775" s="13">
        <f>F2775*12%</f>
        <v/>
      </c>
      <c r="H2775" s="13">
        <f>IF(A2775="",0,B2775*(92*IF(OR(C2775=Options!$B$9,C2775=Options!$B$10),75%,100%)-IF(C2775=DATE(2026,11,29),26+IF(Options!$B$8="是",23,0),0)-IF(C2775=DATE(2026,11,30),26,0)-IF(C2775=DATE(2026,12,1),64,0)-IF(C2775=DATE(2026,11,28),38,0)-IF(C2775=DATE(2026,12,2),26,0)))</f>
        <v/>
      </c>
      <c r="I2775" s="13">
        <f>IF(AND(C2775&gt;=DATE(2026,11,29),C2775&lt;=DATE(2026,12,1)),B2775*60,0)</f>
        <v/>
      </c>
      <c r="J2775" s="13">
        <f>IF(A2775="",0,B2775*(IF(C2775=DATE(2026,11,28),38,0)+IF(C2775=DATE(2026,12,1),38,0)+IF(C2775=DATE(2026,12,2),26,0)))</f>
        <v/>
      </c>
      <c r="K2775" s="13">
        <f>IF(C2775=Options!$B$9,B2775*12,0)</f>
        <v/>
      </c>
      <c r="L2775" s="13">
        <f>IF(C2775=Options!$B$9,B2775*Options!$Z$8,0)</f>
        <v/>
      </c>
      <c r="M2775" s="13" t="n">
        <v>0</v>
      </c>
      <c r="N2775" s="13">
        <f>SUM(E2775:M2775)</f>
        <v/>
      </c>
    </row>
    <row r="2776">
      <c r="A2776" s="5">
        <f>IF(AND(C2776&gt;=Options!$B$9,C2776&lt;=Options!$B$10),"Boston","")</f>
        <v/>
      </c>
      <c r="B2776" s="5">
        <f>IF(A2776="","",24)</f>
        <v/>
      </c>
      <c r="C2776" s="17" t="n">
        <v>46512</v>
      </c>
      <c r="D2776" s="5">
        <f>IF(A2776="","",IF(C2776=DATE(2026,11,29),"培训；注册午餐；早餐参数",IF(C2776=DATE(2026,11,30),"培训；注册午餐",IF(C2776=DATE(2026,12,1),"培训；注册午餐；机构晚餐",IF(C2776=Options!$B$9,"抵达；"&amp;IF(C2776=DATE(2026,11,28),"机构晚餐","无统一供餐"),IF(C2776=Options!$B$10,"返程；"&amp;IF(C2776=DATE(2026,12,2),"机构午餐","无统一供餐"),"差旅状态；无统一日程"))))))</f>
        <v/>
      </c>
      <c r="E2776" s="13">
        <f>IF(C2776=Options!$B$9,Options!$C$21,0)</f>
        <v/>
      </c>
      <c r="F2776" s="13">
        <f>IF(AND(A2776&lt;&gt;"",C2776&lt;Options!$B$10),B2776*Options!$X$8,0)</f>
        <v/>
      </c>
      <c r="G2776" s="13">
        <f>F2776*12%</f>
        <v/>
      </c>
      <c r="H2776" s="13">
        <f>IF(A2776="",0,B2776*(92*IF(OR(C2776=Options!$B$9,C2776=Options!$B$10),75%,100%)-IF(C2776=DATE(2026,11,29),26+IF(Options!$B$8="是",23,0),0)-IF(C2776=DATE(2026,11,30),26,0)-IF(C2776=DATE(2026,12,1),64,0)-IF(C2776=DATE(2026,11,28),38,0)-IF(C2776=DATE(2026,12,2),26,0)))</f>
        <v/>
      </c>
      <c r="I2776" s="13">
        <f>IF(AND(C2776&gt;=DATE(2026,11,29),C2776&lt;=DATE(2026,12,1)),B2776*60,0)</f>
        <v/>
      </c>
      <c r="J2776" s="13">
        <f>IF(A2776="",0,B2776*(IF(C2776=DATE(2026,11,28),38,0)+IF(C2776=DATE(2026,12,1),38,0)+IF(C2776=DATE(2026,12,2),26,0)))</f>
        <v/>
      </c>
      <c r="K2776" s="13">
        <f>IF(C2776=Options!$B$9,B2776*12,0)</f>
        <v/>
      </c>
      <c r="L2776" s="13">
        <f>IF(C2776=Options!$B$9,B2776*Options!$Z$8,0)</f>
        <v/>
      </c>
      <c r="M2776" s="13" t="n">
        <v>0</v>
      </c>
      <c r="N2776" s="13">
        <f>SUM(E2776:M2776)</f>
        <v/>
      </c>
    </row>
    <row r="2777">
      <c r="A2777" s="5">
        <f>IF(AND(C2777&gt;=Options!$B$9,C2777&lt;=Options!$B$10),"Boston","")</f>
        <v/>
      </c>
      <c r="B2777" s="5">
        <f>IF(A2777="","",24)</f>
        <v/>
      </c>
      <c r="C2777" s="17" t="n">
        <v>46513</v>
      </c>
      <c r="D2777" s="5">
        <f>IF(A2777="","",IF(C2777=DATE(2026,11,29),"培训；注册午餐；早餐参数",IF(C2777=DATE(2026,11,30),"培训；注册午餐",IF(C2777=DATE(2026,12,1),"培训；注册午餐；机构晚餐",IF(C2777=Options!$B$9,"抵达；"&amp;IF(C2777=DATE(2026,11,28),"机构晚餐","无统一供餐"),IF(C2777=Options!$B$10,"返程；"&amp;IF(C2777=DATE(2026,12,2),"机构午餐","无统一供餐"),"差旅状态；无统一日程"))))))</f>
        <v/>
      </c>
      <c r="E2777" s="13">
        <f>IF(C2777=Options!$B$9,Options!$C$21,0)</f>
        <v/>
      </c>
      <c r="F2777" s="13">
        <f>IF(AND(A2777&lt;&gt;"",C2777&lt;Options!$B$10),B2777*Options!$X$8,0)</f>
        <v/>
      </c>
      <c r="G2777" s="13">
        <f>F2777*12%</f>
        <v/>
      </c>
      <c r="H2777" s="13">
        <f>IF(A2777="",0,B2777*(92*IF(OR(C2777=Options!$B$9,C2777=Options!$B$10),75%,100%)-IF(C2777=DATE(2026,11,29),26+IF(Options!$B$8="是",23,0),0)-IF(C2777=DATE(2026,11,30),26,0)-IF(C2777=DATE(2026,12,1),64,0)-IF(C2777=DATE(2026,11,28),38,0)-IF(C2777=DATE(2026,12,2),26,0)))</f>
        <v/>
      </c>
      <c r="I2777" s="13">
        <f>IF(AND(C2777&gt;=DATE(2026,11,29),C2777&lt;=DATE(2026,12,1)),B2777*60,0)</f>
        <v/>
      </c>
      <c r="J2777" s="13">
        <f>IF(A2777="",0,B2777*(IF(C2777=DATE(2026,11,28),38,0)+IF(C2777=DATE(2026,12,1),38,0)+IF(C2777=DATE(2026,12,2),26,0)))</f>
        <v/>
      </c>
      <c r="K2777" s="13">
        <f>IF(C2777=Options!$B$9,B2777*12,0)</f>
        <v/>
      </c>
      <c r="L2777" s="13">
        <f>IF(C2777=Options!$B$9,B2777*Options!$Z$8,0)</f>
        <v/>
      </c>
      <c r="M2777" s="13" t="n">
        <v>0</v>
      </c>
      <c r="N2777" s="13">
        <f>SUM(E2777:M2777)</f>
        <v/>
      </c>
    </row>
    <row r="2778">
      <c r="A2778" s="5">
        <f>IF(AND(C2778&gt;=Options!$B$9,C2778&lt;=Options!$B$10),"Boston","")</f>
        <v/>
      </c>
      <c r="B2778" s="5">
        <f>IF(A2778="","",24)</f>
        <v/>
      </c>
      <c r="C2778" s="17" t="n">
        <v>46514</v>
      </c>
      <c r="D2778" s="5">
        <f>IF(A2778="","",IF(C2778=DATE(2026,11,29),"培训；注册午餐；早餐参数",IF(C2778=DATE(2026,11,30),"培训；注册午餐",IF(C2778=DATE(2026,12,1),"培训；注册午餐；机构晚餐",IF(C2778=Options!$B$9,"抵达；"&amp;IF(C2778=DATE(2026,11,28),"机构晚餐","无统一供餐"),IF(C2778=Options!$B$10,"返程；"&amp;IF(C2778=DATE(2026,12,2),"机构午餐","无统一供餐"),"差旅状态；无统一日程"))))))</f>
        <v/>
      </c>
      <c r="E2778" s="13">
        <f>IF(C2778=Options!$B$9,Options!$C$21,0)</f>
        <v/>
      </c>
      <c r="F2778" s="13">
        <f>IF(AND(A2778&lt;&gt;"",C2778&lt;Options!$B$10),B2778*Options!$X$8,0)</f>
        <v/>
      </c>
      <c r="G2778" s="13">
        <f>F2778*12%</f>
        <v/>
      </c>
      <c r="H2778" s="13">
        <f>IF(A2778="",0,B2778*(92*IF(OR(C2778=Options!$B$9,C2778=Options!$B$10),75%,100%)-IF(C2778=DATE(2026,11,29),26+IF(Options!$B$8="是",23,0),0)-IF(C2778=DATE(2026,11,30),26,0)-IF(C2778=DATE(2026,12,1),64,0)-IF(C2778=DATE(2026,11,28),38,0)-IF(C2778=DATE(2026,12,2),26,0)))</f>
        <v/>
      </c>
      <c r="I2778" s="13">
        <f>IF(AND(C2778&gt;=DATE(2026,11,29),C2778&lt;=DATE(2026,12,1)),B2778*60,0)</f>
        <v/>
      </c>
      <c r="J2778" s="13">
        <f>IF(A2778="",0,B2778*(IF(C2778=DATE(2026,11,28),38,0)+IF(C2778=DATE(2026,12,1),38,0)+IF(C2778=DATE(2026,12,2),26,0)))</f>
        <v/>
      </c>
      <c r="K2778" s="13">
        <f>IF(C2778=Options!$B$9,B2778*12,0)</f>
        <v/>
      </c>
      <c r="L2778" s="13">
        <f>IF(C2778=Options!$B$9,B2778*Options!$Z$8,0)</f>
        <v/>
      </c>
      <c r="M2778" s="13" t="n">
        <v>0</v>
      </c>
      <c r="N2778" s="13">
        <f>SUM(E2778:M2778)</f>
        <v/>
      </c>
    </row>
    <row r="2779">
      <c r="A2779" s="5">
        <f>IF(AND(C2779&gt;=Options!$B$9,C2779&lt;=Options!$B$10),"Boston","")</f>
        <v/>
      </c>
      <c r="B2779" s="5">
        <f>IF(A2779="","",24)</f>
        <v/>
      </c>
      <c r="C2779" s="17" t="n">
        <v>46515</v>
      </c>
      <c r="D2779" s="5">
        <f>IF(A2779="","",IF(C2779=DATE(2026,11,29),"培训；注册午餐；早餐参数",IF(C2779=DATE(2026,11,30),"培训；注册午餐",IF(C2779=DATE(2026,12,1),"培训；注册午餐；机构晚餐",IF(C2779=Options!$B$9,"抵达；"&amp;IF(C2779=DATE(2026,11,28),"机构晚餐","无统一供餐"),IF(C2779=Options!$B$10,"返程；"&amp;IF(C2779=DATE(2026,12,2),"机构午餐","无统一供餐"),"差旅状态；无统一日程"))))))</f>
        <v/>
      </c>
      <c r="E2779" s="13">
        <f>IF(C2779=Options!$B$9,Options!$C$21,0)</f>
        <v/>
      </c>
      <c r="F2779" s="13">
        <f>IF(AND(A2779&lt;&gt;"",C2779&lt;Options!$B$10),B2779*Options!$X$8,0)</f>
        <v/>
      </c>
      <c r="G2779" s="13">
        <f>F2779*12%</f>
        <v/>
      </c>
      <c r="H2779" s="13">
        <f>IF(A2779="",0,B2779*(92*IF(OR(C2779=Options!$B$9,C2779=Options!$B$10),75%,100%)-IF(C2779=DATE(2026,11,29),26+IF(Options!$B$8="是",23,0),0)-IF(C2779=DATE(2026,11,30),26,0)-IF(C2779=DATE(2026,12,1),64,0)-IF(C2779=DATE(2026,11,28),38,0)-IF(C2779=DATE(2026,12,2),26,0)))</f>
        <v/>
      </c>
      <c r="I2779" s="13">
        <f>IF(AND(C2779&gt;=DATE(2026,11,29),C2779&lt;=DATE(2026,12,1)),B2779*60,0)</f>
        <v/>
      </c>
      <c r="J2779" s="13">
        <f>IF(A2779="",0,B2779*(IF(C2779=DATE(2026,11,28),38,0)+IF(C2779=DATE(2026,12,1),38,0)+IF(C2779=DATE(2026,12,2),26,0)))</f>
        <v/>
      </c>
      <c r="K2779" s="13">
        <f>IF(C2779=Options!$B$9,B2779*12,0)</f>
        <v/>
      </c>
      <c r="L2779" s="13">
        <f>IF(C2779=Options!$B$9,B2779*Options!$Z$8,0)</f>
        <v/>
      </c>
      <c r="M2779" s="13" t="n">
        <v>0</v>
      </c>
      <c r="N2779" s="13">
        <f>SUM(E2779:M2779)</f>
        <v/>
      </c>
    </row>
    <row r="2780">
      <c r="A2780" s="5">
        <f>IF(AND(C2780&gt;=Options!$B$9,C2780&lt;=Options!$B$10),"Boston","")</f>
        <v/>
      </c>
      <c r="B2780" s="5">
        <f>IF(A2780="","",24)</f>
        <v/>
      </c>
      <c r="C2780" s="17" t="n">
        <v>46516</v>
      </c>
      <c r="D2780" s="5">
        <f>IF(A2780="","",IF(C2780=DATE(2026,11,29),"培训；注册午餐；早餐参数",IF(C2780=DATE(2026,11,30),"培训；注册午餐",IF(C2780=DATE(2026,12,1),"培训；注册午餐；机构晚餐",IF(C2780=Options!$B$9,"抵达；"&amp;IF(C2780=DATE(2026,11,28),"机构晚餐","无统一供餐"),IF(C2780=Options!$B$10,"返程；"&amp;IF(C2780=DATE(2026,12,2),"机构午餐","无统一供餐"),"差旅状态；无统一日程"))))))</f>
        <v/>
      </c>
      <c r="E2780" s="13">
        <f>IF(C2780=Options!$B$9,Options!$C$21,0)</f>
        <v/>
      </c>
      <c r="F2780" s="13">
        <f>IF(AND(A2780&lt;&gt;"",C2780&lt;Options!$B$10),B2780*Options!$X$8,0)</f>
        <v/>
      </c>
      <c r="G2780" s="13">
        <f>F2780*12%</f>
        <v/>
      </c>
      <c r="H2780" s="13">
        <f>IF(A2780="",0,B2780*(92*IF(OR(C2780=Options!$B$9,C2780=Options!$B$10),75%,100%)-IF(C2780=DATE(2026,11,29),26+IF(Options!$B$8="是",23,0),0)-IF(C2780=DATE(2026,11,30),26,0)-IF(C2780=DATE(2026,12,1),64,0)-IF(C2780=DATE(2026,11,28),38,0)-IF(C2780=DATE(2026,12,2),26,0)))</f>
        <v/>
      </c>
      <c r="I2780" s="13">
        <f>IF(AND(C2780&gt;=DATE(2026,11,29),C2780&lt;=DATE(2026,12,1)),B2780*60,0)</f>
        <v/>
      </c>
      <c r="J2780" s="13">
        <f>IF(A2780="",0,B2780*(IF(C2780=DATE(2026,11,28),38,0)+IF(C2780=DATE(2026,12,1),38,0)+IF(C2780=DATE(2026,12,2),26,0)))</f>
        <v/>
      </c>
      <c r="K2780" s="13">
        <f>IF(C2780=Options!$B$9,B2780*12,0)</f>
        <v/>
      </c>
      <c r="L2780" s="13">
        <f>IF(C2780=Options!$B$9,B2780*Options!$Z$8,0)</f>
        <v/>
      </c>
      <c r="M2780" s="13" t="n">
        <v>0</v>
      </c>
      <c r="N2780" s="13">
        <f>SUM(E2780:M2780)</f>
        <v/>
      </c>
    </row>
    <row r="2781">
      <c r="A2781" s="5">
        <f>IF(AND(C2781&gt;=Options!$B$9,C2781&lt;=Options!$B$10),"Boston","")</f>
        <v/>
      </c>
      <c r="B2781" s="5">
        <f>IF(A2781="","",24)</f>
        <v/>
      </c>
      <c r="C2781" s="17" t="n">
        <v>46517</v>
      </c>
      <c r="D2781" s="5">
        <f>IF(A2781="","",IF(C2781=DATE(2026,11,29),"培训；注册午餐；早餐参数",IF(C2781=DATE(2026,11,30),"培训；注册午餐",IF(C2781=DATE(2026,12,1),"培训；注册午餐；机构晚餐",IF(C2781=Options!$B$9,"抵达；"&amp;IF(C2781=DATE(2026,11,28),"机构晚餐","无统一供餐"),IF(C2781=Options!$B$10,"返程；"&amp;IF(C2781=DATE(2026,12,2),"机构午餐","无统一供餐"),"差旅状态；无统一日程"))))))</f>
        <v/>
      </c>
      <c r="E2781" s="13">
        <f>IF(C2781=Options!$B$9,Options!$C$21,0)</f>
        <v/>
      </c>
      <c r="F2781" s="13">
        <f>IF(AND(A2781&lt;&gt;"",C2781&lt;Options!$B$10),B2781*Options!$X$8,0)</f>
        <v/>
      </c>
      <c r="G2781" s="13">
        <f>F2781*12%</f>
        <v/>
      </c>
      <c r="H2781" s="13">
        <f>IF(A2781="",0,B2781*(92*IF(OR(C2781=Options!$B$9,C2781=Options!$B$10),75%,100%)-IF(C2781=DATE(2026,11,29),26+IF(Options!$B$8="是",23,0),0)-IF(C2781=DATE(2026,11,30),26,0)-IF(C2781=DATE(2026,12,1),64,0)-IF(C2781=DATE(2026,11,28),38,0)-IF(C2781=DATE(2026,12,2),26,0)))</f>
        <v/>
      </c>
      <c r="I2781" s="13">
        <f>IF(AND(C2781&gt;=DATE(2026,11,29),C2781&lt;=DATE(2026,12,1)),B2781*60,0)</f>
        <v/>
      </c>
      <c r="J2781" s="13">
        <f>IF(A2781="",0,B2781*(IF(C2781=DATE(2026,11,28),38,0)+IF(C2781=DATE(2026,12,1),38,0)+IF(C2781=DATE(2026,12,2),26,0)))</f>
        <v/>
      </c>
      <c r="K2781" s="13">
        <f>IF(C2781=Options!$B$9,B2781*12,0)</f>
        <v/>
      </c>
      <c r="L2781" s="13">
        <f>IF(C2781=Options!$B$9,B2781*Options!$Z$8,0)</f>
        <v/>
      </c>
      <c r="M2781" s="13" t="n">
        <v>0</v>
      </c>
      <c r="N2781" s="13">
        <f>SUM(E2781:M2781)</f>
        <v/>
      </c>
    </row>
    <row r="2782">
      <c r="A2782" s="5">
        <f>IF(AND(C2782&gt;=Options!$B$9,C2782&lt;=Options!$B$10),"Boston","")</f>
        <v/>
      </c>
      <c r="B2782" s="5">
        <f>IF(A2782="","",24)</f>
        <v/>
      </c>
      <c r="C2782" s="17" t="n">
        <v>46518</v>
      </c>
      <c r="D2782" s="5">
        <f>IF(A2782="","",IF(C2782=DATE(2026,11,29),"培训；注册午餐；早餐参数",IF(C2782=DATE(2026,11,30),"培训；注册午餐",IF(C2782=DATE(2026,12,1),"培训；注册午餐；机构晚餐",IF(C2782=Options!$B$9,"抵达；"&amp;IF(C2782=DATE(2026,11,28),"机构晚餐","无统一供餐"),IF(C2782=Options!$B$10,"返程；"&amp;IF(C2782=DATE(2026,12,2),"机构午餐","无统一供餐"),"差旅状态；无统一日程"))))))</f>
        <v/>
      </c>
      <c r="E2782" s="13">
        <f>IF(C2782=Options!$B$9,Options!$C$21,0)</f>
        <v/>
      </c>
      <c r="F2782" s="13">
        <f>IF(AND(A2782&lt;&gt;"",C2782&lt;Options!$B$10),B2782*Options!$X$8,0)</f>
        <v/>
      </c>
      <c r="G2782" s="13">
        <f>F2782*12%</f>
        <v/>
      </c>
      <c r="H2782" s="13">
        <f>IF(A2782="",0,B2782*(92*IF(OR(C2782=Options!$B$9,C2782=Options!$B$10),75%,100%)-IF(C2782=DATE(2026,11,29),26+IF(Options!$B$8="是",23,0),0)-IF(C2782=DATE(2026,11,30),26,0)-IF(C2782=DATE(2026,12,1),64,0)-IF(C2782=DATE(2026,11,28),38,0)-IF(C2782=DATE(2026,12,2),26,0)))</f>
        <v/>
      </c>
      <c r="I2782" s="13">
        <f>IF(AND(C2782&gt;=DATE(2026,11,29),C2782&lt;=DATE(2026,12,1)),B2782*60,0)</f>
        <v/>
      </c>
      <c r="J2782" s="13">
        <f>IF(A2782="",0,B2782*(IF(C2782=DATE(2026,11,28),38,0)+IF(C2782=DATE(2026,12,1),38,0)+IF(C2782=DATE(2026,12,2),26,0)))</f>
        <v/>
      </c>
      <c r="K2782" s="13">
        <f>IF(C2782=Options!$B$9,B2782*12,0)</f>
        <v/>
      </c>
      <c r="L2782" s="13">
        <f>IF(C2782=Options!$B$9,B2782*Options!$Z$8,0)</f>
        <v/>
      </c>
      <c r="M2782" s="13" t="n">
        <v>0</v>
      </c>
      <c r="N2782" s="13">
        <f>SUM(E2782:M2782)</f>
        <v/>
      </c>
    </row>
    <row r="2783">
      <c r="A2783" s="5">
        <f>IF(AND(C2783&gt;=Options!$B$9,C2783&lt;=Options!$B$10),"Boston","")</f>
        <v/>
      </c>
      <c r="B2783" s="5">
        <f>IF(A2783="","",24)</f>
        <v/>
      </c>
      <c r="C2783" s="17" t="n">
        <v>46519</v>
      </c>
      <c r="D2783" s="5">
        <f>IF(A2783="","",IF(C2783=DATE(2026,11,29),"培训；注册午餐；早餐参数",IF(C2783=DATE(2026,11,30),"培训；注册午餐",IF(C2783=DATE(2026,12,1),"培训；注册午餐；机构晚餐",IF(C2783=Options!$B$9,"抵达；"&amp;IF(C2783=DATE(2026,11,28),"机构晚餐","无统一供餐"),IF(C2783=Options!$B$10,"返程；"&amp;IF(C2783=DATE(2026,12,2),"机构午餐","无统一供餐"),"差旅状态；无统一日程"))))))</f>
        <v/>
      </c>
      <c r="E2783" s="13">
        <f>IF(C2783=Options!$B$9,Options!$C$21,0)</f>
        <v/>
      </c>
      <c r="F2783" s="13">
        <f>IF(AND(A2783&lt;&gt;"",C2783&lt;Options!$B$10),B2783*Options!$X$8,0)</f>
        <v/>
      </c>
      <c r="G2783" s="13">
        <f>F2783*12%</f>
        <v/>
      </c>
      <c r="H2783" s="13">
        <f>IF(A2783="",0,B2783*(92*IF(OR(C2783=Options!$B$9,C2783=Options!$B$10),75%,100%)-IF(C2783=DATE(2026,11,29),26+IF(Options!$B$8="是",23,0),0)-IF(C2783=DATE(2026,11,30),26,0)-IF(C2783=DATE(2026,12,1),64,0)-IF(C2783=DATE(2026,11,28),38,0)-IF(C2783=DATE(2026,12,2),26,0)))</f>
        <v/>
      </c>
      <c r="I2783" s="13">
        <f>IF(AND(C2783&gt;=DATE(2026,11,29),C2783&lt;=DATE(2026,12,1)),B2783*60,0)</f>
        <v/>
      </c>
      <c r="J2783" s="13">
        <f>IF(A2783="",0,B2783*(IF(C2783=DATE(2026,11,28),38,0)+IF(C2783=DATE(2026,12,1),38,0)+IF(C2783=DATE(2026,12,2),26,0)))</f>
        <v/>
      </c>
      <c r="K2783" s="13">
        <f>IF(C2783=Options!$B$9,B2783*12,0)</f>
        <v/>
      </c>
      <c r="L2783" s="13">
        <f>IF(C2783=Options!$B$9,B2783*Options!$Z$8,0)</f>
        <v/>
      </c>
      <c r="M2783" s="13" t="n">
        <v>0</v>
      </c>
      <c r="N2783" s="13">
        <f>SUM(E2783:M2783)</f>
        <v/>
      </c>
    </row>
    <row r="2784">
      <c r="A2784" s="5">
        <f>IF(AND(C2784&gt;=Options!$B$9,C2784&lt;=Options!$B$10),"Boston","")</f>
        <v/>
      </c>
      <c r="B2784" s="5">
        <f>IF(A2784="","",24)</f>
        <v/>
      </c>
      <c r="C2784" s="17" t="n">
        <v>46520</v>
      </c>
      <c r="D2784" s="5">
        <f>IF(A2784="","",IF(C2784=DATE(2026,11,29),"培训；注册午餐；早餐参数",IF(C2784=DATE(2026,11,30),"培训；注册午餐",IF(C2784=DATE(2026,12,1),"培训；注册午餐；机构晚餐",IF(C2784=Options!$B$9,"抵达；"&amp;IF(C2784=DATE(2026,11,28),"机构晚餐","无统一供餐"),IF(C2784=Options!$B$10,"返程；"&amp;IF(C2784=DATE(2026,12,2),"机构午餐","无统一供餐"),"差旅状态；无统一日程"))))))</f>
        <v/>
      </c>
      <c r="E2784" s="13">
        <f>IF(C2784=Options!$B$9,Options!$C$21,0)</f>
        <v/>
      </c>
      <c r="F2784" s="13">
        <f>IF(AND(A2784&lt;&gt;"",C2784&lt;Options!$B$10),B2784*Options!$X$8,0)</f>
        <v/>
      </c>
      <c r="G2784" s="13">
        <f>F2784*12%</f>
        <v/>
      </c>
      <c r="H2784" s="13">
        <f>IF(A2784="",0,B2784*(92*IF(OR(C2784=Options!$B$9,C2784=Options!$B$10),75%,100%)-IF(C2784=DATE(2026,11,29),26+IF(Options!$B$8="是",23,0),0)-IF(C2784=DATE(2026,11,30),26,0)-IF(C2784=DATE(2026,12,1),64,0)-IF(C2784=DATE(2026,11,28),38,0)-IF(C2784=DATE(2026,12,2),26,0)))</f>
        <v/>
      </c>
      <c r="I2784" s="13">
        <f>IF(AND(C2784&gt;=DATE(2026,11,29),C2784&lt;=DATE(2026,12,1)),B2784*60,0)</f>
        <v/>
      </c>
      <c r="J2784" s="13">
        <f>IF(A2784="",0,B2784*(IF(C2784=DATE(2026,11,28),38,0)+IF(C2784=DATE(2026,12,1),38,0)+IF(C2784=DATE(2026,12,2),26,0)))</f>
        <v/>
      </c>
      <c r="K2784" s="13">
        <f>IF(C2784=Options!$B$9,B2784*12,0)</f>
        <v/>
      </c>
      <c r="L2784" s="13">
        <f>IF(C2784=Options!$B$9,B2784*Options!$Z$8,0)</f>
        <v/>
      </c>
      <c r="M2784" s="13" t="n">
        <v>0</v>
      </c>
      <c r="N2784" s="13">
        <f>SUM(E2784:M2784)</f>
        <v/>
      </c>
    </row>
    <row r="2785">
      <c r="A2785" s="5">
        <f>IF(AND(C2785&gt;=Options!$B$9,C2785&lt;=Options!$B$10),"Boston","")</f>
        <v/>
      </c>
      <c r="B2785" s="5">
        <f>IF(A2785="","",24)</f>
        <v/>
      </c>
      <c r="C2785" s="17" t="n">
        <v>46521</v>
      </c>
      <c r="D2785" s="5">
        <f>IF(A2785="","",IF(C2785=DATE(2026,11,29),"培训；注册午餐；早餐参数",IF(C2785=DATE(2026,11,30),"培训；注册午餐",IF(C2785=DATE(2026,12,1),"培训；注册午餐；机构晚餐",IF(C2785=Options!$B$9,"抵达；"&amp;IF(C2785=DATE(2026,11,28),"机构晚餐","无统一供餐"),IF(C2785=Options!$B$10,"返程；"&amp;IF(C2785=DATE(2026,12,2),"机构午餐","无统一供餐"),"差旅状态；无统一日程"))))))</f>
        <v/>
      </c>
      <c r="E2785" s="13">
        <f>IF(C2785=Options!$B$9,Options!$C$21,0)</f>
        <v/>
      </c>
      <c r="F2785" s="13">
        <f>IF(AND(A2785&lt;&gt;"",C2785&lt;Options!$B$10),B2785*Options!$X$8,0)</f>
        <v/>
      </c>
      <c r="G2785" s="13">
        <f>F2785*12%</f>
        <v/>
      </c>
      <c r="H2785" s="13">
        <f>IF(A2785="",0,B2785*(92*IF(OR(C2785=Options!$B$9,C2785=Options!$B$10),75%,100%)-IF(C2785=DATE(2026,11,29),26+IF(Options!$B$8="是",23,0),0)-IF(C2785=DATE(2026,11,30),26,0)-IF(C2785=DATE(2026,12,1),64,0)-IF(C2785=DATE(2026,11,28),38,0)-IF(C2785=DATE(2026,12,2),26,0)))</f>
        <v/>
      </c>
      <c r="I2785" s="13">
        <f>IF(AND(C2785&gt;=DATE(2026,11,29),C2785&lt;=DATE(2026,12,1)),B2785*60,0)</f>
        <v/>
      </c>
      <c r="J2785" s="13">
        <f>IF(A2785="",0,B2785*(IF(C2785=DATE(2026,11,28),38,0)+IF(C2785=DATE(2026,12,1),38,0)+IF(C2785=DATE(2026,12,2),26,0)))</f>
        <v/>
      </c>
      <c r="K2785" s="13">
        <f>IF(C2785=Options!$B$9,B2785*12,0)</f>
        <v/>
      </c>
      <c r="L2785" s="13">
        <f>IF(C2785=Options!$B$9,B2785*Options!$Z$8,0)</f>
        <v/>
      </c>
      <c r="M2785" s="13" t="n">
        <v>0</v>
      </c>
      <c r="N2785" s="13">
        <f>SUM(E2785:M2785)</f>
        <v/>
      </c>
    </row>
    <row r="2786">
      <c r="A2786" s="5">
        <f>IF(AND(C2786&gt;=Options!$B$9,C2786&lt;=Options!$B$10),"Boston","")</f>
        <v/>
      </c>
      <c r="B2786" s="5">
        <f>IF(A2786="","",24)</f>
        <v/>
      </c>
      <c r="C2786" s="17" t="n">
        <v>46522</v>
      </c>
      <c r="D2786" s="5">
        <f>IF(A2786="","",IF(C2786=DATE(2026,11,29),"培训；注册午餐；早餐参数",IF(C2786=DATE(2026,11,30),"培训；注册午餐",IF(C2786=DATE(2026,12,1),"培训；注册午餐；机构晚餐",IF(C2786=Options!$B$9,"抵达；"&amp;IF(C2786=DATE(2026,11,28),"机构晚餐","无统一供餐"),IF(C2786=Options!$B$10,"返程；"&amp;IF(C2786=DATE(2026,12,2),"机构午餐","无统一供餐"),"差旅状态；无统一日程"))))))</f>
        <v/>
      </c>
      <c r="E2786" s="13">
        <f>IF(C2786=Options!$B$9,Options!$C$21,0)</f>
        <v/>
      </c>
      <c r="F2786" s="13">
        <f>IF(AND(A2786&lt;&gt;"",C2786&lt;Options!$B$10),B2786*Options!$X$8,0)</f>
        <v/>
      </c>
      <c r="G2786" s="13">
        <f>F2786*12%</f>
        <v/>
      </c>
      <c r="H2786" s="13">
        <f>IF(A2786="",0,B2786*(92*IF(OR(C2786=Options!$B$9,C2786=Options!$B$10),75%,100%)-IF(C2786=DATE(2026,11,29),26+IF(Options!$B$8="是",23,0),0)-IF(C2786=DATE(2026,11,30),26,0)-IF(C2786=DATE(2026,12,1),64,0)-IF(C2786=DATE(2026,11,28),38,0)-IF(C2786=DATE(2026,12,2),26,0)))</f>
        <v/>
      </c>
      <c r="I2786" s="13">
        <f>IF(AND(C2786&gt;=DATE(2026,11,29),C2786&lt;=DATE(2026,12,1)),B2786*60,0)</f>
        <v/>
      </c>
      <c r="J2786" s="13">
        <f>IF(A2786="",0,B2786*(IF(C2786=DATE(2026,11,28),38,0)+IF(C2786=DATE(2026,12,1),38,0)+IF(C2786=DATE(2026,12,2),26,0)))</f>
        <v/>
      </c>
      <c r="K2786" s="13">
        <f>IF(C2786=Options!$B$9,B2786*12,0)</f>
        <v/>
      </c>
      <c r="L2786" s="13">
        <f>IF(C2786=Options!$B$9,B2786*Options!$Z$8,0)</f>
        <v/>
      </c>
      <c r="M2786" s="13" t="n">
        <v>0</v>
      </c>
      <c r="N2786" s="13">
        <f>SUM(E2786:M2786)</f>
        <v/>
      </c>
    </row>
    <row r="2787">
      <c r="A2787" s="5">
        <f>IF(AND(C2787&gt;=Options!$B$9,C2787&lt;=Options!$B$10),"Boston","")</f>
        <v/>
      </c>
      <c r="B2787" s="5">
        <f>IF(A2787="","",24)</f>
        <v/>
      </c>
      <c r="C2787" s="17" t="n">
        <v>46523</v>
      </c>
      <c r="D2787" s="5">
        <f>IF(A2787="","",IF(C2787=DATE(2026,11,29),"培训；注册午餐；早餐参数",IF(C2787=DATE(2026,11,30),"培训；注册午餐",IF(C2787=DATE(2026,12,1),"培训；注册午餐；机构晚餐",IF(C2787=Options!$B$9,"抵达；"&amp;IF(C2787=DATE(2026,11,28),"机构晚餐","无统一供餐"),IF(C2787=Options!$B$10,"返程；"&amp;IF(C2787=DATE(2026,12,2),"机构午餐","无统一供餐"),"差旅状态；无统一日程"))))))</f>
        <v/>
      </c>
      <c r="E2787" s="13">
        <f>IF(C2787=Options!$B$9,Options!$C$21,0)</f>
        <v/>
      </c>
      <c r="F2787" s="13">
        <f>IF(AND(A2787&lt;&gt;"",C2787&lt;Options!$B$10),B2787*Options!$X$8,0)</f>
        <v/>
      </c>
      <c r="G2787" s="13">
        <f>F2787*12%</f>
        <v/>
      </c>
      <c r="H2787" s="13">
        <f>IF(A2787="",0,B2787*(92*IF(OR(C2787=Options!$B$9,C2787=Options!$B$10),75%,100%)-IF(C2787=DATE(2026,11,29),26+IF(Options!$B$8="是",23,0),0)-IF(C2787=DATE(2026,11,30),26,0)-IF(C2787=DATE(2026,12,1),64,0)-IF(C2787=DATE(2026,11,28),38,0)-IF(C2787=DATE(2026,12,2),26,0)))</f>
        <v/>
      </c>
      <c r="I2787" s="13">
        <f>IF(AND(C2787&gt;=DATE(2026,11,29),C2787&lt;=DATE(2026,12,1)),B2787*60,0)</f>
        <v/>
      </c>
      <c r="J2787" s="13">
        <f>IF(A2787="",0,B2787*(IF(C2787=DATE(2026,11,28),38,0)+IF(C2787=DATE(2026,12,1),38,0)+IF(C2787=DATE(2026,12,2),26,0)))</f>
        <v/>
      </c>
      <c r="K2787" s="13">
        <f>IF(C2787=Options!$B$9,B2787*12,0)</f>
        <v/>
      </c>
      <c r="L2787" s="13">
        <f>IF(C2787=Options!$B$9,B2787*Options!$Z$8,0)</f>
        <v/>
      </c>
      <c r="M2787" s="13" t="n">
        <v>0</v>
      </c>
      <c r="N2787" s="13">
        <f>SUM(E2787:M2787)</f>
        <v/>
      </c>
    </row>
    <row r="2788">
      <c r="A2788" s="5">
        <f>IF(AND(C2788&gt;=Options!$B$9,C2788&lt;=Options!$B$10),"Boston","")</f>
        <v/>
      </c>
      <c r="B2788" s="5">
        <f>IF(A2788="","",24)</f>
        <v/>
      </c>
      <c r="C2788" s="17" t="n">
        <v>46524</v>
      </c>
      <c r="D2788" s="5">
        <f>IF(A2788="","",IF(C2788=DATE(2026,11,29),"培训；注册午餐；早餐参数",IF(C2788=DATE(2026,11,30),"培训；注册午餐",IF(C2788=DATE(2026,12,1),"培训；注册午餐；机构晚餐",IF(C2788=Options!$B$9,"抵达；"&amp;IF(C2788=DATE(2026,11,28),"机构晚餐","无统一供餐"),IF(C2788=Options!$B$10,"返程；"&amp;IF(C2788=DATE(2026,12,2),"机构午餐","无统一供餐"),"差旅状态；无统一日程"))))))</f>
        <v/>
      </c>
      <c r="E2788" s="13">
        <f>IF(C2788=Options!$B$9,Options!$C$21,0)</f>
        <v/>
      </c>
      <c r="F2788" s="13">
        <f>IF(AND(A2788&lt;&gt;"",C2788&lt;Options!$B$10),B2788*Options!$X$8,0)</f>
        <v/>
      </c>
      <c r="G2788" s="13">
        <f>F2788*12%</f>
        <v/>
      </c>
      <c r="H2788" s="13">
        <f>IF(A2788="",0,B2788*(92*IF(OR(C2788=Options!$B$9,C2788=Options!$B$10),75%,100%)-IF(C2788=DATE(2026,11,29),26+IF(Options!$B$8="是",23,0),0)-IF(C2788=DATE(2026,11,30),26,0)-IF(C2788=DATE(2026,12,1),64,0)-IF(C2788=DATE(2026,11,28),38,0)-IF(C2788=DATE(2026,12,2),26,0)))</f>
        <v/>
      </c>
      <c r="I2788" s="13">
        <f>IF(AND(C2788&gt;=DATE(2026,11,29),C2788&lt;=DATE(2026,12,1)),B2788*60,0)</f>
        <v/>
      </c>
      <c r="J2788" s="13">
        <f>IF(A2788="",0,B2788*(IF(C2788=DATE(2026,11,28),38,0)+IF(C2788=DATE(2026,12,1),38,0)+IF(C2788=DATE(2026,12,2),26,0)))</f>
        <v/>
      </c>
      <c r="K2788" s="13">
        <f>IF(C2788=Options!$B$9,B2788*12,0)</f>
        <v/>
      </c>
      <c r="L2788" s="13">
        <f>IF(C2788=Options!$B$9,B2788*Options!$Z$8,0)</f>
        <v/>
      </c>
      <c r="M2788" s="13" t="n">
        <v>0</v>
      </c>
      <c r="N2788" s="13">
        <f>SUM(E2788:M2788)</f>
        <v/>
      </c>
    </row>
    <row r="2789">
      <c r="A2789" s="5">
        <f>IF(AND(C2789&gt;=Options!$B$9,C2789&lt;=Options!$B$10),"Boston","")</f>
        <v/>
      </c>
      <c r="B2789" s="5">
        <f>IF(A2789="","",24)</f>
        <v/>
      </c>
      <c r="C2789" s="17" t="n">
        <v>46525</v>
      </c>
      <c r="D2789" s="5">
        <f>IF(A2789="","",IF(C2789=DATE(2026,11,29),"培训；注册午餐；早餐参数",IF(C2789=DATE(2026,11,30),"培训；注册午餐",IF(C2789=DATE(2026,12,1),"培训；注册午餐；机构晚餐",IF(C2789=Options!$B$9,"抵达；"&amp;IF(C2789=DATE(2026,11,28),"机构晚餐","无统一供餐"),IF(C2789=Options!$B$10,"返程；"&amp;IF(C2789=DATE(2026,12,2),"机构午餐","无统一供餐"),"差旅状态；无统一日程"))))))</f>
        <v/>
      </c>
      <c r="E2789" s="13">
        <f>IF(C2789=Options!$B$9,Options!$C$21,0)</f>
        <v/>
      </c>
      <c r="F2789" s="13">
        <f>IF(AND(A2789&lt;&gt;"",C2789&lt;Options!$B$10),B2789*Options!$X$8,0)</f>
        <v/>
      </c>
      <c r="G2789" s="13">
        <f>F2789*12%</f>
        <v/>
      </c>
      <c r="H2789" s="13">
        <f>IF(A2789="",0,B2789*(92*IF(OR(C2789=Options!$B$9,C2789=Options!$B$10),75%,100%)-IF(C2789=DATE(2026,11,29),26+IF(Options!$B$8="是",23,0),0)-IF(C2789=DATE(2026,11,30),26,0)-IF(C2789=DATE(2026,12,1),64,0)-IF(C2789=DATE(2026,11,28),38,0)-IF(C2789=DATE(2026,12,2),26,0)))</f>
        <v/>
      </c>
      <c r="I2789" s="13">
        <f>IF(AND(C2789&gt;=DATE(2026,11,29),C2789&lt;=DATE(2026,12,1)),B2789*60,0)</f>
        <v/>
      </c>
      <c r="J2789" s="13">
        <f>IF(A2789="",0,B2789*(IF(C2789=DATE(2026,11,28),38,0)+IF(C2789=DATE(2026,12,1),38,0)+IF(C2789=DATE(2026,12,2),26,0)))</f>
        <v/>
      </c>
      <c r="K2789" s="13">
        <f>IF(C2789=Options!$B$9,B2789*12,0)</f>
        <v/>
      </c>
      <c r="L2789" s="13">
        <f>IF(C2789=Options!$B$9,B2789*Options!$Z$8,0)</f>
        <v/>
      </c>
      <c r="M2789" s="13" t="n">
        <v>0</v>
      </c>
      <c r="N2789" s="13">
        <f>SUM(E2789:M2789)</f>
        <v/>
      </c>
    </row>
    <row r="2790">
      <c r="A2790" s="5">
        <f>IF(AND(C2790&gt;=Options!$B$9,C2790&lt;=Options!$B$10),"Boston","")</f>
        <v/>
      </c>
      <c r="B2790" s="5">
        <f>IF(A2790="","",24)</f>
        <v/>
      </c>
      <c r="C2790" s="17" t="n">
        <v>46526</v>
      </c>
      <c r="D2790" s="5">
        <f>IF(A2790="","",IF(C2790=DATE(2026,11,29),"培训；注册午餐；早餐参数",IF(C2790=DATE(2026,11,30),"培训；注册午餐",IF(C2790=DATE(2026,12,1),"培训；注册午餐；机构晚餐",IF(C2790=Options!$B$9,"抵达；"&amp;IF(C2790=DATE(2026,11,28),"机构晚餐","无统一供餐"),IF(C2790=Options!$B$10,"返程；"&amp;IF(C2790=DATE(2026,12,2),"机构午餐","无统一供餐"),"差旅状态；无统一日程"))))))</f>
        <v/>
      </c>
      <c r="E2790" s="13">
        <f>IF(C2790=Options!$B$9,Options!$C$21,0)</f>
        <v/>
      </c>
      <c r="F2790" s="13">
        <f>IF(AND(A2790&lt;&gt;"",C2790&lt;Options!$B$10),B2790*Options!$X$8,0)</f>
        <v/>
      </c>
      <c r="G2790" s="13">
        <f>F2790*12%</f>
        <v/>
      </c>
      <c r="H2790" s="13">
        <f>IF(A2790="",0,B2790*(92*IF(OR(C2790=Options!$B$9,C2790=Options!$B$10),75%,100%)-IF(C2790=DATE(2026,11,29),26+IF(Options!$B$8="是",23,0),0)-IF(C2790=DATE(2026,11,30),26,0)-IF(C2790=DATE(2026,12,1),64,0)-IF(C2790=DATE(2026,11,28),38,0)-IF(C2790=DATE(2026,12,2),26,0)))</f>
        <v/>
      </c>
      <c r="I2790" s="13">
        <f>IF(AND(C2790&gt;=DATE(2026,11,29),C2790&lt;=DATE(2026,12,1)),B2790*60,0)</f>
        <v/>
      </c>
      <c r="J2790" s="13">
        <f>IF(A2790="",0,B2790*(IF(C2790=DATE(2026,11,28),38,0)+IF(C2790=DATE(2026,12,1),38,0)+IF(C2790=DATE(2026,12,2),26,0)))</f>
        <v/>
      </c>
      <c r="K2790" s="13">
        <f>IF(C2790=Options!$B$9,B2790*12,0)</f>
        <v/>
      </c>
      <c r="L2790" s="13">
        <f>IF(C2790=Options!$B$9,B2790*Options!$Z$8,0)</f>
        <v/>
      </c>
      <c r="M2790" s="13" t="n">
        <v>0</v>
      </c>
      <c r="N2790" s="13">
        <f>SUM(E2790:M2790)</f>
        <v/>
      </c>
    </row>
    <row r="2791">
      <c r="A2791" s="5">
        <f>IF(AND(C2791&gt;=Options!$B$9,C2791&lt;=Options!$B$10),"Boston","")</f>
        <v/>
      </c>
      <c r="B2791" s="5">
        <f>IF(A2791="","",24)</f>
        <v/>
      </c>
      <c r="C2791" s="17" t="n">
        <v>46527</v>
      </c>
      <c r="D2791" s="5">
        <f>IF(A2791="","",IF(C2791=DATE(2026,11,29),"培训；注册午餐；早餐参数",IF(C2791=DATE(2026,11,30),"培训；注册午餐",IF(C2791=DATE(2026,12,1),"培训；注册午餐；机构晚餐",IF(C2791=Options!$B$9,"抵达；"&amp;IF(C2791=DATE(2026,11,28),"机构晚餐","无统一供餐"),IF(C2791=Options!$B$10,"返程；"&amp;IF(C2791=DATE(2026,12,2),"机构午餐","无统一供餐"),"差旅状态；无统一日程"))))))</f>
        <v/>
      </c>
      <c r="E2791" s="13">
        <f>IF(C2791=Options!$B$9,Options!$C$21,0)</f>
        <v/>
      </c>
      <c r="F2791" s="13">
        <f>IF(AND(A2791&lt;&gt;"",C2791&lt;Options!$B$10),B2791*Options!$X$8,0)</f>
        <v/>
      </c>
      <c r="G2791" s="13">
        <f>F2791*12%</f>
        <v/>
      </c>
      <c r="H2791" s="13">
        <f>IF(A2791="",0,B2791*(92*IF(OR(C2791=Options!$B$9,C2791=Options!$B$10),75%,100%)-IF(C2791=DATE(2026,11,29),26+IF(Options!$B$8="是",23,0),0)-IF(C2791=DATE(2026,11,30),26,0)-IF(C2791=DATE(2026,12,1),64,0)-IF(C2791=DATE(2026,11,28),38,0)-IF(C2791=DATE(2026,12,2),26,0)))</f>
        <v/>
      </c>
      <c r="I2791" s="13">
        <f>IF(AND(C2791&gt;=DATE(2026,11,29),C2791&lt;=DATE(2026,12,1)),B2791*60,0)</f>
        <v/>
      </c>
      <c r="J2791" s="13">
        <f>IF(A2791="",0,B2791*(IF(C2791=DATE(2026,11,28),38,0)+IF(C2791=DATE(2026,12,1),38,0)+IF(C2791=DATE(2026,12,2),26,0)))</f>
        <v/>
      </c>
      <c r="K2791" s="13">
        <f>IF(C2791=Options!$B$9,B2791*12,0)</f>
        <v/>
      </c>
      <c r="L2791" s="13">
        <f>IF(C2791=Options!$B$9,B2791*Options!$Z$8,0)</f>
        <v/>
      </c>
      <c r="M2791" s="13" t="n">
        <v>0</v>
      </c>
      <c r="N2791" s="13">
        <f>SUM(E2791:M2791)</f>
        <v/>
      </c>
    </row>
    <row r="2792">
      <c r="A2792" s="5">
        <f>IF(AND(C2792&gt;=Options!$B$9,C2792&lt;=Options!$B$10),"Boston","")</f>
        <v/>
      </c>
      <c r="B2792" s="5">
        <f>IF(A2792="","",24)</f>
        <v/>
      </c>
      <c r="C2792" s="17" t="n">
        <v>46528</v>
      </c>
      <c r="D2792" s="5">
        <f>IF(A2792="","",IF(C2792=DATE(2026,11,29),"培训；注册午餐；早餐参数",IF(C2792=DATE(2026,11,30),"培训；注册午餐",IF(C2792=DATE(2026,12,1),"培训；注册午餐；机构晚餐",IF(C2792=Options!$B$9,"抵达；"&amp;IF(C2792=DATE(2026,11,28),"机构晚餐","无统一供餐"),IF(C2792=Options!$B$10,"返程；"&amp;IF(C2792=DATE(2026,12,2),"机构午餐","无统一供餐"),"差旅状态；无统一日程"))))))</f>
        <v/>
      </c>
      <c r="E2792" s="13">
        <f>IF(C2792=Options!$B$9,Options!$C$21,0)</f>
        <v/>
      </c>
      <c r="F2792" s="13">
        <f>IF(AND(A2792&lt;&gt;"",C2792&lt;Options!$B$10),B2792*Options!$X$8,0)</f>
        <v/>
      </c>
      <c r="G2792" s="13">
        <f>F2792*12%</f>
        <v/>
      </c>
      <c r="H2792" s="13">
        <f>IF(A2792="",0,B2792*(92*IF(OR(C2792=Options!$B$9,C2792=Options!$B$10),75%,100%)-IF(C2792=DATE(2026,11,29),26+IF(Options!$B$8="是",23,0),0)-IF(C2792=DATE(2026,11,30),26,0)-IF(C2792=DATE(2026,12,1),64,0)-IF(C2792=DATE(2026,11,28),38,0)-IF(C2792=DATE(2026,12,2),26,0)))</f>
        <v/>
      </c>
      <c r="I2792" s="13">
        <f>IF(AND(C2792&gt;=DATE(2026,11,29),C2792&lt;=DATE(2026,12,1)),B2792*60,0)</f>
        <v/>
      </c>
      <c r="J2792" s="13">
        <f>IF(A2792="",0,B2792*(IF(C2792=DATE(2026,11,28),38,0)+IF(C2792=DATE(2026,12,1),38,0)+IF(C2792=DATE(2026,12,2),26,0)))</f>
        <v/>
      </c>
      <c r="K2792" s="13">
        <f>IF(C2792=Options!$B$9,B2792*12,0)</f>
        <v/>
      </c>
      <c r="L2792" s="13">
        <f>IF(C2792=Options!$B$9,B2792*Options!$Z$8,0)</f>
        <v/>
      </c>
      <c r="M2792" s="13" t="n">
        <v>0</v>
      </c>
      <c r="N2792" s="13">
        <f>SUM(E2792:M2792)</f>
        <v/>
      </c>
    </row>
    <row r="2793">
      <c r="A2793" s="5">
        <f>IF(AND(C2793&gt;=Options!$B$9,C2793&lt;=Options!$B$10),"Boston","")</f>
        <v/>
      </c>
      <c r="B2793" s="5">
        <f>IF(A2793="","",24)</f>
        <v/>
      </c>
      <c r="C2793" s="17" t="n">
        <v>46529</v>
      </c>
      <c r="D2793" s="5">
        <f>IF(A2793="","",IF(C2793=DATE(2026,11,29),"培训；注册午餐；早餐参数",IF(C2793=DATE(2026,11,30),"培训；注册午餐",IF(C2793=DATE(2026,12,1),"培训；注册午餐；机构晚餐",IF(C2793=Options!$B$9,"抵达；"&amp;IF(C2793=DATE(2026,11,28),"机构晚餐","无统一供餐"),IF(C2793=Options!$B$10,"返程；"&amp;IF(C2793=DATE(2026,12,2),"机构午餐","无统一供餐"),"差旅状态；无统一日程"))))))</f>
        <v/>
      </c>
      <c r="E2793" s="13">
        <f>IF(C2793=Options!$B$9,Options!$C$21,0)</f>
        <v/>
      </c>
      <c r="F2793" s="13">
        <f>IF(AND(A2793&lt;&gt;"",C2793&lt;Options!$B$10),B2793*Options!$X$8,0)</f>
        <v/>
      </c>
      <c r="G2793" s="13">
        <f>F2793*12%</f>
        <v/>
      </c>
      <c r="H2793" s="13">
        <f>IF(A2793="",0,B2793*(92*IF(OR(C2793=Options!$B$9,C2793=Options!$B$10),75%,100%)-IF(C2793=DATE(2026,11,29),26+IF(Options!$B$8="是",23,0),0)-IF(C2793=DATE(2026,11,30),26,0)-IF(C2793=DATE(2026,12,1),64,0)-IF(C2793=DATE(2026,11,28),38,0)-IF(C2793=DATE(2026,12,2),26,0)))</f>
        <v/>
      </c>
      <c r="I2793" s="13">
        <f>IF(AND(C2793&gt;=DATE(2026,11,29),C2793&lt;=DATE(2026,12,1)),B2793*60,0)</f>
        <v/>
      </c>
      <c r="J2793" s="13">
        <f>IF(A2793="",0,B2793*(IF(C2793=DATE(2026,11,28),38,0)+IF(C2793=DATE(2026,12,1),38,0)+IF(C2793=DATE(2026,12,2),26,0)))</f>
        <v/>
      </c>
      <c r="K2793" s="13">
        <f>IF(C2793=Options!$B$9,B2793*12,0)</f>
        <v/>
      </c>
      <c r="L2793" s="13">
        <f>IF(C2793=Options!$B$9,B2793*Options!$Z$8,0)</f>
        <v/>
      </c>
      <c r="M2793" s="13" t="n">
        <v>0</v>
      </c>
      <c r="N2793" s="13">
        <f>SUM(E2793:M2793)</f>
        <v/>
      </c>
    </row>
    <row r="2794">
      <c r="A2794" s="5">
        <f>IF(AND(C2794&gt;=Options!$B$9,C2794&lt;=Options!$B$10),"Boston","")</f>
        <v/>
      </c>
      <c r="B2794" s="5">
        <f>IF(A2794="","",24)</f>
        <v/>
      </c>
      <c r="C2794" s="17" t="n">
        <v>46530</v>
      </c>
      <c r="D2794" s="5">
        <f>IF(A2794="","",IF(C2794=DATE(2026,11,29),"培训；注册午餐；早餐参数",IF(C2794=DATE(2026,11,30),"培训；注册午餐",IF(C2794=DATE(2026,12,1),"培训；注册午餐；机构晚餐",IF(C2794=Options!$B$9,"抵达；"&amp;IF(C2794=DATE(2026,11,28),"机构晚餐","无统一供餐"),IF(C2794=Options!$B$10,"返程；"&amp;IF(C2794=DATE(2026,12,2),"机构午餐","无统一供餐"),"差旅状态；无统一日程"))))))</f>
        <v/>
      </c>
      <c r="E2794" s="13">
        <f>IF(C2794=Options!$B$9,Options!$C$21,0)</f>
        <v/>
      </c>
      <c r="F2794" s="13">
        <f>IF(AND(A2794&lt;&gt;"",C2794&lt;Options!$B$10),B2794*Options!$X$8,0)</f>
        <v/>
      </c>
      <c r="G2794" s="13">
        <f>F2794*12%</f>
        <v/>
      </c>
      <c r="H2794" s="13">
        <f>IF(A2794="",0,B2794*(92*IF(OR(C2794=Options!$B$9,C2794=Options!$B$10),75%,100%)-IF(C2794=DATE(2026,11,29),26+IF(Options!$B$8="是",23,0),0)-IF(C2794=DATE(2026,11,30),26,0)-IF(C2794=DATE(2026,12,1),64,0)-IF(C2794=DATE(2026,11,28),38,0)-IF(C2794=DATE(2026,12,2),26,0)))</f>
        <v/>
      </c>
      <c r="I2794" s="13">
        <f>IF(AND(C2794&gt;=DATE(2026,11,29),C2794&lt;=DATE(2026,12,1)),B2794*60,0)</f>
        <v/>
      </c>
      <c r="J2794" s="13">
        <f>IF(A2794="",0,B2794*(IF(C2794=DATE(2026,11,28),38,0)+IF(C2794=DATE(2026,12,1),38,0)+IF(C2794=DATE(2026,12,2),26,0)))</f>
        <v/>
      </c>
      <c r="K2794" s="13">
        <f>IF(C2794=Options!$B$9,B2794*12,0)</f>
        <v/>
      </c>
      <c r="L2794" s="13">
        <f>IF(C2794=Options!$B$9,B2794*Options!$Z$8,0)</f>
        <v/>
      </c>
      <c r="M2794" s="13" t="n">
        <v>0</v>
      </c>
      <c r="N2794" s="13">
        <f>SUM(E2794:M2794)</f>
        <v/>
      </c>
    </row>
    <row r="2795">
      <c r="A2795" s="5">
        <f>IF(AND(C2795&gt;=Options!$B$9,C2795&lt;=Options!$B$10),"Boston","")</f>
        <v/>
      </c>
      <c r="B2795" s="5">
        <f>IF(A2795="","",24)</f>
        <v/>
      </c>
      <c r="C2795" s="17" t="n">
        <v>46531</v>
      </c>
      <c r="D2795" s="5">
        <f>IF(A2795="","",IF(C2795=DATE(2026,11,29),"培训；注册午餐；早餐参数",IF(C2795=DATE(2026,11,30),"培训；注册午餐",IF(C2795=DATE(2026,12,1),"培训；注册午餐；机构晚餐",IF(C2795=Options!$B$9,"抵达；"&amp;IF(C2795=DATE(2026,11,28),"机构晚餐","无统一供餐"),IF(C2795=Options!$B$10,"返程；"&amp;IF(C2795=DATE(2026,12,2),"机构午餐","无统一供餐"),"差旅状态；无统一日程"))))))</f>
        <v/>
      </c>
      <c r="E2795" s="13">
        <f>IF(C2795=Options!$B$9,Options!$C$21,0)</f>
        <v/>
      </c>
      <c r="F2795" s="13">
        <f>IF(AND(A2795&lt;&gt;"",C2795&lt;Options!$B$10),B2795*Options!$X$8,0)</f>
        <v/>
      </c>
      <c r="G2795" s="13">
        <f>F2795*12%</f>
        <v/>
      </c>
      <c r="H2795" s="13">
        <f>IF(A2795="",0,B2795*(92*IF(OR(C2795=Options!$B$9,C2795=Options!$B$10),75%,100%)-IF(C2795=DATE(2026,11,29),26+IF(Options!$B$8="是",23,0),0)-IF(C2795=DATE(2026,11,30),26,0)-IF(C2795=DATE(2026,12,1),64,0)-IF(C2795=DATE(2026,11,28),38,0)-IF(C2795=DATE(2026,12,2),26,0)))</f>
        <v/>
      </c>
      <c r="I2795" s="13">
        <f>IF(AND(C2795&gt;=DATE(2026,11,29),C2795&lt;=DATE(2026,12,1)),B2795*60,0)</f>
        <v/>
      </c>
      <c r="J2795" s="13">
        <f>IF(A2795="",0,B2795*(IF(C2795=DATE(2026,11,28),38,0)+IF(C2795=DATE(2026,12,1),38,0)+IF(C2795=DATE(2026,12,2),26,0)))</f>
        <v/>
      </c>
      <c r="K2795" s="13">
        <f>IF(C2795=Options!$B$9,B2795*12,0)</f>
        <v/>
      </c>
      <c r="L2795" s="13">
        <f>IF(C2795=Options!$B$9,B2795*Options!$Z$8,0)</f>
        <v/>
      </c>
      <c r="M2795" s="13" t="n">
        <v>0</v>
      </c>
      <c r="N2795" s="13">
        <f>SUM(E2795:M2795)</f>
        <v/>
      </c>
    </row>
    <row r="2796">
      <c r="A2796" s="5">
        <f>IF(AND(C2796&gt;=Options!$B$9,C2796&lt;=Options!$B$10),"Boston","")</f>
        <v/>
      </c>
      <c r="B2796" s="5">
        <f>IF(A2796="","",24)</f>
        <v/>
      </c>
      <c r="C2796" s="17" t="n">
        <v>46532</v>
      </c>
      <c r="D2796" s="5">
        <f>IF(A2796="","",IF(C2796=DATE(2026,11,29),"培训；注册午餐；早餐参数",IF(C2796=DATE(2026,11,30),"培训；注册午餐",IF(C2796=DATE(2026,12,1),"培训；注册午餐；机构晚餐",IF(C2796=Options!$B$9,"抵达；"&amp;IF(C2796=DATE(2026,11,28),"机构晚餐","无统一供餐"),IF(C2796=Options!$B$10,"返程；"&amp;IF(C2796=DATE(2026,12,2),"机构午餐","无统一供餐"),"差旅状态；无统一日程"))))))</f>
        <v/>
      </c>
      <c r="E2796" s="13">
        <f>IF(C2796=Options!$B$9,Options!$C$21,0)</f>
        <v/>
      </c>
      <c r="F2796" s="13">
        <f>IF(AND(A2796&lt;&gt;"",C2796&lt;Options!$B$10),B2796*Options!$X$8,0)</f>
        <v/>
      </c>
      <c r="G2796" s="13">
        <f>F2796*12%</f>
        <v/>
      </c>
      <c r="H2796" s="13">
        <f>IF(A2796="",0,B2796*(92*IF(OR(C2796=Options!$B$9,C2796=Options!$B$10),75%,100%)-IF(C2796=DATE(2026,11,29),26+IF(Options!$B$8="是",23,0),0)-IF(C2796=DATE(2026,11,30),26,0)-IF(C2796=DATE(2026,12,1),64,0)-IF(C2796=DATE(2026,11,28),38,0)-IF(C2796=DATE(2026,12,2),26,0)))</f>
        <v/>
      </c>
      <c r="I2796" s="13">
        <f>IF(AND(C2796&gt;=DATE(2026,11,29),C2796&lt;=DATE(2026,12,1)),B2796*60,0)</f>
        <v/>
      </c>
      <c r="J2796" s="13">
        <f>IF(A2796="",0,B2796*(IF(C2796=DATE(2026,11,28),38,0)+IF(C2796=DATE(2026,12,1),38,0)+IF(C2796=DATE(2026,12,2),26,0)))</f>
        <v/>
      </c>
      <c r="K2796" s="13">
        <f>IF(C2796=Options!$B$9,B2796*12,0)</f>
        <v/>
      </c>
      <c r="L2796" s="13">
        <f>IF(C2796=Options!$B$9,B2796*Options!$Z$8,0)</f>
        <v/>
      </c>
      <c r="M2796" s="13" t="n">
        <v>0</v>
      </c>
      <c r="N2796" s="13">
        <f>SUM(E2796:M2796)</f>
        <v/>
      </c>
    </row>
    <row r="2797">
      <c r="A2797" s="5">
        <f>IF(AND(C2797&gt;=Options!$B$9,C2797&lt;=Options!$B$10),"Boston","")</f>
        <v/>
      </c>
      <c r="B2797" s="5">
        <f>IF(A2797="","",24)</f>
        <v/>
      </c>
      <c r="C2797" s="17" t="n">
        <v>46533</v>
      </c>
      <c r="D2797" s="5">
        <f>IF(A2797="","",IF(C2797=DATE(2026,11,29),"培训；注册午餐；早餐参数",IF(C2797=DATE(2026,11,30),"培训；注册午餐",IF(C2797=DATE(2026,12,1),"培训；注册午餐；机构晚餐",IF(C2797=Options!$B$9,"抵达；"&amp;IF(C2797=DATE(2026,11,28),"机构晚餐","无统一供餐"),IF(C2797=Options!$B$10,"返程；"&amp;IF(C2797=DATE(2026,12,2),"机构午餐","无统一供餐"),"差旅状态；无统一日程"))))))</f>
        <v/>
      </c>
      <c r="E2797" s="13">
        <f>IF(C2797=Options!$B$9,Options!$C$21,0)</f>
        <v/>
      </c>
      <c r="F2797" s="13">
        <f>IF(AND(A2797&lt;&gt;"",C2797&lt;Options!$B$10),B2797*Options!$X$8,0)</f>
        <v/>
      </c>
      <c r="G2797" s="13">
        <f>F2797*12%</f>
        <v/>
      </c>
      <c r="H2797" s="13">
        <f>IF(A2797="",0,B2797*(92*IF(OR(C2797=Options!$B$9,C2797=Options!$B$10),75%,100%)-IF(C2797=DATE(2026,11,29),26+IF(Options!$B$8="是",23,0),0)-IF(C2797=DATE(2026,11,30),26,0)-IF(C2797=DATE(2026,12,1),64,0)-IF(C2797=DATE(2026,11,28),38,0)-IF(C2797=DATE(2026,12,2),26,0)))</f>
        <v/>
      </c>
      <c r="I2797" s="13">
        <f>IF(AND(C2797&gt;=DATE(2026,11,29),C2797&lt;=DATE(2026,12,1)),B2797*60,0)</f>
        <v/>
      </c>
      <c r="J2797" s="13">
        <f>IF(A2797="",0,B2797*(IF(C2797=DATE(2026,11,28),38,0)+IF(C2797=DATE(2026,12,1),38,0)+IF(C2797=DATE(2026,12,2),26,0)))</f>
        <v/>
      </c>
      <c r="K2797" s="13">
        <f>IF(C2797=Options!$B$9,B2797*12,0)</f>
        <v/>
      </c>
      <c r="L2797" s="13">
        <f>IF(C2797=Options!$B$9,B2797*Options!$Z$8,0)</f>
        <v/>
      </c>
      <c r="M2797" s="13" t="n">
        <v>0</v>
      </c>
      <c r="N2797" s="13">
        <f>SUM(E2797:M2797)</f>
        <v/>
      </c>
    </row>
    <row r="2798">
      <c r="A2798" s="5">
        <f>IF(AND(C2798&gt;=Options!$B$9,C2798&lt;=Options!$B$10),"Boston","")</f>
        <v/>
      </c>
      <c r="B2798" s="5">
        <f>IF(A2798="","",24)</f>
        <v/>
      </c>
      <c r="C2798" s="17" t="n">
        <v>46534</v>
      </c>
      <c r="D2798" s="5">
        <f>IF(A2798="","",IF(C2798=DATE(2026,11,29),"培训；注册午餐；早餐参数",IF(C2798=DATE(2026,11,30),"培训；注册午餐",IF(C2798=DATE(2026,12,1),"培训；注册午餐；机构晚餐",IF(C2798=Options!$B$9,"抵达；"&amp;IF(C2798=DATE(2026,11,28),"机构晚餐","无统一供餐"),IF(C2798=Options!$B$10,"返程；"&amp;IF(C2798=DATE(2026,12,2),"机构午餐","无统一供餐"),"差旅状态；无统一日程"))))))</f>
        <v/>
      </c>
      <c r="E2798" s="13">
        <f>IF(C2798=Options!$B$9,Options!$C$21,0)</f>
        <v/>
      </c>
      <c r="F2798" s="13">
        <f>IF(AND(A2798&lt;&gt;"",C2798&lt;Options!$B$10),B2798*Options!$X$8,0)</f>
        <v/>
      </c>
      <c r="G2798" s="13">
        <f>F2798*12%</f>
        <v/>
      </c>
      <c r="H2798" s="13">
        <f>IF(A2798="",0,B2798*(92*IF(OR(C2798=Options!$B$9,C2798=Options!$B$10),75%,100%)-IF(C2798=DATE(2026,11,29),26+IF(Options!$B$8="是",23,0),0)-IF(C2798=DATE(2026,11,30),26,0)-IF(C2798=DATE(2026,12,1),64,0)-IF(C2798=DATE(2026,11,28),38,0)-IF(C2798=DATE(2026,12,2),26,0)))</f>
        <v/>
      </c>
      <c r="I2798" s="13">
        <f>IF(AND(C2798&gt;=DATE(2026,11,29),C2798&lt;=DATE(2026,12,1)),B2798*60,0)</f>
        <v/>
      </c>
      <c r="J2798" s="13">
        <f>IF(A2798="",0,B2798*(IF(C2798=DATE(2026,11,28),38,0)+IF(C2798=DATE(2026,12,1),38,0)+IF(C2798=DATE(2026,12,2),26,0)))</f>
        <v/>
      </c>
      <c r="K2798" s="13">
        <f>IF(C2798=Options!$B$9,B2798*12,0)</f>
        <v/>
      </c>
      <c r="L2798" s="13">
        <f>IF(C2798=Options!$B$9,B2798*Options!$Z$8,0)</f>
        <v/>
      </c>
      <c r="M2798" s="13" t="n">
        <v>0</v>
      </c>
      <c r="N2798" s="13">
        <f>SUM(E2798:M2798)</f>
        <v/>
      </c>
    </row>
    <row r="2799">
      <c r="A2799" s="5">
        <f>IF(AND(C2799&gt;=Options!$B$9,C2799&lt;=Options!$B$10),"Boston","")</f>
        <v/>
      </c>
      <c r="B2799" s="5">
        <f>IF(A2799="","",24)</f>
        <v/>
      </c>
      <c r="C2799" s="17" t="n">
        <v>46535</v>
      </c>
      <c r="D2799" s="5">
        <f>IF(A2799="","",IF(C2799=DATE(2026,11,29),"培训；注册午餐；早餐参数",IF(C2799=DATE(2026,11,30),"培训；注册午餐",IF(C2799=DATE(2026,12,1),"培训；注册午餐；机构晚餐",IF(C2799=Options!$B$9,"抵达；"&amp;IF(C2799=DATE(2026,11,28),"机构晚餐","无统一供餐"),IF(C2799=Options!$B$10,"返程；"&amp;IF(C2799=DATE(2026,12,2),"机构午餐","无统一供餐"),"差旅状态；无统一日程"))))))</f>
        <v/>
      </c>
      <c r="E2799" s="13">
        <f>IF(C2799=Options!$B$9,Options!$C$21,0)</f>
        <v/>
      </c>
      <c r="F2799" s="13">
        <f>IF(AND(A2799&lt;&gt;"",C2799&lt;Options!$B$10),B2799*Options!$X$8,0)</f>
        <v/>
      </c>
      <c r="G2799" s="13">
        <f>F2799*12%</f>
        <v/>
      </c>
      <c r="H2799" s="13">
        <f>IF(A2799="",0,B2799*(92*IF(OR(C2799=Options!$B$9,C2799=Options!$B$10),75%,100%)-IF(C2799=DATE(2026,11,29),26+IF(Options!$B$8="是",23,0),0)-IF(C2799=DATE(2026,11,30),26,0)-IF(C2799=DATE(2026,12,1),64,0)-IF(C2799=DATE(2026,11,28),38,0)-IF(C2799=DATE(2026,12,2),26,0)))</f>
        <v/>
      </c>
      <c r="I2799" s="13">
        <f>IF(AND(C2799&gt;=DATE(2026,11,29),C2799&lt;=DATE(2026,12,1)),B2799*60,0)</f>
        <v/>
      </c>
      <c r="J2799" s="13">
        <f>IF(A2799="",0,B2799*(IF(C2799=DATE(2026,11,28),38,0)+IF(C2799=DATE(2026,12,1),38,0)+IF(C2799=DATE(2026,12,2),26,0)))</f>
        <v/>
      </c>
      <c r="K2799" s="13">
        <f>IF(C2799=Options!$B$9,B2799*12,0)</f>
        <v/>
      </c>
      <c r="L2799" s="13">
        <f>IF(C2799=Options!$B$9,B2799*Options!$Z$8,0)</f>
        <v/>
      </c>
      <c r="M2799" s="13" t="n">
        <v>0</v>
      </c>
      <c r="N2799" s="13">
        <f>SUM(E2799:M2799)</f>
        <v/>
      </c>
    </row>
    <row r="2800">
      <c r="A2800" s="5">
        <f>IF(AND(C2800&gt;=Options!$B$9,C2800&lt;=Options!$B$10),"Boston","")</f>
        <v/>
      </c>
      <c r="B2800" s="5">
        <f>IF(A2800="","",24)</f>
        <v/>
      </c>
      <c r="C2800" s="17" t="n">
        <v>46536</v>
      </c>
      <c r="D2800" s="5">
        <f>IF(A2800="","",IF(C2800=DATE(2026,11,29),"培训；注册午餐；早餐参数",IF(C2800=DATE(2026,11,30),"培训；注册午餐",IF(C2800=DATE(2026,12,1),"培训；注册午餐；机构晚餐",IF(C2800=Options!$B$9,"抵达；"&amp;IF(C2800=DATE(2026,11,28),"机构晚餐","无统一供餐"),IF(C2800=Options!$B$10,"返程；"&amp;IF(C2800=DATE(2026,12,2),"机构午餐","无统一供餐"),"差旅状态；无统一日程"))))))</f>
        <v/>
      </c>
      <c r="E2800" s="13">
        <f>IF(C2800=Options!$B$9,Options!$C$21,0)</f>
        <v/>
      </c>
      <c r="F2800" s="13">
        <f>IF(AND(A2800&lt;&gt;"",C2800&lt;Options!$B$10),B2800*Options!$X$8,0)</f>
        <v/>
      </c>
      <c r="G2800" s="13">
        <f>F2800*12%</f>
        <v/>
      </c>
      <c r="H2800" s="13">
        <f>IF(A2800="",0,B2800*(92*IF(OR(C2800=Options!$B$9,C2800=Options!$B$10),75%,100%)-IF(C2800=DATE(2026,11,29),26+IF(Options!$B$8="是",23,0),0)-IF(C2800=DATE(2026,11,30),26,0)-IF(C2800=DATE(2026,12,1),64,0)-IF(C2800=DATE(2026,11,28),38,0)-IF(C2800=DATE(2026,12,2),26,0)))</f>
        <v/>
      </c>
      <c r="I2800" s="13">
        <f>IF(AND(C2800&gt;=DATE(2026,11,29),C2800&lt;=DATE(2026,12,1)),B2800*60,0)</f>
        <v/>
      </c>
      <c r="J2800" s="13">
        <f>IF(A2800="",0,B2800*(IF(C2800=DATE(2026,11,28),38,0)+IF(C2800=DATE(2026,12,1),38,0)+IF(C2800=DATE(2026,12,2),26,0)))</f>
        <v/>
      </c>
      <c r="K2800" s="13">
        <f>IF(C2800=Options!$B$9,B2800*12,0)</f>
        <v/>
      </c>
      <c r="L2800" s="13">
        <f>IF(C2800=Options!$B$9,B2800*Options!$Z$8,0)</f>
        <v/>
      </c>
      <c r="M2800" s="13" t="n">
        <v>0</v>
      </c>
      <c r="N2800" s="13">
        <f>SUM(E2800:M2800)</f>
        <v/>
      </c>
    </row>
    <row r="2801">
      <c r="A2801" s="5">
        <f>IF(AND(C2801&gt;=Options!$B$9,C2801&lt;=Options!$B$10),"Boston","")</f>
        <v/>
      </c>
      <c r="B2801" s="5">
        <f>IF(A2801="","",24)</f>
        <v/>
      </c>
      <c r="C2801" s="17" t="n">
        <v>46537</v>
      </c>
      <c r="D2801" s="5">
        <f>IF(A2801="","",IF(C2801=DATE(2026,11,29),"培训；注册午餐；早餐参数",IF(C2801=DATE(2026,11,30),"培训；注册午餐",IF(C2801=DATE(2026,12,1),"培训；注册午餐；机构晚餐",IF(C2801=Options!$B$9,"抵达；"&amp;IF(C2801=DATE(2026,11,28),"机构晚餐","无统一供餐"),IF(C2801=Options!$B$10,"返程；"&amp;IF(C2801=DATE(2026,12,2),"机构午餐","无统一供餐"),"差旅状态；无统一日程"))))))</f>
        <v/>
      </c>
      <c r="E2801" s="13">
        <f>IF(C2801=Options!$B$9,Options!$C$21,0)</f>
        <v/>
      </c>
      <c r="F2801" s="13">
        <f>IF(AND(A2801&lt;&gt;"",C2801&lt;Options!$B$10),B2801*Options!$X$8,0)</f>
        <v/>
      </c>
      <c r="G2801" s="13">
        <f>F2801*12%</f>
        <v/>
      </c>
      <c r="H2801" s="13">
        <f>IF(A2801="",0,B2801*(92*IF(OR(C2801=Options!$B$9,C2801=Options!$B$10),75%,100%)-IF(C2801=DATE(2026,11,29),26+IF(Options!$B$8="是",23,0),0)-IF(C2801=DATE(2026,11,30),26,0)-IF(C2801=DATE(2026,12,1),64,0)-IF(C2801=DATE(2026,11,28),38,0)-IF(C2801=DATE(2026,12,2),26,0)))</f>
        <v/>
      </c>
      <c r="I2801" s="13">
        <f>IF(AND(C2801&gt;=DATE(2026,11,29),C2801&lt;=DATE(2026,12,1)),B2801*60,0)</f>
        <v/>
      </c>
      <c r="J2801" s="13">
        <f>IF(A2801="",0,B2801*(IF(C2801=DATE(2026,11,28),38,0)+IF(C2801=DATE(2026,12,1),38,0)+IF(C2801=DATE(2026,12,2),26,0)))</f>
        <v/>
      </c>
      <c r="K2801" s="13">
        <f>IF(C2801=Options!$B$9,B2801*12,0)</f>
        <v/>
      </c>
      <c r="L2801" s="13">
        <f>IF(C2801=Options!$B$9,B2801*Options!$Z$8,0)</f>
        <v/>
      </c>
      <c r="M2801" s="13" t="n">
        <v>0</v>
      </c>
      <c r="N2801" s="13">
        <f>SUM(E2801:M2801)</f>
        <v/>
      </c>
    </row>
    <row r="2802">
      <c r="A2802" s="5">
        <f>IF(AND(C2802&gt;=Options!$B$9,C2802&lt;=Options!$B$10),"Boston","")</f>
        <v/>
      </c>
      <c r="B2802" s="5">
        <f>IF(A2802="","",24)</f>
        <v/>
      </c>
      <c r="C2802" s="17" t="n">
        <v>46538</v>
      </c>
      <c r="D2802" s="5">
        <f>IF(A2802="","",IF(C2802=DATE(2026,11,29),"培训；注册午餐；早餐参数",IF(C2802=DATE(2026,11,30),"培训；注册午餐",IF(C2802=DATE(2026,12,1),"培训；注册午餐；机构晚餐",IF(C2802=Options!$B$9,"抵达；"&amp;IF(C2802=DATE(2026,11,28),"机构晚餐","无统一供餐"),IF(C2802=Options!$B$10,"返程；"&amp;IF(C2802=DATE(2026,12,2),"机构午餐","无统一供餐"),"差旅状态；无统一日程"))))))</f>
        <v/>
      </c>
      <c r="E2802" s="13">
        <f>IF(C2802=Options!$B$9,Options!$C$21,0)</f>
        <v/>
      </c>
      <c r="F2802" s="13">
        <f>IF(AND(A2802&lt;&gt;"",C2802&lt;Options!$B$10),B2802*Options!$X$8,0)</f>
        <v/>
      </c>
      <c r="G2802" s="13">
        <f>F2802*12%</f>
        <v/>
      </c>
      <c r="H2802" s="13">
        <f>IF(A2802="",0,B2802*(92*IF(OR(C2802=Options!$B$9,C2802=Options!$B$10),75%,100%)-IF(C2802=DATE(2026,11,29),26+IF(Options!$B$8="是",23,0),0)-IF(C2802=DATE(2026,11,30),26,0)-IF(C2802=DATE(2026,12,1),64,0)-IF(C2802=DATE(2026,11,28),38,0)-IF(C2802=DATE(2026,12,2),26,0)))</f>
        <v/>
      </c>
      <c r="I2802" s="13">
        <f>IF(AND(C2802&gt;=DATE(2026,11,29),C2802&lt;=DATE(2026,12,1)),B2802*60,0)</f>
        <v/>
      </c>
      <c r="J2802" s="13">
        <f>IF(A2802="",0,B2802*(IF(C2802=DATE(2026,11,28),38,0)+IF(C2802=DATE(2026,12,1),38,0)+IF(C2802=DATE(2026,12,2),26,0)))</f>
        <v/>
      </c>
      <c r="K2802" s="13">
        <f>IF(C2802=Options!$B$9,B2802*12,0)</f>
        <v/>
      </c>
      <c r="L2802" s="13">
        <f>IF(C2802=Options!$B$9,B2802*Options!$Z$8,0)</f>
        <v/>
      </c>
      <c r="M2802" s="13" t="n">
        <v>0</v>
      </c>
      <c r="N2802" s="13">
        <f>SUM(E2802:M2802)</f>
        <v/>
      </c>
    </row>
    <row r="2803">
      <c r="A2803" s="5">
        <f>IF(AND(C2803&gt;=Options!$B$9,C2803&lt;=Options!$B$10),"Boston","")</f>
        <v/>
      </c>
      <c r="B2803" s="5">
        <f>IF(A2803="","",24)</f>
        <v/>
      </c>
      <c r="C2803" s="17" t="n">
        <v>46539</v>
      </c>
      <c r="D2803" s="5">
        <f>IF(A2803="","",IF(C2803=DATE(2026,11,29),"培训；注册午餐；早餐参数",IF(C2803=DATE(2026,11,30),"培训；注册午餐",IF(C2803=DATE(2026,12,1),"培训；注册午餐；机构晚餐",IF(C2803=Options!$B$9,"抵达；"&amp;IF(C2803=DATE(2026,11,28),"机构晚餐","无统一供餐"),IF(C2803=Options!$B$10,"返程；"&amp;IF(C2803=DATE(2026,12,2),"机构午餐","无统一供餐"),"差旅状态；无统一日程"))))))</f>
        <v/>
      </c>
      <c r="E2803" s="13">
        <f>IF(C2803=Options!$B$9,Options!$C$21,0)</f>
        <v/>
      </c>
      <c r="F2803" s="13">
        <f>IF(AND(A2803&lt;&gt;"",C2803&lt;Options!$B$10),B2803*Options!$X$8,0)</f>
        <v/>
      </c>
      <c r="G2803" s="13">
        <f>F2803*12%</f>
        <v/>
      </c>
      <c r="H2803" s="13">
        <f>IF(A2803="",0,B2803*(92*IF(OR(C2803=Options!$B$9,C2803=Options!$B$10),75%,100%)-IF(C2803=DATE(2026,11,29),26+IF(Options!$B$8="是",23,0),0)-IF(C2803=DATE(2026,11,30),26,0)-IF(C2803=DATE(2026,12,1),64,0)-IF(C2803=DATE(2026,11,28),38,0)-IF(C2803=DATE(2026,12,2),26,0)))</f>
        <v/>
      </c>
      <c r="I2803" s="13">
        <f>IF(AND(C2803&gt;=DATE(2026,11,29),C2803&lt;=DATE(2026,12,1)),B2803*60,0)</f>
        <v/>
      </c>
      <c r="J2803" s="13">
        <f>IF(A2803="",0,B2803*(IF(C2803=DATE(2026,11,28),38,0)+IF(C2803=DATE(2026,12,1),38,0)+IF(C2803=DATE(2026,12,2),26,0)))</f>
        <v/>
      </c>
      <c r="K2803" s="13">
        <f>IF(C2803=Options!$B$9,B2803*12,0)</f>
        <v/>
      </c>
      <c r="L2803" s="13">
        <f>IF(C2803=Options!$B$9,B2803*Options!$Z$8,0)</f>
        <v/>
      </c>
      <c r="M2803" s="13" t="n">
        <v>0</v>
      </c>
      <c r="N2803" s="13">
        <f>SUM(E2803:M2803)</f>
        <v/>
      </c>
    </row>
    <row r="2804">
      <c r="A2804" s="5">
        <f>IF(AND(C2804&gt;=Options!$B$9,C2804&lt;=Options!$B$10),"Boston","")</f>
        <v/>
      </c>
      <c r="B2804" s="5">
        <f>IF(A2804="","",24)</f>
        <v/>
      </c>
      <c r="C2804" s="17" t="n">
        <v>46540</v>
      </c>
      <c r="D2804" s="5">
        <f>IF(A2804="","",IF(C2804=DATE(2026,11,29),"培训；注册午餐；早餐参数",IF(C2804=DATE(2026,11,30),"培训；注册午餐",IF(C2804=DATE(2026,12,1),"培训；注册午餐；机构晚餐",IF(C2804=Options!$B$9,"抵达；"&amp;IF(C2804=DATE(2026,11,28),"机构晚餐","无统一供餐"),IF(C2804=Options!$B$10,"返程；"&amp;IF(C2804=DATE(2026,12,2),"机构午餐","无统一供餐"),"差旅状态；无统一日程"))))))</f>
        <v/>
      </c>
      <c r="E2804" s="13">
        <f>IF(C2804=Options!$B$9,Options!$C$21,0)</f>
        <v/>
      </c>
      <c r="F2804" s="13">
        <f>IF(AND(A2804&lt;&gt;"",C2804&lt;Options!$B$10),B2804*Options!$X$8,0)</f>
        <v/>
      </c>
      <c r="G2804" s="13">
        <f>F2804*12%</f>
        <v/>
      </c>
      <c r="H2804" s="13">
        <f>IF(A2804="",0,B2804*(92*IF(OR(C2804=Options!$B$9,C2804=Options!$B$10),75%,100%)-IF(C2804=DATE(2026,11,29),26+IF(Options!$B$8="是",23,0),0)-IF(C2804=DATE(2026,11,30),26,0)-IF(C2804=DATE(2026,12,1),64,0)-IF(C2804=DATE(2026,11,28),38,0)-IF(C2804=DATE(2026,12,2),26,0)))</f>
        <v/>
      </c>
      <c r="I2804" s="13">
        <f>IF(AND(C2804&gt;=DATE(2026,11,29),C2804&lt;=DATE(2026,12,1)),B2804*60,0)</f>
        <v/>
      </c>
      <c r="J2804" s="13">
        <f>IF(A2804="",0,B2804*(IF(C2804=DATE(2026,11,28),38,0)+IF(C2804=DATE(2026,12,1),38,0)+IF(C2804=DATE(2026,12,2),26,0)))</f>
        <v/>
      </c>
      <c r="K2804" s="13">
        <f>IF(C2804=Options!$B$9,B2804*12,0)</f>
        <v/>
      </c>
      <c r="L2804" s="13">
        <f>IF(C2804=Options!$B$9,B2804*Options!$Z$8,0)</f>
        <v/>
      </c>
      <c r="M2804" s="13" t="n">
        <v>0</v>
      </c>
      <c r="N2804" s="13">
        <f>SUM(E2804:M2804)</f>
        <v/>
      </c>
    </row>
    <row r="2805">
      <c r="A2805" s="5">
        <f>IF(AND(C2805&gt;=Options!$B$9,C2805&lt;=Options!$B$10),"Boston","")</f>
        <v/>
      </c>
      <c r="B2805" s="5">
        <f>IF(A2805="","",24)</f>
        <v/>
      </c>
      <c r="C2805" s="17" t="n">
        <v>46541</v>
      </c>
      <c r="D2805" s="5">
        <f>IF(A2805="","",IF(C2805=DATE(2026,11,29),"培训；注册午餐；早餐参数",IF(C2805=DATE(2026,11,30),"培训；注册午餐",IF(C2805=DATE(2026,12,1),"培训；注册午餐；机构晚餐",IF(C2805=Options!$B$9,"抵达；"&amp;IF(C2805=DATE(2026,11,28),"机构晚餐","无统一供餐"),IF(C2805=Options!$B$10,"返程；"&amp;IF(C2805=DATE(2026,12,2),"机构午餐","无统一供餐"),"差旅状态；无统一日程"))))))</f>
        <v/>
      </c>
      <c r="E2805" s="13">
        <f>IF(C2805=Options!$B$9,Options!$C$21,0)</f>
        <v/>
      </c>
      <c r="F2805" s="13">
        <f>IF(AND(A2805&lt;&gt;"",C2805&lt;Options!$B$10),B2805*Options!$X$8,0)</f>
        <v/>
      </c>
      <c r="G2805" s="13">
        <f>F2805*12%</f>
        <v/>
      </c>
      <c r="H2805" s="13">
        <f>IF(A2805="",0,B2805*(92*IF(OR(C2805=Options!$B$9,C2805=Options!$B$10),75%,100%)-IF(C2805=DATE(2026,11,29),26+IF(Options!$B$8="是",23,0),0)-IF(C2805=DATE(2026,11,30),26,0)-IF(C2805=DATE(2026,12,1),64,0)-IF(C2805=DATE(2026,11,28),38,0)-IF(C2805=DATE(2026,12,2),26,0)))</f>
        <v/>
      </c>
      <c r="I2805" s="13">
        <f>IF(AND(C2805&gt;=DATE(2026,11,29),C2805&lt;=DATE(2026,12,1)),B2805*60,0)</f>
        <v/>
      </c>
      <c r="J2805" s="13">
        <f>IF(A2805="",0,B2805*(IF(C2805=DATE(2026,11,28),38,0)+IF(C2805=DATE(2026,12,1),38,0)+IF(C2805=DATE(2026,12,2),26,0)))</f>
        <v/>
      </c>
      <c r="K2805" s="13">
        <f>IF(C2805=Options!$B$9,B2805*12,0)</f>
        <v/>
      </c>
      <c r="L2805" s="13">
        <f>IF(C2805=Options!$B$9,B2805*Options!$Z$8,0)</f>
        <v/>
      </c>
      <c r="M2805" s="13" t="n">
        <v>0</v>
      </c>
      <c r="N2805" s="13">
        <f>SUM(E2805:M2805)</f>
        <v/>
      </c>
    </row>
    <row r="2806">
      <c r="A2806" s="5">
        <f>IF(AND(C2806&gt;=Options!$B$9,C2806&lt;=Options!$B$10),"Boston","")</f>
        <v/>
      </c>
      <c r="B2806" s="5">
        <f>IF(A2806="","",24)</f>
        <v/>
      </c>
      <c r="C2806" s="17" t="n">
        <v>46542</v>
      </c>
      <c r="D2806" s="5">
        <f>IF(A2806="","",IF(C2806=DATE(2026,11,29),"培训；注册午餐；早餐参数",IF(C2806=DATE(2026,11,30),"培训；注册午餐",IF(C2806=DATE(2026,12,1),"培训；注册午餐；机构晚餐",IF(C2806=Options!$B$9,"抵达；"&amp;IF(C2806=DATE(2026,11,28),"机构晚餐","无统一供餐"),IF(C2806=Options!$B$10,"返程；"&amp;IF(C2806=DATE(2026,12,2),"机构午餐","无统一供餐"),"差旅状态；无统一日程"))))))</f>
        <v/>
      </c>
      <c r="E2806" s="13">
        <f>IF(C2806=Options!$B$9,Options!$C$21,0)</f>
        <v/>
      </c>
      <c r="F2806" s="13">
        <f>IF(AND(A2806&lt;&gt;"",C2806&lt;Options!$B$10),B2806*Options!$X$8,0)</f>
        <v/>
      </c>
      <c r="G2806" s="13">
        <f>F2806*12%</f>
        <v/>
      </c>
      <c r="H2806" s="13">
        <f>IF(A2806="",0,B2806*(92*IF(OR(C2806=Options!$B$9,C2806=Options!$B$10),75%,100%)-IF(C2806=DATE(2026,11,29),26+IF(Options!$B$8="是",23,0),0)-IF(C2806=DATE(2026,11,30),26,0)-IF(C2806=DATE(2026,12,1),64,0)-IF(C2806=DATE(2026,11,28),38,0)-IF(C2806=DATE(2026,12,2),26,0)))</f>
        <v/>
      </c>
      <c r="I2806" s="13">
        <f>IF(AND(C2806&gt;=DATE(2026,11,29),C2806&lt;=DATE(2026,12,1)),B2806*60,0)</f>
        <v/>
      </c>
      <c r="J2806" s="13">
        <f>IF(A2806="",0,B2806*(IF(C2806=DATE(2026,11,28),38,0)+IF(C2806=DATE(2026,12,1),38,0)+IF(C2806=DATE(2026,12,2),26,0)))</f>
        <v/>
      </c>
      <c r="K2806" s="13">
        <f>IF(C2806=Options!$B$9,B2806*12,0)</f>
        <v/>
      </c>
      <c r="L2806" s="13">
        <f>IF(C2806=Options!$B$9,B2806*Options!$Z$8,0)</f>
        <v/>
      </c>
      <c r="M2806" s="13" t="n">
        <v>0</v>
      </c>
      <c r="N2806" s="13">
        <f>SUM(E2806:M2806)</f>
        <v/>
      </c>
    </row>
    <row r="2807">
      <c r="A2807" s="5">
        <f>IF(AND(C2807&gt;=Options!$B$9,C2807&lt;=Options!$B$10),"Boston","")</f>
        <v/>
      </c>
      <c r="B2807" s="5">
        <f>IF(A2807="","",24)</f>
        <v/>
      </c>
      <c r="C2807" s="17" t="n">
        <v>46543</v>
      </c>
      <c r="D2807" s="5">
        <f>IF(A2807="","",IF(C2807=DATE(2026,11,29),"培训；注册午餐；早餐参数",IF(C2807=DATE(2026,11,30),"培训；注册午餐",IF(C2807=DATE(2026,12,1),"培训；注册午餐；机构晚餐",IF(C2807=Options!$B$9,"抵达；"&amp;IF(C2807=DATE(2026,11,28),"机构晚餐","无统一供餐"),IF(C2807=Options!$B$10,"返程；"&amp;IF(C2807=DATE(2026,12,2),"机构午餐","无统一供餐"),"差旅状态；无统一日程"))))))</f>
        <v/>
      </c>
      <c r="E2807" s="13">
        <f>IF(C2807=Options!$B$9,Options!$C$21,0)</f>
        <v/>
      </c>
      <c r="F2807" s="13">
        <f>IF(AND(A2807&lt;&gt;"",C2807&lt;Options!$B$10),B2807*Options!$X$8,0)</f>
        <v/>
      </c>
      <c r="G2807" s="13">
        <f>F2807*12%</f>
        <v/>
      </c>
      <c r="H2807" s="13">
        <f>IF(A2807="",0,B2807*(92*IF(OR(C2807=Options!$B$9,C2807=Options!$B$10),75%,100%)-IF(C2807=DATE(2026,11,29),26+IF(Options!$B$8="是",23,0),0)-IF(C2807=DATE(2026,11,30),26,0)-IF(C2807=DATE(2026,12,1),64,0)-IF(C2807=DATE(2026,11,28),38,0)-IF(C2807=DATE(2026,12,2),26,0)))</f>
        <v/>
      </c>
      <c r="I2807" s="13">
        <f>IF(AND(C2807&gt;=DATE(2026,11,29),C2807&lt;=DATE(2026,12,1)),B2807*60,0)</f>
        <v/>
      </c>
      <c r="J2807" s="13">
        <f>IF(A2807="",0,B2807*(IF(C2807=DATE(2026,11,28),38,0)+IF(C2807=DATE(2026,12,1),38,0)+IF(C2807=DATE(2026,12,2),26,0)))</f>
        <v/>
      </c>
      <c r="K2807" s="13">
        <f>IF(C2807=Options!$B$9,B2807*12,0)</f>
        <v/>
      </c>
      <c r="L2807" s="13">
        <f>IF(C2807=Options!$B$9,B2807*Options!$Z$8,0)</f>
        <v/>
      </c>
      <c r="M2807" s="13" t="n">
        <v>0</v>
      </c>
      <c r="N2807" s="13">
        <f>SUM(E2807:M2807)</f>
        <v/>
      </c>
    </row>
    <row r="2808">
      <c r="A2808" s="5">
        <f>IF(AND(C2808&gt;=Options!$B$9,C2808&lt;=Options!$B$10),"Boston","")</f>
        <v/>
      </c>
      <c r="B2808" s="5">
        <f>IF(A2808="","",24)</f>
        <v/>
      </c>
      <c r="C2808" s="17" t="n">
        <v>46544</v>
      </c>
      <c r="D2808" s="5">
        <f>IF(A2808="","",IF(C2808=DATE(2026,11,29),"培训；注册午餐；早餐参数",IF(C2808=DATE(2026,11,30),"培训；注册午餐",IF(C2808=DATE(2026,12,1),"培训；注册午餐；机构晚餐",IF(C2808=Options!$B$9,"抵达；"&amp;IF(C2808=DATE(2026,11,28),"机构晚餐","无统一供餐"),IF(C2808=Options!$B$10,"返程；"&amp;IF(C2808=DATE(2026,12,2),"机构午餐","无统一供餐"),"差旅状态；无统一日程"))))))</f>
        <v/>
      </c>
      <c r="E2808" s="13">
        <f>IF(C2808=Options!$B$9,Options!$C$21,0)</f>
        <v/>
      </c>
      <c r="F2808" s="13">
        <f>IF(AND(A2808&lt;&gt;"",C2808&lt;Options!$B$10),B2808*Options!$X$8,0)</f>
        <v/>
      </c>
      <c r="G2808" s="13">
        <f>F2808*12%</f>
        <v/>
      </c>
      <c r="H2808" s="13">
        <f>IF(A2808="",0,B2808*(92*IF(OR(C2808=Options!$B$9,C2808=Options!$B$10),75%,100%)-IF(C2808=DATE(2026,11,29),26+IF(Options!$B$8="是",23,0),0)-IF(C2808=DATE(2026,11,30),26,0)-IF(C2808=DATE(2026,12,1),64,0)-IF(C2808=DATE(2026,11,28),38,0)-IF(C2808=DATE(2026,12,2),26,0)))</f>
        <v/>
      </c>
      <c r="I2808" s="13">
        <f>IF(AND(C2808&gt;=DATE(2026,11,29),C2808&lt;=DATE(2026,12,1)),B2808*60,0)</f>
        <v/>
      </c>
      <c r="J2808" s="13">
        <f>IF(A2808="",0,B2808*(IF(C2808=DATE(2026,11,28),38,0)+IF(C2808=DATE(2026,12,1),38,0)+IF(C2808=DATE(2026,12,2),26,0)))</f>
        <v/>
      </c>
      <c r="K2808" s="13">
        <f>IF(C2808=Options!$B$9,B2808*12,0)</f>
        <v/>
      </c>
      <c r="L2808" s="13">
        <f>IF(C2808=Options!$B$9,B2808*Options!$Z$8,0)</f>
        <v/>
      </c>
      <c r="M2808" s="13" t="n">
        <v>0</v>
      </c>
      <c r="N2808" s="13">
        <f>SUM(E2808:M2808)</f>
        <v/>
      </c>
    </row>
    <row r="2809">
      <c r="A2809" s="5">
        <f>IF(AND(C2809&gt;=Options!$B$9,C2809&lt;=Options!$B$10),"Boston","")</f>
        <v/>
      </c>
      <c r="B2809" s="5">
        <f>IF(A2809="","",24)</f>
        <v/>
      </c>
      <c r="C2809" s="17" t="n">
        <v>46545</v>
      </c>
      <c r="D2809" s="5">
        <f>IF(A2809="","",IF(C2809=DATE(2026,11,29),"培训；注册午餐；早餐参数",IF(C2809=DATE(2026,11,30),"培训；注册午餐",IF(C2809=DATE(2026,12,1),"培训；注册午餐；机构晚餐",IF(C2809=Options!$B$9,"抵达；"&amp;IF(C2809=DATE(2026,11,28),"机构晚餐","无统一供餐"),IF(C2809=Options!$B$10,"返程；"&amp;IF(C2809=DATE(2026,12,2),"机构午餐","无统一供餐"),"差旅状态；无统一日程"))))))</f>
        <v/>
      </c>
      <c r="E2809" s="13">
        <f>IF(C2809=Options!$B$9,Options!$C$21,0)</f>
        <v/>
      </c>
      <c r="F2809" s="13">
        <f>IF(AND(A2809&lt;&gt;"",C2809&lt;Options!$B$10),B2809*Options!$X$8,0)</f>
        <v/>
      </c>
      <c r="G2809" s="13">
        <f>F2809*12%</f>
        <v/>
      </c>
      <c r="H2809" s="13">
        <f>IF(A2809="",0,B2809*(92*IF(OR(C2809=Options!$B$9,C2809=Options!$B$10),75%,100%)-IF(C2809=DATE(2026,11,29),26+IF(Options!$B$8="是",23,0),0)-IF(C2809=DATE(2026,11,30),26,0)-IF(C2809=DATE(2026,12,1),64,0)-IF(C2809=DATE(2026,11,28),38,0)-IF(C2809=DATE(2026,12,2),26,0)))</f>
        <v/>
      </c>
      <c r="I2809" s="13">
        <f>IF(AND(C2809&gt;=DATE(2026,11,29),C2809&lt;=DATE(2026,12,1)),B2809*60,0)</f>
        <v/>
      </c>
      <c r="J2809" s="13">
        <f>IF(A2809="",0,B2809*(IF(C2809=DATE(2026,11,28),38,0)+IF(C2809=DATE(2026,12,1),38,0)+IF(C2809=DATE(2026,12,2),26,0)))</f>
        <v/>
      </c>
      <c r="K2809" s="13">
        <f>IF(C2809=Options!$B$9,B2809*12,0)</f>
        <v/>
      </c>
      <c r="L2809" s="13">
        <f>IF(C2809=Options!$B$9,B2809*Options!$Z$8,0)</f>
        <v/>
      </c>
      <c r="M2809" s="13" t="n">
        <v>0</v>
      </c>
      <c r="N2809" s="13">
        <f>SUM(E2809:M2809)</f>
        <v/>
      </c>
    </row>
    <row r="2810">
      <c r="A2810" s="5">
        <f>IF(AND(C2810&gt;=Options!$B$9,C2810&lt;=Options!$B$10),"Boston","")</f>
        <v/>
      </c>
      <c r="B2810" s="5">
        <f>IF(A2810="","",24)</f>
        <v/>
      </c>
      <c r="C2810" s="17" t="n">
        <v>46546</v>
      </c>
      <c r="D2810" s="5">
        <f>IF(A2810="","",IF(C2810=DATE(2026,11,29),"培训；注册午餐；早餐参数",IF(C2810=DATE(2026,11,30),"培训；注册午餐",IF(C2810=DATE(2026,12,1),"培训；注册午餐；机构晚餐",IF(C2810=Options!$B$9,"抵达；"&amp;IF(C2810=DATE(2026,11,28),"机构晚餐","无统一供餐"),IF(C2810=Options!$B$10,"返程；"&amp;IF(C2810=DATE(2026,12,2),"机构午餐","无统一供餐"),"差旅状态；无统一日程"))))))</f>
        <v/>
      </c>
      <c r="E2810" s="13">
        <f>IF(C2810=Options!$B$9,Options!$C$21,0)</f>
        <v/>
      </c>
      <c r="F2810" s="13">
        <f>IF(AND(A2810&lt;&gt;"",C2810&lt;Options!$B$10),B2810*Options!$X$8,0)</f>
        <v/>
      </c>
      <c r="G2810" s="13">
        <f>F2810*12%</f>
        <v/>
      </c>
      <c r="H2810" s="13">
        <f>IF(A2810="",0,B2810*(92*IF(OR(C2810=Options!$B$9,C2810=Options!$B$10),75%,100%)-IF(C2810=DATE(2026,11,29),26+IF(Options!$B$8="是",23,0),0)-IF(C2810=DATE(2026,11,30),26,0)-IF(C2810=DATE(2026,12,1),64,0)-IF(C2810=DATE(2026,11,28),38,0)-IF(C2810=DATE(2026,12,2),26,0)))</f>
        <v/>
      </c>
      <c r="I2810" s="13">
        <f>IF(AND(C2810&gt;=DATE(2026,11,29),C2810&lt;=DATE(2026,12,1)),B2810*60,0)</f>
        <v/>
      </c>
      <c r="J2810" s="13">
        <f>IF(A2810="",0,B2810*(IF(C2810=DATE(2026,11,28),38,0)+IF(C2810=DATE(2026,12,1),38,0)+IF(C2810=DATE(2026,12,2),26,0)))</f>
        <v/>
      </c>
      <c r="K2810" s="13">
        <f>IF(C2810=Options!$B$9,B2810*12,0)</f>
        <v/>
      </c>
      <c r="L2810" s="13">
        <f>IF(C2810=Options!$B$9,B2810*Options!$Z$8,0)</f>
        <v/>
      </c>
      <c r="M2810" s="13" t="n">
        <v>0</v>
      </c>
      <c r="N2810" s="13">
        <f>SUM(E2810:M2810)</f>
        <v/>
      </c>
    </row>
    <row r="2811">
      <c r="A2811" s="5">
        <f>IF(AND(C2811&gt;=Options!$B$9,C2811&lt;=Options!$B$10),"Boston","")</f>
        <v/>
      </c>
      <c r="B2811" s="5">
        <f>IF(A2811="","",24)</f>
        <v/>
      </c>
      <c r="C2811" s="17" t="n">
        <v>46547</v>
      </c>
      <c r="D2811" s="5">
        <f>IF(A2811="","",IF(C2811=DATE(2026,11,29),"培训；注册午餐；早餐参数",IF(C2811=DATE(2026,11,30),"培训；注册午餐",IF(C2811=DATE(2026,12,1),"培训；注册午餐；机构晚餐",IF(C2811=Options!$B$9,"抵达；"&amp;IF(C2811=DATE(2026,11,28),"机构晚餐","无统一供餐"),IF(C2811=Options!$B$10,"返程；"&amp;IF(C2811=DATE(2026,12,2),"机构午餐","无统一供餐"),"差旅状态；无统一日程"))))))</f>
        <v/>
      </c>
      <c r="E2811" s="13">
        <f>IF(C2811=Options!$B$9,Options!$C$21,0)</f>
        <v/>
      </c>
      <c r="F2811" s="13">
        <f>IF(AND(A2811&lt;&gt;"",C2811&lt;Options!$B$10),B2811*Options!$X$8,0)</f>
        <v/>
      </c>
      <c r="G2811" s="13">
        <f>F2811*12%</f>
        <v/>
      </c>
      <c r="H2811" s="13">
        <f>IF(A2811="",0,B2811*(92*IF(OR(C2811=Options!$B$9,C2811=Options!$B$10),75%,100%)-IF(C2811=DATE(2026,11,29),26+IF(Options!$B$8="是",23,0),0)-IF(C2811=DATE(2026,11,30),26,0)-IF(C2811=DATE(2026,12,1),64,0)-IF(C2811=DATE(2026,11,28),38,0)-IF(C2811=DATE(2026,12,2),26,0)))</f>
        <v/>
      </c>
      <c r="I2811" s="13">
        <f>IF(AND(C2811&gt;=DATE(2026,11,29),C2811&lt;=DATE(2026,12,1)),B2811*60,0)</f>
        <v/>
      </c>
      <c r="J2811" s="13">
        <f>IF(A2811="",0,B2811*(IF(C2811=DATE(2026,11,28),38,0)+IF(C2811=DATE(2026,12,1),38,0)+IF(C2811=DATE(2026,12,2),26,0)))</f>
        <v/>
      </c>
      <c r="K2811" s="13">
        <f>IF(C2811=Options!$B$9,B2811*12,0)</f>
        <v/>
      </c>
      <c r="L2811" s="13">
        <f>IF(C2811=Options!$B$9,B2811*Options!$Z$8,0)</f>
        <v/>
      </c>
      <c r="M2811" s="13" t="n">
        <v>0</v>
      </c>
      <c r="N2811" s="13">
        <f>SUM(E2811:M2811)</f>
        <v/>
      </c>
    </row>
    <row r="2812">
      <c r="A2812" s="5">
        <f>IF(AND(C2812&gt;=Options!$B$9,C2812&lt;=Options!$B$10),"Boston","")</f>
        <v/>
      </c>
      <c r="B2812" s="5">
        <f>IF(A2812="","",24)</f>
        <v/>
      </c>
      <c r="C2812" s="17" t="n">
        <v>46548</v>
      </c>
      <c r="D2812" s="5">
        <f>IF(A2812="","",IF(C2812=DATE(2026,11,29),"培训；注册午餐；早餐参数",IF(C2812=DATE(2026,11,30),"培训；注册午餐",IF(C2812=DATE(2026,12,1),"培训；注册午餐；机构晚餐",IF(C2812=Options!$B$9,"抵达；"&amp;IF(C2812=DATE(2026,11,28),"机构晚餐","无统一供餐"),IF(C2812=Options!$B$10,"返程；"&amp;IF(C2812=DATE(2026,12,2),"机构午餐","无统一供餐"),"差旅状态；无统一日程"))))))</f>
        <v/>
      </c>
      <c r="E2812" s="13">
        <f>IF(C2812=Options!$B$9,Options!$C$21,0)</f>
        <v/>
      </c>
      <c r="F2812" s="13">
        <f>IF(AND(A2812&lt;&gt;"",C2812&lt;Options!$B$10),B2812*Options!$X$8,0)</f>
        <v/>
      </c>
      <c r="G2812" s="13">
        <f>F2812*12%</f>
        <v/>
      </c>
      <c r="H2812" s="13">
        <f>IF(A2812="",0,B2812*(92*IF(OR(C2812=Options!$B$9,C2812=Options!$B$10),75%,100%)-IF(C2812=DATE(2026,11,29),26+IF(Options!$B$8="是",23,0),0)-IF(C2812=DATE(2026,11,30),26,0)-IF(C2812=DATE(2026,12,1),64,0)-IF(C2812=DATE(2026,11,28),38,0)-IF(C2812=DATE(2026,12,2),26,0)))</f>
        <v/>
      </c>
      <c r="I2812" s="13">
        <f>IF(AND(C2812&gt;=DATE(2026,11,29),C2812&lt;=DATE(2026,12,1)),B2812*60,0)</f>
        <v/>
      </c>
      <c r="J2812" s="13">
        <f>IF(A2812="",0,B2812*(IF(C2812=DATE(2026,11,28),38,0)+IF(C2812=DATE(2026,12,1),38,0)+IF(C2812=DATE(2026,12,2),26,0)))</f>
        <v/>
      </c>
      <c r="K2812" s="13">
        <f>IF(C2812=Options!$B$9,B2812*12,0)</f>
        <v/>
      </c>
      <c r="L2812" s="13">
        <f>IF(C2812=Options!$B$9,B2812*Options!$Z$8,0)</f>
        <v/>
      </c>
      <c r="M2812" s="13" t="n">
        <v>0</v>
      </c>
      <c r="N2812" s="13">
        <f>SUM(E2812:M2812)</f>
        <v/>
      </c>
    </row>
    <row r="2813">
      <c r="A2813" s="5">
        <f>IF(AND(C2813&gt;=Options!$B$9,C2813&lt;=Options!$B$10),"Boston","")</f>
        <v/>
      </c>
      <c r="B2813" s="5">
        <f>IF(A2813="","",24)</f>
        <v/>
      </c>
      <c r="C2813" s="17" t="n">
        <v>46549</v>
      </c>
      <c r="D2813" s="5">
        <f>IF(A2813="","",IF(C2813=DATE(2026,11,29),"培训；注册午餐；早餐参数",IF(C2813=DATE(2026,11,30),"培训；注册午餐",IF(C2813=DATE(2026,12,1),"培训；注册午餐；机构晚餐",IF(C2813=Options!$B$9,"抵达；"&amp;IF(C2813=DATE(2026,11,28),"机构晚餐","无统一供餐"),IF(C2813=Options!$B$10,"返程；"&amp;IF(C2813=DATE(2026,12,2),"机构午餐","无统一供餐"),"差旅状态；无统一日程"))))))</f>
        <v/>
      </c>
      <c r="E2813" s="13">
        <f>IF(C2813=Options!$B$9,Options!$C$21,0)</f>
        <v/>
      </c>
      <c r="F2813" s="13">
        <f>IF(AND(A2813&lt;&gt;"",C2813&lt;Options!$B$10),B2813*Options!$X$8,0)</f>
        <v/>
      </c>
      <c r="G2813" s="13">
        <f>F2813*12%</f>
        <v/>
      </c>
      <c r="H2813" s="13">
        <f>IF(A2813="",0,B2813*(92*IF(OR(C2813=Options!$B$9,C2813=Options!$B$10),75%,100%)-IF(C2813=DATE(2026,11,29),26+IF(Options!$B$8="是",23,0),0)-IF(C2813=DATE(2026,11,30),26,0)-IF(C2813=DATE(2026,12,1),64,0)-IF(C2813=DATE(2026,11,28),38,0)-IF(C2813=DATE(2026,12,2),26,0)))</f>
        <v/>
      </c>
      <c r="I2813" s="13">
        <f>IF(AND(C2813&gt;=DATE(2026,11,29),C2813&lt;=DATE(2026,12,1)),B2813*60,0)</f>
        <v/>
      </c>
      <c r="J2813" s="13">
        <f>IF(A2813="",0,B2813*(IF(C2813=DATE(2026,11,28),38,0)+IF(C2813=DATE(2026,12,1),38,0)+IF(C2813=DATE(2026,12,2),26,0)))</f>
        <v/>
      </c>
      <c r="K2813" s="13">
        <f>IF(C2813=Options!$B$9,B2813*12,0)</f>
        <v/>
      </c>
      <c r="L2813" s="13">
        <f>IF(C2813=Options!$B$9,B2813*Options!$Z$8,0)</f>
        <v/>
      </c>
      <c r="M2813" s="13" t="n">
        <v>0</v>
      </c>
      <c r="N2813" s="13">
        <f>SUM(E2813:M2813)</f>
        <v/>
      </c>
    </row>
    <row r="2814">
      <c r="A2814" s="5">
        <f>IF(AND(C2814&gt;=Options!$B$9,C2814&lt;=Options!$B$10),"Boston","")</f>
        <v/>
      </c>
      <c r="B2814" s="5">
        <f>IF(A2814="","",24)</f>
        <v/>
      </c>
      <c r="C2814" s="17" t="n">
        <v>46550</v>
      </c>
      <c r="D2814" s="5">
        <f>IF(A2814="","",IF(C2814=DATE(2026,11,29),"培训；注册午餐；早餐参数",IF(C2814=DATE(2026,11,30),"培训；注册午餐",IF(C2814=DATE(2026,12,1),"培训；注册午餐；机构晚餐",IF(C2814=Options!$B$9,"抵达；"&amp;IF(C2814=DATE(2026,11,28),"机构晚餐","无统一供餐"),IF(C2814=Options!$B$10,"返程；"&amp;IF(C2814=DATE(2026,12,2),"机构午餐","无统一供餐"),"差旅状态；无统一日程"))))))</f>
        <v/>
      </c>
      <c r="E2814" s="13">
        <f>IF(C2814=Options!$B$9,Options!$C$21,0)</f>
        <v/>
      </c>
      <c r="F2814" s="13">
        <f>IF(AND(A2814&lt;&gt;"",C2814&lt;Options!$B$10),B2814*Options!$X$8,0)</f>
        <v/>
      </c>
      <c r="G2814" s="13">
        <f>F2814*12%</f>
        <v/>
      </c>
      <c r="H2814" s="13">
        <f>IF(A2814="",0,B2814*(92*IF(OR(C2814=Options!$B$9,C2814=Options!$B$10),75%,100%)-IF(C2814=DATE(2026,11,29),26+IF(Options!$B$8="是",23,0),0)-IF(C2814=DATE(2026,11,30),26,0)-IF(C2814=DATE(2026,12,1),64,0)-IF(C2814=DATE(2026,11,28),38,0)-IF(C2814=DATE(2026,12,2),26,0)))</f>
        <v/>
      </c>
      <c r="I2814" s="13">
        <f>IF(AND(C2814&gt;=DATE(2026,11,29),C2814&lt;=DATE(2026,12,1)),B2814*60,0)</f>
        <v/>
      </c>
      <c r="J2814" s="13">
        <f>IF(A2814="",0,B2814*(IF(C2814=DATE(2026,11,28),38,0)+IF(C2814=DATE(2026,12,1),38,0)+IF(C2814=DATE(2026,12,2),26,0)))</f>
        <v/>
      </c>
      <c r="K2814" s="13">
        <f>IF(C2814=Options!$B$9,B2814*12,0)</f>
        <v/>
      </c>
      <c r="L2814" s="13">
        <f>IF(C2814=Options!$B$9,B2814*Options!$Z$8,0)</f>
        <v/>
      </c>
      <c r="M2814" s="13" t="n">
        <v>0</v>
      </c>
      <c r="N2814" s="13">
        <f>SUM(E2814:M2814)</f>
        <v/>
      </c>
    </row>
    <row r="2815">
      <c r="A2815" s="5">
        <f>IF(AND(C2815&gt;=Options!$B$9,C2815&lt;=Options!$B$10),"Boston","")</f>
        <v/>
      </c>
      <c r="B2815" s="5">
        <f>IF(A2815="","",24)</f>
        <v/>
      </c>
      <c r="C2815" s="17" t="n">
        <v>46551</v>
      </c>
      <c r="D2815" s="5">
        <f>IF(A2815="","",IF(C2815=DATE(2026,11,29),"培训；注册午餐；早餐参数",IF(C2815=DATE(2026,11,30),"培训；注册午餐",IF(C2815=DATE(2026,12,1),"培训；注册午餐；机构晚餐",IF(C2815=Options!$B$9,"抵达；"&amp;IF(C2815=DATE(2026,11,28),"机构晚餐","无统一供餐"),IF(C2815=Options!$B$10,"返程；"&amp;IF(C2815=DATE(2026,12,2),"机构午餐","无统一供餐"),"差旅状态；无统一日程"))))))</f>
        <v/>
      </c>
      <c r="E2815" s="13">
        <f>IF(C2815=Options!$B$9,Options!$C$21,0)</f>
        <v/>
      </c>
      <c r="F2815" s="13">
        <f>IF(AND(A2815&lt;&gt;"",C2815&lt;Options!$B$10),B2815*Options!$X$8,0)</f>
        <v/>
      </c>
      <c r="G2815" s="13">
        <f>F2815*12%</f>
        <v/>
      </c>
      <c r="H2815" s="13">
        <f>IF(A2815="",0,B2815*(92*IF(OR(C2815=Options!$B$9,C2815=Options!$B$10),75%,100%)-IF(C2815=DATE(2026,11,29),26+IF(Options!$B$8="是",23,0),0)-IF(C2815=DATE(2026,11,30),26,0)-IF(C2815=DATE(2026,12,1),64,0)-IF(C2815=DATE(2026,11,28),38,0)-IF(C2815=DATE(2026,12,2),26,0)))</f>
        <v/>
      </c>
      <c r="I2815" s="13">
        <f>IF(AND(C2815&gt;=DATE(2026,11,29),C2815&lt;=DATE(2026,12,1)),B2815*60,0)</f>
        <v/>
      </c>
      <c r="J2815" s="13">
        <f>IF(A2815="",0,B2815*(IF(C2815=DATE(2026,11,28),38,0)+IF(C2815=DATE(2026,12,1),38,0)+IF(C2815=DATE(2026,12,2),26,0)))</f>
        <v/>
      </c>
      <c r="K2815" s="13">
        <f>IF(C2815=Options!$B$9,B2815*12,0)</f>
        <v/>
      </c>
      <c r="L2815" s="13">
        <f>IF(C2815=Options!$B$9,B2815*Options!$Z$8,0)</f>
        <v/>
      </c>
      <c r="M2815" s="13" t="n">
        <v>0</v>
      </c>
      <c r="N2815" s="13">
        <f>SUM(E2815:M2815)</f>
        <v/>
      </c>
    </row>
    <row r="2816">
      <c r="A2816" s="5">
        <f>IF(AND(C2816&gt;=Options!$B$9,C2816&lt;=Options!$B$10),"Boston","")</f>
        <v/>
      </c>
      <c r="B2816" s="5">
        <f>IF(A2816="","",24)</f>
        <v/>
      </c>
      <c r="C2816" s="17" t="n">
        <v>46552</v>
      </c>
      <c r="D2816" s="5">
        <f>IF(A2816="","",IF(C2816=DATE(2026,11,29),"培训；注册午餐；早餐参数",IF(C2816=DATE(2026,11,30),"培训；注册午餐",IF(C2816=DATE(2026,12,1),"培训；注册午餐；机构晚餐",IF(C2816=Options!$B$9,"抵达；"&amp;IF(C2816=DATE(2026,11,28),"机构晚餐","无统一供餐"),IF(C2816=Options!$B$10,"返程；"&amp;IF(C2816=DATE(2026,12,2),"机构午餐","无统一供餐"),"差旅状态；无统一日程"))))))</f>
        <v/>
      </c>
      <c r="E2816" s="13">
        <f>IF(C2816=Options!$B$9,Options!$C$21,0)</f>
        <v/>
      </c>
      <c r="F2816" s="13">
        <f>IF(AND(A2816&lt;&gt;"",C2816&lt;Options!$B$10),B2816*Options!$X$8,0)</f>
        <v/>
      </c>
      <c r="G2816" s="13">
        <f>F2816*12%</f>
        <v/>
      </c>
      <c r="H2816" s="13">
        <f>IF(A2816="",0,B2816*(92*IF(OR(C2816=Options!$B$9,C2816=Options!$B$10),75%,100%)-IF(C2816=DATE(2026,11,29),26+IF(Options!$B$8="是",23,0),0)-IF(C2816=DATE(2026,11,30),26,0)-IF(C2816=DATE(2026,12,1),64,0)-IF(C2816=DATE(2026,11,28),38,0)-IF(C2816=DATE(2026,12,2),26,0)))</f>
        <v/>
      </c>
      <c r="I2816" s="13">
        <f>IF(AND(C2816&gt;=DATE(2026,11,29),C2816&lt;=DATE(2026,12,1)),B2816*60,0)</f>
        <v/>
      </c>
      <c r="J2816" s="13">
        <f>IF(A2816="",0,B2816*(IF(C2816=DATE(2026,11,28),38,0)+IF(C2816=DATE(2026,12,1),38,0)+IF(C2816=DATE(2026,12,2),26,0)))</f>
        <v/>
      </c>
      <c r="K2816" s="13">
        <f>IF(C2816=Options!$B$9,B2816*12,0)</f>
        <v/>
      </c>
      <c r="L2816" s="13">
        <f>IF(C2816=Options!$B$9,B2816*Options!$Z$8,0)</f>
        <v/>
      </c>
      <c r="M2816" s="13" t="n">
        <v>0</v>
      </c>
      <c r="N2816" s="13">
        <f>SUM(E2816:M2816)</f>
        <v/>
      </c>
    </row>
    <row r="2817">
      <c r="A2817" s="5">
        <f>IF(AND(C2817&gt;=Options!$B$9,C2817&lt;=Options!$B$10),"Boston","")</f>
        <v/>
      </c>
      <c r="B2817" s="5">
        <f>IF(A2817="","",24)</f>
        <v/>
      </c>
      <c r="C2817" s="17" t="n">
        <v>46553</v>
      </c>
      <c r="D2817" s="5">
        <f>IF(A2817="","",IF(C2817=DATE(2026,11,29),"培训；注册午餐；早餐参数",IF(C2817=DATE(2026,11,30),"培训；注册午餐",IF(C2817=DATE(2026,12,1),"培训；注册午餐；机构晚餐",IF(C2817=Options!$B$9,"抵达；"&amp;IF(C2817=DATE(2026,11,28),"机构晚餐","无统一供餐"),IF(C2817=Options!$B$10,"返程；"&amp;IF(C2817=DATE(2026,12,2),"机构午餐","无统一供餐"),"差旅状态；无统一日程"))))))</f>
        <v/>
      </c>
      <c r="E2817" s="13">
        <f>IF(C2817=Options!$B$9,Options!$C$21,0)</f>
        <v/>
      </c>
      <c r="F2817" s="13">
        <f>IF(AND(A2817&lt;&gt;"",C2817&lt;Options!$B$10),B2817*Options!$X$8,0)</f>
        <v/>
      </c>
      <c r="G2817" s="13">
        <f>F2817*12%</f>
        <v/>
      </c>
      <c r="H2817" s="13">
        <f>IF(A2817="",0,B2817*(92*IF(OR(C2817=Options!$B$9,C2817=Options!$B$10),75%,100%)-IF(C2817=DATE(2026,11,29),26+IF(Options!$B$8="是",23,0),0)-IF(C2817=DATE(2026,11,30),26,0)-IF(C2817=DATE(2026,12,1),64,0)-IF(C2817=DATE(2026,11,28),38,0)-IF(C2817=DATE(2026,12,2),26,0)))</f>
        <v/>
      </c>
      <c r="I2817" s="13">
        <f>IF(AND(C2817&gt;=DATE(2026,11,29),C2817&lt;=DATE(2026,12,1)),B2817*60,0)</f>
        <v/>
      </c>
      <c r="J2817" s="13">
        <f>IF(A2817="",0,B2817*(IF(C2817=DATE(2026,11,28),38,0)+IF(C2817=DATE(2026,12,1),38,0)+IF(C2817=DATE(2026,12,2),26,0)))</f>
        <v/>
      </c>
      <c r="K2817" s="13">
        <f>IF(C2817=Options!$B$9,B2817*12,0)</f>
        <v/>
      </c>
      <c r="L2817" s="13">
        <f>IF(C2817=Options!$B$9,B2817*Options!$Z$8,0)</f>
        <v/>
      </c>
      <c r="M2817" s="13" t="n">
        <v>0</v>
      </c>
      <c r="N2817" s="13">
        <f>SUM(E2817:M2817)</f>
        <v/>
      </c>
    </row>
    <row r="2818">
      <c r="A2818" s="5">
        <f>IF(AND(C2818&gt;=Options!$B$9,C2818&lt;=Options!$B$10),"Boston","")</f>
        <v/>
      </c>
      <c r="B2818" s="5">
        <f>IF(A2818="","",24)</f>
        <v/>
      </c>
      <c r="C2818" s="17" t="n">
        <v>46554</v>
      </c>
      <c r="D2818" s="5">
        <f>IF(A2818="","",IF(C2818=DATE(2026,11,29),"培训；注册午餐；早餐参数",IF(C2818=DATE(2026,11,30),"培训；注册午餐",IF(C2818=DATE(2026,12,1),"培训；注册午餐；机构晚餐",IF(C2818=Options!$B$9,"抵达；"&amp;IF(C2818=DATE(2026,11,28),"机构晚餐","无统一供餐"),IF(C2818=Options!$B$10,"返程；"&amp;IF(C2818=DATE(2026,12,2),"机构午餐","无统一供餐"),"差旅状态；无统一日程"))))))</f>
        <v/>
      </c>
      <c r="E2818" s="13">
        <f>IF(C2818=Options!$B$9,Options!$C$21,0)</f>
        <v/>
      </c>
      <c r="F2818" s="13">
        <f>IF(AND(A2818&lt;&gt;"",C2818&lt;Options!$B$10),B2818*Options!$X$8,0)</f>
        <v/>
      </c>
      <c r="G2818" s="13">
        <f>F2818*12%</f>
        <v/>
      </c>
      <c r="H2818" s="13">
        <f>IF(A2818="",0,B2818*(92*IF(OR(C2818=Options!$B$9,C2818=Options!$B$10),75%,100%)-IF(C2818=DATE(2026,11,29),26+IF(Options!$B$8="是",23,0),0)-IF(C2818=DATE(2026,11,30),26,0)-IF(C2818=DATE(2026,12,1),64,0)-IF(C2818=DATE(2026,11,28),38,0)-IF(C2818=DATE(2026,12,2),26,0)))</f>
        <v/>
      </c>
      <c r="I2818" s="13">
        <f>IF(AND(C2818&gt;=DATE(2026,11,29),C2818&lt;=DATE(2026,12,1)),B2818*60,0)</f>
        <v/>
      </c>
      <c r="J2818" s="13">
        <f>IF(A2818="",0,B2818*(IF(C2818=DATE(2026,11,28),38,0)+IF(C2818=DATE(2026,12,1),38,0)+IF(C2818=DATE(2026,12,2),26,0)))</f>
        <v/>
      </c>
      <c r="K2818" s="13">
        <f>IF(C2818=Options!$B$9,B2818*12,0)</f>
        <v/>
      </c>
      <c r="L2818" s="13">
        <f>IF(C2818=Options!$B$9,B2818*Options!$Z$8,0)</f>
        <v/>
      </c>
      <c r="M2818" s="13" t="n">
        <v>0</v>
      </c>
      <c r="N2818" s="13">
        <f>SUM(E2818:M2818)</f>
        <v/>
      </c>
    </row>
    <row r="2819">
      <c r="A2819" s="5">
        <f>IF(AND(C2819&gt;=Options!$B$9,C2819&lt;=Options!$B$10),"Boston","")</f>
        <v/>
      </c>
      <c r="B2819" s="5">
        <f>IF(A2819="","",24)</f>
        <v/>
      </c>
      <c r="C2819" s="17" t="n">
        <v>46555</v>
      </c>
      <c r="D2819" s="5">
        <f>IF(A2819="","",IF(C2819=DATE(2026,11,29),"培训；注册午餐；早餐参数",IF(C2819=DATE(2026,11,30),"培训；注册午餐",IF(C2819=DATE(2026,12,1),"培训；注册午餐；机构晚餐",IF(C2819=Options!$B$9,"抵达；"&amp;IF(C2819=DATE(2026,11,28),"机构晚餐","无统一供餐"),IF(C2819=Options!$B$10,"返程；"&amp;IF(C2819=DATE(2026,12,2),"机构午餐","无统一供餐"),"差旅状态；无统一日程"))))))</f>
        <v/>
      </c>
      <c r="E2819" s="13">
        <f>IF(C2819=Options!$B$9,Options!$C$21,0)</f>
        <v/>
      </c>
      <c r="F2819" s="13">
        <f>IF(AND(A2819&lt;&gt;"",C2819&lt;Options!$B$10),B2819*Options!$X$8,0)</f>
        <v/>
      </c>
      <c r="G2819" s="13">
        <f>F2819*12%</f>
        <v/>
      </c>
      <c r="H2819" s="13">
        <f>IF(A2819="",0,B2819*(92*IF(OR(C2819=Options!$B$9,C2819=Options!$B$10),75%,100%)-IF(C2819=DATE(2026,11,29),26+IF(Options!$B$8="是",23,0),0)-IF(C2819=DATE(2026,11,30),26,0)-IF(C2819=DATE(2026,12,1),64,0)-IF(C2819=DATE(2026,11,28),38,0)-IF(C2819=DATE(2026,12,2),26,0)))</f>
        <v/>
      </c>
      <c r="I2819" s="13">
        <f>IF(AND(C2819&gt;=DATE(2026,11,29),C2819&lt;=DATE(2026,12,1)),B2819*60,0)</f>
        <v/>
      </c>
      <c r="J2819" s="13">
        <f>IF(A2819="",0,B2819*(IF(C2819=DATE(2026,11,28),38,0)+IF(C2819=DATE(2026,12,1),38,0)+IF(C2819=DATE(2026,12,2),26,0)))</f>
        <v/>
      </c>
      <c r="K2819" s="13">
        <f>IF(C2819=Options!$B$9,B2819*12,0)</f>
        <v/>
      </c>
      <c r="L2819" s="13">
        <f>IF(C2819=Options!$B$9,B2819*Options!$Z$8,0)</f>
        <v/>
      </c>
      <c r="M2819" s="13" t="n">
        <v>0</v>
      </c>
      <c r="N2819" s="13">
        <f>SUM(E2819:M2819)</f>
        <v/>
      </c>
    </row>
    <row r="2820">
      <c r="A2820" s="5">
        <f>IF(AND(C2820&gt;=Options!$B$9,C2820&lt;=Options!$B$10),"Boston","")</f>
        <v/>
      </c>
      <c r="B2820" s="5">
        <f>IF(A2820="","",24)</f>
        <v/>
      </c>
      <c r="C2820" s="17" t="n">
        <v>46556</v>
      </c>
      <c r="D2820" s="5">
        <f>IF(A2820="","",IF(C2820=DATE(2026,11,29),"培训；注册午餐；早餐参数",IF(C2820=DATE(2026,11,30),"培训；注册午餐",IF(C2820=DATE(2026,12,1),"培训；注册午餐；机构晚餐",IF(C2820=Options!$B$9,"抵达；"&amp;IF(C2820=DATE(2026,11,28),"机构晚餐","无统一供餐"),IF(C2820=Options!$B$10,"返程；"&amp;IF(C2820=DATE(2026,12,2),"机构午餐","无统一供餐"),"差旅状态；无统一日程"))))))</f>
        <v/>
      </c>
      <c r="E2820" s="13">
        <f>IF(C2820=Options!$B$9,Options!$C$21,0)</f>
        <v/>
      </c>
      <c r="F2820" s="13">
        <f>IF(AND(A2820&lt;&gt;"",C2820&lt;Options!$B$10),B2820*Options!$X$8,0)</f>
        <v/>
      </c>
      <c r="G2820" s="13">
        <f>F2820*12%</f>
        <v/>
      </c>
      <c r="H2820" s="13">
        <f>IF(A2820="",0,B2820*(92*IF(OR(C2820=Options!$B$9,C2820=Options!$B$10),75%,100%)-IF(C2820=DATE(2026,11,29),26+IF(Options!$B$8="是",23,0),0)-IF(C2820=DATE(2026,11,30),26,0)-IF(C2820=DATE(2026,12,1),64,0)-IF(C2820=DATE(2026,11,28),38,0)-IF(C2820=DATE(2026,12,2),26,0)))</f>
        <v/>
      </c>
      <c r="I2820" s="13">
        <f>IF(AND(C2820&gt;=DATE(2026,11,29),C2820&lt;=DATE(2026,12,1)),B2820*60,0)</f>
        <v/>
      </c>
      <c r="J2820" s="13">
        <f>IF(A2820="",0,B2820*(IF(C2820=DATE(2026,11,28),38,0)+IF(C2820=DATE(2026,12,1),38,0)+IF(C2820=DATE(2026,12,2),26,0)))</f>
        <v/>
      </c>
      <c r="K2820" s="13">
        <f>IF(C2820=Options!$B$9,B2820*12,0)</f>
        <v/>
      </c>
      <c r="L2820" s="13">
        <f>IF(C2820=Options!$B$9,B2820*Options!$Z$8,0)</f>
        <v/>
      </c>
      <c r="M2820" s="13" t="n">
        <v>0</v>
      </c>
      <c r="N2820" s="13">
        <f>SUM(E2820:M2820)</f>
        <v/>
      </c>
    </row>
    <row r="2821">
      <c r="A2821" s="5">
        <f>IF(AND(C2821&gt;=Options!$B$9,C2821&lt;=Options!$B$10),"Boston","")</f>
        <v/>
      </c>
      <c r="B2821" s="5">
        <f>IF(A2821="","",24)</f>
        <v/>
      </c>
      <c r="C2821" s="17" t="n">
        <v>46557</v>
      </c>
      <c r="D2821" s="5">
        <f>IF(A2821="","",IF(C2821=DATE(2026,11,29),"培训；注册午餐；早餐参数",IF(C2821=DATE(2026,11,30),"培训；注册午餐",IF(C2821=DATE(2026,12,1),"培训；注册午餐；机构晚餐",IF(C2821=Options!$B$9,"抵达；"&amp;IF(C2821=DATE(2026,11,28),"机构晚餐","无统一供餐"),IF(C2821=Options!$B$10,"返程；"&amp;IF(C2821=DATE(2026,12,2),"机构午餐","无统一供餐"),"差旅状态；无统一日程"))))))</f>
        <v/>
      </c>
      <c r="E2821" s="13">
        <f>IF(C2821=Options!$B$9,Options!$C$21,0)</f>
        <v/>
      </c>
      <c r="F2821" s="13">
        <f>IF(AND(A2821&lt;&gt;"",C2821&lt;Options!$B$10),B2821*Options!$X$8,0)</f>
        <v/>
      </c>
      <c r="G2821" s="13">
        <f>F2821*12%</f>
        <v/>
      </c>
      <c r="H2821" s="13">
        <f>IF(A2821="",0,B2821*(92*IF(OR(C2821=Options!$B$9,C2821=Options!$B$10),75%,100%)-IF(C2821=DATE(2026,11,29),26+IF(Options!$B$8="是",23,0),0)-IF(C2821=DATE(2026,11,30),26,0)-IF(C2821=DATE(2026,12,1),64,0)-IF(C2821=DATE(2026,11,28),38,0)-IF(C2821=DATE(2026,12,2),26,0)))</f>
        <v/>
      </c>
      <c r="I2821" s="13">
        <f>IF(AND(C2821&gt;=DATE(2026,11,29),C2821&lt;=DATE(2026,12,1)),B2821*60,0)</f>
        <v/>
      </c>
      <c r="J2821" s="13">
        <f>IF(A2821="",0,B2821*(IF(C2821=DATE(2026,11,28),38,0)+IF(C2821=DATE(2026,12,1),38,0)+IF(C2821=DATE(2026,12,2),26,0)))</f>
        <v/>
      </c>
      <c r="K2821" s="13">
        <f>IF(C2821=Options!$B$9,B2821*12,0)</f>
        <v/>
      </c>
      <c r="L2821" s="13">
        <f>IF(C2821=Options!$B$9,B2821*Options!$Z$8,0)</f>
        <v/>
      </c>
      <c r="M2821" s="13" t="n">
        <v>0</v>
      </c>
      <c r="N2821" s="13">
        <f>SUM(E2821:M2821)</f>
        <v/>
      </c>
    </row>
    <row r="2822">
      <c r="A2822" s="5">
        <f>IF(AND(C2822&gt;=Options!$B$9,C2822&lt;=Options!$B$10),"Boston","")</f>
        <v/>
      </c>
      <c r="B2822" s="5">
        <f>IF(A2822="","",24)</f>
        <v/>
      </c>
      <c r="C2822" s="17" t="n">
        <v>46558</v>
      </c>
      <c r="D2822" s="5">
        <f>IF(A2822="","",IF(C2822=DATE(2026,11,29),"培训；注册午餐；早餐参数",IF(C2822=DATE(2026,11,30),"培训；注册午餐",IF(C2822=DATE(2026,12,1),"培训；注册午餐；机构晚餐",IF(C2822=Options!$B$9,"抵达；"&amp;IF(C2822=DATE(2026,11,28),"机构晚餐","无统一供餐"),IF(C2822=Options!$B$10,"返程；"&amp;IF(C2822=DATE(2026,12,2),"机构午餐","无统一供餐"),"差旅状态；无统一日程"))))))</f>
        <v/>
      </c>
      <c r="E2822" s="13">
        <f>IF(C2822=Options!$B$9,Options!$C$21,0)</f>
        <v/>
      </c>
      <c r="F2822" s="13">
        <f>IF(AND(A2822&lt;&gt;"",C2822&lt;Options!$B$10),B2822*Options!$X$8,0)</f>
        <v/>
      </c>
      <c r="G2822" s="13">
        <f>F2822*12%</f>
        <v/>
      </c>
      <c r="H2822" s="13">
        <f>IF(A2822="",0,B2822*(92*IF(OR(C2822=Options!$B$9,C2822=Options!$B$10),75%,100%)-IF(C2822=DATE(2026,11,29),26+IF(Options!$B$8="是",23,0),0)-IF(C2822=DATE(2026,11,30),26,0)-IF(C2822=DATE(2026,12,1),64,0)-IF(C2822=DATE(2026,11,28),38,0)-IF(C2822=DATE(2026,12,2),26,0)))</f>
        <v/>
      </c>
      <c r="I2822" s="13">
        <f>IF(AND(C2822&gt;=DATE(2026,11,29),C2822&lt;=DATE(2026,12,1)),B2822*60,0)</f>
        <v/>
      </c>
      <c r="J2822" s="13">
        <f>IF(A2822="",0,B2822*(IF(C2822=DATE(2026,11,28),38,0)+IF(C2822=DATE(2026,12,1),38,0)+IF(C2822=DATE(2026,12,2),26,0)))</f>
        <v/>
      </c>
      <c r="K2822" s="13">
        <f>IF(C2822=Options!$B$9,B2822*12,0)</f>
        <v/>
      </c>
      <c r="L2822" s="13">
        <f>IF(C2822=Options!$B$9,B2822*Options!$Z$8,0)</f>
        <v/>
      </c>
      <c r="M2822" s="13" t="n">
        <v>0</v>
      </c>
      <c r="N2822" s="13">
        <f>SUM(E2822:M2822)</f>
        <v/>
      </c>
    </row>
    <row r="2823">
      <c r="A2823" s="5">
        <f>IF(AND(C2823&gt;=Options!$B$9,C2823&lt;=Options!$B$10),"Boston","")</f>
        <v/>
      </c>
      <c r="B2823" s="5">
        <f>IF(A2823="","",24)</f>
        <v/>
      </c>
      <c r="C2823" s="17" t="n">
        <v>46559</v>
      </c>
      <c r="D2823" s="5">
        <f>IF(A2823="","",IF(C2823=DATE(2026,11,29),"培训；注册午餐；早餐参数",IF(C2823=DATE(2026,11,30),"培训；注册午餐",IF(C2823=DATE(2026,12,1),"培训；注册午餐；机构晚餐",IF(C2823=Options!$B$9,"抵达；"&amp;IF(C2823=DATE(2026,11,28),"机构晚餐","无统一供餐"),IF(C2823=Options!$B$10,"返程；"&amp;IF(C2823=DATE(2026,12,2),"机构午餐","无统一供餐"),"差旅状态；无统一日程"))))))</f>
        <v/>
      </c>
      <c r="E2823" s="13">
        <f>IF(C2823=Options!$B$9,Options!$C$21,0)</f>
        <v/>
      </c>
      <c r="F2823" s="13">
        <f>IF(AND(A2823&lt;&gt;"",C2823&lt;Options!$B$10),B2823*Options!$X$8,0)</f>
        <v/>
      </c>
      <c r="G2823" s="13">
        <f>F2823*12%</f>
        <v/>
      </c>
      <c r="H2823" s="13">
        <f>IF(A2823="",0,B2823*(92*IF(OR(C2823=Options!$B$9,C2823=Options!$B$10),75%,100%)-IF(C2823=DATE(2026,11,29),26+IF(Options!$B$8="是",23,0),0)-IF(C2823=DATE(2026,11,30),26,0)-IF(C2823=DATE(2026,12,1),64,0)-IF(C2823=DATE(2026,11,28),38,0)-IF(C2823=DATE(2026,12,2),26,0)))</f>
        <v/>
      </c>
      <c r="I2823" s="13">
        <f>IF(AND(C2823&gt;=DATE(2026,11,29),C2823&lt;=DATE(2026,12,1)),B2823*60,0)</f>
        <v/>
      </c>
      <c r="J2823" s="13">
        <f>IF(A2823="",0,B2823*(IF(C2823=DATE(2026,11,28),38,0)+IF(C2823=DATE(2026,12,1),38,0)+IF(C2823=DATE(2026,12,2),26,0)))</f>
        <v/>
      </c>
      <c r="K2823" s="13">
        <f>IF(C2823=Options!$B$9,B2823*12,0)</f>
        <v/>
      </c>
      <c r="L2823" s="13">
        <f>IF(C2823=Options!$B$9,B2823*Options!$Z$8,0)</f>
        <v/>
      </c>
      <c r="M2823" s="13" t="n">
        <v>0</v>
      </c>
      <c r="N2823" s="13">
        <f>SUM(E2823:M2823)</f>
        <v/>
      </c>
    </row>
    <row r="2824">
      <c r="A2824" s="5">
        <f>IF(AND(C2824&gt;=Options!$B$9,C2824&lt;=Options!$B$10),"Boston","")</f>
        <v/>
      </c>
      <c r="B2824" s="5">
        <f>IF(A2824="","",24)</f>
        <v/>
      </c>
      <c r="C2824" s="17" t="n">
        <v>46560</v>
      </c>
      <c r="D2824" s="5">
        <f>IF(A2824="","",IF(C2824=DATE(2026,11,29),"培训；注册午餐；早餐参数",IF(C2824=DATE(2026,11,30),"培训；注册午餐",IF(C2824=DATE(2026,12,1),"培训；注册午餐；机构晚餐",IF(C2824=Options!$B$9,"抵达；"&amp;IF(C2824=DATE(2026,11,28),"机构晚餐","无统一供餐"),IF(C2824=Options!$B$10,"返程；"&amp;IF(C2824=DATE(2026,12,2),"机构午餐","无统一供餐"),"差旅状态；无统一日程"))))))</f>
        <v/>
      </c>
      <c r="E2824" s="13">
        <f>IF(C2824=Options!$B$9,Options!$C$21,0)</f>
        <v/>
      </c>
      <c r="F2824" s="13">
        <f>IF(AND(A2824&lt;&gt;"",C2824&lt;Options!$B$10),B2824*Options!$X$8,0)</f>
        <v/>
      </c>
      <c r="G2824" s="13">
        <f>F2824*12%</f>
        <v/>
      </c>
      <c r="H2824" s="13">
        <f>IF(A2824="",0,B2824*(92*IF(OR(C2824=Options!$B$9,C2824=Options!$B$10),75%,100%)-IF(C2824=DATE(2026,11,29),26+IF(Options!$B$8="是",23,0),0)-IF(C2824=DATE(2026,11,30),26,0)-IF(C2824=DATE(2026,12,1),64,0)-IF(C2824=DATE(2026,11,28),38,0)-IF(C2824=DATE(2026,12,2),26,0)))</f>
        <v/>
      </c>
      <c r="I2824" s="13">
        <f>IF(AND(C2824&gt;=DATE(2026,11,29),C2824&lt;=DATE(2026,12,1)),B2824*60,0)</f>
        <v/>
      </c>
      <c r="J2824" s="13">
        <f>IF(A2824="",0,B2824*(IF(C2824=DATE(2026,11,28),38,0)+IF(C2824=DATE(2026,12,1),38,0)+IF(C2824=DATE(2026,12,2),26,0)))</f>
        <v/>
      </c>
      <c r="K2824" s="13">
        <f>IF(C2824=Options!$B$9,B2824*12,0)</f>
        <v/>
      </c>
      <c r="L2824" s="13">
        <f>IF(C2824=Options!$B$9,B2824*Options!$Z$8,0)</f>
        <v/>
      </c>
      <c r="M2824" s="13" t="n">
        <v>0</v>
      </c>
      <c r="N2824" s="13">
        <f>SUM(E2824:M2824)</f>
        <v/>
      </c>
    </row>
    <row r="2825">
      <c r="A2825" s="5">
        <f>IF(AND(C2825&gt;=Options!$B$9,C2825&lt;=Options!$B$10),"Boston","")</f>
        <v/>
      </c>
      <c r="B2825" s="5">
        <f>IF(A2825="","",24)</f>
        <v/>
      </c>
      <c r="C2825" s="17" t="n">
        <v>46561</v>
      </c>
      <c r="D2825" s="5">
        <f>IF(A2825="","",IF(C2825=DATE(2026,11,29),"培训；注册午餐；早餐参数",IF(C2825=DATE(2026,11,30),"培训；注册午餐",IF(C2825=DATE(2026,12,1),"培训；注册午餐；机构晚餐",IF(C2825=Options!$B$9,"抵达；"&amp;IF(C2825=DATE(2026,11,28),"机构晚餐","无统一供餐"),IF(C2825=Options!$B$10,"返程；"&amp;IF(C2825=DATE(2026,12,2),"机构午餐","无统一供餐"),"差旅状态；无统一日程"))))))</f>
        <v/>
      </c>
      <c r="E2825" s="13">
        <f>IF(C2825=Options!$B$9,Options!$C$21,0)</f>
        <v/>
      </c>
      <c r="F2825" s="13">
        <f>IF(AND(A2825&lt;&gt;"",C2825&lt;Options!$B$10),B2825*Options!$X$8,0)</f>
        <v/>
      </c>
      <c r="G2825" s="13">
        <f>F2825*12%</f>
        <v/>
      </c>
      <c r="H2825" s="13">
        <f>IF(A2825="",0,B2825*(92*IF(OR(C2825=Options!$B$9,C2825=Options!$B$10),75%,100%)-IF(C2825=DATE(2026,11,29),26+IF(Options!$B$8="是",23,0),0)-IF(C2825=DATE(2026,11,30),26,0)-IF(C2825=DATE(2026,12,1),64,0)-IF(C2825=DATE(2026,11,28),38,0)-IF(C2825=DATE(2026,12,2),26,0)))</f>
        <v/>
      </c>
      <c r="I2825" s="13">
        <f>IF(AND(C2825&gt;=DATE(2026,11,29),C2825&lt;=DATE(2026,12,1)),B2825*60,0)</f>
        <v/>
      </c>
      <c r="J2825" s="13">
        <f>IF(A2825="",0,B2825*(IF(C2825=DATE(2026,11,28),38,0)+IF(C2825=DATE(2026,12,1),38,0)+IF(C2825=DATE(2026,12,2),26,0)))</f>
        <v/>
      </c>
      <c r="K2825" s="13">
        <f>IF(C2825=Options!$B$9,B2825*12,0)</f>
        <v/>
      </c>
      <c r="L2825" s="13">
        <f>IF(C2825=Options!$B$9,B2825*Options!$Z$8,0)</f>
        <v/>
      </c>
      <c r="M2825" s="13" t="n">
        <v>0</v>
      </c>
      <c r="N2825" s="13">
        <f>SUM(E2825:M2825)</f>
        <v/>
      </c>
    </row>
    <row r="2826">
      <c r="A2826" s="5">
        <f>IF(AND(C2826&gt;=Options!$B$9,C2826&lt;=Options!$B$10),"Boston","")</f>
        <v/>
      </c>
      <c r="B2826" s="5">
        <f>IF(A2826="","",24)</f>
        <v/>
      </c>
      <c r="C2826" s="17" t="n">
        <v>46562</v>
      </c>
      <c r="D2826" s="5">
        <f>IF(A2826="","",IF(C2826=DATE(2026,11,29),"培训；注册午餐；早餐参数",IF(C2826=DATE(2026,11,30),"培训；注册午餐",IF(C2826=DATE(2026,12,1),"培训；注册午餐；机构晚餐",IF(C2826=Options!$B$9,"抵达；"&amp;IF(C2826=DATE(2026,11,28),"机构晚餐","无统一供餐"),IF(C2826=Options!$B$10,"返程；"&amp;IF(C2826=DATE(2026,12,2),"机构午餐","无统一供餐"),"差旅状态；无统一日程"))))))</f>
        <v/>
      </c>
      <c r="E2826" s="13">
        <f>IF(C2826=Options!$B$9,Options!$C$21,0)</f>
        <v/>
      </c>
      <c r="F2826" s="13">
        <f>IF(AND(A2826&lt;&gt;"",C2826&lt;Options!$B$10),B2826*Options!$X$8,0)</f>
        <v/>
      </c>
      <c r="G2826" s="13">
        <f>F2826*12%</f>
        <v/>
      </c>
      <c r="H2826" s="13">
        <f>IF(A2826="",0,B2826*(92*IF(OR(C2826=Options!$B$9,C2826=Options!$B$10),75%,100%)-IF(C2826=DATE(2026,11,29),26+IF(Options!$B$8="是",23,0),0)-IF(C2826=DATE(2026,11,30),26,0)-IF(C2826=DATE(2026,12,1),64,0)-IF(C2826=DATE(2026,11,28),38,0)-IF(C2826=DATE(2026,12,2),26,0)))</f>
        <v/>
      </c>
      <c r="I2826" s="13">
        <f>IF(AND(C2826&gt;=DATE(2026,11,29),C2826&lt;=DATE(2026,12,1)),B2826*60,0)</f>
        <v/>
      </c>
      <c r="J2826" s="13">
        <f>IF(A2826="",0,B2826*(IF(C2826=DATE(2026,11,28),38,0)+IF(C2826=DATE(2026,12,1),38,0)+IF(C2826=DATE(2026,12,2),26,0)))</f>
        <v/>
      </c>
      <c r="K2826" s="13">
        <f>IF(C2826=Options!$B$9,B2826*12,0)</f>
        <v/>
      </c>
      <c r="L2826" s="13">
        <f>IF(C2826=Options!$B$9,B2826*Options!$Z$8,0)</f>
        <v/>
      </c>
      <c r="M2826" s="13" t="n">
        <v>0</v>
      </c>
      <c r="N2826" s="13">
        <f>SUM(E2826:M2826)</f>
        <v/>
      </c>
    </row>
    <row r="2827">
      <c r="A2827" s="5">
        <f>IF(AND(C2827&gt;=Options!$B$9,C2827&lt;=Options!$B$10),"Boston","")</f>
        <v/>
      </c>
      <c r="B2827" s="5">
        <f>IF(A2827="","",24)</f>
        <v/>
      </c>
      <c r="C2827" s="17" t="n">
        <v>46563</v>
      </c>
      <c r="D2827" s="5">
        <f>IF(A2827="","",IF(C2827=DATE(2026,11,29),"培训；注册午餐；早餐参数",IF(C2827=DATE(2026,11,30),"培训；注册午餐",IF(C2827=DATE(2026,12,1),"培训；注册午餐；机构晚餐",IF(C2827=Options!$B$9,"抵达；"&amp;IF(C2827=DATE(2026,11,28),"机构晚餐","无统一供餐"),IF(C2827=Options!$B$10,"返程；"&amp;IF(C2827=DATE(2026,12,2),"机构午餐","无统一供餐"),"差旅状态；无统一日程"))))))</f>
        <v/>
      </c>
      <c r="E2827" s="13">
        <f>IF(C2827=Options!$B$9,Options!$C$21,0)</f>
        <v/>
      </c>
      <c r="F2827" s="13">
        <f>IF(AND(A2827&lt;&gt;"",C2827&lt;Options!$B$10),B2827*Options!$X$8,0)</f>
        <v/>
      </c>
      <c r="G2827" s="13">
        <f>F2827*12%</f>
        <v/>
      </c>
      <c r="H2827" s="13">
        <f>IF(A2827="",0,B2827*(92*IF(OR(C2827=Options!$B$9,C2827=Options!$B$10),75%,100%)-IF(C2827=DATE(2026,11,29),26+IF(Options!$B$8="是",23,0),0)-IF(C2827=DATE(2026,11,30),26,0)-IF(C2827=DATE(2026,12,1),64,0)-IF(C2827=DATE(2026,11,28),38,0)-IF(C2827=DATE(2026,12,2),26,0)))</f>
        <v/>
      </c>
      <c r="I2827" s="13">
        <f>IF(AND(C2827&gt;=DATE(2026,11,29),C2827&lt;=DATE(2026,12,1)),B2827*60,0)</f>
        <v/>
      </c>
      <c r="J2827" s="13">
        <f>IF(A2827="",0,B2827*(IF(C2827=DATE(2026,11,28),38,0)+IF(C2827=DATE(2026,12,1),38,0)+IF(C2827=DATE(2026,12,2),26,0)))</f>
        <v/>
      </c>
      <c r="K2827" s="13">
        <f>IF(C2827=Options!$B$9,B2827*12,0)</f>
        <v/>
      </c>
      <c r="L2827" s="13">
        <f>IF(C2827=Options!$B$9,B2827*Options!$Z$8,0)</f>
        <v/>
      </c>
      <c r="M2827" s="13" t="n">
        <v>0</v>
      </c>
      <c r="N2827" s="13">
        <f>SUM(E2827:M2827)</f>
        <v/>
      </c>
    </row>
    <row r="2828">
      <c r="A2828" s="5">
        <f>IF(AND(C2828&gt;=Options!$B$9,C2828&lt;=Options!$B$10),"Boston","")</f>
        <v/>
      </c>
      <c r="B2828" s="5">
        <f>IF(A2828="","",24)</f>
        <v/>
      </c>
      <c r="C2828" s="17" t="n">
        <v>46564</v>
      </c>
      <c r="D2828" s="5">
        <f>IF(A2828="","",IF(C2828=DATE(2026,11,29),"培训；注册午餐；早餐参数",IF(C2828=DATE(2026,11,30),"培训；注册午餐",IF(C2828=DATE(2026,12,1),"培训；注册午餐；机构晚餐",IF(C2828=Options!$B$9,"抵达；"&amp;IF(C2828=DATE(2026,11,28),"机构晚餐","无统一供餐"),IF(C2828=Options!$B$10,"返程；"&amp;IF(C2828=DATE(2026,12,2),"机构午餐","无统一供餐"),"差旅状态；无统一日程"))))))</f>
        <v/>
      </c>
      <c r="E2828" s="13">
        <f>IF(C2828=Options!$B$9,Options!$C$21,0)</f>
        <v/>
      </c>
      <c r="F2828" s="13">
        <f>IF(AND(A2828&lt;&gt;"",C2828&lt;Options!$B$10),B2828*Options!$X$8,0)</f>
        <v/>
      </c>
      <c r="G2828" s="13">
        <f>F2828*12%</f>
        <v/>
      </c>
      <c r="H2828" s="13">
        <f>IF(A2828="",0,B2828*(92*IF(OR(C2828=Options!$B$9,C2828=Options!$B$10),75%,100%)-IF(C2828=DATE(2026,11,29),26+IF(Options!$B$8="是",23,0),0)-IF(C2828=DATE(2026,11,30),26,0)-IF(C2828=DATE(2026,12,1),64,0)-IF(C2828=DATE(2026,11,28),38,0)-IF(C2828=DATE(2026,12,2),26,0)))</f>
        <v/>
      </c>
      <c r="I2828" s="13">
        <f>IF(AND(C2828&gt;=DATE(2026,11,29),C2828&lt;=DATE(2026,12,1)),B2828*60,0)</f>
        <v/>
      </c>
      <c r="J2828" s="13">
        <f>IF(A2828="",0,B2828*(IF(C2828=DATE(2026,11,28),38,0)+IF(C2828=DATE(2026,12,1),38,0)+IF(C2828=DATE(2026,12,2),26,0)))</f>
        <v/>
      </c>
      <c r="K2828" s="13">
        <f>IF(C2828=Options!$B$9,B2828*12,0)</f>
        <v/>
      </c>
      <c r="L2828" s="13">
        <f>IF(C2828=Options!$B$9,B2828*Options!$Z$8,0)</f>
        <v/>
      </c>
      <c r="M2828" s="13" t="n">
        <v>0</v>
      </c>
      <c r="N2828" s="13">
        <f>SUM(E2828:M2828)</f>
        <v/>
      </c>
    </row>
    <row r="2829">
      <c r="A2829" s="5">
        <f>IF(AND(C2829&gt;=Options!$B$9,C2829&lt;=Options!$B$10),"Boston","")</f>
        <v/>
      </c>
      <c r="B2829" s="5">
        <f>IF(A2829="","",24)</f>
        <v/>
      </c>
      <c r="C2829" s="17" t="n">
        <v>46565</v>
      </c>
      <c r="D2829" s="5">
        <f>IF(A2829="","",IF(C2829=DATE(2026,11,29),"培训；注册午餐；早餐参数",IF(C2829=DATE(2026,11,30),"培训；注册午餐",IF(C2829=DATE(2026,12,1),"培训；注册午餐；机构晚餐",IF(C2829=Options!$B$9,"抵达；"&amp;IF(C2829=DATE(2026,11,28),"机构晚餐","无统一供餐"),IF(C2829=Options!$B$10,"返程；"&amp;IF(C2829=DATE(2026,12,2),"机构午餐","无统一供餐"),"差旅状态；无统一日程"))))))</f>
        <v/>
      </c>
      <c r="E2829" s="13">
        <f>IF(C2829=Options!$B$9,Options!$C$21,0)</f>
        <v/>
      </c>
      <c r="F2829" s="13">
        <f>IF(AND(A2829&lt;&gt;"",C2829&lt;Options!$B$10),B2829*Options!$X$8,0)</f>
        <v/>
      </c>
      <c r="G2829" s="13">
        <f>F2829*12%</f>
        <v/>
      </c>
      <c r="H2829" s="13">
        <f>IF(A2829="",0,B2829*(92*IF(OR(C2829=Options!$B$9,C2829=Options!$B$10),75%,100%)-IF(C2829=DATE(2026,11,29),26+IF(Options!$B$8="是",23,0),0)-IF(C2829=DATE(2026,11,30),26,0)-IF(C2829=DATE(2026,12,1),64,0)-IF(C2829=DATE(2026,11,28),38,0)-IF(C2829=DATE(2026,12,2),26,0)))</f>
        <v/>
      </c>
      <c r="I2829" s="13">
        <f>IF(AND(C2829&gt;=DATE(2026,11,29),C2829&lt;=DATE(2026,12,1)),B2829*60,0)</f>
        <v/>
      </c>
      <c r="J2829" s="13">
        <f>IF(A2829="",0,B2829*(IF(C2829=DATE(2026,11,28),38,0)+IF(C2829=DATE(2026,12,1),38,0)+IF(C2829=DATE(2026,12,2),26,0)))</f>
        <v/>
      </c>
      <c r="K2829" s="13">
        <f>IF(C2829=Options!$B$9,B2829*12,0)</f>
        <v/>
      </c>
      <c r="L2829" s="13">
        <f>IF(C2829=Options!$B$9,B2829*Options!$Z$8,0)</f>
        <v/>
      </c>
      <c r="M2829" s="13" t="n">
        <v>0</v>
      </c>
      <c r="N2829" s="13">
        <f>SUM(E2829:M2829)</f>
        <v/>
      </c>
    </row>
    <row r="2830">
      <c r="A2830" s="5">
        <f>IF(AND(C2830&gt;=Options!$B$9,C2830&lt;=Options!$B$10),"Boston","")</f>
        <v/>
      </c>
      <c r="B2830" s="5">
        <f>IF(A2830="","",24)</f>
        <v/>
      </c>
      <c r="C2830" s="17" t="n">
        <v>46566</v>
      </c>
      <c r="D2830" s="5">
        <f>IF(A2830="","",IF(C2830=DATE(2026,11,29),"培训；注册午餐；早餐参数",IF(C2830=DATE(2026,11,30),"培训；注册午餐",IF(C2830=DATE(2026,12,1),"培训；注册午餐；机构晚餐",IF(C2830=Options!$B$9,"抵达；"&amp;IF(C2830=DATE(2026,11,28),"机构晚餐","无统一供餐"),IF(C2830=Options!$B$10,"返程；"&amp;IF(C2830=DATE(2026,12,2),"机构午餐","无统一供餐"),"差旅状态；无统一日程"))))))</f>
        <v/>
      </c>
      <c r="E2830" s="13">
        <f>IF(C2830=Options!$B$9,Options!$C$21,0)</f>
        <v/>
      </c>
      <c r="F2830" s="13">
        <f>IF(AND(A2830&lt;&gt;"",C2830&lt;Options!$B$10),B2830*Options!$X$8,0)</f>
        <v/>
      </c>
      <c r="G2830" s="13">
        <f>F2830*12%</f>
        <v/>
      </c>
      <c r="H2830" s="13">
        <f>IF(A2830="",0,B2830*(92*IF(OR(C2830=Options!$B$9,C2830=Options!$B$10),75%,100%)-IF(C2830=DATE(2026,11,29),26+IF(Options!$B$8="是",23,0),0)-IF(C2830=DATE(2026,11,30),26,0)-IF(C2830=DATE(2026,12,1),64,0)-IF(C2830=DATE(2026,11,28),38,0)-IF(C2830=DATE(2026,12,2),26,0)))</f>
        <v/>
      </c>
      <c r="I2830" s="13">
        <f>IF(AND(C2830&gt;=DATE(2026,11,29),C2830&lt;=DATE(2026,12,1)),B2830*60,0)</f>
        <v/>
      </c>
      <c r="J2830" s="13">
        <f>IF(A2830="",0,B2830*(IF(C2830=DATE(2026,11,28),38,0)+IF(C2830=DATE(2026,12,1),38,0)+IF(C2830=DATE(2026,12,2),26,0)))</f>
        <v/>
      </c>
      <c r="K2830" s="13">
        <f>IF(C2830=Options!$B$9,B2830*12,0)</f>
        <v/>
      </c>
      <c r="L2830" s="13">
        <f>IF(C2830=Options!$B$9,B2830*Options!$Z$8,0)</f>
        <v/>
      </c>
      <c r="M2830" s="13" t="n">
        <v>0</v>
      </c>
      <c r="N2830" s="13">
        <f>SUM(E2830:M2830)</f>
        <v/>
      </c>
    </row>
    <row r="2831">
      <c r="A2831" s="5">
        <f>IF(AND(C2831&gt;=Options!$B$9,C2831&lt;=Options!$B$10),"Boston","")</f>
        <v/>
      </c>
      <c r="B2831" s="5">
        <f>IF(A2831="","",24)</f>
        <v/>
      </c>
      <c r="C2831" s="17" t="n">
        <v>46567</v>
      </c>
      <c r="D2831" s="5">
        <f>IF(A2831="","",IF(C2831=DATE(2026,11,29),"培训；注册午餐；早餐参数",IF(C2831=DATE(2026,11,30),"培训；注册午餐",IF(C2831=DATE(2026,12,1),"培训；注册午餐；机构晚餐",IF(C2831=Options!$B$9,"抵达；"&amp;IF(C2831=DATE(2026,11,28),"机构晚餐","无统一供餐"),IF(C2831=Options!$B$10,"返程；"&amp;IF(C2831=DATE(2026,12,2),"机构午餐","无统一供餐"),"差旅状态；无统一日程"))))))</f>
        <v/>
      </c>
      <c r="E2831" s="13">
        <f>IF(C2831=Options!$B$9,Options!$C$21,0)</f>
        <v/>
      </c>
      <c r="F2831" s="13">
        <f>IF(AND(A2831&lt;&gt;"",C2831&lt;Options!$B$10),B2831*Options!$X$8,0)</f>
        <v/>
      </c>
      <c r="G2831" s="13">
        <f>F2831*12%</f>
        <v/>
      </c>
      <c r="H2831" s="13">
        <f>IF(A2831="",0,B2831*(92*IF(OR(C2831=Options!$B$9,C2831=Options!$B$10),75%,100%)-IF(C2831=DATE(2026,11,29),26+IF(Options!$B$8="是",23,0),0)-IF(C2831=DATE(2026,11,30),26,0)-IF(C2831=DATE(2026,12,1),64,0)-IF(C2831=DATE(2026,11,28),38,0)-IF(C2831=DATE(2026,12,2),26,0)))</f>
        <v/>
      </c>
      <c r="I2831" s="13">
        <f>IF(AND(C2831&gt;=DATE(2026,11,29),C2831&lt;=DATE(2026,12,1)),B2831*60,0)</f>
        <v/>
      </c>
      <c r="J2831" s="13">
        <f>IF(A2831="",0,B2831*(IF(C2831=DATE(2026,11,28),38,0)+IF(C2831=DATE(2026,12,1),38,0)+IF(C2831=DATE(2026,12,2),26,0)))</f>
        <v/>
      </c>
      <c r="K2831" s="13">
        <f>IF(C2831=Options!$B$9,B2831*12,0)</f>
        <v/>
      </c>
      <c r="L2831" s="13">
        <f>IF(C2831=Options!$B$9,B2831*Options!$Z$8,0)</f>
        <v/>
      </c>
      <c r="M2831" s="13" t="n">
        <v>0</v>
      </c>
      <c r="N2831" s="13">
        <f>SUM(E2831:M2831)</f>
        <v/>
      </c>
    </row>
    <row r="2832">
      <c r="A2832" s="5">
        <f>IF(AND(C2832&gt;=Options!$B$9,C2832&lt;=Options!$B$10),"Boston","")</f>
        <v/>
      </c>
      <c r="B2832" s="5">
        <f>IF(A2832="","",24)</f>
        <v/>
      </c>
      <c r="C2832" s="17" t="n">
        <v>46568</v>
      </c>
      <c r="D2832" s="5">
        <f>IF(A2832="","",IF(C2832=DATE(2026,11,29),"培训；注册午餐；早餐参数",IF(C2832=DATE(2026,11,30),"培训；注册午餐",IF(C2832=DATE(2026,12,1),"培训；注册午餐；机构晚餐",IF(C2832=Options!$B$9,"抵达；"&amp;IF(C2832=DATE(2026,11,28),"机构晚餐","无统一供餐"),IF(C2832=Options!$B$10,"返程；"&amp;IF(C2832=DATE(2026,12,2),"机构午餐","无统一供餐"),"差旅状态；无统一日程"))))))</f>
        <v/>
      </c>
      <c r="E2832" s="13">
        <f>IF(C2832=Options!$B$9,Options!$C$21,0)</f>
        <v/>
      </c>
      <c r="F2832" s="13">
        <f>IF(AND(A2832&lt;&gt;"",C2832&lt;Options!$B$10),B2832*Options!$X$8,0)</f>
        <v/>
      </c>
      <c r="G2832" s="13">
        <f>F2832*12%</f>
        <v/>
      </c>
      <c r="H2832" s="13">
        <f>IF(A2832="",0,B2832*(92*IF(OR(C2832=Options!$B$9,C2832=Options!$B$10),75%,100%)-IF(C2832=DATE(2026,11,29),26+IF(Options!$B$8="是",23,0),0)-IF(C2832=DATE(2026,11,30),26,0)-IF(C2832=DATE(2026,12,1),64,0)-IF(C2832=DATE(2026,11,28),38,0)-IF(C2832=DATE(2026,12,2),26,0)))</f>
        <v/>
      </c>
      <c r="I2832" s="13">
        <f>IF(AND(C2832&gt;=DATE(2026,11,29),C2832&lt;=DATE(2026,12,1)),B2832*60,0)</f>
        <v/>
      </c>
      <c r="J2832" s="13">
        <f>IF(A2832="",0,B2832*(IF(C2832=DATE(2026,11,28),38,0)+IF(C2832=DATE(2026,12,1),38,0)+IF(C2832=DATE(2026,12,2),26,0)))</f>
        <v/>
      </c>
      <c r="K2832" s="13">
        <f>IF(C2832=Options!$B$9,B2832*12,0)</f>
        <v/>
      </c>
      <c r="L2832" s="13">
        <f>IF(C2832=Options!$B$9,B2832*Options!$Z$8,0)</f>
        <v/>
      </c>
      <c r="M2832" s="13" t="n">
        <v>0</v>
      </c>
      <c r="N2832" s="13">
        <f>SUM(E2832:M2832)</f>
        <v/>
      </c>
    </row>
    <row r="2833">
      <c r="A2833" s="5">
        <f>IF(AND(C2833&gt;=Options!$B$9,C2833&lt;=Options!$B$10),"Boston","")</f>
        <v/>
      </c>
      <c r="B2833" s="5">
        <f>IF(A2833="","",24)</f>
        <v/>
      </c>
      <c r="C2833" s="17" t="n">
        <v>46569</v>
      </c>
      <c r="D2833" s="5">
        <f>IF(A2833="","",IF(C2833=DATE(2026,11,29),"培训；注册午餐；早餐参数",IF(C2833=DATE(2026,11,30),"培训；注册午餐",IF(C2833=DATE(2026,12,1),"培训；注册午餐；机构晚餐",IF(C2833=Options!$B$9,"抵达；"&amp;IF(C2833=DATE(2026,11,28),"机构晚餐","无统一供餐"),IF(C2833=Options!$B$10,"返程；"&amp;IF(C2833=DATE(2026,12,2),"机构午餐","无统一供餐"),"差旅状态；无统一日程"))))))</f>
        <v/>
      </c>
      <c r="E2833" s="13">
        <f>IF(C2833=Options!$B$9,Options!$C$21,0)</f>
        <v/>
      </c>
      <c r="F2833" s="13">
        <f>IF(AND(A2833&lt;&gt;"",C2833&lt;Options!$B$10),B2833*Options!$X$8,0)</f>
        <v/>
      </c>
      <c r="G2833" s="13">
        <f>F2833*12%</f>
        <v/>
      </c>
      <c r="H2833" s="13">
        <f>IF(A2833="",0,B2833*(92*IF(OR(C2833=Options!$B$9,C2833=Options!$B$10),75%,100%)-IF(C2833=DATE(2026,11,29),26+IF(Options!$B$8="是",23,0),0)-IF(C2833=DATE(2026,11,30),26,0)-IF(C2833=DATE(2026,12,1),64,0)-IF(C2833=DATE(2026,11,28),38,0)-IF(C2833=DATE(2026,12,2),26,0)))</f>
        <v/>
      </c>
      <c r="I2833" s="13">
        <f>IF(AND(C2833&gt;=DATE(2026,11,29),C2833&lt;=DATE(2026,12,1)),B2833*60,0)</f>
        <v/>
      </c>
      <c r="J2833" s="13">
        <f>IF(A2833="",0,B2833*(IF(C2833=DATE(2026,11,28),38,0)+IF(C2833=DATE(2026,12,1),38,0)+IF(C2833=DATE(2026,12,2),26,0)))</f>
        <v/>
      </c>
      <c r="K2833" s="13">
        <f>IF(C2833=Options!$B$9,B2833*12,0)</f>
        <v/>
      </c>
      <c r="L2833" s="13">
        <f>IF(C2833=Options!$B$9,B2833*Options!$Z$8,0)</f>
        <v/>
      </c>
      <c r="M2833" s="13" t="n">
        <v>0</v>
      </c>
      <c r="N2833" s="13">
        <f>SUM(E2833:M2833)</f>
        <v/>
      </c>
    </row>
    <row r="2834">
      <c r="A2834" s="5">
        <f>IF(AND(C2834&gt;=Options!$B$9,C2834&lt;=Options!$B$10),"Boston","")</f>
        <v/>
      </c>
      <c r="B2834" s="5">
        <f>IF(A2834="","",24)</f>
        <v/>
      </c>
      <c r="C2834" s="17" t="n">
        <v>46570</v>
      </c>
      <c r="D2834" s="5">
        <f>IF(A2834="","",IF(C2834=DATE(2026,11,29),"培训；注册午餐；早餐参数",IF(C2834=DATE(2026,11,30),"培训；注册午餐",IF(C2834=DATE(2026,12,1),"培训；注册午餐；机构晚餐",IF(C2834=Options!$B$9,"抵达；"&amp;IF(C2834=DATE(2026,11,28),"机构晚餐","无统一供餐"),IF(C2834=Options!$B$10,"返程；"&amp;IF(C2834=DATE(2026,12,2),"机构午餐","无统一供餐"),"差旅状态；无统一日程"))))))</f>
        <v/>
      </c>
      <c r="E2834" s="13">
        <f>IF(C2834=Options!$B$9,Options!$C$21,0)</f>
        <v/>
      </c>
      <c r="F2834" s="13">
        <f>IF(AND(A2834&lt;&gt;"",C2834&lt;Options!$B$10),B2834*Options!$X$8,0)</f>
        <v/>
      </c>
      <c r="G2834" s="13">
        <f>F2834*12%</f>
        <v/>
      </c>
      <c r="H2834" s="13">
        <f>IF(A2834="",0,B2834*(92*IF(OR(C2834=Options!$B$9,C2834=Options!$B$10),75%,100%)-IF(C2834=DATE(2026,11,29),26+IF(Options!$B$8="是",23,0),0)-IF(C2834=DATE(2026,11,30),26,0)-IF(C2834=DATE(2026,12,1),64,0)-IF(C2834=DATE(2026,11,28),38,0)-IF(C2834=DATE(2026,12,2),26,0)))</f>
        <v/>
      </c>
      <c r="I2834" s="13">
        <f>IF(AND(C2834&gt;=DATE(2026,11,29),C2834&lt;=DATE(2026,12,1)),B2834*60,0)</f>
        <v/>
      </c>
      <c r="J2834" s="13">
        <f>IF(A2834="",0,B2834*(IF(C2834=DATE(2026,11,28),38,0)+IF(C2834=DATE(2026,12,1),38,0)+IF(C2834=DATE(2026,12,2),26,0)))</f>
        <v/>
      </c>
      <c r="K2834" s="13">
        <f>IF(C2834=Options!$B$9,B2834*12,0)</f>
        <v/>
      </c>
      <c r="L2834" s="13">
        <f>IF(C2834=Options!$B$9,B2834*Options!$Z$8,0)</f>
        <v/>
      </c>
      <c r="M2834" s="13" t="n">
        <v>0</v>
      </c>
      <c r="N2834" s="13">
        <f>SUM(E2834:M2834)</f>
        <v/>
      </c>
    </row>
    <row r="2835">
      <c r="A2835" s="5">
        <f>IF(AND(C2835&gt;=Options!$B$9,C2835&lt;=Options!$B$10),"Boston","")</f>
        <v/>
      </c>
      <c r="B2835" s="5">
        <f>IF(A2835="","",24)</f>
        <v/>
      </c>
      <c r="C2835" s="17" t="n">
        <v>46571</v>
      </c>
      <c r="D2835" s="5">
        <f>IF(A2835="","",IF(C2835=DATE(2026,11,29),"培训；注册午餐；早餐参数",IF(C2835=DATE(2026,11,30),"培训；注册午餐",IF(C2835=DATE(2026,12,1),"培训；注册午餐；机构晚餐",IF(C2835=Options!$B$9,"抵达；"&amp;IF(C2835=DATE(2026,11,28),"机构晚餐","无统一供餐"),IF(C2835=Options!$B$10,"返程；"&amp;IF(C2835=DATE(2026,12,2),"机构午餐","无统一供餐"),"差旅状态；无统一日程"))))))</f>
        <v/>
      </c>
      <c r="E2835" s="13">
        <f>IF(C2835=Options!$B$9,Options!$C$21,0)</f>
        <v/>
      </c>
      <c r="F2835" s="13">
        <f>IF(AND(A2835&lt;&gt;"",C2835&lt;Options!$B$10),B2835*Options!$X$8,0)</f>
        <v/>
      </c>
      <c r="G2835" s="13">
        <f>F2835*12%</f>
        <v/>
      </c>
      <c r="H2835" s="13">
        <f>IF(A2835="",0,B2835*(92*IF(OR(C2835=Options!$B$9,C2835=Options!$B$10),75%,100%)-IF(C2835=DATE(2026,11,29),26+IF(Options!$B$8="是",23,0),0)-IF(C2835=DATE(2026,11,30),26,0)-IF(C2835=DATE(2026,12,1),64,0)-IF(C2835=DATE(2026,11,28),38,0)-IF(C2835=DATE(2026,12,2),26,0)))</f>
        <v/>
      </c>
      <c r="I2835" s="13">
        <f>IF(AND(C2835&gt;=DATE(2026,11,29),C2835&lt;=DATE(2026,12,1)),B2835*60,0)</f>
        <v/>
      </c>
      <c r="J2835" s="13">
        <f>IF(A2835="",0,B2835*(IF(C2835=DATE(2026,11,28),38,0)+IF(C2835=DATE(2026,12,1),38,0)+IF(C2835=DATE(2026,12,2),26,0)))</f>
        <v/>
      </c>
      <c r="K2835" s="13">
        <f>IF(C2835=Options!$B$9,B2835*12,0)</f>
        <v/>
      </c>
      <c r="L2835" s="13">
        <f>IF(C2835=Options!$B$9,B2835*Options!$Z$8,0)</f>
        <v/>
      </c>
      <c r="M2835" s="13" t="n">
        <v>0</v>
      </c>
      <c r="N2835" s="13">
        <f>SUM(E2835:M2835)</f>
        <v/>
      </c>
    </row>
    <row r="2836">
      <c r="A2836" s="5">
        <f>IF(AND(C2836&gt;=Options!$B$9,C2836&lt;=Options!$B$10),"Boston","")</f>
        <v/>
      </c>
      <c r="B2836" s="5">
        <f>IF(A2836="","",24)</f>
        <v/>
      </c>
      <c r="C2836" s="17" t="n">
        <v>46572</v>
      </c>
      <c r="D2836" s="5">
        <f>IF(A2836="","",IF(C2836=DATE(2026,11,29),"培训；注册午餐；早餐参数",IF(C2836=DATE(2026,11,30),"培训；注册午餐",IF(C2836=DATE(2026,12,1),"培训；注册午餐；机构晚餐",IF(C2836=Options!$B$9,"抵达；"&amp;IF(C2836=DATE(2026,11,28),"机构晚餐","无统一供餐"),IF(C2836=Options!$B$10,"返程；"&amp;IF(C2836=DATE(2026,12,2),"机构午餐","无统一供餐"),"差旅状态；无统一日程"))))))</f>
        <v/>
      </c>
      <c r="E2836" s="13">
        <f>IF(C2836=Options!$B$9,Options!$C$21,0)</f>
        <v/>
      </c>
      <c r="F2836" s="13">
        <f>IF(AND(A2836&lt;&gt;"",C2836&lt;Options!$B$10),B2836*Options!$X$8,0)</f>
        <v/>
      </c>
      <c r="G2836" s="13">
        <f>F2836*12%</f>
        <v/>
      </c>
      <c r="H2836" s="13">
        <f>IF(A2836="",0,B2836*(92*IF(OR(C2836=Options!$B$9,C2836=Options!$B$10),75%,100%)-IF(C2836=DATE(2026,11,29),26+IF(Options!$B$8="是",23,0),0)-IF(C2836=DATE(2026,11,30),26,0)-IF(C2836=DATE(2026,12,1),64,0)-IF(C2836=DATE(2026,11,28),38,0)-IF(C2836=DATE(2026,12,2),26,0)))</f>
        <v/>
      </c>
      <c r="I2836" s="13">
        <f>IF(AND(C2836&gt;=DATE(2026,11,29),C2836&lt;=DATE(2026,12,1)),B2836*60,0)</f>
        <v/>
      </c>
      <c r="J2836" s="13">
        <f>IF(A2836="",0,B2836*(IF(C2836=DATE(2026,11,28),38,0)+IF(C2836=DATE(2026,12,1),38,0)+IF(C2836=DATE(2026,12,2),26,0)))</f>
        <v/>
      </c>
      <c r="K2836" s="13">
        <f>IF(C2836=Options!$B$9,B2836*12,0)</f>
        <v/>
      </c>
      <c r="L2836" s="13">
        <f>IF(C2836=Options!$B$9,B2836*Options!$Z$8,0)</f>
        <v/>
      </c>
      <c r="M2836" s="13" t="n">
        <v>0</v>
      </c>
      <c r="N2836" s="13">
        <f>SUM(E2836:M2836)</f>
        <v/>
      </c>
    </row>
    <row r="2837">
      <c r="A2837" s="5">
        <f>IF(AND(C2837&gt;=Options!$B$9,C2837&lt;=Options!$B$10),"Boston","")</f>
        <v/>
      </c>
      <c r="B2837" s="5">
        <f>IF(A2837="","",24)</f>
        <v/>
      </c>
      <c r="C2837" s="17" t="n">
        <v>46573</v>
      </c>
      <c r="D2837" s="5">
        <f>IF(A2837="","",IF(C2837=DATE(2026,11,29),"培训；注册午餐；早餐参数",IF(C2837=DATE(2026,11,30),"培训；注册午餐",IF(C2837=DATE(2026,12,1),"培训；注册午餐；机构晚餐",IF(C2837=Options!$B$9,"抵达；"&amp;IF(C2837=DATE(2026,11,28),"机构晚餐","无统一供餐"),IF(C2837=Options!$B$10,"返程；"&amp;IF(C2837=DATE(2026,12,2),"机构午餐","无统一供餐"),"差旅状态；无统一日程"))))))</f>
        <v/>
      </c>
      <c r="E2837" s="13">
        <f>IF(C2837=Options!$B$9,Options!$C$21,0)</f>
        <v/>
      </c>
      <c r="F2837" s="13">
        <f>IF(AND(A2837&lt;&gt;"",C2837&lt;Options!$B$10),B2837*Options!$X$8,0)</f>
        <v/>
      </c>
      <c r="G2837" s="13">
        <f>F2837*12%</f>
        <v/>
      </c>
      <c r="H2837" s="13">
        <f>IF(A2837="",0,B2837*(92*IF(OR(C2837=Options!$B$9,C2837=Options!$B$10),75%,100%)-IF(C2837=DATE(2026,11,29),26+IF(Options!$B$8="是",23,0),0)-IF(C2837=DATE(2026,11,30),26,0)-IF(C2837=DATE(2026,12,1),64,0)-IF(C2837=DATE(2026,11,28),38,0)-IF(C2837=DATE(2026,12,2),26,0)))</f>
        <v/>
      </c>
      <c r="I2837" s="13">
        <f>IF(AND(C2837&gt;=DATE(2026,11,29),C2837&lt;=DATE(2026,12,1)),B2837*60,0)</f>
        <v/>
      </c>
      <c r="J2837" s="13">
        <f>IF(A2837="",0,B2837*(IF(C2837=DATE(2026,11,28),38,0)+IF(C2837=DATE(2026,12,1),38,0)+IF(C2837=DATE(2026,12,2),26,0)))</f>
        <v/>
      </c>
      <c r="K2837" s="13">
        <f>IF(C2837=Options!$B$9,B2837*12,0)</f>
        <v/>
      </c>
      <c r="L2837" s="13">
        <f>IF(C2837=Options!$B$9,B2837*Options!$Z$8,0)</f>
        <v/>
      </c>
      <c r="M2837" s="13" t="n">
        <v>0</v>
      </c>
      <c r="N2837" s="13">
        <f>SUM(E2837:M2837)</f>
        <v/>
      </c>
    </row>
    <row r="2838">
      <c r="A2838" s="5">
        <f>IF(AND(C2838&gt;=Options!$B$9,C2838&lt;=Options!$B$10),"Boston","")</f>
        <v/>
      </c>
      <c r="B2838" s="5">
        <f>IF(A2838="","",24)</f>
        <v/>
      </c>
      <c r="C2838" s="17" t="n">
        <v>46574</v>
      </c>
      <c r="D2838" s="5">
        <f>IF(A2838="","",IF(C2838=DATE(2026,11,29),"培训；注册午餐；早餐参数",IF(C2838=DATE(2026,11,30),"培训；注册午餐",IF(C2838=DATE(2026,12,1),"培训；注册午餐；机构晚餐",IF(C2838=Options!$B$9,"抵达；"&amp;IF(C2838=DATE(2026,11,28),"机构晚餐","无统一供餐"),IF(C2838=Options!$B$10,"返程；"&amp;IF(C2838=DATE(2026,12,2),"机构午餐","无统一供餐"),"差旅状态；无统一日程"))))))</f>
        <v/>
      </c>
      <c r="E2838" s="13">
        <f>IF(C2838=Options!$B$9,Options!$C$21,0)</f>
        <v/>
      </c>
      <c r="F2838" s="13">
        <f>IF(AND(A2838&lt;&gt;"",C2838&lt;Options!$B$10),B2838*Options!$X$8,0)</f>
        <v/>
      </c>
      <c r="G2838" s="13">
        <f>F2838*12%</f>
        <v/>
      </c>
      <c r="H2838" s="13">
        <f>IF(A2838="",0,B2838*(92*IF(OR(C2838=Options!$B$9,C2838=Options!$B$10),75%,100%)-IF(C2838=DATE(2026,11,29),26+IF(Options!$B$8="是",23,0),0)-IF(C2838=DATE(2026,11,30),26,0)-IF(C2838=DATE(2026,12,1),64,0)-IF(C2838=DATE(2026,11,28),38,0)-IF(C2838=DATE(2026,12,2),26,0)))</f>
        <v/>
      </c>
      <c r="I2838" s="13">
        <f>IF(AND(C2838&gt;=DATE(2026,11,29),C2838&lt;=DATE(2026,12,1)),B2838*60,0)</f>
        <v/>
      </c>
      <c r="J2838" s="13">
        <f>IF(A2838="",0,B2838*(IF(C2838=DATE(2026,11,28),38,0)+IF(C2838=DATE(2026,12,1),38,0)+IF(C2838=DATE(2026,12,2),26,0)))</f>
        <v/>
      </c>
      <c r="K2838" s="13">
        <f>IF(C2838=Options!$B$9,B2838*12,0)</f>
        <v/>
      </c>
      <c r="L2838" s="13">
        <f>IF(C2838=Options!$B$9,B2838*Options!$Z$8,0)</f>
        <v/>
      </c>
      <c r="M2838" s="13" t="n">
        <v>0</v>
      </c>
      <c r="N2838" s="13">
        <f>SUM(E2838:M2838)</f>
        <v/>
      </c>
    </row>
    <row r="2839">
      <c r="A2839" s="5">
        <f>IF(AND(C2839&gt;=Options!$B$9,C2839&lt;=Options!$B$10),"Boston","")</f>
        <v/>
      </c>
      <c r="B2839" s="5">
        <f>IF(A2839="","",24)</f>
        <v/>
      </c>
      <c r="C2839" s="17" t="n">
        <v>46575</v>
      </c>
      <c r="D2839" s="5">
        <f>IF(A2839="","",IF(C2839=DATE(2026,11,29),"培训；注册午餐；早餐参数",IF(C2839=DATE(2026,11,30),"培训；注册午餐",IF(C2839=DATE(2026,12,1),"培训；注册午餐；机构晚餐",IF(C2839=Options!$B$9,"抵达；"&amp;IF(C2839=DATE(2026,11,28),"机构晚餐","无统一供餐"),IF(C2839=Options!$B$10,"返程；"&amp;IF(C2839=DATE(2026,12,2),"机构午餐","无统一供餐"),"差旅状态；无统一日程"))))))</f>
        <v/>
      </c>
      <c r="E2839" s="13">
        <f>IF(C2839=Options!$B$9,Options!$C$21,0)</f>
        <v/>
      </c>
      <c r="F2839" s="13">
        <f>IF(AND(A2839&lt;&gt;"",C2839&lt;Options!$B$10),B2839*Options!$X$8,0)</f>
        <v/>
      </c>
      <c r="G2839" s="13">
        <f>F2839*12%</f>
        <v/>
      </c>
      <c r="H2839" s="13">
        <f>IF(A2839="",0,B2839*(92*IF(OR(C2839=Options!$B$9,C2839=Options!$B$10),75%,100%)-IF(C2839=DATE(2026,11,29),26+IF(Options!$B$8="是",23,0),0)-IF(C2839=DATE(2026,11,30),26,0)-IF(C2839=DATE(2026,12,1),64,0)-IF(C2839=DATE(2026,11,28),38,0)-IF(C2839=DATE(2026,12,2),26,0)))</f>
        <v/>
      </c>
      <c r="I2839" s="13">
        <f>IF(AND(C2839&gt;=DATE(2026,11,29),C2839&lt;=DATE(2026,12,1)),B2839*60,0)</f>
        <v/>
      </c>
      <c r="J2839" s="13">
        <f>IF(A2839="",0,B2839*(IF(C2839=DATE(2026,11,28),38,0)+IF(C2839=DATE(2026,12,1),38,0)+IF(C2839=DATE(2026,12,2),26,0)))</f>
        <v/>
      </c>
      <c r="K2839" s="13">
        <f>IF(C2839=Options!$B$9,B2839*12,0)</f>
        <v/>
      </c>
      <c r="L2839" s="13">
        <f>IF(C2839=Options!$B$9,B2839*Options!$Z$8,0)</f>
        <v/>
      </c>
      <c r="M2839" s="13" t="n">
        <v>0</v>
      </c>
      <c r="N2839" s="13">
        <f>SUM(E2839:M2839)</f>
        <v/>
      </c>
    </row>
    <row r="2840">
      <c r="A2840" s="5">
        <f>IF(AND(C2840&gt;=Options!$B$9,C2840&lt;=Options!$B$10),"Boston","")</f>
        <v/>
      </c>
      <c r="B2840" s="5">
        <f>IF(A2840="","",24)</f>
        <v/>
      </c>
      <c r="C2840" s="17" t="n">
        <v>46576</v>
      </c>
      <c r="D2840" s="5">
        <f>IF(A2840="","",IF(C2840=DATE(2026,11,29),"培训；注册午餐；早餐参数",IF(C2840=DATE(2026,11,30),"培训；注册午餐",IF(C2840=DATE(2026,12,1),"培训；注册午餐；机构晚餐",IF(C2840=Options!$B$9,"抵达；"&amp;IF(C2840=DATE(2026,11,28),"机构晚餐","无统一供餐"),IF(C2840=Options!$B$10,"返程；"&amp;IF(C2840=DATE(2026,12,2),"机构午餐","无统一供餐"),"差旅状态；无统一日程"))))))</f>
        <v/>
      </c>
      <c r="E2840" s="13">
        <f>IF(C2840=Options!$B$9,Options!$C$21,0)</f>
        <v/>
      </c>
      <c r="F2840" s="13">
        <f>IF(AND(A2840&lt;&gt;"",C2840&lt;Options!$B$10),B2840*Options!$X$8,0)</f>
        <v/>
      </c>
      <c r="G2840" s="13">
        <f>F2840*12%</f>
        <v/>
      </c>
      <c r="H2840" s="13">
        <f>IF(A2840="",0,B2840*(92*IF(OR(C2840=Options!$B$9,C2840=Options!$B$10),75%,100%)-IF(C2840=DATE(2026,11,29),26+IF(Options!$B$8="是",23,0),0)-IF(C2840=DATE(2026,11,30),26,0)-IF(C2840=DATE(2026,12,1),64,0)-IF(C2840=DATE(2026,11,28),38,0)-IF(C2840=DATE(2026,12,2),26,0)))</f>
        <v/>
      </c>
      <c r="I2840" s="13">
        <f>IF(AND(C2840&gt;=DATE(2026,11,29),C2840&lt;=DATE(2026,12,1)),B2840*60,0)</f>
        <v/>
      </c>
      <c r="J2840" s="13">
        <f>IF(A2840="",0,B2840*(IF(C2840=DATE(2026,11,28),38,0)+IF(C2840=DATE(2026,12,1),38,0)+IF(C2840=DATE(2026,12,2),26,0)))</f>
        <v/>
      </c>
      <c r="K2840" s="13">
        <f>IF(C2840=Options!$B$9,B2840*12,0)</f>
        <v/>
      </c>
      <c r="L2840" s="13">
        <f>IF(C2840=Options!$B$9,B2840*Options!$Z$8,0)</f>
        <v/>
      </c>
      <c r="M2840" s="13" t="n">
        <v>0</v>
      </c>
      <c r="N2840" s="13">
        <f>SUM(E2840:M2840)</f>
        <v/>
      </c>
    </row>
    <row r="2841">
      <c r="A2841" s="5">
        <f>IF(AND(C2841&gt;=Options!$B$9,C2841&lt;=Options!$B$10),"Boston","")</f>
        <v/>
      </c>
      <c r="B2841" s="5">
        <f>IF(A2841="","",24)</f>
        <v/>
      </c>
      <c r="C2841" s="17" t="n">
        <v>46577</v>
      </c>
      <c r="D2841" s="5">
        <f>IF(A2841="","",IF(C2841=DATE(2026,11,29),"培训；注册午餐；早餐参数",IF(C2841=DATE(2026,11,30),"培训；注册午餐",IF(C2841=DATE(2026,12,1),"培训；注册午餐；机构晚餐",IF(C2841=Options!$B$9,"抵达；"&amp;IF(C2841=DATE(2026,11,28),"机构晚餐","无统一供餐"),IF(C2841=Options!$B$10,"返程；"&amp;IF(C2841=DATE(2026,12,2),"机构午餐","无统一供餐"),"差旅状态；无统一日程"))))))</f>
        <v/>
      </c>
      <c r="E2841" s="13">
        <f>IF(C2841=Options!$B$9,Options!$C$21,0)</f>
        <v/>
      </c>
      <c r="F2841" s="13">
        <f>IF(AND(A2841&lt;&gt;"",C2841&lt;Options!$B$10),B2841*Options!$X$8,0)</f>
        <v/>
      </c>
      <c r="G2841" s="13">
        <f>F2841*12%</f>
        <v/>
      </c>
      <c r="H2841" s="13">
        <f>IF(A2841="",0,B2841*(92*IF(OR(C2841=Options!$B$9,C2841=Options!$B$10),75%,100%)-IF(C2841=DATE(2026,11,29),26+IF(Options!$B$8="是",23,0),0)-IF(C2841=DATE(2026,11,30),26,0)-IF(C2841=DATE(2026,12,1),64,0)-IF(C2841=DATE(2026,11,28),38,0)-IF(C2841=DATE(2026,12,2),26,0)))</f>
        <v/>
      </c>
      <c r="I2841" s="13">
        <f>IF(AND(C2841&gt;=DATE(2026,11,29),C2841&lt;=DATE(2026,12,1)),B2841*60,0)</f>
        <v/>
      </c>
      <c r="J2841" s="13">
        <f>IF(A2841="",0,B2841*(IF(C2841=DATE(2026,11,28),38,0)+IF(C2841=DATE(2026,12,1),38,0)+IF(C2841=DATE(2026,12,2),26,0)))</f>
        <v/>
      </c>
      <c r="K2841" s="13">
        <f>IF(C2841=Options!$B$9,B2841*12,0)</f>
        <v/>
      </c>
      <c r="L2841" s="13">
        <f>IF(C2841=Options!$B$9,B2841*Options!$Z$8,0)</f>
        <v/>
      </c>
      <c r="M2841" s="13" t="n">
        <v>0</v>
      </c>
      <c r="N2841" s="13">
        <f>SUM(E2841:M2841)</f>
        <v/>
      </c>
    </row>
    <row r="2842">
      <c r="A2842" s="5">
        <f>IF(AND(C2842&gt;=Options!$B$9,C2842&lt;=Options!$B$10),"Boston","")</f>
        <v/>
      </c>
      <c r="B2842" s="5">
        <f>IF(A2842="","",24)</f>
        <v/>
      </c>
      <c r="C2842" s="17" t="n">
        <v>46578</v>
      </c>
      <c r="D2842" s="5">
        <f>IF(A2842="","",IF(C2842=DATE(2026,11,29),"培训；注册午餐；早餐参数",IF(C2842=DATE(2026,11,30),"培训；注册午餐",IF(C2842=DATE(2026,12,1),"培训；注册午餐；机构晚餐",IF(C2842=Options!$B$9,"抵达；"&amp;IF(C2842=DATE(2026,11,28),"机构晚餐","无统一供餐"),IF(C2842=Options!$B$10,"返程；"&amp;IF(C2842=DATE(2026,12,2),"机构午餐","无统一供餐"),"差旅状态；无统一日程"))))))</f>
        <v/>
      </c>
      <c r="E2842" s="13">
        <f>IF(C2842=Options!$B$9,Options!$C$21,0)</f>
        <v/>
      </c>
      <c r="F2842" s="13">
        <f>IF(AND(A2842&lt;&gt;"",C2842&lt;Options!$B$10),B2842*Options!$X$8,0)</f>
        <v/>
      </c>
      <c r="G2842" s="13">
        <f>F2842*12%</f>
        <v/>
      </c>
      <c r="H2842" s="13">
        <f>IF(A2842="",0,B2842*(92*IF(OR(C2842=Options!$B$9,C2842=Options!$B$10),75%,100%)-IF(C2842=DATE(2026,11,29),26+IF(Options!$B$8="是",23,0),0)-IF(C2842=DATE(2026,11,30),26,0)-IF(C2842=DATE(2026,12,1),64,0)-IF(C2842=DATE(2026,11,28),38,0)-IF(C2842=DATE(2026,12,2),26,0)))</f>
        <v/>
      </c>
      <c r="I2842" s="13">
        <f>IF(AND(C2842&gt;=DATE(2026,11,29),C2842&lt;=DATE(2026,12,1)),B2842*60,0)</f>
        <v/>
      </c>
      <c r="J2842" s="13">
        <f>IF(A2842="",0,B2842*(IF(C2842=DATE(2026,11,28),38,0)+IF(C2842=DATE(2026,12,1),38,0)+IF(C2842=DATE(2026,12,2),26,0)))</f>
        <v/>
      </c>
      <c r="K2842" s="13">
        <f>IF(C2842=Options!$B$9,B2842*12,0)</f>
        <v/>
      </c>
      <c r="L2842" s="13">
        <f>IF(C2842=Options!$B$9,B2842*Options!$Z$8,0)</f>
        <v/>
      </c>
      <c r="M2842" s="13" t="n">
        <v>0</v>
      </c>
      <c r="N2842" s="13">
        <f>SUM(E2842:M2842)</f>
        <v/>
      </c>
    </row>
    <row r="2843">
      <c r="A2843" s="5">
        <f>IF(AND(C2843&gt;=Options!$B$9,C2843&lt;=Options!$B$10),"Boston","")</f>
        <v/>
      </c>
      <c r="B2843" s="5">
        <f>IF(A2843="","",24)</f>
        <v/>
      </c>
      <c r="C2843" s="17" t="n">
        <v>46579</v>
      </c>
      <c r="D2843" s="5">
        <f>IF(A2843="","",IF(C2843=DATE(2026,11,29),"培训；注册午餐；早餐参数",IF(C2843=DATE(2026,11,30),"培训；注册午餐",IF(C2843=DATE(2026,12,1),"培训；注册午餐；机构晚餐",IF(C2843=Options!$B$9,"抵达；"&amp;IF(C2843=DATE(2026,11,28),"机构晚餐","无统一供餐"),IF(C2843=Options!$B$10,"返程；"&amp;IF(C2843=DATE(2026,12,2),"机构午餐","无统一供餐"),"差旅状态；无统一日程"))))))</f>
        <v/>
      </c>
      <c r="E2843" s="13">
        <f>IF(C2843=Options!$B$9,Options!$C$21,0)</f>
        <v/>
      </c>
      <c r="F2843" s="13">
        <f>IF(AND(A2843&lt;&gt;"",C2843&lt;Options!$B$10),B2843*Options!$X$8,0)</f>
        <v/>
      </c>
      <c r="G2843" s="13">
        <f>F2843*12%</f>
        <v/>
      </c>
      <c r="H2843" s="13">
        <f>IF(A2843="",0,B2843*(92*IF(OR(C2843=Options!$B$9,C2843=Options!$B$10),75%,100%)-IF(C2843=DATE(2026,11,29),26+IF(Options!$B$8="是",23,0),0)-IF(C2843=DATE(2026,11,30),26,0)-IF(C2843=DATE(2026,12,1),64,0)-IF(C2843=DATE(2026,11,28),38,0)-IF(C2843=DATE(2026,12,2),26,0)))</f>
        <v/>
      </c>
      <c r="I2843" s="13">
        <f>IF(AND(C2843&gt;=DATE(2026,11,29),C2843&lt;=DATE(2026,12,1)),B2843*60,0)</f>
        <v/>
      </c>
      <c r="J2843" s="13">
        <f>IF(A2843="",0,B2843*(IF(C2843=DATE(2026,11,28),38,0)+IF(C2843=DATE(2026,12,1),38,0)+IF(C2843=DATE(2026,12,2),26,0)))</f>
        <v/>
      </c>
      <c r="K2843" s="13">
        <f>IF(C2843=Options!$B$9,B2843*12,0)</f>
        <v/>
      </c>
      <c r="L2843" s="13">
        <f>IF(C2843=Options!$B$9,B2843*Options!$Z$8,0)</f>
        <v/>
      </c>
      <c r="M2843" s="13" t="n">
        <v>0</v>
      </c>
      <c r="N2843" s="13">
        <f>SUM(E2843:M2843)</f>
        <v/>
      </c>
    </row>
    <row r="2844">
      <c r="A2844" s="5">
        <f>IF(AND(C2844&gt;=Options!$B$9,C2844&lt;=Options!$B$10),"Boston","")</f>
        <v/>
      </c>
      <c r="B2844" s="5">
        <f>IF(A2844="","",24)</f>
        <v/>
      </c>
      <c r="C2844" s="17" t="n">
        <v>46580</v>
      </c>
      <c r="D2844" s="5">
        <f>IF(A2844="","",IF(C2844=DATE(2026,11,29),"培训；注册午餐；早餐参数",IF(C2844=DATE(2026,11,30),"培训；注册午餐",IF(C2844=DATE(2026,12,1),"培训；注册午餐；机构晚餐",IF(C2844=Options!$B$9,"抵达；"&amp;IF(C2844=DATE(2026,11,28),"机构晚餐","无统一供餐"),IF(C2844=Options!$B$10,"返程；"&amp;IF(C2844=DATE(2026,12,2),"机构午餐","无统一供餐"),"差旅状态；无统一日程"))))))</f>
        <v/>
      </c>
      <c r="E2844" s="13">
        <f>IF(C2844=Options!$B$9,Options!$C$21,0)</f>
        <v/>
      </c>
      <c r="F2844" s="13">
        <f>IF(AND(A2844&lt;&gt;"",C2844&lt;Options!$B$10),B2844*Options!$X$8,0)</f>
        <v/>
      </c>
      <c r="G2844" s="13">
        <f>F2844*12%</f>
        <v/>
      </c>
      <c r="H2844" s="13">
        <f>IF(A2844="",0,B2844*(92*IF(OR(C2844=Options!$B$9,C2844=Options!$B$10),75%,100%)-IF(C2844=DATE(2026,11,29),26+IF(Options!$B$8="是",23,0),0)-IF(C2844=DATE(2026,11,30),26,0)-IF(C2844=DATE(2026,12,1),64,0)-IF(C2844=DATE(2026,11,28),38,0)-IF(C2844=DATE(2026,12,2),26,0)))</f>
        <v/>
      </c>
      <c r="I2844" s="13">
        <f>IF(AND(C2844&gt;=DATE(2026,11,29),C2844&lt;=DATE(2026,12,1)),B2844*60,0)</f>
        <v/>
      </c>
      <c r="J2844" s="13">
        <f>IF(A2844="",0,B2844*(IF(C2844=DATE(2026,11,28),38,0)+IF(C2844=DATE(2026,12,1),38,0)+IF(C2844=DATE(2026,12,2),26,0)))</f>
        <v/>
      </c>
      <c r="K2844" s="13">
        <f>IF(C2844=Options!$B$9,B2844*12,0)</f>
        <v/>
      </c>
      <c r="L2844" s="13">
        <f>IF(C2844=Options!$B$9,B2844*Options!$Z$8,0)</f>
        <v/>
      </c>
      <c r="M2844" s="13" t="n">
        <v>0</v>
      </c>
      <c r="N2844" s="13">
        <f>SUM(E2844:M2844)</f>
        <v/>
      </c>
    </row>
    <row r="2845">
      <c r="A2845" s="5">
        <f>IF(AND(C2845&gt;=Options!$B$9,C2845&lt;=Options!$B$10),"Boston","")</f>
        <v/>
      </c>
      <c r="B2845" s="5">
        <f>IF(A2845="","",24)</f>
        <v/>
      </c>
      <c r="C2845" s="17" t="n">
        <v>46581</v>
      </c>
      <c r="D2845" s="5">
        <f>IF(A2845="","",IF(C2845=DATE(2026,11,29),"培训；注册午餐；早餐参数",IF(C2845=DATE(2026,11,30),"培训；注册午餐",IF(C2845=DATE(2026,12,1),"培训；注册午餐；机构晚餐",IF(C2845=Options!$B$9,"抵达；"&amp;IF(C2845=DATE(2026,11,28),"机构晚餐","无统一供餐"),IF(C2845=Options!$B$10,"返程；"&amp;IF(C2845=DATE(2026,12,2),"机构午餐","无统一供餐"),"差旅状态；无统一日程"))))))</f>
        <v/>
      </c>
      <c r="E2845" s="13">
        <f>IF(C2845=Options!$B$9,Options!$C$21,0)</f>
        <v/>
      </c>
      <c r="F2845" s="13">
        <f>IF(AND(A2845&lt;&gt;"",C2845&lt;Options!$B$10),B2845*Options!$X$8,0)</f>
        <v/>
      </c>
      <c r="G2845" s="13">
        <f>F2845*12%</f>
        <v/>
      </c>
      <c r="H2845" s="13">
        <f>IF(A2845="",0,B2845*(92*IF(OR(C2845=Options!$B$9,C2845=Options!$B$10),75%,100%)-IF(C2845=DATE(2026,11,29),26+IF(Options!$B$8="是",23,0),0)-IF(C2845=DATE(2026,11,30),26,0)-IF(C2845=DATE(2026,12,1),64,0)-IF(C2845=DATE(2026,11,28),38,0)-IF(C2845=DATE(2026,12,2),26,0)))</f>
        <v/>
      </c>
      <c r="I2845" s="13">
        <f>IF(AND(C2845&gt;=DATE(2026,11,29),C2845&lt;=DATE(2026,12,1)),B2845*60,0)</f>
        <v/>
      </c>
      <c r="J2845" s="13">
        <f>IF(A2845="",0,B2845*(IF(C2845=DATE(2026,11,28),38,0)+IF(C2845=DATE(2026,12,1),38,0)+IF(C2845=DATE(2026,12,2),26,0)))</f>
        <v/>
      </c>
      <c r="K2845" s="13">
        <f>IF(C2845=Options!$B$9,B2845*12,0)</f>
        <v/>
      </c>
      <c r="L2845" s="13">
        <f>IF(C2845=Options!$B$9,B2845*Options!$Z$8,0)</f>
        <v/>
      </c>
      <c r="M2845" s="13" t="n">
        <v>0</v>
      </c>
      <c r="N2845" s="13">
        <f>SUM(E2845:M2845)</f>
        <v/>
      </c>
    </row>
    <row r="2846">
      <c r="A2846" s="5">
        <f>IF(AND(C2846&gt;=Options!$B$9,C2846&lt;=Options!$B$10),"Boston","")</f>
        <v/>
      </c>
      <c r="B2846" s="5">
        <f>IF(A2846="","",24)</f>
        <v/>
      </c>
      <c r="C2846" s="17" t="n">
        <v>46582</v>
      </c>
      <c r="D2846" s="5">
        <f>IF(A2846="","",IF(C2846=DATE(2026,11,29),"培训；注册午餐；早餐参数",IF(C2846=DATE(2026,11,30),"培训；注册午餐",IF(C2846=DATE(2026,12,1),"培训；注册午餐；机构晚餐",IF(C2846=Options!$B$9,"抵达；"&amp;IF(C2846=DATE(2026,11,28),"机构晚餐","无统一供餐"),IF(C2846=Options!$B$10,"返程；"&amp;IF(C2846=DATE(2026,12,2),"机构午餐","无统一供餐"),"差旅状态；无统一日程"))))))</f>
        <v/>
      </c>
      <c r="E2846" s="13">
        <f>IF(C2846=Options!$B$9,Options!$C$21,0)</f>
        <v/>
      </c>
      <c r="F2846" s="13">
        <f>IF(AND(A2846&lt;&gt;"",C2846&lt;Options!$B$10),B2846*Options!$X$8,0)</f>
        <v/>
      </c>
      <c r="G2846" s="13">
        <f>F2846*12%</f>
        <v/>
      </c>
      <c r="H2846" s="13">
        <f>IF(A2846="",0,B2846*(92*IF(OR(C2846=Options!$B$9,C2846=Options!$B$10),75%,100%)-IF(C2846=DATE(2026,11,29),26+IF(Options!$B$8="是",23,0),0)-IF(C2846=DATE(2026,11,30),26,0)-IF(C2846=DATE(2026,12,1),64,0)-IF(C2846=DATE(2026,11,28),38,0)-IF(C2846=DATE(2026,12,2),26,0)))</f>
        <v/>
      </c>
      <c r="I2846" s="13">
        <f>IF(AND(C2846&gt;=DATE(2026,11,29),C2846&lt;=DATE(2026,12,1)),B2846*60,0)</f>
        <v/>
      </c>
      <c r="J2846" s="13">
        <f>IF(A2846="",0,B2846*(IF(C2846=DATE(2026,11,28),38,0)+IF(C2846=DATE(2026,12,1),38,0)+IF(C2846=DATE(2026,12,2),26,0)))</f>
        <v/>
      </c>
      <c r="K2846" s="13">
        <f>IF(C2846=Options!$B$9,B2846*12,0)</f>
        <v/>
      </c>
      <c r="L2846" s="13">
        <f>IF(C2846=Options!$B$9,B2846*Options!$Z$8,0)</f>
        <v/>
      </c>
      <c r="M2846" s="13" t="n">
        <v>0</v>
      </c>
      <c r="N2846" s="13">
        <f>SUM(E2846:M2846)</f>
        <v/>
      </c>
    </row>
    <row r="2847">
      <c r="A2847" s="5">
        <f>IF(AND(C2847&gt;=Options!$B$9,C2847&lt;=Options!$B$10),"Boston","")</f>
        <v/>
      </c>
      <c r="B2847" s="5">
        <f>IF(A2847="","",24)</f>
        <v/>
      </c>
      <c r="C2847" s="17" t="n">
        <v>46583</v>
      </c>
      <c r="D2847" s="5">
        <f>IF(A2847="","",IF(C2847=DATE(2026,11,29),"培训；注册午餐；早餐参数",IF(C2847=DATE(2026,11,30),"培训；注册午餐",IF(C2847=DATE(2026,12,1),"培训；注册午餐；机构晚餐",IF(C2847=Options!$B$9,"抵达；"&amp;IF(C2847=DATE(2026,11,28),"机构晚餐","无统一供餐"),IF(C2847=Options!$B$10,"返程；"&amp;IF(C2847=DATE(2026,12,2),"机构午餐","无统一供餐"),"差旅状态；无统一日程"))))))</f>
        <v/>
      </c>
      <c r="E2847" s="13">
        <f>IF(C2847=Options!$B$9,Options!$C$21,0)</f>
        <v/>
      </c>
      <c r="F2847" s="13">
        <f>IF(AND(A2847&lt;&gt;"",C2847&lt;Options!$B$10),B2847*Options!$X$8,0)</f>
        <v/>
      </c>
      <c r="G2847" s="13">
        <f>F2847*12%</f>
        <v/>
      </c>
      <c r="H2847" s="13">
        <f>IF(A2847="",0,B2847*(92*IF(OR(C2847=Options!$B$9,C2847=Options!$B$10),75%,100%)-IF(C2847=DATE(2026,11,29),26+IF(Options!$B$8="是",23,0),0)-IF(C2847=DATE(2026,11,30),26,0)-IF(C2847=DATE(2026,12,1),64,0)-IF(C2847=DATE(2026,11,28),38,0)-IF(C2847=DATE(2026,12,2),26,0)))</f>
        <v/>
      </c>
      <c r="I2847" s="13">
        <f>IF(AND(C2847&gt;=DATE(2026,11,29),C2847&lt;=DATE(2026,12,1)),B2847*60,0)</f>
        <v/>
      </c>
      <c r="J2847" s="13">
        <f>IF(A2847="",0,B2847*(IF(C2847=DATE(2026,11,28),38,0)+IF(C2847=DATE(2026,12,1),38,0)+IF(C2847=DATE(2026,12,2),26,0)))</f>
        <v/>
      </c>
      <c r="K2847" s="13">
        <f>IF(C2847=Options!$B$9,B2847*12,0)</f>
        <v/>
      </c>
      <c r="L2847" s="13">
        <f>IF(C2847=Options!$B$9,B2847*Options!$Z$8,0)</f>
        <v/>
      </c>
      <c r="M2847" s="13" t="n">
        <v>0</v>
      </c>
      <c r="N2847" s="13">
        <f>SUM(E2847:M2847)</f>
        <v/>
      </c>
    </row>
    <row r="2848">
      <c r="A2848" s="5">
        <f>IF(AND(C2848&gt;=Options!$B$9,C2848&lt;=Options!$B$10),"Boston","")</f>
        <v/>
      </c>
      <c r="B2848" s="5">
        <f>IF(A2848="","",24)</f>
        <v/>
      </c>
      <c r="C2848" s="17" t="n">
        <v>46584</v>
      </c>
      <c r="D2848" s="5">
        <f>IF(A2848="","",IF(C2848=DATE(2026,11,29),"培训；注册午餐；早餐参数",IF(C2848=DATE(2026,11,30),"培训；注册午餐",IF(C2848=DATE(2026,12,1),"培训；注册午餐；机构晚餐",IF(C2848=Options!$B$9,"抵达；"&amp;IF(C2848=DATE(2026,11,28),"机构晚餐","无统一供餐"),IF(C2848=Options!$B$10,"返程；"&amp;IF(C2848=DATE(2026,12,2),"机构午餐","无统一供餐"),"差旅状态；无统一日程"))))))</f>
        <v/>
      </c>
      <c r="E2848" s="13">
        <f>IF(C2848=Options!$B$9,Options!$C$21,0)</f>
        <v/>
      </c>
      <c r="F2848" s="13">
        <f>IF(AND(A2848&lt;&gt;"",C2848&lt;Options!$B$10),B2848*Options!$X$8,0)</f>
        <v/>
      </c>
      <c r="G2848" s="13">
        <f>F2848*12%</f>
        <v/>
      </c>
      <c r="H2848" s="13">
        <f>IF(A2848="",0,B2848*(92*IF(OR(C2848=Options!$B$9,C2848=Options!$B$10),75%,100%)-IF(C2848=DATE(2026,11,29),26+IF(Options!$B$8="是",23,0),0)-IF(C2848=DATE(2026,11,30),26,0)-IF(C2848=DATE(2026,12,1),64,0)-IF(C2848=DATE(2026,11,28),38,0)-IF(C2848=DATE(2026,12,2),26,0)))</f>
        <v/>
      </c>
      <c r="I2848" s="13">
        <f>IF(AND(C2848&gt;=DATE(2026,11,29),C2848&lt;=DATE(2026,12,1)),B2848*60,0)</f>
        <v/>
      </c>
      <c r="J2848" s="13">
        <f>IF(A2848="",0,B2848*(IF(C2848=DATE(2026,11,28),38,0)+IF(C2848=DATE(2026,12,1),38,0)+IF(C2848=DATE(2026,12,2),26,0)))</f>
        <v/>
      </c>
      <c r="K2848" s="13">
        <f>IF(C2848=Options!$B$9,B2848*12,0)</f>
        <v/>
      </c>
      <c r="L2848" s="13">
        <f>IF(C2848=Options!$B$9,B2848*Options!$Z$8,0)</f>
        <v/>
      </c>
      <c r="M2848" s="13" t="n">
        <v>0</v>
      </c>
      <c r="N2848" s="13">
        <f>SUM(E2848:M2848)</f>
        <v/>
      </c>
    </row>
    <row r="2849">
      <c r="A2849" s="5">
        <f>IF(AND(C2849&gt;=Options!$B$9,C2849&lt;=Options!$B$10),"Boston","")</f>
        <v/>
      </c>
      <c r="B2849" s="5">
        <f>IF(A2849="","",24)</f>
        <v/>
      </c>
      <c r="C2849" s="17" t="n">
        <v>46585</v>
      </c>
      <c r="D2849" s="5">
        <f>IF(A2849="","",IF(C2849=DATE(2026,11,29),"培训；注册午餐；早餐参数",IF(C2849=DATE(2026,11,30),"培训；注册午餐",IF(C2849=DATE(2026,12,1),"培训；注册午餐；机构晚餐",IF(C2849=Options!$B$9,"抵达；"&amp;IF(C2849=DATE(2026,11,28),"机构晚餐","无统一供餐"),IF(C2849=Options!$B$10,"返程；"&amp;IF(C2849=DATE(2026,12,2),"机构午餐","无统一供餐"),"差旅状态；无统一日程"))))))</f>
        <v/>
      </c>
      <c r="E2849" s="13">
        <f>IF(C2849=Options!$B$9,Options!$C$21,0)</f>
        <v/>
      </c>
      <c r="F2849" s="13">
        <f>IF(AND(A2849&lt;&gt;"",C2849&lt;Options!$B$10),B2849*Options!$X$8,0)</f>
        <v/>
      </c>
      <c r="G2849" s="13">
        <f>F2849*12%</f>
        <v/>
      </c>
      <c r="H2849" s="13">
        <f>IF(A2849="",0,B2849*(92*IF(OR(C2849=Options!$B$9,C2849=Options!$B$10),75%,100%)-IF(C2849=DATE(2026,11,29),26+IF(Options!$B$8="是",23,0),0)-IF(C2849=DATE(2026,11,30),26,0)-IF(C2849=DATE(2026,12,1),64,0)-IF(C2849=DATE(2026,11,28),38,0)-IF(C2849=DATE(2026,12,2),26,0)))</f>
        <v/>
      </c>
      <c r="I2849" s="13">
        <f>IF(AND(C2849&gt;=DATE(2026,11,29),C2849&lt;=DATE(2026,12,1)),B2849*60,0)</f>
        <v/>
      </c>
      <c r="J2849" s="13">
        <f>IF(A2849="",0,B2849*(IF(C2849=DATE(2026,11,28),38,0)+IF(C2849=DATE(2026,12,1),38,0)+IF(C2849=DATE(2026,12,2),26,0)))</f>
        <v/>
      </c>
      <c r="K2849" s="13">
        <f>IF(C2849=Options!$B$9,B2849*12,0)</f>
        <v/>
      </c>
      <c r="L2849" s="13">
        <f>IF(C2849=Options!$B$9,B2849*Options!$Z$8,0)</f>
        <v/>
      </c>
      <c r="M2849" s="13" t="n">
        <v>0</v>
      </c>
      <c r="N2849" s="13">
        <f>SUM(E2849:M2849)</f>
        <v/>
      </c>
    </row>
    <row r="2850">
      <c r="A2850" s="5">
        <f>IF(AND(C2850&gt;=Options!$B$9,C2850&lt;=Options!$B$10),"Boston","")</f>
        <v/>
      </c>
      <c r="B2850" s="5">
        <f>IF(A2850="","",24)</f>
        <v/>
      </c>
      <c r="C2850" s="17" t="n">
        <v>46586</v>
      </c>
      <c r="D2850" s="5">
        <f>IF(A2850="","",IF(C2850=DATE(2026,11,29),"培训；注册午餐；早餐参数",IF(C2850=DATE(2026,11,30),"培训；注册午餐",IF(C2850=DATE(2026,12,1),"培训；注册午餐；机构晚餐",IF(C2850=Options!$B$9,"抵达；"&amp;IF(C2850=DATE(2026,11,28),"机构晚餐","无统一供餐"),IF(C2850=Options!$B$10,"返程；"&amp;IF(C2850=DATE(2026,12,2),"机构午餐","无统一供餐"),"差旅状态；无统一日程"))))))</f>
        <v/>
      </c>
      <c r="E2850" s="13">
        <f>IF(C2850=Options!$B$9,Options!$C$21,0)</f>
        <v/>
      </c>
      <c r="F2850" s="13">
        <f>IF(AND(A2850&lt;&gt;"",C2850&lt;Options!$B$10),B2850*Options!$X$8,0)</f>
        <v/>
      </c>
      <c r="G2850" s="13">
        <f>F2850*12%</f>
        <v/>
      </c>
      <c r="H2850" s="13">
        <f>IF(A2850="",0,B2850*(92*IF(OR(C2850=Options!$B$9,C2850=Options!$B$10),75%,100%)-IF(C2850=DATE(2026,11,29),26+IF(Options!$B$8="是",23,0),0)-IF(C2850=DATE(2026,11,30),26,0)-IF(C2850=DATE(2026,12,1),64,0)-IF(C2850=DATE(2026,11,28),38,0)-IF(C2850=DATE(2026,12,2),26,0)))</f>
        <v/>
      </c>
      <c r="I2850" s="13">
        <f>IF(AND(C2850&gt;=DATE(2026,11,29),C2850&lt;=DATE(2026,12,1)),B2850*60,0)</f>
        <v/>
      </c>
      <c r="J2850" s="13">
        <f>IF(A2850="",0,B2850*(IF(C2850=DATE(2026,11,28),38,0)+IF(C2850=DATE(2026,12,1),38,0)+IF(C2850=DATE(2026,12,2),26,0)))</f>
        <v/>
      </c>
      <c r="K2850" s="13">
        <f>IF(C2850=Options!$B$9,B2850*12,0)</f>
        <v/>
      </c>
      <c r="L2850" s="13">
        <f>IF(C2850=Options!$B$9,B2850*Options!$Z$8,0)</f>
        <v/>
      </c>
      <c r="M2850" s="13" t="n">
        <v>0</v>
      </c>
      <c r="N2850" s="13">
        <f>SUM(E2850:M2850)</f>
        <v/>
      </c>
    </row>
    <row r="2851">
      <c r="A2851" s="5">
        <f>IF(AND(C2851&gt;=Options!$B$9,C2851&lt;=Options!$B$10),"Boston","")</f>
        <v/>
      </c>
      <c r="B2851" s="5">
        <f>IF(A2851="","",24)</f>
        <v/>
      </c>
      <c r="C2851" s="17" t="n">
        <v>46587</v>
      </c>
      <c r="D2851" s="5">
        <f>IF(A2851="","",IF(C2851=DATE(2026,11,29),"培训；注册午餐；早餐参数",IF(C2851=DATE(2026,11,30),"培训；注册午餐",IF(C2851=DATE(2026,12,1),"培训；注册午餐；机构晚餐",IF(C2851=Options!$B$9,"抵达；"&amp;IF(C2851=DATE(2026,11,28),"机构晚餐","无统一供餐"),IF(C2851=Options!$B$10,"返程；"&amp;IF(C2851=DATE(2026,12,2),"机构午餐","无统一供餐"),"差旅状态；无统一日程"))))))</f>
        <v/>
      </c>
      <c r="E2851" s="13">
        <f>IF(C2851=Options!$B$9,Options!$C$21,0)</f>
        <v/>
      </c>
      <c r="F2851" s="13">
        <f>IF(AND(A2851&lt;&gt;"",C2851&lt;Options!$B$10),B2851*Options!$X$8,0)</f>
        <v/>
      </c>
      <c r="G2851" s="13">
        <f>F2851*12%</f>
        <v/>
      </c>
      <c r="H2851" s="13">
        <f>IF(A2851="",0,B2851*(92*IF(OR(C2851=Options!$B$9,C2851=Options!$B$10),75%,100%)-IF(C2851=DATE(2026,11,29),26+IF(Options!$B$8="是",23,0),0)-IF(C2851=DATE(2026,11,30),26,0)-IF(C2851=DATE(2026,12,1),64,0)-IF(C2851=DATE(2026,11,28),38,0)-IF(C2851=DATE(2026,12,2),26,0)))</f>
        <v/>
      </c>
      <c r="I2851" s="13">
        <f>IF(AND(C2851&gt;=DATE(2026,11,29),C2851&lt;=DATE(2026,12,1)),B2851*60,0)</f>
        <v/>
      </c>
      <c r="J2851" s="13">
        <f>IF(A2851="",0,B2851*(IF(C2851=DATE(2026,11,28),38,0)+IF(C2851=DATE(2026,12,1),38,0)+IF(C2851=DATE(2026,12,2),26,0)))</f>
        <v/>
      </c>
      <c r="K2851" s="13">
        <f>IF(C2851=Options!$B$9,B2851*12,0)</f>
        <v/>
      </c>
      <c r="L2851" s="13">
        <f>IF(C2851=Options!$B$9,B2851*Options!$Z$8,0)</f>
        <v/>
      </c>
      <c r="M2851" s="13" t="n">
        <v>0</v>
      </c>
      <c r="N2851" s="13">
        <f>SUM(E2851:M2851)</f>
        <v/>
      </c>
    </row>
    <row r="2852">
      <c r="A2852" s="5">
        <f>IF(AND(C2852&gt;=Options!$B$9,C2852&lt;=Options!$B$10),"Boston","")</f>
        <v/>
      </c>
      <c r="B2852" s="5">
        <f>IF(A2852="","",24)</f>
        <v/>
      </c>
      <c r="C2852" s="17" t="n">
        <v>46588</v>
      </c>
      <c r="D2852" s="5">
        <f>IF(A2852="","",IF(C2852=DATE(2026,11,29),"培训；注册午餐；早餐参数",IF(C2852=DATE(2026,11,30),"培训；注册午餐",IF(C2852=DATE(2026,12,1),"培训；注册午餐；机构晚餐",IF(C2852=Options!$B$9,"抵达；"&amp;IF(C2852=DATE(2026,11,28),"机构晚餐","无统一供餐"),IF(C2852=Options!$B$10,"返程；"&amp;IF(C2852=DATE(2026,12,2),"机构午餐","无统一供餐"),"差旅状态；无统一日程"))))))</f>
        <v/>
      </c>
      <c r="E2852" s="13">
        <f>IF(C2852=Options!$B$9,Options!$C$21,0)</f>
        <v/>
      </c>
      <c r="F2852" s="13">
        <f>IF(AND(A2852&lt;&gt;"",C2852&lt;Options!$B$10),B2852*Options!$X$8,0)</f>
        <v/>
      </c>
      <c r="G2852" s="13">
        <f>F2852*12%</f>
        <v/>
      </c>
      <c r="H2852" s="13">
        <f>IF(A2852="",0,B2852*(92*IF(OR(C2852=Options!$B$9,C2852=Options!$B$10),75%,100%)-IF(C2852=DATE(2026,11,29),26+IF(Options!$B$8="是",23,0),0)-IF(C2852=DATE(2026,11,30),26,0)-IF(C2852=DATE(2026,12,1),64,0)-IF(C2852=DATE(2026,11,28),38,0)-IF(C2852=DATE(2026,12,2),26,0)))</f>
        <v/>
      </c>
      <c r="I2852" s="13">
        <f>IF(AND(C2852&gt;=DATE(2026,11,29),C2852&lt;=DATE(2026,12,1)),B2852*60,0)</f>
        <v/>
      </c>
      <c r="J2852" s="13">
        <f>IF(A2852="",0,B2852*(IF(C2852=DATE(2026,11,28),38,0)+IF(C2852=DATE(2026,12,1),38,0)+IF(C2852=DATE(2026,12,2),26,0)))</f>
        <v/>
      </c>
      <c r="K2852" s="13">
        <f>IF(C2852=Options!$B$9,B2852*12,0)</f>
        <v/>
      </c>
      <c r="L2852" s="13">
        <f>IF(C2852=Options!$B$9,B2852*Options!$Z$8,0)</f>
        <v/>
      </c>
      <c r="M2852" s="13" t="n">
        <v>0</v>
      </c>
      <c r="N2852" s="13">
        <f>SUM(E2852:M2852)</f>
        <v/>
      </c>
    </row>
    <row r="2853">
      <c r="A2853" s="5">
        <f>IF(AND(C2853&gt;=Options!$B$9,C2853&lt;=Options!$B$10),"Boston","")</f>
        <v/>
      </c>
      <c r="B2853" s="5">
        <f>IF(A2853="","",24)</f>
        <v/>
      </c>
      <c r="C2853" s="17" t="n">
        <v>46589</v>
      </c>
      <c r="D2853" s="5">
        <f>IF(A2853="","",IF(C2853=DATE(2026,11,29),"培训；注册午餐；早餐参数",IF(C2853=DATE(2026,11,30),"培训；注册午餐",IF(C2853=DATE(2026,12,1),"培训；注册午餐；机构晚餐",IF(C2853=Options!$B$9,"抵达；"&amp;IF(C2853=DATE(2026,11,28),"机构晚餐","无统一供餐"),IF(C2853=Options!$B$10,"返程；"&amp;IF(C2853=DATE(2026,12,2),"机构午餐","无统一供餐"),"差旅状态；无统一日程"))))))</f>
        <v/>
      </c>
      <c r="E2853" s="13">
        <f>IF(C2853=Options!$B$9,Options!$C$21,0)</f>
        <v/>
      </c>
      <c r="F2853" s="13">
        <f>IF(AND(A2853&lt;&gt;"",C2853&lt;Options!$B$10),B2853*Options!$X$8,0)</f>
        <v/>
      </c>
      <c r="G2853" s="13">
        <f>F2853*12%</f>
        <v/>
      </c>
      <c r="H2853" s="13">
        <f>IF(A2853="",0,B2853*(92*IF(OR(C2853=Options!$B$9,C2853=Options!$B$10),75%,100%)-IF(C2853=DATE(2026,11,29),26+IF(Options!$B$8="是",23,0),0)-IF(C2853=DATE(2026,11,30),26,0)-IF(C2853=DATE(2026,12,1),64,0)-IF(C2853=DATE(2026,11,28),38,0)-IF(C2853=DATE(2026,12,2),26,0)))</f>
        <v/>
      </c>
      <c r="I2853" s="13">
        <f>IF(AND(C2853&gt;=DATE(2026,11,29),C2853&lt;=DATE(2026,12,1)),B2853*60,0)</f>
        <v/>
      </c>
      <c r="J2853" s="13">
        <f>IF(A2853="",0,B2853*(IF(C2853=DATE(2026,11,28),38,0)+IF(C2853=DATE(2026,12,1),38,0)+IF(C2853=DATE(2026,12,2),26,0)))</f>
        <v/>
      </c>
      <c r="K2853" s="13">
        <f>IF(C2853=Options!$B$9,B2853*12,0)</f>
        <v/>
      </c>
      <c r="L2853" s="13">
        <f>IF(C2853=Options!$B$9,B2853*Options!$Z$8,0)</f>
        <v/>
      </c>
      <c r="M2853" s="13" t="n">
        <v>0</v>
      </c>
      <c r="N2853" s="13">
        <f>SUM(E2853:M2853)</f>
        <v/>
      </c>
    </row>
    <row r="2854">
      <c r="A2854" s="5">
        <f>IF(AND(C2854&gt;=Options!$B$9,C2854&lt;=Options!$B$10),"Boston","")</f>
        <v/>
      </c>
      <c r="B2854" s="5">
        <f>IF(A2854="","",24)</f>
        <v/>
      </c>
      <c r="C2854" s="17" t="n">
        <v>46590</v>
      </c>
      <c r="D2854" s="5">
        <f>IF(A2854="","",IF(C2854=DATE(2026,11,29),"培训；注册午餐；早餐参数",IF(C2854=DATE(2026,11,30),"培训；注册午餐",IF(C2854=DATE(2026,12,1),"培训；注册午餐；机构晚餐",IF(C2854=Options!$B$9,"抵达；"&amp;IF(C2854=DATE(2026,11,28),"机构晚餐","无统一供餐"),IF(C2854=Options!$B$10,"返程；"&amp;IF(C2854=DATE(2026,12,2),"机构午餐","无统一供餐"),"差旅状态；无统一日程"))))))</f>
        <v/>
      </c>
      <c r="E2854" s="13">
        <f>IF(C2854=Options!$B$9,Options!$C$21,0)</f>
        <v/>
      </c>
      <c r="F2854" s="13">
        <f>IF(AND(A2854&lt;&gt;"",C2854&lt;Options!$B$10),B2854*Options!$X$8,0)</f>
        <v/>
      </c>
      <c r="G2854" s="13">
        <f>F2854*12%</f>
        <v/>
      </c>
      <c r="H2854" s="13">
        <f>IF(A2854="",0,B2854*(92*IF(OR(C2854=Options!$B$9,C2854=Options!$B$10),75%,100%)-IF(C2854=DATE(2026,11,29),26+IF(Options!$B$8="是",23,0),0)-IF(C2854=DATE(2026,11,30),26,0)-IF(C2854=DATE(2026,12,1),64,0)-IF(C2854=DATE(2026,11,28),38,0)-IF(C2854=DATE(2026,12,2),26,0)))</f>
        <v/>
      </c>
      <c r="I2854" s="13">
        <f>IF(AND(C2854&gt;=DATE(2026,11,29),C2854&lt;=DATE(2026,12,1)),B2854*60,0)</f>
        <v/>
      </c>
      <c r="J2854" s="13">
        <f>IF(A2854="",0,B2854*(IF(C2854=DATE(2026,11,28),38,0)+IF(C2854=DATE(2026,12,1),38,0)+IF(C2854=DATE(2026,12,2),26,0)))</f>
        <v/>
      </c>
      <c r="K2854" s="13">
        <f>IF(C2854=Options!$B$9,B2854*12,0)</f>
        <v/>
      </c>
      <c r="L2854" s="13">
        <f>IF(C2854=Options!$B$9,B2854*Options!$Z$8,0)</f>
        <v/>
      </c>
      <c r="M2854" s="13" t="n">
        <v>0</v>
      </c>
      <c r="N2854" s="13">
        <f>SUM(E2854:M2854)</f>
        <v/>
      </c>
    </row>
    <row r="2855">
      <c r="A2855" s="5">
        <f>IF(AND(C2855&gt;=Options!$B$9,C2855&lt;=Options!$B$10),"Boston","")</f>
        <v/>
      </c>
      <c r="B2855" s="5">
        <f>IF(A2855="","",24)</f>
        <v/>
      </c>
      <c r="C2855" s="17" t="n">
        <v>46591</v>
      </c>
      <c r="D2855" s="5">
        <f>IF(A2855="","",IF(C2855=DATE(2026,11,29),"培训；注册午餐；早餐参数",IF(C2855=DATE(2026,11,30),"培训；注册午餐",IF(C2855=DATE(2026,12,1),"培训；注册午餐；机构晚餐",IF(C2855=Options!$B$9,"抵达；"&amp;IF(C2855=DATE(2026,11,28),"机构晚餐","无统一供餐"),IF(C2855=Options!$B$10,"返程；"&amp;IF(C2855=DATE(2026,12,2),"机构午餐","无统一供餐"),"差旅状态；无统一日程"))))))</f>
        <v/>
      </c>
      <c r="E2855" s="13">
        <f>IF(C2855=Options!$B$9,Options!$C$21,0)</f>
        <v/>
      </c>
      <c r="F2855" s="13">
        <f>IF(AND(A2855&lt;&gt;"",C2855&lt;Options!$B$10),B2855*Options!$X$8,0)</f>
        <v/>
      </c>
      <c r="G2855" s="13">
        <f>F2855*12%</f>
        <v/>
      </c>
      <c r="H2855" s="13">
        <f>IF(A2855="",0,B2855*(92*IF(OR(C2855=Options!$B$9,C2855=Options!$B$10),75%,100%)-IF(C2855=DATE(2026,11,29),26+IF(Options!$B$8="是",23,0),0)-IF(C2855=DATE(2026,11,30),26,0)-IF(C2855=DATE(2026,12,1),64,0)-IF(C2855=DATE(2026,11,28),38,0)-IF(C2855=DATE(2026,12,2),26,0)))</f>
        <v/>
      </c>
      <c r="I2855" s="13">
        <f>IF(AND(C2855&gt;=DATE(2026,11,29),C2855&lt;=DATE(2026,12,1)),B2855*60,0)</f>
        <v/>
      </c>
      <c r="J2855" s="13">
        <f>IF(A2855="",0,B2855*(IF(C2855=DATE(2026,11,28),38,0)+IF(C2855=DATE(2026,12,1),38,0)+IF(C2855=DATE(2026,12,2),26,0)))</f>
        <v/>
      </c>
      <c r="K2855" s="13">
        <f>IF(C2855=Options!$B$9,B2855*12,0)</f>
        <v/>
      </c>
      <c r="L2855" s="13">
        <f>IF(C2855=Options!$B$9,B2855*Options!$Z$8,0)</f>
        <v/>
      </c>
      <c r="M2855" s="13" t="n">
        <v>0</v>
      </c>
      <c r="N2855" s="13">
        <f>SUM(E2855:M2855)</f>
        <v/>
      </c>
    </row>
    <row r="2856">
      <c r="A2856" s="5">
        <f>IF(AND(C2856&gt;=Options!$B$9,C2856&lt;=Options!$B$10),"Boston","")</f>
        <v/>
      </c>
      <c r="B2856" s="5">
        <f>IF(A2856="","",24)</f>
        <v/>
      </c>
      <c r="C2856" s="17" t="n">
        <v>46592</v>
      </c>
      <c r="D2856" s="5">
        <f>IF(A2856="","",IF(C2856=DATE(2026,11,29),"培训；注册午餐；早餐参数",IF(C2856=DATE(2026,11,30),"培训；注册午餐",IF(C2856=DATE(2026,12,1),"培训；注册午餐；机构晚餐",IF(C2856=Options!$B$9,"抵达；"&amp;IF(C2856=DATE(2026,11,28),"机构晚餐","无统一供餐"),IF(C2856=Options!$B$10,"返程；"&amp;IF(C2856=DATE(2026,12,2),"机构午餐","无统一供餐"),"差旅状态；无统一日程"))))))</f>
        <v/>
      </c>
      <c r="E2856" s="13">
        <f>IF(C2856=Options!$B$9,Options!$C$21,0)</f>
        <v/>
      </c>
      <c r="F2856" s="13">
        <f>IF(AND(A2856&lt;&gt;"",C2856&lt;Options!$B$10),B2856*Options!$X$8,0)</f>
        <v/>
      </c>
      <c r="G2856" s="13">
        <f>F2856*12%</f>
        <v/>
      </c>
      <c r="H2856" s="13">
        <f>IF(A2856="",0,B2856*(92*IF(OR(C2856=Options!$B$9,C2856=Options!$B$10),75%,100%)-IF(C2856=DATE(2026,11,29),26+IF(Options!$B$8="是",23,0),0)-IF(C2856=DATE(2026,11,30),26,0)-IF(C2856=DATE(2026,12,1),64,0)-IF(C2856=DATE(2026,11,28),38,0)-IF(C2856=DATE(2026,12,2),26,0)))</f>
        <v/>
      </c>
      <c r="I2856" s="13">
        <f>IF(AND(C2856&gt;=DATE(2026,11,29),C2856&lt;=DATE(2026,12,1)),B2856*60,0)</f>
        <v/>
      </c>
      <c r="J2856" s="13">
        <f>IF(A2856="",0,B2856*(IF(C2856=DATE(2026,11,28),38,0)+IF(C2856=DATE(2026,12,1),38,0)+IF(C2856=DATE(2026,12,2),26,0)))</f>
        <v/>
      </c>
      <c r="K2856" s="13">
        <f>IF(C2856=Options!$B$9,B2856*12,0)</f>
        <v/>
      </c>
      <c r="L2856" s="13">
        <f>IF(C2856=Options!$B$9,B2856*Options!$Z$8,0)</f>
        <v/>
      </c>
      <c r="M2856" s="13" t="n">
        <v>0</v>
      </c>
      <c r="N2856" s="13">
        <f>SUM(E2856:M2856)</f>
        <v/>
      </c>
    </row>
    <row r="2857">
      <c r="A2857" s="5">
        <f>IF(AND(C2857&gt;=Options!$B$9,C2857&lt;=Options!$B$10),"Boston","")</f>
        <v/>
      </c>
      <c r="B2857" s="5">
        <f>IF(A2857="","",24)</f>
        <v/>
      </c>
      <c r="C2857" s="17" t="n">
        <v>46593</v>
      </c>
      <c r="D2857" s="5">
        <f>IF(A2857="","",IF(C2857=DATE(2026,11,29),"培训；注册午餐；早餐参数",IF(C2857=DATE(2026,11,30),"培训；注册午餐",IF(C2857=DATE(2026,12,1),"培训；注册午餐；机构晚餐",IF(C2857=Options!$B$9,"抵达；"&amp;IF(C2857=DATE(2026,11,28),"机构晚餐","无统一供餐"),IF(C2857=Options!$B$10,"返程；"&amp;IF(C2857=DATE(2026,12,2),"机构午餐","无统一供餐"),"差旅状态；无统一日程"))))))</f>
        <v/>
      </c>
      <c r="E2857" s="13">
        <f>IF(C2857=Options!$B$9,Options!$C$21,0)</f>
        <v/>
      </c>
      <c r="F2857" s="13">
        <f>IF(AND(A2857&lt;&gt;"",C2857&lt;Options!$B$10),B2857*Options!$X$8,0)</f>
        <v/>
      </c>
      <c r="G2857" s="13">
        <f>F2857*12%</f>
        <v/>
      </c>
      <c r="H2857" s="13">
        <f>IF(A2857="",0,B2857*(92*IF(OR(C2857=Options!$B$9,C2857=Options!$B$10),75%,100%)-IF(C2857=DATE(2026,11,29),26+IF(Options!$B$8="是",23,0),0)-IF(C2857=DATE(2026,11,30),26,0)-IF(C2857=DATE(2026,12,1),64,0)-IF(C2857=DATE(2026,11,28),38,0)-IF(C2857=DATE(2026,12,2),26,0)))</f>
        <v/>
      </c>
      <c r="I2857" s="13">
        <f>IF(AND(C2857&gt;=DATE(2026,11,29),C2857&lt;=DATE(2026,12,1)),B2857*60,0)</f>
        <v/>
      </c>
      <c r="J2857" s="13">
        <f>IF(A2857="",0,B2857*(IF(C2857=DATE(2026,11,28),38,0)+IF(C2857=DATE(2026,12,1),38,0)+IF(C2857=DATE(2026,12,2),26,0)))</f>
        <v/>
      </c>
      <c r="K2857" s="13">
        <f>IF(C2857=Options!$B$9,B2857*12,0)</f>
        <v/>
      </c>
      <c r="L2857" s="13">
        <f>IF(C2857=Options!$B$9,B2857*Options!$Z$8,0)</f>
        <v/>
      </c>
      <c r="M2857" s="13" t="n">
        <v>0</v>
      </c>
      <c r="N2857" s="13">
        <f>SUM(E2857:M2857)</f>
        <v/>
      </c>
    </row>
    <row r="2858">
      <c r="A2858" s="5">
        <f>IF(AND(C2858&gt;=Options!$B$9,C2858&lt;=Options!$B$10),"Boston","")</f>
        <v/>
      </c>
      <c r="B2858" s="5">
        <f>IF(A2858="","",24)</f>
        <v/>
      </c>
      <c r="C2858" s="17" t="n">
        <v>46594</v>
      </c>
      <c r="D2858" s="5">
        <f>IF(A2858="","",IF(C2858=DATE(2026,11,29),"培训；注册午餐；早餐参数",IF(C2858=DATE(2026,11,30),"培训；注册午餐",IF(C2858=DATE(2026,12,1),"培训；注册午餐；机构晚餐",IF(C2858=Options!$B$9,"抵达；"&amp;IF(C2858=DATE(2026,11,28),"机构晚餐","无统一供餐"),IF(C2858=Options!$B$10,"返程；"&amp;IF(C2858=DATE(2026,12,2),"机构午餐","无统一供餐"),"差旅状态；无统一日程"))))))</f>
        <v/>
      </c>
      <c r="E2858" s="13">
        <f>IF(C2858=Options!$B$9,Options!$C$21,0)</f>
        <v/>
      </c>
      <c r="F2858" s="13">
        <f>IF(AND(A2858&lt;&gt;"",C2858&lt;Options!$B$10),B2858*Options!$X$8,0)</f>
        <v/>
      </c>
      <c r="G2858" s="13">
        <f>F2858*12%</f>
        <v/>
      </c>
      <c r="H2858" s="13">
        <f>IF(A2858="",0,B2858*(92*IF(OR(C2858=Options!$B$9,C2858=Options!$B$10),75%,100%)-IF(C2858=DATE(2026,11,29),26+IF(Options!$B$8="是",23,0),0)-IF(C2858=DATE(2026,11,30),26,0)-IF(C2858=DATE(2026,12,1),64,0)-IF(C2858=DATE(2026,11,28),38,0)-IF(C2858=DATE(2026,12,2),26,0)))</f>
        <v/>
      </c>
      <c r="I2858" s="13">
        <f>IF(AND(C2858&gt;=DATE(2026,11,29),C2858&lt;=DATE(2026,12,1)),B2858*60,0)</f>
        <v/>
      </c>
      <c r="J2858" s="13">
        <f>IF(A2858="",0,B2858*(IF(C2858=DATE(2026,11,28),38,0)+IF(C2858=DATE(2026,12,1),38,0)+IF(C2858=DATE(2026,12,2),26,0)))</f>
        <v/>
      </c>
      <c r="K2858" s="13">
        <f>IF(C2858=Options!$B$9,B2858*12,0)</f>
        <v/>
      </c>
      <c r="L2858" s="13">
        <f>IF(C2858=Options!$B$9,B2858*Options!$Z$8,0)</f>
        <v/>
      </c>
      <c r="M2858" s="13" t="n">
        <v>0</v>
      </c>
      <c r="N2858" s="13">
        <f>SUM(E2858:M2858)</f>
        <v/>
      </c>
    </row>
    <row r="2859">
      <c r="A2859" s="5">
        <f>IF(AND(C2859&gt;=Options!$B$9,C2859&lt;=Options!$B$10),"Boston","")</f>
        <v/>
      </c>
      <c r="B2859" s="5">
        <f>IF(A2859="","",24)</f>
        <v/>
      </c>
      <c r="C2859" s="17" t="n">
        <v>46595</v>
      </c>
      <c r="D2859" s="5">
        <f>IF(A2859="","",IF(C2859=DATE(2026,11,29),"培训；注册午餐；早餐参数",IF(C2859=DATE(2026,11,30),"培训；注册午餐",IF(C2859=DATE(2026,12,1),"培训；注册午餐；机构晚餐",IF(C2859=Options!$B$9,"抵达；"&amp;IF(C2859=DATE(2026,11,28),"机构晚餐","无统一供餐"),IF(C2859=Options!$B$10,"返程；"&amp;IF(C2859=DATE(2026,12,2),"机构午餐","无统一供餐"),"差旅状态；无统一日程"))))))</f>
        <v/>
      </c>
      <c r="E2859" s="13">
        <f>IF(C2859=Options!$B$9,Options!$C$21,0)</f>
        <v/>
      </c>
      <c r="F2859" s="13">
        <f>IF(AND(A2859&lt;&gt;"",C2859&lt;Options!$B$10),B2859*Options!$X$8,0)</f>
        <v/>
      </c>
      <c r="G2859" s="13">
        <f>F2859*12%</f>
        <v/>
      </c>
      <c r="H2859" s="13">
        <f>IF(A2859="",0,B2859*(92*IF(OR(C2859=Options!$B$9,C2859=Options!$B$10),75%,100%)-IF(C2859=DATE(2026,11,29),26+IF(Options!$B$8="是",23,0),0)-IF(C2859=DATE(2026,11,30),26,0)-IF(C2859=DATE(2026,12,1),64,0)-IF(C2859=DATE(2026,11,28),38,0)-IF(C2859=DATE(2026,12,2),26,0)))</f>
        <v/>
      </c>
      <c r="I2859" s="13">
        <f>IF(AND(C2859&gt;=DATE(2026,11,29),C2859&lt;=DATE(2026,12,1)),B2859*60,0)</f>
        <v/>
      </c>
      <c r="J2859" s="13">
        <f>IF(A2859="",0,B2859*(IF(C2859=DATE(2026,11,28),38,0)+IF(C2859=DATE(2026,12,1),38,0)+IF(C2859=DATE(2026,12,2),26,0)))</f>
        <v/>
      </c>
      <c r="K2859" s="13">
        <f>IF(C2859=Options!$B$9,B2859*12,0)</f>
        <v/>
      </c>
      <c r="L2859" s="13">
        <f>IF(C2859=Options!$B$9,B2859*Options!$Z$8,0)</f>
        <v/>
      </c>
      <c r="M2859" s="13" t="n">
        <v>0</v>
      </c>
      <c r="N2859" s="13">
        <f>SUM(E2859:M2859)</f>
        <v/>
      </c>
    </row>
    <row r="2860">
      <c r="A2860" s="5">
        <f>IF(AND(C2860&gt;=Options!$B$9,C2860&lt;=Options!$B$10),"Boston","")</f>
        <v/>
      </c>
      <c r="B2860" s="5">
        <f>IF(A2860="","",24)</f>
        <v/>
      </c>
      <c r="C2860" s="17" t="n">
        <v>46596</v>
      </c>
      <c r="D2860" s="5">
        <f>IF(A2860="","",IF(C2860=DATE(2026,11,29),"培训；注册午餐；早餐参数",IF(C2860=DATE(2026,11,30),"培训；注册午餐",IF(C2860=DATE(2026,12,1),"培训；注册午餐；机构晚餐",IF(C2860=Options!$B$9,"抵达；"&amp;IF(C2860=DATE(2026,11,28),"机构晚餐","无统一供餐"),IF(C2860=Options!$B$10,"返程；"&amp;IF(C2860=DATE(2026,12,2),"机构午餐","无统一供餐"),"差旅状态；无统一日程"))))))</f>
        <v/>
      </c>
      <c r="E2860" s="13">
        <f>IF(C2860=Options!$B$9,Options!$C$21,0)</f>
        <v/>
      </c>
      <c r="F2860" s="13">
        <f>IF(AND(A2860&lt;&gt;"",C2860&lt;Options!$B$10),B2860*Options!$X$8,0)</f>
        <v/>
      </c>
      <c r="G2860" s="13">
        <f>F2860*12%</f>
        <v/>
      </c>
      <c r="H2860" s="13">
        <f>IF(A2860="",0,B2860*(92*IF(OR(C2860=Options!$B$9,C2860=Options!$B$10),75%,100%)-IF(C2860=DATE(2026,11,29),26+IF(Options!$B$8="是",23,0),0)-IF(C2860=DATE(2026,11,30),26,0)-IF(C2860=DATE(2026,12,1),64,0)-IF(C2860=DATE(2026,11,28),38,0)-IF(C2860=DATE(2026,12,2),26,0)))</f>
        <v/>
      </c>
      <c r="I2860" s="13">
        <f>IF(AND(C2860&gt;=DATE(2026,11,29),C2860&lt;=DATE(2026,12,1)),B2860*60,0)</f>
        <v/>
      </c>
      <c r="J2860" s="13">
        <f>IF(A2860="",0,B2860*(IF(C2860=DATE(2026,11,28),38,0)+IF(C2860=DATE(2026,12,1),38,0)+IF(C2860=DATE(2026,12,2),26,0)))</f>
        <v/>
      </c>
      <c r="K2860" s="13">
        <f>IF(C2860=Options!$B$9,B2860*12,0)</f>
        <v/>
      </c>
      <c r="L2860" s="13">
        <f>IF(C2860=Options!$B$9,B2860*Options!$Z$8,0)</f>
        <v/>
      </c>
      <c r="M2860" s="13" t="n">
        <v>0</v>
      </c>
      <c r="N2860" s="13">
        <f>SUM(E2860:M2860)</f>
        <v/>
      </c>
    </row>
    <row r="2861">
      <c r="A2861" s="5">
        <f>IF(AND(C2861&gt;=Options!$B$9,C2861&lt;=Options!$B$10),"Boston","")</f>
        <v/>
      </c>
      <c r="B2861" s="5">
        <f>IF(A2861="","",24)</f>
        <v/>
      </c>
      <c r="C2861" s="17" t="n">
        <v>46597</v>
      </c>
      <c r="D2861" s="5">
        <f>IF(A2861="","",IF(C2861=DATE(2026,11,29),"培训；注册午餐；早餐参数",IF(C2861=DATE(2026,11,30),"培训；注册午餐",IF(C2861=DATE(2026,12,1),"培训；注册午餐；机构晚餐",IF(C2861=Options!$B$9,"抵达；"&amp;IF(C2861=DATE(2026,11,28),"机构晚餐","无统一供餐"),IF(C2861=Options!$B$10,"返程；"&amp;IF(C2861=DATE(2026,12,2),"机构午餐","无统一供餐"),"差旅状态；无统一日程"))))))</f>
        <v/>
      </c>
      <c r="E2861" s="13">
        <f>IF(C2861=Options!$B$9,Options!$C$21,0)</f>
        <v/>
      </c>
      <c r="F2861" s="13">
        <f>IF(AND(A2861&lt;&gt;"",C2861&lt;Options!$B$10),B2861*Options!$X$8,0)</f>
        <v/>
      </c>
      <c r="G2861" s="13">
        <f>F2861*12%</f>
        <v/>
      </c>
      <c r="H2861" s="13">
        <f>IF(A2861="",0,B2861*(92*IF(OR(C2861=Options!$B$9,C2861=Options!$B$10),75%,100%)-IF(C2861=DATE(2026,11,29),26+IF(Options!$B$8="是",23,0),0)-IF(C2861=DATE(2026,11,30),26,0)-IF(C2861=DATE(2026,12,1),64,0)-IF(C2861=DATE(2026,11,28),38,0)-IF(C2861=DATE(2026,12,2),26,0)))</f>
        <v/>
      </c>
      <c r="I2861" s="13">
        <f>IF(AND(C2861&gt;=DATE(2026,11,29),C2861&lt;=DATE(2026,12,1)),B2861*60,0)</f>
        <v/>
      </c>
      <c r="J2861" s="13">
        <f>IF(A2861="",0,B2861*(IF(C2861=DATE(2026,11,28),38,0)+IF(C2861=DATE(2026,12,1),38,0)+IF(C2861=DATE(2026,12,2),26,0)))</f>
        <v/>
      </c>
      <c r="K2861" s="13">
        <f>IF(C2861=Options!$B$9,B2861*12,0)</f>
        <v/>
      </c>
      <c r="L2861" s="13">
        <f>IF(C2861=Options!$B$9,B2861*Options!$Z$8,0)</f>
        <v/>
      </c>
      <c r="M2861" s="13" t="n">
        <v>0</v>
      </c>
      <c r="N2861" s="13">
        <f>SUM(E2861:M2861)</f>
        <v/>
      </c>
    </row>
    <row r="2862">
      <c r="A2862" s="5">
        <f>IF(AND(C2862&gt;=Options!$B$9,C2862&lt;=Options!$B$10),"Boston","")</f>
        <v/>
      </c>
      <c r="B2862" s="5">
        <f>IF(A2862="","",24)</f>
        <v/>
      </c>
      <c r="C2862" s="17" t="n">
        <v>46598</v>
      </c>
      <c r="D2862" s="5">
        <f>IF(A2862="","",IF(C2862=DATE(2026,11,29),"培训；注册午餐；早餐参数",IF(C2862=DATE(2026,11,30),"培训；注册午餐",IF(C2862=DATE(2026,12,1),"培训；注册午餐；机构晚餐",IF(C2862=Options!$B$9,"抵达；"&amp;IF(C2862=DATE(2026,11,28),"机构晚餐","无统一供餐"),IF(C2862=Options!$B$10,"返程；"&amp;IF(C2862=DATE(2026,12,2),"机构午餐","无统一供餐"),"差旅状态；无统一日程"))))))</f>
        <v/>
      </c>
      <c r="E2862" s="13">
        <f>IF(C2862=Options!$B$9,Options!$C$21,0)</f>
        <v/>
      </c>
      <c r="F2862" s="13">
        <f>IF(AND(A2862&lt;&gt;"",C2862&lt;Options!$B$10),B2862*Options!$X$8,0)</f>
        <v/>
      </c>
      <c r="G2862" s="13">
        <f>F2862*12%</f>
        <v/>
      </c>
      <c r="H2862" s="13">
        <f>IF(A2862="",0,B2862*(92*IF(OR(C2862=Options!$B$9,C2862=Options!$B$10),75%,100%)-IF(C2862=DATE(2026,11,29),26+IF(Options!$B$8="是",23,0),0)-IF(C2862=DATE(2026,11,30),26,0)-IF(C2862=DATE(2026,12,1),64,0)-IF(C2862=DATE(2026,11,28),38,0)-IF(C2862=DATE(2026,12,2),26,0)))</f>
        <v/>
      </c>
      <c r="I2862" s="13">
        <f>IF(AND(C2862&gt;=DATE(2026,11,29),C2862&lt;=DATE(2026,12,1)),B2862*60,0)</f>
        <v/>
      </c>
      <c r="J2862" s="13">
        <f>IF(A2862="",0,B2862*(IF(C2862=DATE(2026,11,28),38,0)+IF(C2862=DATE(2026,12,1),38,0)+IF(C2862=DATE(2026,12,2),26,0)))</f>
        <v/>
      </c>
      <c r="K2862" s="13">
        <f>IF(C2862=Options!$B$9,B2862*12,0)</f>
        <v/>
      </c>
      <c r="L2862" s="13">
        <f>IF(C2862=Options!$B$9,B2862*Options!$Z$8,0)</f>
        <v/>
      </c>
      <c r="M2862" s="13" t="n">
        <v>0</v>
      </c>
      <c r="N2862" s="13">
        <f>SUM(E2862:M2862)</f>
        <v/>
      </c>
    </row>
    <row r="2863">
      <c r="A2863" s="5">
        <f>IF(AND(C2863&gt;=Options!$B$9,C2863&lt;=Options!$B$10),"Boston","")</f>
        <v/>
      </c>
      <c r="B2863" s="5">
        <f>IF(A2863="","",24)</f>
        <v/>
      </c>
      <c r="C2863" s="17" t="n">
        <v>46599</v>
      </c>
      <c r="D2863" s="5">
        <f>IF(A2863="","",IF(C2863=DATE(2026,11,29),"培训；注册午餐；早餐参数",IF(C2863=DATE(2026,11,30),"培训；注册午餐",IF(C2863=DATE(2026,12,1),"培训；注册午餐；机构晚餐",IF(C2863=Options!$B$9,"抵达；"&amp;IF(C2863=DATE(2026,11,28),"机构晚餐","无统一供餐"),IF(C2863=Options!$B$10,"返程；"&amp;IF(C2863=DATE(2026,12,2),"机构午餐","无统一供餐"),"差旅状态；无统一日程"))))))</f>
        <v/>
      </c>
      <c r="E2863" s="13">
        <f>IF(C2863=Options!$B$9,Options!$C$21,0)</f>
        <v/>
      </c>
      <c r="F2863" s="13">
        <f>IF(AND(A2863&lt;&gt;"",C2863&lt;Options!$B$10),B2863*Options!$X$8,0)</f>
        <v/>
      </c>
      <c r="G2863" s="13">
        <f>F2863*12%</f>
        <v/>
      </c>
      <c r="H2863" s="13">
        <f>IF(A2863="",0,B2863*(92*IF(OR(C2863=Options!$B$9,C2863=Options!$B$10),75%,100%)-IF(C2863=DATE(2026,11,29),26+IF(Options!$B$8="是",23,0),0)-IF(C2863=DATE(2026,11,30),26,0)-IF(C2863=DATE(2026,12,1),64,0)-IF(C2863=DATE(2026,11,28),38,0)-IF(C2863=DATE(2026,12,2),26,0)))</f>
        <v/>
      </c>
      <c r="I2863" s="13">
        <f>IF(AND(C2863&gt;=DATE(2026,11,29),C2863&lt;=DATE(2026,12,1)),B2863*60,0)</f>
        <v/>
      </c>
      <c r="J2863" s="13">
        <f>IF(A2863="",0,B2863*(IF(C2863=DATE(2026,11,28),38,0)+IF(C2863=DATE(2026,12,1),38,0)+IF(C2863=DATE(2026,12,2),26,0)))</f>
        <v/>
      </c>
      <c r="K2863" s="13">
        <f>IF(C2863=Options!$B$9,B2863*12,0)</f>
        <v/>
      </c>
      <c r="L2863" s="13">
        <f>IF(C2863=Options!$B$9,B2863*Options!$Z$8,0)</f>
        <v/>
      </c>
      <c r="M2863" s="13" t="n">
        <v>0</v>
      </c>
      <c r="N2863" s="13">
        <f>SUM(E2863:M2863)</f>
        <v/>
      </c>
    </row>
    <row r="2864">
      <c r="A2864" s="5">
        <f>IF(AND(C2864&gt;=Options!$B$9,C2864&lt;=Options!$B$10),"Boston","")</f>
        <v/>
      </c>
      <c r="B2864" s="5">
        <f>IF(A2864="","",24)</f>
        <v/>
      </c>
      <c r="C2864" s="17" t="n">
        <v>46600</v>
      </c>
      <c r="D2864" s="5">
        <f>IF(A2864="","",IF(C2864=DATE(2026,11,29),"培训；注册午餐；早餐参数",IF(C2864=DATE(2026,11,30),"培训；注册午餐",IF(C2864=DATE(2026,12,1),"培训；注册午餐；机构晚餐",IF(C2864=Options!$B$9,"抵达；"&amp;IF(C2864=DATE(2026,11,28),"机构晚餐","无统一供餐"),IF(C2864=Options!$B$10,"返程；"&amp;IF(C2864=DATE(2026,12,2),"机构午餐","无统一供餐"),"差旅状态；无统一日程"))))))</f>
        <v/>
      </c>
      <c r="E2864" s="13">
        <f>IF(C2864=Options!$B$9,Options!$C$21,0)</f>
        <v/>
      </c>
      <c r="F2864" s="13">
        <f>IF(AND(A2864&lt;&gt;"",C2864&lt;Options!$B$10),B2864*Options!$X$8,0)</f>
        <v/>
      </c>
      <c r="G2864" s="13">
        <f>F2864*12%</f>
        <v/>
      </c>
      <c r="H2864" s="13">
        <f>IF(A2864="",0,B2864*(92*IF(OR(C2864=Options!$B$9,C2864=Options!$B$10),75%,100%)-IF(C2864=DATE(2026,11,29),26+IF(Options!$B$8="是",23,0),0)-IF(C2864=DATE(2026,11,30),26,0)-IF(C2864=DATE(2026,12,1),64,0)-IF(C2864=DATE(2026,11,28),38,0)-IF(C2864=DATE(2026,12,2),26,0)))</f>
        <v/>
      </c>
      <c r="I2864" s="13">
        <f>IF(AND(C2864&gt;=DATE(2026,11,29),C2864&lt;=DATE(2026,12,1)),B2864*60,0)</f>
        <v/>
      </c>
      <c r="J2864" s="13">
        <f>IF(A2864="",0,B2864*(IF(C2864=DATE(2026,11,28),38,0)+IF(C2864=DATE(2026,12,1),38,0)+IF(C2864=DATE(2026,12,2),26,0)))</f>
        <v/>
      </c>
      <c r="K2864" s="13">
        <f>IF(C2864=Options!$B$9,B2864*12,0)</f>
        <v/>
      </c>
      <c r="L2864" s="13">
        <f>IF(C2864=Options!$B$9,B2864*Options!$Z$8,0)</f>
        <v/>
      </c>
      <c r="M2864" s="13" t="n">
        <v>0</v>
      </c>
      <c r="N2864" s="13">
        <f>SUM(E2864:M2864)</f>
        <v/>
      </c>
    </row>
    <row r="2865">
      <c r="A2865" s="5">
        <f>IF(AND(C2865&gt;=Options!$B$9,C2865&lt;=Options!$B$10),"Boston","")</f>
        <v/>
      </c>
      <c r="B2865" s="5">
        <f>IF(A2865="","",24)</f>
        <v/>
      </c>
      <c r="C2865" s="17" t="n">
        <v>46601</v>
      </c>
      <c r="D2865" s="5">
        <f>IF(A2865="","",IF(C2865=DATE(2026,11,29),"培训；注册午餐；早餐参数",IF(C2865=DATE(2026,11,30),"培训；注册午餐",IF(C2865=DATE(2026,12,1),"培训；注册午餐；机构晚餐",IF(C2865=Options!$B$9,"抵达；"&amp;IF(C2865=DATE(2026,11,28),"机构晚餐","无统一供餐"),IF(C2865=Options!$B$10,"返程；"&amp;IF(C2865=DATE(2026,12,2),"机构午餐","无统一供餐"),"差旅状态；无统一日程"))))))</f>
        <v/>
      </c>
      <c r="E2865" s="13">
        <f>IF(C2865=Options!$B$9,Options!$C$21,0)</f>
        <v/>
      </c>
      <c r="F2865" s="13">
        <f>IF(AND(A2865&lt;&gt;"",C2865&lt;Options!$B$10),B2865*Options!$X$8,0)</f>
        <v/>
      </c>
      <c r="G2865" s="13">
        <f>F2865*12%</f>
        <v/>
      </c>
      <c r="H2865" s="13">
        <f>IF(A2865="",0,B2865*(92*IF(OR(C2865=Options!$B$9,C2865=Options!$B$10),75%,100%)-IF(C2865=DATE(2026,11,29),26+IF(Options!$B$8="是",23,0),0)-IF(C2865=DATE(2026,11,30),26,0)-IF(C2865=DATE(2026,12,1),64,0)-IF(C2865=DATE(2026,11,28),38,0)-IF(C2865=DATE(2026,12,2),26,0)))</f>
        <v/>
      </c>
      <c r="I2865" s="13">
        <f>IF(AND(C2865&gt;=DATE(2026,11,29),C2865&lt;=DATE(2026,12,1)),B2865*60,0)</f>
        <v/>
      </c>
      <c r="J2865" s="13">
        <f>IF(A2865="",0,B2865*(IF(C2865=DATE(2026,11,28),38,0)+IF(C2865=DATE(2026,12,1),38,0)+IF(C2865=DATE(2026,12,2),26,0)))</f>
        <v/>
      </c>
      <c r="K2865" s="13">
        <f>IF(C2865=Options!$B$9,B2865*12,0)</f>
        <v/>
      </c>
      <c r="L2865" s="13">
        <f>IF(C2865=Options!$B$9,B2865*Options!$Z$8,0)</f>
        <v/>
      </c>
      <c r="M2865" s="13" t="n">
        <v>0</v>
      </c>
      <c r="N2865" s="13">
        <f>SUM(E2865:M2865)</f>
        <v/>
      </c>
    </row>
    <row r="2866">
      <c r="A2866" s="5">
        <f>IF(AND(C2866&gt;=Options!$B$9,C2866&lt;=Options!$B$10),"Boston","")</f>
        <v/>
      </c>
      <c r="B2866" s="5">
        <f>IF(A2866="","",24)</f>
        <v/>
      </c>
      <c r="C2866" s="17" t="n">
        <v>46602</v>
      </c>
      <c r="D2866" s="5">
        <f>IF(A2866="","",IF(C2866=DATE(2026,11,29),"培训；注册午餐；早餐参数",IF(C2866=DATE(2026,11,30),"培训；注册午餐",IF(C2866=DATE(2026,12,1),"培训；注册午餐；机构晚餐",IF(C2866=Options!$B$9,"抵达；"&amp;IF(C2866=DATE(2026,11,28),"机构晚餐","无统一供餐"),IF(C2866=Options!$B$10,"返程；"&amp;IF(C2866=DATE(2026,12,2),"机构午餐","无统一供餐"),"差旅状态；无统一日程"))))))</f>
        <v/>
      </c>
      <c r="E2866" s="13">
        <f>IF(C2866=Options!$B$9,Options!$C$21,0)</f>
        <v/>
      </c>
      <c r="F2866" s="13">
        <f>IF(AND(A2866&lt;&gt;"",C2866&lt;Options!$B$10),B2866*Options!$X$8,0)</f>
        <v/>
      </c>
      <c r="G2866" s="13">
        <f>F2866*12%</f>
        <v/>
      </c>
      <c r="H2866" s="13">
        <f>IF(A2866="",0,B2866*(92*IF(OR(C2866=Options!$B$9,C2866=Options!$B$10),75%,100%)-IF(C2866=DATE(2026,11,29),26+IF(Options!$B$8="是",23,0),0)-IF(C2866=DATE(2026,11,30),26,0)-IF(C2866=DATE(2026,12,1),64,0)-IF(C2866=DATE(2026,11,28),38,0)-IF(C2866=DATE(2026,12,2),26,0)))</f>
        <v/>
      </c>
      <c r="I2866" s="13">
        <f>IF(AND(C2866&gt;=DATE(2026,11,29),C2866&lt;=DATE(2026,12,1)),B2866*60,0)</f>
        <v/>
      </c>
      <c r="J2866" s="13">
        <f>IF(A2866="",0,B2866*(IF(C2866=DATE(2026,11,28),38,0)+IF(C2866=DATE(2026,12,1),38,0)+IF(C2866=DATE(2026,12,2),26,0)))</f>
        <v/>
      </c>
      <c r="K2866" s="13">
        <f>IF(C2866=Options!$B$9,B2866*12,0)</f>
        <v/>
      </c>
      <c r="L2866" s="13">
        <f>IF(C2866=Options!$B$9,B2866*Options!$Z$8,0)</f>
        <v/>
      </c>
      <c r="M2866" s="13" t="n">
        <v>0</v>
      </c>
      <c r="N2866" s="13">
        <f>SUM(E2866:M2866)</f>
        <v/>
      </c>
    </row>
    <row r="2867">
      <c r="A2867" s="5">
        <f>IF(AND(C2867&gt;=Options!$B$9,C2867&lt;=Options!$B$10),"Boston","")</f>
        <v/>
      </c>
      <c r="B2867" s="5">
        <f>IF(A2867="","",24)</f>
        <v/>
      </c>
      <c r="C2867" s="17" t="n">
        <v>46603</v>
      </c>
      <c r="D2867" s="5">
        <f>IF(A2867="","",IF(C2867=DATE(2026,11,29),"培训；注册午餐；早餐参数",IF(C2867=DATE(2026,11,30),"培训；注册午餐",IF(C2867=DATE(2026,12,1),"培训；注册午餐；机构晚餐",IF(C2867=Options!$B$9,"抵达；"&amp;IF(C2867=DATE(2026,11,28),"机构晚餐","无统一供餐"),IF(C2867=Options!$B$10,"返程；"&amp;IF(C2867=DATE(2026,12,2),"机构午餐","无统一供餐"),"差旅状态；无统一日程"))))))</f>
        <v/>
      </c>
      <c r="E2867" s="13">
        <f>IF(C2867=Options!$B$9,Options!$C$21,0)</f>
        <v/>
      </c>
      <c r="F2867" s="13">
        <f>IF(AND(A2867&lt;&gt;"",C2867&lt;Options!$B$10),B2867*Options!$X$8,0)</f>
        <v/>
      </c>
      <c r="G2867" s="13">
        <f>F2867*12%</f>
        <v/>
      </c>
      <c r="H2867" s="13">
        <f>IF(A2867="",0,B2867*(92*IF(OR(C2867=Options!$B$9,C2867=Options!$B$10),75%,100%)-IF(C2867=DATE(2026,11,29),26+IF(Options!$B$8="是",23,0),0)-IF(C2867=DATE(2026,11,30),26,0)-IF(C2867=DATE(2026,12,1),64,0)-IF(C2867=DATE(2026,11,28),38,0)-IF(C2867=DATE(2026,12,2),26,0)))</f>
        <v/>
      </c>
      <c r="I2867" s="13">
        <f>IF(AND(C2867&gt;=DATE(2026,11,29),C2867&lt;=DATE(2026,12,1)),B2867*60,0)</f>
        <v/>
      </c>
      <c r="J2867" s="13">
        <f>IF(A2867="",0,B2867*(IF(C2867=DATE(2026,11,28),38,0)+IF(C2867=DATE(2026,12,1),38,0)+IF(C2867=DATE(2026,12,2),26,0)))</f>
        <v/>
      </c>
      <c r="K2867" s="13">
        <f>IF(C2867=Options!$B$9,B2867*12,0)</f>
        <v/>
      </c>
      <c r="L2867" s="13">
        <f>IF(C2867=Options!$B$9,B2867*Options!$Z$8,0)</f>
        <v/>
      </c>
      <c r="M2867" s="13" t="n">
        <v>0</v>
      </c>
      <c r="N2867" s="13">
        <f>SUM(E2867:M2867)</f>
        <v/>
      </c>
    </row>
    <row r="2868">
      <c r="A2868" s="5">
        <f>IF(AND(C2868&gt;=Options!$B$9,C2868&lt;=Options!$B$10),"Boston","")</f>
        <v/>
      </c>
      <c r="B2868" s="5">
        <f>IF(A2868="","",24)</f>
        <v/>
      </c>
      <c r="C2868" s="17" t="n">
        <v>46604</v>
      </c>
      <c r="D2868" s="5">
        <f>IF(A2868="","",IF(C2868=DATE(2026,11,29),"培训；注册午餐；早餐参数",IF(C2868=DATE(2026,11,30),"培训；注册午餐",IF(C2868=DATE(2026,12,1),"培训；注册午餐；机构晚餐",IF(C2868=Options!$B$9,"抵达；"&amp;IF(C2868=DATE(2026,11,28),"机构晚餐","无统一供餐"),IF(C2868=Options!$B$10,"返程；"&amp;IF(C2868=DATE(2026,12,2),"机构午餐","无统一供餐"),"差旅状态；无统一日程"))))))</f>
        <v/>
      </c>
      <c r="E2868" s="13">
        <f>IF(C2868=Options!$B$9,Options!$C$21,0)</f>
        <v/>
      </c>
      <c r="F2868" s="13">
        <f>IF(AND(A2868&lt;&gt;"",C2868&lt;Options!$B$10),B2868*Options!$X$8,0)</f>
        <v/>
      </c>
      <c r="G2868" s="13">
        <f>F2868*12%</f>
        <v/>
      </c>
      <c r="H2868" s="13">
        <f>IF(A2868="",0,B2868*(92*IF(OR(C2868=Options!$B$9,C2868=Options!$B$10),75%,100%)-IF(C2868=DATE(2026,11,29),26+IF(Options!$B$8="是",23,0),0)-IF(C2868=DATE(2026,11,30),26,0)-IF(C2868=DATE(2026,12,1),64,0)-IF(C2868=DATE(2026,11,28),38,0)-IF(C2868=DATE(2026,12,2),26,0)))</f>
        <v/>
      </c>
      <c r="I2868" s="13">
        <f>IF(AND(C2868&gt;=DATE(2026,11,29),C2868&lt;=DATE(2026,12,1)),B2868*60,0)</f>
        <v/>
      </c>
      <c r="J2868" s="13">
        <f>IF(A2868="",0,B2868*(IF(C2868=DATE(2026,11,28),38,0)+IF(C2868=DATE(2026,12,1),38,0)+IF(C2868=DATE(2026,12,2),26,0)))</f>
        <v/>
      </c>
      <c r="K2868" s="13">
        <f>IF(C2868=Options!$B$9,B2868*12,0)</f>
        <v/>
      </c>
      <c r="L2868" s="13">
        <f>IF(C2868=Options!$B$9,B2868*Options!$Z$8,0)</f>
        <v/>
      </c>
      <c r="M2868" s="13" t="n">
        <v>0</v>
      </c>
      <c r="N2868" s="13">
        <f>SUM(E2868:M2868)</f>
        <v/>
      </c>
    </row>
    <row r="2869">
      <c r="A2869" s="5">
        <f>IF(AND(C2869&gt;=Options!$B$9,C2869&lt;=Options!$B$10),"Boston","")</f>
        <v/>
      </c>
      <c r="B2869" s="5">
        <f>IF(A2869="","",24)</f>
        <v/>
      </c>
      <c r="C2869" s="17" t="n">
        <v>46605</v>
      </c>
      <c r="D2869" s="5">
        <f>IF(A2869="","",IF(C2869=DATE(2026,11,29),"培训；注册午餐；早餐参数",IF(C2869=DATE(2026,11,30),"培训；注册午餐",IF(C2869=DATE(2026,12,1),"培训；注册午餐；机构晚餐",IF(C2869=Options!$B$9,"抵达；"&amp;IF(C2869=DATE(2026,11,28),"机构晚餐","无统一供餐"),IF(C2869=Options!$B$10,"返程；"&amp;IF(C2869=DATE(2026,12,2),"机构午餐","无统一供餐"),"差旅状态；无统一日程"))))))</f>
        <v/>
      </c>
      <c r="E2869" s="13">
        <f>IF(C2869=Options!$B$9,Options!$C$21,0)</f>
        <v/>
      </c>
      <c r="F2869" s="13">
        <f>IF(AND(A2869&lt;&gt;"",C2869&lt;Options!$B$10),B2869*Options!$X$8,0)</f>
        <v/>
      </c>
      <c r="G2869" s="13">
        <f>F2869*12%</f>
        <v/>
      </c>
      <c r="H2869" s="13">
        <f>IF(A2869="",0,B2869*(92*IF(OR(C2869=Options!$B$9,C2869=Options!$B$10),75%,100%)-IF(C2869=DATE(2026,11,29),26+IF(Options!$B$8="是",23,0),0)-IF(C2869=DATE(2026,11,30),26,0)-IF(C2869=DATE(2026,12,1),64,0)-IF(C2869=DATE(2026,11,28),38,0)-IF(C2869=DATE(2026,12,2),26,0)))</f>
        <v/>
      </c>
      <c r="I2869" s="13">
        <f>IF(AND(C2869&gt;=DATE(2026,11,29),C2869&lt;=DATE(2026,12,1)),B2869*60,0)</f>
        <v/>
      </c>
      <c r="J2869" s="13">
        <f>IF(A2869="",0,B2869*(IF(C2869=DATE(2026,11,28),38,0)+IF(C2869=DATE(2026,12,1),38,0)+IF(C2869=DATE(2026,12,2),26,0)))</f>
        <v/>
      </c>
      <c r="K2869" s="13">
        <f>IF(C2869=Options!$B$9,B2869*12,0)</f>
        <v/>
      </c>
      <c r="L2869" s="13">
        <f>IF(C2869=Options!$B$9,B2869*Options!$Z$8,0)</f>
        <v/>
      </c>
      <c r="M2869" s="13" t="n">
        <v>0</v>
      </c>
      <c r="N2869" s="13">
        <f>SUM(E2869:M2869)</f>
        <v/>
      </c>
    </row>
    <row r="2870">
      <c r="A2870" s="5">
        <f>IF(AND(C2870&gt;=Options!$B$9,C2870&lt;=Options!$B$10),"Boston","")</f>
        <v/>
      </c>
      <c r="B2870" s="5">
        <f>IF(A2870="","",24)</f>
        <v/>
      </c>
      <c r="C2870" s="17" t="n">
        <v>46606</v>
      </c>
      <c r="D2870" s="5">
        <f>IF(A2870="","",IF(C2870=DATE(2026,11,29),"培训；注册午餐；早餐参数",IF(C2870=DATE(2026,11,30),"培训；注册午餐",IF(C2870=DATE(2026,12,1),"培训；注册午餐；机构晚餐",IF(C2870=Options!$B$9,"抵达；"&amp;IF(C2870=DATE(2026,11,28),"机构晚餐","无统一供餐"),IF(C2870=Options!$B$10,"返程；"&amp;IF(C2870=DATE(2026,12,2),"机构午餐","无统一供餐"),"差旅状态；无统一日程"))))))</f>
        <v/>
      </c>
      <c r="E2870" s="13">
        <f>IF(C2870=Options!$B$9,Options!$C$21,0)</f>
        <v/>
      </c>
      <c r="F2870" s="13">
        <f>IF(AND(A2870&lt;&gt;"",C2870&lt;Options!$B$10),B2870*Options!$X$8,0)</f>
        <v/>
      </c>
      <c r="G2870" s="13">
        <f>F2870*12%</f>
        <v/>
      </c>
      <c r="H2870" s="13">
        <f>IF(A2870="",0,B2870*(92*IF(OR(C2870=Options!$B$9,C2870=Options!$B$10),75%,100%)-IF(C2870=DATE(2026,11,29),26+IF(Options!$B$8="是",23,0),0)-IF(C2870=DATE(2026,11,30),26,0)-IF(C2870=DATE(2026,12,1),64,0)-IF(C2870=DATE(2026,11,28),38,0)-IF(C2870=DATE(2026,12,2),26,0)))</f>
        <v/>
      </c>
      <c r="I2870" s="13">
        <f>IF(AND(C2870&gt;=DATE(2026,11,29),C2870&lt;=DATE(2026,12,1)),B2870*60,0)</f>
        <v/>
      </c>
      <c r="J2870" s="13">
        <f>IF(A2870="",0,B2870*(IF(C2870=DATE(2026,11,28),38,0)+IF(C2870=DATE(2026,12,1),38,0)+IF(C2870=DATE(2026,12,2),26,0)))</f>
        <v/>
      </c>
      <c r="K2870" s="13">
        <f>IF(C2870=Options!$B$9,B2870*12,0)</f>
        <v/>
      </c>
      <c r="L2870" s="13">
        <f>IF(C2870=Options!$B$9,B2870*Options!$Z$8,0)</f>
        <v/>
      </c>
      <c r="M2870" s="13" t="n">
        <v>0</v>
      </c>
      <c r="N2870" s="13">
        <f>SUM(E2870:M2870)</f>
        <v/>
      </c>
    </row>
    <row r="2871">
      <c r="A2871" s="5">
        <f>IF(AND(C2871&gt;=Options!$B$9,C2871&lt;=Options!$B$10),"Boston","")</f>
        <v/>
      </c>
      <c r="B2871" s="5">
        <f>IF(A2871="","",24)</f>
        <v/>
      </c>
      <c r="C2871" s="17" t="n">
        <v>46607</v>
      </c>
      <c r="D2871" s="5">
        <f>IF(A2871="","",IF(C2871=DATE(2026,11,29),"培训；注册午餐；早餐参数",IF(C2871=DATE(2026,11,30),"培训；注册午餐",IF(C2871=DATE(2026,12,1),"培训；注册午餐；机构晚餐",IF(C2871=Options!$B$9,"抵达；"&amp;IF(C2871=DATE(2026,11,28),"机构晚餐","无统一供餐"),IF(C2871=Options!$B$10,"返程；"&amp;IF(C2871=DATE(2026,12,2),"机构午餐","无统一供餐"),"差旅状态；无统一日程"))))))</f>
        <v/>
      </c>
      <c r="E2871" s="13">
        <f>IF(C2871=Options!$B$9,Options!$C$21,0)</f>
        <v/>
      </c>
      <c r="F2871" s="13">
        <f>IF(AND(A2871&lt;&gt;"",C2871&lt;Options!$B$10),B2871*Options!$X$8,0)</f>
        <v/>
      </c>
      <c r="G2871" s="13">
        <f>F2871*12%</f>
        <v/>
      </c>
      <c r="H2871" s="13">
        <f>IF(A2871="",0,B2871*(92*IF(OR(C2871=Options!$B$9,C2871=Options!$B$10),75%,100%)-IF(C2871=DATE(2026,11,29),26+IF(Options!$B$8="是",23,0),0)-IF(C2871=DATE(2026,11,30),26,0)-IF(C2871=DATE(2026,12,1),64,0)-IF(C2871=DATE(2026,11,28),38,0)-IF(C2871=DATE(2026,12,2),26,0)))</f>
        <v/>
      </c>
      <c r="I2871" s="13">
        <f>IF(AND(C2871&gt;=DATE(2026,11,29),C2871&lt;=DATE(2026,12,1)),B2871*60,0)</f>
        <v/>
      </c>
      <c r="J2871" s="13">
        <f>IF(A2871="",0,B2871*(IF(C2871=DATE(2026,11,28),38,0)+IF(C2871=DATE(2026,12,1),38,0)+IF(C2871=DATE(2026,12,2),26,0)))</f>
        <v/>
      </c>
      <c r="K2871" s="13">
        <f>IF(C2871=Options!$B$9,B2871*12,0)</f>
        <v/>
      </c>
      <c r="L2871" s="13">
        <f>IF(C2871=Options!$B$9,B2871*Options!$Z$8,0)</f>
        <v/>
      </c>
      <c r="M2871" s="13" t="n">
        <v>0</v>
      </c>
      <c r="N2871" s="13">
        <f>SUM(E2871:M2871)</f>
        <v/>
      </c>
    </row>
    <row r="2872">
      <c r="A2872" s="5">
        <f>IF(AND(C2872&gt;=Options!$B$9,C2872&lt;=Options!$B$10),"Boston","")</f>
        <v/>
      </c>
      <c r="B2872" s="5">
        <f>IF(A2872="","",24)</f>
        <v/>
      </c>
      <c r="C2872" s="17" t="n">
        <v>46608</v>
      </c>
      <c r="D2872" s="5">
        <f>IF(A2872="","",IF(C2872=DATE(2026,11,29),"培训；注册午餐；早餐参数",IF(C2872=DATE(2026,11,30),"培训；注册午餐",IF(C2872=DATE(2026,12,1),"培训；注册午餐；机构晚餐",IF(C2872=Options!$B$9,"抵达；"&amp;IF(C2872=DATE(2026,11,28),"机构晚餐","无统一供餐"),IF(C2872=Options!$B$10,"返程；"&amp;IF(C2872=DATE(2026,12,2),"机构午餐","无统一供餐"),"差旅状态；无统一日程"))))))</f>
        <v/>
      </c>
      <c r="E2872" s="13">
        <f>IF(C2872=Options!$B$9,Options!$C$21,0)</f>
        <v/>
      </c>
      <c r="F2872" s="13">
        <f>IF(AND(A2872&lt;&gt;"",C2872&lt;Options!$B$10),B2872*Options!$X$8,0)</f>
        <v/>
      </c>
      <c r="G2872" s="13">
        <f>F2872*12%</f>
        <v/>
      </c>
      <c r="H2872" s="13">
        <f>IF(A2872="",0,B2872*(92*IF(OR(C2872=Options!$B$9,C2872=Options!$B$10),75%,100%)-IF(C2872=DATE(2026,11,29),26+IF(Options!$B$8="是",23,0),0)-IF(C2872=DATE(2026,11,30),26,0)-IF(C2872=DATE(2026,12,1),64,0)-IF(C2872=DATE(2026,11,28),38,0)-IF(C2872=DATE(2026,12,2),26,0)))</f>
        <v/>
      </c>
      <c r="I2872" s="13">
        <f>IF(AND(C2872&gt;=DATE(2026,11,29),C2872&lt;=DATE(2026,12,1)),B2872*60,0)</f>
        <v/>
      </c>
      <c r="J2872" s="13">
        <f>IF(A2872="",0,B2872*(IF(C2872=DATE(2026,11,28),38,0)+IF(C2872=DATE(2026,12,1),38,0)+IF(C2872=DATE(2026,12,2),26,0)))</f>
        <v/>
      </c>
      <c r="K2872" s="13">
        <f>IF(C2872=Options!$B$9,B2872*12,0)</f>
        <v/>
      </c>
      <c r="L2872" s="13">
        <f>IF(C2872=Options!$B$9,B2872*Options!$Z$8,0)</f>
        <v/>
      </c>
      <c r="M2872" s="13" t="n">
        <v>0</v>
      </c>
      <c r="N2872" s="13">
        <f>SUM(E2872:M2872)</f>
        <v/>
      </c>
    </row>
    <row r="2873">
      <c r="A2873" s="5">
        <f>IF(AND(C2873&gt;=Options!$B$9,C2873&lt;=Options!$B$10),"Boston","")</f>
        <v/>
      </c>
      <c r="B2873" s="5">
        <f>IF(A2873="","",24)</f>
        <v/>
      </c>
      <c r="C2873" s="17" t="n">
        <v>46609</v>
      </c>
      <c r="D2873" s="5">
        <f>IF(A2873="","",IF(C2873=DATE(2026,11,29),"培训；注册午餐；早餐参数",IF(C2873=DATE(2026,11,30),"培训；注册午餐",IF(C2873=DATE(2026,12,1),"培训；注册午餐；机构晚餐",IF(C2873=Options!$B$9,"抵达；"&amp;IF(C2873=DATE(2026,11,28),"机构晚餐","无统一供餐"),IF(C2873=Options!$B$10,"返程；"&amp;IF(C2873=DATE(2026,12,2),"机构午餐","无统一供餐"),"差旅状态；无统一日程"))))))</f>
        <v/>
      </c>
      <c r="E2873" s="13">
        <f>IF(C2873=Options!$B$9,Options!$C$21,0)</f>
        <v/>
      </c>
      <c r="F2873" s="13">
        <f>IF(AND(A2873&lt;&gt;"",C2873&lt;Options!$B$10),B2873*Options!$X$8,0)</f>
        <v/>
      </c>
      <c r="G2873" s="13">
        <f>F2873*12%</f>
        <v/>
      </c>
      <c r="H2873" s="13">
        <f>IF(A2873="",0,B2873*(92*IF(OR(C2873=Options!$B$9,C2873=Options!$B$10),75%,100%)-IF(C2873=DATE(2026,11,29),26+IF(Options!$B$8="是",23,0),0)-IF(C2873=DATE(2026,11,30),26,0)-IF(C2873=DATE(2026,12,1),64,0)-IF(C2873=DATE(2026,11,28),38,0)-IF(C2873=DATE(2026,12,2),26,0)))</f>
        <v/>
      </c>
      <c r="I2873" s="13">
        <f>IF(AND(C2873&gt;=DATE(2026,11,29),C2873&lt;=DATE(2026,12,1)),B2873*60,0)</f>
        <v/>
      </c>
      <c r="J2873" s="13">
        <f>IF(A2873="",0,B2873*(IF(C2873=DATE(2026,11,28),38,0)+IF(C2873=DATE(2026,12,1),38,0)+IF(C2873=DATE(2026,12,2),26,0)))</f>
        <v/>
      </c>
      <c r="K2873" s="13">
        <f>IF(C2873=Options!$B$9,B2873*12,0)</f>
        <v/>
      </c>
      <c r="L2873" s="13">
        <f>IF(C2873=Options!$B$9,B2873*Options!$Z$8,0)</f>
        <v/>
      </c>
      <c r="M2873" s="13" t="n">
        <v>0</v>
      </c>
      <c r="N2873" s="13">
        <f>SUM(E2873:M2873)</f>
        <v/>
      </c>
    </row>
    <row r="2874">
      <c r="A2874" s="5">
        <f>IF(AND(C2874&gt;=Options!$B$9,C2874&lt;=Options!$B$10),"Boston","")</f>
        <v/>
      </c>
      <c r="B2874" s="5">
        <f>IF(A2874="","",24)</f>
        <v/>
      </c>
      <c r="C2874" s="17" t="n">
        <v>46610</v>
      </c>
      <c r="D2874" s="5">
        <f>IF(A2874="","",IF(C2874=DATE(2026,11,29),"培训；注册午餐；早餐参数",IF(C2874=DATE(2026,11,30),"培训；注册午餐",IF(C2874=DATE(2026,12,1),"培训；注册午餐；机构晚餐",IF(C2874=Options!$B$9,"抵达；"&amp;IF(C2874=DATE(2026,11,28),"机构晚餐","无统一供餐"),IF(C2874=Options!$B$10,"返程；"&amp;IF(C2874=DATE(2026,12,2),"机构午餐","无统一供餐"),"差旅状态；无统一日程"))))))</f>
        <v/>
      </c>
      <c r="E2874" s="13">
        <f>IF(C2874=Options!$B$9,Options!$C$21,0)</f>
        <v/>
      </c>
      <c r="F2874" s="13">
        <f>IF(AND(A2874&lt;&gt;"",C2874&lt;Options!$B$10),B2874*Options!$X$8,0)</f>
        <v/>
      </c>
      <c r="G2874" s="13">
        <f>F2874*12%</f>
        <v/>
      </c>
      <c r="H2874" s="13">
        <f>IF(A2874="",0,B2874*(92*IF(OR(C2874=Options!$B$9,C2874=Options!$B$10),75%,100%)-IF(C2874=DATE(2026,11,29),26+IF(Options!$B$8="是",23,0),0)-IF(C2874=DATE(2026,11,30),26,0)-IF(C2874=DATE(2026,12,1),64,0)-IF(C2874=DATE(2026,11,28),38,0)-IF(C2874=DATE(2026,12,2),26,0)))</f>
        <v/>
      </c>
      <c r="I2874" s="13">
        <f>IF(AND(C2874&gt;=DATE(2026,11,29),C2874&lt;=DATE(2026,12,1)),B2874*60,0)</f>
        <v/>
      </c>
      <c r="J2874" s="13">
        <f>IF(A2874="",0,B2874*(IF(C2874=DATE(2026,11,28),38,0)+IF(C2874=DATE(2026,12,1),38,0)+IF(C2874=DATE(2026,12,2),26,0)))</f>
        <v/>
      </c>
      <c r="K2874" s="13">
        <f>IF(C2874=Options!$B$9,B2874*12,0)</f>
        <v/>
      </c>
      <c r="L2874" s="13">
        <f>IF(C2874=Options!$B$9,B2874*Options!$Z$8,0)</f>
        <v/>
      </c>
      <c r="M2874" s="13" t="n">
        <v>0</v>
      </c>
      <c r="N2874" s="13">
        <f>SUM(E2874:M2874)</f>
        <v/>
      </c>
    </row>
    <row r="2875">
      <c r="A2875" s="5">
        <f>IF(AND(C2875&gt;=Options!$B$9,C2875&lt;=Options!$B$10),"Boston","")</f>
        <v/>
      </c>
      <c r="B2875" s="5">
        <f>IF(A2875="","",24)</f>
        <v/>
      </c>
      <c r="C2875" s="17" t="n">
        <v>46611</v>
      </c>
      <c r="D2875" s="5">
        <f>IF(A2875="","",IF(C2875=DATE(2026,11,29),"培训；注册午餐；早餐参数",IF(C2875=DATE(2026,11,30),"培训；注册午餐",IF(C2875=DATE(2026,12,1),"培训；注册午餐；机构晚餐",IF(C2875=Options!$B$9,"抵达；"&amp;IF(C2875=DATE(2026,11,28),"机构晚餐","无统一供餐"),IF(C2875=Options!$B$10,"返程；"&amp;IF(C2875=DATE(2026,12,2),"机构午餐","无统一供餐"),"差旅状态；无统一日程"))))))</f>
        <v/>
      </c>
      <c r="E2875" s="13">
        <f>IF(C2875=Options!$B$9,Options!$C$21,0)</f>
        <v/>
      </c>
      <c r="F2875" s="13">
        <f>IF(AND(A2875&lt;&gt;"",C2875&lt;Options!$B$10),B2875*Options!$X$8,0)</f>
        <v/>
      </c>
      <c r="G2875" s="13">
        <f>F2875*12%</f>
        <v/>
      </c>
      <c r="H2875" s="13">
        <f>IF(A2875="",0,B2875*(92*IF(OR(C2875=Options!$B$9,C2875=Options!$B$10),75%,100%)-IF(C2875=DATE(2026,11,29),26+IF(Options!$B$8="是",23,0),0)-IF(C2875=DATE(2026,11,30),26,0)-IF(C2875=DATE(2026,12,1),64,0)-IF(C2875=DATE(2026,11,28),38,0)-IF(C2875=DATE(2026,12,2),26,0)))</f>
        <v/>
      </c>
      <c r="I2875" s="13">
        <f>IF(AND(C2875&gt;=DATE(2026,11,29),C2875&lt;=DATE(2026,12,1)),B2875*60,0)</f>
        <v/>
      </c>
      <c r="J2875" s="13">
        <f>IF(A2875="",0,B2875*(IF(C2875=DATE(2026,11,28),38,0)+IF(C2875=DATE(2026,12,1),38,0)+IF(C2875=DATE(2026,12,2),26,0)))</f>
        <v/>
      </c>
      <c r="K2875" s="13">
        <f>IF(C2875=Options!$B$9,B2875*12,0)</f>
        <v/>
      </c>
      <c r="L2875" s="13">
        <f>IF(C2875=Options!$B$9,B2875*Options!$Z$8,0)</f>
        <v/>
      </c>
      <c r="M2875" s="13" t="n">
        <v>0</v>
      </c>
      <c r="N2875" s="13">
        <f>SUM(E2875:M2875)</f>
        <v/>
      </c>
    </row>
    <row r="2876">
      <c r="A2876" s="5">
        <f>IF(AND(C2876&gt;=Options!$B$9,C2876&lt;=Options!$B$10),"Boston","")</f>
        <v/>
      </c>
      <c r="B2876" s="5">
        <f>IF(A2876="","",24)</f>
        <v/>
      </c>
      <c r="C2876" s="17" t="n">
        <v>46612</v>
      </c>
      <c r="D2876" s="5">
        <f>IF(A2876="","",IF(C2876=DATE(2026,11,29),"培训；注册午餐；早餐参数",IF(C2876=DATE(2026,11,30),"培训；注册午餐",IF(C2876=DATE(2026,12,1),"培训；注册午餐；机构晚餐",IF(C2876=Options!$B$9,"抵达；"&amp;IF(C2876=DATE(2026,11,28),"机构晚餐","无统一供餐"),IF(C2876=Options!$B$10,"返程；"&amp;IF(C2876=DATE(2026,12,2),"机构午餐","无统一供餐"),"差旅状态；无统一日程"))))))</f>
        <v/>
      </c>
      <c r="E2876" s="13">
        <f>IF(C2876=Options!$B$9,Options!$C$21,0)</f>
        <v/>
      </c>
      <c r="F2876" s="13">
        <f>IF(AND(A2876&lt;&gt;"",C2876&lt;Options!$B$10),B2876*Options!$X$8,0)</f>
        <v/>
      </c>
      <c r="G2876" s="13">
        <f>F2876*12%</f>
        <v/>
      </c>
      <c r="H2876" s="13">
        <f>IF(A2876="",0,B2876*(92*IF(OR(C2876=Options!$B$9,C2876=Options!$B$10),75%,100%)-IF(C2876=DATE(2026,11,29),26+IF(Options!$B$8="是",23,0),0)-IF(C2876=DATE(2026,11,30),26,0)-IF(C2876=DATE(2026,12,1),64,0)-IF(C2876=DATE(2026,11,28),38,0)-IF(C2876=DATE(2026,12,2),26,0)))</f>
        <v/>
      </c>
      <c r="I2876" s="13">
        <f>IF(AND(C2876&gt;=DATE(2026,11,29),C2876&lt;=DATE(2026,12,1)),B2876*60,0)</f>
        <v/>
      </c>
      <c r="J2876" s="13">
        <f>IF(A2876="",0,B2876*(IF(C2876=DATE(2026,11,28),38,0)+IF(C2876=DATE(2026,12,1),38,0)+IF(C2876=DATE(2026,12,2),26,0)))</f>
        <v/>
      </c>
      <c r="K2876" s="13">
        <f>IF(C2876=Options!$B$9,B2876*12,0)</f>
        <v/>
      </c>
      <c r="L2876" s="13">
        <f>IF(C2876=Options!$B$9,B2876*Options!$Z$8,0)</f>
        <v/>
      </c>
      <c r="M2876" s="13" t="n">
        <v>0</v>
      </c>
      <c r="N2876" s="13">
        <f>SUM(E2876:M2876)</f>
        <v/>
      </c>
    </row>
    <row r="2877">
      <c r="A2877" s="5">
        <f>IF(AND(C2877&gt;=Options!$B$9,C2877&lt;=Options!$B$10),"Boston","")</f>
        <v/>
      </c>
      <c r="B2877" s="5">
        <f>IF(A2877="","",24)</f>
        <v/>
      </c>
      <c r="C2877" s="17" t="n">
        <v>46613</v>
      </c>
      <c r="D2877" s="5">
        <f>IF(A2877="","",IF(C2877=DATE(2026,11,29),"培训；注册午餐；早餐参数",IF(C2877=DATE(2026,11,30),"培训；注册午餐",IF(C2877=DATE(2026,12,1),"培训；注册午餐；机构晚餐",IF(C2877=Options!$B$9,"抵达；"&amp;IF(C2877=DATE(2026,11,28),"机构晚餐","无统一供餐"),IF(C2877=Options!$B$10,"返程；"&amp;IF(C2877=DATE(2026,12,2),"机构午餐","无统一供餐"),"差旅状态；无统一日程"))))))</f>
        <v/>
      </c>
      <c r="E2877" s="13">
        <f>IF(C2877=Options!$B$9,Options!$C$21,0)</f>
        <v/>
      </c>
      <c r="F2877" s="13">
        <f>IF(AND(A2877&lt;&gt;"",C2877&lt;Options!$B$10),B2877*Options!$X$8,0)</f>
        <v/>
      </c>
      <c r="G2877" s="13">
        <f>F2877*12%</f>
        <v/>
      </c>
      <c r="H2877" s="13">
        <f>IF(A2877="",0,B2877*(92*IF(OR(C2877=Options!$B$9,C2877=Options!$B$10),75%,100%)-IF(C2877=DATE(2026,11,29),26+IF(Options!$B$8="是",23,0),0)-IF(C2877=DATE(2026,11,30),26,0)-IF(C2877=DATE(2026,12,1),64,0)-IF(C2877=DATE(2026,11,28),38,0)-IF(C2877=DATE(2026,12,2),26,0)))</f>
        <v/>
      </c>
      <c r="I2877" s="13">
        <f>IF(AND(C2877&gt;=DATE(2026,11,29),C2877&lt;=DATE(2026,12,1)),B2877*60,0)</f>
        <v/>
      </c>
      <c r="J2877" s="13">
        <f>IF(A2877="",0,B2877*(IF(C2877=DATE(2026,11,28),38,0)+IF(C2877=DATE(2026,12,1),38,0)+IF(C2877=DATE(2026,12,2),26,0)))</f>
        <v/>
      </c>
      <c r="K2877" s="13">
        <f>IF(C2877=Options!$B$9,B2877*12,0)</f>
        <v/>
      </c>
      <c r="L2877" s="13">
        <f>IF(C2877=Options!$B$9,B2877*Options!$Z$8,0)</f>
        <v/>
      </c>
      <c r="M2877" s="13" t="n">
        <v>0</v>
      </c>
      <c r="N2877" s="13">
        <f>SUM(E2877:M2877)</f>
        <v/>
      </c>
    </row>
    <row r="2878">
      <c r="A2878" s="5">
        <f>IF(AND(C2878&gt;=Options!$B$9,C2878&lt;=Options!$B$10),"Boston","")</f>
        <v/>
      </c>
      <c r="B2878" s="5">
        <f>IF(A2878="","",24)</f>
        <v/>
      </c>
      <c r="C2878" s="17" t="n">
        <v>46614</v>
      </c>
      <c r="D2878" s="5">
        <f>IF(A2878="","",IF(C2878=DATE(2026,11,29),"培训；注册午餐；早餐参数",IF(C2878=DATE(2026,11,30),"培训；注册午餐",IF(C2878=DATE(2026,12,1),"培训；注册午餐；机构晚餐",IF(C2878=Options!$B$9,"抵达；"&amp;IF(C2878=DATE(2026,11,28),"机构晚餐","无统一供餐"),IF(C2878=Options!$B$10,"返程；"&amp;IF(C2878=DATE(2026,12,2),"机构午餐","无统一供餐"),"差旅状态；无统一日程"))))))</f>
        <v/>
      </c>
      <c r="E2878" s="13">
        <f>IF(C2878=Options!$B$9,Options!$C$21,0)</f>
        <v/>
      </c>
      <c r="F2878" s="13">
        <f>IF(AND(A2878&lt;&gt;"",C2878&lt;Options!$B$10),B2878*Options!$X$8,0)</f>
        <v/>
      </c>
      <c r="G2878" s="13">
        <f>F2878*12%</f>
        <v/>
      </c>
      <c r="H2878" s="13">
        <f>IF(A2878="",0,B2878*(92*IF(OR(C2878=Options!$B$9,C2878=Options!$B$10),75%,100%)-IF(C2878=DATE(2026,11,29),26+IF(Options!$B$8="是",23,0),0)-IF(C2878=DATE(2026,11,30),26,0)-IF(C2878=DATE(2026,12,1),64,0)-IF(C2878=DATE(2026,11,28),38,0)-IF(C2878=DATE(2026,12,2),26,0)))</f>
        <v/>
      </c>
      <c r="I2878" s="13">
        <f>IF(AND(C2878&gt;=DATE(2026,11,29),C2878&lt;=DATE(2026,12,1)),B2878*60,0)</f>
        <v/>
      </c>
      <c r="J2878" s="13">
        <f>IF(A2878="",0,B2878*(IF(C2878=DATE(2026,11,28),38,0)+IF(C2878=DATE(2026,12,1),38,0)+IF(C2878=DATE(2026,12,2),26,0)))</f>
        <v/>
      </c>
      <c r="K2878" s="13">
        <f>IF(C2878=Options!$B$9,B2878*12,0)</f>
        <v/>
      </c>
      <c r="L2878" s="13">
        <f>IF(C2878=Options!$B$9,B2878*Options!$Z$8,0)</f>
        <v/>
      </c>
      <c r="M2878" s="13" t="n">
        <v>0</v>
      </c>
      <c r="N2878" s="13">
        <f>SUM(E2878:M2878)</f>
        <v/>
      </c>
    </row>
    <row r="2879">
      <c r="A2879" s="5">
        <f>IF(AND(C2879&gt;=Options!$B$9,C2879&lt;=Options!$B$10),"Boston","")</f>
        <v/>
      </c>
      <c r="B2879" s="5">
        <f>IF(A2879="","",24)</f>
        <v/>
      </c>
      <c r="C2879" s="17" t="n">
        <v>46615</v>
      </c>
      <c r="D2879" s="5">
        <f>IF(A2879="","",IF(C2879=DATE(2026,11,29),"培训；注册午餐；早餐参数",IF(C2879=DATE(2026,11,30),"培训；注册午餐",IF(C2879=DATE(2026,12,1),"培训；注册午餐；机构晚餐",IF(C2879=Options!$B$9,"抵达；"&amp;IF(C2879=DATE(2026,11,28),"机构晚餐","无统一供餐"),IF(C2879=Options!$B$10,"返程；"&amp;IF(C2879=DATE(2026,12,2),"机构午餐","无统一供餐"),"差旅状态；无统一日程"))))))</f>
        <v/>
      </c>
      <c r="E2879" s="13">
        <f>IF(C2879=Options!$B$9,Options!$C$21,0)</f>
        <v/>
      </c>
      <c r="F2879" s="13">
        <f>IF(AND(A2879&lt;&gt;"",C2879&lt;Options!$B$10),B2879*Options!$X$8,0)</f>
        <v/>
      </c>
      <c r="G2879" s="13">
        <f>F2879*12%</f>
        <v/>
      </c>
      <c r="H2879" s="13">
        <f>IF(A2879="",0,B2879*(92*IF(OR(C2879=Options!$B$9,C2879=Options!$B$10),75%,100%)-IF(C2879=DATE(2026,11,29),26+IF(Options!$B$8="是",23,0),0)-IF(C2879=DATE(2026,11,30),26,0)-IF(C2879=DATE(2026,12,1),64,0)-IF(C2879=DATE(2026,11,28),38,0)-IF(C2879=DATE(2026,12,2),26,0)))</f>
        <v/>
      </c>
      <c r="I2879" s="13">
        <f>IF(AND(C2879&gt;=DATE(2026,11,29),C2879&lt;=DATE(2026,12,1)),B2879*60,0)</f>
        <v/>
      </c>
      <c r="J2879" s="13">
        <f>IF(A2879="",0,B2879*(IF(C2879=DATE(2026,11,28),38,0)+IF(C2879=DATE(2026,12,1),38,0)+IF(C2879=DATE(2026,12,2),26,0)))</f>
        <v/>
      </c>
      <c r="K2879" s="13">
        <f>IF(C2879=Options!$B$9,B2879*12,0)</f>
        <v/>
      </c>
      <c r="L2879" s="13">
        <f>IF(C2879=Options!$B$9,B2879*Options!$Z$8,0)</f>
        <v/>
      </c>
      <c r="M2879" s="13" t="n">
        <v>0</v>
      </c>
      <c r="N2879" s="13">
        <f>SUM(E2879:M2879)</f>
        <v/>
      </c>
    </row>
    <row r="2880">
      <c r="A2880" s="5">
        <f>IF(AND(C2880&gt;=Options!$B$9,C2880&lt;=Options!$B$10),"Boston","")</f>
        <v/>
      </c>
      <c r="B2880" s="5">
        <f>IF(A2880="","",24)</f>
        <v/>
      </c>
      <c r="C2880" s="17" t="n">
        <v>46616</v>
      </c>
      <c r="D2880" s="5">
        <f>IF(A2880="","",IF(C2880=DATE(2026,11,29),"培训；注册午餐；早餐参数",IF(C2880=DATE(2026,11,30),"培训；注册午餐",IF(C2880=DATE(2026,12,1),"培训；注册午餐；机构晚餐",IF(C2880=Options!$B$9,"抵达；"&amp;IF(C2880=DATE(2026,11,28),"机构晚餐","无统一供餐"),IF(C2880=Options!$B$10,"返程；"&amp;IF(C2880=DATE(2026,12,2),"机构午餐","无统一供餐"),"差旅状态；无统一日程"))))))</f>
        <v/>
      </c>
      <c r="E2880" s="13">
        <f>IF(C2880=Options!$B$9,Options!$C$21,0)</f>
        <v/>
      </c>
      <c r="F2880" s="13">
        <f>IF(AND(A2880&lt;&gt;"",C2880&lt;Options!$B$10),B2880*Options!$X$8,0)</f>
        <v/>
      </c>
      <c r="G2880" s="13">
        <f>F2880*12%</f>
        <v/>
      </c>
      <c r="H2880" s="13">
        <f>IF(A2880="",0,B2880*(92*IF(OR(C2880=Options!$B$9,C2880=Options!$B$10),75%,100%)-IF(C2880=DATE(2026,11,29),26+IF(Options!$B$8="是",23,0),0)-IF(C2880=DATE(2026,11,30),26,0)-IF(C2880=DATE(2026,12,1),64,0)-IF(C2880=DATE(2026,11,28),38,0)-IF(C2880=DATE(2026,12,2),26,0)))</f>
        <v/>
      </c>
      <c r="I2880" s="13">
        <f>IF(AND(C2880&gt;=DATE(2026,11,29),C2880&lt;=DATE(2026,12,1)),B2880*60,0)</f>
        <v/>
      </c>
      <c r="J2880" s="13">
        <f>IF(A2880="",0,B2880*(IF(C2880=DATE(2026,11,28),38,0)+IF(C2880=DATE(2026,12,1),38,0)+IF(C2880=DATE(2026,12,2),26,0)))</f>
        <v/>
      </c>
      <c r="K2880" s="13">
        <f>IF(C2880=Options!$B$9,B2880*12,0)</f>
        <v/>
      </c>
      <c r="L2880" s="13">
        <f>IF(C2880=Options!$B$9,B2880*Options!$Z$8,0)</f>
        <v/>
      </c>
      <c r="M2880" s="13" t="n">
        <v>0</v>
      </c>
      <c r="N2880" s="13">
        <f>SUM(E2880:M2880)</f>
        <v/>
      </c>
    </row>
    <row r="2881">
      <c r="A2881" s="5">
        <f>IF(AND(C2881&gt;=Options!$B$9,C2881&lt;=Options!$B$10),"Boston","")</f>
        <v/>
      </c>
      <c r="B2881" s="5">
        <f>IF(A2881="","",24)</f>
        <v/>
      </c>
      <c r="C2881" s="17" t="n">
        <v>46617</v>
      </c>
      <c r="D2881" s="5">
        <f>IF(A2881="","",IF(C2881=DATE(2026,11,29),"培训；注册午餐；早餐参数",IF(C2881=DATE(2026,11,30),"培训；注册午餐",IF(C2881=DATE(2026,12,1),"培训；注册午餐；机构晚餐",IF(C2881=Options!$B$9,"抵达；"&amp;IF(C2881=DATE(2026,11,28),"机构晚餐","无统一供餐"),IF(C2881=Options!$B$10,"返程；"&amp;IF(C2881=DATE(2026,12,2),"机构午餐","无统一供餐"),"差旅状态；无统一日程"))))))</f>
        <v/>
      </c>
      <c r="E2881" s="13">
        <f>IF(C2881=Options!$B$9,Options!$C$21,0)</f>
        <v/>
      </c>
      <c r="F2881" s="13">
        <f>IF(AND(A2881&lt;&gt;"",C2881&lt;Options!$B$10),B2881*Options!$X$8,0)</f>
        <v/>
      </c>
      <c r="G2881" s="13">
        <f>F2881*12%</f>
        <v/>
      </c>
      <c r="H2881" s="13">
        <f>IF(A2881="",0,B2881*(92*IF(OR(C2881=Options!$B$9,C2881=Options!$B$10),75%,100%)-IF(C2881=DATE(2026,11,29),26+IF(Options!$B$8="是",23,0),0)-IF(C2881=DATE(2026,11,30),26,0)-IF(C2881=DATE(2026,12,1),64,0)-IF(C2881=DATE(2026,11,28),38,0)-IF(C2881=DATE(2026,12,2),26,0)))</f>
        <v/>
      </c>
      <c r="I2881" s="13">
        <f>IF(AND(C2881&gt;=DATE(2026,11,29),C2881&lt;=DATE(2026,12,1)),B2881*60,0)</f>
        <v/>
      </c>
      <c r="J2881" s="13">
        <f>IF(A2881="",0,B2881*(IF(C2881=DATE(2026,11,28),38,0)+IF(C2881=DATE(2026,12,1),38,0)+IF(C2881=DATE(2026,12,2),26,0)))</f>
        <v/>
      </c>
      <c r="K2881" s="13">
        <f>IF(C2881=Options!$B$9,B2881*12,0)</f>
        <v/>
      </c>
      <c r="L2881" s="13">
        <f>IF(C2881=Options!$B$9,B2881*Options!$Z$8,0)</f>
        <v/>
      </c>
      <c r="M2881" s="13" t="n">
        <v>0</v>
      </c>
      <c r="N2881" s="13">
        <f>SUM(E2881:M2881)</f>
        <v/>
      </c>
    </row>
    <row r="2882">
      <c r="A2882" s="5">
        <f>IF(AND(C2882&gt;=Options!$B$9,C2882&lt;=Options!$B$10),"Boston","")</f>
        <v/>
      </c>
      <c r="B2882" s="5">
        <f>IF(A2882="","",24)</f>
        <v/>
      </c>
      <c r="C2882" s="17" t="n">
        <v>46618</v>
      </c>
      <c r="D2882" s="5">
        <f>IF(A2882="","",IF(C2882=DATE(2026,11,29),"培训；注册午餐；早餐参数",IF(C2882=DATE(2026,11,30),"培训；注册午餐",IF(C2882=DATE(2026,12,1),"培训；注册午餐；机构晚餐",IF(C2882=Options!$B$9,"抵达；"&amp;IF(C2882=DATE(2026,11,28),"机构晚餐","无统一供餐"),IF(C2882=Options!$B$10,"返程；"&amp;IF(C2882=DATE(2026,12,2),"机构午餐","无统一供餐"),"差旅状态；无统一日程"))))))</f>
        <v/>
      </c>
      <c r="E2882" s="13">
        <f>IF(C2882=Options!$B$9,Options!$C$21,0)</f>
        <v/>
      </c>
      <c r="F2882" s="13">
        <f>IF(AND(A2882&lt;&gt;"",C2882&lt;Options!$B$10),B2882*Options!$X$8,0)</f>
        <v/>
      </c>
      <c r="G2882" s="13">
        <f>F2882*12%</f>
        <v/>
      </c>
      <c r="H2882" s="13">
        <f>IF(A2882="",0,B2882*(92*IF(OR(C2882=Options!$B$9,C2882=Options!$B$10),75%,100%)-IF(C2882=DATE(2026,11,29),26+IF(Options!$B$8="是",23,0),0)-IF(C2882=DATE(2026,11,30),26,0)-IF(C2882=DATE(2026,12,1),64,0)-IF(C2882=DATE(2026,11,28),38,0)-IF(C2882=DATE(2026,12,2),26,0)))</f>
        <v/>
      </c>
      <c r="I2882" s="13">
        <f>IF(AND(C2882&gt;=DATE(2026,11,29),C2882&lt;=DATE(2026,12,1)),B2882*60,0)</f>
        <v/>
      </c>
      <c r="J2882" s="13">
        <f>IF(A2882="",0,B2882*(IF(C2882=DATE(2026,11,28),38,0)+IF(C2882=DATE(2026,12,1),38,0)+IF(C2882=DATE(2026,12,2),26,0)))</f>
        <v/>
      </c>
      <c r="K2882" s="13">
        <f>IF(C2882=Options!$B$9,B2882*12,0)</f>
        <v/>
      </c>
      <c r="L2882" s="13">
        <f>IF(C2882=Options!$B$9,B2882*Options!$Z$8,0)</f>
        <v/>
      </c>
      <c r="M2882" s="13" t="n">
        <v>0</v>
      </c>
      <c r="N2882" s="13">
        <f>SUM(E2882:M2882)</f>
        <v/>
      </c>
    </row>
    <row r="2883">
      <c r="A2883" s="5">
        <f>IF(AND(C2883&gt;=Options!$B$9,C2883&lt;=Options!$B$10),"Boston","")</f>
        <v/>
      </c>
      <c r="B2883" s="5">
        <f>IF(A2883="","",24)</f>
        <v/>
      </c>
      <c r="C2883" s="17" t="n">
        <v>46619</v>
      </c>
      <c r="D2883" s="5">
        <f>IF(A2883="","",IF(C2883=DATE(2026,11,29),"培训；注册午餐；早餐参数",IF(C2883=DATE(2026,11,30),"培训；注册午餐",IF(C2883=DATE(2026,12,1),"培训；注册午餐；机构晚餐",IF(C2883=Options!$B$9,"抵达；"&amp;IF(C2883=DATE(2026,11,28),"机构晚餐","无统一供餐"),IF(C2883=Options!$B$10,"返程；"&amp;IF(C2883=DATE(2026,12,2),"机构午餐","无统一供餐"),"差旅状态；无统一日程"))))))</f>
        <v/>
      </c>
      <c r="E2883" s="13">
        <f>IF(C2883=Options!$B$9,Options!$C$21,0)</f>
        <v/>
      </c>
      <c r="F2883" s="13">
        <f>IF(AND(A2883&lt;&gt;"",C2883&lt;Options!$B$10),B2883*Options!$X$8,0)</f>
        <v/>
      </c>
      <c r="G2883" s="13">
        <f>F2883*12%</f>
        <v/>
      </c>
      <c r="H2883" s="13">
        <f>IF(A2883="",0,B2883*(92*IF(OR(C2883=Options!$B$9,C2883=Options!$B$10),75%,100%)-IF(C2883=DATE(2026,11,29),26+IF(Options!$B$8="是",23,0),0)-IF(C2883=DATE(2026,11,30),26,0)-IF(C2883=DATE(2026,12,1),64,0)-IF(C2883=DATE(2026,11,28),38,0)-IF(C2883=DATE(2026,12,2),26,0)))</f>
        <v/>
      </c>
      <c r="I2883" s="13">
        <f>IF(AND(C2883&gt;=DATE(2026,11,29),C2883&lt;=DATE(2026,12,1)),B2883*60,0)</f>
        <v/>
      </c>
      <c r="J2883" s="13">
        <f>IF(A2883="",0,B2883*(IF(C2883=DATE(2026,11,28),38,0)+IF(C2883=DATE(2026,12,1),38,0)+IF(C2883=DATE(2026,12,2),26,0)))</f>
        <v/>
      </c>
      <c r="K2883" s="13">
        <f>IF(C2883=Options!$B$9,B2883*12,0)</f>
        <v/>
      </c>
      <c r="L2883" s="13">
        <f>IF(C2883=Options!$B$9,B2883*Options!$Z$8,0)</f>
        <v/>
      </c>
      <c r="M2883" s="13" t="n">
        <v>0</v>
      </c>
      <c r="N2883" s="13">
        <f>SUM(E2883:M2883)</f>
        <v/>
      </c>
    </row>
    <row r="2884">
      <c r="A2884" s="5">
        <f>IF(AND(C2884&gt;=Options!$B$9,C2884&lt;=Options!$B$10),"Boston","")</f>
        <v/>
      </c>
      <c r="B2884" s="5">
        <f>IF(A2884="","",24)</f>
        <v/>
      </c>
      <c r="C2884" s="17" t="n">
        <v>46620</v>
      </c>
      <c r="D2884" s="5">
        <f>IF(A2884="","",IF(C2884=DATE(2026,11,29),"培训；注册午餐；早餐参数",IF(C2884=DATE(2026,11,30),"培训；注册午餐",IF(C2884=DATE(2026,12,1),"培训；注册午餐；机构晚餐",IF(C2884=Options!$B$9,"抵达；"&amp;IF(C2884=DATE(2026,11,28),"机构晚餐","无统一供餐"),IF(C2884=Options!$B$10,"返程；"&amp;IF(C2884=DATE(2026,12,2),"机构午餐","无统一供餐"),"差旅状态；无统一日程"))))))</f>
        <v/>
      </c>
      <c r="E2884" s="13">
        <f>IF(C2884=Options!$B$9,Options!$C$21,0)</f>
        <v/>
      </c>
      <c r="F2884" s="13">
        <f>IF(AND(A2884&lt;&gt;"",C2884&lt;Options!$B$10),B2884*Options!$X$8,0)</f>
        <v/>
      </c>
      <c r="G2884" s="13">
        <f>F2884*12%</f>
        <v/>
      </c>
      <c r="H2884" s="13">
        <f>IF(A2884="",0,B2884*(92*IF(OR(C2884=Options!$B$9,C2884=Options!$B$10),75%,100%)-IF(C2884=DATE(2026,11,29),26+IF(Options!$B$8="是",23,0),0)-IF(C2884=DATE(2026,11,30),26,0)-IF(C2884=DATE(2026,12,1),64,0)-IF(C2884=DATE(2026,11,28),38,0)-IF(C2884=DATE(2026,12,2),26,0)))</f>
        <v/>
      </c>
      <c r="I2884" s="13">
        <f>IF(AND(C2884&gt;=DATE(2026,11,29),C2884&lt;=DATE(2026,12,1)),B2884*60,0)</f>
        <v/>
      </c>
      <c r="J2884" s="13">
        <f>IF(A2884="",0,B2884*(IF(C2884=DATE(2026,11,28),38,0)+IF(C2884=DATE(2026,12,1),38,0)+IF(C2884=DATE(2026,12,2),26,0)))</f>
        <v/>
      </c>
      <c r="K2884" s="13">
        <f>IF(C2884=Options!$B$9,B2884*12,0)</f>
        <v/>
      </c>
      <c r="L2884" s="13">
        <f>IF(C2884=Options!$B$9,B2884*Options!$Z$8,0)</f>
        <v/>
      </c>
      <c r="M2884" s="13" t="n">
        <v>0</v>
      </c>
      <c r="N2884" s="13">
        <f>SUM(E2884:M2884)</f>
        <v/>
      </c>
    </row>
    <row r="2885">
      <c r="A2885" s="5">
        <f>IF(AND(C2885&gt;=Options!$B$9,C2885&lt;=Options!$B$10),"Boston","")</f>
        <v/>
      </c>
      <c r="B2885" s="5">
        <f>IF(A2885="","",24)</f>
        <v/>
      </c>
      <c r="C2885" s="17" t="n">
        <v>46621</v>
      </c>
      <c r="D2885" s="5">
        <f>IF(A2885="","",IF(C2885=DATE(2026,11,29),"培训；注册午餐；早餐参数",IF(C2885=DATE(2026,11,30),"培训；注册午餐",IF(C2885=DATE(2026,12,1),"培训；注册午餐；机构晚餐",IF(C2885=Options!$B$9,"抵达；"&amp;IF(C2885=DATE(2026,11,28),"机构晚餐","无统一供餐"),IF(C2885=Options!$B$10,"返程；"&amp;IF(C2885=DATE(2026,12,2),"机构午餐","无统一供餐"),"差旅状态；无统一日程"))))))</f>
        <v/>
      </c>
      <c r="E2885" s="13">
        <f>IF(C2885=Options!$B$9,Options!$C$21,0)</f>
        <v/>
      </c>
      <c r="F2885" s="13">
        <f>IF(AND(A2885&lt;&gt;"",C2885&lt;Options!$B$10),B2885*Options!$X$8,0)</f>
        <v/>
      </c>
      <c r="G2885" s="13">
        <f>F2885*12%</f>
        <v/>
      </c>
      <c r="H2885" s="13">
        <f>IF(A2885="",0,B2885*(92*IF(OR(C2885=Options!$B$9,C2885=Options!$B$10),75%,100%)-IF(C2885=DATE(2026,11,29),26+IF(Options!$B$8="是",23,0),0)-IF(C2885=DATE(2026,11,30),26,0)-IF(C2885=DATE(2026,12,1),64,0)-IF(C2885=DATE(2026,11,28),38,0)-IF(C2885=DATE(2026,12,2),26,0)))</f>
        <v/>
      </c>
      <c r="I2885" s="13">
        <f>IF(AND(C2885&gt;=DATE(2026,11,29),C2885&lt;=DATE(2026,12,1)),B2885*60,0)</f>
        <v/>
      </c>
      <c r="J2885" s="13">
        <f>IF(A2885="",0,B2885*(IF(C2885=DATE(2026,11,28),38,0)+IF(C2885=DATE(2026,12,1),38,0)+IF(C2885=DATE(2026,12,2),26,0)))</f>
        <v/>
      </c>
      <c r="K2885" s="13">
        <f>IF(C2885=Options!$B$9,B2885*12,0)</f>
        <v/>
      </c>
      <c r="L2885" s="13">
        <f>IF(C2885=Options!$B$9,B2885*Options!$Z$8,0)</f>
        <v/>
      </c>
      <c r="M2885" s="13" t="n">
        <v>0</v>
      </c>
      <c r="N2885" s="13">
        <f>SUM(E2885:M2885)</f>
        <v/>
      </c>
    </row>
    <row r="2886">
      <c r="A2886" s="5">
        <f>IF(AND(C2886&gt;=Options!$B$9,C2886&lt;=Options!$B$10),"Boston","")</f>
        <v/>
      </c>
      <c r="B2886" s="5">
        <f>IF(A2886="","",24)</f>
        <v/>
      </c>
      <c r="C2886" s="17" t="n">
        <v>46622</v>
      </c>
      <c r="D2886" s="5">
        <f>IF(A2886="","",IF(C2886=DATE(2026,11,29),"培训；注册午餐；早餐参数",IF(C2886=DATE(2026,11,30),"培训；注册午餐",IF(C2886=DATE(2026,12,1),"培训；注册午餐；机构晚餐",IF(C2886=Options!$B$9,"抵达；"&amp;IF(C2886=DATE(2026,11,28),"机构晚餐","无统一供餐"),IF(C2886=Options!$B$10,"返程；"&amp;IF(C2886=DATE(2026,12,2),"机构午餐","无统一供餐"),"差旅状态；无统一日程"))))))</f>
        <v/>
      </c>
      <c r="E2886" s="13">
        <f>IF(C2886=Options!$B$9,Options!$C$21,0)</f>
        <v/>
      </c>
      <c r="F2886" s="13">
        <f>IF(AND(A2886&lt;&gt;"",C2886&lt;Options!$B$10),B2886*Options!$X$8,0)</f>
        <v/>
      </c>
      <c r="G2886" s="13">
        <f>F2886*12%</f>
        <v/>
      </c>
      <c r="H2886" s="13">
        <f>IF(A2886="",0,B2886*(92*IF(OR(C2886=Options!$B$9,C2886=Options!$B$10),75%,100%)-IF(C2886=DATE(2026,11,29),26+IF(Options!$B$8="是",23,0),0)-IF(C2886=DATE(2026,11,30),26,0)-IF(C2886=DATE(2026,12,1),64,0)-IF(C2886=DATE(2026,11,28),38,0)-IF(C2886=DATE(2026,12,2),26,0)))</f>
        <v/>
      </c>
      <c r="I2886" s="13">
        <f>IF(AND(C2886&gt;=DATE(2026,11,29),C2886&lt;=DATE(2026,12,1)),B2886*60,0)</f>
        <v/>
      </c>
      <c r="J2886" s="13">
        <f>IF(A2886="",0,B2886*(IF(C2886=DATE(2026,11,28),38,0)+IF(C2886=DATE(2026,12,1),38,0)+IF(C2886=DATE(2026,12,2),26,0)))</f>
        <v/>
      </c>
      <c r="K2886" s="13">
        <f>IF(C2886=Options!$B$9,B2886*12,0)</f>
        <v/>
      </c>
      <c r="L2886" s="13">
        <f>IF(C2886=Options!$B$9,B2886*Options!$Z$8,0)</f>
        <v/>
      </c>
      <c r="M2886" s="13" t="n">
        <v>0</v>
      </c>
      <c r="N2886" s="13">
        <f>SUM(E2886:M2886)</f>
        <v/>
      </c>
    </row>
    <row r="2887">
      <c r="A2887" s="5">
        <f>IF(AND(C2887&gt;=Options!$B$9,C2887&lt;=Options!$B$10),"Boston","")</f>
        <v/>
      </c>
      <c r="B2887" s="5">
        <f>IF(A2887="","",24)</f>
        <v/>
      </c>
      <c r="C2887" s="17" t="n">
        <v>46623</v>
      </c>
      <c r="D2887" s="5">
        <f>IF(A2887="","",IF(C2887=DATE(2026,11,29),"培训；注册午餐；早餐参数",IF(C2887=DATE(2026,11,30),"培训；注册午餐",IF(C2887=DATE(2026,12,1),"培训；注册午餐；机构晚餐",IF(C2887=Options!$B$9,"抵达；"&amp;IF(C2887=DATE(2026,11,28),"机构晚餐","无统一供餐"),IF(C2887=Options!$B$10,"返程；"&amp;IF(C2887=DATE(2026,12,2),"机构午餐","无统一供餐"),"差旅状态；无统一日程"))))))</f>
        <v/>
      </c>
      <c r="E2887" s="13">
        <f>IF(C2887=Options!$B$9,Options!$C$21,0)</f>
        <v/>
      </c>
      <c r="F2887" s="13">
        <f>IF(AND(A2887&lt;&gt;"",C2887&lt;Options!$B$10),B2887*Options!$X$8,0)</f>
        <v/>
      </c>
      <c r="G2887" s="13">
        <f>F2887*12%</f>
        <v/>
      </c>
      <c r="H2887" s="13">
        <f>IF(A2887="",0,B2887*(92*IF(OR(C2887=Options!$B$9,C2887=Options!$B$10),75%,100%)-IF(C2887=DATE(2026,11,29),26+IF(Options!$B$8="是",23,0),0)-IF(C2887=DATE(2026,11,30),26,0)-IF(C2887=DATE(2026,12,1),64,0)-IF(C2887=DATE(2026,11,28),38,0)-IF(C2887=DATE(2026,12,2),26,0)))</f>
        <v/>
      </c>
      <c r="I2887" s="13">
        <f>IF(AND(C2887&gt;=DATE(2026,11,29),C2887&lt;=DATE(2026,12,1)),B2887*60,0)</f>
        <v/>
      </c>
      <c r="J2887" s="13">
        <f>IF(A2887="",0,B2887*(IF(C2887=DATE(2026,11,28),38,0)+IF(C2887=DATE(2026,12,1),38,0)+IF(C2887=DATE(2026,12,2),26,0)))</f>
        <v/>
      </c>
      <c r="K2887" s="13">
        <f>IF(C2887=Options!$B$9,B2887*12,0)</f>
        <v/>
      </c>
      <c r="L2887" s="13">
        <f>IF(C2887=Options!$B$9,B2887*Options!$Z$8,0)</f>
        <v/>
      </c>
      <c r="M2887" s="13" t="n">
        <v>0</v>
      </c>
      <c r="N2887" s="13">
        <f>SUM(E2887:M2887)</f>
        <v/>
      </c>
    </row>
    <row r="2888">
      <c r="A2888" s="5">
        <f>IF(AND(C2888&gt;=Options!$B$9,C2888&lt;=Options!$B$10),"Boston","")</f>
        <v/>
      </c>
      <c r="B2888" s="5">
        <f>IF(A2888="","",24)</f>
        <v/>
      </c>
      <c r="C2888" s="17" t="n">
        <v>46624</v>
      </c>
      <c r="D2888" s="5">
        <f>IF(A2888="","",IF(C2888=DATE(2026,11,29),"培训；注册午餐；早餐参数",IF(C2888=DATE(2026,11,30),"培训；注册午餐",IF(C2888=DATE(2026,12,1),"培训；注册午餐；机构晚餐",IF(C2888=Options!$B$9,"抵达；"&amp;IF(C2888=DATE(2026,11,28),"机构晚餐","无统一供餐"),IF(C2888=Options!$B$10,"返程；"&amp;IF(C2888=DATE(2026,12,2),"机构午餐","无统一供餐"),"差旅状态；无统一日程"))))))</f>
        <v/>
      </c>
      <c r="E2888" s="13">
        <f>IF(C2888=Options!$B$9,Options!$C$21,0)</f>
        <v/>
      </c>
      <c r="F2888" s="13">
        <f>IF(AND(A2888&lt;&gt;"",C2888&lt;Options!$B$10),B2888*Options!$X$8,0)</f>
        <v/>
      </c>
      <c r="G2888" s="13">
        <f>F2888*12%</f>
        <v/>
      </c>
      <c r="H2888" s="13">
        <f>IF(A2888="",0,B2888*(92*IF(OR(C2888=Options!$B$9,C2888=Options!$B$10),75%,100%)-IF(C2888=DATE(2026,11,29),26+IF(Options!$B$8="是",23,0),0)-IF(C2888=DATE(2026,11,30),26,0)-IF(C2888=DATE(2026,12,1),64,0)-IF(C2888=DATE(2026,11,28),38,0)-IF(C2888=DATE(2026,12,2),26,0)))</f>
        <v/>
      </c>
      <c r="I2888" s="13">
        <f>IF(AND(C2888&gt;=DATE(2026,11,29),C2888&lt;=DATE(2026,12,1)),B2888*60,0)</f>
        <v/>
      </c>
      <c r="J2888" s="13">
        <f>IF(A2888="",0,B2888*(IF(C2888=DATE(2026,11,28),38,0)+IF(C2888=DATE(2026,12,1),38,0)+IF(C2888=DATE(2026,12,2),26,0)))</f>
        <v/>
      </c>
      <c r="K2888" s="13">
        <f>IF(C2888=Options!$B$9,B2888*12,0)</f>
        <v/>
      </c>
      <c r="L2888" s="13">
        <f>IF(C2888=Options!$B$9,B2888*Options!$Z$8,0)</f>
        <v/>
      </c>
      <c r="M2888" s="13" t="n">
        <v>0</v>
      </c>
      <c r="N2888" s="13">
        <f>SUM(E2888:M2888)</f>
        <v/>
      </c>
    </row>
    <row r="2889">
      <c r="A2889" s="5">
        <f>IF(AND(C2889&gt;=Options!$B$9,C2889&lt;=Options!$B$10),"Boston","")</f>
        <v/>
      </c>
      <c r="B2889" s="5">
        <f>IF(A2889="","",24)</f>
        <v/>
      </c>
      <c r="C2889" s="17" t="n">
        <v>46625</v>
      </c>
      <c r="D2889" s="5">
        <f>IF(A2889="","",IF(C2889=DATE(2026,11,29),"培训；注册午餐；早餐参数",IF(C2889=DATE(2026,11,30),"培训；注册午餐",IF(C2889=DATE(2026,12,1),"培训；注册午餐；机构晚餐",IF(C2889=Options!$B$9,"抵达；"&amp;IF(C2889=DATE(2026,11,28),"机构晚餐","无统一供餐"),IF(C2889=Options!$B$10,"返程；"&amp;IF(C2889=DATE(2026,12,2),"机构午餐","无统一供餐"),"差旅状态；无统一日程"))))))</f>
        <v/>
      </c>
      <c r="E2889" s="13">
        <f>IF(C2889=Options!$B$9,Options!$C$21,0)</f>
        <v/>
      </c>
      <c r="F2889" s="13">
        <f>IF(AND(A2889&lt;&gt;"",C2889&lt;Options!$B$10),B2889*Options!$X$8,0)</f>
        <v/>
      </c>
      <c r="G2889" s="13">
        <f>F2889*12%</f>
        <v/>
      </c>
      <c r="H2889" s="13">
        <f>IF(A2889="",0,B2889*(92*IF(OR(C2889=Options!$B$9,C2889=Options!$B$10),75%,100%)-IF(C2889=DATE(2026,11,29),26+IF(Options!$B$8="是",23,0),0)-IF(C2889=DATE(2026,11,30),26,0)-IF(C2889=DATE(2026,12,1),64,0)-IF(C2889=DATE(2026,11,28),38,0)-IF(C2889=DATE(2026,12,2),26,0)))</f>
        <v/>
      </c>
      <c r="I2889" s="13">
        <f>IF(AND(C2889&gt;=DATE(2026,11,29),C2889&lt;=DATE(2026,12,1)),B2889*60,0)</f>
        <v/>
      </c>
      <c r="J2889" s="13">
        <f>IF(A2889="",0,B2889*(IF(C2889=DATE(2026,11,28),38,0)+IF(C2889=DATE(2026,12,1),38,0)+IF(C2889=DATE(2026,12,2),26,0)))</f>
        <v/>
      </c>
      <c r="K2889" s="13">
        <f>IF(C2889=Options!$B$9,B2889*12,0)</f>
        <v/>
      </c>
      <c r="L2889" s="13">
        <f>IF(C2889=Options!$B$9,B2889*Options!$Z$8,0)</f>
        <v/>
      </c>
      <c r="M2889" s="13" t="n">
        <v>0</v>
      </c>
      <c r="N2889" s="13">
        <f>SUM(E2889:M2889)</f>
        <v/>
      </c>
    </row>
    <row r="2890">
      <c r="A2890" s="5">
        <f>IF(AND(C2890&gt;=Options!$B$9,C2890&lt;=Options!$B$10),"Boston","")</f>
        <v/>
      </c>
      <c r="B2890" s="5">
        <f>IF(A2890="","",24)</f>
        <v/>
      </c>
      <c r="C2890" s="17" t="n">
        <v>46626</v>
      </c>
      <c r="D2890" s="5">
        <f>IF(A2890="","",IF(C2890=DATE(2026,11,29),"培训；注册午餐；早餐参数",IF(C2890=DATE(2026,11,30),"培训；注册午餐",IF(C2890=DATE(2026,12,1),"培训；注册午餐；机构晚餐",IF(C2890=Options!$B$9,"抵达；"&amp;IF(C2890=DATE(2026,11,28),"机构晚餐","无统一供餐"),IF(C2890=Options!$B$10,"返程；"&amp;IF(C2890=DATE(2026,12,2),"机构午餐","无统一供餐"),"差旅状态；无统一日程"))))))</f>
        <v/>
      </c>
      <c r="E2890" s="13">
        <f>IF(C2890=Options!$B$9,Options!$C$21,0)</f>
        <v/>
      </c>
      <c r="F2890" s="13">
        <f>IF(AND(A2890&lt;&gt;"",C2890&lt;Options!$B$10),B2890*Options!$X$8,0)</f>
        <v/>
      </c>
      <c r="G2890" s="13">
        <f>F2890*12%</f>
        <v/>
      </c>
      <c r="H2890" s="13">
        <f>IF(A2890="",0,B2890*(92*IF(OR(C2890=Options!$B$9,C2890=Options!$B$10),75%,100%)-IF(C2890=DATE(2026,11,29),26+IF(Options!$B$8="是",23,0),0)-IF(C2890=DATE(2026,11,30),26,0)-IF(C2890=DATE(2026,12,1),64,0)-IF(C2890=DATE(2026,11,28),38,0)-IF(C2890=DATE(2026,12,2),26,0)))</f>
        <v/>
      </c>
      <c r="I2890" s="13">
        <f>IF(AND(C2890&gt;=DATE(2026,11,29),C2890&lt;=DATE(2026,12,1)),B2890*60,0)</f>
        <v/>
      </c>
      <c r="J2890" s="13">
        <f>IF(A2890="",0,B2890*(IF(C2890=DATE(2026,11,28),38,0)+IF(C2890=DATE(2026,12,1),38,0)+IF(C2890=DATE(2026,12,2),26,0)))</f>
        <v/>
      </c>
      <c r="K2890" s="13">
        <f>IF(C2890=Options!$B$9,B2890*12,0)</f>
        <v/>
      </c>
      <c r="L2890" s="13">
        <f>IF(C2890=Options!$B$9,B2890*Options!$Z$8,0)</f>
        <v/>
      </c>
      <c r="M2890" s="13" t="n">
        <v>0</v>
      </c>
      <c r="N2890" s="13">
        <f>SUM(E2890:M2890)</f>
        <v/>
      </c>
    </row>
    <row r="2891">
      <c r="A2891" s="5">
        <f>IF(AND(C2891&gt;=Options!$B$9,C2891&lt;=Options!$B$10),"Boston","")</f>
        <v/>
      </c>
      <c r="B2891" s="5">
        <f>IF(A2891="","",24)</f>
        <v/>
      </c>
      <c r="C2891" s="17" t="n">
        <v>46627</v>
      </c>
      <c r="D2891" s="5">
        <f>IF(A2891="","",IF(C2891=DATE(2026,11,29),"培训；注册午餐；早餐参数",IF(C2891=DATE(2026,11,30),"培训；注册午餐",IF(C2891=DATE(2026,12,1),"培训；注册午餐；机构晚餐",IF(C2891=Options!$B$9,"抵达；"&amp;IF(C2891=DATE(2026,11,28),"机构晚餐","无统一供餐"),IF(C2891=Options!$B$10,"返程；"&amp;IF(C2891=DATE(2026,12,2),"机构午餐","无统一供餐"),"差旅状态；无统一日程"))))))</f>
        <v/>
      </c>
      <c r="E2891" s="13">
        <f>IF(C2891=Options!$B$9,Options!$C$21,0)</f>
        <v/>
      </c>
      <c r="F2891" s="13">
        <f>IF(AND(A2891&lt;&gt;"",C2891&lt;Options!$B$10),B2891*Options!$X$8,0)</f>
        <v/>
      </c>
      <c r="G2891" s="13">
        <f>F2891*12%</f>
        <v/>
      </c>
      <c r="H2891" s="13">
        <f>IF(A2891="",0,B2891*(92*IF(OR(C2891=Options!$B$9,C2891=Options!$B$10),75%,100%)-IF(C2891=DATE(2026,11,29),26+IF(Options!$B$8="是",23,0),0)-IF(C2891=DATE(2026,11,30),26,0)-IF(C2891=DATE(2026,12,1),64,0)-IF(C2891=DATE(2026,11,28),38,0)-IF(C2891=DATE(2026,12,2),26,0)))</f>
        <v/>
      </c>
      <c r="I2891" s="13">
        <f>IF(AND(C2891&gt;=DATE(2026,11,29),C2891&lt;=DATE(2026,12,1)),B2891*60,0)</f>
        <v/>
      </c>
      <c r="J2891" s="13">
        <f>IF(A2891="",0,B2891*(IF(C2891=DATE(2026,11,28),38,0)+IF(C2891=DATE(2026,12,1),38,0)+IF(C2891=DATE(2026,12,2),26,0)))</f>
        <v/>
      </c>
      <c r="K2891" s="13">
        <f>IF(C2891=Options!$B$9,B2891*12,0)</f>
        <v/>
      </c>
      <c r="L2891" s="13">
        <f>IF(C2891=Options!$B$9,B2891*Options!$Z$8,0)</f>
        <v/>
      </c>
      <c r="M2891" s="13" t="n">
        <v>0</v>
      </c>
      <c r="N2891" s="13">
        <f>SUM(E2891:M2891)</f>
        <v/>
      </c>
    </row>
    <row r="2892">
      <c r="A2892" s="5">
        <f>IF(AND(C2892&gt;=Options!$B$9,C2892&lt;=Options!$B$10),"Boston","")</f>
        <v/>
      </c>
      <c r="B2892" s="5">
        <f>IF(A2892="","",24)</f>
        <v/>
      </c>
      <c r="C2892" s="17" t="n">
        <v>46628</v>
      </c>
      <c r="D2892" s="5">
        <f>IF(A2892="","",IF(C2892=DATE(2026,11,29),"培训；注册午餐；早餐参数",IF(C2892=DATE(2026,11,30),"培训；注册午餐",IF(C2892=DATE(2026,12,1),"培训；注册午餐；机构晚餐",IF(C2892=Options!$B$9,"抵达；"&amp;IF(C2892=DATE(2026,11,28),"机构晚餐","无统一供餐"),IF(C2892=Options!$B$10,"返程；"&amp;IF(C2892=DATE(2026,12,2),"机构午餐","无统一供餐"),"差旅状态；无统一日程"))))))</f>
        <v/>
      </c>
      <c r="E2892" s="13">
        <f>IF(C2892=Options!$B$9,Options!$C$21,0)</f>
        <v/>
      </c>
      <c r="F2892" s="13">
        <f>IF(AND(A2892&lt;&gt;"",C2892&lt;Options!$B$10),B2892*Options!$X$8,0)</f>
        <v/>
      </c>
      <c r="G2892" s="13">
        <f>F2892*12%</f>
        <v/>
      </c>
      <c r="H2892" s="13">
        <f>IF(A2892="",0,B2892*(92*IF(OR(C2892=Options!$B$9,C2892=Options!$B$10),75%,100%)-IF(C2892=DATE(2026,11,29),26+IF(Options!$B$8="是",23,0),0)-IF(C2892=DATE(2026,11,30),26,0)-IF(C2892=DATE(2026,12,1),64,0)-IF(C2892=DATE(2026,11,28),38,0)-IF(C2892=DATE(2026,12,2),26,0)))</f>
        <v/>
      </c>
      <c r="I2892" s="13">
        <f>IF(AND(C2892&gt;=DATE(2026,11,29),C2892&lt;=DATE(2026,12,1)),B2892*60,0)</f>
        <v/>
      </c>
      <c r="J2892" s="13">
        <f>IF(A2892="",0,B2892*(IF(C2892=DATE(2026,11,28),38,0)+IF(C2892=DATE(2026,12,1),38,0)+IF(C2892=DATE(2026,12,2),26,0)))</f>
        <v/>
      </c>
      <c r="K2892" s="13">
        <f>IF(C2892=Options!$B$9,B2892*12,0)</f>
        <v/>
      </c>
      <c r="L2892" s="13">
        <f>IF(C2892=Options!$B$9,B2892*Options!$Z$8,0)</f>
        <v/>
      </c>
      <c r="M2892" s="13" t="n">
        <v>0</v>
      </c>
      <c r="N2892" s="13">
        <f>SUM(E2892:M2892)</f>
        <v/>
      </c>
    </row>
    <row r="2893">
      <c r="A2893" s="5">
        <f>IF(AND(C2893&gt;=Options!$B$9,C2893&lt;=Options!$B$10),"Boston","")</f>
        <v/>
      </c>
      <c r="B2893" s="5">
        <f>IF(A2893="","",24)</f>
        <v/>
      </c>
      <c r="C2893" s="17" t="n">
        <v>46629</v>
      </c>
      <c r="D2893" s="5">
        <f>IF(A2893="","",IF(C2893=DATE(2026,11,29),"培训；注册午餐；早餐参数",IF(C2893=DATE(2026,11,30),"培训；注册午餐",IF(C2893=DATE(2026,12,1),"培训；注册午餐；机构晚餐",IF(C2893=Options!$B$9,"抵达；"&amp;IF(C2893=DATE(2026,11,28),"机构晚餐","无统一供餐"),IF(C2893=Options!$B$10,"返程；"&amp;IF(C2893=DATE(2026,12,2),"机构午餐","无统一供餐"),"差旅状态；无统一日程"))))))</f>
        <v/>
      </c>
      <c r="E2893" s="13">
        <f>IF(C2893=Options!$B$9,Options!$C$21,0)</f>
        <v/>
      </c>
      <c r="F2893" s="13">
        <f>IF(AND(A2893&lt;&gt;"",C2893&lt;Options!$B$10),B2893*Options!$X$8,0)</f>
        <v/>
      </c>
      <c r="G2893" s="13">
        <f>F2893*12%</f>
        <v/>
      </c>
      <c r="H2893" s="13">
        <f>IF(A2893="",0,B2893*(92*IF(OR(C2893=Options!$B$9,C2893=Options!$B$10),75%,100%)-IF(C2893=DATE(2026,11,29),26+IF(Options!$B$8="是",23,0),0)-IF(C2893=DATE(2026,11,30),26,0)-IF(C2893=DATE(2026,12,1),64,0)-IF(C2893=DATE(2026,11,28),38,0)-IF(C2893=DATE(2026,12,2),26,0)))</f>
        <v/>
      </c>
      <c r="I2893" s="13">
        <f>IF(AND(C2893&gt;=DATE(2026,11,29),C2893&lt;=DATE(2026,12,1)),B2893*60,0)</f>
        <v/>
      </c>
      <c r="J2893" s="13">
        <f>IF(A2893="",0,B2893*(IF(C2893=DATE(2026,11,28),38,0)+IF(C2893=DATE(2026,12,1),38,0)+IF(C2893=DATE(2026,12,2),26,0)))</f>
        <v/>
      </c>
      <c r="K2893" s="13">
        <f>IF(C2893=Options!$B$9,B2893*12,0)</f>
        <v/>
      </c>
      <c r="L2893" s="13">
        <f>IF(C2893=Options!$B$9,B2893*Options!$Z$8,0)</f>
        <v/>
      </c>
      <c r="M2893" s="13" t="n">
        <v>0</v>
      </c>
      <c r="N2893" s="13">
        <f>SUM(E2893:M2893)</f>
        <v/>
      </c>
    </row>
    <row r="2894">
      <c r="A2894" s="5">
        <f>IF(AND(C2894&gt;=Options!$B$9,C2894&lt;=Options!$B$10),"Boston","")</f>
        <v/>
      </c>
      <c r="B2894" s="5">
        <f>IF(A2894="","",24)</f>
        <v/>
      </c>
      <c r="C2894" s="17" t="n">
        <v>46630</v>
      </c>
      <c r="D2894" s="5">
        <f>IF(A2894="","",IF(C2894=DATE(2026,11,29),"培训；注册午餐；早餐参数",IF(C2894=DATE(2026,11,30),"培训；注册午餐",IF(C2894=DATE(2026,12,1),"培训；注册午餐；机构晚餐",IF(C2894=Options!$B$9,"抵达；"&amp;IF(C2894=DATE(2026,11,28),"机构晚餐","无统一供餐"),IF(C2894=Options!$B$10,"返程；"&amp;IF(C2894=DATE(2026,12,2),"机构午餐","无统一供餐"),"差旅状态；无统一日程"))))))</f>
        <v/>
      </c>
      <c r="E2894" s="13">
        <f>IF(C2894=Options!$B$9,Options!$C$21,0)</f>
        <v/>
      </c>
      <c r="F2894" s="13">
        <f>IF(AND(A2894&lt;&gt;"",C2894&lt;Options!$B$10),B2894*Options!$X$8,0)</f>
        <v/>
      </c>
      <c r="G2894" s="13">
        <f>F2894*12%</f>
        <v/>
      </c>
      <c r="H2894" s="13">
        <f>IF(A2894="",0,B2894*(92*IF(OR(C2894=Options!$B$9,C2894=Options!$B$10),75%,100%)-IF(C2894=DATE(2026,11,29),26+IF(Options!$B$8="是",23,0),0)-IF(C2894=DATE(2026,11,30),26,0)-IF(C2894=DATE(2026,12,1),64,0)-IF(C2894=DATE(2026,11,28),38,0)-IF(C2894=DATE(2026,12,2),26,0)))</f>
        <v/>
      </c>
      <c r="I2894" s="13">
        <f>IF(AND(C2894&gt;=DATE(2026,11,29),C2894&lt;=DATE(2026,12,1)),B2894*60,0)</f>
        <v/>
      </c>
      <c r="J2894" s="13">
        <f>IF(A2894="",0,B2894*(IF(C2894=DATE(2026,11,28),38,0)+IF(C2894=DATE(2026,12,1),38,0)+IF(C2894=DATE(2026,12,2),26,0)))</f>
        <v/>
      </c>
      <c r="K2894" s="13">
        <f>IF(C2894=Options!$B$9,B2894*12,0)</f>
        <v/>
      </c>
      <c r="L2894" s="13">
        <f>IF(C2894=Options!$B$9,B2894*Options!$Z$8,0)</f>
        <v/>
      </c>
      <c r="M2894" s="13" t="n">
        <v>0</v>
      </c>
      <c r="N2894" s="13">
        <f>SUM(E2894:M2894)</f>
        <v/>
      </c>
    </row>
    <row r="2895">
      <c r="A2895" s="5">
        <f>IF(AND(C2895&gt;=Options!$B$9,C2895&lt;=Options!$B$10),"Boston","")</f>
        <v/>
      </c>
      <c r="B2895" s="5">
        <f>IF(A2895="","",24)</f>
        <v/>
      </c>
      <c r="C2895" s="17" t="n">
        <v>46631</v>
      </c>
      <c r="D2895" s="5">
        <f>IF(A2895="","",IF(C2895=DATE(2026,11,29),"培训；注册午餐；早餐参数",IF(C2895=DATE(2026,11,30),"培训；注册午餐",IF(C2895=DATE(2026,12,1),"培训；注册午餐；机构晚餐",IF(C2895=Options!$B$9,"抵达；"&amp;IF(C2895=DATE(2026,11,28),"机构晚餐","无统一供餐"),IF(C2895=Options!$B$10,"返程；"&amp;IF(C2895=DATE(2026,12,2),"机构午餐","无统一供餐"),"差旅状态；无统一日程"))))))</f>
        <v/>
      </c>
      <c r="E2895" s="13">
        <f>IF(C2895=Options!$B$9,Options!$C$21,0)</f>
        <v/>
      </c>
      <c r="F2895" s="13">
        <f>IF(AND(A2895&lt;&gt;"",C2895&lt;Options!$B$10),B2895*Options!$X$8,0)</f>
        <v/>
      </c>
      <c r="G2895" s="13">
        <f>F2895*12%</f>
        <v/>
      </c>
      <c r="H2895" s="13">
        <f>IF(A2895="",0,B2895*(92*IF(OR(C2895=Options!$B$9,C2895=Options!$B$10),75%,100%)-IF(C2895=DATE(2026,11,29),26+IF(Options!$B$8="是",23,0),0)-IF(C2895=DATE(2026,11,30),26,0)-IF(C2895=DATE(2026,12,1),64,0)-IF(C2895=DATE(2026,11,28),38,0)-IF(C2895=DATE(2026,12,2),26,0)))</f>
        <v/>
      </c>
      <c r="I2895" s="13">
        <f>IF(AND(C2895&gt;=DATE(2026,11,29),C2895&lt;=DATE(2026,12,1)),B2895*60,0)</f>
        <v/>
      </c>
      <c r="J2895" s="13">
        <f>IF(A2895="",0,B2895*(IF(C2895=DATE(2026,11,28),38,0)+IF(C2895=DATE(2026,12,1),38,0)+IF(C2895=DATE(2026,12,2),26,0)))</f>
        <v/>
      </c>
      <c r="K2895" s="13">
        <f>IF(C2895=Options!$B$9,B2895*12,0)</f>
        <v/>
      </c>
      <c r="L2895" s="13">
        <f>IF(C2895=Options!$B$9,B2895*Options!$Z$8,0)</f>
        <v/>
      </c>
      <c r="M2895" s="13" t="n">
        <v>0</v>
      </c>
      <c r="N2895" s="13">
        <f>SUM(E2895:M2895)</f>
        <v/>
      </c>
    </row>
    <row r="2896">
      <c r="A2896" s="5">
        <f>IF(AND(C2896&gt;=Options!$B$9,C2896&lt;=Options!$B$10),"Boston","")</f>
        <v/>
      </c>
      <c r="B2896" s="5">
        <f>IF(A2896="","",24)</f>
        <v/>
      </c>
      <c r="C2896" s="17" t="n">
        <v>46632</v>
      </c>
      <c r="D2896" s="5">
        <f>IF(A2896="","",IF(C2896=DATE(2026,11,29),"培训；注册午餐；早餐参数",IF(C2896=DATE(2026,11,30),"培训；注册午餐",IF(C2896=DATE(2026,12,1),"培训；注册午餐；机构晚餐",IF(C2896=Options!$B$9,"抵达；"&amp;IF(C2896=DATE(2026,11,28),"机构晚餐","无统一供餐"),IF(C2896=Options!$B$10,"返程；"&amp;IF(C2896=DATE(2026,12,2),"机构午餐","无统一供餐"),"差旅状态；无统一日程"))))))</f>
        <v/>
      </c>
      <c r="E2896" s="13">
        <f>IF(C2896=Options!$B$9,Options!$C$21,0)</f>
        <v/>
      </c>
      <c r="F2896" s="13">
        <f>IF(AND(A2896&lt;&gt;"",C2896&lt;Options!$B$10),B2896*Options!$X$8,0)</f>
        <v/>
      </c>
      <c r="G2896" s="13">
        <f>F2896*12%</f>
        <v/>
      </c>
      <c r="H2896" s="13">
        <f>IF(A2896="",0,B2896*(92*IF(OR(C2896=Options!$B$9,C2896=Options!$B$10),75%,100%)-IF(C2896=DATE(2026,11,29),26+IF(Options!$B$8="是",23,0),0)-IF(C2896=DATE(2026,11,30),26,0)-IF(C2896=DATE(2026,12,1),64,0)-IF(C2896=DATE(2026,11,28),38,0)-IF(C2896=DATE(2026,12,2),26,0)))</f>
        <v/>
      </c>
      <c r="I2896" s="13">
        <f>IF(AND(C2896&gt;=DATE(2026,11,29),C2896&lt;=DATE(2026,12,1)),B2896*60,0)</f>
        <v/>
      </c>
      <c r="J2896" s="13">
        <f>IF(A2896="",0,B2896*(IF(C2896=DATE(2026,11,28),38,0)+IF(C2896=DATE(2026,12,1),38,0)+IF(C2896=DATE(2026,12,2),26,0)))</f>
        <v/>
      </c>
      <c r="K2896" s="13">
        <f>IF(C2896=Options!$B$9,B2896*12,0)</f>
        <v/>
      </c>
      <c r="L2896" s="13">
        <f>IF(C2896=Options!$B$9,B2896*Options!$Z$8,0)</f>
        <v/>
      </c>
      <c r="M2896" s="13" t="n">
        <v>0</v>
      </c>
      <c r="N2896" s="13">
        <f>SUM(E2896:M2896)</f>
        <v/>
      </c>
    </row>
    <row r="2897">
      <c r="A2897" s="5">
        <f>IF(AND(C2897&gt;=Options!$B$9,C2897&lt;=Options!$B$10),"Boston","")</f>
        <v/>
      </c>
      <c r="B2897" s="5">
        <f>IF(A2897="","",24)</f>
        <v/>
      </c>
      <c r="C2897" s="17" t="n">
        <v>46633</v>
      </c>
      <c r="D2897" s="5">
        <f>IF(A2897="","",IF(C2897=DATE(2026,11,29),"培训；注册午餐；早餐参数",IF(C2897=DATE(2026,11,30),"培训；注册午餐",IF(C2897=DATE(2026,12,1),"培训；注册午餐；机构晚餐",IF(C2897=Options!$B$9,"抵达；"&amp;IF(C2897=DATE(2026,11,28),"机构晚餐","无统一供餐"),IF(C2897=Options!$B$10,"返程；"&amp;IF(C2897=DATE(2026,12,2),"机构午餐","无统一供餐"),"差旅状态；无统一日程"))))))</f>
        <v/>
      </c>
      <c r="E2897" s="13">
        <f>IF(C2897=Options!$B$9,Options!$C$21,0)</f>
        <v/>
      </c>
      <c r="F2897" s="13">
        <f>IF(AND(A2897&lt;&gt;"",C2897&lt;Options!$B$10),B2897*Options!$X$8,0)</f>
        <v/>
      </c>
      <c r="G2897" s="13">
        <f>F2897*12%</f>
        <v/>
      </c>
      <c r="H2897" s="13">
        <f>IF(A2897="",0,B2897*(92*IF(OR(C2897=Options!$B$9,C2897=Options!$B$10),75%,100%)-IF(C2897=DATE(2026,11,29),26+IF(Options!$B$8="是",23,0),0)-IF(C2897=DATE(2026,11,30),26,0)-IF(C2897=DATE(2026,12,1),64,0)-IF(C2897=DATE(2026,11,28),38,0)-IF(C2897=DATE(2026,12,2),26,0)))</f>
        <v/>
      </c>
      <c r="I2897" s="13">
        <f>IF(AND(C2897&gt;=DATE(2026,11,29),C2897&lt;=DATE(2026,12,1)),B2897*60,0)</f>
        <v/>
      </c>
      <c r="J2897" s="13">
        <f>IF(A2897="",0,B2897*(IF(C2897=DATE(2026,11,28),38,0)+IF(C2897=DATE(2026,12,1),38,0)+IF(C2897=DATE(2026,12,2),26,0)))</f>
        <v/>
      </c>
      <c r="K2897" s="13">
        <f>IF(C2897=Options!$B$9,B2897*12,0)</f>
        <v/>
      </c>
      <c r="L2897" s="13">
        <f>IF(C2897=Options!$B$9,B2897*Options!$Z$8,0)</f>
        <v/>
      </c>
      <c r="M2897" s="13" t="n">
        <v>0</v>
      </c>
      <c r="N2897" s="13">
        <f>SUM(E2897:M2897)</f>
        <v/>
      </c>
    </row>
    <row r="2898">
      <c r="A2898" s="5">
        <f>IF(AND(C2898&gt;=Options!$B$9,C2898&lt;=Options!$B$10),"Boston","")</f>
        <v/>
      </c>
      <c r="B2898" s="5">
        <f>IF(A2898="","",24)</f>
        <v/>
      </c>
      <c r="C2898" s="17" t="n">
        <v>46634</v>
      </c>
      <c r="D2898" s="5">
        <f>IF(A2898="","",IF(C2898=DATE(2026,11,29),"培训；注册午餐；早餐参数",IF(C2898=DATE(2026,11,30),"培训；注册午餐",IF(C2898=DATE(2026,12,1),"培训；注册午餐；机构晚餐",IF(C2898=Options!$B$9,"抵达；"&amp;IF(C2898=DATE(2026,11,28),"机构晚餐","无统一供餐"),IF(C2898=Options!$B$10,"返程；"&amp;IF(C2898=DATE(2026,12,2),"机构午餐","无统一供餐"),"差旅状态；无统一日程"))))))</f>
        <v/>
      </c>
      <c r="E2898" s="13">
        <f>IF(C2898=Options!$B$9,Options!$C$21,0)</f>
        <v/>
      </c>
      <c r="F2898" s="13">
        <f>IF(AND(A2898&lt;&gt;"",C2898&lt;Options!$B$10),B2898*Options!$X$8,0)</f>
        <v/>
      </c>
      <c r="G2898" s="13">
        <f>F2898*12%</f>
        <v/>
      </c>
      <c r="H2898" s="13">
        <f>IF(A2898="",0,B2898*(92*IF(OR(C2898=Options!$B$9,C2898=Options!$B$10),75%,100%)-IF(C2898=DATE(2026,11,29),26+IF(Options!$B$8="是",23,0),0)-IF(C2898=DATE(2026,11,30),26,0)-IF(C2898=DATE(2026,12,1),64,0)-IF(C2898=DATE(2026,11,28),38,0)-IF(C2898=DATE(2026,12,2),26,0)))</f>
        <v/>
      </c>
      <c r="I2898" s="13">
        <f>IF(AND(C2898&gt;=DATE(2026,11,29),C2898&lt;=DATE(2026,12,1)),B2898*60,0)</f>
        <v/>
      </c>
      <c r="J2898" s="13">
        <f>IF(A2898="",0,B2898*(IF(C2898=DATE(2026,11,28),38,0)+IF(C2898=DATE(2026,12,1),38,0)+IF(C2898=DATE(2026,12,2),26,0)))</f>
        <v/>
      </c>
      <c r="K2898" s="13">
        <f>IF(C2898=Options!$B$9,B2898*12,0)</f>
        <v/>
      </c>
      <c r="L2898" s="13">
        <f>IF(C2898=Options!$B$9,B2898*Options!$Z$8,0)</f>
        <v/>
      </c>
      <c r="M2898" s="13" t="n">
        <v>0</v>
      </c>
      <c r="N2898" s="13">
        <f>SUM(E2898:M2898)</f>
        <v/>
      </c>
    </row>
    <row r="2899">
      <c r="A2899" s="5">
        <f>IF(AND(C2899&gt;=Options!$B$9,C2899&lt;=Options!$B$10),"Boston","")</f>
        <v/>
      </c>
      <c r="B2899" s="5">
        <f>IF(A2899="","",24)</f>
        <v/>
      </c>
      <c r="C2899" s="17" t="n">
        <v>46635</v>
      </c>
      <c r="D2899" s="5">
        <f>IF(A2899="","",IF(C2899=DATE(2026,11,29),"培训；注册午餐；早餐参数",IF(C2899=DATE(2026,11,30),"培训；注册午餐",IF(C2899=DATE(2026,12,1),"培训；注册午餐；机构晚餐",IF(C2899=Options!$B$9,"抵达；"&amp;IF(C2899=DATE(2026,11,28),"机构晚餐","无统一供餐"),IF(C2899=Options!$B$10,"返程；"&amp;IF(C2899=DATE(2026,12,2),"机构午餐","无统一供餐"),"差旅状态；无统一日程"))))))</f>
        <v/>
      </c>
      <c r="E2899" s="13">
        <f>IF(C2899=Options!$B$9,Options!$C$21,0)</f>
        <v/>
      </c>
      <c r="F2899" s="13">
        <f>IF(AND(A2899&lt;&gt;"",C2899&lt;Options!$B$10),B2899*Options!$X$8,0)</f>
        <v/>
      </c>
      <c r="G2899" s="13">
        <f>F2899*12%</f>
        <v/>
      </c>
      <c r="H2899" s="13">
        <f>IF(A2899="",0,B2899*(92*IF(OR(C2899=Options!$B$9,C2899=Options!$B$10),75%,100%)-IF(C2899=DATE(2026,11,29),26+IF(Options!$B$8="是",23,0),0)-IF(C2899=DATE(2026,11,30),26,0)-IF(C2899=DATE(2026,12,1),64,0)-IF(C2899=DATE(2026,11,28),38,0)-IF(C2899=DATE(2026,12,2),26,0)))</f>
        <v/>
      </c>
      <c r="I2899" s="13">
        <f>IF(AND(C2899&gt;=DATE(2026,11,29),C2899&lt;=DATE(2026,12,1)),B2899*60,0)</f>
        <v/>
      </c>
      <c r="J2899" s="13">
        <f>IF(A2899="",0,B2899*(IF(C2899=DATE(2026,11,28),38,0)+IF(C2899=DATE(2026,12,1),38,0)+IF(C2899=DATE(2026,12,2),26,0)))</f>
        <v/>
      </c>
      <c r="K2899" s="13">
        <f>IF(C2899=Options!$B$9,B2899*12,0)</f>
        <v/>
      </c>
      <c r="L2899" s="13">
        <f>IF(C2899=Options!$B$9,B2899*Options!$Z$8,0)</f>
        <v/>
      </c>
      <c r="M2899" s="13" t="n">
        <v>0</v>
      </c>
      <c r="N2899" s="13">
        <f>SUM(E2899:M2899)</f>
        <v/>
      </c>
    </row>
    <row r="2900">
      <c r="A2900" s="5">
        <f>IF(AND(C2900&gt;=Options!$B$9,C2900&lt;=Options!$B$10),"Boston","")</f>
        <v/>
      </c>
      <c r="B2900" s="5">
        <f>IF(A2900="","",24)</f>
        <v/>
      </c>
      <c r="C2900" s="17" t="n">
        <v>46636</v>
      </c>
      <c r="D2900" s="5">
        <f>IF(A2900="","",IF(C2900=DATE(2026,11,29),"培训；注册午餐；早餐参数",IF(C2900=DATE(2026,11,30),"培训；注册午餐",IF(C2900=DATE(2026,12,1),"培训；注册午餐；机构晚餐",IF(C2900=Options!$B$9,"抵达；"&amp;IF(C2900=DATE(2026,11,28),"机构晚餐","无统一供餐"),IF(C2900=Options!$B$10,"返程；"&amp;IF(C2900=DATE(2026,12,2),"机构午餐","无统一供餐"),"差旅状态；无统一日程"))))))</f>
        <v/>
      </c>
      <c r="E2900" s="13">
        <f>IF(C2900=Options!$B$9,Options!$C$21,0)</f>
        <v/>
      </c>
      <c r="F2900" s="13">
        <f>IF(AND(A2900&lt;&gt;"",C2900&lt;Options!$B$10),B2900*Options!$X$8,0)</f>
        <v/>
      </c>
      <c r="G2900" s="13">
        <f>F2900*12%</f>
        <v/>
      </c>
      <c r="H2900" s="13">
        <f>IF(A2900="",0,B2900*(92*IF(OR(C2900=Options!$B$9,C2900=Options!$B$10),75%,100%)-IF(C2900=DATE(2026,11,29),26+IF(Options!$B$8="是",23,0),0)-IF(C2900=DATE(2026,11,30),26,0)-IF(C2900=DATE(2026,12,1),64,0)-IF(C2900=DATE(2026,11,28),38,0)-IF(C2900=DATE(2026,12,2),26,0)))</f>
        <v/>
      </c>
      <c r="I2900" s="13">
        <f>IF(AND(C2900&gt;=DATE(2026,11,29),C2900&lt;=DATE(2026,12,1)),B2900*60,0)</f>
        <v/>
      </c>
      <c r="J2900" s="13">
        <f>IF(A2900="",0,B2900*(IF(C2900=DATE(2026,11,28),38,0)+IF(C2900=DATE(2026,12,1),38,0)+IF(C2900=DATE(2026,12,2),26,0)))</f>
        <v/>
      </c>
      <c r="K2900" s="13">
        <f>IF(C2900=Options!$B$9,B2900*12,0)</f>
        <v/>
      </c>
      <c r="L2900" s="13">
        <f>IF(C2900=Options!$B$9,B2900*Options!$Z$8,0)</f>
        <v/>
      </c>
      <c r="M2900" s="13" t="n">
        <v>0</v>
      </c>
      <c r="N2900" s="13">
        <f>SUM(E2900:M2900)</f>
        <v/>
      </c>
    </row>
    <row r="2901">
      <c r="A2901" s="5">
        <f>IF(AND(C2901&gt;=Options!$B$9,C2901&lt;=Options!$B$10),"Boston","")</f>
        <v/>
      </c>
      <c r="B2901" s="5">
        <f>IF(A2901="","",24)</f>
        <v/>
      </c>
      <c r="C2901" s="17" t="n">
        <v>46637</v>
      </c>
      <c r="D2901" s="5">
        <f>IF(A2901="","",IF(C2901=DATE(2026,11,29),"培训；注册午餐；早餐参数",IF(C2901=DATE(2026,11,30),"培训；注册午餐",IF(C2901=DATE(2026,12,1),"培训；注册午餐；机构晚餐",IF(C2901=Options!$B$9,"抵达；"&amp;IF(C2901=DATE(2026,11,28),"机构晚餐","无统一供餐"),IF(C2901=Options!$B$10,"返程；"&amp;IF(C2901=DATE(2026,12,2),"机构午餐","无统一供餐"),"差旅状态；无统一日程"))))))</f>
        <v/>
      </c>
      <c r="E2901" s="13">
        <f>IF(C2901=Options!$B$9,Options!$C$21,0)</f>
        <v/>
      </c>
      <c r="F2901" s="13">
        <f>IF(AND(A2901&lt;&gt;"",C2901&lt;Options!$B$10),B2901*Options!$X$8,0)</f>
        <v/>
      </c>
      <c r="G2901" s="13">
        <f>F2901*12%</f>
        <v/>
      </c>
      <c r="H2901" s="13">
        <f>IF(A2901="",0,B2901*(92*IF(OR(C2901=Options!$B$9,C2901=Options!$B$10),75%,100%)-IF(C2901=DATE(2026,11,29),26+IF(Options!$B$8="是",23,0),0)-IF(C2901=DATE(2026,11,30),26,0)-IF(C2901=DATE(2026,12,1),64,0)-IF(C2901=DATE(2026,11,28),38,0)-IF(C2901=DATE(2026,12,2),26,0)))</f>
        <v/>
      </c>
      <c r="I2901" s="13">
        <f>IF(AND(C2901&gt;=DATE(2026,11,29),C2901&lt;=DATE(2026,12,1)),B2901*60,0)</f>
        <v/>
      </c>
      <c r="J2901" s="13">
        <f>IF(A2901="",0,B2901*(IF(C2901=DATE(2026,11,28),38,0)+IF(C2901=DATE(2026,12,1),38,0)+IF(C2901=DATE(2026,12,2),26,0)))</f>
        <v/>
      </c>
      <c r="K2901" s="13">
        <f>IF(C2901=Options!$B$9,B2901*12,0)</f>
        <v/>
      </c>
      <c r="L2901" s="13">
        <f>IF(C2901=Options!$B$9,B2901*Options!$Z$8,0)</f>
        <v/>
      </c>
      <c r="M2901" s="13" t="n">
        <v>0</v>
      </c>
      <c r="N2901" s="13">
        <f>SUM(E2901:M2901)</f>
        <v/>
      </c>
    </row>
    <row r="2902">
      <c r="A2902" s="5">
        <f>IF(AND(C2902&gt;=Options!$B$9,C2902&lt;=Options!$B$10),"Boston","")</f>
        <v/>
      </c>
      <c r="B2902" s="5">
        <f>IF(A2902="","",24)</f>
        <v/>
      </c>
      <c r="C2902" s="17" t="n">
        <v>46638</v>
      </c>
      <c r="D2902" s="5">
        <f>IF(A2902="","",IF(C2902=DATE(2026,11,29),"培训；注册午餐；早餐参数",IF(C2902=DATE(2026,11,30),"培训；注册午餐",IF(C2902=DATE(2026,12,1),"培训；注册午餐；机构晚餐",IF(C2902=Options!$B$9,"抵达；"&amp;IF(C2902=DATE(2026,11,28),"机构晚餐","无统一供餐"),IF(C2902=Options!$B$10,"返程；"&amp;IF(C2902=DATE(2026,12,2),"机构午餐","无统一供餐"),"差旅状态；无统一日程"))))))</f>
        <v/>
      </c>
      <c r="E2902" s="13">
        <f>IF(C2902=Options!$B$9,Options!$C$21,0)</f>
        <v/>
      </c>
      <c r="F2902" s="13">
        <f>IF(AND(A2902&lt;&gt;"",C2902&lt;Options!$B$10),B2902*Options!$X$8,0)</f>
        <v/>
      </c>
      <c r="G2902" s="13">
        <f>F2902*12%</f>
        <v/>
      </c>
      <c r="H2902" s="13">
        <f>IF(A2902="",0,B2902*(92*IF(OR(C2902=Options!$B$9,C2902=Options!$B$10),75%,100%)-IF(C2902=DATE(2026,11,29),26+IF(Options!$B$8="是",23,0),0)-IF(C2902=DATE(2026,11,30),26,0)-IF(C2902=DATE(2026,12,1),64,0)-IF(C2902=DATE(2026,11,28),38,0)-IF(C2902=DATE(2026,12,2),26,0)))</f>
        <v/>
      </c>
      <c r="I2902" s="13">
        <f>IF(AND(C2902&gt;=DATE(2026,11,29),C2902&lt;=DATE(2026,12,1)),B2902*60,0)</f>
        <v/>
      </c>
      <c r="J2902" s="13">
        <f>IF(A2902="",0,B2902*(IF(C2902=DATE(2026,11,28),38,0)+IF(C2902=DATE(2026,12,1),38,0)+IF(C2902=DATE(2026,12,2),26,0)))</f>
        <v/>
      </c>
      <c r="K2902" s="13">
        <f>IF(C2902=Options!$B$9,B2902*12,0)</f>
        <v/>
      </c>
      <c r="L2902" s="13">
        <f>IF(C2902=Options!$B$9,B2902*Options!$Z$8,0)</f>
        <v/>
      </c>
      <c r="M2902" s="13" t="n">
        <v>0</v>
      </c>
      <c r="N2902" s="13">
        <f>SUM(E2902:M2902)</f>
        <v/>
      </c>
    </row>
    <row r="2903">
      <c r="A2903" s="5">
        <f>IF(AND(C2903&gt;=Options!$B$9,C2903&lt;=Options!$B$10),"Boston","")</f>
        <v/>
      </c>
      <c r="B2903" s="5">
        <f>IF(A2903="","",24)</f>
        <v/>
      </c>
      <c r="C2903" s="17" t="n">
        <v>46639</v>
      </c>
      <c r="D2903" s="5">
        <f>IF(A2903="","",IF(C2903=DATE(2026,11,29),"培训；注册午餐；早餐参数",IF(C2903=DATE(2026,11,30),"培训；注册午餐",IF(C2903=DATE(2026,12,1),"培训；注册午餐；机构晚餐",IF(C2903=Options!$B$9,"抵达；"&amp;IF(C2903=DATE(2026,11,28),"机构晚餐","无统一供餐"),IF(C2903=Options!$B$10,"返程；"&amp;IF(C2903=DATE(2026,12,2),"机构午餐","无统一供餐"),"差旅状态；无统一日程"))))))</f>
        <v/>
      </c>
      <c r="E2903" s="13">
        <f>IF(C2903=Options!$B$9,Options!$C$21,0)</f>
        <v/>
      </c>
      <c r="F2903" s="13">
        <f>IF(AND(A2903&lt;&gt;"",C2903&lt;Options!$B$10),B2903*Options!$X$8,0)</f>
        <v/>
      </c>
      <c r="G2903" s="13">
        <f>F2903*12%</f>
        <v/>
      </c>
      <c r="H2903" s="13">
        <f>IF(A2903="",0,B2903*(92*IF(OR(C2903=Options!$B$9,C2903=Options!$B$10),75%,100%)-IF(C2903=DATE(2026,11,29),26+IF(Options!$B$8="是",23,0),0)-IF(C2903=DATE(2026,11,30),26,0)-IF(C2903=DATE(2026,12,1),64,0)-IF(C2903=DATE(2026,11,28),38,0)-IF(C2903=DATE(2026,12,2),26,0)))</f>
        <v/>
      </c>
      <c r="I2903" s="13">
        <f>IF(AND(C2903&gt;=DATE(2026,11,29),C2903&lt;=DATE(2026,12,1)),B2903*60,0)</f>
        <v/>
      </c>
      <c r="J2903" s="13">
        <f>IF(A2903="",0,B2903*(IF(C2903=DATE(2026,11,28),38,0)+IF(C2903=DATE(2026,12,1),38,0)+IF(C2903=DATE(2026,12,2),26,0)))</f>
        <v/>
      </c>
      <c r="K2903" s="13">
        <f>IF(C2903=Options!$B$9,B2903*12,0)</f>
        <v/>
      </c>
      <c r="L2903" s="13">
        <f>IF(C2903=Options!$B$9,B2903*Options!$Z$8,0)</f>
        <v/>
      </c>
      <c r="M2903" s="13" t="n">
        <v>0</v>
      </c>
      <c r="N2903" s="13">
        <f>SUM(E2903:M2903)</f>
        <v/>
      </c>
    </row>
    <row r="2904">
      <c r="A2904" s="5">
        <f>IF(AND(C2904&gt;=Options!$B$9,C2904&lt;=Options!$B$10),"Boston","")</f>
        <v/>
      </c>
      <c r="B2904" s="5">
        <f>IF(A2904="","",24)</f>
        <v/>
      </c>
      <c r="C2904" s="17" t="n">
        <v>46640</v>
      </c>
      <c r="D2904" s="5">
        <f>IF(A2904="","",IF(C2904=DATE(2026,11,29),"培训；注册午餐；早餐参数",IF(C2904=DATE(2026,11,30),"培训；注册午餐",IF(C2904=DATE(2026,12,1),"培训；注册午餐；机构晚餐",IF(C2904=Options!$B$9,"抵达；"&amp;IF(C2904=DATE(2026,11,28),"机构晚餐","无统一供餐"),IF(C2904=Options!$B$10,"返程；"&amp;IF(C2904=DATE(2026,12,2),"机构午餐","无统一供餐"),"差旅状态；无统一日程"))))))</f>
        <v/>
      </c>
      <c r="E2904" s="13">
        <f>IF(C2904=Options!$B$9,Options!$C$21,0)</f>
        <v/>
      </c>
      <c r="F2904" s="13">
        <f>IF(AND(A2904&lt;&gt;"",C2904&lt;Options!$B$10),B2904*Options!$X$8,0)</f>
        <v/>
      </c>
      <c r="G2904" s="13">
        <f>F2904*12%</f>
        <v/>
      </c>
      <c r="H2904" s="13">
        <f>IF(A2904="",0,B2904*(92*IF(OR(C2904=Options!$B$9,C2904=Options!$B$10),75%,100%)-IF(C2904=DATE(2026,11,29),26+IF(Options!$B$8="是",23,0),0)-IF(C2904=DATE(2026,11,30),26,0)-IF(C2904=DATE(2026,12,1),64,0)-IF(C2904=DATE(2026,11,28),38,0)-IF(C2904=DATE(2026,12,2),26,0)))</f>
        <v/>
      </c>
      <c r="I2904" s="13">
        <f>IF(AND(C2904&gt;=DATE(2026,11,29),C2904&lt;=DATE(2026,12,1)),B2904*60,0)</f>
        <v/>
      </c>
      <c r="J2904" s="13">
        <f>IF(A2904="",0,B2904*(IF(C2904=DATE(2026,11,28),38,0)+IF(C2904=DATE(2026,12,1),38,0)+IF(C2904=DATE(2026,12,2),26,0)))</f>
        <v/>
      </c>
      <c r="K2904" s="13">
        <f>IF(C2904=Options!$B$9,B2904*12,0)</f>
        <v/>
      </c>
      <c r="L2904" s="13">
        <f>IF(C2904=Options!$B$9,B2904*Options!$Z$8,0)</f>
        <v/>
      </c>
      <c r="M2904" s="13" t="n">
        <v>0</v>
      </c>
      <c r="N2904" s="13">
        <f>SUM(E2904:M2904)</f>
        <v/>
      </c>
    </row>
    <row r="2905">
      <c r="A2905" s="5">
        <f>IF(AND(C2905&gt;=Options!$B$9,C2905&lt;=Options!$B$10),"Boston","")</f>
        <v/>
      </c>
      <c r="B2905" s="5">
        <f>IF(A2905="","",24)</f>
        <v/>
      </c>
      <c r="C2905" s="17" t="n">
        <v>46641</v>
      </c>
      <c r="D2905" s="5">
        <f>IF(A2905="","",IF(C2905=DATE(2026,11,29),"培训；注册午餐；早餐参数",IF(C2905=DATE(2026,11,30),"培训；注册午餐",IF(C2905=DATE(2026,12,1),"培训；注册午餐；机构晚餐",IF(C2905=Options!$B$9,"抵达；"&amp;IF(C2905=DATE(2026,11,28),"机构晚餐","无统一供餐"),IF(C2905=Options!$B$10,"返程；"&amp;IF(C2905=DATE(2026,12,2),"机构午餐","无统一供餐"),"差旅状态；无统一日程"))))))</f>
        <v/>
      </c>
      <c r="E2905" s="13">
        <f>IF(C2905=Options!$B$9,Options!$C$21,0)</f>
        <v/>
      </c>
      <c r="F2905" s="13">
        <f>IF(AND(A2905&lt;&gt;"",C2905&lt;Options!$B$10),B2905*Options!$X$8,0)</f>
        <v/>
      </c>
      <c r="G2905" s="13">
        <f>F2905*12%</f>
        <v/>
      </c>
      <c r="H2905" s="13">
        <f>IF(A2905="",0,B2905*(92*IF(OR(C2905=Options!$B$9,C2905=Options!$B$10),75%,100%)-IF(C2905=DATE(2026,11,29),26+IF(Options!$B$8="是",23,0),0)-IF(C2905=DATE(2026,11,30),26,0)-IF(C2905=DATE(2026,12,1),64,0)-IF(C2905=DATE(2026,11,28),38,0)-IF(C2905=DATE(2026,12,2),26,0)))</f>
        <v/>
      </c>
      <c r="I2905" s="13">
        <f>IF(AND(C2905&gt;=DATE(2026,11,29),C2905&lt;=DATE(2026,12,1)),B2905*60,0)</f>
        <v/>
      </c>
      <c r="J2905" s="13">
        <f>IF(A2905="",0,B2905*(IF(C2905=DATE(2026,11,28),38,0)+IF(C2905=DATE(2026,12,1),38,0)+IF(C2905=DATE(2026,12,2),26,0)))</f>
        <v/>
      </c>
      <c r="K2905" s="13">
        <f>IF(C2905=Options!$B$9,B2905*12,0)</f>
        <v/>
      </c>
      <c r="L2905" s="13">
        <f>IF(C2905=Options!$B$9,B2905*Options!$Z$8,0)</f>
        <v/>
      </c>
      <c r="M2905" s="13" t="n">
        <v>0</v>
      </c>
      <c r="N2905" s="13">
        <f>SUM(E2905:M2905)</f>
        <v/>
      </c>
    </row>
    <row r="2906">
      <c r="A2906" s="5">
        <f>IF(AND(C2906&gt;=Options!$B$9,C2906&lt;=Options!$B$10),"Boston","")</f>
        <v/>
      </c>
      <c r="B2906" s="5">
        <f>IF(A2906="","",24)</f>
        <v/>
      </c>
      <c r="C2906" s="17" t="n">
        <v>46642</v>
      </c>
      <c r="D2906" s="5">
        <f>IF(A2906="","",IF(C2906=DATE(2026,11,29),"培训；注册午餐；早餐参数",IF(C2906=DATE(2026,11,30),"培训；注册午餐",IF(C2906=DATE(2026,12,1),"培训；注册午餐；机构晚餐",IF(C2906=Options!$B$9,"抵达；"&amp;IF(C2906=DATE(2026,11,28),"机构晚餐","无统一供餐"),IF(C2906=Options!$B$10,"返程；"&amp;IF(C2906=DATE(2026,12,2),"机构午餐","无统一供餐"),"差旅状态；无统一日程"))))))</f>
        <v/>
      </c>
      <c r="E2906" s="13">
        <f>IF(C2906=Options!$B$9,Options!$C$21,0)</f>
        <v/>
      </c>
      <c r="F2906" s="13">
        <f>IF(AND(A2906&lt;&gt;"",C2906&lt;Options!$B$10),B2906*Options!$X$8,0)</f>
        <v/>
      </c>
      <c r="G2906" s="13">
        <f>F2906*12%</f>
        <v/>
      </c>
      <c r="H2906" s="13">
        <f>IF(A2906="",0,B2906*(92*IF(OR(C2906=Options!$B$9,C2906=Options!$B$10),75%,100%)-IF(C2906=DATE(2026,11,29),26+IF(Options!$B$8="是",23,0),0)-IF(C2906=DATE(2026,11,30),26,0)-IF(C2906=DATE(2026,12,1),64,0)-IF(C2906=DATE(2026,11,28),38,0)-IF(C2906=DATE(2026,12,2),26,0)))</f>
        <v/>
      </c>
      <c r="I2906" s="13">
        <f>IF(AND(C2906&gt;=DATE(2026,11,29),C2906&lt;=DATE(2026,12,1)),B2906*60,0)</f>
        <v/>
      </c>
      <c r="J2906" s="13">
        <f>IF(A2906="",0,B2906*(IF(C2906=DATE(2026,11,28),38,0)+IF(C2906=DATE(2026,12,1),38,0)+IF(C2906=DATE(2026,12,2),26,0)))</f>
        <v/>
      </c>
      <c r="K2906" s="13">
        <f>IF(C2906=Options!$B$9,B2906*12,0)</f>
        <v/>
      </c>
      <c r="L2906" s="13">
        <f>IF(C2906=Options!$B$9,B2906*Options!$Z$8,0)</f>
        <v/>
      </c>
      <c r="M2906" s="13" t="n">
        <v>0</v>
      </c>
      <c r="N2906" s="13">
        <f>SUM(E2906:M2906)</f>
        <v/>
      </c>
    </row>
    <row r="2907">
      <c r="A2907" s="5">
        <f>IF(AND(C2907&gt;=Options!$B$9,C2907&lt;=Options!$B$10),"Boston","")</f>
        <v/>
      </c>
      <c r="B2907" s="5">
        <f>IF(A2907="","",24)</f>
        <v/>
      </c>
      <c r="C2907" s="17" t="n">
        <v>46643</v>
      </c>
      <c r="D2907" s="5">
        <f>IF(A2907="","",IF(C2907=DATE(2026,11,29),"培训；注册午餐；早餐参数",IF(C2907=DATE(2026,11,30),"培训；注册午餐",IF(C2907=DATE(2026,12,1),"培训；注册午餐；机构晚餐",IF(C2907=Options!$B$9,"抵达；"&amp;IF(C2907=DATE(2026,11,28),"机构晚餐","无统一供餐"),IF(C2907=Options!$B$10,"返程；"&amp;IF(C2907=DATE(2026,12,2),"机构午餐","无统一供餐"),"差旅状态；无统一日程"))))))</f>
        <v/>
      </c>
      <c r="E2907" s="13">
        <f>IF(C2907=Options!$B$9,Options!$C$21,0)</f>
        <v/>
      </c>
      <c r="F2907" s="13">
        <f>IF(AND(A2907&lt;&gt;"",C2907&lt;Options!$B$10),B2907*Options!$X$8,0)</f>
        <v/>
      </c>
      <c r="G2907" s="13">
        <f>F2907*12%</f>
        <v/>
      </c>
      <c r="H2907" s="13">
        <f>IF(A2907="",0,B2907*(92*IF(OR(C2907=Options!$B$9,C2907=Options!$B$10),75%,100%)-IF(C2907=DATE(2026,11,29),26+IF(Options!$B$8="是",23,0),0)-IF(C2907=DATE(2026,11,30),26,0)-IF(C2907=DATE(2026,12,1),64,0)-IF(C2907=DATE(2026,11,28),38,0)-IF(C2907=DATE(2026,12,2),26,0)))</f>
        <v/>
      </c>
      <c r="I2907" s="13">
        <f>IF(AND(C2907&gt;=DATE(2026,11,29),C2907&lt;=DATE(2026,12,1)),B2907*60,0)</f>
        <v/>
      </c>
      <c r="J2907" s="13">
        <f>IF(A2907="",0,B2907*(IF(C2907=DATE(2026,11,28),38,0)+IF(C2907=DATE(2026,12,1),38,0)+IF(C2907=DATE(2026,12,2),26,0)))</f>
        <v/>
      </c>
      <c r="K2907" s="13">
        <f>IF(C2907=Options!$B$9,B2907*12,0)</f>
        <v/>
      </c>
      <c r="L2907" s="13">
        <f>IF(C2907=Options!$B$9,B2907*Options!$Z$8,0)</f>
        <v/>
      </c>
      <c r="M2907" s="13" t="n">
        <v>0</v>
      </c>
      <c r="N2907" s="13">
        <f>SUM(E2907:M2907)</f>
        <v/>
      </c>
    </row>
    <row r="2908">
      <c r="A2908" s="5">
        <f>IF(AND(C2908&gt;=Options!$B$9,C2908&lt;=Options!$B$10),"Boston","")</f>
        <v/>
      </c>
      <c r="B2908" s="5">
        <f>IF(A2908="","",24)</f>
        <v/>
      </c>
      <c r="C2908" s="17" t="n">
        <v>46644</v>
      </c>
      <c r="D2908" s="5">
        <f>IF(A2908="","",IF(C2908=DATE(2026,11,29),"培训；注册午餐；早餐参数",IF(C2908=DATE(2026,11,30),"培训；注册午餐",IF(C2908=DATE(2026,12,1),"培训；注册午餐；机构晚餐",IF(C2908=Options!$B$9,"抵达；"&amp;IF(C2908=DATE(2026,11,28),"机构晚餐","无统一供餐"),IF(C2908=Options!$B$10,"返程；"&amp;IF(C2908=DATE(2026,12,2),"机构午餐","无统一供餐"),"差旅状态；无统一日程"))))))</f>
        <v/>
      </c>
      <c r="E2908" s="13">
        <f>IF(C2908=Options!$B$9,Options!$C$21,0)</f>
        <v/>
      </c>
      <c r="F2908" s="13">
        <f>IF(AND(A2908&lt;&gt;"",C2908&lt;Options!$B$10),B2908*Options!$X$8,0)</f>
        <v/>
      </c>
      <c r="G2908" s="13">
        <f>F2908*12%</f>
        <v/>
      </c>
      <c r="H2908" s="13">
        <f>IF(A2908="",0,B2908*(92*IF(OR(C2908=Options!$B$9,C2908=Options!$B$10),75%,100%)-IF(C2908=DATE(2026,11,29),26+IF(Options!$B$8="是",23,0),0)-IF(C2908=DATE(2026,11,30),26,0)-IF(C2908=DATE(2026,12,1),64,0)-IF(C2908=DATE(2026,11,28),38,0)-IF(C2908=DATE(2026,12,2),26,0)))</f>
        <v/>
      </c>
      <c r="I2908" s="13">
        <f>IF(AND(C2908&gt;=DATE(2026,11,29),C2908&lt;=DATE(2026,12,1)),B2908*60,0)</f>
        <v/>
      </c>
      <c r="J2908" s="13">
        <f>IF(A2908="",0,B2908*(IF(C2908=DATE(2026,11,28),38,0)+IF(C2908=DATE(2026,12,1),38,0)+IF(C2908=DATE(2026,12,2),26,0)))</f>
        <v/>
      </c>
      <c r="K2908" s="13">
        <f>IF(C2908=Options!$B$9,B2908*12,0)</f>
        <v/>
      </c>
      <c r="L2908" s="13">
        <f>IF(C2908=Options!$B$9,B2908*Options!$Z$8,0)</f>
        <v/>
      </c>
      <c r="M2908" s="13" t="n">
        <v>0</v>
      </c>
      <c r="N2908" s="13">
        <f>SUM(E2908:M2908)</f>
        <v/>
      </c>
    </row>
    <row r="2909">
      <c r="A2909" s="5">
        <f>IF(AND(C2909&gt;=Options!$B$9,C2909&lt;=Options!$B$10),"Boston","")</f>
        <v/>
      </c>
      <c r="B2909" s="5">
        <f>IF(A2909="","",24)</f>
        <v/>
      </c>
      <c r="C2909" s="17" t="n">
        <v>46645</v>
      </c>
      <c r="D2909" s="5">
        <f>IF(A2909="","",IF(C2909=DATE(2026,11,29),"培训；注册午餐；早餐参数",IF(C2909=DATE(2026,11,30),"培训；注册午餐",IF(C2909=DATE(2026,12,1),"培训；注册午餐；机构晚餐",IF(C2909=Options!$B$9,"抵达；"&amp;IF(C2909=DATE(2026,11,28),"机构晚餐","无统一供餐"),IF(C2909=Options!$B$10,"返程；"&amp;IF(C2909=DATE(2026,12,2),"机构午餐","无统一供餐"),"差旅状态；无统一日程"))))))</f>
        <v/>
      </c>
      <c r="E2909" s="13">
        <f>IF(C2909=Options!$B$9,Options!$C$21,0)</f>
        <v/>
      </c>
      <c r="F2909" s="13">
        <f>IF(AND(A2909&lt;&gt;"",C2909&lt;Options!$B$10),B2909*Options!$X$8,0)</f>
        <v/>
      </c>
      <c r="G2909" s="13">
        <f>F2909*12%</f>
        <v/>
      </c>
      <c r="H2909" s="13">
        <f>IF(A2909="",0,B2909*(92*IF(OR(C2909=Options!$B$9,C2909=Options!$B$10),75%,100%)-IF(C2909=DATE(2026,11,29),26+IF(Options!$B$8="是",23,0),0)-IF(C2909=DATE(2026,11,30),26,0)-IF(C2909=DATE(2026,12,1),64,0)-IF(C2909=DATE(2026,11,28),38,0)-IF(C2909=DATE(2026,12,2),26,0)))</f>
        <v/>
      </c>
      <c r="I2909" s="13">
        <f>IF(AND(C2909&gt;=DATE(2026,11,29),C2909&lt;=DATE(2026,12,1)),B2909*60,0)</f>
        <v/>
      </c>
      <c r="J2909" s="13">
        <f>IF(A2909="",0,B2909*(IF(C2909=DATE(2026,11,28),38,0)+IF(C2909=DATE(2026,12,1),38,0)+IF(C2909=DATE(2026,12,2),26,0)))</f>
        <v/>
      </c>
      <c r="K2909" s="13">
        <f>IF(C2909=Options!$B$9,B2909*12,0)</f>
        <v/>
      </c>
      <c r="L2909" s="13">
        <f>IF(C2909=Options!$B$9,B2909*Options!$Z$8,0)</f>
        <v/>
      </c>
      <c r="M2909" s="13" t="n">
        <v>0</v>
      </c>
      <c r="N2909" s="13">
        <f>SUM(E2909:M2909)</f>
        <v/>
      </c>
    </row>
    <row r="2910">
      <c r="A2910" s="5">
        <f>IF(AND(C2910&gt;=Options!$B$9,C2910&lt;=Options!$B$10),"Boston","")</f>
        <v/>
      </c>
      <c r="B2910" s="5">
        <f>IF(A2910="","",24)</f>
        <v/>
      </c>
      <c r="C2910" s="17" t="n">
        <v>46646</v>
      </c>
      <c r="D2910" s="5">
        <f>IF(A2910="","",IF(C2910=DATE(2026,11,29),"培训；注册午餐；早餐参数",IF(C2910=DATE(2026,11,30),"培训；注册午餐",IF(C2910=DATE(2026,12,1),"培训；注册午餐；机构晚餐",IF(C2910=Options!$B$9,"抵达；"&amp;IF(C2910=DATE(2026,11,28),"机构晚餐","无统一供餐"),IF(C2910=Options!$B$10,"返程；"&amp;IF(C2910=DATE(2026,12,2),"机构午餐","无统一供餐"),"差旅状态；无统一日程"))))))</f>
        <v/>
      </c>
      <c r="E2910" s="13">
        <f>IF(C2910=Options!$B$9,Options!$C$21,0)</f>
        <v/>
      </c>
      <c r="F2910" s="13">
        <f>IF(AND(A2910&lt;&gt;"",C2910&lt;Options!$B$10),B2910*Options!$X$8,0)</f>
        <v/>
      </c>
      <c r="G2910" s="13">
        <f>F2910*12%</f>
        <v/>
      </c>
      <c r="H2910" s="13">
        <f>IF(A2910="",0,B2910*(92*IF(OR(C2910=Options!$B$9,C2910=Options!$B$10),75%,100%)-IF(C2910=DATE(2026,11,29),26+IF(Options!$B$8="是",23,0),0)-IF(C2910=DATE(2026,11,30),26,0)-IF(C2910=DATE(2026,12,1),64,0)-IF(C2910=DATE(2026,11,28),38,0)-IF(C2910=DATE(2026,12,2),26,0)))</f>
        <v/>
      </c>
      <c r="I2910" s="13">
        <f>IF(AND(C2910&gt;=DATE(2026,11,29),C2910&lt;=DATE(2026,12,1)),B2910*60,0)</f>
        <v/>
      </c>
      <c r="J2910" s="13">
        <f>IF(A2910="",0,B2910*(IF(C2910=DATE(2026,11,28),38,0)+IF(C2910=DATE(2026,12,1),38,0)+IF(C2910=DATE(2026,12,2),26,0)))</f>
        <v/>
      </c>
      <c r="K2910" s="13">
        <f>IF(C2910=Options!$B$9,B2910*12,0)</f>
        <v/>
      </c>
      <c r="L2910" s="13">
        <f>IF(C2910=Options!$B$9,B2910*Options!$Z$8,0)</f>
        <v/>
      </c>
      <c r="M2910" s="13" t="n">
        <v>0</v>
      </c>
      <c r="N2910" s="13">
        <f>SUM(E2910:M2910)</f>
        <v/>
      </c>
    </row>
    <row r="2911">
      <c r="A2911" s="5">
        <f>IF(AND(C2911&gt;=Options!$B$9,C2911&lt;=Options!$B$10),"Boston","")</f>
        <v/>
      </c>
      <c r="B2911" s="5">
        <f>IF(A2911="","",24)</f>
        <v/>
      </c>
      <c r="C2911" s="17" t="n">
        <v>46647</v>
      </c>
      <c r="D2911" s="5">
        <f>IF(A2911="","",IF(C2911=DATE(2026,11,29),"培训；注册午餐；早餐参数",IF(C2911=DATE(2026,11,30),"培训；注册午餐",IF(C2911=DATE(2026,12,1),"培训；注册午餐；机构晚餐",IF(C2911=Options!$B$9,"抵达；"&amp;IF(C2911=DATE(2026,11,28),"机构晚餐","无统一供餐"),IF(C2911=Options!$B$10,"返程；"&amp;IF(C2911=DATE(2026,12,2),"机构午餐","无统一供餐"),"差旅状态；无统一日程"))))))</f>
        <v/>
      </c>
      <c r="E2911" s="13">
        <f>IF(C2911=Options!$B$9,Options!$C$21,0)</f>
        <v/>
      </c>
      <c r="F2911" s="13">
        <f>IF(AND(A2911&lt;&gt;"",C2911&lt;Options!$B$10),B2911*Options!$X$8,0)</f>
        <v/>
      </c>
      <c r="G2911" s="13">
        <f>F2911*12%</f>
        <v/>
      </c>
      <c r="H2911" s="13">
        <f>IF(A2911="",0,B2911*(92*IF(OR(C2911=Options!$B$9,C2911=Options!$B$10),75%,100%)-IF(C2911=DATE(2026,11,29),26+IF(Options!$B$8="是",23,0),0)-IF(C2911=DATE(2026,11,30),26,0)-IF(C2911=DATE(2026,12,1),64,0)-IF(C2911=DATE(2026,11,28),38,0)-IF(C2911=DATE(2026,12,2),26,0)))</f>
        <v/>
      </c>
      <c r="I2911" s="13">
        <f>IF(AND(C2911&gt;=DATE(2026,11,29),C2911&lt;=DATE(2026,12,1)),B2911*60,0)</f>
        <v/>
      </c>
      <c r="J2911" s="13">
        <f>IF(A2911="",0,B2911*(IF(C2911=DATE(2026,11,28),38,0)+IF(C2911=DATE(2026,12,1),38,0)+IF(C2911=DATE(2026,12,2),26,0)))</f>
        <v/>
      </c>
      <c r="K2911" s="13">
        <f>IF(C2911=Options!$B$9,B2911*12,0)</f>
        <v/>
      </c>
      <c r="L2911" s="13">
        <f>IF(C2911=Options!$B$9,B2911*Options!$Z$8,0)</f>
        <v/>
      </c>
      <c r="M2911" s="13" t="n">
        <v>0</v>
      </c>
      <c r="N2911" s="13">
        <f>SUM(E2911:M2911)</f>
        <v/>
      </c>
    </row>
    <row r="2912">
      <c r="A2912" s="5">
        <f>IF(AND(C2912&gt;=Options!$B$9,C2912&lt;=Options!$B$10),"Boston","")</f>
        <v/>
      </c>
      <c r="B2912" s="5">
        <f>IF(A2912="","",24)</f>
        <v/>
      </c>
      <c r="C2912" s="17" t="n">
        <v>46648</v>
      </c>
      <c r="D2912" s="5">
        <f>IF(A2912="","",IF(C2912=DATE(2026,11,29),"培训；注册午餐；早餐参数",IF(C2912=DATE(2026,11,30),"培训；注册午餐",IF(C2912=DATE(2026,12,1),"培训；注册午餐；机构晚餐",IF(C2912=Options!$B$9,"抵达；"&amp;IF(C2912=DATE(2026,11,28),"机构晚餐","无统一供餐"),IF(C2912=Options!$B$10,"返程；"&amp;IF(C2912=DATE(2026,12,2),"机构午餐","无统一供餐"),"差旅状态；无统一日程"))))))</f>
        <v/>
      </c>
      <c r="E2912" s="13">
        <f>IF(C2912=Options!$B$9,Options!$C$21,0)</f>
        <v/>
      </c>
      <c r="F2912" s="13">
        <f>IF(AND(A2912&lt;&gt;"",C2912&lt;Options!$B$10),B2912*Options!$X$8,0)</f>
        <v/>
      </c>
      <c r="G2912" s="13">
        <f>F2912*12%</f>
        <v/>
      </c>
      <c r="H2912" s="13">
        <f>IF(A2912="",0,B2912*(92*IF(OR(C2912=Options!$B$9,C2912=Options!$B$10),75%,100%)-IF(C2912=DATE(2026,11,29),26+IF(Options!$B$8="是",23,0),0)-IF(C2912=DATE(2026,11,30),26,0)-IF(C2912=DATE(2026,12,1),64,0)-IF(C2912=DATE(2026,11,28),38,0)-IF(C2912=DATE(2026,12,2),26,0)))</f>
        <v/>
      </c>
      <c r="I2912" s="13">
        <f>IF(AND(C2912&gt;=DATE(2026,11,29),C2912&lt;=DATE(2026,12,1)),B2912*60,0)</f>
        <v/>
      </c>
      <c r="J2912" s="13">
        <f>IF(A2912="",0,B2912*(IF(C2912=DATE(2026,11,28),38,0)+IF(C2912=DATE(2026,12,1),38,0)+IF(C2912=DATE(2026,12,2),26,0)))</f>
        <v/>
      </c>
      <c r="K2912" s="13">
        <f>IF(C2912=Options!$B$9,B2912*12,0)</f>
        <v/>
      </c>
      <c r="L2912" s="13">
        <f>IF(C2912=Options!$B$9,B2912*Options!$Z$8,0)</f>
        <v/>
      </c>
      <c r="M2912" s="13" t="n">
        <v>0</v>
      </c>
      <c r="N2912" s="13">
        <f>SUM(E2912:M2912)</f>
        <v/>
      </c>
    </row>
    <row r="2913">
      <c r="A2913" s="5">
        <f>IF(AND(C2913&gt;=Options!$B$9,C2913&lt;=Options!$B$10),"Boston","")</f>
        <v/>
      </c>
      <c r="B2913" s="5">
        <f>IF(A2913="","",24)</f>
        <v/>
      </c>
      <c r="C2913" s="17" t="n">
        <v>46649</v>
      </c>
      <c r="D2913" s="5">
        <f>IF(A2913="","",IF(C2913=DATE(2026,11,29),"培训；注册午餐；早餐参数",IF(C2913=DATE(2026,11,30),"培训；注册午餐",IF(C2913=DATE(2026,12,1),"培训；注册午餐；机构晚餐",IF(C2913=Options!$B$9,"抵达；"&amp;IF(C2913=DATE(2026,11,28),"机构晚餐","无统一供餐"),IF(C2913=Options!$B$10,"返程；"&amp;IF(C2913=DATE(2026,12,2),"机构午餐","无统一供餐"),"差旅状态；无统一日程"))))))</f>
        <v/>
      </c>
      <c r="E2913" s="13">
        <f>IF(C2913=Options!$B$9,Options!$C$21,0)</f>
        <v/>
      </c>
      <c r="F2913" s="13">
        <f>IF(AND(A2913&lt;&gt;"",C2913&lt;Options!$B$10),B2913*Options!$X$8,0)</f>
        <v/>
      </c>
      <c r="G2913" s="13">
        <f>F2913*12%</f>
        <v/>
      </c>
      <c r="H2913" s="13">
        <f>IF(A2913="",0,B2913*(92*IF(OR(C2913=Options!$B$9,C2913=Options!$B$10),75%,100%)-IF(C2913=DATE(2026,11,29),26+IF(Options!$B$8="是",23,0),0)-IF(C2913=DATE(2026,11,30),26,0)-IF(C2913=DATE(2026,12,1),64,0)-IF(C2913=DATE(2026,11,28),38,0)-IF(C2913=DATE(2026,12,2),26,0)))</f>
        <v/>
      </c>
      <c r="I2913" s="13">
        <f>IF(AND(C2913&gt;=DATE(2026,11,29),C2913&lt;=DATE(2026,12,1)),B2913*60,0)</f>
        <v/>
      </c>
      <c r="J2913" s="13">
        <f>IF(A2913="",0,B2913*(IF(C2913=DATE(2026,11,28),38,0)+IF(C2913=DATE(2026,12,1),38,0)+IF(C2913=DATE(2026,12,2),26,0)))</f>
        <v/>
      </c>
      <c r="K2913" s="13">
        <f>IF(C2913=Options!$B$9,B2913*12,0)</f>
        <v/>
      </c>
      <c r="L2913" s="13">
        <f>IF(C2913=Options!$B$9,B2913*Options!$Z$8,0)</f>
        <v/>
      </c>
      <c r="M2913" s="13" t="n">
        <v>0</v>
      </c>
      <c r="N2913" s="13">
        <f>SUM(E2913:M2913)</f>
        <v/>
      </c>
    </row>
    <row r="2914">
      <c r="A2914" s="5">
        <f>IF(AND(C2914&gt;=Options!$B$9,C2914&lt;=Options!$B$10),"Boston","")</f>
        <v/>
      </c>
      <c r="B2914" s="5">
        <f>IF(A2914="","",24)</f>
        <v/>
      </c>
      <c r="C2914" s="17" t="n">
        <v>46650</v>
      </c>
      <c r="D2914" s="5">
        <f>IF(A2914="","",IF(C2914=DATE(2026,11,29),"培训；注册午餐；早餐参数",IF(C2914=DATE(2026,11,30),"培训；注册午餐",IF(C2914=DATE(2026,12,1),"培训；注册午餐；机构晚餐",IF(C2914=Options!$B$9,"抵达；"&amp;IF(C2914=DATE(2026,11,28),"机构晚餐","无统一供餐"),IF(C2914=Options!$B$10,"返程；"&amp;IF(C2914=DATE(2026,12,2),"机构午餐","无统一供餐"),"差旅状态；无统一日程"))))))</f>
        <v/>
      </c>
      <c r="E2914" s="13">
        <f>IF(C2914=Options!$B$9,Options!$C$21,0)</f>
        <v/>
      </c>
      <c r="F2914" s="13">
        <f>IF(AND(A2914&lt;&gt;"",C2914&lt;Options!$B$10),B2914*Options!$X$8,0)</f>
        <v/>
      </c>
      <c r="G2914" s="13">
        <f>F2914*12%</f>
        <v/>
      </c>
      <c r="H2914" s="13">
        <f>IF(A2914="",0,B2914*(92*IF(OR(C2914=Options!$B$9,C2914=Options!$B$10),75%,100%)-IF(C2914=DATE(2026,11,29),26+IF(Options!$B$8="是",23,0),0)-IF(C2914=DATE(2026,11,30),26,0)-IF(C2914=DATE(2026,12,1),64,0)-IF(C2914=DATE(2026,11,28),38,0)-IF(C2914=DATE(2026,12,2),26,0)))</f>
        <v/>
      </c>
      <c r="I2914" s="13">
        <f>IF(AND(C2914&gt;=DATE(2026,11,29),C2914&lt;=DATE(2026,12,1)),B2914*60,0)</f>
        <v/>
      </c>
      <c r="J2914" s="13">
        <f>IF(A2914="",0,B2914*(IF(C2914=DATE(2026,11,28),38,0)+IF(C2914=DATE(2026,12,1),38,0)+IF(C2914=DATE(2026,12,2),26,0)))</f>
        <v/>
      </c>
      <c r="K2914" s="13">
        <f>IF(C2914=Options!$B$9,B2914*12,0)</f>
        <v/>
      </c>
      <c r="L2914" s="13">
        <f>IF(C2914=Options!$B$9,B2914*Options!$Z$8,0)</f>
        <v/>
      </c>
      <c r="M2914" s="13" t="n">
        <v>0</v>
      </c>
      <c r="N2914" s="13">
        <f>SUM(E2914:M2914)</f>
        <v/>
      </c>
    </row>
    <row r="2915">
      <c r="A2915" s="5">
        <f>IF(AND(C2915&gt;=Options!$B$9,C2915&lt;=Options!$B$10),"Boston","")</f>
        <v/>
      </c>
      <c r="B2915" s="5">
        <f>IF(A2915="","",24)</f>
        <v/>
      </c>
      <c r="C2915" s="17" t="n">
        <v>46651</v>
      </c>
      <c r="D2915" s="5">
        <f>IF(A2915="","",IF(C2915=DATE(2026,11,29),"培训；注册午餐；早餐参数",IF(C2915=DATE(2026,11,30),"培训；注册午餐",IF(C2915=DATE(2026,12,1),"培训；注册午餐；机构晚餐",IF(C2915=Options!$B$9,"抵达；"&amp;IF(C2915=DATE(2026,11,28),"机构晚餐","无统一供餐"),IF(C2915=Options!$B$10,"返程；"&amp;IF(C2915=DATE(2026,12,2),"机构午餐","无统一供餐"),"差旅状态；无统一日程"))))))</f>
        <v/>
      </c>
      <c r="E2915" s="13">
        <f>IF(C2915=Options!$B$9,Options!$C$21,0)</f>
        <v/>
      </c>
      <c r="F2915" s="13">
        <f>IF(AND(A2915&lt;&gt;"",C2915&lt;Options!$B$10),B2915*Options!$X$8,0)</f>
        <v/>
      </c>
      <c r="G2915" s="13">
        <f>F2915*12%</f>
        <v/>
      </c>
      <c r="H2915" s="13">
        <f>IF(A2915="",0,B2915*(92*IF(OR(C2915=Options!$B$9,C2915=Options!$B$10),75%,100%)-IF(C2915=DATE(2026,11,29),26+IF(Options!$B$8="是",23,0),0)-IF(C2915=DATE(2026,11,30),26,0)-IF(C2915=DATE(2026,12,1),64,0)-IF(C2915=DATE(2026,11,28),38,0)-IF(C2915=DATE(2026,12,2),26,0)))</f>
        <v/>
      </c>
      <c r="I2915" s="13">
        <f>IF(AND(C2915&gt;=DATE(2026,11,29),C2915&lt;=DATE(2026,12,1)),B2915*60,0)</f>
        <v/>
      </c>
      <c r="J2915" s="13">
        <f>IF(A2915="",0,B2915*(IF(C2915=DATE(2026,11,28),38,0)+IF(C2915=DATE(2026,12,1),38,0)+IF(C2915=DATE(2026,12,2),26,0)))</f>
        <v/>
      </c>
      <c r="K2915" s="13">
        <f>IF(C2915=Options!$B$9,B2915*12,0)</f>
        <v/>
      </c>
      <c r="L2915" s="13">
        <f>IF(C2915=Options!$B$9,B2915*Options!$Z$8,0)</f>
        <v/>
      </c>
      <c r="M2915" s="13" t="n">
        <v>0</v>
      </c>
      <c r="N2915" s="13">
        <f>SUM(E2915:M2915)</f>
        <v/>
      </c>
    </row>
    <row r="2916">
      <c r="A2916" s="5">
        <f>IF(AND(C2916&gt;=Options!$B$9,C2916&lt;=Options!$B$10),"Boston","")</f>
        <v/>
      </c>
      <c r="B2916" s="5">
        <f>IF(A2916="","",24)</f>
        <v/>
      </c>
      <c r="C2916" s="17" t="n">
        <v>46652</v>
      </c>
      <c r="D2916" s="5">
        <f>IF(A2916="","",IF(C2916=DATE(2026,11,29),"培训；注册午餐；早餐参数",IF(C2916=DATE(2026,11,30),"培训；注册午餐",IF(C2916=DATE(2026,12,1),"培训；注册午餐；机构晚餐",IF(C2916=Options!$B$9,"抵达；"&amp;IF(C2916=DATE(2026,11,28),"机构晚餐","无统一供餐"),IF(C2916=Options!$B$10,"返程；"&amp;IF(C2916=DATE(2026,12,2),"机构午餐","无统一供餐"),"差旅状态；无统一日程"))))))</f>
        <v/>
      </c>
      <c r="E2916" s="13">
        <f>IF(C2916=Options!$B$9,Options!$C$21,0)</f>
        <v/>
      </c>
      <c r="F2916" s="13">
        <f>IF(AND(A2916&lt;&gt;"",C2916&lt;Options!$B$10),B2916*Options!$X$8,0)</f>
        <v/>
      </c>
      <c r="G2916" s="13">
        <f>F2916*12%</f>
        <v/>
      </c>
      <c r="H2916" s="13">
        <f>IF(A2916="",0,B2916*(92*IF(OR(C2916=Options!$B$9,C2916=Options!$B$10),75%,100%)-IF(C2916=DATE(2026,11,29),26+IF(Options!$B$8="是",23,0),0)-IF(C2916=DATE(2026,11,30),26,0)-IF(C2916=DATE(2026,12,1),64,0)-IF(C2916=DATE(2026,11,28),38,0)-IF(C2916=DATE(2026,12,2),26,0)))</f>
        <v/>
      </c>
      <c r="I2916" s="13">
        <f>IF(AND(C2916&gt;=DATE(2026,11,29),C2916&lt;=DATE(2026,12,1)),B2916*60,0)</f>
        <v/>
      </c>
      <c r="J2916" s="13">
        <f>IF(A2916="",0,B2916*(IF(C2916=DATE(2026,11,28),38,0)+IF(C2916=DATE(2026,12,1),38,0)+IF(C2916=DATE(2026,12,2),26,0)))</f>
        <v/>
      </c>
      <c r="K2916" s="13">
        <f>IF(C2916=Options!$B$9,B2916*12,0)</f>
        <v/>
      </c>
      <c r="L2916" s="13">
        <f>IF(C2916=Options!$B$9,B2916*Options!$Z$8,0)</f>
        <v/>
      </c>
      <c r="M2916" s="13" t="n">
        <v>0</v>
      </c>
      <c r="N2916" s="13">
        <f>SUM(E2916:M2916)</f>
        <v/>
      </c>
    </row>
    <row r="2917">
      <c r="A2917" s="5">
        <f>IF(AND(C2917&gt;=Options!$B$9,C2917&lt;=Options!$B$10),"Boston","")</f>
        <v/>
      </c>
      <c r="B2917" s="5">
        <f>IF(A2917="","",24)</f>
        <v/>
      </c>
      <c r="C2917" s="17" t="n">
        <v>46653</v>
      </c>
      <c r="D2917" s="5">
        <f>IF(A2917="","",IF(C2917=DATE(2026,11,29),"培训；注册午餐；早餐参数",IF(C2917=DATE(2026,11,30),"培训；注册午餐",IF(C2917=DATE(2026,12,1),"培训；注册午餐；机构晚餐",IF(C2917=Options!$B$9,"抵达；"&amp;IF(C2917=DATE(2026,11,28),"机构晚餐","无统一供餐"),IF(C2917=Options!$B$10,"返程；"&amp;IF(C2917=DATE(2026,12,2),"机构午餐","无统一供餐"),"差旅状态；无统一日程"))))))</f>
        <v/>
      </c>
      <c r="E2917" s="13">
        <f>IF(C2917=Options!$B$9,Options!$C$21,0)</f>
        <v/>
      </c>
      <c r="F2917" s="13">
        <f>IF(AND(A2917&lt;&gt;"",C2917&lt;Options!$B$10),B2917*Options!$X$8,0)</f>
        <v/>
      </c>
      <c r="G2917" s="13">
        <f>F2917*12%</f>
        <v/>
      </c>
      <c r="H2917" s="13">
        <f>IF(A2917="",0,B2917*(92*IF(OR(C2917=Options!$B$9,C2917=Options!$B$10),75%,100%)-IF(C2917=DATE(2026,11,29),26+IF(Options!$B$8="是",23,0),0)-IF(C2917=DATE(2026,11,30),26,0)-IF(C2917=DATE(2026,12,1),64,0)-IF(C2917=DATE(2026,11,28),38,0)-IF(C2917=DATE(2026,12,2),26,0)))</f>
        <v/>
      </c>
      <c r="I2917" s="13">
        <f>IF(AND(C2917&gt;=DATE(2026,11,29),C2917&lt;=DATE(2026,12,1)),B2917*60,0)</f>
        <v/>
      </c>
      <c r="J2917" s="13">
        <f>IF(A2917="",0,B2917*(IF(C2917=DATE(2026,11,28),38,0)+IF(C2917=DATE(2026,12,1),38,0)+IF(C2917=DATE(2026,12,2),26,0)))</f>
        <v/>
      </c>
      <c r="K2917" s="13">
        <f>IF(C2917=Options!$B$9,B2917*12,0)</f>
        <v/>
      </c>
      <c r="L2917" s="13">
        <f>IF(C2917=Options!$B$9,B2917*Options!$Z$8,0)</f>
        <v/>
      </c>
      <c r="M2917" s="13" t="n">
        <v>0</v>
      </c>
      <c r="N2917" s="13">
        <f>SUM(E2917:M2917)</f>
        <v/>
      </c>
    </row>
    <row r="2918">
      <c r="A2918" s="5">
        <f>IF(AND(C2918&gt;=Options!$B$9,C2918&lt;=Options!$B$10),"Boston","")</f>
        <v/>
      </c>
      <c r="B2918" s="5">
        <f>IF(A2918="","",24)</f>
        <v/>
      </c>
      <c r="C2918" s="17" t="n">
        <v>46654</v>
      </c>
      <c r="D2918" s="5">
        <f>IF(A2918="","",IF(C2918=DATE(2026,11,29),"培训；注册午餐；早餐参数",IF(C2918=DATE(2026,11,30),"培训；注册午餐",IF(C2918=DATE(2026,12,1),"培训；注册午餐；机构晚餐",IF(C2918=Options!$B$9,"抵达；"&amp;IF(C2918=DATE(2026,11,28),"机构晚餐","无统一供餐"),IF(C2918=Options!$B$10,"返程；"&amp;IF(C2918=DATE(2026,12,2),"机构午餐","无统一供餐"),"差旅状态；无统一日程"))))))</f>
        <v/>
      </c>
      <c r="E2918" s="13">
        <f>IF(C2918=Options!$B$9,Options!$C$21,0)</f>
        <v/>
      </c>
      <c r="F2918" s="13">
        <f>IF(AND(A2918&lt;&gt;"",C2918&lt;Options!$B$10),B2918*Options!$X$8,0)</f>
        <v/>
      </c>
      <c r="G2918" s="13">
        <f>F2918*12%</f>
        <v/>
      </c>
      <c r="H2918" s="13">
        <f>IF(A2918="",0,B2918*(92*IF(OR(C2918=Options!$B$9,C2918=Options!$B$10),75%,100%)-IF(C2918=DATE(2026,11,29),26+IF(Options!$B$8="是",23,0),0)-IF(C2918=DATE(2026,11,30),26,0)-IF(C2918=DATE(2026,12,1),64,0)-IF(C2918=DATE(2026,11,28),38,0)-IF(C2918=DATE(2026,12,2),26,0)))</f>
        <v/>
      </c>
      <c r="I2918" s="13">
        <f>IF(AND(C2918&gt;=DATE(2026,11,29),C2918&lt;=DATE(2026,12,1)),B2918*60,0)</f>
        <v/>
      </c>
      <c r="J2918" s="13">
        <f>IF(A2918="",0,B2918*(IF(C2918=DATE(2026,11,28),38,0)+IF(C2918=DATE(2026,12,1),38,0)+IF(C2918=DATE(2026,12,2),26,0)))</f>
        <v/>
      </c>
      <c r="K2918" s="13">
        <f>IF(C2918=Options!$B$9,B2918*12,0)</f>
        <v/>
      </c>
      <c r="L2918" s="13">
        <f>IF(C2918=Options!$B$9,B2918*Options!$Z$8,0)</f>
        <v/>
      </c>
      <c r="M2918" s="13" t="n">
        <v>0</v>
      </c>
      <c r="N2918" s="13">
        <f>SUM(E2918:M2918)</f>
        <v/>
      </c>
    </row>
    <row r="2919">
      <c r="A2919" s="5">
        <f>IF(AND(C2919&gt;=Options!$B$9,C2919&lt;=Options!$B$10),"Boston","")</f>
        <v/>
      </c>
      <c r="B2919" s="5">
        <f>IF(A2919="","",24)</f>
        <v/>
      </c>
      <c r="C2919" s="17" t="n">
        <v>46655</v>
      </c>
      <c r="D2919" s="5">
        <f>IF(A2919="","",IF(C2919=DATE(2026,11,29),"培训；注册午餐；早餐参数",IF(C2919=DATE(2026,11,30),"培训；注册午餐",IF(C2919=DATE(2026,12,1),"培训；注册午餐；机构晚餐",IF(C2919=Options!$B$9,"抵达；"&amp;IF(C2919=DATE(2026,11,28),"机构晚餐","无统一供餐"),IF(C2919=Options!$B$10,"返程；"&amp;IF(C2919=DATE(2026,12,2),"机构午餐","无统一供餐"),"差旅状态；无统一日程"))))))</f>
        <v/>
      </c>
      <c r="E2919" s="13">
        <f>IF(C2919=Options!$B$9,Options!$C$21,0)</f>
        <v/>
      </c>
      <c r="F2919" s="13">
        <f>IF(AND(A2919&lt;&gt;"",C2919&lt;Options!$B$10),B2919*Options!$X$8,0)</f>
        <v/>
      </c>
      <c r="G2919" s="13">
        <f>F2919*12%</f>
        <v/>
      </c>
      <c r="H2919" s="13">
        <f>IF(A2919="",0,B2919*(92*IF(OR(C2919=Options!$B$9,C2919=Options!$B$10),75%,100%)-IF(C2919=DATE(2026,11,29),26+IF(Options!$B$8="是",23,0),0)-IF(C2919=DATE(2026,11,30),26,0)-IF(C2919=DATE(2026,12,1),64,0)-IF(C2919=DATE(2026,11,28),38,0)-IF(C2919=DATE(2026,12,2),26,0)))</f>
        <v/>
      </c>
      <c r="I2919" s="13">
        <f>IF(AND(C2919&gt;=DATE(2026,11,29),C2919&lt;=DATE(2026,12,1)),B2919*60,0)</f>
        <v/>
      </c>
      <c r="J2919" s="13">
        <f>IF(A2919="",0,B2919*(IF(C2919=DATE(2026,11,28),38,0)+IF(C2919=DATE(2026,12,1),38,0)+IF(C2919=DATE(2026,12,2),26,0)))</f>
        <v/>
      </c>
      <c r="K2919" s="13">
        <f>IF(C2919=Options!$B$9,B2919*12,0)</f>
        <v/>
      </c>
      <c r="L2919" s="13">
        <f>IF(C2919=Options!$B$9,B2919*Options!$Z$8,0)</f>
        <v/>
      </c>
      <c r="M2919" s="13" t="n">
        <v>0</v>
      </c>
      <c r="N2919" s="13">
        <f>SUM(E2919:M2919)</f>
        <v/>
      </c>
    </row>
    <row r="2920">
      <c r="A2920" s="5">
        <f>IF(AND(C2920&gt;=Options!$B$9,C2920&lt;=Options!$B$10),"Boston","")</f>
        <v/>
      </c>
      <c r="B2920" s="5">
        <f>IF(A2920="","",24)</f>
        <v/>
      </c>
      <c r="C2920" s="17" t="n">
        <v>46656</v>
      </c>
      <c r="D2920" s="5">
        <f>IF(A2920="","",IF(C2920=DATE(2026,11,29),"培训；注册午餐；早餐参数",IF(C2920=DATE(2026,11,30),"培训；注册午餐",IF(C2920=DATE(2026,12,1),"培训；注册午餐；机构晚餐",IF(C2920=Options!$B$9,"抵达；"&amp;IF(C2920=DATE(2026,11,28),"机构晚餐","无统一供餐"),IF(C2920=Options!$B$10,"返程；"&amp;IF(C2920=DATE(2026,12,2),"机构午餐","无统一供餐"),"差旅状态；无统一日程"))))))</f>
        <v/>
      </c>
      <c r="E2920" s="13">
        <f>IF(C2920=Options!$B$9,Options!$C$21,0)</f>
        <v/>
      </c>
      <c r="F2920" s="13">
        <f>IF(AND(A2920&lt;&gt;"",C2920&lt;Options!$B$10),B2920*Options!$X$8,0)</f>
        <v/>
      </c>
      <c r="G2920" s="13">
        <f>F2920*12%</f>
        <v/>
      </c>
      <c r="H2920" s="13">
        <f>IF(A2920="",0,B2920*(92*IF(OR(C2920=Options!$B$9,C2920=Options!$B$10),75%,100%)-IF(C2920=DATE(2026,11,29),26+IF(Options!$B$8="是",23,0),0)-IF(C2920=DATE(2026,11,30),26,0)-IF(C2920=DATE(2026,12,1),64,0)-IF(C2920=DATE(2026,11,28),38,0)-IF(C2920=DATE(2026,12,2),26,0)))</f>
        <v/>
      </c>
      <c r="I2920" s="13">
        <f>IF(AND(C2920&gt;=DATE(2026,11,29),C2920&lt;=DATE(2026,12,1)),B2920*60,0)</f>
        <v/>
      </c>
      <c r="J2920" s="13">
        <f>IF(A2920="",0,B2920*(IF(C2920=DATE(2026,11,28),38,0)+IF(C2920=DATE(2026,12,1),38,0)+IF(C2920=DATE(2026,12,2),26,0)))</f>
        <v/>
      </c>
      <c r="K2920" s="13">
        <f>IF(C2920=Options!$B$9,B2920*12,0)</f>
        <v/>
      </c>
      <c r="L2920" s="13">
        <f>IF(C2920=Options!$B$9,B2920*Options!$Z$8,0)</f>
        <v/>
      </c>
      <c r="M2920" s="13" t="n">
        <v>0</v>
      </c>
      <c r="N2920" s="13">
        <f>SUM(E2920:M2920)</f>
        <v/>
      </c>
    </row>
    <row r="2921">
      <c r="A2921" s="5">
        <f>IF(AND(C2921&gt;=Options!$B$9,C2921&lt;=Options!$B$10),"Boston","")</f>
        <v/>
      </c>
      <c r="B2921" s="5">
        <f>IF(A2921="","",24)</f>
        <v/>
      </c>
      <c r="C2921" s="17" t="n">
        <v>46657</v>
      </c>
      <c r="D2921" s="5">
        <f>IF(A2921="","",IF(C2921=DATE(2026,11,29),"培训；注册午餐；早餐参数",IF(C2921=DATE(2026,11,30),"培训；注册午餐",IF(C2921=DATE(2026,12,1),"培训；注册午餐；机构晚餐",IF(C2921=Options!$B$9,"抵达；"&amp;IF(C2921=DATE(2026,11,28),"机构晚餐","无统一供餐"),IF(C2921=Options!$B$10,"返程；"&amp;IF(C2921=DATE(2026,12,2),"机构午餐","无统一供餐"),"差旅状态；无统一日程"))))))</f>
        <v/>
      </c>
      <c r="E2921" s="13">
        <f>IF(C2921=Options!$B$9,Options!$C$21,0)</f>
        <v/>
      </c>
      <c r="F2921" s="13">
        <f>IF(AND(A2921&lt;&gt;"",C2921&lt;Options!$B$10),B2921*Options!$X$8,0)</f>
        <v/>
      </c>
      <c r="G2921" s="13">
        <f>F2921*12%</f>
        <v/>
      </c>
      <c r="H2921" s="13">
        <f>IF(A2921="",0,B2921*(92*IF(OR(C2921=Options!$B$9,C2921=Options!$B$10),75%,100%)-IF(C2921=DATE(2026,11,29),26+IF(Options!$B$8="是",23,0),0)-IF(C2921=DATE(2026,11,30),26,0)-IF(C2921=DATE(2026,12,1),64,0)-IF(C2921=DATE(2026,11,28),38,0)-IF(C2921=DATE(2026,12,2),26,0)))</f>
        <v/>
      </c>
      <c r="I2921" s="13">
        <f>IF(AND(C2921&gt;=DATE(2026,11,29),C2921&lt;=DATE(2026,12,1)),B2921*60,0)</f>
        <v/>
      </c>
      <c r="J2921" s="13">
        <f>IF(A2921="",0,B2921*(IF(C2921=DATE(2026,11,28),38,0)+IF(C2921=DATE(2026,12,1),38,0)+IF(C2921=DATE(2026,12,2),26,0)))</f>
        <v/>
      </c>
      <c r="K2921" s="13">
        <f>IF(C2921=Options!$B$9,B2921*12,0)</f>
        <v/>
      </c>
      <c r="L2921" s="13">
        <f>IF(C2921=Options!$B$9,B2921*Options!$Z$8,0)</f>
        <v/>
      </c>
      <c r="M2921" s="13" t="n">
        <v>0</v>
      </c>
      <c r="N2921" s="13">
        <f>SUM(E2921:M2921)</f>
        <v/>
      </c>
    </row>
    <row r="2922">
      <c r="A2922" s="5">
        <f>IF(AND(C2922&gt;=Options!$B$9,C2922&lt;=Options!$B$10),"Boston","")</f>
        <v/>
      </c>
      <c r="B2922" s="5">
        <f>IF(A2922="","",24)</f>
        <v/>
      </c>
      <c r="C2922" s="17" t="n">
        <v>46658</v>
      </c>
      <c r="D2922" s="5">
        <f>IF(A2922="","",IF(C2922=DATE(2026,11,29),"培训；注册午餐；早餐参数",IF(C2922=DATE(2026,11,30),"培训；注册午餐",IF(C2922=DATE(2026,12,1),"培训；注册午餐；机构晚餐",IF(C2922=Options!$B$9,"抵达；"&amp;IF(C2922=DATE(2026,11,28),"机构晚餐","无统一供餐"),IF(C2922=Options!$B$10,"返程；"&amp;IF(C2922=DATE(2026,12,2),"机构午餐","无统一供餐"),"差旅状态；无统一日程"))))))</f>
        <v/>
      </c>
      <c r="E2922" s="13">
        <f>IF(C2922=Options!$B$9,Options!$C$21,0)</f>
        <v/>
      </c>
      <c r="F2922" s="13">
        <f>IF(AND(A2922&lt;&gt;"",C2922&lt;Options!$B$10),B2922*Options!$X$8,0)</f>
        <v/>
      </c>
      <c r="G2922" s="13">
        <f>F2922*12%</f>
        <v/>
      </c>
      <c r="H2922" s="13">
        <f>IF(A2922="",0,B2922*(92*IF(OR(C2922=Options!$B$9,C2922=Options!$B$10),75%,100%)-IF(C2922=DATE(2026,11,29),26+IF(Options!$B$8="是",23,0),0)-IF(C2922=DATE(2026,11,30),26,0)-IF(C2922=DATE(2026,12,1),64,0)-IF(C2922=DATE(2026,11,28),38,0)-IF(C2922=DATE(2026,12,2),26,0)))</f>
        <v/>
      </c>
      <c r="I2922" s="13">
        <f>IF(AND(C2922&gt;=DATE(2026,11,29),C2922&lt;=DATE(2026,12,1)),B2922*60,0)</f>
        <v/>
      </c>
      <c r="J2922" s="13">
        <f>IF(A2922="",0,B2922*(IF(C2922=DATE(2026,11,28),38,0)+IF(C2922=DATE(2026,12,1),38,0)+IF(C2922=DATE(2026,12,2),26,0)))</f>
        <v/>
      </c>
      <c r="K2922" s="13">
        <f>IF(C2922=Options!$B$9,B2922*12,0)</f>
        <v/>
      </c>
      <c r="L2922" s="13">
        <f>IF(C2922=Options!$B$9,B2922*Options!$Z$8,0)</f>
        <v/>
      </c>
      <c r="M2922" s="13" t="n">
        <v>0</v>
      </c>
      <c r="N2922" s="13">
        <f>SUM(E2922:M2922)</f>
        <v/>
      </c>
    </row>
    <row r="2923">
      <c r="A2923" s="5">
        <f>IF(AND(C2923&gt;=Options!$B$9,C2923&lt;=Options!$B$10),"Boston","")</f>
        <v/>
      </c>
      <c r="B2923" s="5">
        <f>IF(A2923="","",24)</f>
        <v/>
      </c>
      <c r="C2923" s="17" t="n">
        <v>46659</v>
      </c>
      <c r="D2923" s="5">
        <f>IF(A2923="","",IF(C2923=DATE(2026,11,29),"培训；注册午餐；早餐参数",IF(C2923=DATE(2026,11,30),"培训；注册午餐",IF(C2923=DATE(2026,12,1),"培训；注册午餐；机构晚餐",IF(C2923=Options!$B$9,"抵达；"&amp;IF(C2923=DATE(2026,11,28),"机构晚餐","无统一供餐"),IF(C2923=Options!$B$10,"返程；"&amp;IF(C2923=DATE(2026,12,2),"机构午餐","无统一供餐"),"差旅状态；无统一日程"))))))</f>
        <v/>
      </c>
      <c r="E2923" s="13">
        <f>IF(C2923=Options!$B$9,Options!$C$21,0)</f>
        <v/>
      </c>
      <c r="F2923" s="13">
        <f>IF(AND(A2923&lt;&gt;"",C2923&lt;Options!$B$10),B2923*Options!$X$8,0)</f>
        <v/>
      </c>
      <c r="G2923" s="13">
        <f>F2923*12%</f>
        <v/>
      </c>
      <c r="H2923" s="13">
        <f>IF(A2923="",0,B2923*(92*IF(OR(C2923=Options!$B$9,C2923=Options!$B$10),75%,100%)-IF(C2923=DATE(2026,11,29),26+IF(Options!$B$8="是",23,0),0)-IF(C2923=DATE(2026,11,30),26,0)-IF(C2923=DATE(2026,12,1),64,0)-IF(C2923=DATE(2026,11,28),38,0)-IF(C2923=DATE(2026,12,2),26,0)))</f>
        <v/>
      </c>
      <c r="I2923" s="13">
        <f>IF(AND(C2923&gt;=DATE(2026,11,29),C2923&lt;=DATE(2026,12,1)),B2923*60,0)</f>
        <v/>
      </c>
      <c r="J2923" s="13">
        <f>IF(A2923="",0,B2923*(IF(C2923=DATE(2026,11,28),38,0)+IF(C2923=DATE(2026,12,1),38,0)+IF(C2923=DATE(2026,12,2),26,0)))</f>
        <v/>
      </c>
      <c r="K2923" s="13">
        <f>IF(C2923=Options!$B$9,B2923*12,0)</f>
        <v/>
      </c>
      <c r="L2923" s="13">
        <f>IF(C2923=Options!$B$9,B2923*Options!$Z$8,0)</f>
        <v/>
      </c>
      <c r="M2923" s="13" t="n">
        <v>0</v>
      </c>
      <c r="N2923" s="13">
        <f>SUM(E2923:M2923)</f>
        <v/>
      </c>
    </row>
    <row r="2924">
      <c r="A2924" s="5">
        <f>IF(AND(C2924&gt;=Options!$B$9,C2924&lt;=Options!$B$10),"Boston","")</f>
        <v/>
      </c>
      <c r="B2924" s="5">
        <f>IF(A2924="","",24)</f>
        <v/>
      </c>
      <c r="C2924" s="17" t="n">
        <v>46660</v>
      </c>
      <c r="D2924" s="5">
        <f>IF(A2924="","",IF(C2924=DATE(2026,11,29),"培训；注册午餐；早餐参数",IF(C2924=DATE(2026,11,30),"培训；注册午餐",IF(C2924=DATE(2026,12,1),"培训；注册午餐；机构晚餐",IF(C2924=Options!$B$9,"抵达；"&amp;IF(C2924=DATE(2026,11,28),"机构晚餐","无统一供餐"),IF(C2924=Options!$B$10,"返程；"&amp;IF(C2924=DATE(2026,12,2),"机构午餐","无统一供餐"),"差旅状态；无统一日程"))))))</f>
        <v/>
      </c>
      <c r="E2924" s="13">
        <f>IF(C2924=Options!$B$9,Options!$C$21,0)</f>
        <v/>
      </c>
      <c r="F2924" s="13">
        <f>IF(AND(A2924&lt;&gt;"",C2924&lt;Options!$B$10),B2924*Options!$X$8,0)</f>
        <v/>
      </c>
      <c r="G2924" s="13">
        <f>F2924*12%</f>
        <v/>
      </c>
      <c r="H2924" s="13">
        <f>IF(A2924="",0,B2924*(92*IF(OR(C2924=Options!$B$9,C2924=Options!$B$10),75%,100%)-IF(C2924=DATE(2026,11,29),26+IF(Options!$B$8="是",23,0),0)-IF(C2924=DATE(2026,11,30),26,0)-IF(C2924=DATE(2026,12,1),64,0)-IF(C2924=DATE(2026,11,28),38,0)-IF(C2924=DATE(2026,12,2),26,0)))</f>
        <v/>
      </c>
      <c r="I2924" s="13">
        <f>IF(AND(C2924&gt;=DATE(2026,11,29),C2924&lt;=DATE(2026,12,1)),B2924*60,0)</f>
        <v/>
      </c>
      <c r="J2924" s="13">
        <f>IF(A2924="",0,B2924*(IF(C2924=DATE(2026,11,28),38,0)+IF(C2924=DATE(2026,12,1),38,0)+IF(C2924=DATE(2026,12,2),26,0)))</f>
        <v/>
      </c>
      <c r="K2924" s="13">
        <f>IF(C2924=Options!$B$9,B2924*12,0)</f>
        <v/>
      </c>
      <c r="L2924" s="13">
        <f>IF(C2924=Options!$B$9,B2924*Options!$Z$8,0)</f>
        <v/>
      </c>
      <c r="M2924" s="13" t="n">
        <v>0</v>
      </c>
      <c r="N2924" s="13">
        <f>SUM(E2924:M2924)</f>
        <v/>
      </c>
    </row>
    <row r="2925">
      <c r="A2925" s="5">
        <f>IF(AND(C2925&gt;=Options!$B$9,C2925&lt;=Options!$B$10),"Seattle","")</f>
        <v/>
      </c>
      <c r="B2925" s="5">
        <f>IF(A2925="","",18)</f>
        <v/>
      </c>
      <c r="C2925" s="17" t="n">
        <v>46296</v>
      </c>
      <c r="D2925" s="5">
        <f>IF(A2925="","",IF(C2925=DATE(2026,11,29),"培训；注册午餐；早餐参数",IF(C2925=DATE(2026,11,30),"培训；注册午餐",IF(C2925=DATE(2026,12,1),"培训；注册午餐；机构晚餐",IF(C2925=Options!$B$9,"抵达；"&amp;IF(C2925=DATE(2026,11,28),"机构晚餐","无统一供餐"),IF(C2925=Options!$B$10,"返程；"&amp;IF(C2925=DATE(2026,12,2),"机构午餐","无统一供餐"),"差旅状态；无统一日程"))))))</f>
        <v/>
      </c>
      <c r="E2925" s="13">
        <f>IF(C2925=Options!$B$9,Options!$C$22,0)</f>
        <v/>
      </c>
      <c r="F2925" s="13">
        <f>IF(AND(A2925&lt;&gt;"",C2925&lt;Options!$B$10),B2925*Options!$X$9,0)</f>
        <v/>
      </c>
      <c r="G2925" s="13">
        <f>F2925*12%</f>
        <v/>
      </c>
      <c r="H2925" s="13">
        <f>IF(A2925="",0,B2925*(92*IF(OR(C2925=Options!$B$9,C2925=Options!$B$10),75%,100%)-IF(C2925=DATE(2026,11,29),26+IF(Options!$B$8="是",23,0),0)-IF(C2925=DATE(2026,11,30),26,0)-IF(C2925=DATE(2026,12,1),64,0)-IF(C2925=DATE(2026,11,28),38,0)-IF(C2925=DATE(2026,12,2),26,0)))</f>
        <v/>
      </c>
      <c r="I2925" s="13">
        <f>IF(AND(C2925&gt;=DATE(2026,11,29),C2925&lt;=DATE(2026,12,1)),B2925*60,0)</f>
        <v/>
      </c>
      <c r="J2925" s="13">
        <f>IF(A2925="",0,B2925*(IF(C2925=DATE(2026,11,28),38,0)+IF(C2925=DATE(2026,12,1),38,0)+IF(C2925=DATE(2026,12,2),26,0)))</f>
        <v/>
      </c>
      <c r="K2925" s="13">
        <f>IF(C2925=Options!$B$9,B2925*12,0)</f>
        <v/>
      </c>
      <c r="L2925" s="13">
        <f>IF(C2925=Options!$B$9,B2925*Options!$Z$9,0)</f>
        <v/>
      </c>
      <c r="M2925" s="13" t="n">
        <v>0</v>
      </c>
      <c r="N2925" s="13">
        <f>SUM(E2925:M2925)</f>
        <v/>
      </c>
    </row>
    <row r="2926">
      <c r="A2926" s="5">
        <f>IF(AND(C2926&gt;=Options!$B$9,C2926&lt;=Options!$B$10),"Seattle","")</f>
        <v/>
      </c>
      <c r="B2926" s="5">
        <f>IF(A2926="","",18)</f>
        <v/>
      </c>
      <c r="C2926" s="17" t="n">
        <v>46297</v>
      </c>
      <c r="D2926" s="5">
        <f>IF(A2926="","",IF(C2926=DATE(2026,11,29),"培训；注册午餐；早餐参数",IF(C2926=DATE(2026,11,30),"培训；注册午餐",IF(C2926=DATE(2026,12,1),"培训；注册午餐；机构晚餐",IF(C2926=Options!$B$9,"抵达；"&amp;IF(C2926=DATE(2026,11,28),"机构晚餐","无统一供餐"),IF(C2926=Options!$B$10,"返程；"&amp;IF(C2926=DATE(2026,12,2),"机构午餐","无统一供餐"),"差旅状态；无统一日程"))))))</f>
        <v/>
      </c>
      <c r="E2926" s="13">
        <f>IF(C2926=Options!$B$9,Options!$C$22,0)</f>
        <v/>
      </c>
      <c r="F2926" s="13">
        <f>IF(AND(A2926&lt;&gt;"",C2926&lt;Options!$B$10),B2926*Options!$X$9,0)</f>
        <v/>
      </c>
      <c r="G2926" s="13">
        <f>F2926*12%</f>
        <v/>
      </c>
      <c r="H2926" s="13">
        <f>IF(A2926="",0,B2926*(92*IF(OR(C2926=Options!$B$9,C2926=Options!$B$10),75%,100%)-IF(C2926=DATE(2026,11,29),26+IF(Options!$B$8="是",23,0),0)-IF(C2926=DATE(2026,11,30),26,0)-IF(C2926=DATE(2026,12,1),64,0)-IF(C2926=DATE(2026,11,28),38,0)-IF(C2926=DATE(2026,12,2),26,0)))</f>
        <v/>
      </c>
      <c r="I2926" s="13">
        <f>IF(AND(C2926&gt;=DATE(2026,11,29),C2926&lt;=DATE(2026,12,1)),B2926*60,0)</f>
        <v/>
      </c>
      <c r="J2926" s="13">
        <f>IF(A2926="",0,B2926*(IF(C2926=DATE(2026,11,28),38,0)+IF(C2926=DATE(2026,12,1),38,0)+IF(C2926=DATE(2026,12,2),26,0)))</f>
        <v/>
      </c>
      <c r="K2926" s="13">
        <f>IF(C2926=Options!$B$9,B2926*12,0)</f>
        <v/>
      </c>
      <c r="L2926" s="13">
        <f>IF(C2926=Options!$B$9,B2926*Options!$Z$9,0)</f>
        <v/>
      </c>
      <c r="M2926" s="13" t="n">
        <v>0</v>
      </c>
      <c r="N2926" s="13">
        <f>SUM(E2926:M2926)</f>
        <v/>
      </c>
    </row>
    <row r="2927">
      <c r="A2927" s="5">
        <f>IF(AND(C2927&gt;=Options!$B$9,C2927&lt;=Options!$B$10),"Seattle","")</f>
        <v/>
      </c>
      <c r="B2927" s="5">
        <f>IF(A2927="","",18)</f>
        <v/>
      </c>
      <c r="C2927" s="17" t="n">
        <v>46298</v>
      </c>
      <c r="D2927" s="5">
        <f>IF(A2927="","",IF(C2927=DATE(2026,11,29),"培训；注册午餐；早餐参数",IF(C2927=DATE(2026,11,30),"培训；注册午餐",IF(C2927=DATE(2026,12,1),"培训；注册午餐；机构晚餐",IF(C2927=Options!$B$9,"抵达；"&amp;IF(C2927=DATE(2026,11,28),"机构晚餐","无统一供餐"),IF(C2927=Options!$B$10,"返程；"&amp;IF(C2927=DATE(2026,12,2),"机构午餐","无统一供餐"),"差旅状态；无统一日程"))))))</f>
        <v/>
      </c>
      <c r="E2927" s="13">
        <f>IF(C2927=Options!$B$9,Options!$C$22,0)</f>
        <v/>
      </c>
      <c r="F2927" s="13">
        <f>IF(AND(A2927&lt;&gt;"",C2927&lt;Options!$B$10),B2927*Options!$X$9,0)</f>
        <v/>
      </c>
      <c r="G2927" s="13">
        <f>F2927*12%</f>
        <v/>
      </c>
      <c r="H2927" s="13">
        <f>IF(A2927="",0,B2927*(92*IF(OR(C2927=Options!$B$9,C2927=Options!$B$10),75%,100%)-IF(C2927=DATE(2026,11,29),26+IF(Options!$B$8="是",23,0),0)-IF(C2927=DATE(2026,11,30),26,0)-IF(C2927=DATE(2026,12,1),64,0)-IF(C2927=DATE(2026,11,28),38,0)-IF(C2927=DATE(2026,12,2),26,0)))</f>
        <v/>
      </c>
      <c r="I2927" s="13">
        <f>IF(AND(C2927&gt;=DATE(2026,11,29),C2927&lt;=DATE(2026,12,1)),B2927*60,0)</f>
        <v/>
      </c>
      <c r="J2927" s="13">
        <f>IF(A2927="",0,B2927*(IF(C2927=DATE(2026,11,28),38,0)+IF(C2927=DATE(2026,12,1),38,0)+IF(C2927=DATE(2026,12,2),26,0)))</f>
        <v/>
      </c>
      <c r="K2927" s="13">
        <f>IF(C2927=Options!$B$9,B2927*12,0)</f>
        <v/>
      </c>
      <c r="L2927" s="13">
        <f>IF(C2927=Options!$B$9,B2927*Options!$Z$9,0)</f>
        <v/>
      </c>
      <c r="M2927" s="13" t="n">
        <v>0</v>
      </c>
      <c r="N2927" s="13">
        <f>SUM(E2927:M2927)</f>
        <v/>
      </c>
    </row>
    <row r="2928">
      <c r="A2928" s="5">
        <f>IF(AND(C2928&gt;=Options!$B$9,C2928&lt;=Options!$B$10),"Seattle","")</f>
        <v/>
      </c>
      <c r="B2928" s="5">
        <f>IF(A2928="","",18)</f>
        <v/>
      </c>
      <c r="C2928" s="17" t="n">
        <v>46299</v>
      </c>
      <c r="D2928" s="5">
        <f>IF(A2928="","",IF(C2928=DATE(2026,11,29),"培训；注册午餐；早餐参数",IF(C2928=DATE(2026,11,30),"培训；注册午餐",IF(C2928=DATE(2026,12,1),"培训；注册午餐；机构晚餐",IF(C2928=Options!$B$9,"抵达；"&amp;IF(C2928=DATE(2026,11,28),"机构晚餐","无统一供餐"),IF(C2928=Options!$B$10,"返程；"&amp;IF(C2928=DATE(2026,12,2),"机构午餐","无统一供餐"),"差旅状态；无统一日程"))))))</f>
        <v/>
      </c>
      <c r="E2928" s="13">
        <f>IF(C2928=Options!$B$9,Options!$C$22,0)</f>
        <v/>
      </c>
      <c r="F2928" s="13">
        <f>IF(AND(A2928&lt;&gt;"",C2928&lt;Options!$B$10),B2928*Options!$X$9,0)</f>
        <v/>
      </c>
      <c r="G2928" s="13">
        <f>F2928*12%</f>
        <v/>
      </c>
      <c r="H2928" s="13">
        <f>IF(A2928="",0,B2928*(92*IF(OR(C2928=Options!$B$9,C2928=Options!$B$10),75%,100%)-IF(C2928=DATE(2026,11,29),26+IF(Options!$B$8="是",23,0),0)-IF(C2928=DATE(2026,11,30),26,0)-IF(C2928=DATE(2026,12,1),64,0)-IF(C2928=DATE(2026,11,28),38,0)-IF(C2928=DATE(2026,12,2),26,0)))</f>
        <v/>
      </c>
      <c r="I2928" s="13">
        <f>IF(AND(C2928&gt;=DATE(2026,11,29),C2928&lt;=DATE(2026,12,1)),B2928*60,0)</f>
        <v/>
      </c>
      <c r="J2928" s="13">
        <f>IF(A2928="",0,B2928*(IF(C2928=DATE(2026,11,28),38,0)+IF(C2928=DATE(2026,12,1),38,0)+IF(C2928=DATE(2026,12,2),26,0)))</f>
        <v/>
      </c>
      <c r="K2928" s="13">
        <f>IF(C2928=Options!$B$9,B2928*12,0)</f>
        <v/>
      </c>
      <c r="L2928" s="13">
        <f>IF(C2928=Options!$B$9,B2928*Options!$Z$9,0)</f>
        <v/>
      </c>
      <c r="M2928" s="13" t="n">
        <v>0</v>
      </c>
      <c r="N2928" s="13">
        <f>SUM(E2928:M2928)</f>
        <v/>
      </c>
    </row>
    <row r="2929">
      <c r="A2929" s="5">
        <f>IF(AND(C2929&gt;=Options!$B$9,C2929&lt;=Options!$B$10),"Seattle","")</f>
        <v/>
      </c>
      <c r="B2929" s="5">
        <f>IF(A2929="","",18)</f>
        <v/>
      </c>
      <c r="C2929" s="17" t="n">
        <v>46300</v>
      </c>
      <c r="D2929" s="5">
        <f>IF(A2929="","",IF(C2929=DATE(2026,11,29),"培训；注册午餐；早餐参数",IF(C2929=DATE(2026,11,30),"培训；注册午餐",IF(C2929=DATE(2026,12,1),"培训；注册午餐；机构晚餐",IF(C2929=Options!$B$9,"抵达；"&amp;IF(C2929=DATE(2026,11,28),"机构晚餐","无统一供餐"),IF(C2929=Options!$B$10,"返程；"&amp;IF(C2929=DATE(2026,12,2),"机构午餐","无统一供餐"),"差旅状态；无统一日程"))))))</f>
        <v/>
      </c>
      <c r="E2929" s="13">
        <f>IF(C2929=Options!$B$9,Options!$C$22,0)</f>
        <v/>
      </c>
      <c r="F2929" s="13">
        <f>IF(AND(A2929&lt;&gt;"",C2929&lt;Options!$B$10),B2929*Options!$X$9,0)</f>
        <v/>
      </c>
      <c r="G2929" s="13">
        <f>F2929*12%</f>
        <v/>
      </c>
      <c r="H2929" s="13">
        <f>IF(A2929="",0,B2929*(92*IF(OR(C2929=Options!$B$9,C2929=Options!$B$10),75%,100%)-IF(C2929=DATE(2026,11,29),26+IF(Options!$B$8="是",23,0),0)-IF(C2929=DATE(2026,11,30),26,0)-IF(C2929=DATE(2026,12,1),64,0)-IF(C2929=DATE(2026,11,28),38,0)-IF(C2929=DATE(2026,12,2),26,0)))</f>
        <v/>
      </c>
      <c r="I2929" s="13">
        <f>IF(AND(C2929&gt;=DATE(2026,11,29),C2929&lt;=DATE(2026,12,1)),B2929*60,0)</f>
        <v/>
      </c>
      <c r="J2929" s="13">
        <f>IF(A2929="",0,B2929*(IF(C2929=DATE(2026,11,28),38,0)+IF(C2929=DATE(2026,12,1),38,0)+IF(C2929=DATE(2026,12,2),26,0)))</f>
        <v/>
      </c>
      <c r="K2929" s="13">
        <f>IF(C2929=Options!$B$9,B2929*12,0)</f>
        <v/>
      </c>
      <c r="L2929" s="13">
        <f>IF(C2929=Options!$B$9,B2929*Options!$Z$9,0)</f>
        <v/>
      </c>
      <c r="M2929" s="13" t="n">
        <v>0</v>
      </c>
      <c r="N2929" s="13">
        <f>SUM(E2929:M2929)</f>
        <v/>
      </c>
    </row>
    <row r="2930">
      <c r="A2930" s="5">
        <f>IF(AND(C2930&gt;=Options!$B$9,C2930&lt;=Options!$B$10),"Seattle","")</f>
        <v/>
      </c>
      <c r="B2930" s="5">
        <f>IF(A2930="","",18)</f>
        <v/>
      </c>
      <c r="C2930" s="17" t="n">
        <v>46301</v>
      </c>
      <c r="D2930" s="5">
        <f>IF(A2930="","",IF(C2930=DATE(2026,11,29),"培训；注册午餐；早餐参数",IF(C2930=DATE(2026,11,30),"培训；注册午餐",IF(C2930=DATE(2026,12,1),"培训；注册午餐；机构晚餐",IF(C2930=Options!$B$9,"抵达；"&amp;IF(C2930=DATE(2026,11,28),"机构晚餐","无统一供餐"),IF(C2930=Options!$B$10,"返程；"&amp;IF(C2930=DATE(2026,12,2),"机构午餐","无统一供餐"),"差旅状态；无统一日程"))))))</f>
        <v/>
      </c>
      <c r="E2930" s="13">
        <f>IF(C2930=Options!$B$9,Options!$C$22,0)</f>
        <v/>
      </c>
      <c r="F2930" s="13">
        <f>IF(AND(A2930&lt;&gt;"",C2930&lt;Options!$B$10),B2930*Options!$X$9,0)</f>
        <v/>
      </c>
      <c r="G2930" s="13">
        <f>F2930*12%</f>
        <v/>
      </c>
      <c r="H2930" s="13">
        <f>IF(A2930="",0,B2930*(92*IF(OR(C2930=Options!$B$9,C2930=Options!$B$10),75%,100%)-IF(C2930=DATE(2026,11,29),26+IF(Options!$B$8="是",23,0),0)-IF(C2930=DATE(2026,11,30),26,0)-IF(C2930=DATE(2026,12,1),64,0)-IF(C2930=DATE(2026,11,28),38,0)-IF(C2930=DATE(2026,12,2),26,0)))</f>
        <v/>
      </c>
      <c r="I2930" s="13">
        <f>IF(AND(C2930&gt;=DATE(2026,11,29),C2930&lt;=DATE(2026,12,1)),B2930*60,0)</f>
        <v/>
      </c>
      <c r="J2930" s="13">
        <f>IF(A2930="",0,B2930*(IF(C2930=DATE(2026,11,28),38,0)+IF(C2930=DATE(2026,12,1),38,0)+IF(C2930=DATE(2026,12,2),26,0)))</f>
        <v/>
      </c>
      <c r="K2930" s="13">
        <f>IF(C2930=Options!$B$9,B2930*12,0)</f>
        <v/>
      </c>
      <c r="L2930" s="13">
        <f>IF(C2930=Options!$B$9,B2930*Options!$Z$9,0)</f>
        <v/>
      </c>
      <c r="M2930" s="13" t="n">
        <v>0</v>
      </c>
      <c r="N2930" s="13">
        <f>SUM(E2930:M2930)</f>
        <v/>
      </c>
    </row>
    <row r="2931">
      <c r="A2931" s="5">
        <f>IF(AND(C2931&gt;=Options!$B$9,C2931&lt;=Options!$B$10),"Seattle","")</f>
        <v/>
      </c>
      <c r="B2931" s="5">
        <f>IF(A2931="","",18)</f>
        <v/>
      </c>
      <c r="C2931" s="17" t="n">
        <v>46302</v>
      </c>
      <c r="D2931" s="5">
        <f>IF(A2931="","",IF(C2931=DATE(2026,11,29),"培训；注册午餐；早餐参数",IF(C2931=DATE(2026,11,30),"培训；注册午餐",IF(C2931=DATE(2026,12,1),"培训；注册午餐；机构晚餐",IF(C2931=Options!$B$9,"抵达；"&amp;IF(C2931=DATE(2026,11,28),"机构晚餐","无统一供餐"),IF(C2931=Options!$B$10,"返程；"&amp;IF(C2931=DATE(2026,12,2),"机构午餐","无统一供餐"),"差旅状态；无统一日程"))))))</f>
        <v/>
      </c>
      <c r="E2931" s="13">
        <f>IF(C2931=Options!$B$9,Options!$C$22,0)</f>
        <v/>
      </c>
      <c r="F2931" s="13">
        <f>IF(AND(A2931&lt;&gt;"",C2931&lt;Options!$B$10),B2931*Options!$X$9,0)</f>
        <v/>
      </c>
      <c r="G2931" s="13">
        <f>F2931*12%</f>
        <v/>
      </c>
      <c r="H2931" s="13">
        <f>IF(A2931="",0,B2931*(92*IF(OR(C2931=Options!$B$9,C2931=Options!$B$10),75%,100%)-IF(C2931=DATE(2026,11,29),26+IF(Options!$B$8="是",23,0),0)-IF(C2931=DATE(2026,11,30),26,0)-IF(C2931=DATE(2026,12,1),64,0)-IF(C2931=DATE(2026,11,28),38,0)-IF(C2931=DATE(2026,12,2),26,0)))</f>
        <v/>
      </c>
      <c r="I2931" s="13">
        <f>IF(AND(C2931&gt;=DATE(2026,11,29),C2931&lt;=DATE(2026,12,1)),B2931*60,0)</f>
        <v/>
      </c>
      <c r="J2931" s="13">
        <f>IF(A2931="",0,B2931*(IF(C2931=DATE(2026,11,28),38,0)+IF(C2931=DATE(2026,12,1),38,0)+IF(C2931=DATE(2026,12,2),26,0)))</f>
        <v/>
      </c>
      <c r="K2931" s="13">
        <f>IF(C2931=Options!$B$9,B2931*12,0)</f>
        <v/>
      </c>
      <c r="L2931" s="13">
        <f>IF(C2931=Options!$B$9,B2931*Options!$Z$9,0)</f>
        <v/>
      </c>
      <c r="M2931" s="13" t="n">
        <v>0</v>
      </c>
      <c r="N2931" s="13">
        <f>SUM(E2931:M2931)</f>
        <v/>
      </c>
    </row>
    <row r="2932">
      <c r="A2932" s="5">
        <f>IF(AND(C2932&gt;=Options!$B$9,C2932&lt;=Options!$B$10),"Seattle","")</f>
        <v/>
      </c>
      <c r="B2932" s="5">
        <f>IF(A2932="","",18)</f>
        <v/>
      </c>
      <c r="C2932" s="17" t="n">
        <v>46303</v>
      </c>
      <c r="D2932" s="5">
        <f>IF(A2932="","",IF(C2932=DATE(2026,11,29),"培训；注册午餐；早餐参数",IF(C2932=DATE(2026,11,30),"培训；注册午餐",IF(C2932=DATE(2026,12,1),"培训；注册午餐；机构晚餐",IF(C2932=Options!$B$9,"抵达；"&amp;IF(C2932=DATE(2026,11,28),"机构晚餐","无统一供餐"),IF(C2932=Options!$B$10,"返程；"&amp;IF(C2932=DATE(2026,12,2),"机构午餐","无统一供餐"),"差旅状态；无统一日程"))))))</f>
        <v/>
      </c>
      <c r="E2932" s="13">
        <f>IF(C2932=Options!$B$9,Options!$C$22,0)</f>
        <v/>
      </c>
      <c r="F2932" s="13">
        <f>IF(AND(A2932&lt;&gt;"",C2932&lt;Options!$B$10),B2932*Options!$X$9,0)</f>
        <v/>
      </c>
      <c r="G2932" s="13">
        <f>F2932*12%</f>
        <v/>
      </c>
      <c r="H2932" s="13">
        <f>IF(A2932="",0,B2932*(92*IF(OR(C2932=Options!$B$9,C2932=Options!$B$10),75%,100%)-IF(C2932=DATE(2026,11,29),26+IF(Options!$B$8="是",23,0),0)-IF(C2932=DATE(2026,11,30),26,0)-IF(C2932=DATE(2026,12,1),64,0)-IF(C2932=DATE(2026,11,28),38,0)-IF(C2932=DATE(2026,12,2),26,0)))</f>
        <v/>
      </c>
      <c r="I2932" s="13">
        <f>IF(AND(C2932&gt;=DATE(2026,11,29),C2932&lt;=DATE(2026,12,1)),B2932*60,0)</f>
        <v/>
      </c>
      <c r="J2932" s="13">
        <f>IF(A2932="",0,B2932*(IF(C2932=DATE(2026,11,28),38,0)+IF(C2932=DATE(2026,12,1),38,0)+IF(C2932=DATE(2026,12,2),26,0)))</f>
        <v/>
      </c>
      <c r="K2932" s="13">
        <f>IF(C2932=Options!$B$9,B2932*12,0)</f>
        <v/>
      </c>
      <c r="L2932" s="13">
        <f>IF(C2932=Options!$B$9,B2932*Options!$Z$9,0)</f>
        <v/>
      </c>
      <c r="M2932" s="13" t="n">
        <v>0</v>
      </c>
      <c r="N2932" s="13">
        <f>SUM(E2932:M2932)</f>
        <v/>
      </c>
    </row>
    <row r="2933">
      <c r="A2933" s="5">
        <f>IF(AND(C2933&gt;=Options!$B$9,C2933&lt;=Options!$B$10),"Seattle","")</f>
        <v/>
      </c>
      <c r="B2933" s="5">
        <f>IF(A2933="","",18)</f>
        <v/>
      </c>
      <c r="C2933" s="17" t="n">
        <v>46304</v>
      </c>
      <c r="D2933" s="5">
        <f>IF(A2933="","",IF(C2933=DATE(2026,11,29),"培训；注册午餐；早餐参数",IF(C2933=DATE(2026,11,30),"培训；注册午餐",IF(C2933=DATE(2026,12,1),"培训；注册午餐；机构晚餐",IF(C2933=Options!$B$9,"抵达；"&amp;IF(C2933=DATE(2026,11,28),"机构晚餐","无统一供餐"),IF(C2933=Options!$B$10,"返程；"&amp;IF(C2933=DATE(2026,12,2),"机构午餐","无统一供餐"),"差旅状态；无统一日程"))))))</f>
        <v/>
      </c>
      <c r="E2933" s="13">
        <f>IF(C2933=Options!$B$9,Options!$C$22,0)</f>
        <v/>
      </c>
      <c r="F2933" s="13">
        <f>IF(AND(A2933&lt;&gt;"",C2933&lt;Options!$B$10),B2933*Options!$X$9,0)</f>
        <v/>
      </c>
      <c r="G2933" s="13">
        <f>F2933*12%</f>
        <v/>
      </c>
      <c r="H2933" s="13">
        <f>IF(A2933="",0,B2933*(92*IF(OR(C2933=Options!$B$9,C2933=Options!$B$10),75%,100%)-IF(C2933=DATE(2026,11,29),26+IF(Options!$B$8="是",23,0),0)-IF(C2933=DATE(2026,11,30),26,0)-IF(C2933=DATE(2026,12,1),64,0)-IF(C2933=DATE(2026,11,28),38,0)-IF(C2933=DATE(2026,12,2),26,0)))</f>
        <v/>
      </c>
      <c r="I2933" s="13">
        <f>IF(AND(C2933&gt;=DATE(2026,11,29),C2933&lt;=DATE(2026,12,1)),B2933*60,0)</f>
        <v/>
      </c>
      <c r="J2933" s="13">
        <f>IF(A2933="",0,B2933*(IF(C2933=DATE(2026,11,28),38,0)+IF(C2933=DATE(2026,12,1),38,0)+IF(C2933=DATE(2026,12,2),26,0)))</f>
        <v/>
      </c>
      <c r="K2933" s="13">
        <f>IF(C2933=Options!$B$9,B2933*12,0)</f>
        <v/>
      </c>
      <c r="L2933" s="13">
        <f>IF(C2933=Options!$B$9,B2933*Options!$Z$9,0)</f>
        <v/>
      </c>
      <c r="M2933" s="13" t="n">
        <v>0</v>
      </c>
      <c r="N2933" s="13">
        <f>SUM(E2933:M2933)</f>
        <v/>
      </c>
    </row>
    <row r="2934">
      <c r="A2934" s="5">
        <f>IF(AND(C2934&gt;=Options!$B$9,C2934&lt;=Options!$B$10),"Seattle","")</f>
        <v/>
      </c>
      <c r="B2934" s="5">
        <f>IF(A2934="","",18)</f>
        <v/>
      </c>
      <c r="C2934" s="17" t="n">
        <v>46305</v>
      </c>
      <c r="D2934" s="5">
        <f>IF(A2934="","",IF(C2934=DATE(2026,11,29),"培训；注册午餐；早餐参数",IF(C2934=DATE(2026,11,30),"培训；注册午餐",IF(C2934=DATE(2026,12,1),"培训；注册午餐；机构晚餐",IF(C2934=Options!$B$9,"抵达；"&amp;IF(C2934=DATE(2026,11,28),"机构晚餐","无统一供餐"),IF(C2934=Options!$B$10,"返程；"&amp;IF(C2934=DATE(2026,12,2),"机构午餐","无统一供餐"),"差旅状态；无统一日程"))))))</f>
        <v/>
      </c>
      <c r="E2934" s="13">
        <f>IF(C2934=Options!$B$9,Options!$C$22,0)</f>
        <v/>
      </c>
      <c r="F2934" s="13">
        <f>IF(AND(A2934&lt;&gt;"",C2934&lt;Options!$B$10),B2934*Options!$X$9,0)</f>
        <v/>
      </c>
      <c r="G2934" s="13">
        <f>F2934*12%</f>
        <v/>
      </c>
      <c r="H2934" s="13">
        <f>IF(A2934="",0,B2934*(92*IF(OR(C2934=Options!$B$9,C2934=Options!$B$10),75%,100%)-IF(C2934=DATE(2026,11,29),26+IF(Options!$B$8="是",23,0),0)-IF(C2934=DATE(2026,11,30),26,0)-IF(C2934=DATE(2026,12,1),64,0)-IF(C2934=DATE(2026,11,28),38,0)-IF(C2934=DATE(2026,12,2),26,0)))</f>
        <v/>
      </c>
      <c r="I2934" s="13">
        <f>IF(AND(C2934&gt;=DATE(2026,11,29),C2934&lt;=DATE(2026,12,1)),B2934*60,0)</f>
        <v/>
      </c>
      <c r="J2934" s="13">
        <f>IF(A2934="",0,B2934*(IF(C2934=DATE(2026,11,28),38,0)+IF(C2934=DATE(2026,12,1),38,0)+IF(C2934=DATE(2026,12,2),26,0)))</f>
        <v/>
      </c>
      <c r="K2934" s="13">
        <f>IF(C2934=Options!$B$9,B2934*12,0)</f>
        <v/>
      </c>
      <c r="L2934" s="13">
        <f>IF(C2934=Options!$B$9,B2934*Options!$Z$9,0)</f>
        <v/>
      </c>
      <c r="M2934" s="13" t="n">
        <v>0</v>
      </c>
      <c r="N2934" s="13">
        <f>SUM(E2934:M2934)</f>
        <v/>
      </c>
    </row>
    <row r="2935">
      <c r="A2935" s="5">
        <f>IF(AND(C2935&gt;=Options!$B$9,C2935&lt;=Options!$B$10),"Seattle","")</f>
        <v/>
      </c>
      <c r="B2935" s="5">
        <f>IF(A2935="","",18)</f>
        <v/>
      </c>
      <c r="C2935" s="17" t="n">
        <v>46306</v>
      </c>
      <c r="D2935" s="5">
        <f>IF(A2935="","",IF(C2935=DATE(2026,11,29),"培训；注册午餐；早餐参数",IF(C2935=DATE(2026,11,30),"培训；注册午餐",IF(C2935=DATE(2026,12,1),"培训；注册午餐；机构晚餐",IF(C2935=Options!$B$9,"抵达；"&amp;IF(C2935=DATE(2026,11,28),"机构晚餐","无统一供餐"),IF(C2935=Options!$B$10,"返程；"&amp;IF(C2935=DATE(2026,12,2),"机构午餐","无统一供餐"),"差旅状态；无统一日程"))))))</f>
        <v/>
      </c>
      <c r="E2935" s="13">
        <f>IF(C2935=Options!$B$9,Options!$C$22,0)</f>
        <v/>
      </c>
      <c r="F2935" s="13">
        <f>IF(AND(A2935&lt;&gt;"",C2935&lt;Options!$B$10),B2935*Options!$X$9,0)</f>
        <v/>
      </c>
      <c r="G2935" s="13">
        <f>F2935*12%</f>
        <v/>
      </c>
      <c r="H2935" s="13">
        <f>IF(A2935="",0,B2935*(92*IF(OR(C2935=Options!$B$9,C2935=Options!$B$10),75%,100%)-IF(C2935=DATE(2026,11,29),26+IF(Options!$B$8="是",23,0),0)-IF(C2935=DATE(2026,11,30),26,0)-IF(C2935=DATE(2026,12,1),64,0)-IF(C2935=DATE(2026,11,28),38,0)-IF(C2935=DATE(2026,12,2),26,0)))</f>
        <v/>
      </c>
      <c r="I2935" s="13">
        <f>IF(AND(C2935&gt;=DATE(2026,11,29),C2935&lt;=DATE(2026,12,1)),B2935*60,0)</f>
        <v/>
      </c>
      <c r="J2935" s="13">
        <f>IF(A2935="",0,B2935*(IF(C2935=DATE(2026,11,28),38,0)+IF(C2935=DATE(2026,12,1),38,0)+IF(C2935=DATE(2026,12,2),26,0)))</f>
        <v/>
      </c>
      <c r="K2935" s="13">
        <f>IF(C2935=Options!$B$9,B2935*12,0)</f>
        <v/>
      </c>
      <c r="L2935" s="13">
        <f>IF(C2935=Options!$B$9,B2935*Options!$Z$9,0)</f>
        <v/>
      </c>
      <c r="M2935" s="13" t="n">
        <v>0</v>
      </c>
      <c r="N2935" s="13">
        <f>SUM(E2935:M2935)</f>
        <v/>
      </c>
    </row>
    <row r="2936">
      <c r="A2936" s="5">
        <f>IF(AND(C2936&gt;=Options!$B$9,C2936&lt;=Options!$B$10),"Seattle","")</f>
        <v/>
      </c>
      <c r="B2936" s="5">
        <f>IF(A2936="","",18)</f>
        <v/>
      </c>
      <c r="C2936" s="17" t="n">
        <v>46307</v>
      </c>
      <c r="D2936" s="5">
        <f>IF(A2936="","",IF(C2936=DATE(2026,11,29),"培训；注册午餐；早餐参数",IF(C2936=DATE(2026,11,30),"培训；注册午餐",IF(C2936=DATE(2026,12,1),"培训；注册午餐；机构晚餐",IF(C2936=Options!$B$9,"抵达；"&amp;IF(C2936=DATE(2026,11,28),"机构晚餐","无统一供餐"),IF(C2936=Options!$B$10,"返程；"&amp;IF(C2936=DATE(2026,12,2),"机构午餐","无统一供餐"),"差旅状态；无统一日程"))))))</f>
        <v/>
      </c>
      <c r="E2936" s="13">
        <f>IF(C2936=Options!$B$9,Options!$C$22,0)</f>
        <v/>
      </c>
      <c r="F2936" s="13">
        <f>IF(AND(A2936&lt;&gt;"",C2936&lt;Options!$B$10),B2936*Options!$X$9,0)</f>
        <v/>
      </c>
      <c r="G2936" s="13">
        <f>F2936*12%</f>
        <v/>
      </c>
      <c r="H2936" s="13">
        <f>IF(A2936="",0,B2936*(92*IF(OR(C2936=Options!$B$9,C2936=Options!$B$10),75%,100%)-IF(C2936=DATE(2026,11,29),26+IF(Options!$B$8="是",23,0),0)-IF(C2936=DATE(2026,11,30),26,0)-IF(C2936=DATE(2026,12,1),64,0)-IF(C2936=DATE(2026,11,28),38,0)-IF(C2936=DATE(2026,12,2),26,0)))</f>
        <v/>
      </c>
      <c r="I2936" s="13">
        <f>IF(AND(C2936&gt;=DATE(2026,11,29),C2936&lt;=DATE(2026,12,1)),B2936*60,0)</f>
        <v/>
      </c>
      <c r="J2936" s="13">
        <f>IF(A2936="",0,B2936*(IF(C2936=DATE(2026,11,28),38,0)+IF(C2936=DATE(2026,12,1),38,0)+IF(C2936=DATE(2026,12,2),26,0)))</f>
        <v/>
      </c>
      <c r="K2936" s="13">
        <f>IF(C2936=Options!$B$9,B2936*12,0)</f>
        <v/>
      </c>
      <c r="L2936" s="13">
        <f>IF(C2936=Options!$B$9,B2936*Options!$Z$9,0)</f>
        <v/>
      </c>
      <c r="M2936" s="13" t="n">
        <v>0</v>
      </c>
      <c r="N2936" s="13">
        <f>SUM(E2936:M2936)</f>
        <v/>
      </c>
    </row>
    <row r="2937">
      <c r="A2937" s="5">
        <f>IF(AND(C2937&gt;=Options!$B$9,C2937&lt;=Options!$B$10),"Seattle","")</f>
        <v/>
      </c>
      <c r="B2937" s="5">
        <f>IF(A2937="","",18)</f>
        <v/>
      </c>
      <c r="C2937" s="17" t="n">
        <v>46308</v>
      </c>
      <c r="D2937" s="5">
        <f>IF(A2937="","",IF(C2937=DATE(2026,11,29),"培训；注册午餐；早餐参数",IF(C2937=DATE(2026,11,30),"培训；注册午餐",IF(C2937=DATE(2026,12,1),"培训；注册午餐；机构晚餐",IF(C2937=Options!$B$9,"抵达；"&amp;IF(C2937=DATE(2026,11,28),"机构晚餐","无统一供餐"),IF(C2937=Options!$B$10,"返程；"&amp;IF(C2937=DATE(2026,12,2),"机构午餐","无统一供餐"),"差旅状态；无统一日程"))))))</f>
        <v/>
      </c>
      <c r="E2937" s="13">
        <f>IF(C2937=Options!$B$9,Options!$C$22,0)</f>
        <v/>
      </c>
      <c r="F2937" s="13">
        <f>IF(AND(A2937&lt;&gt;"",C2937&lt;Options!$B$10),B2937*Options!$X$9,0)</f>
        <v/>
      </c>
      <c r="G2937" s="13">
        <f>F2937*12%</f>
        <v/>
      </c>
      <c r="H2937" s="13">
        <f>IF(A2937="",0,B2937*(92*IF(OR(C2937=Options!$B$9,C2937=Options!$B$10),75%,100%)-IF(C2937=DATE(2026,11,29),26+IF(Options!$B$8="是",23,0),0)-IF(C2937=DATE(2026,11,30),26,0)-IF(C2937=DATE(2026,12,1),64,0)-IF(C2937=DATE(2026,11,28),38,0)-IF(C2937=DATE(2026,12,2),26,0)))</f>
        <v/>
      </c>
      <c r="I2937" s="13">
        <f>IF(AND(C2937&gt;=DATE(2026,11,29),C2937&lt;=DATE(2026,12,1)),B2937*60,0)</f>
        <v/>
      </c>
      <c r="J2937" s="13">
        <f>IF(A2937="",0,B2937*(IF(C2937=DATE(2026,11,28),38,0)+IF(C2937=DATE(2026,12,1),38,0)+IF(C2937=DATE(2026,12,2),26,0)))</f>
        <v/>
      </c>
      <c r="K2937" s="13">
        <f>IF(C2937=Options!$B$9,B2937*12,0)</f>
        <v/>
      </c>
      <c r="L2937" s="13">
        <f>IF(C2937=Options!$B$9,B2937*Options!$Z$9,0)</f>
        <v/>
      </c>
      <c r="M2937" s="13" t="n">
        <v>0</v>
      </c>
      <c r="N2937" s="13">
        <f>SUM(E2937:M2937)</f>
        <v/>
      </c>
    </row>
    <row r="2938">
      <c r="A2938" s="5">
        <f>IF(AND(C2938&gt;=Options!$B$9,C2938&lt;=Options!$B$10),"Seattle","")</f>
        <v/>
      </c>
      <c r="B2938" s="5">
        <f>IF(A2938="","",18)</f>
        <v/>
      </c>
      <c r="C2938" s="17" t="n">
        <v>46309</v>
      </c>
      <c r="D2938" s="5">
        <f>IF(A2938="","",IF(C2938=DATE(2026,11,29),"培训；注册午餐；早餐参数",IF(C2938=DATE(2026,11,30),"培训；注册午餐",IF(C2938=DATE(2026,12,1),"培训；注册午餐；机构晚餐",IF(C2938=Options!$B$9,"抵达；"&amp;IF(C2938=DATE(2026,11,28),"机构晚餐","无统一供餐"),IF(C2938=Options!$B$10,"返程；"&amp;IF(C2938=DATE(2026,12,2),"机构午餐","无统一供餐"),"差旅状态；无统一日程"))))))</f>
        <v/>
      </c>
      <c r="E2938" s="13">
        <f>IF(C2938=Options!$B$9,Options!$C$22,0)</f>
        <v/>
      </c>
      <c r="F2938" s="13">
        <f>IF(AND(A2938&lt;&gt;"",C2938&lt;Options!$B$10),B2938*Options!$X$9,0)</f>
        <v/>
      </c>
      <c r="G2938" s="13">
        <f>F2938*12%</f>
        <v/>
      </c>
      <c r="H2938" s="13">
        <f>IF(A2938="",0,B2938*(92*IF(OR(C2938=Options!$B$9,C2938=Options!$B$10),75%,100%)-IF(C2938=DATE(2026,11,29),26+IF(Options!$B$8="是",23,0),0)-IF(C2938=DATE(2026,11,30),26,0)-IF(C2938=DATE(2026,12,1),64,0)-IF(C2938=DATE(2026,11,28),38,0)-IF(C2938=DATE(2026,12,2),26,0)))</f>
        <v/>
      </c>
      <c r="I2938" s="13">
        <f>IF(AND(C2938&gt;=DATE(2026,11,29),C2938&lt;=DATE(2026,12,1)),B2938*60,0)</f>
        <v/>
      </c>
      <c r="J2938" s="13">
        <f>IF(A2938="",0,B2938*(IF(C2938=DATE(2026,11,28),38,0)+IF(C2938=DATE(2026,12,1),38,0)+IF(C2938=DATE(2026,12,2),26,0)))</f>
        <v/>
      </c>
      <c r="K2938" s="13">
        <f>IF(C2938=Options!$B$9,B2938*12,0)</f>
        <v/>
      </c>
      <c r="L2938" s="13">
        <f>IF(C2938=Options!$B$9,B2938*Options!$Z$9,0)</f>
        <v/>
      </c>
      <c r="M2938" s="13" t="n">
        <v>0</v>
      </c>
      <c r="N2938" s="13">
        <f>SUM(E2938:M2938)</f>
        <v/>
      </c>
    </row>
    <row r="2939">
      <c r="A2939" s="5">
        <f>IF(AND(C2939&gt;=Options!$B$9,C2939&lt;=Options!$B$10),"Seattle","")</f>
        <v/>
      </c>
      <c r="B2939" s="5">
        <f>IF(A2939="","",18)</f>
        <v/>
      </c>
      <c r="C2939" s="17" t="n">
        <v>46310</v>
      </c>
      <c r="D2939" s="5">
        <f>IF(A2939="","",IF(C2939=DATE(2026,11,29),"培训；注册午餐；早餐参数",IF(C2939=DATE(2026,11,30),"培训；注册午餐",IF(C2939=DATE(2026,12,1),"培训；注册午餐；机构晚餐",IF(C2939=Options!$B$9,"抵达；"&amp;IF(C2939=DATE(2026,11,28),"机构晚餐","无统一供餐"),IF(C2939=Options!$B$10,"返程；"&amp;IF(C2939=DATE(2026,12,2),"机构午餐","无统一供餐"),"差旅状态；无统一日程"))))))</f>
        <v/>
      </c>
      <c r="E2939" s="13">
        <f>IF(C2939=Options!$B$9,Options!$C$22,0)</f>
        <v/>
      </c>
      <c r="F2939" s="13">
        <f>IF(AND(A2939&lt;&gt;"",C2939&lt;Options!$B$10),B2939*Options!$X$9,0)</f>
        <v/>
      </c>
      <c r="G2939" s="13">
        <f>F2939*12%</f>
        <v/>
      </c>
      <c r="H2939" s="13">
        <f>IF(A2939="",0,B2939*(92*IF(OR(C2939=Options!$B$9,C2939=Options!$B$10),75%,100%)-IF(C2939=DATE(2026,11,29),26+IF(Options!$B$8="是",23,0),0)-IF(C2939=DATE(2026,11,30),26,0)-IF(C2939=DATE(2026,12,1),64,0)-IF(C2939=DATE(2026,11,28),38,0)-IF(C2939=DATE(2026,12,2),26,0)))</f>
        <v/>
      </c>
      <c r="I2939" s="13">
        <f>IF(AND(C2939&gt;=DATE(2026,11,29),C2939&lt;=DATE(2026,12,1)),B2939*60,0)</f>
        <v/>
      </c>
      <c r="J2939" s="13">
        <f>IF(A2939="",0,B2939*(IF(C2939=DATE(2026,11,28),38,0)+IF(C2939=DATE(2026,12,1),38,0)+IF(C2939=DATE(2026,12,2),26,0)))</f>
        <v/>
      </c>
      <c r="K2939" s="13">
        <f>IF(C2939=Options!$B$9,B2939*12,0)</f>
        <v/>
      </c>
      <c r="L2939" s="13">
        <f>IF(C2939=Options!$B$9,B2939*Options!$Z$9,0)</f>
        <v/>
      </c>
      <c r="M2939" s="13" t="n">
        <v>0</v>
      </c>
      <c r="N2939" s="13">
        <f>SUM(E2939:M2939)</f>
        <v/>
      </c>
    </row>
    <row r="2940">
      <c r="A2940" s="5">
        <f>IF(AND(C2940&gt;=Options!$B$9,C2940&lt;=Options!$B$10),"Seattle","")</f>
        <v/>
      </c>
      <c r="B2940" s="5">
        <f>IF(A2940="","",18)</f>
        <v/>
      </c>
      <c r="C2940" s="17" t="n">
        <v>46311</v>
      </c>
      <c r="D2940" s="5">
        <f>IF(A2940="","",IF(C2940=DATE(2026,11,29),"培训；注册午餐；早餐参数",IF(C2940=DATE(2026,11,30),"培训；注册午餐",IF(C2940=DATE(2026,12,1),"培训；注册午餐；机构晚餐",IF(C2940=Options!$B$9,"抵达；"&amp;IF(C2940=DATE(2026,11,28),"机构晚餐","无统一供餐"),IF(C2940=Options!$B$10,"返程；"&amp;IF(C2940=DATE(2026,12,2),"机构午餐","无统一供餐"),"差旅状态；无统一日程"))))))</f>
        <v/>
      </c>
      <c r="E2940" s="13">
        <f>IF(C2940=Options!$B$9,Options!$C$22,0)</f>
        <v/>
      </c>
      <c r="F2940" s="13">
        <f>IF(AND(A2940&lt;&gt;"",C2940&lt;Options!$B$10),B2940*Options!$X$9,0)</f>
        <v/>
      </c>
      <c r="G2940" s="13">
        <f>F2940*12%</f>
        <v/>
      </c>
      <c r="H2940" s="13">
        <f>IF(A2940="",0,B2940*(92*IF(OR(C2940=Options!$B$9,C2940=Options!$B$10),75%,100%)-IF(C2940=DATE(2026,11,29),26+IF(Options!$B$8="是",23,0),0)-IF(C2940=DATE(2026,11,30),26,0)-IF(C2940=DATE(2026,12,1),64,0)-IF(C2940=DATE(2026,11,28),38,0)-IF(C2940=DATE(2026,12,2),26,0)))</f>
        <v/>
      </c>
      <c r="I2940" s="13">
        <f>IF(AND(C2940&gt;=DATE(2026,11,29),C2940&lt;=DATE(2026,12,1)),B2940*60,0)</f>
        <v/>
      </c>
      <c r="J2940" s="13">
        <f>IF(A2940="",0,B2940*(IF(C2940=DATE(2026,11,28),38,0)+IF(C2940=DATE(2026,12,1),38,0)+IF(C2940=DATE(2026,12,2),26,0)))</f>
        <v/>
      </c>
      <c r="K2940" s="13">
        <f>IF(C2940=Options!$B$9,B2940*12,0)</f>
        <v/>
      </c>
      <c r="L2940" s="13">
        <f>IF(C2940=Options!$B$9,B2940*Options!$Z$9,0)</f>
        <v/>
      </c>
      <c r="M2940" s="13" t="n">
        <v>0</v>
      </c>
      <c r="N2940" s="13">
        <f>SUM(E2940:M2940)</f>
        <v/>
      </c>
    </row>
    <row r="2941">
      <c r="A2941" s="5">
        <f>IF(AND(C2941&gt;=Options!$B$9,C2941&lt;=Options!$B$10),"Seattle","")</f>
        <v/>
      </c>
      <c r="B2941" s="5">
        <f>IF(A2941="","",18)</f>
        <v/>
      </c>
      <c r="C2941" s="17" t="n">
        <v>46312</v>
      </c>
      <c r="D2941" s="5">
        <f>IF(A2941="","",IF(C2941=DATE(2026,11,29),"培训；注册午餐；早餐参数",IF(C2941=DATE(2026,11,30),"培训；注册午餐",IF(C2941=DATE(2026,12,1),"培训；注册午餐；机构晚餐",IF(C2941=Options!$B$9,"抵达；"&amp;IF(C2941=DATE(2026,11,28),"机构晚餐","无统一供餐"),IF(C2941=Options!$B$10,"返程；"&amp;IF(C2941=DATE(2026,12,2),"机构午餐","无统一供餐"),"差旅状态；无统一日程"))))))</f>
        <v/>
      </c>
      <c r="E2941" s="13">
        <f>IF(C2941=Options!$B$9,Options!$C$22,0)</f>
        <v/>
      </c>
      <c r="F2941" s="13">
        <f>IF(AND(A2941&lt;&gt;"",C2941&lt;Options!$B$10),B2941*Options!$X$9,0)</f>
        <v/>
      </c>
      <c r="G2941" s="13">
        <f>F2941*12%</f>
        <v/>
      </c>
      <c r="H2941" s="13">
        <f>IF(A2941="",0,B2941*(92*IF(OR(C2941=Options!$B$9,C2941=Options!$B$10),75%,100%)-IF(C2941=DATE(2026,11,29),26+IF(Options!$B$8="是",23,0),0)-IF(C2941=DATE(2026,11,30),26,0)-IF(C2941=DATE(2026,12,1),64,0)-IF(C2941=DATE(2026,11,28),38,0)-IF(C2941=DATE(2026,12,2),26,0)))</f>
        <v/>
      </c>
      <c r="I2941" s="13">
        <f>IF(AND(C2941&gt;=DATE(2026,11,29),C2941&lt;=DATE(2026,12,1)),B2941*60,0)</f>
        <v/>
      </c>
      <c r="J2941" s="13">
        <f>IF(A2941="",0,B2941*(IF(C2941=DATE(2026,11,28),38,0)+IF(C2941=DATE(2026,12,1),38,0)+IF(C2941=DATE(2026,12,2),26,0)))</f>
        <v/>
      </c>
      <c r="K2941" s="13">
        <f>IF(C2941=Options!$B$9,B2941*12,0)</f>
        <v/>
      </c>
      <c r="L2941" s="13">
        <f>IF(C2941=Options!$B$9,B2941*Options!$Z$9,0)</f>
        <v/>
      </c>
      <c r="M2941" s="13" t="n">
        <v>0</v>
      </c>
      <c r="N2941" s="13">
        <f>SUM(E2941:M2941)</f>
        <v/>
      </c>
    </row>
    <row r="2942">
      <c r="A2942" s="5">
        <f>IF(AND(C2942&gt;=Options!$B$9,C2942&lt;=Options!$B$10),"Seattle","")</f>
        <v/>
      </c>
      <c r="B2942" s="5">
        <f>IF(A2942="","",18)</f>
        <v/>
      </c>
      <c r="C2942" s="17" t="n">
        <v>46313</v>
      </c>
      <c r="D2942" s="5">
        <f>IF(A2942="","",IF(C2942=DATE(2026,11,29),"培训；注册午餐；早餐参数",IF(C2942=DATE(2026,11,30),"培训；注册午餐",IF(C2942=DATE(2026,12,1),"培训；注册午餐；机构晚餐",IF(C2942=Options!$B$9,"抵达；"&amp;IF(C2942=DATE(2026,11,28),"机构晚餐","无统一供餐"),IF(C2942=Options!$B$10,"返程；"&amp;IF(C2942=DATE(2026,12,2),"机构午餐","无统一供餐"),"差旅状态；无统一日程"))))))</f>
        <v/>
      </c>
      <c r="E2942" s="13">
        <f>IF(C2942=Options!$B$9,Options!$C$22,0)</f>
        <v/>
      </c>
      <c r="F2942" s="13">
        <f>IF(AND(A2942&lt;&gt;"",C2942&lt;Options!$B$10),B2942*Options!$X$9,0)</f>
        <v/>
      </c>
      <c r="G2942" s="13">
        <f>F2942*12%</f>
        <v/>
      </c>
      <c r="H2942" s="13">
        <f>IF(A2942="",0,B2942*(92*IF(OR(C2942=Options!$B$9,C2942=Options!$B$10),75%,100%)-IF(C2942=DATE(2026,11,29),26+IF(Options!$B$8="是",23,0),0)-IF(C2942=DATE(2026,11,30),26,0)-IF(C2942=DATE(2026,12,1),64,0)-IF(C2942=DATE(2026,11,28),38,0)-IF(C2942=DATE(2026,12,2),26,0)))</f>
        <v/>
      </c>
      <c r="I2942" s="13">
        <f>IF(AND(C2942&gt;=DATE(2026,11,29),C2942&lt;=DATE(2026,12,1)),B2942*60,0)</f>
        <v/>
      </c>
      <c r="J2942" s="13">
        <f>IF(A2942="",0,B2942*(IF(C2942=DATE(2026,11,28),38,0)+IF(C2942=DATE(2026,12,1),38,0)+IF(C2942=DATE(2026,12,2),26,0)))</f>
        <v/>
      </c>
      <c r="K2942" s="13">
        <f>IF(C2942=Options!$B$9,B2942*12,0)</f>
        <v/>
      </c>
      <c r="L2942" s="13">
        <f>IF(C2942=Options!$B$9,B2942*Options!$Z$9,0)</f>
        <v/>
      </c>
      <c r="M2942" s="13" t="n">
        <v>0</v>
      </c>
      <c r="N2942" s="13">
        <f>SUM(E2942:M2942)</f>
        <v/>
      </c>
    </row>
    <row r="2943">
      <c r="A2943" s="5">
        <f>IF(AND(C2943&gt;=Options!$B$9,C2943&lt;=Options!$B$10),"Seattle","")</f>
        <v/>
      </c>
      <c r="B2943" s="5">
        <f>IF(A2943="","",18)</f>
        <v/>
      </c>
      <c r="C2943" s="17" t="n">
        <v>46314</v>
      </c>
      <c r="D2943" s="5">
        <f>IF(A2943="","",IF(C2943=DATE(2026,11,29),"培训；注册午餐；早餐参数",IF(C2943=DATE(2026,11,30),"培训；注册午餐",IF(C2943=DATE(2026,12,1),"培训；注册午餐；机构晚餐",IF(C2943=Options!$B$9,"抵达；"&amp;IF(C2943=DATE(2026,11,28),"机构晚餐","无统一供餐"),IF(C2943=Options!$B$10,"返程；"&amp;IF(C2943=DATE(2026,12,2),"机构午餐","无统一供餐"),"差旅状态；无统一日程"))))))</f>
        <v/>
      </c>
      <c r="E2943" s="13">
        <f>IF(C2943=Options!$B$9,Options!$C$22,0)</f>
        <v/>
      </c>
      <c r="F2943" s="13">
        <f>IF(AND(A2943&lt;&gt;"",C2943&lt;Options!$B$10),B2943*Options!$X$9,0)</f>
        <v/>
      </c>
      <c r="G2943" s="13">
        <f>F2943*12%</f>
        <v/>
      </c>
      <c r="H2943" s="13">
        <f>IF(A2943="",0,B2943*(92*IF(OR(C2943=Options!$B$9,C2943=Options!$B$10),75%,100%)-IF(C2943=DATE(2026,11,29),26+IF(Options!$B$8="是",23,0),0)-IF(C2943=DATE(2026,11,30),26,0)-IF(C2943=DATE(2026,12,1),64,0)-IF(C2943=DATE(2026,11,28),38,0)-IF(C2943=DATE(2026,12,2),26,0)))</f>
        <v/>
      </c>
      <c r="I2943" s="13">
        <f>IF(AND(C2943&gt;=DATE(2026,11,29),C2943&lt;=DATE(2026,12,1)),B2943*60,0)</f>
        <v/>
      </c>
      <c r="J2943" s="13">
        <f>IF(A2943="",0,B2943*(IF(C2943=DATE(2026,11,28),38,0)+IF(C2943=DATE(2026,12,1),38,0)+IF(C2943=DATE(2026,12,2),26,0)))</f>
        <v/>
      </c>
      <c r="K2943" s="13">
        <f>IF(C2943=Options!$B$9,B2943*12,0)</f>
        <v/>
      </c>
      <c r="L2943" s="13">
        <f>IF(C2943=Options!$B$9,B2943*Options!$Z$9,0)</f>
        <v/>
      </c>
      <c r="M2943" s="13" t="n">
        <v>0</v>
      </c>
      <c r="N2943" s="13">
        <f>SUM(E2943:M2943)</f>
        <v/>
      </c>
    </row>
    <row r="2944">
      <c r="A2944" s="5">
        <f>IF(AND(C2944&gt;=Options!$B$9,C2944&lt;=Options!$B$10),"Seattle","")</f>
        <v/>
      </c>
      <c r="B2944" s="5">
        <f>IF(A2944="","",18)</f>
        <v/>
      </c>
      <c r="C2944" s="17" t="n">
        <v>46315</v>
      </c>
      <c r="D2944" s="5">
        <f>IF(A2944="","",IF(C2944=DATE(2026,11,29),"培训；注册午餐；早餐参数",IF(C2944=DATE(2026,11,30),"培训；注册午餐",IF(C2944=DATE(2026,12,1),"培训；注册午餐；机构晚餐",IF(C2944=Options!$B$9,"抵达；"&amp;IF(C2944=DATE(2026,11,28),"机构晚餐","无统一供餐"),IF(C2944=Options!$B$10,"返程；"&amp;IF(C2944=DATE(2026,12,2),"机构午餐","无统一供餐"),"差旅状态；无统一日程"))))))</f>
        <v/>
      </c>
      <c r="E2944" s="13">
        <f>IF(C2944=Options!$B$9,Options!$C$22,0)</f>
        <v/>
      </c>
      <c r="F2944" s="13">
        <f>IF(AND(A2944&lt;&gt;"",C2944&lt;Options!$B$10),B2944*Options!$X$9,0)</f>
        <v/>
      </c>
      <c r="G2944" s="13">
        <f>F2944*12%</f>
        <v/>
      </c>
      <c r="H2944" s="13">
        <f>IF(A2944="",0,B2944*(92*IF(OR(C2944=Options!$B$9,C2944=Options!$B$10),75%,100%)-IF(C2944=DATE(2026,11,29),26+IF(Options!$B$8="是",23,0),0)-IF(C2944=DATE(2026,11,30),26,0)-IF(C2944=DATE(2026,12,1),64,0)-IF(C2944=DATE(2026,11,28),38,0)-IF(C2944=DATE(2026,12,2),26,0)))</f>
        <v/>
      </c>
      <c r="I2944" s="13">
        <f>IF(AND(C2944&gt;=DATE(2026,11,29),C2944&lt;=DATE(2026,12,1)),B2944*60,0)</f>
        <v/>
      </c>
      <c r="J2944" s="13">
        <f>IF(A2944="",0,B2944*(IF(C2944=DATE(2026,11,28),38,0)+IF(C2944=DATE(2026,12,1),38,0)+IF(C2944=DATE(2026,12,2),26,0)))</f>
        <v/>
      </c>
      <c r="K2944" s="13">
        <f>IF(C2944=Options!$B$9,B2944*12,0)</f>
        <v/>
      </c>
      <c r="L2944" s="13">
        <f>IF(C2944=Options!$B$9,B2944*Options!$Z$9,0)</f>
        <v/>
      </c>
      <c r="M2944" s="13" t="n">
        <v>0</v>
      </c>
      <c r="N2944" s="13">
        <f>SUM(E2944:M2944)</f>
        <v/>
      </c>
    </row>
    <row r="2945">
      <c r="A2945" s="5">
        <f>IF(AND(C2945&gt;=Options!$B$9,C2945&lt;=Options!$B$10),"Seattle","")</f>
        <v/>
      </c>
      <c r="B2945" s="5">
        <f>IF(A2945="","",18)</f>
        <v/>
      </c>
      <c r="C2945" s="17" t="n">
        <v>46316</v>
      </c>
      <c r="D2945" s="5">
        <f>IF(A2945="","",IF(C2945=DATE(2026,11,29),"培训；注册午餐；早餐参数",IF(C2945=DATE(2026,11,30),"培训；注册午餐",IF(C2945=DATE(2026,12,1),"培训；注册午餐；机构晚餐",IF(C2945=Options!$B$9,"抵达；"&amp;IF(C2945=DATE(2026,11,28),"机构晚餐","无统一供餐"),IF(C2945=Options!$B$10,"返程；"&amp;IF(C2945=DATE(2026,12,2),"机构午餐","无统一供餐"),"差旅状态；无统一日程"))))))</f>
        <v/>
      </c>
      <c r="E2945" s="13">
        <f>IF(C2945=Options!$B$9,Options!$C$22,0)</f>
        <v/>
      </c>
      <c r="F2945" s="13">
        <f>IF(AND(A2945&lt;&gt;"",C2945&lt;Options!$B$10),B2945*Options!$X$9,0)</f>
        <v/>
      </c>
      <c r="G2945" s="13">
        <f>F2945*12%</f>
        <v/>
      </c>
      <c r="H2945" s="13">
        <f>IF(A2945="",0,B2945*(92*IF(OR(C2945=Options!$B$9,C2945=Options!$B$10),75%,100%)-IF(C2945=DATE(2026,11,29),26+IF(Options!$B$8="是",23,0),0)-IF(C2945=DATE(2026,11,30),26,0)-IF(C2945=DATE(2026,12,1),64,0)-IF(C2945=DATE(2026,11,28),38,0)-IF(C2945=DATE(2026,12,2),26,0)))</f>
        <v/>
      </c>
      <c r="I2945" s="13">
        <f>IF(AND(C2945&gt;=DATE(2026,11,29),C2945&lt;=DATE(2026,12,1)),B2945*60,0)</f>
        <v/>
      </c>
      <c r="J2945" s="13">
        <f>IF(A2945="",0,B2945*(IF(C2945=DATE(2026,11,28),38,0)+IF(C2945=DATE(2026,12,1),38,0)+IF(C2945=DATE(2026,12,2),26,0)))</f>
        <v/>
      </c>
      <c r="K2945" s="13">
        <f>IF(C2945=Options!$B$9,B2945*12,0)</f>
        <v/>
      </c>
      <c r="L2945" s="13">
        <f>IF(C2945=Options!$B$9,B2945*Options!$Z$9,0)</f>
        <v/>
      </c>
      <c r="M2945" s="13" t="n">
        <v>0</v>
      </c>
      <c r="N2945" s="13">
        <f>SUM(E2945:M2945)</f>
        <v/>
      </c>
    </row>
    <row r="2946">
      <c r="A2946" s="5">
        <f>IF(AND(C2946&gt;=Options!$B$9,C2946&lt;=Options!$B$10),"Seattle","")</f>
        <v/>
      </c>
      <c r="B2946" s="5">
        <f>IF(A2946="","",18)</f>
        <v/>
      </c>
      <c r="C2946" s="17" t="n">
        <v>46317</v>
      </c>
      <c r="D2946" s="5">
        <f>IF(A2946="","",IF(C2946=DATE(2026,11,29),"培训；注册午餐；早餐参数",IF(C2946=DATE(2026,11,30),"培训；注册午餐",IF(C2946=DATE(2026,12,1),"培训；注册午餐；机构晚餐",IF(C2946=Options!$B$9,"抵达；"&amp;IF(C2946=DATE(2026,11,28),"机构晚餐","无统一供餐"),IF(C2946=Options!$B$10,"返程；"&amp;IF(C2946=DATE(2026,12,2),"机构午餐","无统一供餐"),"差旅状态；无统一日程"))))))</f>
        <v/>
      </c>
      <c r="E2946" s="13">
        <f>IF(C2946=Options!$B$9,Options!$C$22,0)</f>
        <v/>
      </c>
      <c r="F2946" s="13">
        <f>IF(AND(A2946&lt;&gt;"",C2946&lt;Options!$B$10),B2946*Options!$X$9,0)</f>
        <v/>
      </c>
      <c r="G2946" s="13">
        <f>F2946*12%</f>
        <v/>
      </c>
      <c r="H2946" s="13">
        <f>IF(A2946="",0,B2946*(92*IF(OR(C2946=Options!$B$9,C2946=Options!$B$10),75%,100%)-IF(C2946=DATE(2026,11,29),26+IF(Options!$B$8="是",23,0),0)-IF(C2946=DATE(2026,11,30),26,0)-IF(C2946=DATE(2026,12,1),64,0)-IF(C2946=DATE(2026,11,28),38,0)-IF(C2946=DATE(2026,12,2),26,0)))</f>
        <v/>
      </c>
      <c r="I2946" s="13">
        <f>IF(AND(C2946&gt;=DATE(2026,11,29),C2946&lt;=DATE(2026,12,1)),B2946*60,0)</f>
        <v/>
      </c>
      <c r="J2946" s="13">
        <f>IF(A2946="",0,B2946*(IF(C2946=DATE(2026,11,28),38,0)+IF(C2946=DATE(2026,12,1),38,0)+IF(C2946=DATE(2026,12,2),26,0)))</f>
        <v/>
      </c>
      <c r="K2946" s="13">
        <f>IF(C2946=Options!$B$9,B2946*12,0)</f>
        <v/>
      </c>
      <c r="L2946" s="13">
        <f>IF(C2946=Options!$B$9,B2946*Options!$Z$9,0)</f>
        <v/>
      </c>
      <c r="M2946" s="13" t="n">
        <v>0</v>
      </c>
      <c r="N2946" s="13">
        <f>SUM(E2946:M2946)</f>
        <v/>
      </c>
    </row>
    <row r="2947">
      <c r="A2947" s="5">
        <f>IF(AND(C2947&gt;=Options!$B$9,C2947&lt;=Options!$B$10),"Seattle","")</f>
        <v/>
      </c>
      <c r="B2947" s="5">
        <f>IF(A2947="","",18)</f>
        <v/>
      </c>
      <c r="C2947" s="17" t="n">
        <v>46318</v>
      </c>
      <c r="D2947" s="5">
        <f>IF(A2947="","",IF(C2947=DATE(2026,11,29),"培训；注册午餐；早餐参数",IF(C2947=DATE(2026,11,30),"培训；注册午餐",IF(C2947=DATE(2026,12,1),"培训；注册午餐；机构晚餐",IF(C2947=Options!$B$9,"抵达；"&amp;IF(C2947=DATE(2026,11,28),"机构晚餐","无统一供餐"),IF(C2947=Options!$B$10,"返程；"&amp;IF(C2947=DATE(2026,12,2),"机构午餐","无统一供餐"),"差旅状态；无统一日程"))))))</f>
        <v/>
      </c>
      <c r="E2947" s="13">
        <f>IF(C2947=Options!$B$9,Options!$C$22,0)</f>
        <v/>
      </c>
      <c r="F2947" s="13">
        <f>IF(AND(A2947&lt;&gt;"",C2947&lt;Options!$B$10),B2947*Options!$X$9,0)</f>
        <v/>
      </c>
      <c r="G2947" s="13">
        <f>F2947*12%</f>
        <v/>
      </c>
      <c r="H2947" s="13">
        <f>IF(A2947="",0,B2947*(92*IF(OR(C2947=Options!$B$9,C2947=Options!$B$10),75%,100%)-IF(C2947=DATE(2026,11,29),26+IF(Options!$B$8="是",23,0),0)-IF(C2947=DATE(2026,11,30),26,0)-IF(C2947=DATE(2026,12,1),64,0)-IF(C2947=DATE(2026,11,28),38,0)-IF(C2947=DATE(2026,12,2),26,0)))</f>
        <v/>
      </c>
      <c r="I2947" s="13">
        <f>IF(AND(C2947&gt;=DATE(2026,11,29),C2947&lt;=DATE(2026,12,1)),B2947*60,0)</f>
        <v/>
      </c>
      <c r="J2947" s="13">
        <f>IF(A2947="",0,B2947*(IF(C2947=DATE(2026,11,28),38,0)+IF(C2947=DATE(2026,12,1),38,0)+IF(C2947=DATE(2026,12,2),26,0)))</f>
        <v/>
      </c>
      <c r="K2947" s="13">
        <f>IF(C2947=Options!$B$9,B2947*12,0)</f>
        <v/>
      </c>
      <c r="L2947" s="13">
        <f>IF(C2947=Options!$B$9,B2947*Options!$Z$9,0)</f>
        <v/>
      </c>
      <c r="M2947" s="13" t="n">
        <v>0</v>
      </c>
      <c r="N2947" s="13">
        <f>SUM(E2947:M2947)</f>
        <v/>
      </c>
    </row>
    <row r="2948">
      <c r="A2948" s="5">
        <f>IF(AND(C2948&gt;=Options!$B$9,C2948&lt;=Options!$B$10),"Seattle","")</f>
        <v/>
      </c>
      <c r="B2948" s="5">
        <f>IF(A2948="","",18)</f>
        <v/>
      </c>
      <c r="C2948" s="17" t="n">
        <v>46319</v>
      </c>
      <c r="D2948" s="5">
        <f>IF(A2948="","",IF(C2948=DATE(2026,11,29),"培训；注册午餐；早餐参数",IF(C2948=DATE(2026,11,30),"培训；注册午餐",IF(C2948=DATE(2026,12,1),"培训；注册午餐；机构晚餐",IF(C2948=Options!$B$9,"抵达；"&amp;IF(C2948=DATE(2026,11,28),"机构晚餐","无统一供餐"),IF(C2948=Options!$B$10,"返程；"&amp;IF(C2948=DATE(2026,12,2),"机构午餐","无统一供餐"),"差旅状态；无统一日程"))))))</f>
        <v/>
      </c>
      <c r="E2948" s="13">
        <f>IF(C2948=Options!$B$9,Options!$C$22,0)</f>
        <v/>
      </c>
      <c r="F2948" s="13">
        <f>IF(AND(A2948&lt;&gt;"",C2948&lt;Options!$B$10),B2948*Options!$X$9,0)</f>
        <v/>
      </c>
      <c r="G2948" s="13">
        <f>F2948*12%</f>
        <v/>
      </c>
      <c r="H2948" s="13">
        <f>IF(A2948="",0,B2948*(92*IF(OR(C2948=Options!$B$9,C2948=Options!$B$10),75%,100%)-IF(C2948=DATE(2026,11,29),26+IF(Options!$B$8="是",23,0),0)-IF(C2948=DATE(2026,11,30),26,0)-IF(C2948=DATE(2026,12,1),64,0)-IF(C2948=DATE(2026,11,28),38,0)-IF(C2948=DATE(2026,12,2),26,0)))</f>
        <v/>
      </c>
      <c r="I2948" s="13">
        <f>IF(AND(C2948&gt;=DATE(2026,11,29),C2948&lt;=DATE(2026,12,1)),B2948*60,0)</f>
        <v/>
      </c>
      <c r="J2948" s="13">
        <f>IF(A2948="",0,B2948*(IF(C2948=DATE(2026,11,28),38,0)+IF(C2948=DATE(2026,12,1),38,0)+IF(C2948=DATE(2026,12,2),26,0)))</f>
        <v/>
      </c>
      <c r="K2948" s="13">
        <f>IF(C2948=Options!$B$9,B2948*12,0)</f>
        <v/>
      </c>
      <c r="L2948" s="13">
        <f>IF(C2948=Options!$B$9,B2948*Options!$Z$9,0)</f>
        <v/>
      </c>
      <c r="M2948" s="13" t="n">
        <v>0</v>
      </c>
      <c r="N2948" s="13">
        <f>SUM(E2948:M2948)</f>
        <v/>
      </c>
    </row>
    <row r="2949">
      <c r="A2949" s="5">
        <f>IF(AND(C2949&gt;=Options!$B$9,C2949&lt;=Options!$B$10),"Seattle","")</f>
        <v/>
      </c>
      <c r="B2949" s="5">
        <f>IF(A2949="","",18)</f>
        <v/>
      </c>
      <c r="C2949" s="17" t="n">
        <v>46320</v>
      </c>
      <c r="D2949" s="5">
        <f>IF(A2949="","",IF(C2949=DATE(2026,11,29),"培训；注册午餐；早餐参数",IF(C2949=DATE(2026,11,30),"培训；注册午餐",IF(C2949=DATE(2026,12,1),"培训；注册午餐；机构晚餐",IF(C2949=Options!$B$9,"抵达；"&amp;IF(C2949=DATE(2026,11,28),"机构晚餐","无统一供餐"),IF(C2949=Options!$B$10,"返程；"&amp;IF(C2949=DATE(2026,12,2),"机构午餐","无统一供餐"),"差旅状态；无统一日程"))))))</f>
        <v/>
      </c>
      <c r="E2949" s="13">
        <f>IF(C2949=Options!$B$9,Options!$C$22,0)</f>
        <v/>
      </c>
      <c r="F2949" s="13">
        <f>IF(AND(A2949&lt;&gt;"",C2949&lt;Options!$B$10),B2949*Options!$X$9,0)</f>
        <v/>
      </c>
      <c r="G2949" s="13">
        <f>F2949*12%</f>
        <v/>
      </c>
      <c r="H2949" s="13">
        <f>IF(A2949="",0,B2949*(92*IF(OR(C2949=Options!$B$9,C2949=Options!$B$10),75%,100%)-IF(C2949=DATE(2026,11,29),26+IF(Options!$B$8="是",23,0),0)-IF(C2949=DATE(2026,11,30),26,0)-IF(C2949=DATE(2026,12,1),64,0)-IF(C2949=DATE(2026,11,28),38,0)-IF(C2949=DATE(2026,12,2),26,0)))</f>
        <v/>
      </c>
      <c r="I2949" s="13">
        <f>IF(AND(C2949&gt;=DATE(2026,11,29),C2949&lt;=DATE(2026,12,1)),B2949*60,0)</f>
        <v/>
      </c>
      <c r="J2949" s="13">
        <f>IF(A2949="",0,B2949*(IF(C2949=DATE(2026,11,28),38,0)+IF(C2949=DATE(2026,12,1),38,0)+IF(C2949=DATE(2026,12,2),26,0)))</f>
        <v/>
      </c>
      <c r="K2949" s="13">
        <f>IF(C2949=Options!$B$9,B2949*12,0)</f>
        <v/>
      </c>
      <c r="L2949" s="13">
        <f>IF(C2949=Options!$B$9,B2949*Options!$Z$9,0)</f>
        <v/>
      </c>
      <c r="M2949" s="13" t="n">
        <v>0</v>
      </c>
      <c r="N2949" s="13">
        <f>SUM(E2949:M2949)</f>
        <v/>
      </c>
    </row>
    <row r="2950">
      <c r="A2950" s="5">
        <f>IF(AND(C2950&gt;=Options!$B$9,C2950&lt;=Options!$B$10),"Seattle","")</f>
        <v/>
      </c>
      <c r="B2950" s="5">
        <f>IF(A2950="","",18)</f>
        <v/>
      </c>
      <c r="C2950" s="17" t="n">
        <v>46321</v>
      </c>
      <c r="D2950" s="5">
        <f>IF(A2950="","",IF(C2950=DATE(2026,11,29),"培训；注册午餐；早餐参数",IF(C2950=DATE(2026,11,30),"培训；注册午餐",IF(C2950=DATE(2026,12,1),"培训；注册午餐；机构晚餐",IF(C2950=Options!$B$9,"抵达；"&amp;IF(C2950=DATE(2026,11,28),"机构晚餐","无统一供餐"),IF(C2950=Options!$B$10,"返程；"&amp;IF(C2950=DATE(2026,12,2),"机构午餐","无统一供餐"),"差旅状态；无统一日程"))))))</f>
        <v/>
      </c>
      <c r="E2950" s="13">
        <f>IF(C2950=Options!$B$9,Options!$C$22,0)</f>
        <v/>
      </c>
      <c r="F2950" s="13">
        <f>IF(AND(A2950&lt;&gt;"",C2950&lt;Options!$B$10),B2950*Options!$X$9,0)</f>
        <v/>
      </c>
      <c r="G2950" s="13">
        <f>F2950*12%</f>
        <v/>
      </c>
      <c r="H2950" s="13">
        <f>IF(A2950="",0,B2950*(92*IF(OR(C2950=Options!$B$9,C2950=Options!$B$10),75%,100%)-IF(C2950=DATE(2026,11,29),26+IF(Options!$B$8="是",23,0),0)-IF(C2950=DATE(2026,11,30),26,0)-IF(C2950=DATE(2026,12,1),64,0)-IF(C2950=DATE(2026,11,28),38,0)-IF(C2950=DATE(2026,12,2),26,0)))</f>
        <v/>
      </c>
      <c r="I2950" s="13">
        <f>IF(AND(C2950&gt;=DATE(2026,11,29),C2950&lt;=DATE(2026,12,1)),B2950*60,0)</f>
        <v/>
      </c>
      <c r="J2950" s="13">
        <f>IF(A2950="",0,B2950*(IF(C2950=DATE(2026,11,28),38,0)+IF(C2950=DATE(2026,12,1),38,0)+IF(C2950=DATE(2026,12,2),26,0)))</f>
        <v/>
      </c>
      <c r="K2950" s="13">
        <f>IF(C2950=Options!$B$9,B2950*12,0)</f>
        <v/>
      </c>
      <c r="L2950" s="13">
        <f>IF(C2950=Options!$B$9,B2950*Options!$Z$9,0)</f>
        <v/>
      </c>
      <c r="M2950" s="13" t="n">
        <v>0</v>
      </c>
      <c r="N2950" s="13">
        <f>SUM(E2950:M2950)</f>
        <v/>
      </c>
    </row>
    <row r="2951">
      <c r="A2951" s="5">
        <f>IF(AND(C2951&gt;=Options!$B$9,C2951&lt;=Options!$B$10),"Seattle","")</f>
        <v/>
      </c>
      <c r="B2951" s="5">
        <f>IF(A2951="","",18)</f>
        <v/>
      </c>
      <c r="C2951" s="17" t="n">
        <v>46322</v>
      </c>
      <c r="D2951" s="5">
        <f>IF(A2951="","",IF(C2951=DATE(2026,11,29),"培训；注册午餐；早餐参数",IF(C2951=DATE(2026,11,30),"培训；注册午餐",IF(C2951=DATE(2026,12,1),"培训；注册午餐；机构晚餐",IF(C2951=Options!$B$9,"抵达；"&amp;IF(C2951=DATE(2026,11,28),"机构晚餐","无统一供餐"),IF(C2951=Options!$B$10,"返程；"&amp;IF(C2951=DATE(2026,12,2),"机构午餐","无统一供餐"),"差旅状态；无统一日程"))))))</f>
        <v/>
      </c>
      <c r="E2951" s="13">
        <f>IF(C2951=Options!$B$9,Options!$C$22,0)</f>
        <v/>
      </c>
      <c r="F2951" s="13">
        <f>IF(AND(A2951&lt;&gt;"",C2951&lt;Options!$B$10),B2951*Options!$X$9,0)</f>
        <v/>
      </c>
      <c r="G2951" s="13">
        <f>F2951*12%</f>
        <v/>
      </c>
      <c r="H2951" s="13">
        <f>IF(A2951="",0,B2951*(92*IF(OR(C2951=Options!$B$9,C2951=Options!$B$10),75%,100%)-IF(C2951=DATE(2026,11,29),26+IF(Options!$B$8="是",23,0),0)-IF(C2951=DATE(2026,11,30),26,0)-IF(C2951=DATE(2026,12,1),64,0)-IF(C2951=DATE(2026,11,28),38,0)-IF(C2951=DATE(2026,12,2),26,0)))</f>
        <v/>
      </c>
      <c r="I2951" s="13">
        <f>IF(AND(C2951&gt;=DATE(2026,11,29),C2951&lt;=DATE(2026,12,1)),B2951*60,0)</f>
        <v/>
      </c>
      <c r="J2951" s="13">
        <f>IF(A2951="",0,B2951*(IF(C2951=DATE(2026,11,28),38,0)+IF(C2951=DATE(2026,12,1),38,0)+IF(C2951=DATE(2026,12,2),26,0)))</f>
        <v/>
      </c>
      <c r="K2951" s="13">
        <f>IF(C2951=Options!$B$9,B2951*12,0)</f>
        <v/>
      </c>
      <c r="L2951" s="13">
        <f>IF(C2951=Options!$B$9,B2951*Options!$Z$9,0)</f>
        <v/>
      </c>
      <c r="M2951" s="13" t="n">
        <v>0</v>
      </c>
      <c r="N2951" s="13">
        <f>SUM(E2951:M2951)</f>
        <v/>
      </c>
    </row>
    <row r="2952">
      <c r="A2952" s="5">
        <f>IF(AND(C2952&gt;=Options!$B$9,C2952&lt;=Options!$B$10),"Seattle","")</f>
        <v/>
      </c>
      <c r="B2952" s="5">
        <f>IF(A2952="","",18)</f>
        <v/>
      </c>
      <c r="C2952" s="17" t="n">
        <v>46323</v>
      </c>
      <c r="D2952" s="5">
        <f>IF(A2952="","",IF(C2952=DATE(2026,11,29),"培训；注册午餐；早餐参数",IF(C2952=DATE(2026,11,30),"培训；注册午餐",IF(C2952=DATE(2026,12,1),"培训；注册午餐；机构晚餐",IF(C2952=Options!$B$9,"抵达；"&amp;IF(C2952=DATE(2026,11,28),"机构晚餐","无统一供餐"),IF(C2952=Options!$B$10,"返程；"&amp;IF(C2952=DATE(2026,12,2),"机构午餐","无统一供餐"),"差旅状态；无统一日程"))))))</f>
        <v/>
      </c>
      <c r="E2952" s="13">
        <f>IF(C2952=Options!$B$9,Options!$C$22,0)</f>
        <v/>
      </c>
      <c r="F2952" s="13">
        <f>IF(AND(A2952&lt;&gt;"",C2952&lt;Options!$B$10),B2952*Options!$X$9,0)</f>
        <v/>
      </c>
      <c r="G2952" s="13">
        <f>F2952*12%</f>
        <v/>
      </c>
      <c r="H2952" s="13">
        <f>IF(A2952="",0,B2952*(92*IF(OR(C2952=Options!$B$9,C2952=Options!$B$10),75%,100%)-IF(C2952=DATE(2026,11,29),26+IF(Options!$B$8="是",23,0),0)-IF(C2952=DATE(2026,11,30),26,0)-IF(C2952=DATE(2026,12,1),64,0)-IF(C2952=DATE(2026,11,28),38,0)-IF(C2952=DATE(2026,12,2),26,0)))</f>
        <v/>
      </c>
      <c r="I2952" s="13">
        <f>IF(AND(C2952&gt;=DATE(2026,11,29),C2952&lt;=DATE(2026,12,1)),B2952*60,0)</f>
        <v/>
      </c>
      <c r="J2952" s="13">
        <f>IF(A2952="",0,B2952*(IF(C2952=DATE(2026,11,28),38,0)+IF(C2952=DATE(2026,12,1),38,0)+IF(C2952=DATE(2026,12,2),26,0)))</f>
        <v/>
      </c>
      <c r="K2952" s="13">
        <f>IF(C2952=Options!$B$9,B2952*12,0)</f>
        <v/>
      </c>
      <c r="L2952" s="13">
        <f>IF(C2952=Options!$B$9,B2952*Options!$Z$9,0)</f>
        <v/>
      </c>
      <c r="M2952" s="13" t="n">
        <v>0</v>
      </c>
      <c r="N2952" s="13">
        <f>SUM(E2952:M2952)</f>
        <v/>
      </c>
    </row>
    <row r="2953">
      <c r="A2953" s="5">
        <f>IF(AND(C2953&gt;=Options!$B$9,C2953&lt;=Options!$B$10),"Seattle","")</f>
        <v/>
      </c>
      <c r="B2953" s="5">
        <f>IF(A2953="","",18)</f>
        <v/>
      </c>
      <c r="C2953" s="17" t="n">
        <v>46324</v>
      </c>
      <c r="D2953" s="5">
        <f>IF(A2953="","",IF(C2953=DATE(2026,11,29),"培训；注册午餐；早餐参数",IF(C2953=DATE(2026,11,30),"培训；注册午餐",IF(C2953=DATE(2026,12,1),"培训；注册午餐；机构晚餐",IF(C2953=Options!$B$9,"抵达；"&amp;IF(C2953=DATE(2026,11,28),"机构晚餐","无统一供餐"),IF(C2953=Options!$B$10,"返程；"&amp;IF(C2953=DATE(2026,12,2),"机构午餐","无统一供餐"),"差旅状态；无统一日程"))))))</f>
        <v/>
      </c>
      <c r="E2953" s="13">
        <f>IF(C2953=Options!$B$9,Options!$C$22,0)</f>
        <v/>
      </c>
      <c r="F2953" s="13">
        <f>IF(AND(A2953&lt;&gt;"",C2953&lt;Options!$B$10),B2953*Options!$X$9,0)</f>
        <v/>
      </c>
      <c r="G2953" s="13">
        <f>F2953*12%</f>
        <v/>
      </c>
      <c r="H2953" s="13">
        <f>IF(A2953="",0,B2953*(92*IF(OR(C2953=Options!$B$9,C2953=Options!$B$10),75%,100%)-IF(C2953=DATE(2026,11,29),26+IF(Options!$B$8="是",23,0),0)-IF(C2953=DATE(2026,11,30),26,0)-IF(C2953=DATE(2026,12,1),64,0)-IF(C2953=DATE(2026,11,28),38,0)-IF(C2953=DATE(2026,12,2),26,0)))</f>
        <v/>
      </c>
      <c r="I2953" s="13">
        <f>IF(AND(C2953&gt;=DATE(2026,11,29),C2953&lt;=DATE(2026,12,1)),B2953*60,0)</f>
        <v/>
      </c>
      <c r="J2953" s="13">
        <f>IF(A2953="",0,B2953*(IF(C2953=DATE(2026,11,28),38,0)+IF(C2953=DATE(2026,12,1),38,0)+IF(C2953=DATE(2026,12,2),26,0)))</f>
        <v/>
      </c>
      <c r="K2953" s="13">
        <f>IF(C2953=Options!$B$9,B2953*12,0)</f>
        <v/>
      </c>
      <c r="L2953" s="13">
        <f>IF(C2953=Options!$B$9,B2953*Options!$Z$9,0)</f>
        <v/>
      </c>
      <c r="M2953" s="13" t="n">
        <v>0</v>
      </c>
      <c r="N2953" s="13">
        <f>SUM(E2953:M2953)</f>
        <v/>
      </c>
    </row>
    <row r="2954">
      <c r="A2954" s="5">
        <f>IF(AND(C2954&gt;=Options!$B$9,C2954&lt;=Options!$B$10),"Seattle","")</f>
        <v/>
      </c>
      <c r="B2954" s="5">
        <f>IF(A2954="","",18)</f>
        <v/>
      </c>
      <c r="C2954" s="17" t="n">
        <v>46325</v>
      </c>
      <c r="D2954" s="5">
        <f>IF(A2954="","",IF(C2954=DATE(2026,11,29),"培训；注册午餐；早餐参数",IF(C2954=DATE(2026,11,30),"培训；注册午餐",IF(C2954=DATE(2026,12,1),"培训；注册午餐；机构晚餐",IF(C2954=Options!$B$9,"抵达；"&amp;IF(C2954=DATE(2026,11,28),"机构晚餐","无统一供餐"),IF(C2954=Options!$B$10,"返程；"&amp;IF(C2954=DATE(2026,12,2),"机构午餐","无统一供餐"),"差旅状态；无统一日程"))))))</f>
        <v/>
      </c>
      <c r="E2954" s="13">
        <f>IF(C2954=Options!$B$9,Options!$C$22,0)</f>
        <v/>
      </c>
      <c r="F2954" s="13">
        <f>IF(AND(A2954&lt;&gt;"",C2954&lt;Options!$B$10),B2954*Options!$X$9,0)</f>
        <v/>
      </c>
      <c r="G2954" s="13">
        <f>F2954*12%</f>
        <v/>
      </c>
      <c r="H2954" s="13">
        <f>IF(A2954="",0,B2954*(92*IF(OR(C2954=Options!$B$9,C2954=Options!$B$10),75%,100%)-IF(C2954=DATE(2026,11,29),26+IF(Options!$B$8="是",23,0),0)-IF(C2954=DATE(2026,11,30),26,0)-IF(C2954=DATE(2026,12,1),64,0)-IF(C2954=DATE(2026,11,28),38,0)-IF(C2954=DATE(2026,12,2),26,0)))</f>
        <v/>
      </c>
      <c r="I2954" s="13">
        <f>IF(AND(C2954&gt;=DATE(2026,11,29),C2954&lt;=DATE(2026,12,1)),B2954*60,0)</f>
        <v/>
      </c>
      <c r="J2954" s="13">
        <f>IF(A2954="",0,B2954*(IF(C2954=DATE(2026,11,28),38,0)+IF(C2954=DATE(2026,12,1),38,0)+IF(C2954=DATE(2026,12,2),26,0)))</f>
        <v/>
      </c>
      <c r="K2954" s="13">
        <f>IF(C2954=Options!$B$9,B2954*12,0)</f>
        <v/>
      </c>
      <c r="L2954" s="13">
        <f>IF(C2954=Options!$B$9,B2954*Options!$Z$9,0)</f>
        <v/>
      </c>
      <c r="M2954" s="13" t="n">
        <v>0</v>
      </c>
      <c r="N2954" s="13">
        <f>SUM(E2954:M2954)</f>
        <v/>
      </c>
    </row>
    <row r="2955">
      <c r="A2955" s="5">
        <f>IF(AND(C2955&gt;=Options!$B$9,C2955&lt;=Options!$B$10),"Seattle","")</f>
        <v/>
      </c>
      <c r="B2955" s="5">
        <f>IF(A2955="","",18)</f>
        <v/>
      </c>
      <c r="C2955" s="17" t="n">
        <v>46326</v>
      </c>
      <c r="D2955" s="5">
        <f>IF(A2955="","",IF(C2955=DATE(2026,11,29),"培训；注册午餐；早餐参数",IF(C2955=DATE(2026,11,30),"培训；注册午餐",IF(C2955=DATE(2026,12,1),"培训；注册午餐；机构晚餐",IF(C2955=Options!$B$9,"抵达；"&amp;IF(C2955=DATE(2026,11,28),"机构晚餐","无统一供餐"),IF(C2955=Options!$B$10,"返程；"&amp;IF(C2955=DATE(2026,12,2),"机构午餐","无统一供餐"),"差旅状态；无统一日程"))))))</f>
        <v/>
      </c>
      <c r="E2955" s="13">
        <f>IF(C2955=Options!$B$9,Options!$C$22,0)</f>
        <v/>
      </c>
      <c r="F2955" s="13">
        <f>IF(AND(A2955&lt;&gt;"",C2955&lt;Options!$B$10),B2955*Options!$X$9,0)</f>
        <v/>
      </c>
      <c r="G2955" s="13">
        <f>F2955*12%</f>
        <v/>
      </c>
      <c r="H2955" s="13">
        <f>IF(A2955="",0,B2955*(92*IF(OR(C2955=Options!$B$9,C2955=Options!$B$10),75%,100%)-IF(C2955=DATE(2026,11,29),26+IF(Options!$B$8="是",23,0),0)-IF(C2955=DATE(2026,11,30),26,0)-IF(C2955=DATE(2026,12,1),64,0)-IF(C2955=DATE(2026,11,28),38,0)-IF(C2955=DATE(2026,12,2),26,0)))</f>
        <v/>
      </c>
      <c r="I2955" s="13">
        <f>IF(AND(C2955&gt;=DATE(2026,11,29),C2955&lt;=DATE(2026,12,1)),B2955*60,0)</f>
        <v/>
      </c>
      <c r="J2955" s="13">
        <f>IF(A2955="",0,B2955*(IF(C2955=DATE(2026,11,28),38,0)+IF(C2955=DATE(2026,12,1),38,0)+IF(C2955=DATE(2026,12,2),26,0)))</f>
        <v/>
      </c>
      <c r="K2955" s="13">
        <f>IF(C2955=Options!$B$9,B2955*12,0)</f>
        <v/>
      </c>
      <c r="L2955" s="13">
        <f>IF(C2955=Options!$B$9,B2955*Options!$Z$9,0)</f>
        <v/>
      </c>
      <c r="M2955" s="13" t="n">
        <v>0</v>
      </c>
      <c r="N2955" s="13">
        <f>SUM(E2955:M2955)</f>
        <v/>
      </c>
    </row>
    <row r="2956">
      <c r="A2956" s="5">
        <f>IF(AND(C2956&gt;=Options!$B$9,C2956&lt;=Options!$B$10),"Seattle","")</f>
        <v/>
      </c>
      <c r="B2956" s="5">
        <f>IF(A2956="","",18)</f>
        <v/>
      </c>
      <c r="C2956" s="17" t="n">
        <v>46327</v>
      </c>
      <c r="D2956" s="5">
        <f>IF(A2956="","",IF(C2956=DATE(2026,11,29),"培训；注册午餐；早餐参数",IF(C2956=DATE(2026,11,30),"培训；注册午餐",IF(C2956=DATE(2026,12,1),"培训；注册午餐；机构晚餐",IF(C2956=Options!$B$9,"抵达；"&amp;IF(C2956=DATE(2026,11,28),"机构晚餐","无统一供餐"),IF(C2956=Options!$B$10,"返程；"&amp;IF(C2956=DATE(2026,12,2),"机构午餐","无统一供餐"),"差旅状态；无统一日程"))))))</f>
        <v/>
      </c>
      <c r="E2956" s="13">
        <f>IF(C2956=Options!$B$9,Options!$C$22,0)</f>
        <v/>
      </c>
      <c r="F2956" s="13">
        <f>IF(AND(A2956&lt;&gt;"",C2956&lt;Options!$B$10),B2956*Options!$X$9,0)</f>
        <v/>
      </c>
      <c r="G2956" s="13">
        <f>F2956*12%</f>
        <v/>
      </c>
      <c r="H2956" s="13">
        <f>IF(A2956="",0,B2956*(92*IF(OR(C2956=Options!$B$9,C2956=Options!$B$10),75%,100%)-IF(C2956=DATE(2026,11,29),26+IF(Options!$B$8="是",23,0),0)-IF(C2956=DATE(2026,11,30),26,0)-IF(C2956=DATE(2026,12,1),64,0)-IF(C2956=DATE(2026,11,28),38,0)-IF(C2956=DATE(2026,12,2),26,0)))</f>
        <v/>
      </c>
      <c r="I2956" s="13">
        <f>IF(AND(C2956&gt;=DATE(2026,11,29),C2956&lt;=DATE(2026,12,1)),B2956*60,0)</f>
        <v/>
      </c>
      <c r="J2956" s="13">
        <f>IF(A2956="",0,B2956*(IF(C2956=DATE(2026,11,28),38,0)+IF(C2956=DATE(2026,12,1),38,0)+IF(C2956=DATE(2026,12,2),26,0)))</f>
        <v/>
      </c>
      <c r="K2956" s="13">
        <f>IF(C2956=Options!$B$9,B2956*12,0)</f>
        <v/>
      </c>
      <c r="L2956" s="13">
        <f>IF(C2956=Options!$B$9,B2956*Options!$Z$9,0)</f>
        <v/>
      </c>
      <c r="M2956" s="13" t="n">
        <v>0</v>
      </c>
      <c r="N2956" s="13">
        <f>SUM(E2956:M2956)</f>
        <v/>
      </c>
    </row>
    <row r="2957">
      <c r="A2957" s="5">
        <f>IF(AND(C2957&gt;=Options!$B$9,C2957&lt;=Options!$B$10),"Seattle","")</f>
        <v/>
      </c>
      <c r="B2957" s="5">
        <f>IF(A2957="","",18)</f>
        <v/>
      </c>
      <c r="C2957" s="17" t="n">
        <v>46328</v>
      </c>
      <c r="D2957" s="5">
        <f>IF(A2957="","",IF(C2957=DATE(2026,11,29),"培训；注册午餐；早餐参数",IF(C2957=DATE(2026,11,30),"培训；注册午餐",IF(C2957=DATE(2026,12,1),"培训；注册午餐；机构晚餐",IF(C2957=Options!$B$9,"抵达；"&amp;IF(C2957=DATE(2026,11,28),"机构晚餐","无统一供餐"),IF(C2957=Options!$B$10,"返程；"&amp;IF(C2957=DATE(2026,12,2),"机构午餐","无统一供餐"),"差旅状态；无统一日程"))))))</f>
        <v/>
      </c>
      <c r="E2957" s="13">
        <f>IF(C2957=Options!$B$9,Options!$C$22,0)</f>
        <v/>
      </c>
      <c r="F2957" s="13">
        <f>IF(AND(A2957&lt;&gt;"",C2957&lt;Options!$B$10),B2957*Options!$X$9,0)</f>
        <v/>
      </c>
      <c r="G2957" s="13">
        <f>F2957*12%</f>
        <v/>
      </c>
      <c r="H2957" s="13">
        <f>IF(A2957="",0,B2957*(92*IF(OR(C2957=Options!$B$9,C2957=Options!$B$10),75%,100%)-IF(C2957=DATE(2026,11,29),26+IF(Options!$B$8="是",23,0),0)-IF(C2957=DATE(2026,11,30),26,0)-IF(C2957=DATE(2026,12,1),64,0)-IF(C2957=DATE(2026,11,28),38,0)-IF(C2957=DATE(2026,12,2),26,0)))</f>
        <v/>
      </c>
      <c r="I2957" s="13">
        <f>IF(AND(C2957&gt;=DATE(2026,11,29),C2957&lt;=DATE(2026,12,1)),B2957*60,0)</f>
        <v/>
      </c>
      <c r="J2957" s="13">
        <f>IF(A2957="",0,B2957*(IF(C2957=DATE(2026,11,28),38,0)+IF(C2957=DATE(2026,12,1),38,0)+IF(C2957=DATE(2026,12,2),26,0)))</f>
        <v/>
      </c>
      <c r="K2957" s="13">
        <f>IF(C2957=Options!$B$9,B2957*12,0)</f>
        <v/>
      </c>
      <c r="L2957" s="13">
        <f>IF(C2957=Options!$B$9,B2957*Options!$Z$9,0)</f>
        <v/>
      </c>
      <c r="M2957" s="13" t="n">
        <v>0</v>
      </c>
      <c r="N2957" s="13">
        <f>SUM(E2957:M2957)</f>
        <v/>
      </c>
    </row>
    <row r="2958">
      <c r="A2958" s="5">
        <f>IF(AND(C2958&gt;=Options!$B$9,C2958&lt;=Options!$B$10),"Seattle","")</f>
        <v/>
      </c>
      <c r="B2958" s="5">
        <f>IF(A2958="","",18)</f>
        <v/>
      </c>
      <c r="C2958" s="17" t="n">
        <v>46329</v>
      </c>
      <c r="D2958" s="5">
        <f>IF(A2958="","",IF(C2958=DATE(2026,11,29),"培训；注册午餐；早餐参数",IF(C2958=DATE(2026,11,30),"培训；注册午餐",IF(C2958=DATE(2026,12,1),"培训；注册午餐；机构晚餐",IF(C2958=Options!$B$9,"抵达；"&amp;IF(C2958=DATE(2026,11,28),"机构晚餐","无统一供餐"),IF(C2958=Options!$B$10,"返程；"&amp;IF(C2958=DATE(2026,12,2),"机构午餐","无统一供餐"),"差旅状态；无统一日程"))))))</f>
        <v/>
      </c>
      <c r="E2958" s="13">
        <f>IF(C2958=Options!$B$9,Options!$C$22,0)</f>
        <v/>
      </c>
      <c r="F2958" s="13">
        <f>IF(AND(A2958&lt;&gt;"",C2958&lt;Options!$B$10),B2958*Options!$X$9,0)</f>
        <v/>
      </c>
      <c r="G2958" s="13">
        <f>F2958*12%</f>
        <v/>
      </c>
      <c r="H2958" s="13">
        <f>IF(A2958="",0,B2958*(92*IF(OR(C2958=Options!$B$9,C2958=Options!$B$10),75%,100%)-IF(C2958=DATE(2026,11,29),26+IF(Options!$B$8="是",23,0),0)-IF(C2958=DATE(2026,11,30),26,0)-IF(C2958=DATE(2026,12,1),64,0)-IF(C2958=DATE(2026,11,28),38,0)-IF(C2958=DATE(2026,12,2),26,0)))</f>
        <v/>
      </c>
      <c r="I2958" s="13">
        <f>IF(AND(C2958&gt;=DATE(2026,11,29),C2958&lt;=DATE(2026,12,1)),B2958*60,0)</f>
        <v/>
      </c>
      <c r="J2958" s="13">
        <f>IF(A2958="",0,B2958*(IF(C2958=DATE(2026,11,28),38,0)+IF(C2958=DATE(2026,12,1),38,0)+IF(C2958=DATE(2026,12,2),26,0)))</f>
        <v/>
      </c>
      <c r="K2958" s="13">
        <f>IF(C2958=Options!$B$9,B2958*12,0)</f>
        <v/>
      </c>
      <c r="L2958" s="13">
        <f>IF(C2958=Options!$B$9,B2958*Options!$Z$9,0)</f>
        <v/>
      </c>
      <c r="M2958" s="13" t="n">
        <v>0</v>
      </c>
      <c r="N2958" s="13">
        <f>SUM(E2958:M2958)</f>
        <v/>
      </c>
    </row>
    <row r="2959">
      <c r="A2959" s="5">
        <f>IF(AND(C2959&gt;=Options!$B$9,C2959&lt;=Options!$B$10),"Seattle","")</f>
        <v/>
      </c>
      <c r="B2959" s="5">
        <f>IF(A2959="","",18)</f>
        <v/>
      </c>
      <c r="C2959" s="17" t="n">
        <v>46330</v>
      </c>
      <c r="D2959" s="5">
        <f>IF(A2959="","",IF(C2959=DATE(2026,11,29),"培训；注册午餐；早餐参数",IF(C2959=DATE(2026,11,30),"培训；注册午餐",IF(C2959=DATE(2026,12,1),"培训；注册午餐；机构晚餐",IF(C2959=Options!$B$9,"抵达；"&amp;IF(C2959=DATE(2026,11,28),"机构晚餐","无统一供餐"),IF(C2959=Options!$B$10,"返程；"&amp;IF(C2959=DATE(2026,12,2),"机构午餐","无统一供餐"),"差旅状态；无统一日程"))))))</f>
        <v/>
      </c>
      <c r="E2959" s="13">
        <f>IF(C2959=Options!$B$9,Options!$C$22,0)</f>
        <v/>
      </c>
      <c r="F2959" s="13">
        <f>IF(AND(A2959&lt;&gt;"",C2959&lt;Options!$B$10),B2959*Options!$X$9,0)</f>
        <v/>
      </c>
      <c r="G2959" s="13">
        <f>F2959*12%</f>
        <v/>
      </c>
      <c r="H2959" s="13">
        <f>IF(A2959="",0,B2959*(92*IF(OR(C2959=Options!$B$9,C2959=Options!$B$10),75%,100%)-IF(C2959=DATE(2026,11,29),26+IF(Options!$B$8="是",23,0),0)-IF(C2959=DATE(2026,11,30),26,0)-IF(C2959=DATE(2026,12,1),64,0)-IF(C2959=DATE(2026,11,28),38,0)-IF(C2959=DATE(2026,12,2),26,0)))</f>
        <v/>
      </c>
      <c r="I2959" s="13">
        <f>IF(AND(C2959&gt;=DATE(2026,11,29),C2959&lt;=DATE(2026,12,1)),B2959*60,0)</f>
        <v/>
      </c>
      <c r="J2959" s="13">
        <f>IF(A2959="",0,B2959*(IF(C2959=DATE(2026,11,28),38,0)+IF(C2959=DATE(2026,12,1),38,0)+IF(C2959=DATE(2026,12,2),26,0)))</f>
        <v/>
      </c>
      <c r="K2959" s="13">
        <f>IF(C2959=Options!$B$9,B2959*12,0)</f>
        <v/>
      </c>
      <c r="L2959" s="13">
        <f>IF(C2959=Options!$B$9,B2959*Options!$Z$9,0)</f>
        <v/>
      </c>
      <c r="M2959" s="13" t="n">
        <v>0</v>
      </c>
      <c r="N2959" s="13">
        <f>SUM(E2959:M2959)</f>
        <v/>
      </c>
    </row>
    <row r="2960">
      <c r="A2960" s="5">
        <f>IF(AND(C2960&gt;=Options!$B$9,C2960&lt;=Options!$B$10),"Seattle","")</f>
        <v/>
      </c>
      <c r="B2960" s="5">
        <f>IF(A2960="","",18)</f>
        <v/>
      </c>
      <c r="C2960" s="17" t="n">
        <v>46331</v>
      </c>
      <c r="D2960" s="5">
        <f>IF(A2960="","",IF(C2960=DATE(2026,11,29),"培训；注册午餐；早餐参数",IF(C2960=DATE(2026,11,30),"培训；注册午餐",IF(C2960=DATE(2026,12,1),"培训；注册午餐；机构晚餐",IF(C2960=Options!$B$9,"抵达；"&amp;IF(C2960=DATE(2026,11,28),"机构晚餐","无统一供餐"),IF(C2960=Options!$B$10,"返程；"&amp;IF(C2960=DATE(2026,12,2),"机构午餐","无统一供餐"),"差旅状态；无统一日程"))))))</f>
        <v/>
      </c>
      <c r="E2960" s="13">
        <f>IF(C2960=Options!$B$9,Options!$C$22,0)</f>
        <v/>
      </c>
      <c r="F2960" s="13">
        <f>IF(AND(A2960&lt;&gt;"",C2960&lt;Options!$B$10),B2960*Options!$X$9,0)</f>
        <v/>
      </c>
      <c r="G2960" s="13">
        <f>F2960*12%</f>
        <v/>
      </c>
      <c r="H2960" s="13">
        <f>IF(A2960="",0,B2960*(92*IF(OR(C2960=Options!$B$9,C2960=Options!$B$10),75%,100%)-IF(C2960=DATE(2026,11,29),26+IF(Options!$B$8="是",23,0),0)-IF(C2960=DATE(2026,11,30),26,0)-IF(C2960=DATE(2026,12,1),64,0)-IF(C2960=DATE(2026,11,28),38,0)-IF(C2960=DATE(2026,12,2),26,0)))</f>
        <v/>
      </c>
      <c r="I2960" s="13">
        <f>IF(AND(C2960&gt;=DATE(2026,11,29),C2960&lt;=DATE(2026,12,1)),B2960*60,0)</f>
        <v/>
      </c>
      <c r="J2960" s="13">
        <f>IF(A2960="",0,B2960*(IF(C2960=DATE(2026,11,28),38,0)+IF(C2960=DATE(2026,12,1),38,0)+IF(C2960=DATE(2026,12,2),26,0)))</f>
        <v/>
      </c>
      <c r="K2960" s="13">
        <f>IF(C2960=Options!$B$9,B2960*12,0)</f>
        <v/>
      </c>
      <c r="L2960" s="13">
        <f>IF(C2960=Options!$B$9,B2960*Options!$Z$9,0)</f>
        <v/>
      </c>
      <c r="M2960" s="13" t="n">
        <v>0</v>
      </c>
      <c r="N2960" s="13">
        <f>SUM(E2960:M2960)</f>
        <v/>
      </c>
    </row>
    <row r="2961">
      <c r="A2961" s="5">
        <f>IF(AND(C2961&gt;=Options!$B$9,C2961&lt;=Options!$B$10),"Seattle","")</f>
        <v/>
      </c>
      <c r="B2961" s="5">
        <f>IF(A2961="","",18)</f>
        <v/>
      </c>
      <c r="C2961" s="17" t="n">
        <v>46332</v>
      </c>
      <c r="D2961" s="5">
        <f>IF(A2961="","",IF(C2961=DATE(2026,11,29),"培训；注册午餐；早餐参数",IF(C2961=DATE(2026,11,30),"培训；注册午餐",IF(C2961=DATE(2026,12,1),"培训；注册午餐；机构晚餐",IF(C2961=Options!$B$9,"抵达；"&amp;IF(C2961=DATE(2026,11,28),"机构晚餐","无统一供餐"),IF(C2961=Options!$B$10,"返程；"&amp;IF(C2961=DATE(2026,12,2),"机构午餐","无统一供餐"),"差旅状态；无统一日程"))))))</f>
        <v/>
      </c>
      <c r="E2961" s="13">
        <f>IF(C2961=Options!$B$9,Options!$C$22,0)</f>
        <v/>
      </c>
      <c r="F2961" s="13">
        <f>IF(AND(A2961&lt;&gt;"",C2961&lt;Options!$B$10),B2961*Options!$X$9,0)</f>
        <v/>
      </c>
      <c r="G2961" s="13">
        <f>F2961*12%</f>
        <v/>
      </c>
      <c r="H2961" s="13">
        <f>IF(A2961="",0,B2961*(92*IF(OR(C2961=Options!$B$9,C2961=Options!$B$10),75%,100%)-IF(C2961=DATE(2026,11,29),26+IF(Options!$B$8="是",23,0),0)-IF(C2961=DATE(2026,11,30),26,0)-IF(C2961=DATE(2026,12,1),64,0)-IF(C2961=DATE(2026,11,28),38,0)-IF(C2961=DATE(2026,12,2),26,0)))</f>
        <v/>
      </c>
      <c r="I2961" s="13">
        <f>IF(AND(C2961&gt;=DATE(2026,11,29),C2961&lt;=DATE(2026,12,1)),B2961*60,0)</f>
        <v/>
      </c>
      <c r="J2961" s="13">
        <f>IF(A2961="",0,B2961*(IF(C2961=DATE(2026,11,28),38,0)+IF(C2961=DATE(2026,12,1),38,0)+IF(C2961=DATE(2026,12,2),26,0)))</f>
        <v/>
      </c>
      <c r="K2961" s="13">
        <f>IF(C2961=Options!$B$9,B2961*12,0)</f>
        <v/>
      </c>
      <c r="L2961" s="13">
        <f>IF(C2961=Options!$B$9,B2961*Options!$Z$9,0)</f>
        <v/>
      </c>
      <c r="M2961" s="13" t="n">
        <v>0</v>
      </c>
      <c r="N2961" s="13">
        <f>SUM(E2961:M2961)</f>
        <v/>
      </c>
    </row>
    <row r="2962">
      <c r="A2962" s="5">
        <f>IF(AND(C2962&gt;=Options!$B$9,C2962&lt;=Options!$B$10),"Seattle","")</f>
        <v/>
      </c>
      <c r="B2962" s="5">
        <f>IF(A2962="","",18)</f>
        <v/>
      </c>
      <c r="C2962" s="17" t="n">
        <v>46333</v>
      </c>
      <c r="D2962" s="5">
        <f>IF(A2962="","",IF(C2962=DATE(2026,11,29),"培训；注册午餐；早餐参数",IF(C2962=DATE(2026,11,30),"培训；注册午餐",IF(C2962=DATE(2026,12,1),"培训；注册午餐；机构晚餐",IF(C2962=Options!$B$9,"抵达；"&amp;IF(C2962=DATE(2026,11,28),"机构晚餐","无统一供餐"),IF(C2962=Options!$B$10,"返程；"&amp;IF(C2962=DATE(2026,12,2),"机构午餐","无统一供餐"),"差旅状态；无统一日程"))))))</f>
        <v/>
      </c>
      <c r="E2962" s="13">
        <f>IF(C2962=Options!$B$9,Options!$C$22,0)</f>
        <v/>
      </c>
      <c r="F2962" s="13">
        <f>IF(AND(A2962&lt;&gt;"",C2962&lt;Options!$B$10),B2962*Options!$X$9,0)</f>
        <v/>
      </c>
      <c r="G2962" s="13">
        <f>F2962*12%</f>
        <v/>
      </c>
      <c r="H2962" s="13">
        <f>IF(A2962="",0,B2962*(92*IF(OR(C2962=Options!$B$9,C2962=Options!$B$10),75%,100%)-IF(C2962=DATE(2026,11,29),26+IF(Options!$B$8="是",23,0),0)-IF(C2962=DATE(2026,11,30),26,0)-IF(C2962=DATE(2026,12,1),64,0)-IF(C2962=DATE(2026,11,28),38,0)-IF(C2962=DATE(2026,12,2),26,0)))</f>
        <v/>
      </c>
      <c r="I2962" s="13">
        <f>IF(AND(C2962&gt;=DATE(2026,11,29),C2962&lt;=DATE(2026,12,1)),B2962*60,0)</f>
        <v/>
      </c>
      <c r="J2962" s="13">
        <f>IF(A2962="",0,B2962*(IF(C2962=DATE(2026,11,28),38,0)+IF(C2962=DATE(2026,12,1),38,0)+IF(C2962=DATE(2026,12,2),26,0)))</f>
        <v/>
      </c>
      <c r="K2962" s="13">
        <f>IF(C2962=Options!$B$9,B2962*12,0)</f>
        <v/>
      </c>
      <c r="L2962" s="13">
        <f>IF(C2962=Options!$B$9,B2962*Options!$Z$9,0)</f>
        <v/>
      </c>
      <c r="M2962" s="13" t="n">
        <v>0</v>
      </c>
      <c r="N2962" s="13">
        <f>SUM(E2962:M2962)</f>
        <v/>
      </c>
    </row>
    <row r="2963">
      <c r="A2963" s="5">
        <f>IF(AND(C2963&gt;=Options!$B$9,C2963&lt;=Options!$B$10),"Seattle","")</f>
        <v/>
      </c>
      <c r="B2963" s="5">
        <f>IF(A2963="","",18)</f>
        <v/>
      </c>
      <c r="C2963" s="17" t="n">
        <v>46334</v>
      </c>
      <c r="D2963" s="5">
        <f>IF(A2963="","",IF(C2963=DATE(2026,11,29),"培训；注册午餐；早餐参数",IF(C2963=DATE(2026,11,30),"培训；注册午餐",IF(C2963=DATE(2026,12,1),"培训；注册午餐；机构晚餐",IF(C2963=Options!$B$9,"抵达；"&amp;IF(C2963=DATE(2026,11,28),"机构晚餐","无统一供餐"),IF(C2963=Options!$B$10,"返程；"&amp;IF(C2963=DATE(2026,12,2),"机构午餐","无统一供餐"),"差旅状态；无统一日程"))))))</f>
        <v/>
      </c>
      <c r="E2963" s="13">
        <f>IF(C2963=Options!$B$9,Options!$C$22,0)</f>
        <v/>
      </c>
      <c r="F2963" s="13">
        <f>IF(AND(A2963&lt;&gt;"",C2963&lt;Options!$B$10),B2963*Options!$X$9,0)</f>
        <v/>
      </c>
      <c r="G2963" s="13">
        <f>F2963*12%</f>
        <v/>
      </c>
      <c r="H2963" s="13">
        <f>IF(A2963="",0,B2963*(92*IF(OR(C2963=Options!$B$9,C2963=Options!$B$10),75%,100%)-IF(C2963=DATE(2026,11,29),26+IF(Options!$B$8="是",23,0),0)-IF(C2963=DATE(2026,11,30),26,0)-IF(C2963=DATE(2026,12,1),64,0)-IF(C2963=DATE(2026,11,28),38,0)-IF(C2963=DATE(2026,12,2),26,0)))</f>
        <v/>
      </c>
      <c r="I2963" s="13">
        <f>IF(AND(C2963&gt;=DATE(2026,11,29),C2963&lt;=DATE(2026,12,1)),B2963*60,0)</f>
        <v/>
      </c>
      <c r="J2963" s="13">
        <f>IF(A2963="",0,B2963*(IF(C2963=DATE(2026,11,28),38,0)+IF(C2963=DATE(2026,12,1),38,0)+IF(C2963=DATE(2026,12,2),26,0)))</f>
        <v/>
      </c>
      <c r="K2963" s="13">
        <f>IF(C2963=Options!$B$9,B2963*12,0)</f>
        <v/>
      </c>
      <c r="L2963" s="13">
        <f>IF(C2963=Options!$B$9,B2963*Options!$Z$9,0)</f>
        <v/>
      </c>
      <c r="M2963" s="13" t="n">
        <v>0</v>
      </c>
      <c r="N2963" s="13">
        <f>SUM(E2963:M2963)</f>
        <v/>
      </c>
    </row>
    <row r="2964">
      <c r="A2964" s="5">
        <f>IF(AND(C2964&gt;=Options!$B$9,C2964&lt;=Options!$B$10),"Seattle","")</f>
        <v/>
      </c>
      <c r="B2964" s="5">
        <f>IF(A2964="","",18)</f>
        <v/>
      </c>
      <c r="C2964" s="17" t="n">
        <v>46335</v>
      </c>
      <c r="D2964" s="5">
        <f>IF(A2964="","",IF(C2964=DATE(2026,11,29),"培训；注册午餐；早餐参数",IF(C2964=DATE(2026,11,30),"培训；注册午餐",IF(C2964=DATE(2026,12,1),"培训；注册午餐；机构晚餐",IF(C2964=Options!$B$9,"抵达；"&amp;IF(C2964=DATE(2026,11,28),"机构晚餐","无统一供餐"),IF(C2964=Options!$B$10,"返程；"&amp;IF(C2964=DATE(2026,12,2),"机构午餐","无统一供餐"),"差旅状态；无统一日程"))))))</f>
        <v/>
      </c>
      <c r="E2964" s="13">
        <f>IF(C2964=Options!$B$9,Options!$C$22,0)</f>
        <v/>
      </c>
      <c r="F2964" s="13">
        <f>IF(AND(A2964&lt;&gt;"",C2964&lt;Options!$B$10),B2964*Options!$X$9,0)</f>
        <v/>
      </c>
      <c r="G2964" s="13">
        <f>F2964*12%</f>
        <v/>
      </c>
      <c r="H2964" s="13">
        <f>IF(A2964="",0,B2964*(92*IF(OR(C2964=Options!$B$9,C2964=Options!$B$10),75%,100%)-IF(C2964=DATE(2026,11,29),26+IF(Options!$B$8="是",23,0),0)-IF(C2964=DATE(2026,11,30),26,0)-IF(C2964=DATE(2026,12,1),64,0)-IF(C2964=DATE(2026,11,28),38,0)-IF(C2964=DATE(2026,12,2),26,0)))</f>
        <v/>
      </c>
      <c r="I2964" s="13">
        <f>IF(AND(C2964&gt;=DATE(2026,11,29),C2964&lt;=DATE(2026,12,1)),B2964*60,0)</f>
        <v/>
      </c>
      <c r="J2964" s="13">
        <f>IF(A2964="",0,B2964*(IF(C2964=DATE(2026,11,28),38,0)+IF(C2964=DATE(2026,12,1),38,0)+IF(C2964=DATE(2026,12,2),26,0)))</f>
        <v/>
      </c>
      <c r="K2964" s="13">
        <f>IF(C2964=Options!$B$9,B2964*12,0)</f>
        <v/>
      </c>
      <c r="L2964" s="13">
        <f>IF(C2964=Options!$B$9,B2964*Options!$Z$9,0)</f>
        <v/>
      </c>
      <c r="M2964" s="13" t="n">
        <v>0</v>
      </c>
      <c r="N2964" s="13">
        <f>SUM(E2964:M2964)</f>
        <v/>
      </c>
    </row>
    <row r="2965">
      <c r="A2965" s="5">
        <f>IF(AND(C2965&gt;=Options!$B$9,C2965&lt;=Options!$B$10),"Seattle","")</f>
        <v/>
      </c>
      <c r="B2965" s="5">
        <f>IF(A2965="","",18)</f>
        <v/>
      </c>
      <c r="C2965" s="17" t="n">
        <v>46336</v>
      </c>
      <c r="D2965" s="5">
        <f>IF(A2965="","",IF(C2965=DATE(2026,11,29),"培训；注册午餐；早餐参数",IF(C2965=DATE(2026,11,30),"培训；注册午餐",IF(C2965=DATE(2026,12,1),"培训；注册午餐；机构晚餐",IF(C2965=Options!$B$9,"抵达；"&amp;IF(C2965=DATE(2026,11,28),"机构晚餐","无统一供餐"),IF(C2965=Options!$B$10,"返程；"&amp;IF(C2965=DATE(2026,12,2),"机构午餐","无统一供餐"),"差旅状态；无统一日程"))))))</f>
        <v/>
      </c>
      <c r="E2965" s="13">
        <f>IF(C2965=Options!$B$9,Options!$C$22,0)</f>
        <v/>
      </c>
      <c r="F2965" s="13">
        <f>IF(AND(A2965&lt;&gt;"",C2965&lt;Options!$B$10),B2965*Options!$X$9,0)</f>
        <v/>
      </c>
      <c r="G2965" s="13">
        <f>F2965*12%</f>
        <v/>
      </c>
      <c r="H2965" s="13">
        <f>IF(A2965="",0,B2965*(92*IF(OR(C2965=Options!$B$9,C2965=Options!$B$10),75%,100%)-IF(C2965=DATE(2026,11,29),26+IF(Options!$B$8="是",23,0),0)-IF(C2965=DATE(2026,11,30),26,0)-IF(C2965=DATE(2026,12,1),64,0)-IF(C2965=DATE(2026,11,28),38,0)-IF(C2965=DATE(2026,12,2),26,0)))</f>
        <v/>
      </c>
      <c r="I2965" s="13">
        <f>IF(AND(C2965&gt;=DATE(2026,11,29),C2965&lt;=DATE(2026,12,1)),B2965*60,0)</f>
        <v/>
      </c>
      <c r="J2965" s="13">
        <f>IF(A2965="",0,B2965*(IF(C2965=DATE(2026,11,28),38,0)+IF(C2965=DATE(2026,12,1),38,0)+IF(C2965=DATE(2026,12,2),26,0)))</f>
        <v/>
      </c>
      <c r="K2965" s="13">
        <f>IF(C2965=Options!$B$9,B2965*12,0)</f>
        <v/>
      </c>
      <c r="L2965" s="13">
        <f>IF(C2965=Options!$B$9,B2965*Options!$Z$9,0)</f>
        <v/>
      </c>
      <c r="M2965" s="13" t="n">
        <v>0</v>
      </c>
      <c r="N2965" s="13">
        <f>SUM(E2965:M2965)</f>
        <v/>
      </c>
    </row>
    <row r="2966">
      <c r="A2966" s="5">
        <f>IF(AND(C2966&gt;=Options!$B$9,C2966&lt;=Options!$B$10),"Seattle","")</f>
        <v/>
      </c>
      <c r="B2966" s="5">
        <f>IF(A2966="","",18)</f>
        <v/>
      </c>
      <c r="C2966" s="17" t="n">
        <v>46337</v>
      </c>
      <c r="D2966" s="5">
        <f>IF(A2966="","",IF(C2966=DATE(2026,11,29),"培训；注册午餐；早餐参数",IF(C2966=DATE(2026,11,30),"培训；注册午餐",IF(C2966=DATE(2026,12,1),"培训；注册午餐；机构晚餐",IF(C2966=Options!$B$9,"抵达；"&amp;IF(C2966=DATE(2026,11,28),"机构晚餐","无统一供餐"),IF(C2966=Options!$B$10,"返程；"&amp;IF(C2966=DATE(2026,12,2),"机构午餐","无统一供餐"),"差旅状态；无统一日程"))))))</f>
        <v/>
      </c>
      <c r="E2966" s="13">
        <f>IF(C2966=Options!$B$9,Options!$C$22,0)</f>
        <v/>
      </c>
      <c r="F2966" s="13">
        <f>IF(AND(A2966&lt;&gt;"",C2966&lt;Options!$B$10),B2966*Options!$X$9,0)</f>
        <v/>
      </c>
      <c r="G2966" s="13">
        <f>F2966*12%</f>
        <v/>
      </c>
      <c r="H2966" s="13">
        <f>IF(A2966="",0,B2966*(92*IF(OR(C2966=Options!$B$9,C2966=Options!$B$10),75%,100%)-IF(C2966=DATE(2026,11,29),26+IF(Options!$B$8="是",23,0),0)-IF(C2966=DATE(2026,11,30),26,0)-IF(C2966=DATE(2026,12,1),64,0)-IF(C2966=DATE(2026,11,28),38,0)-IF(C2966=DATE(2026,12,2),26,0)))</f>
        <v/>
      </c>
      <c r="I2966" s="13">
        <f>IF(AND(C2966&gt;=DATE(2026,11,29),C2966&lt;=DATE(2026,12,1)),B2966*60,0)</f>
        <v/>
      </c>
      <c r="J2966" s="13">
        <f>IF(A2966="",0,B2966*(IF(C2966=DATE(2026,11,28),38,0)+IF(C2966=DATE(2026,12,1),38,0)+IF(C2966=DATE(2026,12,2),26,0)))</f>
        <v/>
      </c>
      <c r="K2966" s="13">
        <f>IF(C2966=Options!$B$9,B2966*12,0)</f>
        <v/>
      </c>
      <c r="L2966" s="13">
        <f>IF(C2966=Options!$B$9,B2966*Options!$Z$9,0)</f>
        <v/>
      </c>
      <c r="M2966" s="13" t="n">
        <v>0</v>
      </c>
      <c r="N2966" s="13">
        <f>SUM(E2966:M2966)</f>
        <v/>
      </c>
    </row>
    <row r="2967">
      <c r="A2967" s="5">
        <f>IF(AND(C2967&gt;=Options!$B$9,C2967&lt;=Options!$B$10),"Seattle","")</f>
        <v/>
      </c>
      <c r="B2967" s="5">
        <f>IF(A2967="","",18)</f>
        <v/>
      </c>
      <c r="C2967" s="17" t="n">
        <v>46338</v>
      </c>
      <c r="D2967" s="5">
        <f>IF(A2967="","",IF(C2967=DATE(2026,11,29),"培训；注册午餐；早餐参数",IF(C2967=DATE(2026,11,30),"培训；注册午餐",IF(C2967=DATE(2026,12,1),"培训；注册午餐；机构晚餐",IF(C2967=Options!$B$9,"抵达；"&amp;IF(C2967=DATE(2026,11,28),"机构晚餐","无统一供餐"),IF(C2967=Options!$B$10,"返程；"&amp;IF(C2967=DATE(2026,12,2),"机构午餐","无统一供餐"),"差旅状态；无统一日程"))))))</f>
        <v/>
      </c>
      <c r="E2967" s="13">
        <f>IF(C2967=Options!$B$9,Options!$C$22,0)</f>
        <v/>
      </c>
      <c r="F2967" s="13">
        <f>IF(AND(A2967&lt;&gt;"",C2967&lt;Options!$B$10),B2967*Options!$X$9,0)</f>
        <v/>
      </c>
      <c r="G2967" s="13">
        <f>F2967*12%</f>
        <v/>
      </c>
      <c r="H2967" s="13">
        <f>IF(A2967="",0,B2967*(92*IF(OR(C2967=Options!$B$9,C2967=Options!$B$10),75%,100%)-IF(C2967=DATE(2026,11,29),26+IF(Options!$B$8="是",23,0),0)-IF(C2967=DATE(2026,11,30),26,0)-IF(C2967=DATE(2026,12,1),64,0)-IF(C2967=DATE(2026,11,28),38,0)-IF(C2967=DATE(2026,12,2),26,0)))</f>
        <v/>
      </c>
      <c r="I2967" s="13">
        <f>IF(AND(C2967&gt;=DATE(2026,11,29),C2967&lt;=DATE(2026,12,1)),B2967*60,0)</f>
        <v/>
      </c>
      <c r="J2967" s="13">
        <f>IF(A2967="",0,B2967*(IF(C2967=DATE(2026,11,28),38,0)+IF(C2967=DATE(2026,12,1),38,0)+IF(C2967=DATE(2026,12,2),26,0)))</f>
        <v/>
      </c>
      <c r="K2967" s="13">
        <f>IF(C2967=Options!$B$9,B2967*12,0)</f>
        <v/>
      </c>
      <c r="L2967" s="13">
        <f>IF(C2967=Options!$B$9,B2967*Options!$Z$9,0)</f>
        <v/>
      </c>
      <c r="M2967" s="13" t="n">
        <v>0</v>
      </c>
      <c r="N2967" s="13">
        <f>SUM(E2967:M2967)</f>
        <v/>
      </c>
    </row>
    <row r="2968">
      <c r="A2968" s="5">
        <f>IF(AND(C2968&gt;=Options!$B$9,C2968&lt;=Options!$B$10),"Seattle","")</f>
        <v/>
      </c>
      <c r="B2968" s="5">
        <f>IF(A2968="","",18)</f>
        <v/>
      </c>
      <c r="C2968" s="17" t="n">
        <v>46339</v>
      </c>
      <c r="D2968" s="5">
        <f>IF(A2968="","",IF(C2968=DATE(2026,11,29),"培训；注册午餐；早餐参数",IF(C2968=DATE(2026,11,30),"培训；注册午餐",IF(C2968=DATE(2026,12,1),"培训；注册午餐；机构晚餐",IF(C2968=Options!$B$9,"抵达；"&amp;IF(C2968=DATE(2026,11,28),"机构晚餐","无统一供餐"),IF(C2968=Options!$B$10,"返程；"&amp;IF(C2968=DATE(2026,12,2),"机构午餐","无统一供餐"),"差旅状态；无统一日程"))))))</f>
        <v/>
      </c>
      <c r="E2968" s="13">
        <f>IF(C2968=Options!$B$9,Options!$C$22,0)</f>
        <v/>
      </c>
      <c r="F2968" s="13">
        <f>IF(AND(A2968&lt;&gt;"",C2968&lt;Options!$B$10),B2968*Options!$X$9,0)</f>
        <v/>
      </c>
      <c r="G2968" s="13">
        <f>F2968*12%</f>
        <v/>
      </c>
      <c r="H2968" s="13">
        <f>IF(A2968="",0,B2968*(92*IF(OR(C2968=Options!$B$9,C2968=Options!$B$10),75%,100%)-IF(C2968=DATE(2026,11,29),26+IF(Options!$B$8="是",23,0),0)-IF(C2968=DATE(2026,11,30),26,0)-IF(C2968=DATE(2026,12,1),64,0)-IF(C2968=DATE(2026,11,28),38,0)-IF(C2968=DATE(2026,12,2),26,0)))</f>
        <v/>
      </c>
      <c r="I2968" s="13">
        <f>IF(AND(C2968&gt;=DATE(2026,11,29),C2968&lt;=DATE(2026,12,1)),B2968*60,0)</f>
        <v/>
      </c>
      <c r="J2968" s="13">
        <f>IF(A2968="",0,B2968*(IF(C2968=DATE(2026,11,28),38,0)+IF(C2968=DATE(2026,12,1),38,0)+IF(C2968=DATE(2026,12,2),26,0)))</f>
        <v/>
      </c>
      <c r="K2968" s="13">
        <f>IF(C2968=Options!$B$9,B2968*12,0)</f>
        <v/>
      </c>
      <c r="L2968" s="13">
        <f>IF(C2968=Options!$B$9,B2968*Options!$Z$9,0)</f>
        <v/>
      </c>
      <c r="M2968" s="13" t="n">
        <v>0</v>
      </c>
      <c r="N2968" s="13">
        <f>SUM(E2968:M2968)</f>
        <v/>
      </c>
    </row>
    <row r="2969">
      <c r="A2969" s="5">
        <f>IF(AND(C2969&gt;=Options!$B$9,C2969&lt;=Options!$B$10),"Seattle","")</f>
        <v/>
      </c>
      <c r="B2969" s="5">
        <f>IF(A2969="","",18)</f>
        <v/>
      </c>
      <c r="C2969" s="17" t="n">
        <v>46340</v>
      </c>
      <c r="D2969" s="5">
        <f>IF(A2969="","",IF(C2969=DATE(2026,11,29),"培训；注册午餐；早餐参数",IF(C2969=DATE(2026,11,30),"培训；注册午餐",IF(C2969=DATE(2026,12,1),"培训；注册午餐；机构晚餐",IF(C2969=Options!$B$9,"抵达；"&amp;IF(C2969=DATE(2026,11,28),"机构晚餐","无统一供餐"),IF(C2969=Options!$B$10,"返程；"&amp;IF(C2969=DATE(2026,12,2),"机构午餐","无统一供餐"),"差旅状态；无统一日程"))))))</f>
        <v/>
      </c>
      <c r="E2969" s="13">
        <f>IF(C2969=Options!$B$9,Options!$C$22,0)</f>
        <v/>
      </c>
      <c r="F2969" s="13">
        <f>IF(AND(A2969&lt;&gt;"",C2969&lt;Options!$B$10),B2969*Options!$X$9,0)</f>
        <v/>
      </c>
      <c r="G2969" s="13">
        <f>F2969*12%</f>
        <v/>
      </c>
      <c r="H2969" s="13">
        <f>IF(A2969="",0,B2969*(92*IF(OR(C2969=Options!$B$9,C2969=Options!$B$10),75%,100%)-IF(C2969=DATE(2026,11,29),26+IF(Options!$B$8="是",23,0),0)-IF(C2969=DATE(2026,11,30),26,0)-IF(C2969=DATE(2026,12,1),64,0)-IF(C2969=DATE(2026,11,28),38,0)-IF(C2969=DATE(2026,12,2),26,0)))</f>
        <v/>
      </c>
      <c r="I2969" s="13">
        <f>IF(AND(C2969&gt;=DATE(2026,11,29),C2969&lt;=DATE(2026,12,1)),B2969*60,0)</f>
        <v/>
      </c>
      <c r="J2969" s="13">
        <f>IF(A2969="",0,B2969*(IF(C2969=DATE(2026,11,28),38,0)+IF(C2969=DATE(2026,12,1),38,0)+IF(C2969=DATE(2026,12,2),26,0)))</f>
        <v/>
      </c>
      <c r="K2969" s="13">
        <f>IF(C2969=Options!$B$9,B2969*12,0)</f>
        <v/>
      </c>
      <c r="L2969" s="13">
        <f>IF(C2969=Options!$B$9,B2969*Options!$Z$9,0)</f>
        <v/>
      </c>
      <c r="M2969" s="13" t="n">
        <v>0</v>
      </c>
      <c r="N2969" s="13">
        <f>SUM(E2969:M2969)</f>
        <v/>
      </c>
    </row>
    <row r="2970">
      <c r="A2970" s="5">
        <f>IF(AND(C2970&gt;=Options!$B$9,C2970&lt;=Options!$B$10),"Seattle","")</f>
        <v/>
      </c>
      <c r="B2970" s="5">
        <f>IF(A2970="","",18)</f>
        <v/>
      </c>
      <c r="C2970" s="17" t="n">
        <v>46341</v>
      </c>
      <c r="D2970" s="5">
        <f>IF(A2970="","",IF(C2970=DATE(2026,11,29),"培训；注册午餐；早餐参数",IF(C2970=DATE(2026,11,30),"培训；注册午餐",IF(C2970=DATE(2026,12,1),"培训；注册午餐；机构晚餐",IF(C2970=Options!$B$9,"抵达；"&amp;IF(C2970=DATE(2026,11,28),"机构晚餐","无统一供餐"),IF(C2970=Options!$B$10,"返程；"&amp;IF(C2970=DATE(2026,12,2),"机构午餐","无统一供餐"),"差旅状态；无统一日程"))))))</f>
        <v/>
      </c>
      <c r="E2970" s="13">
        <f>IF(C2970=Options!$B$9,Options!$C$22,0)</f>
        <v/>
      </c>
      <c r="F2970" s="13">
        <f>IF(AND(A2970&lt;&gt;"",C2970&lt;Options!$B$10),B2970*Options!$X$9,0)</f>
        <v/>
      </c>
      <c r="G2970" s="13">
        <f>F2970*12%</f>
        <v/>
      </c>
      <c r="H2970" s="13">
        <f>IF(A2970="",0,B2970*(92*IF(OR(C2970=Options!$B$9,C2970=Options!$B$10),75%,100%)-IF(C2970=DATE(2026,11,29),26+IF(Options!$B$8="是",23,0),0)-IF(C2970=DATE(2026,11,30),26,0)-IF(C2970=DATE(2026,12,1),64,0)-IF(C2970=DATE(2026,11,28),38,0)-IF(C2970=DATE(2026,12,2),26,0)))</f>
        <v/>
      </c>
      <c r="I2970" s="13">
        <f>IF(AND(C2970&gt;=DATE(2026,11,29),C2970&lt;=DATE(2026,12,1)),B2970*60,0)</f>
        <v/>
      </c>
      <c r="J2970" s="13">
        <f>IF(A2970="",0,B2970*(IF(C2970=DATE(2026,11,28),38,0)+IF(C2970=DATE(2026,12,1),38,0)+IF(C2970=DATE(2026,12,2),26,0)))</f>
        <v/>
      </c>
      <c r="K2970" s="13">
        <f>IF(C2970=Options!$B$9,B2970*12,0)</f>
        <v/>
      </c>
      <c r="L2970" s="13">
        <f>IF(C2970=Options!$B$9,B2970*Options!$Z$9,0)</f>
        <v/>
      </c>
      <c r="M2970" s="13" t="n">
        <v>0</v>
      </c>
      <c r="N2970" s="13">
        <f>SUM(E2970:M2970)</f>
        <v/>
      </c>
    </row>
    <row r="2971">
      <c r="A2971" s="5">
        <f>IF(AND(C2971&gt;=Options!$B$9,C2971&lt;=Options!$B$10),"Seattle","")</f>
        <v/>
      </c>
      <c r="B2971" s="5">
        <f>IF(A2971="","",18)</f>
        <v/>
      </c>
      <c r="C2971" s="17" t="n">
        <v>46342</v>
      </c>
      <c r="D2971" s="5">
        <f>IF(A2971="","",IF(C2971=DATE(2026,11,29),"培训；注册午餐；早餐参数",IF(C2971=DATE(2026,11,30),"培训；注册午餐",IF(C2971=DATE(2026,12,1),"培训；注册午餐；机构晚餐",IF(C2971=Options!$B$9,"抵达；"&amp;IF(C2971=DATE(2026,11,28),"机构晚餐","无统一供餐"),IF(C2971=Options!$B$10,"返程；"&amp;IF(C2971=DATE(2026,12,2),"机构午餐","无统一供餐"),"差旅状态；无统一日程"))))))</f>
        <v/>
      </c>
      <c r="E2971" s="13">
        <f>IF(C2971=Options!$B$9,Options!$C$22,0)</f>
        <v/>
      </c>
      <c r="F2971" s="13">
        <f>IF(AND(A2971&lt;&gt;"",C2971&lt;Options!$B$10),B2971*Options!$X$9,0)</f>
        <v/>
      </c>
      <c r="G2971" s="13">
        <f>F2971*12%</f>
        <v/>
      </c>
      <c r="H2971" s="13">
        <f>IF(A2971="",0,B2971*(92*IF(OR(C2971=Options!$B$9,C2971=Options!$B$10),75%,100%)-IF(C2971=DATE(2026,11,29),26+IF(Options!$B$8="是",23,0),0)-IF(C2971=DATE(2026,11,30),26,0)-IF(C2971=DATE(2026,12,1),64,0)-IF(C2971=DATE(2026,11,28),38,0)-IF(C2971=DATE(2026,12,2),26,0)))</f>
        <v/>
      </c>
      <c r="I2971" s="13">
        <f>IF(AND(C2971&gt;=DATE(2026,11,29),C2971&lt;=DATE(2026,12,1)),B2971*60,0)</f>
        <v/>
      </c>
      <c r="J2971" s="13">
        <f>IF(A2971="",0,B2971*(IF(C2971=DATE(2026,11,28),38,0)+IF(C2971=DATE(2026,12,1),38,0)+IF(C2971=DATE(2026,12,2),26,0)))</f>
        <v/>
      </c>
      <c r="K2971" s="13">
        <f>IF(C2971=Options!$B$9,B2971*12,0)</f>
        <v/>
      </c>
      <c r="L2971" s="13">
        <f>IF(C2971=Options!$B$9,B2971*Options!$Z$9,0)</f>
        <v/>
      </c>
      <c r="M2971" s="13" t="n">
        <v>0</v>
      </c>
      <c r="N2971" s="13">
        <f>SUM(E2971:M2971)</f>
        <v/>
      </c>
    </row>
    <row r="2972">
      <c r="A2972" s="5">
        <f>IF(AND(C2972&gt;=Options!$B$9,C2972&lt;=Options!$B$10),"Seattle","")</f>
        <v/>
      </c>
      <c r="B2972" s="5">
        <f>IF(A2972="","",18)</f>
        <v/>
      </c>
      <c r="C2972" s="17" t="n">
        <v>46343</v>
      </c>
      <c r="D2972" s="5">
        <f>IF(A2972="","",IF(C2972=DATE(2026,11,29),"培训；注册午餐；早餐参数",IF(C2972=DATE(2026,11,30),"培训；注册午餐",IF(C2972=DATE(2026,12,1),"培训；注册午餐；机构晚餐",IF(C2972=Options!$B$9,"抵达；"&amp;IF(C2972=DATE(2026,11,28),"机构晚餐","无统一供餐"),IF(C2972=Options!$B$10,"返程；"&amp;IF(C2972=DATE(2026,12,2),"机构午餐","无统一供餐"),"差旅状态；无统一日程"))))))</f>
        <v/>
      </c>
      <c r="E2972" s="13">
        <f>IF(C2972=Options!$B$9,Options!$C$22,0)</f>
        <v/>
      </c>
      <c r="F2972" s="13">
        <f>IF(AND(A2972&lt;&gt;"",C2972&lt;Options!$B$10),B2972*Options!$X$9,0)</f>
        <v/>
      </c>
      <c r="G2972" s="13">
        <f>F2972*12%</f>
        <v/>
      </c>
      <c r="H2972" s="13">
        <f>IF(A2972="",0,B2972*(92*IF(OR(C2972=Options!$B$9,C2972=Options!$B$10),75%,100%)-IF(C2972=DATE(2026,11,29),26+IF(Options!$B$8="是",23,0),0)-IF(C2972=DATE(2026,11,30),26,0)-IF(C2972=DATE(2026,12,1),64,0)-IF(C2972=DATE(2026,11,28),38,0)-IF(C2972=DATE(2026,12,2),26,0)))</f>
        <v/>
      </c>
      <c r="I2972" s="13">
        <f>IF(AND(C2972&gt;=DATE(2026,11,29),C2972&lt;=DATE(2026,12,1)),B2972*60,0)</f>
        <v/>
      </c>
      <c r="J2972" s="13">
        <f>IF(A2972="",0,B2972*(IF(C2972=DATE(2026,11,28),38,0)+IF(C2972=DATE(2026,12,1),38,0)+IF(C2972=DATE(2026,12,2),26,0)))</f>
        <v/>
      </c>
      <c r="K2972" s="13">
        <f>IF(C2972=Options!$B$9,B2972*12,0)</f>
        <v/>
      </c>
      <c r="L2972" s="13">
        <f>IF(C2972=Options!$B$9,B2972*Options!$Z$9,0)</f>
        <v/>
      </c>
      <c r="M2972" s="13" t="n">
        <v>0</v>
      </c>
      <c r="N2972" s="13">
        <f>SUM(E2972:M2972)</f>
        <v/>
      </c>
    </row>
    <row r="2973">
      <c r="A2973" s="5">
        <f>IF(AND(C2973&gt;=Options!$B$9,C2973&lt;=Options!$B$10),"Seattle","")</f>
        <v/>
      </c>
      <c r="B2973" s="5">
        <f>IF(A2973="","",18)</f>
        <v/>
      </c>
      <c r="C2973" s="17" t="n">
        <v>46344</v>
      </c>
      <c r="D2973" s="5">
        <f>IF(A2973="","",IF(C2973=DATE(2026,11,29),"培训；注册午餐；早餐参数",IF(C2973=DATE(2026,11,30),"培训；注册午餐",IF(C2973=DATE(2026,12,1),"培训；注册午餐；机构晚餐",IF(C2973=Options!$B$9,"抵达；"&amp;IF(C2973=DATE(2026,11,28),"机构晚餐","无统一供餐"),IF(C2973=Options!$B$10,"返程；"&amp;IF(C2973=DATE(2026,12,2),"机构午餐","无统一供餐"),"差旅状态；无统一日程"))))))</f>
        <v/>
      </c>
      <c r="E2973" s="13">
        <f>IF(C2973=Options!$B$9,Options!$C$22,0)</f>
        <v/>
      </c>
      <c r="F2973" s="13">
        <f>IF(AND(A2973&lt;&gt;"",C2973&lt;Options!$B$10),B2973*Options!$X$9,0)</f>
        <v/>
      </c>
      <c r="G2973" s="13">
        <f>F2973*12%</f>
        <v/>
      </c>
      <c r="H2973" s="13">
        <f>IF(A2973="",0,B2973*(92*IF(OR(C2973=Options!$B$9,C2973=Options!$B$10),75%,100%)-IF(C2973=DATE(2026,11,29),26+IF(Options!$B$8="是",23,0),0)-IF(C2973=DATE(2026,11,30),26,0)-IF(C2973=DATE(2026,12,1),64,0)-IF(C2973=DATE(2026,11,28),38,0)-IF(C2973=DATE(2026,12,2),26,0)))</f>
        <v/>
      </c>
      <c r="I2973" s="13">
        <f>IF(AND(C2973&gt;=DATE(2026,11,29),C2973&lt;=DATE(2026,12,1)),B2973*60,0)</f>
        <v/>
      </c>
      <c r="J2973" s="13">
        <f>IF(A2973="",0,B2973*(IF(C2973=DATE(2026,11,28),38,0)+IF(C2973=DATE(2026,12,1),38,0)+IF(C2973=DATE(2026,12,2),26,0)))</f>
        <v/>
      </c>
      <c r="K2973" s="13">
        <f>IF(C2973=Options!$B$9,B2973*12,0)</f>
        <v/>
      </c>
      <c r="L2973" s="13">
        <f>IF(C2973=Options!$B$9,B2973*Options!$Z$9,0)</f>
        <v/>
      </c>
      <c r="M2973" s="13" t="n">
        <v>0</v>
      </c>
      <c r="N2973" s="13">
        <f>SUM(E2973:M2973)</f>
        <v/>
      </c>
    </row>
    <row r="2974">
      <c r="A2974" s="5">
        <f>IF(AND(C2974&gt;=Options!$B$9,C2974&lt;=Options!$B$10),"Seattle","")</f>
        <v/>
      </c>
      <c r="B2974" s="5">
        <f>IF(A2974="","",18)</f>
        <v/>
      </c>
      <c r="C2974" s="17" t="n">
        <v>46345</v>
      </c>
      <c r="D2974" s="5">
        <f>IF(A2974="","",IF(C2974=DATE(2026,11,29),"培训；注册午餐；早餐参数",IF(C2974=DATE(2026,11,30),"培训；注册午餐",IF(C2974=DATE(2026,12,1),"培训；注册午餐；机构晚餐",IF(C2974=Options!$B$9,"抵达；"&amp;IF(C2974=DATE(2026,11,28),"机构晚餐","无统一供餐"),IF(C2974=Options!$B$10,"返程；"&amp;IF(C2974=DATE(2026,12,2),"机构午餐","无统一供餐"),"差旅状态；无统一日程"))))))</f>
        <v/>
      </c>
      <c r="E2974" s="13">
        <f>IF(C2974=Options!$B$9,Options!$C$22,0)</f>
        <v/>
      </c>
      <c r="F2974" s="13">
        <f>IF(AND(A2974&lt;&gt;"",C2974&lt;Options!$B$10),B2974*Options!$X$9,0)</f>
        <v/>
      </c>
      <c r="G2974" s="13">
        <f>F2974*12%</f>
        <v/>
      </c>
      <c r="H2974" s="13">
        <f>IF(A2974="",0,B2974*(92*IF(OR(C2974=Options!$B$9,C2974=Options!$B$10),75%,100%)-IF(C2974=DATE(2026,11,29),26+IF(Options!$B$8="是",23,0),0)-IF(C2974=DATE(2026,11,30),26,0)-IF(C2974=DATE(2026,12,1),64,0)-IF(C2974=DATE(2026,11,28),38,0)-IF(C2974=DATE(2026,12,2),26,0)))</f>
        <v/>
      </c>
      <c r="I2974" s="13">
        <f>IF(AND(C2974&gt;=DATE(2026,11,29),C2974&lt;=DATE(2026,12,1)),B2974*60,0)</f>
        <v/>
      </c>
      <c r="J2974" s="13">
        <f>IF(A2974="",0,B2974*(IF(C2974=DATE(2026,11,28),38,0)+IF(C2974=DATE(2026,12,1),38,0)+IF(C2974=DATE(2026,12,2),26,0)))</f>
        <v/>
      </c>
      <c r="K2974" s="13">
        <f>IF(C2974=Options!$B$9,B2974*12,0)</f>
        <v/>
      </c>
      <c r="L2974" s="13">
        <f>IF(C2974=Options!$B$9,B2974*Options!$Z$9,0)</f>
        <v/>
      </c>
      <c r="M2974" s="13" t="n">
        <v>0</v>
      </c>
      <c r="N2974" s="13">
        <f>SUM(E2974:M2974)</f>
        <v/>
      </c>
    </row>
    <row r="2975">
      <c r="A2975" s="5">
        <f>IF(AND(C2975&gt;=Options!$B$9,C2975&lt;=Options!$B$10),"Seattle","")</f>
        <v/>
      </c>
      <c r="B2975" s="5">
        <f>IF(A2975="","",18)</f>
        <v/>
      </c>
      <c r="C2975" s="17" t="n">
        <v>46346</v>
      </c>
      <c r="D2975" s="5">
        <f>IF(A2975="","",IF(C2975=DATE(2026,11,29),"培训；注册午餐；早餐参数",IF(C2975=DATE(2026,11,30),"培训；注册午餐",IF(C2975=DATE(2026,12,1),"培训；注册午餐；机构晚餐",IF(C2975=Options!$B$9,"抵达；"&amp;IF(C2975=DATE(2026,11,28),"机构晚餐","无统一供餐"),IF(C2975=Options!$B$10,"返程；"&amp;IF(C2975=DATE(2026,12,2),"机构午餐","无统一供餐"),"差旅状态；无统一日程"))))))</f>
        <v/>
      </c>
      <c r="E2975" s="13">
        <f>IF(C2975=Options!$B$9,Options!$C$22,0)</f>
        <v/>
      </c>
      <c r="F2975" s="13">
        <f>IF(AND(A2975&lt;&gt;"",C2975&lt;Options!$B$10),B2975*Options!$X$9,0)</f>
        <v/>
      </c>
      <c r="G2975" s="13">
        <f>F2975*12%</f>
        <v/>
      </c>
      <c r="H2975" s="13">
        <f>IF(A2975="",0,B2975*(92*IF(OR(C2975=Options!$B$9,C2975=Options!$B$10),75%,100%)-IF(C2975=DATE(2026,11,29),26+IF(Options!$B$8="是",23,0),0)-IF(C2975=DATE(2026,11,30),26,0)-IF(C2975=DATE(2026,12,1),64,0)-IF(C2975=DATE(2026,11,28),38,0)-IF(C2975=DATE(2026,12,2),26,0)))</f>
        <v/>
      </c>
      <c r="I2975" s="13">
        <f>IF(AND(C2975&gt;=DATE(2026,11,29),C2975&lt;=DATE(2026,12,1)),B2975*60,0)</f>
        <v/>
      </c>
      <c r="J2975" s="13">
        <f>IF(A2975="",0,B2975*(IF(C2975=DATE(2026,11,28),38,0)+IF(C2975=DATE(2026,12,1),38,0)+IF(C2975=DATE(2026,12,2),26,0)))</f>
        <v/>
      </c>
      <c r="K2975" s="13">
        <f>IF(C2975=Options!$B$9,B2975*12,0)</f>
        <v/>
      </c>
      <c r="L2975" s="13">
        <f>IF(C2975=Options!$B$9,B2975*Options!$Z$9,0)</f>
        <v/>
      </c>
      <c r="M2975" s="13" t="n">
        <v>0</v>
      </c>
      <c r="N2975" s="13">
        <f>SUM(E2975:M2975)</f>
        <v/>
      </c>
    </row>
    <row r="2976">
      <c r="A2976" s="5">
        <f>IF(AND(C2976&gt;=Options!$B$9,C2976&lt;=Options!$B$10),"Seattle","")</f>
        <v/>
      </c>
      <c r="B2976" s="5">
        <f>IF(A2976="","",18)</f>
        <v/>
      </c>
      <c r="C2976" s="17" t="n">
        <v>46347</v>
      </c>
      <c r="D2976" s="5">
        <f>IF(A2976="","",IF(C2976=DATE(2026,11,29),"培训；注册午餐；早餐参数",IF(C2976=DATE(2026,11,30),"培训；注册午餐",IF(C2976=DATE(2026,12,1),"培训；注册午餐；机构晚餐",IF(C2976=Options!$B$9,"抵达；"&amp;IF(C2976=DATE(2026,11,28),"机构晚餐","无统一供餐"),IF(C2976=Options!$B$10,"返程；"&amp;IF(C2976=DATE(2026,12,2),"机构午餐","无统一供餐"),"差旅状态；无统一日程"))))))</f>
        <v/>
      </c>
      <c r="E2976" s="13">
        <f>IF(C2976=Options!$B$9,Options!$C$22,0)</f>
        <v/>
      </c>
      <c r="F2976" s="13">
        <f>IF(AND(A2976&lt;&gt;"",C2976&lt;Options!$B$10),B2976*Options!$X$9,0)</f>
        <v/>
      </c>
      <c r="G2976" s="13">
        <f>F2976*12%</f>
        <v/>
      </c>
      <c r="H2976" s="13">
        <f>IF(A2976="",0,B2976*(92*IF(OR(C2976=Options!$B$9,C2976=Options!$B$10),75%,100%)-IF(C2976=DATE(2026,11,29),26+IF(Options!$B$8="是",23,0),0)-IF(C2976=DATE(2026,11,30),26,0)-IF(C2976=DATE(2026,12,1),64,0)-IF(C2976=DATE(2026,11,28),38,0)-IF(C2976=DATE(2026,12,2),26,0)))</f>
        <v/>
      </c>
      <c r="I2976" s="13">
        <f>IF(AND(C2976&gt;=DATE(2026,11,29),C2976&lt;=DATE(2026,12,1)),B2976*60,0)</f>
        <v/>
      </c>
      <c r="J2976" s="13">
        <f>IF(A2976="",0,B2976*(IF(C2976=DATE(2026,11,28),38,0)+IF(C2976=DATE(2026,12,1),38,0)+IF(C2976=DATE(2026,12,2),26,0)))</f>
        <v/>
      </c>
      <c r="K2976" s="13">
        <f>IF(C2976=Options!$B$9,B2976*12,0)</f>
        <v/>
      </c>
      <c r="L2976" s="13">
        <f>IF(C2976=Options!$B$9,B2976*Options!$Z$9,0)</f>
        <v/>
      </c>
      <c r="M2976" s="13" t="n">
        <v>0</v>
      </c>
      <c r="N2976" s="13">
        <f>SUM(E2976:M2976)</f>
        <v/>
      </c>
    </row>
    <row r="2977">
      <c r="A2977" s="5">
        <f>IF(AND(C2977&gt;=Options!$B$9,C2977&lt;=Options!$B$10),"Seattle","")</f>
        <v/>
      </c>
      <c r="B2977" s="5">
        <f>IF(A2977="","",18)</f>
        <v/>
      </c>
      <c r="C2977" s="17" t="n">
        <v>46348</v>
      </c>
      <c r="D2977" s="5">
        <f>IF(A2977="","",IF(C2977=DATE(2026,11,29),"培训；注册午餐；早餐参数",IF(C2977=DATE(2026,11,30),"培训；注册午餐",IF(C2977=DATE(2026,12,1),"培训；注册午餐；机构晚餐",IF(C2977=Options!$B$9,"抵达；"&amp;IF(C2977=DATE(2026,11,28),"机构晚餐","无统一供餐"),IF(C2977=Options!$B$10,"返程；"&amp;IF(C2977=DATE(2026,12,2),"机构午餐","无统一供餐"),"差旅状态；无统一日程"))))))</f>
        <v/>
      </c>
      <c r="E2977" s="13">
        <f>IF(C2977=Options!$B$9,Options!$C$22,0)</f>
        <v/>
      </c>
      <c r="F2977" s="13">
        <f>IF(AND(A2977&lt;&gt;"",C2977&lt;Options!$B$10),B2977*Options!$X$9,0)</f>
        <v/>
      </c>
      <c r="G2977" s="13">
        <f>F2977*12%</f>
        <v/>
      </c>
      <c r="H2977" s="13">
        <f>IF(A2977="",0,B2977*(92*IF(OR(C2977=Options!$B$9,C2977=Options!$B$10),75%,100%)-IF(C2977=DATE(2026,11,29),26+IF(Options!$B$8="是",23,0),0)-IF(C2977=DATE(2026,11,30),26,0)-IF(C2977=DATE(2026,12,1),64,0)-IF(C2977=DATE(2026,11,28),38,0)-IF(C2977=DATE(2026,12,2),26,0)))</f>
        <v/>
      </c>
      <c r="I2977" s="13">
        <f>IF(AND(C2977&gt;=DATE(2026,11,29),C2977&lt;=DATE(2026,12,1)),B2977*60,0)</f>
        <v/>
      </c>
      <c r="J2977" s="13">
        <f>IF(A2977="",0,B2977*(IF(C2977=DATE(2026,11,28),38,0)+IF(C2977=DATE(2026,12,1),38,0)+IF(C2977=DATE(2026,12,2),26,0)))</f>
        <v/>
      </c>
      <c r="K2977" s="13">
        <f>IF(C2977=Options!$B$9,B2977*12,0)</f>
        <v/>
      </c>
      <c r="L2977" s="13">
        <f>IF(C2977=Options!$B$9,B2977*Options!$Z$9,0)</f>
        <v/>
      </c>
      <c r="M2977" s="13" t="n">
        <v>0</v>
      </c>
      <c r="N2977" s="13">
        <f>SUM(E2977:M2977)</f>
        <v/>
      </c>
    </row>
    <row r="2978">
      <c r="A2978" s="5">
        <f>IF(AND(C2978&gt;=Options!$B$9,C2978&lt;=Options!$B$10),"Seattle","")</f>
        <v/>
      </c>
      <c r="B2978" s="5">
        <f>IF(A2978="","",18)</f>
        <v/>
      </c>
      <c r="C2978" s="17" t="n">
        <v>46349</v>
      </c>
      <c r="D2978" s="5">
        <f>IF(A2978="","",IF(C2978=DATE(2026,11,29),"培训；注册午餐；早餐参数",IF(C2978=DATE(2026,11,30),"培训；注册午餐",IF(C2978=DATE(2026,12,1),"培训；注册午餐；机构晚餐",IF(C2978=Options!$B$9,"抵达；"&amp;IF(C2978=DATE(2026,11,28),"机构晚餐","无统一供餐"),IF(C2978=Options!$B$10,"返程；"&amp;IF(C2978=DATE(2026,12,2),"机构午餐","无统一供餐"),"差旅状态；无统一日程"))))))</f>
        <v/>
      </c>
      <c r="E2978" s="13">
        <f>IF(C2978=Options!$B$9,Options!$C$22,0)</f>
        <v/>
      </c>
      <c r="F2978" s="13">
        <f>IF(AND(A2978&lt;&gt;"",C2978&lt;Options!$B$10),B2978*Options!$X$9,0)</f>
        <v/>
      </c>
      <c r="G2978" s="13">
        <f>F2978*12%</f>
        <v/>
      </c>
      <c r="H2978" s="13">
        <f>IF(A2978="",0,B2978*(92*IF(OR(C2978=Options!$B$9,C2978=Options!$B$10),75%,100%)-IF(C2978=DATE(2026,11,29),26+IF(Options!$B$8="是",23,0),0)-IF(C2978=DATE(2026,11,30),26,0)-IF(C2978=DATE(2026,12,1),64,0)-IF(C2978=DATE(2026,11,28),38,0)-IF(C2978=DATE(2026,12,2),26,0)))</f>
        <v/>
      </c>
      <c r="I2978" s="13">
        <f>IF(AND(C2978&gt;=DATE(2026,11,29),C2978&lt;=DATE(2026,12,1)),B2978*60,0)</f>
        <v/>
      </c>
      <c r="J2978" s="13">
        <f>IF(A2978="",0,B2978*(IF(C2978=DATE(2026,11,28),38,0)+IF(C2978=DATE(2026,12,1),38,0)+IF(C2978=DATE(2026,12,2),26,0)))</f>
        <v/>
      </c>
      <c r="K2978" s="13">
        <f>IF(C2978=Options!$B$9,B2978*12,0)</f>
        <v/>
      </c>
      <c r="L2978" s="13">
        <f>IF(C2978=Options!$B$9,B2978*Options!$Z$9,0)</f>
        <v/>
      </c>
      <c r="M2978" s="13" t="n">
        <v>0</v>
      </c>
      <c r="N2978" s="13">
        <f>SUM(E2978:M2978)</f>
        <v/>
      </c>
    </row>
    <row r="2979">
      <c r="A2979" s="5">
        <f>IF(AND(C2979&gt;=Options!$B$9,C2979&lt;=Options!$B$10),"Seattle","")</f>
        <v/>
      </c>
      <c r="B2979" s="5">
        <f>IF(A2979="","",18)</f>
        <v/>
      </c>
      <c r="C2979" s="17" t="n">
        <v>46350</v>
      </c>
      <c r="D2979" s="5">
        <f>IF(A2979="","",IF(C2979=DATE(2026,11,29),"培训；注册午餐；早餐参数",IF(C2979=DATE(2026,11,30),"培训；注册午餐",IF(C2979=DATE(2026,12,1),"培训；注册午餐；机构晚餐",IF(C2979=Options!$B$9,"抵达；"&amp;IF(C2979=DATE(2026,11,28),"机构晚餐","无统一供餐"),IF(C2979=Options!$B$10,"返程；"&amp;IF(C2979=DATE(2026,12,2),"机构午餐","无统一供餐"),"差旅状态；无统一日程"))))))</f>
        <v/>
      </c>
      <c r="E2979" s="13">
        <f>IF(C2979=Options!$B$9,Options!$C$22,0)</f>
        <v/>
      </c>
      <c r="F2979" s="13">
        <f>IF(AND(A2979&lt;&gt;"",C2979&lt;Options!$B$10),B2979*Options!$X$9,0)</f>
        <v/>
      </c>
      <c r="G2979" s="13">
        <f>F2979*12%</f>
        <v/>
      </c>
      <c r="H2979" s="13">
        <f>IF(A2979="",0,B2979*(92*IF(OR(C2979=Options!$B$9,C2979=Options!$B$10),75%,100%)-IF(C2979=DATE(2026,11,29),26+IF(Options!$B$8="是",23,0),0)-IF(C2979=DATE(2026,11,30),26,0)-IF(C2979=DATE(2026,12,1),64,0)-IF(C2979=DATE(2026,11,28),38,0)-IF(C2979=DATE(2026,12,2),26,0)))</f>
        <v/>
      </c>
      <c r="I2979" s="13">
        <f>IF(AND(C2979&gt;=DATE(2026,11,29),C2979&lt;=DATE(2026,12,1)),B2979*60,0)</f>
        <v/>
      </c>
      <c r="J2979" s="13">
        <f>IF(A2979="",0,B2979*(IF(C2979=DATE(2026,11,28),38,0)+IF(C2979=DATE(2026,12,1),38,0)+IF(C2979=DATE(2026,12,2),26,0)))</f>
        <v/>
      </c>
      <c r="K2979" s="13">
        <f>IF(C2979=Options!$B$9,B2979*12,0)</f>
        <v/>
      </c>
      <c r="L2979" s="13">
        <f>IF(C2979=Options!$B$9,B2979*Options!$Z$9,0)</f>
        <v/>
      </c>
      <c r="M2979" s="13" t="n">
        <v>0</v>
      </c>
      <c r="N2979" s="13">
        <f>SUM(E2979:M2979)</f>
        <v/>
      </c>
    </row>
    <row r="2980">
      <c r="A2980" s="5">
        <f>IF(AND(C2980&gt;=Options!$B$9,C2980&lt;=Options!$B$10),"Seattle","")</f>
        <v/>
      </c>
      <c r="B2980" s="5">
        <f>IF(A2980="","",18)</f>
        <v/>
      </c>
      <c r="C2980" s="17" t="n">
        <v>46351</v>
      </c>
      <c r="D2980" s="5">
        <f>IF(A2980="","",IF(C2980=DATE(2026,11,29),"培训；注册午餐；早餐参数",IF(C2980=DATE(2026,11,30),"培训；注册午餐",IF(C2980=DATE(2026,12,1),"培训；注册午餐；机构晚餐",IF(C2980=Options!$B$9,"抵达；"&amp;IF(C2980=DATE(2026,11,28),"机构晚餐","无统一供餐"),IF(C2980=Options!$B$10,"返程；"&amp;IF(C2980=DATE(2026,12,2),"机构午餐","无统一供餐"),"差旅状态；无统一日程"))))))</f>
        <v/>
      </c>
      <c r="E2980" s="13">
        <f>IF(C2980=Options!$B$9,Options!$C$22,0)</f>
        <v/>
      </c>
      <c r="F2980" s="13">
        <f>IF(AND(A2980&lt;&gt;"",C2980&lt;Options!$B$10),B2980*Options!$X$9,0)</f>
        <v/>
      </c>
      <c r="G2980" s="13">
        <f>F2980*12%</f>
        <v/>
      </c>
      <c r="H2980" s="13">
        <f>IF(A2980="",0,B2980*(92*IF(OR(C2980=Options!$B$9,C2980=Options!$B$10),75%,100%)-IF(C2980=DATE(2026,11,29),26+IF(Options!$B$8="是",23,0),0)-IF(C2980=DATE(2026,11,30),26,0)-IF(C2980=DATE(2026,12,1),64,0)-IF(C2980=DATE(2026,11,28),38,0)-IF(C2980=DATE(2026,12,2),26,0)))</f>
        <v/>
      </c>
      <c r="I2980" s="13">
        <f>IF(AND(C2980&gt;=DATE(2026,11,29),C2980&lt;=DATE(2026,12,1)),B2980*60,0)</f>
        <v/>
      </c>
      <c r="J2980" s="13">
        <f>IF(A2980="",0,B2980*(IF(C2980=DATE(2026,11,28),38,0)+IF(C2980=DATE(2026,12,1),38,0)+IF(C2980=DATE(2026,12,2),26,0)))</f>
        <v/>
      </c>
      <c r="K2980" s="13">
        <f>IF(C2980=Options!$B$9,B2980*12,0)</f>
        <v/>
      </c>
      <c r="L2980" s="13">
        <f>IF(C2980=Options!$B$9,B2980*Options!$Z$9,0)</f>
        <v/>
      </c>
      <c r="M2980" s="13" t="n">
        <v>0</v>
      </c>
      <c r="N2980" s="13">
        <f>SUM(E2980:M2980)</f>
        <v/>
      </c>
    </row>
    <row r="2981">
      <c r="A2981" s="5">
        <f>IF(AND(C2981&gt;=Options!$B$9,C2981&lt;=Options!$B$10),"Seattle","")</f>
        <v/>
      </c>
      <c r="B2981" s="5">
        <f>IF(A2981="","",18)</f>
        <v/>
      </c>
      <c r="C2981" s="17" t="n">
        <v>46352</v>
      </c>
      <c r="D2981" s="5">
        <f>IF(A2981="","",IF(C2981=DATE(2026,11,29),"培训；注册午餐；早餐参数",IF(C2981=DATE(2026,11,30),"培训；注册午餐",IF(C2981=DATE(2026,12,1),"培训；注册午餐；机构晚餐",IF(C2981=Options!$B$9,"抵达；"&amp;IF(C2981=DATE(2026,11,28),"机构晚餐","无统一供餐"),IF(C2981=Options!$B$10,"返程；"&amp;IF(C2981=DATE(2026,12,2),"机构午餐","无统一供餐"),"差旅状态；无统一日程"))))))</f>
        <v/>
      </c>
      <c r="E2981" s="13">
        <f>IF(C2981=Options!$B$9,Options!$C$22,0)</f>
        <v/>
      </c>
      <c r="F2981" s="13">
        <f>IF(AND(A2981&lt;&gt;"",C2981&lt;Options!$B$10),B2981*Options!$X$9,0)</f>
        <v/>
      </c>
      <c r="G2981" s="13">
        <f>F2981*12%</f>
        <v/>
      </c>
      <c r="H2981" s="13">
        <f>IF(A2981="",0,B2981*(92*IF(OR(C2981=Options!$B$9,C2981=Options!$B$10),75%,100%)-IF(C2981=DATE(2026,11,29),26+IF(Options!$B$8="是",23,0),0)-IF(C2981=DATE(2026,11,30),26,0)-IF(C2981=DATE(2026,12,1),64,0)-IF(C2981=DATE(2026,11,28),38,0)-IF(C2981=DATE(2026,12,2),26,0)))</f>
        <v/>
      </c>
      <c r="I2981" s="13">
        <f>IF(AND(C2981&gt;=DATE(2026,11,29),C2981&lt;=DATE(2026,12,1)),B2981*60,0)</f>
        <v/>
      </c>
      <c r="J2981" s="13">
        <f>IF(A2981="",0,B2981*(IF(C2981=DATE(2026,11,28),38,0)+IF(C2981=DATE(2026,12,1),38,0)+IF(C2981=DATE(2026,12,2),26,0)))</f>
        <v/>
      </c>
      <c r="K2981" s="13">
        <f>IF(C2981=Options!$B$9,B2981*12,0)</f>
        <v/>
      </c>
      <c r="L2981" s="13">
        <f>IF(C2981=Options!$B$9,B2981*Options!$Z$9,0)</f>
        <v/>
      </c>
      <c r="M2981" s="13" t="n">
        <v>0</v>
      </c>
      <c r="N2981" s="13">
        <f>SUM(E2981:M2981)</f>
        <v/>
      </c>
    </row>
    <row r="2982">
      <c r="A2982" s="5">
        <f>IF(AND(C2982&gt;=Options!$B$9,C2982&lt;=Options!$B$10),"Seattle","")</f>
        <v/>
      </c>
      <c r="B2982" s="5">
        <f>IF(A2982="","",18)</f>
        <v/>
      </c>
      <c r="C2982" s="17" t="n">
        <v>46353</v>
      </c>
      <c r="D2982" s="5">
        <f>IF(A2982="","",IF(C2982=DATE(2026,11,29),"培训；注册午餐；早餐参数",IF(C2982=DATE(2026,11,30),"培训；注册午餐",IF(C2982=DATE(2026,12,1),"培训；注册午餐；机构晚餐",IF(C2982=Options!$B$9,"抵达；"&amp;IF(C2982=DATE(2026,11,28),"机构晚餐","无统一供餐"),IF(C2982=Options!$B$10,"返程；"&amp;IF(C2982=DATE(2026,12,2),"机构午餐","无统一供餐"),"差旅状态；无统一日程"))))))</f>
        <v/>
      </c>
      <c r="E2982" s="13">
        <f>IF(C2982=Options!$B$9,Options!$C$22,0)</f>
        <v/>
      </c>
      <c r="F2982" s="13">
        <f>IF(AND(A2982&lt;&gt;"",C2982&lt;Options!$B$10),B2982*Options!$X$9,0)</f>
        <v/>
      </c>
      <c r="G2982" s="13">
        <f>F2982*12%</f>
        <v/>
      </c>
      <c r="H2982" s="13">
        <f>IF(A2982="",0,B2982*(92*IF(OR(C2982=Options!$B$9,C2982=Options!$B$10),75%,100%)-IF(C2982=DATE(2026,11,29),26+IF(Options!$B$8="是",23,0),0)-IF(C2982=DATE(2026,11,30),26,0)-IF(C2982=DATE(2026,12,1),64,0)-IF(C2982=DATE(2026,11,28),38,0)-IF(C2982=DATE(2026,12,2),26,0)))</f>
        <v/>
      </c>
      <c r="I2982" s="13">
        <f>IF(AND(C2982&gt;=DATE(2026,11,29),C2982&lt;=DATE(2026,12,1)),B2982*60,0)</f>
        <v/>
      </c>
      <c r="J2982" s="13">
        <f>IF(A2982="",0,B2982*(IF(C2982=DATE(2026,11,28),38,0)+IF(C2982=DATE(2026,12,1),38,0)+IF(C2982=DATE(2026,12,2),26,0)))</f>
        <v/>
      </c>
      <c r="K2982" s="13">
        <f>IF(C2982=Options!$B$9,B2982*12,0)</f>
        <v/>
      </c>
      <c r="L2982" s="13">
        <f>IF(C2982=Options!$B$9,B2982*Options!$Z$9,0)</f>
        <v/>
      </c>
      <c r="M2982" s="13" t="n">
        <v>0</v>
      </c>
      <c r="N2982" s="13">
        <f>SUM(E2982:M2982)</f>
        <v/>
      </c>
    </row>
    <row r="2983">
      <c r="A2983" s="5">
        <f>IF(AND(C2983&gt;=Options!$B$9,C2983&lt;=Options!$B$10),"Seattle","")</f>
        <v/>
      </c>
      <c r="B2983" s="5">
        <f>IF(A2983="","",18)</f>
        <v/>
      </c>
      <c r="C2983" s="17" t="n">
        <v>46354</v>
      </c>
      <c r="D2983" s="5">
        <f>IF(A2983="","",IF(C2983=DATE(2026,11,29),"培训；注册午餐；早餐参数",IF(C2983=DATE(2026,11,30),"培训；注册午餐",IF(C2983=DATE(2026,12,1),"培训；注册午餐；机构晚餐",IF(C2983=Options!$B$9,"抵达；"&amp;IF(C2983=DATE(2026,11,28),"机构晚餐","无统一供餐"),IF(C2983=Options!$B$10,"返程；"&amp;IF(C2983=DATE(2026,12,2),"机构午餐","无统一供餐"),"差旅状态；无统一日程"))))))</f>
        <v/>
      </c>
      <c r="E2983" s="13">
        <f>IF(C2983=Options!$B$9,Options!$C$22,0)</f>
        <v/>
      </c>
      <c r="F2983" s="13">
        <f>IF(AND(A2983&lt;&gt;"",C2983&lt;Options!$B$10),B2983*Options!$X$9,0)</f>
        <v/>
      </c>
      <c r="G2983" s="13">
        <f>F2983*12%</f>
        <v/>
      </c>
      <c r="H2983" s="13">
        <f>IF(A2983="",0,B2983*(92*IF(OR(C2983=Options!$B$9,C2983=Options!$B$10),75%,100%)-IF(C2983=DATE(2026,11,29),26+IF(Options!$B$8="是",23,0),0)-IF(C2983=DATE(2026,11,30),26,0)-IF(C2983=DATE(2026,12,1),64,0)-IF(C2983=DATE(2026,11,28),38,0)-IF(C2983=DATE(2026,12,2),26,0)))</f>
        <v/>
      </c>
      <c r="I2983" s="13">
        <f>IF(AND(C2983&gt;=DATE(2026,11,29),C2983&lt;=DATE(2026,12,1)),B2983*60,0)</f>
        <v/>
      </c>
      <c r="J2983" s="13">
        <f>IF(A2983="",0,B2983*(IF(C2983=DATE(2026,11,28),38,0)+IF(C2983=DATE(2026,12,1),38,0)+IF(C2983=DATE(2026,12,2),26,0)))</f>
        <v/>
      </c>
      <c r="K2983" s="13">
        <f>IF(C2983=Options!$B$9,B2983*12,0)</f>
        <v/>
      </c>
      <c r="L2983" s="13">
        <f>IF(C2983=Options!$B$9,B2983*Options!$Z$9,0)</f>
        <v/>
      </c>
      <c r="M2983" s="13" t="n">
        <v>0</v>
      </c>
      <c r="N2983" s="13">
        <f>SUM(E2983:M2983)</f>
        <v/>
      </c>
    </row>
    <row r="2984">
      <c r="A2984" s="5">
        <f>IF(AND(C2984&gt;=Options!$B$9,C2984&lt;=Options!$B$10),"Seattle","")</f>
        <v/>
      </c>
      <c r="B2984" s="5">
        <f>IF(A2984="","",18)</f>
        <v/>
      </c>
      <c r="C2984" s="17" t="n">
        <v>46355</v>
      </c>
      <c r="D2984" s="5">
        <f>IF(A2984="","",IF(C2984=DATE(2026,11,29),"培训；注册午餐；早餐参数",IF(C2984=DATE(2026,11,30),"培训；注册午餐",IF(C2984=DATE(2026,12,1),"培训；注册午餐；机构晚餐",IF(C2984=Options!$B$9,"抵达；"&amp;IF(C2984=DATE(2026,11,28),"机构晚餐","无统一供餐"),IF(C2984=Options!$B$10,"返程；"&amp;IF(C2984=DATE(2026,12,2),"机构午餐","无统一供餐"),"差旅状态；无统一日程"))))))</f>
        <v/>
      </c>
      <c r="E2984" s="13">
        <f>IF(C2984=Options!$B$9,Options!$C$22,0)</f>
        <v/>
      </c>
      <c r="F2984" s="13">
        <f>IF(AND(A2984&lt;&gt;"",C2984&lt;Options!$B$10),B2984*Options!$X$9,0)</f>
        <v/>
      </c>
      <c r="G2984" s="13">
        <f>F2984*12%</f>
        <v/>
      </c>
      <c r="H2984" s="13">
        <f>IF(A2984="",0,B2984*(92*IF(OR(C2984=Options!$B$9,C2984=Options!$B$10),75%,100%)-IF(C2984=DATE(2026,11,29),26+IF(Options!$B$8="是",23,0),0)-IF(C2984=DATE(2026,11,30),26,0)-IF(C2984=DATE(2026,12,1),64,0)-IF(C2984=DATE(2026,11,28),38,0)-IF(C2984=DATE(2026,12,2),26,0)))</f>
        <v/>
      </c>
      <c r="I2984" s="13">
        <f>IF(AND(C2984&gt;=DATE(2026,11,29),C2984&lt;=DATE(2026,12,1)),B2984*60,0)</f>
        <v/>
      </c>
      <c r="J2984" s="13">
        <f>IF(A2984="",0,B2984*(IF(C2984=DATE(2026,11,28),38,0)+IF(C2984=DATE(2026,12,1),38,0)+IF(C2984=DATE(2026,12,2),26,0)))</f>
        <v/>
      </c>
      <c r="K2984" s="13">
        <f>IF(C2984=Options!$B$9,B2984*12,0)</f>
        <v/>
      </c>
      <c r="L2984" s="13">
        <f>IF(C2984=Options!$B$9,B2984*Options!$Z$9,0)</f>
        <v/>
      </c>
      <c r="M2984" s="13" t="n">
        <v>0</v>
      </c>
      <c r="N2984" s="13">
        <f>SUM(E2984:M2984)</f>
        <v/>
      </c>
    </row>
    <row r="2985">
      <c r="A2985" s="5">
        <f>IF(AND(C2985&gt;=Options!$B$9,C2985&lt;=Options!$B$10),"Seattle","")</f>
        <v/>
      </c>
      <c r="B2985" s="5">
        <f>IF(A2985="","",18)</f>
        <v/>
      </c>
      <c r="C2985" s="17" t="n">
        <v>46356</v>
      </c>
      <c r="D2985" s="5">
        <f>IF(A2985="","",IF(C2985=DATE(2026,11,29),"培训；注册午餐；早餐参数",IF(C2985=DATE(2026,11,30),"培训；注册午餐",IF(C2985=DATE(2026,12,1),"培训；注册午餐；机构晚餐",IF(C2985=Options!$B$9,"抵达；"&amp;IF(C2985=DATE(2026,11,28),"机构晚餐","无统一供餐"),IF(C2985=Options!$B$10,"返程；"&amp;IF(C2985=DATE(2026,12,2),"机构午餐","无统一供餐"),"差旅状态；无统一日程"))))))</f>
        <v/>
      </c>
      <c r="E2985" s="13">
        <f>IF(C2985=Options!$B$9,Options!$C$22,0)</f>
        <v/>
      </c>
      <c r="F2985" s="13">
        <f>IF(AND(A2985&lt;&gt;"",C2985&lt;Options!$B$10),B2985*Options!$X$9,0)</f>
        <v/>
      </c>
      <c r="G2985" s="13">
        <f>F2985*12%</f>
        <v/>
      </c>
      <c r="H2985" s="13">
        <f>IF(A2985="",0,B2985*(92*IF(OR(C2985=Options!$B$9,C2985=Options!$B$10),75%,100%)-IF(C2985=DATE(2026,11,29),26+IF(Options!$B$8="是",23,0),0)-IF(C2985=DATE(2026,11,30),26,0)-IF(C2985=DATE(2026,12,1),64,0)-IF(C2985=DATE(2026,11,28),38,0)-IF(C2985=DATE(2026,12,2),26,0)))</f>
        <v/>
      </c>
      <c r="I2985" s="13">
        <f>IF(AND(C2985&gt;=DATE(2026,11,29),C2985&lt;=DATE(2026,12,1)),B2985*60,0)</f>
        <v/>
      </c>
      <c r="J2985" s="13">
        <f>IF(A2985="",0,B2985*(IF(C2985=DATE(2026,11,28),38,0)+IF(C2985=DATE(2026,12,1),38,0)+IF(C2985=DATE(2026,12,2),26,0)))</f>
        <v/>
      </c>
      <c r="K2985" s="13">
        <f>IF(C2985=Options!$B$9,B2985*12,0)</f>
        <v/>
      </c>
      <c r="L2985" s="13">
        <f>IF(C2985=Options!$B$9,B2985*Options!$Z$9,0)</f>
        <v/>
      </c>
      <c r="M2985" s="13" t="n">
        <v>0</v>
      </c>
      <c r="N2985" s="13">
        <f>SUM(E2985:M2985)</f>
        <v/>
      </c>
    </row>
    <row r="2986">
      <c r="A2986" s="5">
        <f>IF(AND(C2986&gt;=Options!$B$9,C2986&lt;=Options!$B$10),"Seattle","")</f>
        <v/>
      </c>
      <c r="B2986" s="5">
        <f>IF(A2986="","",18)</f>
        <v/>
      </c>
      <c r="C2986" s="17" t="n">
        <v>46357</v>
      </c>
      <c r="D2986" s="5">
        <f>IF(A2986="","",IF(C2986=DATE(2026,11,29),"培训；注册午餐；早餐参数",IF(C2986=DATE(2026,11,30),"培训；注册午餐",IF(C2986=DATE(2026,12,1),"培训；注册午餐；机构晚餐",IF(C2986=Options!$B$9,"抵达；"&amp;IF(C2986=DATE(2026,11,28),"机构晚餐","无统一供餐"),IF(C2986=Options!$B$10,"返程；"&amp;IF(C2986=DATE(2026,12,2),"机构午餐","无统一供餐"),"差旅状态；无统一日程"))))))</f>
        <v/>
      </c>
      <c r="E2986" s="13">
        <f>IF(C2986=Options!$B$9,Options!$C$22,0)</f>
        <v/>
      </c>
      <c r="F2986" s="13">
        <f>IF(AND(A2986&lt;&gt;"",C2986&lt;Options!$B$10),B2986*Options!$X$9,0)</f>
        <v/>
      </c>
      <c r="G2986" s="13">
        <f>F2986*12%</f>
        <v/>
      </c>
      <c r="H2986" s="13">
        <f>IF(A2986="",0,B2986*(92*IF(OR(C2986=Options!$B$9,C2986=Options!$B$10),75%,100%)-IF(C2986=DATE(2026,11,29),26+IF(Options!$B$8="是",23,0),0)-IF(C2986=DATE(2026,11,30),26,0)-IF(C2986=DATE(2026,12,1),64,0)-IF(C2986=DATE(2026,11,28),38,0)-IF(C2986=DATE(2026,12,2),26,0)))</f>
        <v/>
      </c>
      <c r="I2986" s="13">
        <f>IF(AND(C2986&gt;=DATE(2026,11,29),C2986&lt;=DATE(2026,12,1)),B2986*60,0)</f>
        <v/>
      </c>
      <c r="J2986" s="13">
        <f>IF(A2986="",0,B2986*(IF(C2986=DATE(2026,11,28),38,0)+IF(C2986=DATE(2026,12,1),38,0)+IF(C2986=DATE(2026,12,2),26,0)))</f>
        <v/>
      </c>
      <c r="K2986" s="13">
        <f>IF(C2986=Options!$B$9,B2986*12,0)</f>
        <v/>
      </c>
      <c r="L2986" s="13">
        <f>IF(C2986=Options!$B$9,B2986*Options!$Z$9,0)</f>
        <v/>
      </c>
      <c r="M2986" s="13" t="n">
        <v>0</v>
      </c>
      <c r="N2986" s="13">
        <f>SUM(E2986:M2986)</f>
        <v/>
      </c>
    </row>
    <row r="2987">
      <c r="A2987" s="5">
        <f>IF(AND(C2987&gt;=Options!$B$9,C2987&lt;=Options!$B$10),"Seattle","")</f>
        <v/>
      </c>
      <c r="B2987" s="5">
        <f>IF(A2987="","",18)</f>
        <v/>
      </c>
      <c r="C2987" s="17" t="n">
        <v>46358</v>
      </c>
      <c r="D2987" s="5">
        <f>IF(A2987="","",IF(C2987=DATE(2026,11,29),"培训；注册午餐；早餐参数",IF(C2987=DATE(2026,11,30),"培训；注册午餐",IF(C2987=DATE(2026,12,1),"培训；注册午餐；机构晚餐",IF(C2987=Options!$B$9,"抵达；"&amp;IF(C2987=DATE(2026,11,28),"机构晚餐","无统一供餐"),IF(C2987=Options!$B$10,"返程；"&amp;IF(C2987=DATE(2026,12,2),"机构午餐","无统一供餐"),"差旅状态；无统一日程"))))))</f>
        <v/>
      </c>
      <c r="E2987" s="13">
        <f>IF(C2987=Options!$B$9,Options!$C$22,0)</f>
        <v/>
      </c>
      <c r="F2987" s="13">
        <f>IF(AND(A2987&lt;&gt;"",C2987&lt;Options!$B$10),B2987*Options!$X$9,0)</f>
        <v/>
      </c>
      <c r="G2987" s="13">
        <f>F2987*12%</f>
        <v/>
      </c>
      <c r="H2987" s="13">
        <f>IF(A2987="",0,B2987*(92*IF(OR(C2987=Options!$B$9,C2987=Options!$B$10),75%,100%)-IF(C2987=DATE(2026,11,29),26+IF(Options!$B$8="是",23,0),0)-IF(C2987=DATE(2026,11,30),26,0)-IF(C2987=DATE(2026,12,1),64,0)-IF(C2987=DATE(2026,11,28),38,0)-IF(C2987=DATE(2026,12,2),26,0)))</f>
        <v/>
      </c>
      <c r="I2987" s="13">
        <f>IF(AND(C2987&gt;=DATE(2026,11,29),C2987&lt;=DATE(2026,12,1)),B2987*60,0)</f>
        <v/>
      </c>
      <c r="J2987" s="13">
        <f>IF(A2987="",0,B2987*(IF(C2987=DATE(2026,11,28),38,0)+IF(C2987=DATE(2026,12,1),38,0)+IF(C2987=DATE(2026,12,2),26,0)))</f>
        <v/>
      </c>
      <c r="K2987" s="13">
        <f>IF(C2987=Options!$B$9,B2987*12,0)</f>
        <v/>
      </c>
      <c r="L2987" s="13">
        <f>IF(C2987=Options!$B$9,B2987*Options!$Z$9,0)</f>
        <v/>
      </c>
      <c r="M2987" s="13" t="n">
        <v>0</v>
      </c>
      <c r="N2987" s="13">
        <f>SUM(E2987:M2987)</f>
        <v/>
      </c>
    </row>
    <row r="2988">
      <c r="A2988" s="5">
        <f>IF(AND(C2988&gt;=Options!$B$9,C2988&lt;=Options!$B$10),"Seattle","")</f>
        <v/>
      </c>
      <c r="B2988" s="5">
        <f>IF(A2988="","",18)</f>
        <v/>
      </c>
      <c r="C2988" s="17" t="n">
        <v>46359</v>
      </c>
      <c r="D2988" s="5">
        <f>IF(A2988="","",IF(C2988=DATE(2026,11,29),"培训；注册午餐；早餐参数",IF(C2988=DATE(2026,11,30),"培训；注册午餐",IF(C2988=DATE(2026,12,1),"培训；注册午餐；机构晚餐",IF(C2988=Options!$B$9,"抵达；"&amp;IF(C2988=DATE(2026,11,28),"机构晚餐","无统一供餐"),IF(C2988=Options!$B$10,"返程；"&amp;IF(C2988=DATE(2026,12,2),"机构午餐","无统一供餐"),"差旅状态；无统一日程"))))))</f>
        <v/>
      </c>
      <c r="E2988" s="13">
        <f>IF(C2988=Options!$B$9,Options!$C$22,0)</f>
        <v/>
      </c>
      <c r="F2988" s="13">
        <f>IF(AND(A2988&lt;&gt;"",C2988&lt;Options!$B$10),B2988*Options!$X$9,0)</f>
        <v/>
      </c>
      <c r="G2988" s="13">
        <f>F2988*12%</f>
        <v/>
      </c>
      <c r="H2988" s="13">
        <f>IF(A2988="",0,B2988*(92*IF(OR(C2988=Options!$B$9,C2988=Options!$B$10),75%,100%)-IF(C2988=DATE(2026,11,29),26+IF(Options!$B$8="是",23,0),0)-IF(C2988=DATE(2026,11,30),26,0)-IF(C2988=DATE(2026,12,1),64,0)-IF(C2988=DATE(2026,11,28),38,0)-IF(C2988=DATE(2026,12,2),26,0)))</f>
        <v/>
      </c>
      <c r="I2988" s="13">
        <f>IF(AND(C2988&gt;=DATE(2026,11,29),C2988&lt;=DATE(2026,12,1)),B2988*60,0)</f>
        <v/>
      </c>
      <c r="J2988" s="13">
        <f>IF(A2988="",0,B2988*(IF(C2988=DATE(2026,11,28),38,0)+IF(C2988=DATE(2026,12,1),38,0)+IF(C2988=DATE(2026,12,2),26,0)))</f>
        <v/>
      </c>
      <c r="K2988" s="13">
        <f>IF(C2988=Options!$B$9,B2988*12,0)</f>
        <v/>
      </c>
      <c r="L2988" s="13">
        <f>IF(C2988=Options!$B$9,B2988*Options!$Z$9,0)</f>
        <v/>
      </c>
      <c r="M2988" s="13" t="n">
        <v>0</v>
      </c>
      <c r="N2988" s="13">
        <f>SUM(E2988:M2988)</f>
        <v/>
      </c>
    </row>
    <row r="2989">
      <c r="A2989" s="5">
        <f>IF(AND(C2989&gt;=Options!$B$9,C2989&lt;=Options!$B$10),"Seattle","")</f>
        <v/>
      </c>
      <c r="B2989" s="5">
        <f>IF(A2989="","",18)</f>
        <v/>
      </c>
      <c r="C2989" s="17" t="n">
        <v>46360</v>
      </c>
      <c r="D2989" s="5">
        <f>IF(A2989="","",IF(C2989=DATE(2026,11,29),"培训；注册午餐；早餐参数",IF(C2989=DATE(2026,11,30),"培训；注册午餐",IF(C2989=DATE(2026,12,1),"培训；注册午餐；机构晚餐",IF(C2989=Options!$B$9,"抵达；"&amp;IF(C2989=DATE(2026,11,28),"机构晚餐","无统一供餐"),IF(C2989=Options!$B$10,"返程；"&amp;IF(C2989=DATE(2026,12,2),"机构午餐","无统一供餐"),"差旅状态；无统一日程"))))))</f>
        <v/>
      </c>
      <c r="E2989" s="13">
        <f>IF(C2989=Options!$B$9,Options!$C$22,0)</f>
        <v/>
      </c>
      <c r="F2989" s="13">
        <f>IF(AND(A2989&lt;&gt;"",C2989&lt;Options!$B$10),B2989*Options!$X$9,0)</f>
        <v/>
      </c>
      <c r="G2989" s="13">
        <f>F2989*12%</f>
        <v/>
      </c>
      <c r="H2989" s="13">
        <f>IF(A2989="",0,B2989*(92*IF(OR(C2989=Options!$B$9,C2989=Options!$B$10),75%,100%)-IF(C2989=DATE(2026,11,29),26+IF(Options!$B$8="是",23,0),0)-IF(C2989=DATE(2026,11,30),26,0)-IF(C2989=DATE(2026,12,1),64,0)-IF(C2989=DATE(2026,11,28),38,0)-IF(C2989=DATE(2026,12,2),26,0)))</f>
        <v/>
      </c>
      <c r="I2989" s="13">
        <f>IF(AND(C2989&gt;=DATE(2026,11,29),C2989&lt;=DATE(2026,12,1)),B2989*60,0)</f>
        <v/>
      </c>
      <c r="J2989" s="13">
        <f>IF(A2989="",0,B2989*(IF(C2989=DATE(2026,11,28),38,0)+IF(C2989=DATE(2026,12,1),38,0)+IF(C2989=DATE(2026,12,2),26,0)))</f>
        <v/>
      </c>
      <c r="K2989" s="13">
        <f>IF(C2989=Options!$B$9,B2989*12,0)</f>
        <v/>
      </c>
      <c r="L2989" s="13">
        <f>IF(C2989=Options!$B$9,B2989*Options!$Z$9,0)</f>
        <v/>
      </c>
      <c r="M2989" s="13" t="n">
        <v>0</v>
      </c>
      <c r="N2989" s="13">
        <f>SUM(E2989:M2989)</f>
        <v/>
      </c>
    </row>
    <row r="2990">
      <c r="A2990" s="5">
        <f>IF(AND(C2990&gt;=Options!$B$9,C2990&lt;=Options!$B$10),"Seattle","")</f>
        <v/>
      </c>
      <c r="B2990" s="5">
        <f>IF(A2990="","",18)</f>
        <v/>
      </c>
      <c r="C2990" s="17" t="n">
        <v>46361</v>
      </c>
      <c r="D2990" s="5">
        <f>IF(A2990="","",IF(C2990=DATE(2026,11,29),"培训；注册午餐；早餐参数",IF(C2990=DATE(2026,11,30),"培训；注册午餐",IF(C2990=DATE(2026,12,1),"培训；注册午餐；机构晚餐",IF(C2990=Options!$B$9,"抵达；"&amp;IF(C2990=DATE(2026,11,28),"机构晚餐","无统一供餐"),IF(C2990=Options!$B$10,"返程；"&amp;IF(C2990=DATE(2026,12,2),"机构午餐","无统一供餐"),"差旅状态；无统一日程"))))))</f>
        <v/>
      </c>
      <c r="E2990" s="13">
        <f>IF(C2990=Options!$B$9,Options!$C$22,0)</f>
        <v/>
      </c>
      <c r="F2990" s="13">
        <f>IF(AND(A2990&lt;&gt;"",C2990&lt;Options!$B$10),B2990*Options!$X$9,0)</f>
        <v/>
      </c>
      <c r="G2990" s="13">
        <f>F2990*12%</f>
        <v/>
      </c>
      <c r="H2990" s="13">
        <f>IF(A2990="",0,B2990*(92*IF(OR(C2990=Options!$B$9,C2990=Options!$B$10),75%,100%)-IF(C2990=DATE(2026,11,29),26+IF(Options!$B$8="是",23,0),0)-IF(C2990=DATE(2026,11,30),26,0)-IF(C2990=DATE(2026,12,1),64,0)-IF(C2990=DATE(2026,11,28),38,0)-IF(C2990=DATE(2026,12,2),26,0)))</f>
        <v/>
      </c>
      <c r="I2990" s="13">
        <f>IF(AND(C2990&gt;=DATE(2026,11,29),C2990&lt;=DATE(2026,12,1)),B2990*60,0)</f>
        <v/>
      </c>
      <c r="J2990" s="13">
        <f>IF(A2990="",0,B2990*(IF(C2990=DATE(2026,11,28),38,0)+IF(C2990=DATE(2026,12,1),38,0)+IF(C2990=DATE(2026,12,2),26,0)))</f>
        <v/>
      </c>
      <c r="K2990" s="13">
        <f>IF(C2990=Options!$B$9,B2990*12,0)</f>
        <v/>
      </c>
      <c r="L2990" s="13">
        <f>IF(C2990=Options!$B$9,B2990*Options!$Z$9,0)</f>
        <v/>
      </c>
      <c r="M2990" s="13" t="n">
        <v>0</v>
      </c>
      <c r="N2990" s="13">
        <f>SUM(E2990:M2990)</f>
        <v/>
      </c>
    </row>
    <row r="2991">
      <c r="A2991" s="5">
        <f>IF(AND(C2991&gt;=Options!$B$9,C2991&lt;=Options!$B$10),"Seattle","")</f>
        <v/>
      </c>
      <c r="B2991" s="5">
        <f>IF(A2991="","",18)</f>
        <v/>
      </c>
      <c r="C2991" s="17" t="n">
        <v>46362</v>
      </c>
      <c r="D2991" s="5">
        <f>IF(A2991="","",IF(C2991=DATE(2026,11,29),"培训；注册午餐；早餐参数",IF(C2991=DATE(2026,11,30),"培训；注册午餐",IF(C2991=DATE(2026,12,1),"培训；注册午餐；机构晚餐",IF(C2991=Options!$B$9,"抵达；"&amp;IF(C2991=DATE(2026,11,28),"机构晚餐","无统一供餐"),IF(C2991=Options!$B$10,"返程；"&amp;IF(C2991=DATE(2026,12,2),"机构午餐","无统一供餐"),"差旅状态；无统一日程"))))))</f>
        <v/>
      </c>
      <c r="E2991" s="13">
        <f>IF(C2991=Options!$B$9,Options!$C$22,0)</f>
        <v/>
      </c>
      <c r="F2991" s="13">
        <f>IF(AND(A2991&lt;&gt;"",C2991&lt;Options!$B$10),B2991*Options!$X$9,0)</f>
        <v/>
      </c>
      <c r="G2991" s="13">
        <f>F2991*12%</f>
        <v/>
      </c>
      <c r="H2991" s="13">
        <f>IF(A2991="",0,B2991*(92*IF(OR(C2991=Options!$B$9,C2991=Options!$B$10),75%,100%)-IF(C2991=DATE(2026,11,29),26+IF(Options!$B$8="是",23,0),0)-IF(C2991=DATE(2026,11,30),26,0)-IF(C2991=DATE(2026,12,1),64,0)-IF(C2991=DATE(2026,11,28),38,0)-IF(C2991=DATE(2026,12,2),26,0)))</f>
        <v/>
      </c>
      <c r="I2991" s="13">
        <f>IF(AND(C2991&gt;=DATE(2026,11,29),C2991&lt;=DATE(2026,12,1)),B2991*60,0)</f>
        <v/>
      </c>
      <c r="J2991" s="13">
        <f>IF(A2991="",0,B2991*(IF(C2991=DATE(2026,11,28),38,0)+IF(C2991=DATE(2026,12,1),38,0)+IF(C2991=DATE(2026,12,2),26,0)))</f>
        <v/>
      </c>
      <c r="K2991" s="13">
        <f>IF(C2991=Options!$B$9,B2991*12,0)</f>
        <v/>
      </c>
      <c r="L2991" s="13">
        <f>IF(C2991=Options!$B$9,B2991*Options!$Z$9,0)</f>
        <v/>
      </c>
      <c r="M2991" s="13" t="n">
        <v>0</v>
      </c>
      <c r="N2991" s="13">
        <f>SUM(E2991:M2991)</f>
        <v/>
      </c>
    </row>
    <row r="2992">
      <c r="A2992" s="5">
        <f>IF(AND(C2992&gt;=Options!$B$9,C2992&lt;=Options!$B$10),"Seattle","")</f>
        <v/>
      </c>
      <c r="B2992" s="5">
        <f>IF(A2992="","",18)</f>
        <v/>
      </c>
      <c r="C2992" s="17" t="n">
        <v>46363</v>
      </c>
      <c r="D2992" s="5">
        <f>IF(A2992="","",IF(C2992=DATE(2026,11,29),"培训；注册午餐；早餐参数",IF(C2992=DATE(2026,11,30),"培训；注册午餐",IF(C2992=DATE(2026,12,1),"培训；注册午餐；机构晚餐",IF(C2992=Options!$B$9,"抵达；"&amp;IF(C2992=DATE(2026,11,28),"机构晚餐","无统一供餐"),IF(C2992=Options!$B$10,"返程；"&amp;IF(C2992=DATE(2026,12,2),"机构午餐","无统一供餐"),"差旅状态；无统一日程"))))))</f>
        <v/>
      </c>
      <c r="E2992" s="13">
        <f>IF(C2992=Options!$B$9,Options!$C$22,0)</f>
        <v/>
      </c>
      <c r="F2992" s="13">
        <f>IF(AND(A2992&lt;&gt;"",C2992&lt;Options!$B$10),B2992*Options!$X$9,0)</f>
        <v/>
      </c>
      <c r="G2992" s="13">
        <f>F2992*12%</f>
        <v/>
      </c>
      <c r="H2992" s="13">
        <f>IF(A2992="",0,B2992*(92*IF(OR(C2992=Options!$B$9,C2992=Options!$B$10),75%,100%)-IF(C2992=DATE(2026,11,29),26+IF(Options!$B$8="是",23,0),0)-IF(C2992=DATE(2026,11,30),26,0)-IF(C2992=DATE(2026,12,1),64,0)-IF(C2992=DATE(2026,11,28),38,0)-IF(C2992=DATE(2026,12,2),26,0)))</f>
        <v/>
      </c>
      <c r="I2992" s="13">
        <f>IF(AND(C2992&gt;=DATE(2026,11,29),C2992&lt;=DATE(2026,12,1)),B2992*60,0)</f>
        <v/>
      </c>
      <c r="J2992" s="13">
        <f>IF(A2992="",0,B2992*(IF(C2992=DATE(2026,11,28),38,0)+IF(C2992=DATE(2026,12,1),38,0)+IF(C2992=DATE(2026,12,2),26,0)))</f>
        <v/>
      </c>
      <c r="K2992" s="13">
        <f>IF(C2992=Options!$B$9,B2992*12,0)</f>
        <v/>
      </c>
      <c r="L2992" s="13">
        <f>IF(C2992=Options!$B$9,B2992*Options!$Z$9,0)</f>
        <v/>
      </c>
      <c r="M2992" s="13" t="n">
        <v>0</v>
      </c>
      <c r="N2992" s="13">
        <f>SUM(E2992:M2992)</f>
        <v/>
      </c>
    </row>
    <row r="2993">
      <c r="A2993" s="5">
        <f>IF(AND(C2993&gt;=Options!$B$9,C2993&lt;=Options!$B$10),"Seattle","")</f>
        <v/>
      </c>
      <c r="B2993" s="5">
        <f>IF(A2993="","",18)</f>
        <v/>
      </c>
      <c r="C2993" s="17" t="n">
        <v>46364</v>
      </c>
      <c r="D2993" s="5">
        <f>IF(A2993="","",IF(C2993=DATE(2026,11,29),"培训；注册午餐；早餐参数",IF(C2993=DATE(2026,11,30),"培训；注册午餐",IF(C2993=DATE(2026,12,1),"培训；注册午餐；机构晚餐",IF(C2993=Options!$B$9,"抵达；"&amp;IF(C2993=DATE(2026,11,28),"机构晚餐","无统一供餐"),IF(C2993=Options!$B$10,"返程；"&amp;IF(C2993=DATE(2026,12,2),"机构午餐","无统一供餐"),"差旅状态；无统一日程"))))))</f>
        <v/>
      </c>
      <c r="E2993" s="13">
        <f>IF(C2993=Options!$B$9,Options!$C$22,0)</f>
        <v/>
      </c>
      <c r="F2993" s="13">
        <f>IF(AND(A2993&lt;&gt;"",C2993&lt;Options!$B$10),B2993*Options!$X$9,0)</f>
        <v/>
      </c>
      <c r="G2993" s="13">
        <f>F2993*12%</f>
        <v/>
      </c>
      <c r="H2993" s="13">
        <f>IF(A2993="",0,B2993*(92*IF(OR(C2993=Options!$B$9,C2993=Options!$B$10),75%,100%)-IF(C2993=DATE(2026,11,29),26+IF(Options!$B$8="是",23,0),0)-IF(C2993=DATE(2026,11,30),26,0)-IF(C2993=DATE(2026,12,1),64,0)-IF(C2993=DATE(2026,11,28),38,0)-IF(C2993=DATE(2026,12,2),26,0)))</f>
        <v/>
      </c>
      <c r="I2993" s="13">
        <f>IF(AND(C2993&gt;=DATE(2026,11,29),C2993&lt;=DATE(2026,12,1)),B2993*60,0)</f>
        <v/>
      </c>
      <c r="J2993" s="13">
        <f>IF(A2993="",0,B2993*(IF(C2993=DATE(2026,11,28),38,0)+IF(C2993=DATE(2026,12,1),38,0)+IF(C2993=DATE(2026,12,2),26,0)))</f>
        <v/>
      </c>
      <c r="K2993" s="13">
        <f>IF(C2993=Options!$B$9,B2993*12,0)</f>
        <v/>
      </c>
      <c r="L2993" s="13">
        <f>IF(C2993=Options!$B$9,B2993*Options!$Z$9,0)</f>
        <v/>
      </c>
      <c r="M2993" s="13" t="n">
        <v>0</v>
      </c>
      <c r="N2993" s="13">
        <f>SUM(E2993:M2993)</f>
        <v/>
      </c>
    </row>
    <row r="2994">
      <c r="A2994" s="5">
        <f>IF(AND(C2994&gt;=Options!$B$9,C2994&lt;=Options!$B$10),"Seattle","")</f>
        <v/>
      </c>
      <c r="B2994" s="5">
        <f>IF(A2994="","",18)</f>
        <v/>
      </c>
      <c r="C2994" s="17" t="n">
        <v>46365</v>
      </c>
      <c r="D2994" s="5">
        <f>IF(A2994="","",IF(C2994=DATE(2026,11,29),"培训；注册午餐；早餐参数",IF(C2994=DATE(2026,11,30),"培训；注册午餐",IF(C2994=DATE(2026,12,1),"培训；注册午餐；机构晚餐",IF(C2994=Options!$B$9,"抵达；"&amp;IF(C2994=DATE(2026,11,28),"机构晚餐","无统一供餐"),IF(C2994=Options!$B$10,"返程；"&amp;IF(C2994=DATE(2026,12,2),"机构午餐","无统一供餐"),"差旅状态；无统一日程"))))))</f>
        <v/>
      </c>
      <c r="E2994" s="13">
        <f>IF(C2994=Options!$B$9,Options!$C$22,0)</f>
        <v/>
      </c>
      <c r="F2994" s="13">
        <f>IF(AND(A2994&lt;&gt;"",C2994&lt;Options!$B$10),B2994*Options!$X$9,0)</f>
        <v/>
      </c>
      <c r="G2994" s="13">
        <f>F2994*12%</f>
        <v/>
      </c>
      <c r="H2994" s="13">
        <f>IF(A2994="",0,B2994*(92*IF(OR(C2994=Options!$B$9,C2994=Options!$B$10),75%,100%)-IF(C2994=DATE(2026,11,29),26+IF(Options!$B$8="是",23,0),0)-IF(C2994=DATE(2026,11,30),26,0)-IF(C2994=DATE(2026,12,1),64,0)-IF(C2994=DATE(2026,11,28),38,0)-IF(C2994=DATE(2026,12,2),26,0)))</f>
        <v/>
      </c>
      <c r="I2994" s="13">
        <f>IF(AND(C2994&gt;=DATE(2026,11,29),C2994&lt;=DATE(2026,12,1)),B2994*60,0)</f>
        <v/>
      </c>
      <c r="J2994" s="13">
        <f>IF(A2994="",0,B2994*(IF(C2994=DATE(2026,11,28),38,0)+IF(C2994=DATE(2026,12,1),38,0)+IF(C2994=DATE(2026,12,2),26,0)))</f>
        <v/>
      </c>
      <c r="K2994" s="13">
        <f>IF(C2994=Options!$B$9,B2994*12,0)</f>
        <v/>
      </c>
      <c r="L2994" s="13">
        <f>IF(C2994=Options!$B$9,B2994*Options!$Z$9,0)</f>
        <v/>
      </c>
      <c r="M2994" s="13" t="n">
        <v>0</v>
      </c>
      <c r="N2994" s="13">
        <f>SUM(E2994:M2994)</f>
        <v/>
      </c>
    </row>
    <row r="2995">
      <c r="A2995" s="5">
        <f>IF(AND(C2995&gt;=Options!$B$9,C2995&lt;=Options!$B$10),"Seattle","")</f>
        <v/>
      </c>
      <c r="B2995" s="5">
        <f>IF(A2995="","",18)</f>
        <v/>
      </c>
      <c r="C2995" s="17" t="n">
        <v>46366</v>
      </c>
      <c r="D2995" s="5">
        <f>IF(A2995="","",IF(C2995=DATE(2026,11,29),"培训；注册午餐；早餐参数",IF(C2995=DATE(2026,11,30),"培训；注册午餐",IF(C2995=DATE(2026,12,1),"培训；注册午餐；机构晚餐",IF(C2995=Options!$B$9,"抵达；"&amp;IF(C2995=DATE(2026,11,28),"机构晚餐","无统一供餐"),IF(C2995=Options!$B$10,"返程；"&amp;IF(C2995=DATE(2026,12,2),"机构午餐","无统一供餐"),"差旅状态；无统一日程"))))))</f>
        <v/>
      </c>
      <c r="E2995" s="13">
        <f>IF(C2995=Options!$B$9,Options!$C$22,0)</f>
        <v/>
      </c>
      <c r="F2995" s="13">
        <f>IF(AND(A2995&lt;&gt;"",C2995&lt;Options!$B$10),B2995*Options!$X$9,0)</f>
        <v/>
      </c>
      <c r="G2995" s="13">
        <f>F2995*12%</f>
        <v/>
      </c>
      <c r="H2995" s="13">
        <f>IF(A2995="",0,B2995*(92*IF(OR(C2995=Options!$B$9,C2995=Options!$B$10),75%,100%)-IF(C2995=DATE(2026,11,29),26+IF(Options!$B$8="是",23,0),0)-IF(C2995=DATE(2026,11,30),26,0)-IF(C2995=DATE(2026,12,1),64,0)-IF(C2995=DATE(2026,11,28),38,0)-IF(C2995=DATE(2026,12,2),26,0)))</f>
        <v/>
      </c>
      <c r="I2995" s="13">
        <f>IF(AND(C2995&gt;=DATE(2026,11,29),C2995&lt;=DATE(2026,12,1)),B2995*60,0)</f>
        <v/>
      </c>
      <c r="J2995" s="13">
        <f>IF(A2995="",0,B2995*(IF(C2995=DATE(2026,11,28),38,0)+IF(C2995=DATE(2026,12,1),38,0)+IF(C2995=DATE(2026,12,2),26,0)))</f>
        <v/>
      </c>
      <c r="K2995" s="13">
        <f>IF(C2995=Options!$B$9,B2995*12,0)</f>
        <v/>
      </c>
      <c r="L2995" s="13">
        <f>IF(C2995=Options!$B$9,B2995*Options!$Z$9,0)</f>
        <v/>
      </c>
      <c r="M2995" s="13" t="n">
        <v>0</v>
      </c>
      <c r="N2995" s="13">
        <f>SUM(E2995:M2995)</f>
        <v/>
      </c>
    </row>
    <row r="2996">
      <c r="A2996" s="5">
        <f>IF(AND(C2996&gt;=Options!$B$9,C2996&lt;=Options!$B$10),"Seattle","")</f>
        <v/>
      </c>
      <c r="B2996" s="5">
        <f>IF(A2996="","",18)</f>
        <v/>
      </c>
      <c r="C2996" s="17" t="n">
        <v>46367</v>
      </c>
      <c r="D2996" s="5">
        <f>IF(A2996="","",IF(C2996=DATE(2026,11,29),"培训；注册午餐；早餐参数",IF(C2996=DATE(2026,11,30),"培训；注册午餐",IF(C2996=DATE(2026,12,1),"培训；注册午餐；机构晚餐",IF(C2996=Options!$B$9,"抵达；"&amp;IF(C2996=DATE(2026,11,28),"机构晚餐","无统一供餐"),IF(C2996=Options!$B$10,"返程；"&amp;IF(C2996=DATE(2026,12,2),"机构午餐","无统一供餐"),"差旅状态；无统一日程"))))))</f>
        <v/>
      </c>
      <c r="E2996" s="13">
        <f>IF(C2996=Options!$B$9,Options!$C$22,0)</f>
        <v/>
      </c>
      <c r="F2996" s="13">
        <f>IF(AND(A2996&lt;&gt;"",C2996&lt;Options!$B$10),B2996*Options!$X$9,0)</f>
        <v/>
      </c>
      <c r="G2996" s="13">
        <f>F2996*12%</f>
        <v/>
      </c>
      <c r="H2996" s="13">
        <f>IF(A2996="",0,B2996*(92*IF(OR(C2996=Options!$B$9,C2996=Options!$B$10),75%,100%)-IF(C2996=DATE(2026,11,29),26+IF(Options!$B$8="是",23,0),0)-IF(C2996=DATE(2026,11,30),26,0)-IF(C2996=DATE(2026,12,1),64,0)-IF(C2996=DATE(2026,11,28),38,0)-IF(C2996=DATE(2026,12,2),26,0)))</f>
        <v/>
      </c>
      <c r="I2996" s="13">
        <f>IF(AND(C2996&gt;=DATE(2026,11,29),C2996&lt;=DATE(2026,12,1)),B2996*60,0)</f>
        <v/>
      </c>
      <c r="J2996" s="13">
        <f>IF(A2996="",0,B2996*(IF(C2996=DATE(2026,11,28),38,0)+IF(C2996=DATE(2026,12,1),38,0)+IF(C2996=DATE(2026,12,2),26,0)))</f>
        <v/>
      </c>
      <c r="K2996" s="13">
        <f>IF(C2996=Options!$B$9,B2996*12,0)</f>
        <v/>
      </c>
      <c r="L2996" s="13">
        <f>IF(C2996=Options!$B$9,B2996*Options!$Z$9,0)</f>
        <v/>
      </c>
      <c r="M2996" s="13" t="n">
        <v>0</v>
      </c>
      <c r="N2996" s="13">
        <f>SUM(E2996:M2996)</f>
        <v/>
      </c>
    </row>
    <row r="2997">
      <c r="A2997" s="5">
        <f>IF(AND(C2997&gt;=Options!$B$9,C2997&lt;=Options!$B$10),"Seattle","")</f>
        <v/>
      </c>
      <c r="B2997" s="5">
        <f>IF(A2997="","",18)</f>
        <v/>
      </c>
      <c r="C2997" s="17" t="n">
        <v>46368</v>
      </c>
      <c r="D2997" s="5">
        <f>IF(A2997="","",IF(C2997=DATE(2026,11,29),"培训；注册午餐；早餐参数",IF(C2997=DATE(2026,11,30),"培训；注册午餐",IF(C2997=DATE(2026,12,1),"培训；注册午餐；机构晚餐",IF(C2997=Options!$B$9,"抵达；"&amp;IF(C2997=DATE(2026,11,28),"机构晚餐","无统一供餐"),IF(C2997=Options!$B$10,"返程；"&amp;IF(C2997=DATE(2026,12,2),"机构午餐","无统一供餐"),"差旅状态；无统一日程"))))))</f>
        <v/>
      </c>
      <c r="E2997" s="13">
        <f>IF(C2997=Options!$B$9,Options!$C$22,0)</f>
        <v/>
      </c>
      <c r="F2997" s="13">
        <f>IF(AND(A2997&lt;&gt;"",C2997&lt;Options!$B$10),B2997*Options!$X$9,0)</f>
        <v/>
      </c>
      <c r="G2997" s="13">
        <f>F2997*12%</f>
        <v/>
      </c>
      <c r="H2997" s="13">
        <f>IF(A2997="",0,B2997*(92*IF(OR(C2997=Options!$B$9,C2997=Options!$B$10),75%,100%)-IF(C2997=DATE(2026,11,29),26+IF(Options!$B$8="是",23,0),0)-IF(C2997=DATE(2026,11,30),26,0)-IF(C2997=DATE(2026,12,1),64,0)-IF(C2997=DATE(2026,11,28),38,0)-IF(C2997=DATE(2026,12,2),26,0)))</f>
        <v/>
      </c>
      <c r="I2997" s="13">
        <f>IF(AND(C2997&gt;=DATE(2026,11,29),C2997&lt;=DATE(2026,12,1)),B2997*60,0)</f>
        <v/>
      </c>
      <c r="J2997" s="13">
        <f>IF(A2997="",0,B2997*(IF(C2997=DATE(2026,11,28),38,0)+IF(C2997=DATE(2026,12,1),38,0)+IF(C2997=DATE(2026,12,2),26,0)))</f>
        <v/>
      </c>
      <c r="K2997" s="13">
        <f>IF(C2997=Options!$B$9,B2997*12,0)</f>
        <v/>
      </c>
      <c r="L2997" s="13">
        <f>IF(C2997=Options!$B$9,B2997*Options!$Z$9,0)</f>
        <v/>
      </c>
      <c r="M2997" s="13" t="n">
        <v>0</v>
      </c>
      <c r="N2997" s="13">
        <f>SUM(E2997:M2997)</f>
        <v/>
      </c>
    </row>
    <row r="2998">
      <c r="A2998" s="5">
        <f>IF(AND(C2998&gt;=Options!$B$9,C2998&lt;=Options!$B$10),"Seattle","")</f>
        <v/>
      </c>
      <c r="B2998" s="5">
        <f>IF(A2998="","",18)</f>
        <v/>
      </c>
      <c r="C2998" s="17" t="n">
        <v>46369</v>
      </c>
      <c r="D2998" s="5">
        <f>IF(A2998="","",IF(C2998=DATE(2026,11,29),"培训；注册午餐；早餐参数",IF(C2998=DATE(2026,11,30),"培训；注册午餐",IF(C2998=DATE(2026,12,1),"培训；注册午餐；机构晚餐",IF(C2998=Options!$B$9,"抵达；"&amp;IF(C2998=DATE(2026,11,28),"机构晚餐","无统一供餐"),IF(C2998=Options!$B$10,"返程；"&amp;IF(C2998=DATE(2026,12,2),"机构午餐","无统一供餐"),"差旅状态；无统一日程"))))))</f>
        <v/>
      </c>
      <c r="E2998" s="13">
        <f>IF(C2998=Options!$B$9,Options!$C$22,0)</f>
        <v/>
      </c>
      <c r="F2998" s="13">
        <f>IF(AND(A2998&lt;&gt;"",C2998&lt;Options!$B$10),B2998*Options!$X$9,0)</f>
        <v/>
      </c>
      <c r="G2998" s="13">
        <f>F2998*12%</f>
        <v/>
      </c>
      <c r="H2998" s="13">
        <f>IF(A2998="",0,B2998*(92*IF(OR(C2998=Options!$B$9,C2998=Options!$B$10),75%,100%)-IF(C2998=DATE(2026,11,29),26+IF(Options!$B$8="是",23,0),0)-IF(C2998=DATE(2026,11,30),26,0)-IF(C2998=DATE(2026,12,1),64,0)-IF(C2998=DATE(2026,11,28),38,0)-IF(C2998=DATE(2026,12,2),26,0)))</f>
        <v/>
      </c>
      <c r="I2998" s="13">
        <f>IF(AND(C2998&gt;=DATE(2026,11,29),C2998&lt;=DATE(2026,12,1)),B2998*60,0)</f>
        <v/>
      </c>
      <c r="J2998" s="13">
        <f>IF(A2998="",0,B2998*(IF(C2998=DATE(2026,11,28),38,0)+IF(C2998=DATE(2026,12,1),38,0)+IF(C2998=DATE(2026,12,2),26,0)))</f>
        <v/>
      </c>
      <c r="K2998" s="13">
        <f>IF(C2998=Options!$B$9,B2998*12,0)</f>
        <v/>
      </c>
      <c r="L2998" s="13">
        <f>IF(C2998=Options!$B$9,B2998*Options!$Z$9,0)</f>
        <v/>
      </c>
      <c r="M2998" s="13" t="n">
        <v>0</v>
      </c>
      <c r="N2998" s="13">
        <f>SUM(E2998:M2998)</f>
        <v/>
      </c>
    </row>
    <row r="2999">
      <c r="A2999" s="5">
        <f>IF(AND(C2999&gt;=Options!$B$9,C2999&lt;=Options!$B$10),"Seattle","")</f>
        <v/>
      </c>
      <c r="B2999" s="5">
        <f>IF(A2999="","",18)</f>
        <v/>
      </c>
      <c r="C2999" s="17" t="n">
        <v>46370</v>
      </c>
      <c r="D2999" s="5">
        <f>IF(A2999="","",IF(C2999=DATE(2026,11,29),"培训；注册午餐；早餐参数",IF(C2999=DATE(2026,11,30),"培训；注册午餐",IF(C2999=DATE(2026,12,1),"培训；注册午餐；机构晚餐",IF(C2999=Options!$B$9,"抵达；"&amp;IF(C2999=DATE(2026,11,28),"机构晚餐","无统一供餐"),IF(C2999=Options!$B$10,"返程；"&amp;IF(C2999=DATE(2026,12,2),"机构午餐","无统一供餐"),"差旅状态；无统一日程"))))))</f>
        <v/>
      </c>
      <c r="E2999" s="13">
        <f>IF(C2999=Options!$B$9,Options!$C$22,0)</f>
        <v/>
      </c>
      <c r="F2999" s="13">
        <f>IF(AND(A2999&lt;&gt;"",C2999&lt;Options!$B$10),B2999*Options!$X$9,0)</f>
        <v/>
      </c>
      <c r="G2999" s="13">
        <f>F2999*12%</f>
        <v/>
      </c>
      <c r="H2999" s="13">
        <f>IF(A2999="",0,B2999*(92*IF(OR(C2999=Options!$B$9,C2999=Options!$B$10),75%,100%)-IF(C2999=DATE(2026,11,29),26+IF(Options!$B$8="是",23,0),0)-IF(C2999=DATE(2026,11,30),26,0)-IF(C2999=DATE(2026,12,1),64,0)-IF(C2999=DATE(2026,11,28),38,0)-IF(C2999=DATE(2026,12,2),26,0)))</f>
        <v/>
      </c>
      <c r="I2999" s="13">
        <f>IF(AND(C2999&gt;=DATE(2026,11,29),C2999&lt;=DATE(2026,12,1)),B2999*60,0)</f>
        <v/>
      </c>
      <c r="J2999" s="13">
        <f>IF(A2999="",0,B2999*(IF(C2999=DATE(2026,11,28),38,0)+IF(C2999=DATE(2026,12,1),38,0)+IF(C2999=DATE(2026,12,2),26,0)))</f>
        <v/>
      </c>
      <c r="K2999" s="13">
        <f>IF(C2999=Options!$B$9,B2999*12,0)</f>
        <v/>
      </c>
      <c r="L2999" s="13">
        <f>IF(C2999=Options!$B$9,B2999*Options!$Z$9,0)</f>
        <v/>
      </c>
      <c r="M2999" s="13" t="n">
        <v>0</v>
      </c>
      <c r="N2999" s="13">
        <f>SUM(E2999:M2999)</f>
        <v/>
      </c>
    </row>
    <row r="3000">
      <c r="A3000" s="5">
        <f>IF(AND(C3000&gt;=Options!$B$9,C3000&lt;=Options!$B$10),"Seattle","")</f>
        <v/>
      </c>
      <c r="B3000" s="5">
        <f>IF(A3000="","",18)</f>
        <v/>
      </c>
      <c r="C3000" s="17" t="n">
        <v>46371</v>
      </c>
      <c r="D3000" s="5">
        <f>IF(A3000="","",IF(C3000=DATE(2026,11,29),"培训；注册午餐；早餐参数",IF(C3000=DATE(2026,11,30),"培训；注册午餐",IF(C3000=DATE(2026,12,1),"培训；注册午餐；机构晚餐",IF(C3000=Options!$B$9,"抵达；"&amp;IF(C3000=DATE(2026,11,28),"机构晚餐","无统一供餐"),IF(C3000=Options!$B$10,"返程；"&amp;IF(C3000=DATE(2026,12,2),"机构午餐","无统一供餐"),"差旅状态；无统一日程"))))))</f>
        <v/>
      </c>
      <c r="E3000" s="13">
        <f>IF(C3000=Options!$B$9,Options!$C$22,0)</f>
        <v/>
      </c>
      <c r="F3000" s="13">
        <f>IF(AND(A3000&lt;&gt;"",C3000&lt;Options!$B$10),B3000*Options!$X$9,0)</f>
        <v/>
      </c>
      <c r="G3000" s="13">
        <f>F3000*12%</f>
        <v/>
      </c>
      <c r="H3000" s="13">
        <f>IF(A3000="",0,B3000*(92*IF(OR(C3000=Options!$B$9,C3000=Options!$B$10),75%,100%)-IF(C3000=DATE(2026,11,29),26+IF(Options!$B$8="是",23,0),0)-IF(C3000=DATE(2026,11,30),26,0)-IF(C3000=DATE(2026,12,1),64,0)-IF(C3000=DATE(2026,11,28),38,0)-IF(C3000=DATE(2026,12,2),26,0)))</f>
        <v/>
      </c>
      <c r="I3000" s="13">
        <f>IF(AND(C3000&gt;=DATE(2026,11,29),C3000&lt;=DATE(2026,12,1)),B3000*60,0)</f>
        <v/>
      </c>
      <c r="J3000" s="13">
        <f>IF(A3000="",0,B3000*(IF(C3000=DATE(2026,11,28),38,0)+IF(C3000=DATE(2026,12,1),38,0)+IF(C3000=DATE(2026,12,2),26,0)))</f>
        <v/>
      </c>
      <c r="K3000" s="13">
        <f>IF(C3000=Options!$B$9,B3000*12,0)</f>
        <v/>
      </c>
      <c r="L3000" s="13">
        <f>IF(C3000=Options!$B$9,B3000*Options!$Z$9,0)</f>
        <v/>
      </c>
      <c r="M3000" s="13" t="n">
        <v>0</v>
      </c>
      <c r="N3000" s="13">
        <f>SUM(E3000:M3000)</f>
        <v/>
      </c>
    </row>
    <row r="3001">
      <c r="A3001" s="5">
        <f>IF(AND(C3001&gt;=Options!$B$9,C3001&lt;=Options!$B$10),"Seattle","")</f>
        <v/>
      </c>
      <c r="B3001" s="5">
        <f>IF(A3001="","",18)</f>
        <v/>
      </c>
      <c r="C3001" s="17" t="n">
        <v>46372</v>
      </c>
      <c r="D3001" s="5">
        <f>IF(A3001="","",IF(C3001=DATE(2026,11,29),"培训；注册午餐；早餐参数",IF(C3001=DATE(2026,11,30),"培训；注册午餐",IF(C3001=DATE(2026,12,1),"培训；注册午餐；机构晚餐",IF(C3001=Options!$B$9,"抵达；"&amp;IF(C3001=DATE(2026,11,28),"机构晚餐","无统一供餐"),IF(C3001=Options!$B$10,"返程；"&amp;IF(C3001=DATE(2026,12,2),"机构午餐","无统一供餐"),"差旅状态；无统一日程"))))))</f>
        <v/>
      </c>
      <c r="E3001" s="13">
        <f>IF(C3001=Options!$B$9,Options!$C$22,0)</f>
        <v/>
      </c>
      <c r="F3001" s="13">
        <f>IF(AND(A3001&lt;&gt;"",C3001&lt;Options!$B$10),B3001*Options!$X$9,0)</f>
        <v/>
      </c>
      <c r="G3001" s="13">
        <f>F3001*12%</f>
        <v/>
      </c>
      <c r="H3001" s="13">
        <f>IF(A3001="",0,B3001*(92*IF(OR(C3001=Options!$B$9,C3001=Options!$B$10),75%,100%)-IF(C3001=DATE(2026,11,29),26+IF(Options!$B$8="是",23,0),0)-IF(C3001=DATE(2026,11,30),26,0)-IF(C3001=DATE(2026,12,1),64,0)-IF(C3001=DATE(2026,11,28),38,0)-IF(C3001=DATE(2026,12,2),26,0)))</f>
        <v/>
      </c>
      <c r="I3001" s="13">
        <f>IF(AND(C3001&gt;=DATE(2026,11,29),C3001&lt;=DATE(2026,12,1)),B3001*60,0)</f>
        <v/>
      </c>
      <c r="J3001" s="13">
        <f>IF(A3001="",0,B3001*(IF(C3001=DATE(2026,11,28),38,0)+IF(C3001=DATE(2026,12,1),38,0)+IF(C3001=DATE(2026,12,2),26,0)))</f>
        <v/>
      </c>
      <c r="K3001" s="13">
        <f>IF(C3001=Options!$B$9,B3001*12,0)</f>
        <v/>
      </c>
      <c r="L3001" s="13">
        <f>IF(C3001=Options!$B$9,B3001*Options!$Z$9,0)</f>
        <v/>
      </c>
      <c r="M3001" s="13" t="n">
        <v>0</v>
      </c>
      <c r="N3001" s="13">
        <f>SUM(E3001:M3001)</f>
        <v/>
      </c>
    </row>
    <row r="3002">
      <c r="A3002" s="5">
        <f>IF(AND(C3002&gt;=Options!$B$9,C3002&lt;=Options!$B$10),"Seattle","")</f>
        <v/>
      </c>
      <c r="B3002" s="5">
        <f>IF(A3002="","",18)</f>
        <v/>
      </c>
      <c r="C3002" s="17" t="n">
        <v>46373</v>
      </c>
      <c r="D3002" s="5">
        <f>IF(A3002="","",IF(C3002=DATE(2026,11,29),"培训；注册午餐；早餐参数",IF(C3002=DATE(2026,11,30),"培训；注册午餐",IF(C3002=DATE(2026,12,1),"培训；注册午餐；机构晚餐",IF(C3002=Options!$B$9,"抵达；"&amp;IF(C3002=DATE(2026,11,28),"机构晚餐","无统一供餐"),IF(C3002=Options!$B$10,"返程；"&amp;IF(C3002=DATE(2026,12,2),"机构午餐","无统一供餐"),"差旅状态；无统一日程"))))))</f>
        <v/>
      </c>
      <c r="E3002" s="13">
        <f>IF(C3002=Options!$B$9,Options!$C$22,0)</f>
        <v/>
      </c>
      <c r="F3002" s="13">
        <f>IF(AND(A3002&lt;&gt;"",C3002&lt;Options!$B$10),B3002*Options!$X$9,0)</f>
        <v/>
      </c>
      <c r="G3002" s="13">
        <f>F3002*12%</f>
        <v/>
      </c>
      <c r="H3002" s="13">
        <f>IF(A3002="",0,B3002*(92*IF(OR(C3002=Options!$B$9,C3002=Options!$B$10),75%,100%)-IF(C3002=DATE(2026,11,29),26+IF(Options!$B$8="是",23,0),0)-IF(C3002=DATE(2026,11,30),26,0)-IF(C3002=DATE(2026,12,1),64,0)-IF(C3002=DATE(2026,11,28),38,0)-IF(C3002=DATE(2026,12,2),26,0)))</f>
        <v/>
      </c>
      <c r="I3002" s="13">
        <f>IF(AND(C3002&gt;=DATE(2026,11,29),C3002&lt;=DATE(2026,12,1)),B3002*60,0)</f>
        <v/>
      </c>
      <c r="J3002" s="13">
        <f>IF(A3002="",0,B3002*(IF(C3002=DATE(2026,11,28),38,0)+IF(C3002=DATE(2026,12,1),38,0)+IF(C3002=DATE(2026,12,2),26,0)))</f>
        <v/>
      </c>
      <c r="K3002" s="13">
        <f>IF(C3002=Options!$B$9,B3002*12,0)</f>
        <v/>
      </c>
      <c r="L3002" s="13">
        <f>IF(C3002=Options!$B$9,B3002*Options!$Z$9,0)</f>
        <v/>
      </c>
      <c r="M3002" s="13" t="n">
        <v>0</v>
      </c>
      <c r="N3002" s="13">
        <f>SUM(E3002:M3002)</f>
        <v/>
      </c>
    </row>
    <row r="3003">
      <c r="A3003" s="5">
        <f>IF(AND(C3003&gt;=Options!$B$9,C3003&lt;=Options!$B$10),"Seattle","")</f>
        <v/>
      </c>
      <c r="B3003" s="5">
        <f>IF(A3003="","",18)</f>
        <v/>
      </c>
      <c r="C3003" s="17" t="n">
        <v>46374</v>
      </c>
      <c r="D3003" s="5">
        <f>IF(A3003="","",IF(C3003=DATE(2026,11,29),"培训；注册午餐；早餐参数",IF(C3003=DATE(2026,11,30),"培训；注册午餐",IF(C3003=DATE(2026,12,1),"培训；注册午餐；机构晚餐",IF(C3003=Options!$B$9,"抵达；"&amp;IF(C3003=DATE(2026,11,28),"机构晚餐","无统一供餐"),IF(C3003=Options!$B$10,"返程；"&amp;IF(C3003=DATE(2026,12,2),"机构午餐","无统一供餐"),"差旅状态；无统一日程"))))))</f>
        <v/>
      </c>
      <c r="E3003" s="13">
        <f>IF(C3003=Options!$B$9,Options!$C$22,0)</f>
        <v/>
      </c>
      <c r="F3003" s="13">
        <f>IF(AND(A3003&lt;&gt;"",C3003&lt;Options!$B$10),B3003*Options!$X$9,0)</f>
        <v/>
      </c>
      <c r="G3003" s="13">
        <f>F3003*12%</f>
        <v/>
      </c>
      <c r="H3003" s="13">
        <f>IF(A3003="",0,B3003*(92*IF(OR(C3003=Options!$B$9,C3003=Options!$B$10),75%,100%)-IF(C3003=DATE(2026,11,29),26+IF(Options!$B$8="是",23,0),0)-IF(C3003=DATE(2026,11,30),26,0)-IF(C3003=DATE(2026,12,1),64,0)-IF(C3003=DATE(2026,11,28),38,0)-IF(C3003=DATE(2026,12,2),26,0)))</f>
        <v/>
      </c>
      <c r="I3003" s="13">
        <f>IF(AND(C3003&gt;=DATE(2026,11,29),C3003&lt;=DATE(2026,12,1)),B3003*60,0)</f>
        <v/>
      </c>
      <c r="J3003" s="13">
        <f>IF(A3003="",0,B3003*(IF(C3003=DATE(2026,11,28),38,0)+IF(C3003=DATE(2026,12,1),38,0)+IF(C3003=DATE(2026,12,2),26,0)))</f>
        <v/>
      </c>
      <c r="K3003" s="13">
        <f>IF(C3003=Options!$B$9,B3003*12,0)</f>
        <v/>
      </c>
      <c r="L3003" s="13">
        <f>IF(C3003=Options!$B$9,B3003*Options!$Z$9,0)</f>
        <v/>
      </c>
      <c r="M3003" s="13" t="n">
        <v>0</v>
      </c>
      <c r="N3003" s="13">
        <f>SUM(E3003:M3003)</f>
        <v/>
      </c>
    </row>
    <row r="3004">
      <c r="A3004" s="5">
        <f>IF(AND(C3004&gt;=Options!$B$9,C3004&lt;=Options!$B$10),"Seattle","")</f>
        <v/>
      </c>
      <c r="B3004" s="5">
        <f>IF(A3004="","",18)</f>
        <v/>
      </c>
      <c r="C3004" s="17" t="n">
        <v>46375</v>
      </c>
      <c r="D3004" s="5">
        <f>IF(A3004="","",IF(C3004=DATE(2026,11,29),"培训；注册午餐；早餐参数",IF(C3004=DATE(2026,11,30),"培训；注册午餐",IF(C3004=DATE(2026,12,1),"培训；注册午餐；机构晚餐",IF(C3004=Options!$B$9,"抵达；"&amp;IF(C3004=DATE(2026,11,28),"机构晚餐","无统一供餐"),IF(C3004=Options!$B$10,"返程；"&amp;IF(C3004=DATE(2026,12,2),"机构午餐","无统一供餐"),"差旅状态；无统一日程"))))))</f>
        <v/>
      </c>
      <c r="E3004" s="13">
        <f>IF(C3004=Options!$B$9,Options!$C$22,0)</f>
        <v/>
      </c>
      <c r="F3004" s="13">
        <f>IF(AND(A3004&lt;&gt;"",C3004&lt;Options!$B$10),B3004*Options!$X$9,0)</f>
        <v/>
      </c>
      <c r="G3004" s="13">
        <f>F3004*12%</f>
        <v/>
      </c>
      <c r="H3004" s="13">
        <f>IF(A3004="",0,B3004*(92*IF(OR(C3004=Options!$B$9,C3004=Options!$B$10),75%,100%)-IF(C3004=DATE(2026,11,29),26+IF(Options!$B$8="是",23,0),0)-IF(C3004=DATE(2026,11,30),26,0)-IF(C3004=DATE(2026,12,1),64,0)-IF(C3004=DATE(2026,11,28),38,0)-IF(C3004=DATE(2026,12,2),26,0)))</f>
        <v/>
      </c>
      <c r="I3004" s="13">
        <f>IF(AND(C3004&gt;=DATE(2026,11,29),C3004&lt;=DATE(2026,12,1)),B3004*60,0)</f>
        <v/>
      </c>
      <c r="J3004" s="13">
        <f>IF(A3004="",0,B3004*(IF(C3004=DATE(2026,11,28),38,0)+IF(C3004=DATE(2026,12,1),38,0)+IF(C3004=DATE(2026,12,2),26,0)))</f>
        <v/>
      </c>
      <c r="K3004" s="13">
        <f>IF(C3004=Options!$B$9,B3004*12,0)</f>
        <v/>
      </c>
      <c r="L3004" s="13">
        <f>IF(C3004=Options!$B$9,B3004*Options!$Z$9,0)</f>
        <v/>
      </c>
      <c r="M3004" s="13" t="n">
        <v>0</v>
      </c>
      <c r="N3004" s="13">
        <f>SUM(E3004:M3004)</f>
        <v/>
      </c>
    </row>
    <row r="3005">
      <c r="A3005" s="5">
        <f>IF(AND(C3005&gt;=Options!$B$9,C3005&lt;=Options!$B$10),"Seattle","")</f>
        <v/>
      </c>
      <c r="B3005" s="5">
        <f>IF(A3005="","",18)</f>
        <v/>
      </c>
      <c r="C3005" s="17" t="n">
        <v>46376</v>
      </c>
      <c r="D3005" s="5">
        <f>IF(A3005="","",IF(C3005=DATE(2026,11,29),"培训；注册午餐；早餐参数",IF(C3005=DATE(2026,11,30),"培训；注册午餐",IF(C3005=DATE(2026,12,1),"培训；注册午餐；机构晚餐",IF(C3005=Options!$B$9,"抵达；"&amp;IF(C3005=DATE(2026,11,28),"机构晚餐","无统一供餐"),IF(C3005=Options!$B$10,"返程；"&amp;IF(C3005=DATE(2026,12,2),"机构午餐","无统一供餐"),"差旅状态；无统一日程"))))))</f>
        <v/>
      </c>
      <c r="E3005" s="13">
        <f>IF(C3005=Options!$B$9,Options!$C$22,0)</f>
        <v/>
      </c>
      <c r="F3005" s="13">
        <f>IF(AND(A3005&lt;&gt;"",C3005&lt;Options!$B$10),B3005*Options!$X$9,0)</f>
        <v/>
      </c>
      <c r="G3005" s="13">
        <f>F3005*12%</f>
        <v/>
      </c>
      <c r="H3005" s="13">
        <f>IF(A3005="",0,B3005*(92*IF(OR(C3005=Options!$B$9,C3005=Options!$B$10),75%,100%)-IF(C3005=DATE(2026,11,29),26+IF(Options!$B$8="是",23,0),0)-IF(C3005=DATE(2026,11,30),26,0)-IF(C3005=DATE(2026,12,1),64,0)-IF(C3005=DATE(2026,11,28),38,0)-IF(C3005=DATE(2026,12,2),26,0)))</f>
        <v/>
      </c>
      <c r="I3005" s="13">
        <f>IF(AND(C3005&gt;=DATE(2026,11,29),C3005&lt;=DATE(2026,12,1)),B3005*60,0)</f>
        <v/>
      </c>
      <c r="J3005" s="13">
        <f>IF(A3005="",0,B3005*(IF(C3005=DATE(2026,11,28),38,0)+IF(C3005=DATE(2026,12,1),38,0)+IF(C3005=DATE(2026,12,2),26,0)))</f>
        <v/>
      </c>
      <c r="K3005" s="13">
        <f>IF(C3005=Options!$B$9,B3005*12,0)</f>
        <v/>
      </c>
      <c r="L3005" s="13">
        <f>IF(C3005=Options!$B$9,B3005*Options!$Z$9,0)</f>
        <v/>
      </c>
      <c r="M3005" s="13" t="n">
        <v>0</v>
      </c>
      <c r="N3005" s="13">
        <f>SUM(E3005:M3005)</f>
        <v/>
      </c>
    </row>
    <row r="3006">
      <c r="A3006" s="5">
        <f>IF(AND(C3006&gt;=Options!$B$9,C3006&lt;=Options!$B$10),"Seattle","")</f>
        <v/>
      </c>
      <c r="B3006" s="5">
        <f>IF(A3006="","",18)</f>
        <v/>
      </c>
      <c r="C3006" s="17" t="n">
        <v>46377</v>
      </c>
      <c r="D3006" s="5">
        <f>IF(A3006="","",IF(C3006=DATE(2026,11,29),"培训；注册午餐；早餐参数",IF(C3006=DATE(2026,11,30),"培训；注册午餐",IF(C3006=DATE(2026,12,1),"培训；注册午餐；机构晚餐",IF(C3006=Options!$B$9,"抵达；"&amp;IF(C3006=DATE(2026,11,28),"机构晚餐","无统一供餐"),IF(C3006=Options!$B$10,"返程；"&amp;IF(C3006=DATE(2026,12,2),"机构午餐","无统一供餐"),"差旅状态；无统一日程"))))))</f>
        <v/>
      </c>
      <c r="E3006" s="13">
        <f>IF(C3006=Options!$B$9,Options!$C$22,0)</f>
        <v/>
      </c>
      <c r="F3006" s="13">
        <f>IF(AND(A3006&lt;&gt;"",C3006&lt;Options!$B$10),B3006*Options!$X$9,0)</f>
        <v/>
      </c>
      <c r="G3006" s="13">
        <f>F3006*12%</f>
        <v/>
      </c>
      <c r="H3006" s="13">
        <f>IF(A3006="",0,B3006*(92*IF(OR(C3006=Options!$B$9,C3006=Options!$B$10),75%,100%)-IF(C3006=DATE(2026,11,29),26+IF(Options!$B$8="是",23,0),0)-IF(C3006=DATE(2026,11,30),26,0)-IF(C3006=DATE(2026,12,1),64,0)-IF(C3006=DATE(2026,11,28),38,0)-IF(C3006=DATE(2026,12,2),26,0)))</f>
        <v/>
      </c>
      <c r="I3006" s="13">
        <f>IF(AND(C3006&gt;=DATE(2026,11,29),C3006&lt;=DATE(2026,12,1)),B3006*60,0)</f>
        <v/>
      </c>
      <c r="J3006" s="13">
        <f>IF(A3006="",0,B3006*(IF(C3006=DATE(2026,11,28),38,0)+IF(C3006=DATE(2026,12,1),38,0)+IF(C3006=DATE(2026,12,2),26,0)))</f>
        <v/>
      </c>
      <c r="K3006" s="13">
        <f>IF(C3006=Options!$B$9,B3006*12,0)</f>
        <v/>
      </c>
      <c r="L3006" s="13">
        <f>IF(C3006=Options!$B$9,B3006*Options!$Z$9,0)</f>
        <v/>
      </c>
      <c r="M3006" s="13" t="n">
        <v>0</v>
      </c>
      <c r="N3006" s="13">
        <f>SUM(E3006:M3006)</f>
        <v/>
      </c>
    </row>
    <row r="3007">
      <c r="A3007" s="5">
        <f>IF(AND(C3007&gt;=Options!$B$9,C3007&lt;=Options!$B$10),"Seattle","")</f>
        <v/>
      </c>
      <c r="B3007" s="5">
        <f>IF(A3007="","",18)</f>
        <v/>
      </c>
      <c r="C3007" s="17" t="n">
        <v>46378</v>
      </c>
      <c r="D3007" s="5">
        <f>IF(A3007="","",IF(C3007=DATE(2026,11,29),"培训；注册午餐；早餐参数",IF(C3007=DATE(2026,11,30),"培训；注册午餐",IF(C3007=DATE(2026,12,1),"培训；注册午餐；机构晚餐",IF(C3007=Options!$B$9,"抵达；"&amp;IF(C3007=DATE(2026,11,28),"机构晚餐","无统一供餐"),IF(C3007=Options!$B$10,"返程；"&amp;IF(C3007=DATE(2026,12,2),"机构午餐","无统一供餐"),"差旅状态；无统一日程"))))))</f>
        <v/>
      </c>
      <c r="E3007" s="13">
        <f>IF(C3007=Options!$B$9,Options!$C$22,0)</f>
        <v/>
      </c>
      <c r="F3007" s="13">
        <f>IF(AND(A3007&lt;&gt;"",C3007&lt;Options!$B$10),B3007*Options!$X$9,0)</f>
        <v/>
      </c>
      <c r="G3007" s="13">
        <f>F3007*12%</f>
        <v/>
      </c>
      <c r="H3007" s="13">
        <f>IF(A3007="",0,B3007*(92*IF(OR(C3007=Options!$B$9,C3007=Options!$B$10),75%,100%)-IF(C3007=DATE(2026,11,29),26+IF(Options!$B$8="是",23,0),0)-IF(C3007=DATE(2026,11,30),26,0)-IF(C3007=DATE(2026,12,1),64,0)-IF(C3007=DATE(2026,11,28),38,0)-IF(C3007=DATE(2026,12,2),26,0)))</f>
        <v/>
      </c>
      <c r="I3007" s="13">
        <f>IF(AND(C3007&gt;=DATE(2026,11,29),C3007&lt;=DATE(2026,12,1)),B3007*60,0)</f>
        <v/>
      </c>
      <c r="J3007" s="13">
        <f>IF(A3007="",0,B3007*(IF(C3007=DATE(2026,11,28),38,0)+IF(C3007=DATE(2026,12,1),38,0)+IF(C3007=DATE(2026,12,2),26,0)))</f>
        <v/>
      </c>
      <c r="K3007" s="13">
        <f>IF(C3007=Options!$B$9,B3007*12,0)</f>
        <v/>
      </c>
      <c r="L3007" s="13">
        <f>IF(C3007=Options!$B$9,B3007*Options!$Z$9,0)</f>
        <v/>
      </c>
      <c r="M3007" s="13" t="n">
        <v>0</v>
      </c>
      <c r="N3007" s="13">
        <f>SUM(E3007:M3007)</f>
        <v/>
      </c>
    </row>
    <row r="3008">
      <c r="A3008" s="5">
        <f>IF(AND(C3008&gt;=Options!$B$9,C3008&lt;=Options!$B$10),"Seattle","")</f>
        <v/>
      </c>
      <c r="B3008" s="5">
        <f>IF(A3008="","",18)</f>
        <v/>
      </c>
      <c r="C3008" s="17" t="n">
        <v>46379</v>
      </c>
      <c r="D3008" s="5">
        <f>IF(A3008="","",IF(C3008=DATE(2026,11,29),"培训；注册午餐；早餐参数",IF(C3008=DATE(2026,11,30),"培训；注册午餐",IF(C3008=DATE(2026,12,1),"培训；注册午餐；机构晚餐",IF(C3008=Options!$B$9,"抵达；"&amp;IF(C3008=DATE(2026,11,28),"机构晚餐","无统一供餐"),IF(C3008=Options!$B$10,"返程；"&amp;IF(C3008=DATE(2026,12,2),"机构午餐","无统一供餐"),"差旅状态；无统一日程"))))))</f>
        <v/>
      </c>
      <c r="E3008" s="13">
        <f>IF(C3008=Options!$B$9,Options!$C$22,0)</f>
        <v/>
      </c>
      <c r="F3008" s="13">
        <f>IF(AND(A3008&lt;&gt;"",C3008&lt;Options!$B$10),B3008*Options!$X$9,0)</f>
        <v/>
      </c>
      <c r="G3008" s="13">
        <f>F3008*12%</f>
        <v/>
      </c>
      <c r="H3008" s="13">
        <f>IF(A3008="",0,B3008*(92*IF(OR(C3008=Options!$B$9,C3008=Options!$B$10),75%,100%)-IF(C3008=DATE(2026,11,29),26+IF(Options!$B$8="是",23,0),0)-IF(C3008=DATE(2026,11,30),26,0)-IF(C3008=DATE(2026,12,1),64,0)-IF(C3008=DATE(2026,11,28),38,0)-IF(C3008=DATE(2026,12,2),26,0)))</f>
        <v/>
      </c>
      <c r="I3008" s="13">
        <f>IF(AND(C3008&gt;=DATE(2026,11,29),C3008&lt;=DATE(2026,12,1)),B3008*60,0)</f>
        <v/>
      </c>
      <c r="J3008" s="13">
        <f>IF(A3008="",0,B3008*(IF(C3008=DATE(2026,11,28),38,0)+IF(C3008=DATE(2026,12,1),38,0)+IF(C3008=DATE(2026,12,2),26,0)))</f>
        <v/>
      </c>
      <c r="K3008" s="13">
        <f>IF(C3008=Options!$B$9,B3008*12,0)</f>
        <v/>
      </c>
      <c r="L3008" s="13">
        <f>IF(C3008=Options!$B$9,B3008*Options!$Z$9,0)</f>
        <v/>
      </c>
      <c r="M3008" s="13" t="n">
        <v>0</v>
      </c>
      <c r="N3008" s="13">
        <f>SUM(E3008:M3008)</f>
        <v/>
      </c>
    </row>
    <row r="3009">
      <c r="A3009" s="5">
        <f>IF(AND(C3009&gt;=Options!$B$9,C3009&lt;=Options!$B$10),"Seattle","")</f>
        <v/>
      </c>
      <c r="B3009" s="5">
        <f>IF(A3009="","",18)</f>
        <v/>
      </c>
      <c r="C3009" s="17" t="n">
        <v>46380</v>
      </c>
      <c r="D3009" s="5">
        <f>IF(A3009="","",IF(C3009=DATE(2026,11,29),"培训；注册午餐；早餐参数",IF(C3009=DATE(2026,11,30),"培训；注册午餐",IF(C3009=DATE(2026,12,1),"培训；注册午餐；机构晚餐",IF(C3009=Options!$B$9,"抵达；"&amp;IF(C3009=DATE(2026,11,28),"机构晚餐","无统一供餐"),IF(C3009=Options!$B$10,"返程；"&amp;IF(C3009=DATE(2026,12,2),"机构午餐","无统一供餐"),"差旅状态；无统一日程"))))))</f>
        <v/>
      </c>
      <c r="E3009" s="13">
        <f>IF(C3009=Options!$B$9,Options!$C$22,0)</f>
        <v/>
      </c>
      <c r="F3009" s="13">
        <f>IF(AND(A3009&lt;&gt;"",C3009&lt;Options!$B$10),B3009*Options!$X$9,0)</f>
        <v/>
      </c>
      <c r="G3009" s="13">
        <f>F3009*12%</f>
        <v/>
      </c>
      <c r="H3009" s="13">
        <f>IF(A3009="",0,B3009*(92*IF(OR(C3009=Options!$B$9,C3009=Options!$B$10),75%,100%)-IF(C3009=DATE(2026,11,29),26+IF(Options!$B$8="是",23,0),0)-IF(C3009=DATE(2026,11,30),26,0)-IF(C3009=DATE(2026,12,1),64,0)-IF(C3009=DATE(2026,11,28),38,0)-IF(C3009=DATE(2026,12,2),26,0)))</f>
        <v/>
      </c>
      <c r="I3009" s="13">
        <f>IF(AND(C3009&gt;=DATE(2026,11,29),C3009&lt;=DATE(2026,12,1)),B3009*60,0)</f>
        <v/>
      </c>
      <c r="J3009" s="13">
        <f>IF(A3009="",0,B3009*(IF(C3009=DATE(2026,11,28),38,0)+IF(C3009=DATE(2026,12,1),38,0)+IF(C3009=DATE(2026,12,2),26,0)))</f>
        <v/>
      </c>
      <c r="K3009" s="13">
        <f>IF(C3009=Options!$B$9,B3009*12,0)</f>
        <v/>
      </c>
      <c r="L3009" s="13">
        <f>IF(C3009=Options!$B$9,B3009*Options!$Z$9,0)</f>
        <v/>
      </c>
      <c r="M3009" s="13" t="n">
        <v>0</v>
      </c>
      <c r="N3009" s="13">
        <f>SUM(E3009:M3009)</f>
        <v/>
      </c>
    </row>
    <row r="3010">
      <c r="A3010" s="5">
        <f>IF(AND(C3010&gt;=Options!$B$9,C3010&lt;=Options!$B$10),"Seattle","")</f>
        <v/>
      </c>
      <c r="B3010" s="5">
        <f>IF(A3010="","",18)</f>
        <v/>
      </c>
      <c r="C3010" s="17" t="n">
        <v>46381</v>
      </c>
      <c r="D3010" s="5">
        <f>IF(A3010="","",IF(C3010=DATE(2026,11,29),"培训；注册午餐；早餐参数",IF(C3010=DATE(2026,11,30),"培训；注册午餐",IF(C3010=DATE(2026,12,1),"培训；注册午餐；机构晚餐",IF(C3010=Options!$B$9,"抵达；"&amp;IF(C3010=DATE(2026,11,28),"机构晚餐","无统一供餐"),IF(C3010=Options!$B$10,"返程；"&amp;IF(C3010=DATE(2026,12,2),"机构午餐","无统一供餐"),"差旅状态；无统一日程"))))))</f>
        <v/>
      </c>
      <c r="E3010" s="13">
        <f>IF(C3010=Options!$B$9,Options!$C$22,0)</f>
        <v/>
      </c>
      <c r="F3010" s="13">
        <f>IF(AND(A3010&lt;&gt;"",C3010&lt;Options!$B$10),B3010*Options!$X$9,0)</f>
        <v/>
      </c>
      <c r="G3010" s="13">
        <f>F3010*12%</f>
        <v/>
      </c>
      <c r="H3010" s="13">
        <f>IF(A3010="",0,B3010*(92*IF(OR(C3010=Options!$B$9,C3010=Options!$B$10),75%,100%)-IF(C3010=DATE(2026,11,29),26+IF(Options!$B$8="是",23,0),0)-IF(C3010=DATE(2026,11,30),26,0)-IF(C3010=DATE(2026,12,1),64,0)-IF(C3010=DATE(2026,11,28),38,0)-IF(C3010=DATE(2026,12,2),26,0)))</f>
        <v/>
      </c>
      <c r="I3010" s="13">
        <f>IF(AND(C3010&gt;=DATE(2026,11,29),C3010&lt;=DATE(2026,12,1)),B3010*60,0)</f>
        <v/>
      </c>
      <c r="J3010" s="13">
        <f>IF(A3010="",0,B3010*(IF(C3010=DATE(2026,11,28),38,0)+IF(C3010=DATE(2026,12,1),38,0)+IF(C3010=DATE(2026,12,2),26,0)))</f>
        <v/>
      </c>
      <c r="K3010" s="13">
        <f>IF(C3010=Options!$B$9,B3010*12,0)</f>
        <v/>
      </c>
      <c r="L3010" s="13">
        <f>IF(C3010=Options!$B$9,B3010*Options!$Z$9,0)</f>
        <v/>
      </c>
      <c r="M3010" s="13" t="n">
        <v>0</v>
      </c>
      <c r="N3010" s="13">
        <f>SUM(E3010:M3010)</f>
        <v/>
      </c>
    </row>
    <row r="3011">
      <c r="A3011" s="5">
        <f>IF(AND(C3011&gt;=Options!$B$9,C3011&lt;=Options!$B$10),"Seattle","")</f>
        <v/>
      </c>
      <c r="B3011" s="5">
        <f>IF(A3011="","",18)</f>
        <v/>
      </c>
      <c r="C3011" s="17" t="n">
        <v>46382</v>
      </c>
      <c r="D3011" s="5">
        <f>IF(A3011="","",IF(C3011=DATE(2026,11,29),"培训；注册午餐；早餐参数",IF(C3011=DATE(2026,11,30),"培训；注册午餐",IF(C3011=DATE(2026,12,1),"培训；注册午餐；机构晚餐",IF(C3011=Options!$B$9,"抵达；"&amp;IF(C3011=DATE(2026,11,28),"机构晚餐","无统一供餐"),IF(C3011=Options!$B$10,"返程；"&amp;IF(C3011=DATE(2026,12,2),"机构午餐","无统一供餐"),"差旅状态；无统一日程"))))))</f>
        <v/>
      </c>
      <c r="E3011" s="13">
        <f>IF(C3011=Options!$B$9,Options!$C$22,0)</f>
        <v/>
      </c>
      <c r="F3011" s="13">
        <f>IF(AND(A3011&lt;&gt;"",C3011&lt;Options!$B$10),B3011*Options!$X$9,0)</f>
        <v/>
      </c>
      <c r="G3011" s="13">
        <f>F3011*12%</f>
        <v/>
      </c>
      <c r="H3011" s="13">
        <f>IF(A3011="",0,B3011*(92*IF(OR(C3011=Options!$B$9,C3011=Options!$B$10),75%,100%)-IF(C3011=DATE(2026,11,29),26+IF(Options!$B$8="是",23,0),0)-IF(C3011=DATE(2026,11,30),26,0)-IF(C3011=DATE(2026,12,1),64,0)-IF(C3011=DATE(2026,11,28),38,0)-IF(C3011=DATE(2026,12,2),26,0)))</f>
        <v/>
      </c>
      <c r="I3011" s="13">
        <f>IF(AND(C3011&gt;=DATE(2026,11,29),C3011&lt;=DATE(2026,12,1)),B3011*60,0)</f>
        <v/>
      </c>
      <c r="J3011" s="13">
        <f>IF(A3011="",0,B3011*(IF(C3011=DATE(2026,11,28),38,0)+IF(C3011=DATE(2026,12,1),38,0)+IF(C3011=DATE(2026,12,2),26,0)))</f>
        <v/>
      </c>
      <c r="K3011" s="13">
        <f>IF(C3011=Options!$B$9,B3011*12,0)</f>
        <v/>
      </c>
      <c r="L3011" s="13">
        <f>IF(C3011=Options!$B$9,B3011*Options!$Z$9,0)</f>
        <v/>
      </c>
      <c r="M3011" s="13" t="n">
        <v>0</v>
      </c>
      <c r="N3011" s="13">
        <f>SUM(E3011:M3011)</f>
        <v/>
      </c>
    </row>
    <row r="3012">
      <c r="A3012" s="5">
        <f>IF(AND(C3012&gt;=Options!$B$9,C3012&lt;=Options!$B$10),"Seattle","")</f>
        <v/>
      </c>
      <c r="B3012" s="5">
        <f>IF(A3012="","",18)</f>
        <v/>
      </c>
      <c r="C3012" s="17" t="n">
        <v>46383</v>
      </c>
      <c r="D3012" s="5">
        <f>IF(A3012="","",IF(C3012=DATE(2026,11,29),"培训；注册午餐；早餐参数",IF(C3012=DATE(2026,11,30),"培训；注册午餐",IF(C3012=DATE(2026,12,1),"培训；注册午餐；机构晚餐",IF(C3012=Options!$B$9,"抵达；"&amp;IF(C3012=DATE(2026,11,28),"机构晚餐","无统一供餐"),IF(C3012=Options!$B$10,"返程；"&amp;IF(C3012=DATE(2026,12,2),"机构午餐","无统一供餐"),"差旅状态；无统一日程"))))))</f>
        <v/>
      </c>
      <c r="E3012" s="13">
        <f>IF(C3012=Options!$B$9,Options!$C$22,0)</f>
        <v/>
      </c>
      <c r="F3012" s="13">
        <f>IF(AND(A3012&lt;&gt;"",C3012&lt;Options!$B$10),B3012*Options!$X$9,0)</f>
        <v/>
      </c>
      <c r="G3012" s="13">
        <f>F3012*12%</f>
        <v/>
      </c>
      <c r="H3012" s="13">
        <f>IF(A3012="",0,B3012*(92*IF(OR(C3012=Options!$B$9,C3012=Options!$B$10),75%,100%)-IF(C3012=DATE(2026,11,29),26+IF(Options!$B$8="是",23,0),0)-IF(C3012=DATE(2026,11,30),26,0)-IF(C3012=DATE(2026,12,1),64,0)-IF(C3012=DATE(2026,11,28),38,0)-IF(C3012=DATE(2026,12,2),26,0)))</f>
        <v/>
      </c>
      <c r="I3012" s="13">
        <f>IF(AND(C3012&gt;=DATE(2026,11,29),C3012&lt;=DATE(2026,12,1)),B3012*60,0)</f>
        <v/>
      </c>
      <c r="J3012" s="13">
        <f>IF(A3012="",0,B3012*(IF(C3012=DATE(2026,11,28),38,0)+IF(C3012=DATE(2026,12,1),38,0)+IF(C3012=DATE(2026,12,2),26,0)))</f>
        <v/>
      </c>
      <c r="K3012" s="13">
        <f>IF(C3012=Options!$B$9,B3012*12,0)</f>
        <v/>
      </c>
      <c r="L3012" s="13">
        <f>IF(C3012=Options!$B$9,B3012*Options!$Z$9,0)</f>
        <v/>
      </c>
      <c r="M3012" s="13" t="n">
        <v>0</v>
      </c>
      <c r="N3012" s="13">
        <f>SUM(E3012:M3012)</f>
        <v/>
      </c>
    </row>
    <row r="3013">
      <c r="A3013" s="5">
        <f>IF(AND(C3013&gt;=Options!$B$9,C3013&lt;=Options!$B$10),"Seattle","")</f>
        <v/>
      </c>
      <c r="B3013" s="5">
        <f>IF(A3013="","",18)</f>
        <v/>
      </c>
      <c r="C3013" s="17" t="n">
        <v>46384</v>
      </c>
      <c r="D3013" s="5">
        <f>IF(A3013="","",IF(C3013=DATE(2026,11,29),"培训；注册午餐；早餐参数",IF(C3013=DATE(2026,11,30),"培训；注册午餐",IF(C3013=DATE(2026,12,1),"培训；注册午餐；机构晚餐",IF(C3013=Options!$B$9,"抵达；"&amp;IF(C3013=DATE(2026,11,28),"机构晚餐","无统一供餐"),IF(C3013=Options!$B$10,"返程；"&amp;IF(C3013=DATE(2026,12,2),"机构午餐","无统一供餐"),"差旅状态；无统一日程"))))))</f>
        <v/>
      </c>
      <c r="E3013" s="13">
        <f>IF(C3013=Options!$B$9,Options!$C$22,0)</f>
        <v/>
      </c>
      <c r="F3013" s="13">
        <f>IF(AND(A3013&lt;&gt;"",C3013&lt;Options!$B$10),B3013*Options!$X$9,0)</f>
        <v/>
      </c>
      <c r="G3013" s="13">
        <f>F3013*12%</f>
        <v/>
      </c>
      <c r="H3013" s="13">
        <f>IF(A3013="",0,B3013*(92*IF(OR(C3013=Options!$B$9,C3013=Options!$B$10),75%,100%)-IF(C3013=DATE(2026,11,29),26+IF(Options!$B$8="是",23,0),0)-IF(C3013=DATE(2026,11,30),26,0)-IF(C3013=DATE(2026,12,1),64,0)-IF(C3013=DATE(2026,11,28),38,0)-IF(C3013=DATE(2026,12,2),26,0)))</f>
        <v/>
      </c>
      <c r="I3013" s="13">
        <f>IF(AND(C3013&gt;=DATE(2026,11,29),C3013&lt;=DATE(2026,12,1)),B3013*60,0)</f>
        <v/>
      </c>
      <c r="J3013" s="13">
        <f>IF(A3013="",0,B3013*(IF(C3013=DATE(2026,11,28),38,0)+IF(C3013=DATE(2026,12,1),38,0)+IF(C3013=DATE(2026,12,2),26,0)))</f>
        <v/>
      </c>
      <c r="K3013" s="13">
        <f>IF(C3013=Options!$B$9,B3013*12,0)</f>
        <v/>
      </c>
      <c r="L3013" s="13">
        <f>IF(C3013=Options!$B$9,B3013*Options!$Z$9,0)</f>
        <v/>
      </c>
      <c r="M3013" s="13" t="n">
        <v>0</v>
      </c>
      <c r="N3013" s="13">
        <f>SUM(E3013:M3013)</f>
        <v/>
      </c>
    </row>
    <row r="3014">
      <c r="A3014" s="5">
        <f>IF(AND(C3014&gt;=Options!$B$9,C3014&lt;=Options!$B$10),"Seattle","")</f>
        <v/>
      </c>
      <c r="B3014" s="5">
        <f>IF(A3014="","",18)</f>
        <v/>
      </c>
      <c r="C3014" s="17" t="n">
        <v>46385</v>
      </c>
      <c r="D3014" s="5">
        <f>IF(A3014="","",IF(C3014=DATE(2026,11,29),"培训；注册午餐；早餐参数",IF(C3014=DATE(2026,11,30),"培训；注册午餐",IF(C3014=DATE(2026,12,1),"培训；注册午餐；机构晚餐",IF(C3014=Options!$B$9,"抵达；"&amp;IF(C3014=DATE(2026,11,28),"机构晚餐","无统一供餐"),IF(C3014=Options!$B$10,"返程；"&amp;IF(C3014=DATE(2026,12,2),"机构午餐","无统一供餐"),"差旅状态；无统一日程"))))))</f>
        <v/>
      </c>
      <c r="E3014" s="13">
        <f>IF(C3014=Options!$B$9,Options!$C$22,0)</f>
        <v/>
      </c>
      <c r="F3014" s="13">
        <f>IF(AND(A3014&lt;&gt;"",C3014&lt;Options!$B$10),B3014*Options!$X$9,0)</f>
        <v/>
      </c>
      <c r="G3014" s="13">
        <f>F3014*12%</f>
        <v/>
      </c>
      <c r="H3014" s="13">
        <f>IF(A3014="",0,B3014*(92*IF(OR(C3014=Options!$B$9,C3014=Options!$B$10),75%,100%)-IF(C3014=DATE(2026,11,29),26+IF(Options!$B$8="是",23,0),0)-IF(C3014=DATE(2026,11,30),26,0)-IF(C3014=DATE(2026,12,1),64,0)-IF(C3014=DATE(2026,11,28),38,0)-IF(C3014=DATE(2026,12,2),26,0)))</f>
        <v/>
      </c>
      <c r="I3014" s="13">
        <f>IF(AND(C3014&gt;=DATE(2026,11,29),C3014&lt;=DATE(2026,12,1)),B3014*60,0)</f>
        <v/>
      </c>
      <c r="J3014" s="13">
        <f>IF(A3014="",0,B3014*(IF(C3014=DATE(2026,11,28),38,0)+IF(C3014=DATE(2026,12,1),38,0)+IF(C3014=DATE(2026,12,2),26,0)))</f>
        <v/>
      </c>
      <c r="K3014" s="13">
        <f>IF(C3014=Options!$B$9,B3014*12,0)</f>
        <v/>
      </c>
      <c r="L3014" s="13">
        <f>IF(C3014=Options!$B$9,B3014*Options!$Z$9,0)</f>
        <v/>
      </c>
      <c r="M3014" s="13" t="n">
        <v>0</v>
      </c>
      <c r="N3014" s="13">
        <f>SUM(E3014:M3014)</f>
        <v/>
      </c>
    </row>
    <row r="3015">
      <c r="A3015" s="5">
        <f>IF(AND(C3015&gt;=Options!$B$9,C3015&lt;=Options!$B$10),"Seattle","")</f>
        <v/>
      </c>
      <c r="B3015" s="5">
        <f>IF(A3015="","",18)</f>
        <v/>
      </c>
      <c r="C3015" s="17" t="n">
        <v>46386</v>
      </c>
      <c r="D3015" s="5">
        <f>IF(A3015="","",IF(C3015=DATE(2026,11,29),"培训；注册午餐；早餐参数",IF(C3015=DATE(2026,11,30),"培训；注册午餐",IF(C3015=DATE(2026,12,1),"培训；注册午餐；机构晚餐",IF(C3015=Options!$B$9,"抵达；"&amp;IF(C3015=DATE(2026,11,28),"机构晚餐","无统一供餐"),IF(C3015=Options!$B$10,"返程；"&amp;IF(C3015=DATE(2026,12,2),"机构午餐","无统一供餐"),"差旅状态；无统一日程"))))))</f>
        <v/>
      </c>
      <c r="E3015" s="13">
        <f>IF(C3015=Options!$B$9,Options!$C$22,0)</f>
        <v/>
      </c>
      <c r="F3015" s="13">
        <f>IF(AND(A3015&lt;&gt;"",C3015&lt;Options!$B$10),B3015*Options!$X$9,0)</f>
        <v/>
      </c>
      <c r="G3015" s="13">
        <f>F3015*12%</f>
        <v/>
      </c>
      <c r="H3015" s="13">
        <f>IF(A3015="",0,B3015*(92*IF(OR(C3015=Options!$B$9,C3015=Options!$B$10),75%,100%)-IF(C3015=DATE(2026,11,29),26+IF(Options!$B$8="是",23,0),0)-IF(C3015=DATE(2026,11,30),26,0)-IF(C3015=DATE(2026,12,1),64,0)-IF(C3015=DATE(2026,11,28),38,0)-IF(C3015=DATE(2026,12,2),26,0)))</f>
        <v/>
      </c>
      <c r="I3015" s="13">
        <f>IF(AND(C3015&gt;=DATE(2026,11,29),C3015&lt;=DATE(2026,12,1)),B3015*60,0)</f>
        <v/>
      </c>
      <c r="J3015" s="13">
        <f>IF(A3015="",0,B3015*(IF(C3015=DATE(2026,11,28),38,0)+IF(C3015=DATE(2026,12,1),38,0)+IF(C3015=DATE(2026,12,2),26,0)))</f>
        <v/>
      </c>
      <c r="K3015" s="13">
        <f>IF(C3015=Options!$B$9,B3015*12,0)</f>
        <v/>
      </c>
      <c r="L3015" s="13">
        <f>IF(C3015=Options!$B$9,B3015*Options!$Z$9,0)</f>
        <v/>
      </c>
      <c r="M3015" s="13" t="n">
        <v>0</v>
      </c>
      <c r="N3015" s="13">
        <f>SUM(E3015:M3015)</f>
        <v/>
      </c>
    </row>
    <row r="3016">
      <c r="A3016" s="5">
        <f>IF(AND(C3016&gt;=Options!$B$9,C3016&lt;=Options!$B$10),"Seattle","")</f>
        <v/>
      </c>
      <c r="B3016" s="5">
        <f>IF(A3016="","",18)</f>
        <v/>
      </c>
      <c r="C3016" s="17" t="n">
        <v>46387</v>
      </c>
      <c r="D3016" s="5">
        <f>IF(A3016="","",IF(C3016=DATE(2026,11,29),"培训；注册午餐；早餐参数",IF(C3016=DATE(2026,11,30),"培训；注册午餐",IF(C3016=DATE(2026,12,1),"培训；注册午餐；机构晚餐",IF(C3016=Options!$B$9,"抵达；"&amp;IF(C3016=DATE(2026,11,28),"机构晚餐","无统一供餐"),IF(C3016=Options!$B$10,"返程；"&amp;IF(C3016=DATE(2026,12,2),"机构午餐","无统一供餐"),"差旅状态；无统一日程"))))))</f>
        <v/>
      </c>
      <c r="E3016" s="13">
        <f>IF(C3016=Options!$B$9,Options!$C$22,0)</f>
        <v/>
      </c>
      <c r="F3016" s="13">
        <f>IF(AND(A3016&lt;&gt;"",C3016&lt;Options!$B$10),B3016*Options!$X$9,0)</f>
        <v/>
      </c>
      <c r="G3016" s="13">
        <f>F3016*12%</f>
        <v/>
      </c>
      <c r="H3016" s="13">
        <f>IF(A3016="",0,B3016*(92*IF(OR(C3016=Options!$B$9,C3016=Options!$B$10),75%,100%)-IF(C3016=DATE(2026,11,29),26+IF(Options!$B$8="是",23,0),0)-IF(C3016=DATE(2026,11,30),26,0)-IF(C3016=DATE(2026,12,1),64,0)-IF(C3016=DATE(2026,11,28),38,0)-IF(C3016=DATE(2026,12,2),26,0)))</f>
        <v/>
      </c>
      <c r="I3016" s="13">
        <f>IF(AND(C3016&gt;=DATE(2026,11,29),C3016&lt;=DATE(2026,12,1)),B3016*60,0)</f>
        <v/>
      </c>
      <c r="J3016" s="13">
        <f>IF(A3016="",0,B3016*(IF(C3016=DATE(2026,11,28),38,0)+IF(C3016=DATE(2026,12,1),38,0)+IF(C3016=DATE(2026,12,2),26,0)))</f>
        <v/>
      </c>
      <c r="K3016" s="13">
        <f>IF(C3016=Options!$B$9,B3016*12,0)</f>
        <v/>
      </c>
      <c r="L3016" s="13">
        <f>IF(C3016=Options!$B$9,B3016*Options!$Z$9,0)</f>
        <v/>
      </c>
      <c r="M3016" s="13" t="n">
        <v>0</v>
      </c>
      <c r="N3016" s="13">
        <f>SUM(E3016:M3016)</f>
        <v/>
      </c>
    </row>
    <row r="3017">
      <c r="A3017" s="5">
        <f>IF(AND(C3017&gt;=Options!$B$9,C3017&lt;=Options!$B$10),"Seattle","")</f>
        <v/>
      </c>
      <c r="B3017" s="5">
        <f>IF(A3017="","",18)</f>
        <v/>
      </c>
      <c r="C3017" s="17" t="n">
        <v>46388</v>
      </c>
      <c r="D3017" s="5">
        <f>IF(A3017="","",IF(C3017=DATE(2026,11,29),"培训；注册午餐；早餐参数",IF(C3017=DATE(2026,11,30),"培训；注册午餐",IF(C3017=DATE(2026,12,1),"培训；注册午餐；机构晚餐",IF(C3017=Options!$B$9,"抵达；"&amp;IF(C3017=DATE(2026,11,28),"机构晚餐","无统一供餐"),IF(C3017=Options!$B$10,"返程；"&amp;IF(C3017=DATE(2026,12,2),"机构午餐","无统一供餐"),"差旅状态；无统一日程"))))))</f>
        <v/>
      </c>
      <c r="E3017" s="13">
        <f>IF(C3017=Options!$B$9,Options!$C$22,0)</f>
        <v/>
      </c>
      <c r="F3017" s="13">
        <f>IF(AND(A3017&lt;&gt;"",C3017&lt;Options!$B$10),B3017*Options!$X$9,0)</f>
        <v/>
      </c>
      <c r="G3017" s="13">
        <f>F3017*12%</f>
        <v/>
      </c>
      <c r="H3017" s="13">
        <f>IF(A3017="",0,B3017*(92*IF(OR(C3017=Options!$B$9,C3017=Options!$B$10),75%,100%)-IF(C3017=DATE(2026,11,29),26+IF(Options!$B$8="是",23,0),0)-IF(C3017=DATE(2026,11,30),26,0)-IF(C3017=DATE(2026,12,1),64,0)-IF(C3017=DATE(2026,11,28),38,0)-IF(C3017=DATE(2026,12,2),26,0)))</f>
        <v/>
      </c>
      <c r="I3017" s="13">
        <f>IF(AND(C3017&gt;=DATE(2026,11,29),C3017&lt;=DATE(2026,12,1)),B3017*60,0)</f>
        <v/>
      </c>
      <c r="J3017" s="13">
        <f>IF(A3017="",0,B3017*(IF(C3017=DATE(2026,11,28),38,0)+IF(C3017=DATE(2026,12,1),38,0)+IF(C3017=DATE(2026,12,2),26,0)))</f>
        <v/>
      </c>
      <c r="K3017" s="13">
        <f>IF(C3017=Options!$B$9,B3017*12,0)</f>
        <v/>
      </c>
      <c r="L3017" s="13">
        <f>IF(C3017=Options!$B$9,B3017*Options!$Z$9,0)</f>
        <v/>
      </c>
      <c r="M3017" s="13" t="n">
        <v>0</v>
      </c>
      <c r="N3017" s="13">
        <f>SUM(E3017:M3017)</f>
        <v/>
      </c>
    </row>
    <row r="3018">
      <c r="A3018" s="5">
        <f>IF(AND(C3018&gt;=Options!$B$9,C3018&lt;=Options!$B$10),"Seattle","")</f>
        <v/>
      </c>
      <c r="B3018" s="5">
        <f>IF(A3018="","",18)</f>
        <v/>
      </c>
      <c r="C3018" s="17" t="n">
        <v>46389</v>
      </c>
      <c r="D3018" s="5">
        <f>IF(A3018="","",IF(C3018=DATE(2026,11,29),"培训；注册午餐；早餐参数",IF(C3018=DATE(2026,11,30),"培训；注册午餐",IF(C3018=DATE(2026,12,1),"培训；注册午餐；机构晚餐",IF(C3018=Options!$B$9,"抵达；"&amp;IF(C3018=DATE(2026,11,28),"机构晚餐","无统一供餐"),IF(C3018=Options!$B$10,"返程；"&amp;IF(C3018=DATE(2026,12,2),"机构午餐","无统一供餐"),"差旅状态；无统一日程"))))))</f>
        <v/>
      </c>
      <c r="E3018" s="13">
        <f>IF(C3018=Options!$B$9,Options!$C$22,0)</f>
        <v/>
      </c>
      <c r="F3018" s="13">
        <f>IF(AND(A3018&lt;&gt;"",C3018&lt;Options!$B$10),B3018*Options!$X$9,0)</f>
        <v/>
      </c>
      <c r="G3018" s="13">
        <f>F3018*12%</f>
        <v/>
      </c>
      <c r="H3018" s="13">
        <f>IF(A3018="",0,B3018*(92*IF(OR(C3018=Options!$B$9,C3018=Options!$B$10),75%,100%)-IF(C3018=DATE(2026,11,29),26+IF(Options!$B$8="是",23,0),0)-IF(C3018=DATE(2026,11,30),26,0)-IF(C3018=DATE(2026,12,1),64,0)-IF(C3018=DATE(2026,11,28),38,0)-IF(C3018=DATE(2026,12,2),26,0)))</f>
        <v/>
      </c>
      <c r="I3018" s="13">
        <f>IF(AND(C3018&gt;=DATE(2026,11,29),C3018&lt;=DATE(2026,12,1)),B3018*60,0)</f>
        <v/>
      </c>
      <c r="J3018" s="13">
        <f>IF(A3018="",0,B3018*(IF(C3018=DATE(2026,11,28),38,0)+IF(C3018=DATE(2026,12,1),38,0)+IF(C3018=DATE(2026,12,2),26,0)))</f>
        <v/>
      </c>
      <c r="K3018" s="13">
        <f>IF(C3018=Options!$B$9,B3018*12,0)</f>
        <v/>
      </c>
      <c r="L3018" s="13">
        <f>IF(C3018=Options!$B$9,B3018*Options!$Z$9,0)</f>
        <v/>
      </c>
      <c r="M3018" s="13" t="n">
        <v>0</v>
      </c>
      <c r="N3018" s="13">
        <f>SUM(E3018:M3018)</f>
        <v/>
      </c>
    </row>
    <row r="3019">
      <c r="A3019" s="5">
        <f>IF(AND(C3019&gt;=Options!$B$9,C3019&lt;=Options!$B$10),"Seattle","")</f>
        <v/>
      </c>
      <c r="B3019" s="5">
        <f>IF(A3019="","",18)</f>
        <v/>
      </c>
      <c r="C3019" s="17" t="n">
        <v>46390</v>
      </c>
      <c r="D3019" s="5">
        <f>IF(A3019="","",IF(C3019=DATE(2026,11,29),"培训；注册午餐；早餐参数",IF(C3019=DATE(2026,11,30),"培训；注册午餐",IF(C3019=DATE(2026,12,1),"培训；注册午餐；机构晚餐",IF(C3019=Options!$B$9,"抵达；"&amp;IF(C3019=DATE(2026,11,28),"机构晚餐","无统一供餐"),IF(C3019=Options!$B$10,"返程；"&amp;IF(C3019=DATE(2026,12,2),"机构午餐","无统一供餐"),"差旅状态；无统一日程"))))))</f>
        <v/>
      </c>
      <c r="E3019" s="13">
        <f>IF(C3019=Options!$B$9,Options!$C$22,0)</f>
        <v/>
      </c>
      <c r="F3019" s="13">
        <f>IF(AND(A3019&lt;&gt;"",C3019&lt;Options!$B$10),B3019*Options!$X$9,0)</f>
        <v/>
      </c>
      <c r="G3019" s="13">
        <f>F3019*12%</f>
        <v/>
      </c>
      <c r="H3019" s="13">
        <f>IF(A3019="",0,B3019*(92*IF(OR(C3019=Options!$B$9,C3019=Options!$B$10),75%,100%)-IF(C3019=DATE(2026,11,29),26+IF(Options!$B$8="是",23,0),0)-IF(C3019=DATE(2026,11,30),26,0)-IF(C3019=DATE(2026,12,1),64,0)-IF(C3019=DATE(2026,11,28),38,0)-IF(C3019=DATE(2026,12,2),26,0)))</f>
        <v/>
      </c>
      <c r="I3019" s="13">
        <f>IF(AND(C3019&gt;=DATE(2026,11,29),C3019&lt;=DATE(2026,12,1)),B3019*60,0)</f>
        <v/>
      </c>
      <c r="J3019" s="13">
        <f>IF(A3019="",0,B3019*(IF(C3019=DATE(2026,11,28),38,0)+IF(C3019=DATE(2026,12,1),38,0)+IF(C3019=DATE(2026,12,2),26,0)))</f>
        <v/>
      </c>
      <c r="K3019" s="13">
        <f>IF(C3019=Options!$B$9,B3019*12,0)</f>
        <v/>
      </c>
      <c r="L3019" s="13">
        <f>IF(C3019=Options!$B$9,B3019*Options!$Z$9,0)</f>
        <v/>
      </c>
      <c r="M3019" s="13" t="n">
        <v>0</v>
      </c>
      <c r="N3019" s="13">
        <f>SUM(E3019:M3019)</f>
        <v/>
      </c>
    </row>
    <row r="3020">
      <c r="A3020" s="5">
        <f>IF(AND(C3020&gt;=Options!$B$9,C3020&lt;=Options!$B$10),"Seattle","")</f>
        <v/>
      </c>
      <c r="B3020" s="5">
        <f>IF(A3020="","",18)</f>
        <v/>
      </c>
      <c r="C3020" s="17" t="n">
        <v>46391</v>
      </c>
      <c r="D3020" s="5">
        <f>IF(A3020="","",IF(C3020=DATE(2026,11,29),"培训；注册午餐；早餐参数",IF(C3020=DATE(2026,11,30),"培训；注册午餐",IF(C3020=DATE(2026,12,1),"培训；注册午餐；机构晚餐",IF(C3020=Options!$B$9,"抵达；"&amp;IF(C3020=DATE(2026,11,28),"机构晚餐","无统一供餐"),IF(C3020=Options!$B$10,"返程；"&amp;IF(C3020=DATE(2026,12,2),"机构午餐","无统一供餐"),"差旅状态；无统一日程"))))))</f>
        <v/>
      </c>
      <c r="E3020" s="13">
        <f>IF(C3020=Options!$B$9,Options!$C$22,0)</f>
        <v/>
      </c>
      <c r="F3020" s="13">
        <f>IF(AND(A3020&lt;&gt;"",C3020&lt;Options!$B$10),B3020*Options!$X$9,0)</f>
        <v/>
      </c>
      <c r="G3020" s="13">
        <f>F3020*12%</f>
        <v/>
      </c>
      <c r="H3020" s="13">
        <f>IF(A3020="",0,B3020*(92*IF(OR(C3020=Options!$B$9,C3020=Options!$B$10),75%,100%)-IF(C3020=DATE(2026,11,29),26+IF(Options!$B$8="是",23,0),0)-IF(C3020=DATE(2026,11,30),26,0)-IF(C3020=DATE(2026,12,1),64,0)-IF(C3020=DATE(2026,11,28),38,0)-IF(C3020=DATE(2026,12,2),26,0)))</f>
        <v/>
      </c>
      <c r="I3020" s="13">
        <f>IF(AND(C3020&gt;=DATE(2026,11,29),C3020&lt;=DATE(2026,12,1)),B3020*60,0)</f>
        <v/>
      </c>
      <c r="J3020" s="13">
        <f>IF(A3020="",0,B3020*(IF(C3020=DATE(2026,11,28),38,0)+IF(C3020=DATE(2026,12,1),38,0)+IF(C3020=DATE(2026,12,2),26,0)))</f>
        <v/>
      </c>
      <c r="K3020" s="13">
        <f>IF(C3020=Options!$B$9,B3020*12,0)</f>
        <v/>
      </c>
      <c r="L3020" s="13">
        <f>IF(C3020=Options!$B$9,B3020*Options!$Z$9,0)</f>
        <v/>
      </c>
      <c r="M3020" s="13" t="n">
        <v>0</v>
      </c>
      <c r="N3020" s="13">
        <f>SUM(E3020:M3020)</f>
        <v/>
      </c>
    </row>
    <row r="3021">
      <c r="A3021" s="5">
        <f>IF(AND(C3021&gt;=Options!$B$9,C3021&lt;=Options!$B$10),"Seattle","")</f>
        <v/>
      </c>
      <c r="B3021" s="5">
        <f>IF(A3021="","",18)</f>
        <v/>
      </c>
      <c r="C3021" s="17" t="n">
        <v>46392</v>
      </c>
      <c r="D3021" s="5">
        <f>IF(A3021="","",IF(C3021=DATE(2026,11,29),"培训；注册午餐；早餐参数",IF(C3021=DATE(2026,11,30),"培训；注册午餐",IF(C3021=DATE(2026,12,1),"培训；注册午餐；机构晚餐",IF(C3021=Options!$B$9,"抵达；"&amp;IF(C3021=DATE(2026,11,28),"机构晚餐","无统一供餐"),IF(C3021=Options!$B$10,"返程；"&amp;IF(C3021=DATE(2026,12,2),"机构午餐","无统一供餐"),"差旅状态；无统一日程"))))))</f>
        <v/>
      </c>
      <c r="E3021" s="13">
        <f>IF(C3021=Options!$B$9,Options!$C$22,0)</f>
        <v/>
      </c>
      <c r="F3021" s="13">
        <f>IF(AND(A3021&lt;&gt;"",C3021&lt;Options!$B$10),B3021*Options!$X$9,0)</f>
        <v/>
      </c>
      <c r="G3021" s="13">
        <f>F3021*12%</f>
        <v/>
      </c>
      <c r="H3021" s="13">
        <f>IF(A3021="",0,B3021*(92*IF(OR(C3021=Options!$B$9,C3021=Options!$B$10),75%,100%)-IF(C3021=DATE(2026,11,29),26+IF(Options!$B$8="是",23,0),0)-IF(C3021=DATE(2026,11,30),26,0)-IF(C3021=DATE(2026,12,1),64,0)-IF(C3021=DATE(2026,11,28),38,0)-IF(C3021=DATE(2026,12,2),26,0)))</f>
        <v/>
      </c>
      <c r="I3021" s="13">
        <f>IF(AND(C3021&gt;=DATE(2026,11,29),C3021&lt;=DATE(2026,12,1)),B3021*60,0)</f>
        <v/>
      </c>
      <c r="J3021" s="13">
        <f>IF(A3021="",0,B3021*(IF(C3021=DATE(2026,11,28),38,0)+IF(C3021=DATE(2026,12,1),38,0)+IF(C3021=DATE(2026,12,2),26,0)))</f>
        <v/>
      </c>
      <c r="K3021" s="13">
        <f>IF(C3021=Options!$B$9,B3021*12,0)</f>
        <v/>
      </c>
      <c r="L3021" s="13">
        <f>IF(C3021=Options!$B$9,B3021*Options!$Z$9,0)</f>
        <v/>
      </c>
      <c r="M3021" s="13" t="n">
        <v>0</v>
      </c>
      <c r="N3021" s="13">
        <f>SUM(E3021:M3021)</f>
        <v/>
      </c>
    </row>
    <row r="3022">
      <c r="A3022" s="5">
        <f>IF(AND(C3022&gt;=Options!$B$9,C3022&lt;=Options!$B$10),"Seattle","")</f>
        <v/>
      </c>
      <c r="B3022" s="5">
        <f>IF(A3022="","",18)</f>
        <v/>
      </c>
      <c r="C3022" s="17" t="n">
        <v>46393</v>
      </c>
      <c r="D3022" s="5">
        <f>IF(A3022="","",IF(C3022=DATE(2026,11,29),"培训；注册午餐；早餐参数",IF(C3022=DATE(2026,11,30),"培训；注册午餐",IF(C3022=DATE(2026,12,1),"培训；注册午餐；机构晚餐",IF(C3022=Options!$B$9,"抵达；"&amp;IF(C3022=DATE(2026,11,28),"机构晚餐","无统一供餐"),IF(C3022=Options!$B$10,"返程；"&amp;IF(C3022=DATE(2026,12,2),"机构午餐","无统一供餐"),"差旅状态；无统一日程"))))))</f>
        <v/>
      </c>
      <c r="E3022" s="13">
        <f>IF(C3022=Options!$B$9,Options!$C$22,0)</f>
        <v/>
      </c>
      <c r="F3022" s="13">
        <f>IF(AND(A3022&lt;&gt;"",C3022&lt;Options!$B$10),B3022*Options!$X$9,0)</f>
        <v/>
      </c>
      <c r="G3022" s="13">
        <f>F3022*12%</f>
        <v/>
      </c>
      <c r="H3022" s="13">
        <f>IF(A3022="",0,B3022*(92*IF(OR(C3022=Options!$B$9,C3022=Options!$B$10),75%,100%)-IF(C3022=DATE(2026,11,29),26+IF(Options!$B$8="是",23,0),0)-IF(C3022=DATE(2026,11,30),26,0)-IF(C3022=DATE(2026,12,1),64,0)-IF(C3022=DATE(2026,11,28),38,0)-IF(C3022=DATE(2026,12,2),26,0)))</f>
        <v/>
      </c>
      <c r="I3022" s="13">
        <f>IF(AND(C3022&gt;=DATE(2026,11,29),C3022&lt;=DATE(2026,12,1)),B3022*60,0)</f>
        <v/>
      </c>
      <c r="J3022" s="13">
        <f>IF(A3022="",0,B3022*(IF(C3022=DATE(2026,11,28),38,0)+IF(C3022=DATE(2026,12,1),38,0)+IF(C3022=DATE(2026,12,2),26,0)))</f>
        <v/>
      </c>
      <c r="K3022" s="13">
        <f>IF(C3022=Options!$B$9,B3022*12,0)</f>
        <v/>
      </c>
      <c r="L3022" s="13">
        <f>IF(C3022=Options!$B$9,B3022*Options!$Z$9,0)</f>
        <v/>
      </c>
      <c r="M3022" s="13" t="n">
        <v>0</v>
      </c>
      <c r="N3022" s="13">
        <f>SUM(E3022:M3022)</f>
        <v/>
      </c>
    </row>
    <row r="3023">
      <c r="A3023" s="5">
        <f>IF(AND(C3023&gt;=Options!$B$9,C3023&lt;=Options!$B$10),"Seattle","")</f>
        <v/>
      </c>
      <c r="B3023" s="5">
        <f>IF(A3023="","",18)</f>
        <v/>
      </c>
      <c r="C3023" s="17" t="n">
        <v>46394</v>
      </c>
      <c r="D3023" s="5">
        <f>IF(A3023="","",IF(C3023=DATE(2026,11,29),"培训；注册午餐；早餐参数",IF(C3023=DATE(2026,11,30),"培训；注册午餐",IF(C3023=DATE(2026,12,1),"培训；注册午餐；机构晚餐",IF(C3023=Options!$B$9,"抵达；"&amp;IF(C3023=DATE(2026,11,28),"机构晚餐","无统一供餐"),IF(C3023=Options!$B$10,"返程；"&amp;IF(C3023=DATE(2026,12,2),"机构午餐","无统一供餐"),"差旅状态；无统一日程"))))))</f>
        <v/>
      </c>
      <c r="E3023" s="13">
        <f>IF(C3023=Options!$B$9,Options!$C$22,0)</f>
        <v/>
      </c>
      <c r="F3023" s="13">
        <f>IF(AND(A3023&lt;&gt;"",C3023&lt;Options!$B$10),B3023*Options!$X$9,0)</f>
        <v/>
      </c>
      <c r="G3023" s="13">
        <f>F3023*12%</f>
        <v/>
      </c>
      <c r="H3023" s="13">
        <f>IF(A3023="",0,B3023*(92*IF(OR(C3023=Options!$B$9,C3023=Options!$B$10),75%,100%)-IF(C3023=DATE(2026,11,29),26+IF(Options!$B$8="是",23,0),0)-IF(C3023=DATE(2026,11,30),26,0)-IF(C3023=DATE(2026,12,1),64,0)-IF(C3023=DATE(2026,11,28),38,0)-IF(C3023=DATE(2026,12,2),26,0)))</f>
        <v/>
      </c>
      <c r="I3023" s="13">
        <f>IF(AND(C3023&gt;=DATE(2026,11,29),C3023&lt;=DATE(2026,12,1)),B3023*60,0)</f>
        <v/>
      </c>
      <c r="J3023" s="13">
        <f>IF(A3023="",0,B3023*(IF(C3023=DATE(2026,11,28),38,0)+IF(C3023=DATE(2026,12,1),38,0)+IF(C3023=DATE(2026,12,2),26,0)))</f>
        <v/>
      </c>
      <c r="K3023" s="13">
        <f>IF(C3023=Options!$B$9,B3023*12,0)</f>
        <v/>
      </c>
      <c r="L3023" s="13">
        <f>IF(C3023=Options!$B$9,B3023*Options!$Z$9,0)</f>
        <v/>
      </c>
      <c r="M3023" s="13" t="n">
        <v>0</v>
      </c>
      <c r="N3023" s="13">
        <f>SUM(E3023:M3023)</f>
        <v/>
      </c>
    </row>
    <row r="3024">
      <c r="A3024" s="5">
        <f>IF(AND(C3024&gt;=Options!$B$9,C3024&lt;=Options!$B$10),"Seattle","")</f>
        <v/>
      </c>
      <c r="B3024" s="5">
        <f>IF(A3024="","",18)</f>
        <v/>
      </c>
      <c r="C3024" s="17" t="n">
        <v>46395</v>
      </c>
      <c r="D3024" s="5">
        <f>IF(A3024="","",IF(C3024=DATE(2026,11,29),"培训；注册午餐；早餐参数",IF(C3024=DATE(2026,11,30),"培训；注册午餐",IF(C3024=DATE(2026,12,1),"培训；注册午餐；机构晚餐",IF(C3024=Options!$B$9,"抵达；"&amp;IF(C3024=DATE(2026,11,28),"机构晚餐","无统一供餐"),IF(C3024=Options!$B$10,"返程；"&amp;IF(C3024=DATE(2026,12,2),"机构午餐","无统一供餐"),"差旅状态；无统一日程"))))))</f>
        <v/>
      </c>
      <c r="E3024" s="13">
        <f>IF(C3024=Options!$B$9,Options!$C$22,0)</f>
        <v/>
      </c>
      <c r="F3024" s="13">
        <f>IF(AND(A3024&lt;&gt;"",C3024&lt;Options!$B$10),B3024*Options!$X$9,0)</f>
        <v/>
      </c>
      <c r="G3024" s="13">
        <f>F3024*12%</f>
        <v/>
      </c>
      <c r="H3024" s="13">
        <f>IF(A3024="",0,B3024*(92*IF(OR(C3024=Options!$B$9,C3024=Options!$B$10),75%,100%)-IF(C3024=DATE(2026,11,29),26+IF(Options!$B$8="是",23,0),0)-IF(C3024=DATE(2026,11,30),26,0)-IF(C3024=DATE(2026,12,1),64,0)-IF(C3024=DATE(2026,11,28),38,0)-IF(C3024=DATE(2026,12,2),26,0)))</f>
        <v/>
      </c>
      <c r="I3024" s="13">
        <f>IF(AND(C3024&gt;=DATE(2026,11,29),C3024&lt;=DATE(2026,12,1)),B3024*60,0)</f>
        <v/>
      </c>
      <c r="J3024" s="13">
        <f>IF(A3024="",0,B3024*(IF(C3024=DATE(2026,11,28),38,0)+IF(C3024=DATE(2026,12,1),38,0)+IF(C3024=DATE(2026,12,2),26,0)))</f>
        <v/>
      </c>
      <c r="K3024" s="13">
        <f>IF(C3024=Options!$B$9,B3024*12,0)</f>
        <v/>
      </c>
      <c r="L3024" s="13">
        <f>IF(C3024=Options!$B$9,B3024*Options!$Z$9,0)</f>
        <v/>
      </c>
      <c r="M3024" s="13" t="n">
        <v>0</v>
      </c>
      <c r="N3024" s="13">
        <f>SUM(E3024:M3024)</f>
        <v/>
      </c>
    </row>
    <row r="3025">
      <c r="A3025" s="5">
        <f>IF(AND(C3025&gt;=Options!$B$9,C3025&lt;=Options!$B$10),"Seattle","")</f>
        <v/>
      </c>
      <c r="B3025" s="5">
        <f>IF(A3025="","",18)</f>
        <v/>
      </c>
      <c r="C3025" s="17" t="n">
        <v>46396</v>
      </c>
      <c r="D3025" s="5">
        <f>IF(A3025="","",IF(C3025=DATE(2026,11,29),"培训；注册午餐；早餐参数",IF(C3025=DATE(2026,11,30),"培训；注册午餐",IF(C3025=DATE(2026,12,1),"培训；注册午餐；机构晚餐",IF(C3025=Options!$B$9,"抵达；"&amp;IF(C3025=DATE(2026,11,28),"机构晚餐","无统一供餐"),IF(C3025=Options!$B$10,"返程；"&amp;IF(C3025=DATE(2026,12,2),"机构午餐","无统一供餐"),"差旅状态；无统一日程"))))))</f>
        <v/>
      </c>
      <c r="E3025" s="13">
        <f>IF(C3025=Options!$B$9,Options!$C$22,0)</f>
        <v/>
      </c>
      <c r="F3025" s="13">
        <f>IF(AND(A3025&lt;&gt;"",C3025&lt;Options!$B$10),B3025*Options!$X$9,0)</f>
        <v/>
      </c>
      <c r="G3025" s="13">
        <f>F3025*12%</f>
        <v/>
      </c>
      <c r="H3025" s="13">
        <f>IF(A3025="",0,B3025*(92*IF(OR(C3025=Options!$B$9,C3025=Options!$B$10),75%,100%)-IF(C3025=DATE(2026,11,29),26+IF(Options!$B$8="是",23,0),0)-IF(C3025=DATE(2026,11,30),26,0)-IF(C3025=DATE(2026,12,1),64,0)-IF(C3025=DATE(2026,11,28),38,0)-IF(C3025=DATE(2026,12,2),26,0)))</f>
        <v/>
      </c>
      <c r="I3025" s="13">
        <f>IF(AND(C3025&gt;=DATE(2026,11,29),C3025&lt;=DATE(2026,12,1)),B3025*60,0)</f>
        <v/>
      </c>
      <c r="J3025" s="13">
        <f>IF(A3025="",0,B3025*(IF(C3025=DATE(2026,11,28),38,0)+IF(C3025=DATE(2026,12,1),38,0)+IF(C3025=DATE(2026,12,2),26,0)))</f>
        <v/>
      </c>
      <c r="K3025" s="13">
        <f>IF(C3025=Options!$B$9,B3025*12,0)</f>
        <v/>
      </c>
      <c r="L3025" s="13">
        <f>IF(C3025=Options!$B$9,B3025*Options!$Z$9,0)</f>
        <v/>
      </c>
      <c r="M3025" s="13" t="n">
        <v>0</v>
      </c>
      <c r="N3025" s="13">
        <f>SUM(E3025:M3025)</f>
        <v/>
      </c>
    </row>
    <row r="3026">
      <c r="A3026" s="5">
        <f>IF(AND(C3026&gt;=Options!$B$9,C3026&lt;=Options!$B$10),"Seattle","")</f>
        <v/>
      </c>
      <c r="B3026" s="5">
        <f>IF(A3026="","",18)</f>
        <v/>
      </c>
      <c r="C3026" s="17" t="n">
        <v>46397</v>
      </c>
      <c r="D3026" s="5">
        <f>IF(A3026="","",IF(C3026=DATE(2026,11,29),"培训；注册午餐；早餐参数",IF(C3026=DATE(2026,11,30),"培训；注册午餐",IF(C3026=DATE(2026,12,1),"培训；注册午餐；机构晚餐",IF(C3026=Options!$B$9,"抵达；"&amp;IF(C3026=DATE(2026,11,28),"机构晚餐","无统一供餐"),IF(C3026=Options!$B$10,"返程；"&amp;IF(C3026=DATE(2026,12,2),"机构午餐","无统一供餐"),"差旅状态；无统一日程"))))))</f>
        <v/>
      </c>
      <c r="E3026" s="13">
        <f>IF(C3026=Options!$B$9,Options!$C$22,0)</f>
        <v/>
      </c>
      <c r="F3026" s="13">
        <f>IF(AND(A3026&lt;&gt;"",C3026&lt;Options!$B$10),B3026*Options!$X$9,0)</f>
        <v/>
      </c>
      <c r="G3026" s="13">
        <f>F3026*12%</f>
        <v/>
      </c>
      <c r="H3026" s="13">
        <f>IF(A3026="",0,B3026*(92*IF(OR(C3026=Options!$B$9,C3026=Options!$B$10),75%,100%)-IF(C3026=DATE(2026,11,29),26+IF(Options!$B$8="是",23,0),0)-IF(C3026=DATE(2026,11,30),26,0)-IF(C3026=DATE(2026,12,1),64,0)-IF(C3026=DATE(2026,11,28),38,0)-IF(C3026=DATE(2026,12,2),26,0)))</f>
        <v/>
      </c>
      <c r="I3026" s="13">
        <f>IF(AND(C3026&gt;=DATE(2026,11,29),C3026&lt;=DATE(2026,12,1)),B3026*60,0)</f>
        <v/>
      </c>
      <c r="J3026" s="13">
        <f>IF(A3026="",0,B3026*(IF(C3026=DATE(2026,11,28),38,0)+IF(C3026=DATE(2026,12,1),38,0)+IF(C3026=DATE(2026,12,2),26,0)))</f>
        <v/>
      </c>
      <c r="K3026" s="13">
        <f>IF(C3026=Options!$B$9,B3026*12,0)</f>
        <v/>
      </c>
      <c r="L3026" s="13">
        <f>IF(C3026=Options!$B$9,B3026*Options!$Z$9,0)</f>
        <v/>
      </c>
      <c r="M3026" s="13" t="n">
        <v>0</v>
      </c>
      <c r="N3026" s="13">
        <f>SUM(E3026:M3026)</f>
        <v/>
      </c>
    </row>
    <row r="3027">
      <c r="A3027" s="5">
        <f>IF(AND(C3027&gt;=Options!$B$9,C3027&lt;=Options!$B$10),"Seattle","")</f>
        <v/>
      </c>
      <c r="B3027" s="5">
        <f>IF(A3027="","",18)</f>
        <v/>
      </c>
      <c r="C3027" s="17" t="n">
        <v>46398</v>
      </c>
      <c r="D3027" s="5">
        <f>IF(A3027="","",IF(C3027=DATE(2026,11,29),"培训；注册午餐；早餐参数",IF(C3027=DATE(2026,11,30),"培训；注册午餐",IF(C3027=DATE(2026,12,1),"培训；注册午餐；机构晚餐",IF(C3027=Options!$B$9,"抵达；"&amp;IF(C3027=DATE(2026,11,28),"机构晚餐","无统一供餐"),IF(C3027=Options!$B$10,"返程；"&amp;IF(C3027=DATE(2026,12,2),"机构午餐","无统一供餐"),"差旅状态；无统一日程"))))))</f>
        <v/>
      </c>
      <c r="E3027" s="13">
        <f>IF(C3027=Options!$B$9,Options!$C$22,0)</f>
        <v/>
      </c>
      <c r="F3027" s="13">
        <f>IF(AND(A3027&lt;&gt;"",C3027&lt;Options!$B$10),B3027*Options!$X$9,0)</f>
        <v/>
      </c>
      <c r="G3027" s="13">
        <f>F3027*12%</f>
        <v/>
      </c>
      <c r="H3027" s="13">
        <f>IF(A3027="",0,B3027*(92*IF(OR(C3027=Options!$B$9,C3027=Options!$B$10),75%,100%)-IF(C3027=DATE(2026,11,29),26+IF(Options!$B$8="是",23,0),0)-IF(C3027=DATE(2026,11,30),26,0)-IF(C3027=DATE(2026,12,1),64,0)-IF(C3027=DATE(2026,11,28),38,0)-IF(C3027=DATE(2026,12,2),26,0)))</f>
        <v/>
      </c>
      <c r="I3027" s="13">
        <f>IF(AND(C3027&gt;=DATE(2026,11,29),C3027&lt;=DATE(2026,12,1)),B3027*60,0)</f>
        <v/>
      </c>
      <c r="J3027" s="13">
        <f>IF(A3027="",0,B3027*(IF(C3027=DATE(2026,11,28),38,0)+IF(C3027=DATE(2026,12,1),38,0)+IF(C3027=DATE(2026,12,2),26,0)))</f>
        <v/>
      </c>
      <c r="K3027" s="13">
        <f>IF(C3027=Options!$B$9,B3027*12,0)</f>
        <v/>
      </c>
      <c r="L3027" s="13">
        <f>IF(C3027=Options!$B$9,B3027*Options!$Z$9,0)</f>
        <v/>
      </c>
      <c r="M3027" s="13" t="n">
        <v>0</v>
      </c>
      <c r="N3027" s="13">
        <f>SUM(E3027:M3027)</f>
        <v/>
      </c>
    </row>
    <row r="3028">
      <c r="A3028" s="5">
        <f>IF(AND(C3028&gt;=Options!$B$9,C3028&lt;=Options!$B$10),"Seattle","")</f>
        <v/>
      </c>
      <c r="B3028" s="5">
        <f>IF(A3028="","",18)</f>
        <v/>
      </c>
      <c r="C3028" s="17" t="n">
        <v>46399</v>
      </c>
      <c r="D3028" s="5">
        <f>IF(A3028="","",IF(C3028=DATE(2026,11,29),"培训；注册午餐；早餐参数",IF(C3028=DATE(2026,11,30),"培训；注册午餐",IF(C3028=DATE(2026,12,1),"培训；注册午餐；机构晚餐",IF(C3028=Options!$B$9,"抵达；"&amp;IF(C3028=DATE(2026,11,28),"机构晚餐","无统一供餐"),IF(C3028=Options!$B$10,"返程；"&amp;IF(C3028=DATE(2026,12,2),"机构午餐","无统一供餐"),"差旅状态；无统一日程"))))))</f>
        <v/>
      </c>
      <c r="E3028" s="13">
        <f>IF(C3028=Options!$B$9,Options!$C$22,0)</f>
        <v/>
      </c>
      <c r="F3028" s="13">
        <f>IF(AND(A3028&lt;&gt;"",C3028&lt;Options!$B$10),B3028*Options!$X$9,0)</f>
        <v/>
      </c>
      <c r="G3028" s="13">
        <f>F3028*12%</f>
        <v/>
      </c>
      <c r="H3028" s="13">
        <f>IF(A3028="",0,B3028*(92*IF(OR(C3028=Options!$B$9,C3028=Options!$B$10),75%,100%)-IF(C3028=DATE(2026,11,29),26+IF(Options!$B$8="是",23,0),0)-IF(C3028=DATE(2026,11,30),26,0)-IF(C3028=DATE(2026,12,1),64,0)-IF(C3028=DATE(2026,11,28),38,0)-IF(C3028=DATE(2026,12,2),26,0)))</f>
        <v/>
      </c>
      <c r="I3028" s="13">
        <f>IF(AND(C3028&gt;=DATE(2026,11,29),C3028&lt;=DATE(2026,12,1)),B3028*60,0)</f>
        <v/>
      </c>
      <c r="J3028" s="13">
        <f>IF(A3028="",0,B3028*(IF(C3028=DATE(2026,11,28),38,0)+IF(C3028=DATE(2026,12,1),38,0)+IF(C3028=DATE(2026,12,2),26,0)))</f>
        <v/>
      </c>
      <c r="K3028" s="13">
        <f>IF(C3028=Options!$B$9,B3028*12,0)</f>
        <v/>
      </c>
      <c r="L3028" s="13">
        <f>IF(C3028=Options!$B$9,B3028*Options!$Z$9,0)</f>
        <v/>
      </c>
      <c r="M3028" s="13" t="n">
        <v>0</v>
      </c>
      <c r="N3028" s="13">
        <f>SUM(E3028:M3028)</f>
        <v/>
      </c>
    </row>
    <row r="3029">
      <c r="A3029" s="5">
        <f>IF(AND(C3029&gt;=Options!$B$9,C3029&lt;=Options!$B$10),"Seattle","")</f>
        <v/>
      </c>
      <c r="B3029" s="5">
        <f>IF(A3029="","",18)</f>
        <v/>
      </c>
      <c r="C3029" s="17" t="n">
        <v>46400</v>
      </c>
      <c r="D3029" s="5">
        <f>IF(A3029="","",IF(C3029=DATE(2026,11,29),"培训；注册午餐；早餐参数",IF(C3029=DATE(2026,11,30),"培训；注册午餐",IF(C3029=DATE(2026,12,1),"培训；注册午餐；机构晚餐",IF(C3029=Options!$B$9,"抵达；"&amp;IF(C3029=DATE(2026,11,28),"机构晚餐","无统一供餐"),IF(C3029=Options!$B$10,"返程；"&amp;IF(C3029=DATE(2026,12,2),"机构午餐","无统一供餐"),"差旅状态；无统一日程"))))))</f>
        <v/>
      </c>
      <c r="E3029" s="13">
        <f>IF(C3029=Options!$B$9,Options!$C$22,0)</f>
        <v/>
      </c>
      <c r="F3029" s="13">
        <f>IF(AND(A3029&lt;&gt;"",C3029&lt;Options!$B$10),B3029*Options!$X$9,0)</f>
        <v/>
      </c>
      <c r="G3029" s="13">
        <f>F3029*12%</f>
        <v/>
      </c>
      <c r="H3029" s="13">
        <f>IF(A3029="",0,B3029*(92*IF(OR(C3029=Options!$B$9,C3029=Options!$B$10),75%,100%)-IF(C3029=DATE(2026,11,29),26+IF(Options!$B$8="是",23,0),0)-IF(C3029=DATE(2026,11,30),26,0)-IF(C3029=DATE(2026,12,1),64,0)-IF(C3029=DATE(2026,11,28),38,0)-IF(C3029=DATE(2026,12,2),26,0)))</f>
        <v/>
      </c>
      <c r="I3029" s="13">
        <f>IF(AND(C3029&gt;=DATE(2026,11,29),C3029&lt;=DATE(2026,12,1)),B3029*60,0)</f>
        <v/>
      </c>
      <c r="J3029" s="13">
        <f>IF(A3029="",0,B3029*(IF(C3029=DATE(2026,11,28),38,0)+IF(C3029=DATE(2026,12,1),38,0)+IF(C3029=DATE(2026,12,2),26,0)))</f>
        <v/>
      </c>
      <c r="K3029" s="13">
        <f>IF(C3029=Options!$B$9,B3029*12,0)</f>
        <v/>
      </c>
      <c r="L3029" s="13">
        <f>IF(C3029=Options!$B$9,B3029*Options!$Z$9,0)</f>
        <v/>
      </c>
      <c r="M3029" s="13" t="n">
        <v>0</v>
      </c>
      <c r="N3029" s="13">
        <f>SUM(E3029:M3029)</f>
        <v/>
      </c>
    </row>
    <row r="3030">
      <c r="A3030" s="5">
        <f>IF(AND(C3030&gt;=Options!$B$9,C3030&lt;=Options!$B$10),"Seattle","")</f>
        <v/>
      </c>
      <c r="B3030" s="5">
        <f>IF(A3030="","",18)</f>
        <v/>
      </c>
      <c r="C3030" s="17" t="n">
        <v>46401</v>
      </c>
      <c r="D3030" s="5">
        <f>IF(A3030="","",IF(C3030=DATE(2026,11,29),"培训；注册午餐；早餐参数",IF(C3030=DATE(2026,11,30),"培训；注册午餐",IF(C3030=DATE(2026,12,1),"培训；注册午餐；机构晚餐",IF(C3030=Options!$B$9,"抵达；"&amp;IF(C3030=DATE(2026,11,28),"机构晚餐","无统一供餐"),IF(C3030=Options!$B$10,"返程；"&amp;IF(C3030=DATE(2026,12,2),"机构午餐","无统一供餐"),"差旅状态；无统一日程"))))))</f>
        <v/>
      </c>
      <c r="E3030" s="13">
        <f>IF(C3030=Options!$B$9,Options!$C$22,0)</f>
        <v/>
      </c>
      <c r="F3030" s="13">
        <f>IF(AND(A3030&lt;&gt;"",C3030&lt;Options!$B$10),B3030*Options!$X$9,0)</f>
        <v/>
      </c>
      <c r="G3030" s="13">
        <f>F3030*12%</f>
        <v/>
      </c>
      <c r="H3030" s="13">
        <f>IF(A3030="",0,B3030*(92*IF(OR(C3030=Options!$B$9,C3030=Options!$B$10),75%,100%)-IF(C3030=DATE(2026,11,29),26+IF(Options!$B$8="是",23,0),0)-IF(C3030=DATE(2026,11,30),26,0)-IF(C3030=DATE(2026,12,1),64,0)-IF(C3030=DATE(2026,11,28),38,0)-IF(C3030=DATE(2026,12,2),26,0)))</f>
        <v/>
      </c>
      <c r="I3030" s="13">
        <f>IF(AND(C3030&gt;=DATE(2026,11,29),C3030&lt;=DATE(2026,12,1)),B3030*60,0)</f>
        <v/>
      </c>
      <c r="J3030" s="13">
        <f>IF(A3030="",0,B3030*(IF(C3030=DATE(2026,11,28),38,0)+IF(C3030=DATE(2026,12,1),38,0)+IF(C3030=DATE(2026,12,2),26,0)))</f>
        <v/>
      </c>
      <c r="K3030" s="13">
        <f>IF(C3030=Options!$B$9,B3030*12,0)</f>
        <v/>
      </c>
      <c r="L3030" s="13">
        <f>IF(C3030=Options!$B$9,B3030*Options!$Z$9,0)</f>
        <v/>
      </c>
      <c r="M3030" s="13" t="n">
        <v>0</v>
      </c>
      <c r="N3030" s="13">
        <f>SUM(E3030:M3030)</f>
        <v/>
      </c>
    </row>
    <row r="3031">
      <c r="A3031" s="5">
        <f>IF(AND(C3031&gt;=Options!$B$9,C3031&lt;=Options!$B$10),"Seattle","")</f>
        <v/>
      </c>
      <c r="B3031" s="5">
        <f>IF(A3031="","",18)</f>
        <v/>
      </c>
      <c r="C3031" s="17" t="n">
        <v>46402</v>
      </c>
      <c r="D3031" s="5">
        <f>IF(A3031="","",IF(C3031=DATE(2026,11,29),"培训；注册午餐；早餐参数",IF(C3031=DATE(2026,11,30),"培训；注册午餐",IF(C3031=DATE(2026,12,1),"培训；注册午餐；机构晚餐",IF(C3031=Options!$B$9,"抵达；"&amp;IF(C3031=DATE(2026,11,28),"机构晚餐","无统一供餐"),IF(C3031=Options!$B$10,"返程；"&amp;IF(C3031=DATE(2026,12,2),"机构午餐","无统一供餐"),"差旅状态；无统一日程"))))))</f>
        <v/>
      </c>
      <c r="E3031" s="13">
        <f>IF(C3031=Options!$B$9,Options!$C$22,0)</f>
        <v/>
      </c>
      <c r="F3031" s="13">
        <f>IF(AND(A3031&lt;&gt;"",C3031&lt;Options!$B$10),B3031*Options!$X$9,0)</f>
        <v/>
      </c>
      <c r="G3031" s="13">
        <f>F3031*12%</f>
        <v/>
      </c>
      <c r="H3031" s="13">
        <f>IF(A3031="",0,B3031*(92*IF(OR(C3031=Options!$B$9,C3031=Options!$B$10),75%,100%)-IF(C3031=DATE(2026,11,29),26+IF(Options!$B$8="是",23,0),0)-IF(C3031=DATE(2026,11,30),26,0)-IF(C3031=DATE(2026,12,1),64,0)-IF(C3031=DATE(2026,11,28),38,0)-IF(C3031=DATE(2026,12,2),26,0)))</f>
        <v/>
      </c>
      <c r="I3031" s="13">
        <f>IF(AND(C3031&gt;=DATE(2026,11,29),C3031&lt;=DATE(2026,12,1)),B3031*60,0)</f>
        <v/>
      </c>
      <c r="J3031" s="13">
        <f>IF(A3031="",0,B3031*(IF(C3031=DATE(2026,11,28),38,0)+IF(C3031=DATE(2026,12,1),38,0)+IF(C3031=DATE(2026,12,2),26,0)))</f>
        <v/>
      </c>
      <c r="K3031" s="13">
        <f>IF(C3031=Options!$B$9,B3031*12,0)</f>
        <v/>
      </c>
      <c r="L3031" s="13">
        <f>IF(C3031=Options!$B$9,B3031*Options!$Z$9,0)</f>
        <v/>
      </c>
      <c r="M3031" s="13" t="n">
        <v>0</v>
      </c>
      <c r="N3031" s="13">
        <f>SUM(E3031:M3031)</f>
        <v/>
      </c>
    </row>
    <row r="3032">
      <c r="A3032" s="5">
        <f>IF(AND(C3032&gt;=Options!$B$9,C3032&lt;=Options!$B$10),"Seattle","")</f>
        <v/>
      </c>
      <c r="B3032" s="5">
        <f>IF(A3032="","",18)</f>
        <v/>
      </c>
      <c r="C3032" s="17" t="n">
        <v>46403</v>
      </c>
      <c r="D3032" s="5">
        <f>IF(A3032="","",IF(C3032=DATE(2026,11,29),"培训；注册午餐；早餐参数",IF(C3032=DATE(2026,11,30),"培训；注册午餐",IF(C3032=DATE(2026,12,1),"培训；注册午餐；机构晚餐",IF(C3032=Options!$B$9,"抵达；"&amp;IF(C3032=DATE(2026,11,28),"机构晚餐","无统一供餐"),IF(C3032=Options!$B$10,"返程；"&amp;IF(C3032=DATE(2026,12,2),"机构午餐","无统一供餐"),"差旅状态；无统一日程"))))))</f>
        <v/>
      </c>
      <c r="E3032" s="13">
        <f>IF(C3032=Options!$B$9,Options!$C$22,0)</f>
        <v/>
      </c>
      <c r="F3032" s="13">
        <f>IF(AND(A3032&lt;&gt;"",C3032&lt;Options!$B$10),B3032*Options!$X$9,0)</f>
        <v/>
      </c>
      <c r="G3032" s="13">
        <f>F3032*12%</f>
        <v/>
      </c>
      <c r="H3032" s="13">
        <f>IF(A3032="",0,B3032*(92*IF(OR(C3032=Options!$B$9,C3032=Options!$B$10),75%,100%)-IF(C3032=DATE(2026,11,29),26+IF(Options!$B$8="是",23,0),0)-IF(C3032=DATE(2026,11,30),26,0)-IF(C3032=DATE(2026,12,1),64,0)-IF(C3032=DATE(2026,11,28),38,0)-IF(C3032=DATE(2026,12,2),26,0)))</f>
        <v/>
      </c>
      <c r="I3032" s="13">
        <f>IF(AND(C3032&gt;=DATE(2026,11,29),C3032&lt;=DATE(2026,12,1)),B3032*60,0)</f>
        <v/>
      </c>
      <c r="J3032" s="13">
        <f>IF(A3032="",0,B3032*(IF(C3032=DATE(2026,11,28),38,0)+IF(C3032=DATE(2026,12,1),38,0)+IF(C3032=DATE(2026,12,2),26,0)))</f>
        <v/>
      </c>
      <c r="K3032" s="13">
        <f>IF(C3032=Options!$B$9,B3032*12,0)</f>
        <v/>
      </c>
      <c r="L3032" s="13">
        <f>IF(C3032=Options!$B$9,B3032*Options!$Z$9,0)</f>
        <v/>
      </c>
      <c r="M3032" s="13" t="n">
        <v>0</v>
      </c>
      <c r="N3032" s="13">
        <f>SUM(E3032:M3032)</f>
        <v/>
      </c>
    </row>
    <row r="3033">
      <c r="A3033" s="5">
        <f>IF(AND(C3033&gt;=Options!$B$9,C3033&lt;=Options!$B$10),"Seattle","")</f>
        <v/>
      </c>
      <c r="B3033" s="5">
        <f>IF(A3033="","",18)</f>
        <v/>
      </c>
      <c r="C3033" s="17" t="n">
        <v>46404</v>
      </c>
      <c r="D3033" s="5">
        <f>IF(A3033="","",IF(C3033=DATE(2026,11,29),"培训；注册午餐；早餐参数",IF(C3033=DATE(2026,11,30),"培训；注册午餐",IF(C3033=DATE(2026,12,1),"培训；注册午餐；机构晚餐",IF(C3033=Options!$B$9,"抵达；"&amp;IF(C3033=DATE(2026,11,28),"机构晚餐","无统一供餐"),IF(C3033=Options!$B$10,"返程；"&amp;IF(C3033=DATE(2026,12,2),"机构午餐","无统一供餐"),"差旅状态；无统一日程"))))))</f>
        <v/>
      </c>
      <c r="E3033" s="13">
        <f>IF(C3033=Options!$B$9,Options!$C$22,0)</f>
        <v/>
      </c>
      <c r="F3033" s="13">
        <f>IF(AND(A3033&lt;&gt;"",C3033&lt;Options!$B$10),B3033*Options!$X$9,0)</f>
        <v/>
      </c>
      <c r="G3033" s="13">
        <f>F3033*12%</f>
        <v/>
      </c>
      <c r="H3033" s="13">
        <f>IF(A3033="",0,B3033*(92*IF(OR(C3033=Options!$B$9,C3033=Options!$B$10),75%,100%)-IF(C3033=DATE(2026,11,29),26+IF(Options!$B$8="是",23,0),0)-IF(C3033=DATE(2026,11,30),26,0)-IF(C3033=DATE(2026,12,1),64,0)-IF(C3033=DATE(2026,11,28),38,0)-IF(C3033=DATE(2026,12,2),26,0)))</f>
        <v/>
      </c>
      <c r="I3033" s="13">
        <f>IF(AND(C3033&gt;=DATE(2026,11,29),C3033&lt;=DATE(2026,12,1)),B3033*60,0)</f>
        <v/>
      </c>
      <c r="J3033" s="13">
        <f>IF(A3033="",0,B3033*(IF(C3033=DATE(2026,11,28),38,0)+IF(C3033=DATE(2026,12,1),38,0)+IF(C3033=DATE(2026,12,2),26,0)))</f>
        <v/>
      </c>
      <c r="K3033" s="13">
        <f>IF(C3033=Options!$B$9,B3033*12,0)</f>
        <v/>
      </c>
      <c r="L3033" s="13">
        <f>IF(C3033=Options!$B$9,B3033*Options!$Z$9,0)</f>
        <v/>
      </c>
      <c r="M3033" s="13" t="n">
        <v>0</v>
      </c>
      <c r="N3033" s="13">
        <f>SUM(E3033:M3033)</f>
        <v/>
      </c>
    </row>
    <row r="3034">
      <c r="A3034" s="5">
        <f>IF(AND(C3034&gt;=Options!$B$9,C3034&lt;=Options!$B$10),"Seattle","")</f>
        <v/>
      </c>
      <c r="B3034" s="5">
        <f>IF(A3034="","",18)</f>
        <v/>
      </c>
      <c r="C3034" s="17" t="n">
        <v>46405</v>
      </c>
      <c r="D3034" s="5">
        <f>IF(A3034="","",IF(C3034=DATE(2026,11,29),"培训；注册午餐；早餐参数",IF(C3034=DATE(2026,11,30),"培训；注册午餐",IF(C3034=DATE(2026,12,1),"培训；注册午餐；机构晚餐",IF(C3034=Options!$B$9,"抵达；"&amp;IF(C3034=DATE(2026,11,28),"机构晚餐","无统一供餐"),IF(C3034=Options!$B$10,"返程；"&amp;IF(C3034=DATE(2026,12,2),"机构午餐","无统一供餐"),"差旅状态；无统一日程"))))))</f>
        <v/>
      </c>
      <c r="E3034" s="13">
        <f>IF(C3034=Options!$B$9,Options!$C$22,0)</f>
        <v/>
      </c>
      <c r="F3034" s="13">
        <f>IF(AND(A3034&lt;&gt;"",C3034&lt;Options!$B$10),B3034*Options!$X$9,0)</f>
        <v/>
      </c>
      <c r="G3034" s="13">
        <f>F3034*12%</f>
        <v/>
      </c>
      <c r="H3034" s="13">
        <f>IF(A3034="",0,B3034*(92*IF(OR(C3034=Options!$B$9,C3034=Options!$B$10),75%,100%)-IF(C3034=DATE(2026,11,29),26+IF(Options!$B$8="是",23,0),0)-IF(C3034=DATE(2026,11,30),26,0)-IF(C3034=DATE(2026,12,1),64,0)-IF(C3034=DATE(2026,11,28),38,0)-IF(C3034=DATE(2026,12,2),26,0)))</f>
        <v/>
      </c>
      <c r="I3034" s="13">
        <f>IF(AND(C3034&gt;=DATE(2026,11,29),C3034&lt;=DATE(2026,12,1)),B3034*60,0)</f>
        <v/>
      </c>
      <c r="J3034" s="13">
        <f>IF(A3034="",0,B3034*(IF(C3034=DATE(2026,11,28),38,0)+IF(C3034=DATE(2026,12,1),38,0)+IF(C3034=DATE(2026,12,2),26,0)))</f>
        <v/>
      </c>
      <c r="K3034" s="13">
        <f>IF(C3034=Options!$B$9,B3034*12,0)</f>
        <v/>
      </c>
      <c r="L3034" s="13">
        <f>IF(C3034=Options!$B$9,B3034*Options!$Z$9,0)</f>
        <v/>
      </c>
      <c r="M3034" s="13" t="n">
        <v>0</v>
      </c>
      <c r="N3034" s="13">
        <f>SUM(E3034:M3034)</f>
        <v/>
      </c>
    </row>
    <row r="3035">
      <c r="A3035" s="5">
        <f>IF(AND(C3035&gt;=Options!$B$9,C3035&lt;=Options!$B$10),"Seattle","")</f>
        <v/>
      </c>
      <c r="B3035" s="5">
        <f>IF(A3035="","",18)</f>
        <v/>
      </c>
      <c r="C3035" s="17" t="n">
        <v>46406</v>
      </c>
      <c r="D3035" s="5">
        <f>IF(A3035="","",IF(C3035=DATE(2026,11,29),"培训；注册午餐；早餐参数",IF(C3035=DATE(2026,11,30),"培训；注册午餐",IF(C3035=DATE(2026,12,1),"培训；注册午餐；机构晚餐",IF(C3035=Options!$B$9,"抵达；"&amp;IF(C3035=DATE(2026,11,28),"机构晚餐","无统一供餐"),IF(C3035=Options!$B$10,"返程；"&amp;IF(C3035=DATE(2026,12,2),"机构午餐","无统一供餐"),"差旅状态；无统一日程"))))))</f>
        <v/>
      </c>
      <c r="E3035" s="13">
        <f>IF(C3035=Options!$B$9,Options!$C$22,0)</f>
        <v/>
      </c>
      <c r="F3035" s="13">
        <f>IF(AND(A3035&lt;&gt;"",C3035&lt;Options!$B$10),B3035*Options!$X$9,0)</f>
        <v/>
      </c>
      <c r="G3035" s="13">
        <f>F3035*12%</f>
        <v/>
      </c>
      <c r="H3035" s="13">
        <f>IF(A3035="",0,B3035*(92*IF(OR(C3035=Options!$B$9,C3035=Options!$B$10),75%,100%)-IF(C3035=DATE(2026,11,29),26+IF(Options!$B$8="是",23,0),0)-IF(C3035=DATE(2026,11,30),26,0)-IF(C3035=DATE(2026,12,1),64,0)-IF(C3035=DATE(2026,11,28),38,0)-IF(C3035=DATE(2026,12,2),26,0)))</f>
        <v/>
      </c>
      <c r="I3035" s="13">
        <f>IF(AND(C3035&gt;=DATE(2026,11,29),C3035&lt;=DATE(2026,12,1)),B3035*60,0)</f>
        <v/>
      </c>
      <c r="J3035" s="13">
        <f>IF(A3035="",0,B3035*(IF(C3035=DATE(2026,11,28),38,0)+IF(C3035=DATE(2026,12,1),38,0)+IF(C3035=DATE(2026,12,2),26,0)))</f>
        <v/>
      </c>
      <c r="K3035" s="13">
        <f>IF(C3035=Options!$B$9,B3035*12,0)</f>
        <v/>
      </c>
      <c r="L3035" s="13">
        <f>IF(C3035=Options!$B$9,B3035*Options!$Z$9,0)</f>
        <v/>
      </c>
      <c r="M3035" s="13" t="n">
        <v>0</v>
      </c>
      <c r="N3035" s="13">
        <f>SUM(E3035:M3035)</f>
        <v/>
      </c>
    </row>
    <row r="3036">
      <c r="A3036" s="5">
        <f>IF(AND(C3036&gt;=Options!$B$9,C3036&lt;=Options!$B$10),"Seattle","")</f>
        <v/>
      </c>
      <c r="B3036" s="5">
        <f>IF(A3036="","",18)</f>
        <v/>
      </c>
      <c r="C3036" s="17" t="n">
        <v>46407</v>
      </c>
      <c r="D3036" s="5">
        <f>IF(A3036="","",IF(C3036=DATE(2026,11,29),"培训；注册午餐；早餐参数",IF(C3036=DATE(2026,11,30),"培训；注册午餐",IF(C3036=DATE(2026,12,1),"培训；注册午餐；机构晚餐",IF(C3036=Options!$B$9,"抵达；"&amp;IF(C3036=DATE(2026,11,28),"机构晚餐","无统一供餐"),IF(C3036=Options!$B$10,"返程；"&amp;IF(C3036=DATE(2026,12,2),"机构午餐","无统一供餐"),"差旅状态；无统一日程"))))))</f>
        <v/>
      </c>
      <c r="E3036" s="13">
        <f>IF(C3036=Options!$B$9,Options!$C$22,0)</f>
        <v/>
      </c>
      <c r="F3036" s="13">
        <f>IF(AND(A3036&lt;&gt;"",C3036&lt;Options!$B$10),B3036*Options!$X$9,0)</f>
        <v/>
      </c>
      <c r="G3036" s="13">
        <f>F3036*12%</f>
        <v/>
      </c>
      <c r="H3036" s="13">
        <f>IF(A3036="",0,B3036*(92*IF(OR(C3036=Options!$B$9,C3036=Options!$B$10),75%,100%)-IF(C3036=DATE(2026,11,29),26+IF(Options!$B$8="是",23,0),0)-IF(C3036=DATE(2026,11,30),26,0)-IF(C3036=DATE(2026,12,1),64,0)-IF(C3036=DATE(2026,11,28),38,0)-IF(C3036=DATE(2026,12,2),26,0)))</f>
        <v/>
      </c>
      <c r="I3036" s="13">
        <f>IF(AND(C3036&gt;=DATE(2026,11,29),C3036&lt;=DATE(2026,12,1)),B3036*60,0)</f>
        <v/>
      </c>
      <c r="J3036" s="13">
        <f>IF(A3036="",0,B3036*(IF(C3036=DATE(2026,11,28),38,0)+IF(C3036=DATE(2026,12,1),38,0)+IF(C3036=DATE(2026,12,2),26,0)))</f>
        <v/>
      </c>
      <c r="K3036" s="13">
        <f>IF(C3036=Options!$B$9,B3036*12,0)</f>
        <v/>
      </c>
      <c r="L3036" s="13">
        <f>IF(C3036=Options!$B$9,B3036*Options!$Z$9,0)</f>
        <v/>
      </c>
      <c r="M3036" s="13" t="n">
        <v>0</v>
      </c>
      <c r="N3036" s="13">
        <f>SUM(E3036:M3036)</f>
        <v/>
      </c>
    </row>
    <row r="3037">
      <c r="A3037" s="5">
        <f>IF(AND(C3037&gt;=Options!$B$9,C3037&lt;=Options!$B$10),"Seattle","")</f>
        <v/>
      </c>
      <c r="B3037" s="5">
        <f>IF(A3037="","",18)</f>
        <v/>
      </c>
      <c r="C3037" s="17" t="n">
        <v>46408</v>
      </c>
      <c r="D3037" s="5">
        <f>IF(A3037="","",IF(C3037=DATE(2026,11,29),"培训；注册午餐；早餐参数",IF(C3037=DATE(2026,11,30),"培训；注册午餐",IF(C3037=DATE(2026,12,1),"培训；注册午餐；机构晚餐",IF(C3037=Options!$B$9,"抵达；"&amp;IF(C3037=DATE(2026,11,28),"机构晚餐","无统一供餐"),IF(C3037=Options!$B$10,"返程；"&amp;IF(C3037=DATE(2026,12,2),"机构午餐","无统一供餐"),"差旅状态；无统一日程"))))))</f>
        <v/>
      </c>
      <c r="E3037" s="13">
        <f>IF(C3037=Options!$B$9,Options!$C$22,0)</f>
        <v/>
      </c>
      <c r="F3037" s="13">
        <f>IF(AND(A3037&lt;&gt;"",C3037&lt;Options!$B$10),B3037*Options!$X$9,0)</f>
        <v/>
      </c>
      <c r="G3037" s="13">
        <f>F3037*12%</f>
        <v/>
      </c>
      <c r="H3037" s="13">
        <f>IF(A3037="",0,B3037*(92*IF(OR(C3037=Options!$B$9,C3037=Options!$B$10),75%,100%)-IF(C3037=DATE(2026,11,29),26+IF(Options!$B$8="是",23,0),0)-IF(C3037=DATE(2026,11,30),26,0)-IF(C3037=DATE(2026,12,1),64,0)-IF(C3037=DATE(2026,11,28),38,0)-IF(C3037=DATE(2026,12,2),26,0)))</f>
        <v/>
      </c>
      <c r="I3037" s="13">
        <f>IF(AND(C3037&gt;=DATE(2026,11,29),C3037&lt;=DATE(2026,12,1)),B3037*60,0)</f>
        <v/>
      </c>
      <c r="J3037" s="13">
        <f>IF(A3037="",0,B3037*(IF(C3037=DATE(2026,11,28),38,0)+IF(C3037=DATE(2026,12,1),38,0)+IF(C3037=DATE(2026,12,2),26,0)))</f>
        <v/>
      </c>
      <c r="K3037" s="13">
        <f>IF(C3037=Options!$B$9,B3037*12,0)</f>
        <v/>
      </c>
      <c r="L3037" s="13">
        <f>IF(C3037=Options!$B$9,B3037*Options!$Z$9,0)</f>
        <v/>
      </c>
      <c r="M3037" s="13" t="n">
        <v>0</v>
      </c>
      <c r="N3037" s="13">
        <f>SUM(E3037:M3037)</f>
        <v/>
      </c>
    </row>
    <row r="3038">
      <c r="A3038" s="5">
        <f>IF(AND(C3038&gt;=Options!$B$9,C3038&lt;=Options!$B$10),"Seattle","")</f>
        <v/>
      </c>
      <c r="B3038" s="5">
        <f>IF(A3038="","",18)</f>
        <v/>
      </c>
      <c r="C3038" s="17" t="n">
        <v>46409</v>
      </c>
      <c r="D3038" s="5">
        <f>IF(A3038="","",IF(C3038=DATE(2026,11,29),"培训；注册午餐；早餐参数",IF(C3038=DATE(2026,11,30),"培训；注册午餐",IF(C3038=DATE(2026,12,1),"培训；注册午餐；机构晚餐",IF(C3038=Options!$B$9,"抵达；"&amp;IF(C3038=DATE(2026,11,28),"机构晚餐","无统一供餐"),IF(C3038=Options!$B$10,"返程；"&amp;IF(C3038=DATE(2026,12,2),"机构午餐","无统一供餐"),"差旅状态；无统一日程"))))))</f>
        <v/>
      </c>
      <c r="E3038" s="13">
        <f>IF(C3038=Options!$B$9,Options!$C$22,0)</f>
        <v/>
      </c>
      <c r="F3038" s="13">
        <f>IF(AND(A3038&lt;&gt;"",C3038&lt;Options!$B$10),B3038*Options!$X$9,0)</f>
        <v/>
      </c>
      <c r="G3038" s="13">
        <f>F3038*12%</f>
        <v/>
      </c>
      <c r="H3038" s="13">
        <f>IF(A3038="",0,B3038*(92*IF(OR(C3038=Options!$B$9,C3038=Options!$B$10),75%,100%)-IF(C3038=DATE(2026,11,29),26+IF(Options!$B$8="是",23,0),0)-IF(C3038=DATE(2026,11,30),26,0)-IF(C3038=DATE(2026,12,1),64,0)-IF(C3038=DATE(2026,11,28),38,0)-IF(C3038=DATE(2026,12,2),26,0)))</f>
        <v/>
      </c>
      <c r="I3038" s="13">
        <f>IF(AND(C3038&gt;=DATE(2026,11,29),C3038&lt;=DATE(2026,12,1)),B3038*60,0)</f>
        <v/>
      </c>
      <c r="J3038" s="13">
        <f>IF(A3038="",0,B3038*(IF(C3038=DATE(2026,11,28),38,0)+IF(C3038=DATE(2026,12,1),38,0)+IF(C3038=DATE(2026,12,2),26,0)))</f>
        <v/>
      </c>
      <c r="K3038" s="13">
        <f>IF(C3038=Options!$B$9,B3038*12,0)</f>
        <v/>
      </c>
      <c r="L3038" s="13">
        <f>IF(C3038=Options!$B$9,B3038*Options!$Z$9,0)</f>
        <v/>
      </c>
      <c r="M3038" s="13" t="n">
        <v>0</v>
      </c>
      <c r="N3038" s="13">
        <f>SUM(E3038:M3038)</f>
        <v/>
      </c>
    </row>
    <row r="3039">
      <c r="A3039" s="5">
        <f>IF(AND(C3039&gt;=Options!$B$9,C3039&lt;=Options!$B$10),"Seattle","")</f>
        <v/>
      </c>
      <c r="B3039" s="5">
        <f>IF(A3039="","",18)</f>
        <v/>
      </c>
      <c r="C3039" s="17" t="n">
        <v>46410</v>
      </c>
      <c r="D3039" s="5">
        <f>IF(A3039="","",IF(C3039=DATE(2026,11,29),"培训；注册午餐；早餐参数",IF(C3039=DATE(2026,11,30),"培训；注册午餐",IF(C3039=DATE(2026,12,1),"培训；注册午餐；机构晚餐",IF(C3039=Options!$B$9,"抵达；"&amp;IF(C3039=DATE(2026,11,28),"机构晚餐","无统一供餐"),IF(C3039=Options!$B$10,"返程；"&amp;IF(C3039=DATE(2026,12,2),"机构午餐","无统一供餐"),"差旅状态；无统一日程"))))))</f>
        <v/>
      </c>
      <c r="E3039" s="13">
        <f>IF(C3039=Options!$B$9,Options!$C$22,0)</f>
        <v/>
      </c>
      <c r="F3039" s="13">
        <f>IF(AND(A3039&lt;&gt;"",C3039&lt;Options!$B$10),B3039*Options!$X$9,0)</f>
        <v/>
      </c>
      <c r="G3039" s="13">
        <f>F3039*12%</f>
        <v/>
      </c>
      <c r="H3039" s="13">
        <f>IF(A3039="",0,B3039*(92*IF(OR(C3039=Options!$B$9,C3039=Options!$B$10),75%,100%)-IF(C3039=DATE(2026,11,29),26+IF(Options!$B$8="是",23,0),0)-IF(C3039=DATE(2026,11,30),26,0)-IF(C3039=DATE(2026,12,1),64,0)-IF(C3039=DATE(2026,11,28),38,0)-IF(C3039=DATE(2026,12,2),26,0)))</f>
        <v/>
      </c>
      <c r="I3039" s="13">
        <f>IF(AND(C3039&gt;=DATE(2026,11,29),C3039&lt;=DATE(2026,12,1)),B3039*60,0)</f>
        <v/>
      </c>
      <c r="J3039" s="13">
        <f>IF(A3039="",0,B3039*(IF(C3039=DATE(2026,11,28),38,0)+IF(C3039=DATE(2026,12,1),38,0)+IF(C3039=DATE(2026,12,2),26,0)))</f>
        <v/>
      </c>
      <c r="K3039" s="13">
        <f>IF(C3039=Options!$B$9,B3039*12,0)</f>
        <v/>
      </c>
      <c r="L3039" s="13">
        <f>IF(C3039=Options!$B$9,B3039*Options!$Z$9,0)</f>
        <v/>
      </c>
      <c r="M3039" s="13" t="n">
        <v>0</v>
      </c>
      <c r="N3039" s="13">
        <f>SUM(E3039:M3039)</f>
        <v/>
      </c>
    </row>
    <row r="3040">
      <c r="A3040" s="5">
        <f>IF(AND(C3040&gt;=Options!$B$9,C3040&lt;=Options!$B$10),"Seattle","")</f>
        <v/>
      </c>
      <c r="B3040" s="5">
        <f>IF(A3040="","",18)</f>
        <v/>
      </c>
      <c r="C3040" s="17" t="n">
        <v>46411</v>
      </c>
      <c r="D3040" s="5">
        <f>IF(A3040="","",IF(C3040=DATE(2026,11,29),"培训；注册午餐；早餐参数",IF(C3040=DATE(2026,11,30),"培训；注册午餐",IF(C3040=DATE(2026,12,1),"培训；注册午餐；机构晚餐",IF(C3040=Options!$B$9,"抵达；"&amp;IF(C3040=DATE(2026,11,28),"机构晚餐","无统一供餐"),IF(C3040=Options!$B$10,"返程；"&amp;IF(C3040=DATE(2026,12,2),"机构午餐","无统一供餐"),"差旅状态；无统一日程"))))))</f>
        <v/>
      </c>
      <c r="E3040" s="13">
        <f>IF(C3040=Options!$B$9,Options!$C$22,0)</f>
        <v/>
      </c>
      <c r="F3040" s="13">
        <f>IF(AND(A3040&lt;&gt;"",C3040&lt;Options!$B$10),B3040*Options!$X$9,0)</f>
        <v/>
      </c>
      <c r="G3040" s="13">
        <f>F3040*12%</f>
        <v/>
      </c>
      <c r="H3040" s="13">
        <f>IF(A3040="",0,B3040*(92*IF(OR(C3040=Options!$B$9,C3040=Options!$B$10),75%,100%)-IF(C3040=DATE(2026,11,29),26+IF(Options!$B$8="是",23,0),0)-IF(C3040=DATE(2026,11,30),26,0)-IF(C3040=DATE(2026,12,1),64,0)-IF(C3040=DATE(2026,11,28),38,0)-IF(C3040=DATE(2026,12,2),26,0)))</f>
        <v/>
      </c>
      <c r="I3040" s="13">
        <f>IF(AND(C3040&gt;=DATE(2026,11,29),C3040&lt;=DATE(2026,12,1)),B3040*60,0)</f>
        <v/>
      </c>
      <c r="J3040" s="13">
        <f>IF(A3040="",0,B3040*(IF(C3040=DATE(2026,11,28),38,0)+IF(C3040=DATE(2026,12,1),38,0)+IF(C3040=DATE(2026,12,2),26,0)))</f>
        <v/>
      </c>
      <c r="K3040" s="13">
        <f>IF(C3040=Options!$B$9,B3040*12,0)</f>
        <v/>
      </c>
      <c r="L3040" s="13">
        <f>IF(C3040=Options!$B$9,B3040*Options!$Z$9,0)</f>
        <v/>
      </c>
      <c r="M3040" s="13" t="n">
        <v>0</v>
      </c>
      <c r="N3040" s="13">
        <f>SUM(E3040:M3040)</f>
        <v/>
      </c>
    </row>
    <row r="3041">
      <c r="A3041" s="5">
        <f>IF(AND(C3041&gt;=Options!$B$9,C3041&lt;=Options!$B$10),"Seattle","")</f>
        <v/>
      </c>
      <c r="B3041" s="5">
        <f>IF(A3041="","",18)</f>
        <v/>
      </c>
      <c r="C3041" s="17" t="n">
        <v>46412</v>
      </c>
      <c r="D3041" s="5">
        <f>IF(A3041="","",IF(C3041=DATE(2026,11,29),"培训；注册午餐；早餐参数",IF(C3041=DATE(2026,11,30),"培训；注册午餐",IF(C3041=DATE(2026,12,1),"培训；注册午餐；机构晚餐",IF(C3041=Options!$B$9,"抵达；"&amp;IF(C3041=DATE(2026,11,28),"机构晚餐","无统一供餐"),IF(C3041=Options!$B$10,"返程；"&amp;IF(C3041=DATE(2026,12,2),"机构午餐","无统一供餐"),"差旅状态；无统一日程"))))))</f>
        <v/>
      </c>
      <c r="E3041" s="13">
        <f>IF(C3041=Options!$B$9,Options!$C$22,0)</f>
        <v/>
      </c>
      <c r="F3041" s="13">
        <f>IF(AND(A3041&lt;&gt;"",C3041&lt;Options!$B$10),B3041*Options!$X$9,0)</f>
        <v/>
      </c>
      <c r="G3041" s="13">
        <f>F3041*12%</f>
        <v/>
      </c>
      <c r="H3041" s="13">
        <f>IF(A3041="",0,B3041*(92*IF(OR(C3041=Options!$B$9,C3041=Options!$B$10),75%,100%)-IF(C3041=DATE(2026,11,29),26+IF(Options!$B$8="是",23,0),0)-IF(C3041=DATE(2026,11,30),26,0)-IF(C3041=DATE(2026,12,1),64,0)-IF(C3041=DATE(2026,11,28),38,0)-IF(C3041=DATE(2026,12,2),26,0)))</f>
        <v/>
      </c>
      <c r="I3041" s="13">
        <f>IF(AND(C3041&gt;=DATE(2026,11,29),C3041&lt;=DATE(2026,12,1)),B3041*60,0)</f>
        <v/>
      </c>
      <c r="J3041" s="13">
        <f>IF(A3041="",0,B3041*(IF(C3041=DATE(2026,11,28),38,0)+IF(C3041=DATE(2026,12,1),38,0)+IF(C3041=DATE(2026,12,2),26,0)))</f>
        <v/>
      </c>
      <c r="K3041" s="13">
        <f>IF(C3041=Options!$B$9,B3041*12,0)</f>
        <v/>
      </c>
      <c r="L3041" s="13">
        <f>IF(C3041=Options!$B$9,B3041*Options!$Z$9,0)</f>
        <v/>
      </c>
      <c r="M3041" s="13" t="n">
        <v>0</v>
      </c>
      <c r="N3041" s="13">
        <f>SUM(E3041:M3041)</f>
        <v/>
      </c>
    </row>
    <row r="3042">
      <c r="A3042" s="5">
        <f>IF(AND(C3042&gt;=Options!$B$9,C3042&lt;=Options!$B$10),"Seattle","")</f>
        <v/>
      </c>
      <c r="B3042" s="5">
        <f>IF(A3042="","",18)</f>
        <v/>
      </c>
      <c r="C3042" s="17" t="n">
        <v>46413</v>
      </c>
      <c r="D3042" s="5">
        <f>IF(A3042="","",IF(C3042=DATE(2026,11,29),"培训；注册午餐；早餐参数",IF(C3042=DATE(2026,11,30),"培训；注册午餐",IF(C3042=DATE(2026,12,1),"培训；注册午餐；机构晚餐",IF(C3042=Options!$B$9,"抵达；"&amp;IF(C3042=DATE(2026,11,28),"机构晚餐","无统一供餐"),IF(C3042=Options!$B$10,"返程；"&amp;IF(C3042=DATE(2026,12,2),"机构午餐","无统一供餐"),"差旅状态；无统一日程"))))))</f>
        <v/>
      </c>
      <c r="E3042" s="13">
        <f>IF(C3042=Options!$B$9,Options!$C$22,0)</f>
        <v/>
      </c>
      <c r="F3042" s="13">
        <f>IF(AND(A3042&lt;&gt;"",C3042&lt;Options!$B$10),B3042*Options!$X$9,0)</f>
        <v/>
      </c>
      <c r="G3042" s="13">
        <f>F3042*12%</f>
        <v/>
      </c>
      <c r="H3042" s="13">
        <f>IF(A3042="",0,B3042*(92*IF(OR(C3042=Options!$B$9,C3042=Options!$B$10),75%,100%)-IF(C3042=DATE(2026,11,29),26+IF(Options!$B$8="是",23,0),0)-IF(C3042=DATE(2026,11,30),26,0)-IF(C3042=DATE(2026,12,1),64,0)-IF(C3042=DATE(2026,11,28),38,0)-IF(C3042=DATE(2026,12,2),26,0)))</f>
        <v/>
      </c>
      <c r="I3042" s="13">
        <f>IF(AND(C3042&gt;=DATE(2026,11,29),C3042&lt;=DATE(2026,12,1)),B3042*60,0)</f>
        <v/>
      </c>
      <c r="J3042" s="13">
        <f>IF(A3042="",0,B3042*(IF(C3042=DATE(2026,11,28),38,0)+IF(C3042=DATE(2026,12,1),38,0)+IF(C3042=DATE(2026,12,2),26,0)))</f>
        <v/>
      </c>
      <c r="K3042" s="13">
        <f>IF(C3042=Options!$B$9,B3042*12,0)</f>
        <v/>
      </c>
      <c r="L3042" s="13">
        <f>IF(C3042=Options!$B$9,B3042*Options!$Z$9,0)</f>
        <v/>
      </c>
      <c r="M3042" s="13" t="n">
        <v>0</v>
      </c>
      <c r="N3042" s="13">
        <f>SUM(E3042:M3042)</f>
        <v/>
      </c>
    </row>
    <row r="3043">
      <c r="A3043" s="5">
        <f>IF(AND(C3043&gt;=Options!$B$9,C3043&lt;=Options!$B$10),"Seattle","")</f>
        <v/>
      </c>
      <c r="B3043" s="5">
        <f>IF(A3043="","",18)</f>
        <v/>
      </c>
      <c r="C3043" s="17" t="n">
        <v>46414</v>
      </c>
      <c r="D3043" s="5">
        <f>IF(A3043="","",IF(C3043=DATE(2026,11,29),"培训；注册午餐；早餐参数",IF(C3043=DATE(2026,11,30),"培训；注册午餐",IF(C3043=DATE(2026,12,1),"培训；注册午餐；机构晚餐",IF(C3043=Options!$B$9,"抵达；"&amp;IF(C3043=DATE(2026,11,28),"机构晚餐","无统一供餐"),IF(C3043=Options!$B$10,"返程；"&amp;IF(C3043=DATE(2026,12,2),"机构午餐","无统一供餐"),"差旅状态；无统一日程"))))))</f>
        <v/>
      </c>
      <c r="E3043" s="13">
        <f>IF(C3043=Options!$B$9,Options!$C$22,0)</f>
        <v/>
      </c>
      <c r="F3043" s="13">
        <f>IF(AND(A3043&lt;&gt;"",C3043&lt;Options!$B$10),B3043*Options!$X$9,0)</f>
        <v/>
      </c>
      <c r="G3043" s="13">
        <f>F3043*12%</f>
        <v/>
      </c>
      <c r="H3043" s="13">
        <f>IF(A3043="",0,B3043*(92*IF(OR(C3043=Options!$B$9,C3043=Options!$B$10),75%,100%)-IF(C3043=DATE(2026,11,29),26+IF(Options!$B$8="是",23,0),0)-IF(C3043=DATE(2026,11,30),26,0)-IF(C3043=DATE(2026,12,1),64,0)-IF(C3043=DATE(2026,11,28),38,0)-IF(C3043=DATE(2026,12,2),26,0)))</f>
        <v/>
      </c>
      <c r="I3043" s="13">
        <f>IF(AND(C3043&gt;=DATE(2026,11,29),C3043&lt;=DATE(2026,12,1)),B3043*60,0)</f>
        <v/>
      </c>
      <c r="J3043" s="13">
        <f>IF(A3043="",0,B3043*(IF(C3043=DATE(2026,11,28),38,0)+IF(C3043=DATE(2026,12,1),38,0)+IF(C3043=DATE(2026,12,2),26,0)))</f>
        <v/>
      </c>
      <c r="K3043" s="13">
        <f>IF(C3043=Options!$B$9,B3043*12,0)</f>
        <v/>
      </c>
      <c r="L3043" s="13">
        <f>IF(C3043=Options!$B$9,B3043*Options!$Z$9,0)</f>
        <v/>
      </c>
      <c r="M3043" s="13" t="n">
        <v>0</v>
      </c>
      <c r="N3043" s="13">
        <f>SUM(E3043:M3043)</f>
        <v/>
      </c>
    </row>
    <row r="3044">
      <c r="A3044" s="5">
        <f>IF(AND(C3044&gt;=Options!$B$9,C3044&lt;=Options!$B$10),"Seattle","")</f>
        <v/>
      </c>
      <c r="B3044" s="5">
        <f>IF(A3044="","",18)</f>
        <v/>
      </c>
      <c r="C3044" s="17" t="n">
        <v>46415</v>
      </c>
      <c r="D3044" s="5">
        <f>IF(A3044="","",IF(C3044=DATE(2026,11,29),"培训；注册午餐；早餐参数",IF(C3044=DATE(2026,11,30),"培训；注册午餐",IF(C3044=DATE(2026,12,1),"培训；注册午餐；机构晚餐",IF(C3044=Options!$B$9,"抵达；"&amp;IF(C3044=DATE(2026,11,28),"机构晚餐","无统一供餐"),IF(C3044=Options!$B$10,"返程；"&amp;IF(C3044=DATE(2026,12,2),"机构午餐","无统一供餐"),"差旅状态；无统一日程"))))))</f>
        <v/>
      </c>
      <c r="E3044" s="13">
        <f>IF(C3044=Options!$B$9,Options!$C$22,0)</f>
        <v/>
      </c>
      <c r="F3044" s="13">
        <f>IF(AND(A3044&lt;&gt;"",C3044&lt;Options!$B$10),B3044*Options!$X$9,0)</f>
        <v/>
      </c>
      <c r="G3044" s="13">
        <f>F3044*12%</f>
        <v/>
      </c>
      <c r="H3044" s="13">
        <f>IF(A3044="",0,B3044*(92*IF(OR(C3044=Options!$B$9,C3044=Options!$B$10),75%,100%)-IF(C3044=DATE(2026,11,29),26+IF(Options!$B$8="是",23,0),0)-IF(C3044=DATE(2026,11,30),26,0)-IF(C3044=DATE(2026,12,1),64,0)-IF(C3044=DATE(2026,11,28),38,0)-IF(C3044=DATE(2026,12,2),26,0)))</f>
        <v/>
      </c>
      <c r="I3044" s="13">
        <f>IF(AND(C3044&gt;=DATE(2026,11,29),C3044&lt;=DATE(2026,12,1)),B3044*60,0)</f>
        <v/>
      </c>
      <c r="J3044" s="13">
        <f>IF(A3044="",0,B3044*(IF(C3044=DATE(2026,11,28),38,0)+IF(C3044=DATE(2026,12,1),38,0)+IF(C3044=DATE(2026,12,2),26,0)))</f>
        <v/>
      </c>
      <c r="K3044" s="13">
        <f>IF(C3044=Options!$B$9,B3044*12,0)</f>
        <v/>
      </c>
      <c r="L3044" s="13">
        <f>IF(C3044=Options!$B$9,B3044*Options!$Z$9,0)</f>
        <v/>
      </c>
      <c r="M3044" s="13" t="n">
        <v>0</v>
      </c>
      <c r="N3044" s="13">
        <f>SUM(E3044:M3044)</f>
        <v/>
      </c>
    </row>
    <row r="3045">
      <c r="A3045" s="5">
        <f>IF(AND(C3045&gt;=Options!$B$9,C3045&lt;=Options!$B$10),"Seattle","")</f>
        <v/>
      </c>
      <c r="B3045" s="5">
        <f>IF(A3045="","",18)</f>
        <v/>
      </c>
      <c r="C3045" s="17" t="n">
        <v>46416</v>
      </c>
      <c r="D3045" s="5">
        <f>IF(A3045="","",IF(C3045=DATE(2026,11,29),"培训；注册午餐；早餐参数",IF(C3045=DATE(2026,11,30),"培训；注册午餐",IF(C3045=DATE(2026,12,1),"培训；注册午餐；机构晚餐",IF(C3045=Options!$B$9,"抵达；"&amp;IF(C3045=DATE(2026,11,28),"机构晚餐","无统一供餐"),IF(C3045=Options!$B$10,"返程；"&amp;IF(C3045=DATE(2026,12,2),"机构午餐","无统一供餐"),"差旅状态；无统一日程"))))))</f>
        <v/>
      </c>
      <c r="E3045" s="13">
        <f>IF(C3045=Options!$B$9,Options!$C$22,0)</f>
        <v/>
      </c>
      <c r="F3045" s="13">
        <f>IF(AND(A3045&lt;&gt;"",C3045&lt;Options!$B$10),B3045*Options!$X$9,0)</f>
        <v/>
      </c>
      <c r="G3045" s="13">
        <f>F3045*12%</f>
        <v/>
      </c>
      <c r="H3045" s="13">
        <f>IF(A3045="",0,B3045*(92*IF(OR(C3045=Options!$B$9,C3045=Options!$B$10),75%,100%)-IF(C3045=DATE(2026,11,29),26+IF(Options!$B$8="是",23,0),0)-IF(C3045=DATE(2026,11,30),26,0)-IF(C3045=DATE(2026,12,1),64,0)-IF(C3045=DATE(2026,11,28),38,0)-IF(C3045=DATE(2026,12,2),26,0)))</f>
        <v/>
      </c>
      <c r="I3045" s="13">
        <f>IF(AND(C3045&gt;=DATE(2026,11,29),C3045&lt;=DATE(2026,12,1)),B3045*60,0)</f>
        <v/>
      </c>
      <c r="J3045" s="13">
        <f>IF(A3045="",0,B3045*(IF(C3045=DATE(2026,11,28),38,0)+IF(C3045=DATE(2026,12,1),38,0)+IF(C3045=DATE(2026,12,2),26,0)))</f>
        <v/>
      </c>
      <c r="K3045" s="13">
        <f>IF(C3045=Options!$B$9,B3045*12,0)</f>
        <v/>
      </c>
      <c r="L3045" s="13">
        <f>IF(C3045=Options!$B$9,B3045*Options!$Z$9,0)</f>
        <v/>
      </c>
      <c r="M3045" s="13" t="n">
        <v>0</v>
      </c>
      <c r="N3045" s="13">
        <f>SUM(E3045:M3045)</f>
        <v/>
      </c>
    </row>
    <row r="3046">
      <c r="A3046" s="5">
        <f>IF(AND(C3046&gt;=Options!$B$9,C3046&lt;=Options!$B$10),"Seattle","")</f>
        <v/>
      </c>
      <c r="B3046" s="5">
        <f>IF(A3046="","",18)</f>
        <v/>
      </c>
      <c r="C3046" s="17" t="n">
        <v>46417</v>
      </c>
      <c r="D3046" s="5">
        <f>IF(A3046="","",IF(C3046=DATE(2026,11,29),"培训；注册午餐；早餐参数",IF(C3046=DATE(2026,11,30),"培训；注册午餐",IF(C3046=DATE(2026,12,1),"培训；注册午餐；机构晚餐",IF(C3046=Options!$B$9,"抵达；"&amp;IF(C3046=DATE(2026,11,28),"机构晚餐","无统一供餐"),IF(C3046=Options!$B$10,"返程；"&amp;IF(C3046=DATE(2026,12,2),"机构午餐","无统一供餐"),"差旅状态；无统一日程"))))))</f>
        <v/>
      </c>
      <c r="E3046" s="13">
        <f>IF(C3046=Options!$B$9,Options!$C$22,0)</f>
        <v/>
      </c>
      <c r="F3046" s="13">
        <f>IF(AND(A3046&lt;&gt;"",C3046&lt;Options!$B$10),B3046*Options!$X$9,0)</f>
        <v/>
      </c>
      <c r="G3046" s="13">
        <f>F3046*12%</f>
        <v/>
      </c>
      <c r="H3046" s="13">
        <f>IF(A3046="",0,B3046*(92*IF(OR(C3046=Options!$B$9,C3046=Options!$B$10),75%,100%)-IF(C3046=DATE(2026,11,29),26+IF(Options!$B$8="是",23,0),0)-IF(C3046=DATE(2026,11,30),26,0)-IF(C3046=DATE(2026,12,1),64,0)-IF(C3046=DATE(2026,11,28),38,0)-IF(C3046=DATE(2026,12,2),26,0)))</f>
        <v/>
      </c>
      <c r="I3046" s="13">
        <f>IF(AND(C3046&gt;=DATE(2026,11,29),C3046&lt;=DATE(2026,12,1)),B3046*60,0)</f>
        <v/>
      </c>
      <c r="J3046" s="13">
        <f>IF(A3046="",0,B3046*(IF(C3046=DATE(2026,11,28),38,0)+IF(C3046=DATE(2026,12,1),38,0)+IF(C3046=DATE(2026,12,2),26,0)))</f>
        <v/>
      </c>
      <c r="K3046" s="13">
        <f>IF(C3046=Options!$B$9,B3046*12,0)</f>
        <v/>
      </c>
      <c r="L3046" s="13">
        <f>IF(C3046=Options!$B$9,B3046*Options!$Z$9,0)</f>
        <v/>
      </c>
      <c r="M3046" s="13" t="n">
        <v>0</v>
      </c>
      <c r="N3046" s="13">
        <f>SUM(E3046:M3046)</f>
        <v/>
      </c>
    </row>
    <row r="3047">
      <c r="A3047" s="5">
        <f>IF(AND(C3047&gt;=Options!$B$9,C3047&lt;=Options!$B$10),"Seattle","")</f>
        <v/>
      </c>
      <c r="B3047" s="5">
        <f>IF(A3047="","",18)</f>
        <v/>
      </c>
      <c r="C3047" s="17" t="n">
        <v>46418</v>
      </c>
      <c r="D3047" s="5">
        <f>IF(A3047="","",IF(C3047=DATE(2026,11,29),"培训；注册午餐；早餐参数",IF(C3047=DATE(2026,11,30),"培训；注册午餐",IF(C3047=DATE(2026,12,1),"培训；注册午餐；机构晚餐",IF(C3047=Options!$B$9,"抵达；"&amp;IF(C3047=DATE(2026,11,28),"机构晚餐","无统一供餐"),IF(C3047=Options!$B$10,"返程；"&amp;IF(C3047=DATE(2026,12,2),"机构午餐","无统一供餐"),"差旅状态；无统一日程"))))))</f>
        <v/>
      </c>
      <c r="E3047" s="13">
        <f>IF(C3047=Options!$B$9,Options!$C$22,0)</f>
        <v/>
      </c>
      <c r="F3047" s="13">
        <f>IF(AND(A3047&lt;&gt;"",C3047&lt;Options!$B$10),B3047*Options!$X$9,0)</f>
        <v/>
      </c>
      <c r="G3047" s="13">
        <f>F3047*12%</f>
        <v/>
      </c>
      <c r="H3047" s="13">
        <f>IF(A3047="",0,B3047*(92*IF(OR(C3047=Options!$B$9,C3047=Options!$B$10),75%,100%)-IF(C3047=DATE(2026,11,29),26+IF(Options!$B$8="是",23,0),0)-IF(C3047=DATE(2026,11,30),26,0)-IF(C3047=DATE(2026,12,1),64,0)-IF(C3047=DATE(2026,11,28),38,0)-IF(C3047=DATE(2026,12,2),26,0)))</f>
        <v/>
      </c>
      <c r="I3047" s="13">
        <f>IF(AND(C3047&gt;=DATE(2026,11,29),C3047&lt;=DATE(2026,12,1)),B3047*60,0)</f>
        <v/>
      </c>
      <c r="J3047" s="13">
        <f>IF(A3047="",0,B3047*(IF(C3047=DATE(2026,11,28),38,0)+IF(C3047=DATE(2026,12,1),38,0)+IF(C3047=DATE(2026,12,2),26,0)))</f>
        <v/>
      </c>
      <c r="K3047" s="13">
        <f>IF(C3047=Options!$B$9,B3047*12,0)</f>
        <v/>
      </c>
      <c r="L3047" s="13">
        <f>IF(C3047=Options!$B$9,B3047*Options!$Z$9,0)</f>
        <v/>
      </c>
      <c r="M3047" s="13" t="n">
        <v>0</v>
      </c>
      <c r="N3047" s="13">
        <f>SUM(E3047:M3047)</f>
        <v/>
      </c>
    </row>
    <row r="3048">
      <c r="A3048" s="5">
        <f>IF(AND(C3048&gt;=Options!$B$9,C3048&lt;=Options!$B$10),"Seattle","")</f>
        <v/>
      </c>
      <c r="B3048" s="5">
        <f>IF(A3048="","",18)</f>
        <v/>
      </c>
      <c r="C3048" s="17" t="n">
        <v>46419</v>
      </c>
      <c r="D3048" s="5">
        <f>IF(A3048="","",IF(C3048=DATE(2026,11,29),"培训；注册午餐；早餐参数",IF(C3048=DATE(2026,11,30),"培训；注册午餐",IF(C3048=DATE(2026,12,1),"培训；注册午餐；机构晚餐",IF(C3048=Options!$B$9,"抵达；"&amp;IF(C3048=DATE(2026,11,28),"机构晚餐","无统一供餐"),IF(C3048=Options!$B$10,"返程；"&amp;IF(C3048=DATE(2026,12,2),"机构午餐","无统一供餐"),"差旅状态；无统一日程"))))))</f>
        <v/>
      </c>
      <c r="E3048" s="13">
        <f>IF(C3048=Options!$B$9,Options!$C$22,0)</f>
        <v/>
      </c>
      <c r="F3048" s="13">
        <f>IF(AND(A3048&lt;&gt;"",C3048&lt;Options!$B$10),B3048*Options!$X$9,0)</f>
        <v/>
      </c>
      <c r="G3048" s="13">
        <f>F3048*12%</f>
        <v/>
      </c>
      <c r="H3048" s="13">
        <f>IF(A3048="",0,B3048*(92*IF(OR(C3048=Options!$B$9,C3048=Options!$B$10),75%,100%)-IF(C3048=DATE(2026,11,29),26+IF(Options!$B$8="是",23,0),0)-IF(C3048=DATE(2026,11,30),26,0)-IF(C3048=DATE(2026,12,1),64,0)-IF(C3048=DATE(2026,11,28),38,0)-IF(C3048=DATE(2026,12,2),26,0)))</f>
        <v/>
      </c>
      <c r="I3048" s="13">
        <f>IF(AND(C3048&gt;=DATE(2026,11,29),C3048&lt;=DATE(2026,12,1)),B3048*60,0)</f>
        <v/>
      </c>
      <c r="J3048" s="13">
        <f>IF(A3048="",0,B3048*(IF(C3048=DATE(2026,11,28),38,0)+IF(C3048=DATE(2026,12,1),38,0)+IF(C3048=DATE(2026,12,2),26,0)))</f>
        <v/>
      </c>
      <c r="K3048" s="13">
        <f>IF(C3048=Options!$B$9,B3048*12,0)</f>
        <v/>
      </c>
      <c r="L3048" s="13">
        <f>IF(C3048=Options!$B$9,B3048*Options!$Z$9,0)</f>
        <v/>
      </c>
      <c r="M3048" s="13" t="n">
        <v>0</v>
      </c>
      <c r="N3048" s="13">
        <f>SUM(E3048:M3048)</f>
        <v/>
      </c>
    </row>
    <row r="3049">
      <c r="A3049" s="5">
        <f>IF(AND(C3049&gt;=Options!$B$9,C3049&lt;=Options!$B$10),"Seattle","")</f>
        <v/>
      </c>
      <c r="B3049" s="5">
        <f>IF(A3049="","",18)</f>
        <v/>
      </c>
      <c r="C3049" s="17" t="n">
        <v>46420</v>
      </c>
      <c r="D3049" s="5">
        <f>IF(A3049="","",IF(C3049=DATE(2026,11,29),"培训；注册午餐；早餐参数",IF(C3049=DATE(2026,11,30),"培训；注册午餐",IF(C3049=DATE(2026,12,1),"培训；注册午餐；机构晚餐",IF(C3049=Options!$B$9,"抵达；"&amp;IF(C3049=DATE(2026,11,28),"机构晚餐","无统一供餐"),IF(C3049=Options!$B$10,"返程；"&amp;IF(C3049=DATE(2026,12,2),"机构午餐","无统一供餐"),"差旅状态；无统一日程"))))))</f>
        <v/>
      </c>
      <c r="E3049" s="13">
        <f>IF(C3049=Options!$B$9,Options!$C$22,0)</f>
        <v/>
      </c>
      <c r="F3049" s="13">
        <f>IF(AND(A3049&lt;&gt;"",C3049&lt;Options!$B$10),B3049*Options!$X$9,0)</f>
        <v/>
      </c>
      <c r="G3049" s="13">
        <f>F3049*12%</f>
        <v/>
      </c>
      <c r="H3049" s="13">
        <f>IF(A3049="",0,B3049*(92*IF(OR(C3049=Options!$B$9,C3049=Options!$B$10),75%,100%)-IF(C3049=DATE(2026,11,29),26+IF(Options!$B$8="是",23,0),0)-IF(C3049=DATE(2026,11,30),26,0)-IF(C3049=DATE(2026,12,1),64,0)-IF(C3049=DATE(2026,11,28),38,0)-IF(C3049=DATE(2026,12,2),26,0)))</f>
        <v/>
      </c>
      <c r="I3049" s="13">
        <f>IF(AND(C3049&gt;=DATE(2026,11,29),C3049&lt;=DATE(2026,12,1)),B3049*60,0)</f>
        <v/>
      </c>
      <c r="J3049" s="13">
        <f>IF(A3049="",0,B3049*(IF(C3049=DATE(2026,11,28),38,0)+IF(C3049=DATE(2026,12,1),38,0)+IF(C3049=DATE(2026,12,2),26,0)))</f>
        <v/>
      </c>
      <c r="K3049" s="13">
        <f>IF(C3049=Options!$B$9,B3049*12,0)</f>
        <v/>
      </c>
      <c r="L3049" s="13">
        <f>IF(C3049=Options!$B$9,B3049*Options!$Z$9,0)</f>
        <v/>
      </c>
      <c r="M3049" s="13" t="n">
        <v>0</v>
      </c>
      <c r="N3049" s="13">
        <f>SUM(E3049:M3049)</f>
        <v/>
      </c>
    </row>
    <row r="3050">
      <c r="A3050" s="5">
        <f>IF(AND(C3050&gt;=Options!$B$9,C3050&lt;=Options!$B$10),"Seattle","")</f>
        <v/>
      </c>
      <c r="B3050" s="5">
        <f>IF(A3050="","",18)</f>
        <v/>
      </c>
      <c r="C3050" s="17" t="n">
        <v>46421</v>
      </c>
      <c r="D3050" s="5">
        <f>IF(A3050="","",IF(C3050=DATE(2026,11,29),"培训；注册午餐；早餐参数",IF(C3050=DATE(2026,11,30),"培训；注册午餐",IF(C3050=DATE(2026,12,1),"培训；注册午餐；机构晚餐",IF(C3050=Options!$B$9,"抵达；"&amp;IF(C3050=DATE(2026,11,28),"机构晚餐","无统一供餐"),IF(C3050=Options!$B$10,"返程；"&amp;IF(C3050=DATE(2026,12,2),"机构午餐","无统一供餐"),"差旅状态；无统一日程"))))))</f>
        <v/>
      </c>
      <c r="E3050" s="13">
        <f>IF(C3050=Options!$B$9,Options!$C$22,0)</f>
        <v/>
      </c>
      <c r="F3050" s="13">
        <f>IF(AND(A3050&lt;&gt;"",C3050&lt;Options!$B$10),B3050*Options!$X$9,0)</f>
        <v/>
      </c>
      <c r="G3050" s="13">
        <f>F3050*12%</f>
        <v/>
      </c>
      <c r="H3050" s="13">
        <f>IF(A3050="",0,B3050*(92*IF(OR(C3050=Options!$B$9,C3050=Options!$B$10),75%,100%)-IF(C3050=DATE(2026,11,29),26+IF(Options!$B$8="是",23,0),0)-IF(C3050=DATE(2026,11,30),26,0)-IF(C3050=DATE(2026,12,1),64,0)-IF(C3050=DATE(2026,11,28),38,0)-IF(C3050=DATE(2026,12,2),26,0)))</f>
        <v/>
      </c>
      <c r="I3050" s="13">
        <f>IF(AND(C3050&gt;=DATE(2026,11,29),C3050&lt;=DATE(2026,12,1)),B3050*60,0)</f>
        <v/>
      </c>
      <c r="J3050" s="13">
        <f>IF(A3050="",0,B3050*(IF(C3050=DATE(2026,11,28),38,0)+IF(C3050=DATE(2026,12,1),38,0)+IF(C3050=DATE(2026,12,2),26,0)))</f>
        <v/>
      </c>
      <c r="K3050" s="13">
        <f>IF(C3050=Options!$B$9,B3050*12,0)</f>
        <v/>
      </c>
      <c r="L3050" s="13">
        <f>IF(C3050=Options!$B$9,B3050*Options!$Z$9,0)</f>
        <v/>
      </c>
      <c r="M3050" s="13" t="n">
        <v>0</v>
      </c>
      <c r="N3050" s="13">
        <f>SUM(E3050:M3050)</f>
        <v/>
      </c>
    </row>
    <row r="3051">
      <c r="A3051" s="5">
        <f>IF(AND(C3051&gt;=Options!$B$9,C3051&lt;=Options!$B$10),"Seattle","")</f>
        <v/>
      </c>
      <c r="B3051" s="5">
        <f>IF(A3051="","",18)</f>
        <v/>
      </c>
      <c r="C3051" s="17" t="n">
        <v>46422</v>
      </c>
      <c r="D3051" s="5">
        <f>IF(A3051="","",IF(C3051=DATE(2026,11,29),"培训；注册午餐；早餐参数",IF(C3051=DATE(2026,11,30),"培训；注册午餐",IF(C3051=DATE(2026,12,1),"培训；注册午餐；机构晚餐",IF(C3051=Options!$B$9,"抵达；"&amp;IF(C3051=DATE(2026,11,28),"机构晚餐","无统一供餐"),IF(C3051=Options!$B$10,"返程；"&amp;IF(C3051=DATE(2026,12,2),"机构午餐","无统一供餐"),"差旅状态；无统一日程"))))))</f>
        <v/>
      </c>
      <c r="E3051" s="13">
        <f>IF(C3051=Options!$B$9,Options!$C$22,0)</f>
        <v/>
      </c>
      <c r="F3051" s="13">
        <f>IF(AND(A3051&lt;&gt;"",C3051&lt;Options!$B$10),B3051*Options!$X$9,0)</f>
        <v/>
      </c>
      <c r="G3051" s="13">
        <f>F3051*12%</f>
        <v/>
      </c>
      <c r="H3051" s="13">
        <f>IF(A3051="",0,B3051*(92*IF(OR(C3051=Options!$B$9,C3051=Options!$B$10),75%,100%)-IF(C3051=DATE(2026,11,29),26+IF(Options!$B$8="是",23,0),0)-IF(C3051=DATE(2026,11,30),26,0)-IF(C3051=DATE(2026,12,1),64,0)-IF(C3051=DATE(2026,11,28),38,0)-IF(C3051=DATE(2026,12,2),26,0)))</f>
        <v/>
      </c>
      <c r="I3051" s="13">
        <f>IF(AND(C3051&gt;=DATE(2026,11,29),C3051&lt;=DATE(2026,12,1)),B3051*60,0)</f>
        <v/>
      </c>
      <c r="J3051" s="13">
        <f>IF(A3051="",0,B3051*(IF(C3051=DATE(2026,11,28),38,0)+IF(C3051=DATE(2026,12,1),38,0)+IF(C3051=DATE(2026,12,2),26,0)))</f>
        <v/>
      </c>
      <c r="K3051" s="13">
        <f>IF(C3051=Options!$B$9,B3051*12,0)</f>
        <v/>
      </c>
      <c r="L3051" s="13">
        <f>IF(C3051=Options!$B$9,B3051*Options!$Z$9,0)</f>
        <v/>
      </c>
      <c r="M3051" s="13" t="n">
        <v>0</v>
      </c>
      <c r="N3051" s="13">
        <f>SUM(E3051:M3051)</f>
        <v/>
      </c>
    </row>
    <row r="3052">
      <c r="A3052" s="5">
        <f>IF(AND(C3052&gt;=Options!$B$9,C3052&lt;=Options!$B$10),"Seattle","")</f>
        <v/>
      </c>
      <c r="B3052" s="5">
        <f>IF(A3052="","",18)</f>
        <v/>
      </c>
      <c r="C3052" s="17" t="n">
        <v>46423</v>
      </c>
      <c r="D3052" s="5">
        <f>IF(A3052="","",IF(C3052=DATE(2026,11,29),"培训；注册午餐；早餐参数",IF(C3052=DATE(2026,11,30),"培训；注册午餐",IF(C3052=DATE(2026,12,1),"培训；注册午餐；机构晚餐",IF(C3052=Options!$B$9,"抵达；"&amp;IF(C3052=DATE(2026,11,28),"机构晚餐","无统一供餐"),IF(C3052=Options!$B$10,"返程；"&amp;IF(C3052=DATE(2026,12,2),"机构午餐","无统一供餐"),"差旅状态；无统一日程"))))))</f>
        <v/>
      </c>
      <c r="E3052" s="13">
        <f>IF(C3052=Options!$B$9,Options!$C$22,0)</f>
        <v/>
      </c>
      <c r="F3052" s="13">
        <f>IF(AND(A3052&lt;&gt;"",C3052&lt;Options!$B$10),B3052*Options!$X$9,0)</f>
        <v/>
      </c>
      <c r="G3052" s="13">
        <f>F3052*12%</f>
        <v/>
      </c>
      <c r="H3052" s="13">
        <f>IF(A3052="",0,B3052*(92*IF(OR(C3052=Options!$B$9,C3052=Options!$B$10),75%,100%)-IF(C3052=DATE(2026,11,29),26+IF(Options!$B$8="是",23,0),0)-IF(C3052=DATE(2026,11,30),26,0)-IF(C3052=DATE(2026,12,1),64,0)-IF(C3052=DATE(2026,11,28),38,0)-IF(C3052=DATE(2026,12,2),26,0)))</f>
        <v/>
      </c>
      <c r="I3052" s="13">
        <f>IF(AND(C3052&gt;=DATE(2026,11,29),C3052&lt;=DATE(2026,12,1)),B3052*60,0)</f>
        <v/>
      </c>
      <c r="J3052" s="13">
        <f>IF(A3052="",0,B3052*(IF(C3052=DATE(2026,11,28),38,0)+IF(C3052=DATE(2026,12,1),38,0)+IF(C3052=DATE(2026,12,2),26,0)))</f>
        <v/>
      </c>
      <c r="K3052" s="13">
        <f>IF(C3052=Options!$B$9,B3052*12,0)</f>
        <v/>
      </c>
      <c r="L3052" s="13">
        <f>IF(C3052=Options!$B$9,B3052*Options!$Z$9,0)</f>
        <v/>
      </c>
      <c r="M3052" s="13" t="n">
        <v>0</v>
      </c>
      <c r="N3052" s="13">
        <f>SUM(E3052:M3052)</f>
        <v/>
      </c>
    </row>
    <row r="3053">
      <c r="A3053" s="5">
        <f>IF(AND(C3053&gt;=Options!$B$9,C3053&lt;=Options!$B$10),"Seattle","")</f>
        <v/>
      </c>
      <c r="B3053" s="5">
        <f>IF(A3053="","",18)</f>
        <v/>
      </c>
      <c r="C3053" s="17" t="n">
        <v>46424</v>
      </c>
      <c r="D3053" s="5">
        <f>IF(A3053="","",IF(C3053=DATE(2026,11,29),"培训；注册午餐；早餐参数",IF(C3053=DATE(2026,11,30),"培训；注册午餐",IF(C3053=DATE(2026,12,1),"培训；注册午餐；机构晚餐",IF(C3053=Options!$B$9,"抵达；"&amp;IF(C3053=DATE(2026,11,28),"机构晚餐","无统一供餐"),IF(C3053=Options!$B$10,"返程；"&amp;IF(C3053=DATE(2026,12,2),"机构午餐","无统一供餐"),"差旅状态；无统一日程"))))))</f>
        <v/>
      </c>
      <c r="E3053" s="13">
        <f>IF(C3053=Options!$B$9,Options!$C$22,0)</f>
        <v/>
      </c>
      <c r="F3053" s="13">
        <f>IF(AND(A3053&lt;&gt;"",C3053&lt;Options!$B$10),B3053*Options!$X$9,0)</f>
        <v/>
      </c>
      <c r="G3053" s="13">
        <f>F3053*12%</f>
        <v/>
      </c>
      <c r="H3053" s="13">
        <f>IF(A3053="",0,B3053*(92*IF(OR(C3053=Options!$B$9,C3053=Options!$B$10),75%,100%)-IF(C3053=DATE(2026,11,29),26+IF(Options!$B$8="是",23,0),0)-IF(C3053=DATE(2026,11,30),26,0)-IF(C3053=DATE(2026,12,1),64,0)-IF(C3053=DATE(2026,11,28),38,0)-IF(C3053=DATE(2026,12,2),26,0)))</f>
        <v/>
      </c>
      <c r="I3053" s="13">
        <f>IF(AND(C3053&gt;=DATE(2026,11,29),C3053&lt;=DATE(2026,12,1)),B3053*60,0)</f>
        <v/>
      </c>
      <c r="J3053" s="13">
        <f>IF(A3053="",0,B3053*(IF(C3053=DATE(2026,11,28),38,0)+IF(C3053=DATE(2026,12,1),38,0)+IF(C3053=DATE(2026,12,2),26,0)))</f>
        <v/>
      </c>
      <c r="K3053" s="13">
        <f>IF(C3053=Options!$B$9,B3053*12,0)</f>
        <v/>
      </c>
      <c r="L3053" s="13">
        <f>IF(C3053=Options!$B$9,B3053*Options!$Z$9,0)</f>
        <v/>
      </c>
      <c r="M3053" s="13" t="n">
        <v>0</v>
      </c>
      <c r="N3053" s="13">
        <f>SUM(E3053:M3053)</f>
        <v/>
      </c>
    </row>
    <row r="3054">
      <c r="A3054" s="5">
        <f>IF(AND(C3054&gt;=Options!$B$9,C3054&lt;=Options!$B$10),"Seattle","")</f>
        <v/>
      </c>
      <c r="B3054" s="5">
        <f>IF(A3054="","",18)</f>
        <v/>
      </c>
      <c r="C3054" s="17" t="n">
        <v>46425</v>
      </c>
      <c r="D3054" s="5">
        <f>IF(A3054="","",IF(C3054=DATE(2026,11,29),"培训；注册午餐；早餐参数",IF(C3054=DATE(2026,11,30),"培训；注册午餐",IF(C3054=DATE(2026,12,1),"培训；注册午餐；机构晚餐",IF(C3054=Options!$B$9,"抵达；"&amp;IF(C3054=DATE(2026,11,28),"机构晚餐","无统一供餐"),IF(C3054=Options!$B$10,"返程；"&amp;IF(C3054=DATE(2026,12,2),"机构午餐","无统一供餐"),"差旅状态；无统一日程"))))))</f>
        <v/>
      </c>
      <c r="E3054" s="13">
        <f>IF(C3054=Options!$B$9,Options!$C$22,0)</f>
        <v/>
      </c>
      <c r="F3054" s="13">
        <f>IF(AND(A3054&lt;&gt;"",C3054&lt;Options!$B$10),B3054*Options!$X$9,0)</f>
        <v/>
      </c>
      <c r="G3054" s="13">
        <f>F3054*12%</f>
        <v/>
      </c>
      <c r="H3054" s="13">
        <f>IF(A3054="",0,B3054*(92*IF(OR(C3054=Options!$B$9,C3054=Options!$B$10),75%,100%)-IF(C3054=DATE(2026,11,29),26+IF(Options!$B$8="是",23,0),0)-IF(C3054=DATE(2026,11,30),26,0)-IF(C3054=DATE(2026,12,1),64,0)-IF(C3054=DATE(2026,11,28),38,0)-IF(C3054=DATE(2026,12,2),26,0)))</f>
        <v/>
      </c>
      <c r="I3054" s="13">
        <f>IF(AND(C3054&gt;=DATE(2026,11,29),C3054&lt;=DATE(2026,12,1)),B3054*60,0)</f>
        <v/>
      </c>
      <c r="J3054" s="13">
        <f>IF(A3054="",0,B3054*(IF(C3054=DATE(2026,11,28),38,0)+IF(C3054=DATE(2026,12,1),38,0)+IF(C3054=DATE(2026,12,2),26,0)))</f>
        <v/>
      </c>
      <c r="K3054" s="13">
        <f>IF(C3054=Options!$B$9,B3054*12,0)</f>
        <v/>
      </c>
      <c r="L3054" s="13">
        <f>IF(C3054=Options!$B$9,B3054*Options!$Z$9,0)</f>
        <v/>
      </c>
      <c r="M3054" s="13" t="n">
        <v>0</v>
      </c>
      <c r="N3054" s="13">
        <f>SUM(E3054:M3054)</f>
        <v/>
      </c>
    </row>
    <row r="3055">
      <c r="A3055" s="5">
        <f>IF(AND(C3055&gt;=Options!$B$9,C3055&lt;=Options!$B$10),"Seattle","")</f>
        <v/>
      </c>
      <c r="B3055" s="5">
        <f>IF(A3055="","",18)</f>
        <v/>
      </c>
      <c r="C3055" s="17" t="n">
        <v>46426</v>
      </c>
      <c r="D3055" s="5">
        <f>IF(A3055="","",IF(C3055=DATE(2026,11,29),"培训；注册午餐；早餐参数",IF(C3055=DATE(2026,11,30),"培训；注册午餐",IF(C3055=DATE(2026,12,1),"培训；注册午餐；机构晚餐",IF(C3055=Options!$B$9,"抵达；"&amp;IF(C3055=DATE(2026,11,28),"机构晚餐","无统一供餐"),IF(C3055=Options!$B$10,"返程；"&amp;IF(C3055=DATE(2026,12,2),"机构午餐","无统一供餐"),"差旅状态；无统一日程"))))))</f>
        <v/>
      </c>
      <c r="E3055" s="13">
        <f>IF(C3055=Options!$B$9,Options!$C$22,0)</f>
        <v/>
      </c>
      <c r="F3055" s="13">
        <f>IF(AND(A3055&lt;&gt;"",C3055&lt;Options!$B$10),B3055*Options!$X$9,0)</f>
        <v/>
      </c>
      <c r="G3055" s="13">
        <f>F3055*12%</f>
        <v/>
      </c>
      <c r="H3055" s="13">
        <f>IF(A3055="",0,B3055*(92*IF(OR(C3055=Options!$B$9,C3055=Options!$B$10),75%,100%)-IF(C3055=DATE(2026,11,29),26+IF(Options!$B$8="是",23,0),0)-IF(C3055=DATE(2026,11,30),26,0)-IF(C3055=DATE(2026,12,1),64,0)-IF(C3055=DATE(2026,11,28),38,0)-IF(C3055=DATE(2026,12,2),26,0)))</f>
        <v/>
      </c>
      <c r="I3055" s="13">
        <f>IF(AND(C3055&gt;=DATE(2026,11,29),C3055&lt;=DATE(2026,12,1)),B3055*60,0)</f>
        <v/>
      </c>
      <c r="J3055" s="13">
        <f>IF(A3055="",0,B3055*(IF(C3055=DATE(2026,11,28),38,0)+IF(C3055=DATE(2026,12,1),38,0)+IF(C3055=DATE(2026,12,2),26,0)))</f>
        <v/>
      </c>
      <c r="K3055" s="13">
        <f>IF(C3055=Options!$B$9,B3055*12,0)</f>
        <v/>
      </c>
      <c r="L3055" s="13">
        <f>IF(C3055=Options!$B$9,B3055*Options!$Z$9,0)</f>
        <v/>
      </c>
      <c r="M3055" s="13" t="n">
        <v>0</v>
      </c>
      <c r="N3055" s="13">
        <f>SUM(E3055:M3055)</f>
        <v/>
      </c>
    </row>
    <row r="3056">
      <c r="A3056" s="5">
        <f>IF(AND(C3056&gt;=Options!$B$9,C3056&lt;=Options!$B$10),"Seattle","")</f>
        <v/>
      </c>
      <c r="B3056" s="5">
        <f>IF(A3056="","",18)</f>
        <v/>
      </c>
      <c r="C3056" s="17" t="n">
        <v>46427</v>
      </c>
      <c r="D3056" s="5">
        <f>IF(A3056="","",IF(C3056=DATE(2026,11,29),"培训；注册午餐；早餐参数",IF(C3056=DATE(2026,11,30),"培训；注册午餐",IF(C3056=DATE(2026,12,1),"培训；注册午餐；机构晚餐",IF(C3056=Options!$B$9,"抵达；"&amp;IF(C3056=DATE(2026,11,28),"机构晚餐","无统一供餐"),IF(C3056=Options!$B$10,"返程；"&amp;IF(C3056=DATE(2026,12,2),"机构午餐","无统一供餐"),"差旅状态；无统一日程"))))))</f>
        <v/>
      </c>
      <c r="E3056" s="13">
        <f>IF(C3056=Options!$B$9,Options!$C$22,0)</f>
        <v/>
      </c>
      <c r="F3056" s="13">
        <f>IF(AND(A3056&lt;&gt;"",C3056&lt;Options!$B$10),B3056*Options!$X$9,0)</f>
        <v/>
      </c>
      <c r="G3056" s="13">
        <f>F3056*12%</f>
        <v/>
      </c>
      <c r="H3056" s="13">
        <f>IF(A3056="",0,B3056*(92*IF(OR(C3056=Options!$B$9,C3056=Options!$B$10),75%,100%)-IF(C3056=DATE(2026,11,29),26+IF(Options!$B$8="是",23,0),0)-IF(C3056=DATE(2026,11,30),26,0)-IF(C3056=DATE(2026,12,1),64,0)-IF(C3056=DATE(2026,11,28),38,0)-IF(C3056=DATE(2026,12,2),26,0)))</f>
        <v/>
      </c>
      <c r="I3056" s="13">
        <f>IF(AND(C3056&gt;=DATE(2026,11,29),C3056&lt;=DATE(2026,12,1)),B3056*60,0)</f>
        <v/>
      </c>
      <c r="J3056" s="13">
        <f>IF(A3056="",0,B3056*(IF(C3056=DATE(2026,11,28),38,0)+IF(C3056=DATE(2026,12,1),38,0)+IF(C3056=DATE(2026,12,2),26,0)))</f>
        <v/>
      </c>
      <c r="K3056" s="13">
        <f>IF(C3056=Options!$B$9,B3056*12,0)</f>
        <v/>
      </c>
      <c r="L3056" s="13">
        <f>IF(C3056=Options!$B$9,B3056*Options!$Z$9,0)</f>
        <v/>
      </c>
      <c r="M3056" s="13" t="n">
        <v>0</v>
      </c>
      <c r="N3056" s="13">
        <f>SUM(E3056:M3056)</f>
        <v/>
      </c>
    </row>
    <row r="3057">
      <c r="A3057" s="5">
        <f>IF(AND(C3057&gt;=Options!$B$9,C3057&lt;=Options!$B$10),"Seattle","")</f>
        <v/>
      </c>
      <c r="B3057" s="5">
        <f>IF(A3057="","",18)</f>
        <v/>
      </c>
      <c r="C3057" s="17" t="n">
        <v>46428</v>
      </c>
      <c r="D3057" s="5">
        <f>IF(A3057="","",IF(C3057=DATE(2026,11,29),"培训；注册午餐；早餐参数",IF(C3057=DATE(2026,11,30),"培训；注册午餐",IF(C3057=DATE(2026,12,1),"培训；注册午餐；机构晚餐",IF(C3057=Options!$B$9,"抵达；"&amp;IF(C3057=DATE(2026,11,28),"机构晚餐","无统一供餐"),IF(C3057=Options!$B$10,"返程；"&amp;IF(C3057=DATE(2026,12,2),"机构午餐","无统一供餐"),"差旅状态；无统一日程"))))))</f>
        <v/>
      </c>
      <c r="E3057" s="13">
        <f>IF(C3057=Options!$B$9,Options!$C$22,0)</f>
        <v/>
      </c>
      <c r="F3057" s="13">
        <f>IF(AND(A3057&lt;&gt;"",C3057&lt;Options!$B$10),B3057*Options!$X$9,0)</f>
        <v/>
      </c>
      <c r="G3057" s="13">
        <f>F3057*12%</f>
        <v/>
      </c>
      <c r="H3057" s="13">
        <f>IF(A3057="",0,B3057*(92*IF(OR(C3057=Options!$B$9,C3057=Options!$B$10),75%,100%)-IF(C3057=DATE(2026,11,29),26+IF(Options!$B$8="是",23,0),0)-IF(C3057=DATE(2026,11,30),26,0)-IF(C3057=DATE(2026,12,1),64,0)-IF(C3057=DATE(2026,11,28),38,0)-IF(C3057=DATE(2026,12,2),26,0)))</f>
        <v/>
      </c>
      <c r="I3057" s="13">
        <f>IF(AND(C3057&gt;=DATE(2026,11,29),C3057&lt;=DATE(2026,12,1)),B3057*60,0)</f>
        <v/>
      </c>
      <c r="J3057" s="13">
        <f>IF(A3057="",0,B3057*(IF(C3057=DATE(2026,11,28),38,0)+IF(C3057=DATE(2026,12,1),38,0)+IF(C3057=DATE(2026,12,2),26,0)))</f>
        <v/>
      </c>
      <c r="K3057" s="13">
        <f>IF(C3057=Options!$B$9,B3057*12,0)</f>
        <v/>
      </c>
      <c r="L3057" s="13">
        <f>IF(C3057=Options!$B$9,B3057*Options!$Z$9,0)</f>
        <v/>
      </c>
      <c r="M3057" s="13" t="n">
        <v>0</v>
      </c>
      <c r="N3057" s="13">
        <f>SUM(E3057:M3057)</f>
        <v/>
      </c>
    </row>
    <row r="3058">
      <c r="A3058" s="5">
        <f>IF(AND(C3058&gt;=Options!$B$9,C3058&lt;=Options!$B$10),"Seattle","")</f>
        <v/>
      </c>
      <c r="B3058" s="5">
        <f>IF(A3058="","",18)</f>
        <v/>
      </c>
      <c r="C3058" s="17" t="n">
        <v>46429</v>
      </c>
      <c r="D3058" s="5">
        <f>IF(A3058="","",IF(C3058=DATE(2026,11,29),"培训；注册午餐；早餐参数",IF(C3058=DATE(2026,11,30),"培训；注册午餐",IF(C3058=DATE(2026,12,1),"培训；注册午餐；机构晚餐",IF(C3058=Options!$B$9,"抵达；"&amp;IF(C3058=DATE(2026,11,28),"机构晚餐","无统一供餐"),IF(C3058=Options!$B$10,"返程；"&amp;IF(C3058=DATE(2026,12,2),"机构午餐","无统一供餐"),"差旅状态；无统一日程"))))))</f>
        <v/>
      </c>
      <c r="E3058" s="13">
        <f>IF(C3058=Options!$B$9,Options!$C$22,0)</f>
        <v/>
      </c>
      <c r="F3058" s="13">
        <f>IF(AND(A3058&lt;&gt;"",C3058&lt;Options!$B$10),B3058*Options!$X$9,0)</f>
        <v/>
      </c>
      <c r="G3058" s="13">
        <f>F3058*12%</f>
        <v/>
      </c>
      <c r="H3058" s="13">
        <f>IF(A3058="",0,B3058*(92*IF(OR(C3058=Options!$B$9,C3058=Options!$B$10),75%,100%)-IF(C3058=DATE(2026,11,29),26+IF(Options!$B$8="是",23,0),0)-IF(C3058=DATE(2026,11,30),26,0)-IF(C3058=DATE(2026,12,1),64,0)-IF(C3058=DATE(2026,11,28),38,0)-IF(C3058=DATE(2026,12,2),26,0)))</f>
        <v/>
      </c>
      <c r="I3058" s="13">
        <f>IF(AND(C3058&gt;=DATE(2026,11,29),C3058&lt;=DATE(2026,12,1)),B3058*60,0)</f>
        <v/>
      </c>
      <c r="J3058" s="13">
        <f>IF(A3058="",0,B3058*(IF(C3058=DATE(2026,11,28),38,0)+IF(C3058=DATE(2026,12,1),38,0)+IF(C3058=DATE(2026,12,2),26,0)))</f>
        <v/>
      </c>
      <c r="K3058" s="13">
        <f>IF(C3058=Options!$B$9,B3058*12,0)</f>
        <v/>
      </c>
      <c r="L3058" s="13">
        <f>IF(C3058=Options!$B$9,B3058*Options!$Z$9,0)</f>
        <v/>
      </c>
      <c r="M3058" s="13" t="n">
        <v>0</v>
      </c>
      <c r="N3058" s="13">
        <f>SUM(E3058:M3058)</f>
        <v/>
      </c>
    </row>
    <row r="3059">
      <c r="A3059" s="5">
        <f>IF(AND(C3059&gt;=Options!$B$9,C3059&lt;=Options!$B$10),"Seattle","")</f>
        <v/>
      </c>
      <c r="B3059" s="5">
        <f>IF(A3059="","",18)</f>
        <v/>
      </c>
      <c r="C3059" s="17" t="n">
        <v>46430</v>
      </c>
      <c r="D3059" s="5">
        <f>IF(A3059="","",IF(C3059=DATE(2026,11,29),"培训；注册午餐；早餐参数",IF(C3059=DATE(2026,11,30),"培训；注册午餐",IF(C3059=DATE(2026,12,1),"培训；注册午餐；机构晚餐",IF(C3059=Options!$B$9,"抵达；"&amp;IF(C3059=DATE(2026,11,28),"机构晚餐","无统一供餐"),IF(C3059=Options!$B$10,"返程；"&amp;IF(C3059=DATE(2026,12,2),"机构午餐","无统一供餐"),"差旅状态；无统一日程"))))))</f>
        <v/>
      </c>
      <c r="E3059" s="13">
        <f>IF(C3059=Options!$B$9,Options!$C$22,0)</f>
        <v/>
      </c>
      <c r="F3059" s="13">
        <f>IF(AND(A3059&lt;&gt;"",C3059&lt;Options!$B$10),B3059*Options!$X$9,0)</f>
        <v/>
      </c>
      <c r="G3059" s="13">
        <f>F3059*12%</f>
        <v/>
      </c>
      <c r="H3059" s="13">
        <f>IF(A3059="",0,B3059*(92*IF(OR(C3059=Options!$B$9,C3059=Options!$B$10),75%,100%)-IF(C3059=DATE(2026,11,29),26+IF(Options!$B$8="是",23,0),0)-IF(C3059=DATE(2026,11,30),26,0)-IF(C3059=DATE(2026,12,1),64,0)-IF(C3059=DATE(2026,11,28),38,0)-IF(C3059=DATE(2026,12,2),26,0)))</f>
        <v/>
      </c>
      <c r="I3059" s="13">
        <f>IF(AND(C3059&gt;=DATE(2026,11,29),C3059&lt;=DATE(2026,12,1)),B3059*60,0)</f>
        <v/>
      </c>
      <c r="J3059" s="13">
        <f>IF(A3059="",0,B3059*(IF(C3059=DATE(2026,11,28),38,0)+IF(C3059=DATE(2026,12,1),38,0)+IF(C3059=DATE(2026,12,2),26,0)))</f>
        <v/>
      </c>
      <c r="K3059" s="13">
        <f>IF(C3059=Options!$B$9,B3059*12,0)</f>
        <v/>
      </c>
      <c r="L3059" s="13">
        <f>IF(C3059=Options!$B$9,B3059*Options!$Z$9,0)</f>
        <v/>
      </c>
      <c r="M3059" s="13" t="n">
        <v>0</v>
      </c>
      <c r="N3059" s="13">
        <f>SUM(E3059:M3059)</f>
        <v/>
      </c>
    </row>
    <row r="3060">
      <c r="A3060" s="5">
        <f>IF(AND(C3060&gt;=Options!$B$9,C3060&lt;=Options!$B$10),"Seattle","")</f>
        <v/>
      </c>
      <c r="B3060" s="5">
        <f>IF(A3060="","",18)</f>
        <v/>
      </c>
      <c r="C3060" s="17" t="n">
        <v>46431</v>
      </c>
      <c r="D3060" s="5">
        <f>IF(A3060="","",IF(C3060=DATE(2026,11,29),"培训；注册午餐；早餐参数",IF(C3060=DATE(2026,11,30),"培训；注册午餐",IF(C3060=DATE(2026,12,1),"培训；注册午餐；机构晚餐",IF(C3060=Options!$B$9,"抵达；"&amp;IF(C3060=DATE(2026,11,28),"机构晚餐","无统一供餐"),IF(C3060=Options!$B$10,"返程；"&amp;IF(C3060=DATE(2026,12,2),"机构午餐","无统一供餐"),"差旅状态；无统一日程"))))))</f>
        <v/>
      </c>
      <c r="E3060" s="13">
        <f>IF(C3060=Options!$B$9,Options!$C$22,0)</f>
        <v/>
      </c>
      <c r="F3060" s="13">
        <f>IF(AND(A3060&lt;&gt;"",C3060&lt;Options!$B$10),B3060*Options!$X$9,0)</f>
        <v/>
      </c>
      <c r="G3060" s="13">
        <f>F3060*12%</f>
        <v/>
      </c>
      <c r="H3060" s="13">
        <f>IF(A3060="",0,B3060*(92*IF(OR(C3060=Options!$B$9,C3060=Options!$B$10),75%,100%)-IF(C3060=DATE(2026,11,29),26+IF(Options!$B$8="是",23,0),0)-IF(C3060=DATE(2026,11,30),26,0)-IF(C3060=DATE(2026,12,1),64,0)-IF(C3060=DATE(2026,11,28),38,0)-IF(C3060=DATE(2026,12,2),26,0)))</f>
        <v/>
      </c>
      <c r="I3060" s="13">
        <f>IF(AND(C3060&gt;=DATE(2026,11,29),C3060&lt;=DATE(2026,12,1)),B3060*60,0)</f>
        <v/>
      </c>
      <c r="J3060" s="13">
        <f>IF(A3060="",0,B3060*(IF(C3060=DATE(2026,11,28),38,0)+IF(C3060=DATE(2026,12,1),38,0)+IF(C3060=DATE(2026,12,2),26,0)))</f>
        <v/>
      </c>
      <c r="K3060" s="13">
        <f>IF(C3060=Options!$B$9,B3060*12,0)</f>
        <v/>
      </c>
      <c r="L3060" s="13">
        <f>IF(C3060=Options!$B$9,B3060*Options!$Z$9,0)</f>
        <v/>
      </c>
      <c r="M3060" s="13" t="n">
        <v>0</v>
      </c>
      <c r="N3060" s="13">
        <f>SUM(E3060:M3060)</f>
        <v/>
      </c>
    </row>
    <row r="3061">
      <c r="A3061" s="5">
        <f>IF(AND(C3061&gt;=Options!$B$9,C3061&lt;=Options!$B$10),"Seattle","")</f>
        <v/>
      </c>
      <c r="B3061" s="5">
        <f>IF(A3061="","",18)</f>
        <v/>
      </c>
      <c r="C3061" s="17" t="n">
        <v>46432</v>
      </c>
      <c r="D3061" s="5">
        <f>IF(A3061="","",IF(C3061=DATE(2026,11,29),"培训；注册午餐；早餐参数",IF(C3061=DATE(2026,11,30),"培训；注册午餐",IF(C3061=DATE(2026,12,1),"培训；注册午餐；机构晚餐",IF(C3061=Options!$B$9,"抵达；"&amp;IF(C3061=DATE(2026,11,28),"机构晚餐","无统一供餐"),IF(C3061=Options!$B$10,"返程；"&amp;IF(C3061=DATE(2026,12,2),"机构午餐","无统一供餐"),"差旅状态；无统一日程"))))))</f>
        <v/>
      </c>
      <c r="E3061" s="13">
        <f>IF(C3061=Options!$B$9,Options!$C$22,0)</f>
        <v/>
      </c>
      <c r="F3061" s="13">
        <f>IF(AND(A3061&lt;&gt;"",C3061&lt;Options!$B$10),B3061*Options!$X$9,0)</f>
        <v/>
      </c>
      <c r="G3061" s="13">
        <f>F3061*12%</f>
        <v/>
      </c>
      <c r="H3061" s="13">
        <f>IF(A3061="",0,B3061*(92*IF(OR(C3061=Options!$B$9,C3061=Options!$B$10),75%,100%)-IF(C3061=DATE(2026,11,29),26+IF(Options!$B$8="是",23,0),0)-IF(C3061=DATE(2026,11,30),26,0)-IF(C3061=DATE(2026,12,1),64,0)-IF(C3061=DATE(2026,11,28),38,0)-IF(C3061=DATE(2026,12,2),26,0)))</f>
        <v/>
      </c>
      <c r="I3061" s="13">
        <f>IF(AND(C3061&gt;=DATE(2026,11,29),C3061&lt;=DATE(2026,12,1)),B3061*60,0)</f>
        <v/>
      </c>
      <c r="J3061" s="13">
        <f>IF(A3061="",0,B3061*(IF(C3061=DATE(2026,11,28),38,0)+IF(C3061=DATE(2026,12,1),38,0)+IF(C3061=DATE(2026,12,2),26,0)))</f>
        <v/>
      </c>
      <c r="K3061" s="13">
        <f>IF(C3061=Options!$B$9,B3061*12,0)</f>
        <v/>
      </c>
      <c r="L3061" s="13">
        <f>IF(C3061=Options!$B$9,B3061*Options!$Z$9,0)</f>
        <v/>
      </c>
      <c r="M3061" s="13" t="n">
        <v>0</v>
      </c>
      <c r="N3061" s="13">
        <f>SUM(E3061:M3061)</f>
        <v/>
      </c>
    </row>
    <row r="3062">
      <c r="A3062" s="5">
        <f>IF(AND(C3062&gt;=Options!$B$9,C3062&lt;=Options!$B$10),"Seattle","")</f>
        <v/>
      </c>
      <c r="B3062" s="5">
        <f>IF(A3062="","",18)</f>
        <v/>
      </c>
      <c r="C3062" s="17" t="n">
        <v>46433</v>
      </c>
      <c r="D3062" s="5">
        <f>IF(A3062="","",IF(C3062=DATE(2026,11,29),"培训；注册午餐；早餐参数",IF(C3062=DATE(2026,11,30),"培训；注册午餐",IF(C3062=DATE(2026,12,1),"培训；注册午餐；机构晚餐",IF(C3062=Options!$B$9,"抵达；"&amp;IF(C3062=DATE(2026,11,28),"机构晚餐","无统一供餐"),IF(C3062=Options!$B$10,"返程；"&amp;IF(C3062=DATE(2026,12,2),"机构午餐","无统一供餐"),"差旅状态；无统一日程"))))))</f>
        <v/>
      </c>
      <c r="E3062" s="13">
        <f>IF(C3062=Options!$B$9,Options!$C$22,0)</f>
        <v/>
      </c>
      <c r="F3062" s="13">
        <f>IF(AND(A3062&lt;&gt;"",C3062&lt;Options!$B$10),B3062*Options!$X$9,0)</f>
        <v/>
      </c>
      <c r="G3062" s="13">
        <f>F3062*12%</f>
        <v/>
      </c>
      <c r="H3062" s="13">
        <f>IF(A3062="",0,B3062*(92*IF(OR(C3062=Options!$B$9,C3062=Options!$B$10),75%,100%)-IF(C3062=DATE(2026,11,29),26+IF(Options!$B$8="是",23,0),0)-IF(C3062=DATE(2026,11,30),26,0)-IF(C3062=DATE(2026,12,1),64,0)-IF(C3062=DATE(2026,11,28),38,0)-IF(C3062=DATE(2026,12,2),26,0)))</f>
        <v/>
      </c>
      <c r="I3062" s="13">
        <f>IF(AND(C3062&gt;=DATE(2026,11,29),C3062&lt;=DATE(2026,12,1)),B3062*60,0)</f>
        <v/>
      </c>
      <c r="J3062" s="13">
        <f>IF(A3062="",0,B3062*(IF(C3062=DATE(2026,11,28),38,0)+IF(C3062=DATE(2026,12,1),38,0)+IF(C3062=DATE(2026,12,2),26,0)))</f>
        <v/>
      </c>
      <c r="K3062" s="13">
        <f>IF(C3062=Options!$B$9,B3062*12,0)</f>
        <v/>
      </c>
      <c r="L3062" s="13">
        <f>IF(C3062=Options!$B$9,B3062*Options!$Z$9,0)</f>
        <v/>
      </c>
      <c r="M3062" s="13" t="n">
        <v>0</v>
      </c>
      <c r="N3062" s="13">
        <f>SUM(E3062:M3062)</f>
        <v/>
      </c>
    </row>
    <row r="3063">
      <c r="A3063" s="5">
        <f>IF(AND(C3063&gt;=Options!$B$9,C3063&lt;=Options!$B$10),"Seattle","")</f>
        <v/>
      </c>
      <c r="B3063" s="5">
        <f>IF(A3063="","",18)</f>
        <v/>
      </c>
      <c r="C3063" s="17" t="n">
        <v>46434</v>
      </c>
      <c r="D3063" s="5">
        <f>IF(A3063="","",IF(C3063=DATE(2026,11,29),"培训；注册午餐；早餐参数",IF(C3063=DATE(2026,11,30),"培训；注册午餐",IF(C3063=DATE(2026,12,1),"培训；注册午餐；机构晚餐",IF(C3063=Options!$B$9,"抵达；"&amp;IF(C3063=DATE(2026,11,28),"机构晚餐","无统一供餐"),IF(C3063=Options!$B$10,"返程；"&amp;IF(C3063=DATE(2026,12,2),"机构午餐","无统一供餐"),"差旅状态；无统一日程"))))))</f>
        <v/>
      </c>
      <c r="E3063" s="13">
        <f>IF(C3063=Options!$B$9,Options!$C$22,0)</f>
        <v/>
      </c>
      <c r="F3063" s="13">
        <f>IF(AND(A3063&lt;&gt;"",C3063&lt;Options!$B$10),B3063*Options!$X$9,0)</f>
        <v/>
      </c>
      <c r="G3063" s="13">
        <f>F3063*12%</f>
        <v/>
      </c>
      <c r="H3063" s="13">
        <f>IF(A3063="",0,B3063*(92*IF(OR(C3063=Options!$B$9,C3063=Options!$B$10),75%,100%)-IF(C3063=DATE(2026,11,29),26+IF(Options!$B$8="是",23,0),0)-IF(C3063=DATE(2026,11,30),26,0)-IF(C3063=DATE(2026,12,1),64,0)-IF(C3063=DATE(2026,11,28),38,0)-IF(C3063=DATE(2026,12,2),26,0)))</f>
        <v/>
      </c>
      <c r="I3063" s="13">
        <f>IF(AND(C3063&gt;=DATE(2026,11,29),C3063&lt;=DATE(2026,12,1)),B3063*60,0)</f>
        <v/>
      </c>
      <c r="J3063" s="13">
        <f>IF(A3063="",0,B3063*(IF(C3063=DATE(2026,11,28),38,0)+IF(C3063=DATE(2026,12,1),38,0)+IF(C3063=DATE(2026,12,2),26,0)))</f>
        <v/>
      </c>
      <c r="K3063" s="13">
        <f>IF(C3063=Options!$B$9,B3063*12,0)</f>
        <v/>
      </c>
      <c r="L3063" s="13">
        <f>IF(C3063=Options!$B$9,B3063*Options!$Z$9,0)</f>
        <v/>
      </c>
      <c r="M3063" s="13" t="n">
        <v>0</v>
      </c>
      <c r="N3063" s="13">
        <f>SUM(E3063:M3063)</f>
        <v/>
      </c>
    </row>
    <row r="3064">
      <c r="A3064" s="5">
        <f>IF(AND(C3064&gt;=Options!$B$9,C3064&lt;=Options!$B$10),"Seattle","")</f>
        <v/>
      </c>
      <c r="B3064" s="5">
        <f>IF(A3064="","",18)</f>
        <v/>
      </c>
      <c r="C3064" s="17" t="n">
        <v>46435</v>
      </c>
      <c r="D3064" s="5">
        <f>IF(A3064="","",IF(C3064=DATE(2026,11,29),"培训；注册午餐；早餐参数",IF(C3064=DATE(2026,11,30),"培训；注册午餐",IF(C3064=DATE(2026,12,1),"培训；注册午餐；机构晚餐",IF(C3064=Options!$B$9,"抵达；"&amp;IF(C3064=DATE(2026,11,28),"机构晚餐","无统一供餐"),IF(C3064=Options!$B$10,"返程；"&amp;IF(C3064=DATE(2026,12,2),"机构午餐","无统一供餐"),"差旅状态；无统一日程"))))))</f>
        <v/>
      </c>
      <c r="E3064" s="13">
        <f>IF(C3064=Options!$B$9,Options!$C$22,0)</f>
        <v/>
      </c>
      <c r="F3064" s="13">
        <f>IF(AND(A3064&lt;&gt;"",C3064&lt;Options!$B$10),B3064*Options!$X$9,0)</f>
        <v/>
      </c>
      <c r="G3064" s="13">
        <f>F3064*12%</f>
        <v/>
      </c>
      <c r="H3064" s="13">
        <f>IF(A3064="",0,B3064*(92*IF(OR(C3064=Options!$B$9,C3064=Options!$B$10),75%,100%)-IF(C3064=DATE(2026,11,29),26+IF(Options!$B$8="是",23,0),0)-IF(C3064=DATE(2026,11,30),26,0)-IF(C3064=DATE(2026,12,1),64,0)-IF(C3064=DATE(2026,11,28),38,0)-IF(C3064=DATE(2026,12,2),26,0)))</f>
        <v/>
      </c>
      <c r="I3064" s="13">
        <f>IF(AND(C3064&gt;=DATE(2026,11,29),C3064&lt;=DATE(2026,12,1)),B3064*60,0)</f>
        <v/>
      </c>
      <c r="J3064" s="13">
        <f>IF(A3064="",0,B3064*(IF(C3064=DATE(2026,11,28),38,0)+IF(C3064=DATE(2026,12,1),38,0)+IF(C3064=DATE(2026,12,2),26,0)))</f>
        <v/>
      </c>
      <c r="K3064" s="13">
        <f>IF(C3064=Options!$B$9,B3064*12,0)</f>
        <v/>
      </c>
      <c r="L3064" s="13">
        <f>IF(C3064=Options!$B$9,B3064*Options!$Z$9,0)</f>
        <v/>
      </c>
      <c r="M3064" s="13" t="n">
        <v>0</v>
      </c>
      <c r="N3064" s="13">
        <f>SUM(E3064:M3064)</f>
        <v/>
      </c>
    </row>
    <row r="3065">
      <c r="A3065" s="5">
        <f>IF(AND(C3065&gt;=Options!$B$9,C3065&lt;=Options!$B$10),"Seattle","")</f>
        <v/>
      </c>
      <c r="B3065" s="5">
        <f>IF(A3065="","",18)</f>
        <v/>
      </c>
      <c r="C3065" s="17" t="n">
        <v>46436</v>
      </c>
      <c r="D3065" s="5">
        <f>IF(A3065="","",IF(C3065=DATE(2026,11,29),"培训；注册午餐；早餐参数",IF(C3065=DATE(2026,11,30),"培训；注册午餐",IF(C3065=DATE(2026,12,1),"培训；注册午餐；机构晚餐",IF(C3065=Options!$B$9,"抵达；"&amp;IF(C3065=DATE(2026,11,28),"机构晚餐","无统一供餐"),IF(C3065=Options!$B$10,"返程；"&amp;IF(C3065=DATE(2026,12,2),"机构午餐","无统一供餐"),"差旅状态；无统一日程"))))))</f>
        <v/>
      </c>
      <c r="E3065" s="13">
        <f>IF(C3065=Options!$B$9,Options!$C$22,0)</f>
        <v/>
      </c>
      <c r="F3065" s="13">
        <f>IF(AND(A3065&lt;&gt;"",C3065&lt;Options!$B$10),B3065*Options!$X$9,0)</f>
        <v/>
      </c>
      <c r="G3065" s="13">
        <f>F3065*12%</f>
        <v/>
      </c>
      <c r="H3065" s="13">
        <f>IF(A3065="",0,B3065*(92*IF(OR(C3065=Options!$B$9,C3065=Options!$B$10),75%,100%)-IF(C3065=DATE(2026,11,29),26+IF(Options!$B$8="是",23,0),0)-IF(C3065=DATE(2026,11,30),26,0)-IF(C3065=DATE(2026,12,1),64,0)-IF(C3065=DATE(2026,11,28),38,0)-IF(C3065=DATE(2026,12,2),26,0)))</f>
        <v/>
      </c>
      <c r="I3065" s="13">
        <f>IF(AND(C3065&gt;=DATE(2026,11,29),C3065&lt;=DATE(2026,12,1)),B3065*60,0)</f>
        <v/>
      </c>
      <c r="J3065" s="13">
        <f>IF(A3065="",0,B3065*(IF(C3065=DATE(2026,11,28),38,0)+IF(C3065=DATE(2026,12,1),38,0)+IF(C3065=DATE(2026,12,2),26,0)))</f>
        <v/>
      </c>
      <c r="K3065" s="13">
        <f>IF(C3065=Options!$B$9,B3065*12,0)</f>
        <v/>
      </c>
      <c r="L3065" s="13">
        <f>IF(C3065=Options!$B$9,B3065*Options!$Z$9,0)</f>
        <v/>
      </c>
      <c r="M3065" s="13" t="n">
        <v>0</v>
      </c>
      <c r="N3065" s="13">
        <f>SUM(E3065:M3065)</f>
        <v/>
      </c>
    </row>
    <row r="3066">
      <c r="A3066" s="5">
        <f>IF(AND(C3066&gt;=Options!$B$9,C3066&lt;=Options!$B$10),"Seattle","")</f>
        <v/>
      </c>
      <c r="B3066" s="5">
        <f>IF(A3066="","",18)</f>
        <v/>
      </c>
      <c r="C3066" s="17" t="n">
        <v>46437</v>
      </c>
      <c r="D3066" s="5">
        <f>IF(A3066="","",IF(C3066=DATE(2026,11,29),"培训；注册午餐；早餐参数",IF(C3066=DATE(2026,11,30),"培训；注册午餐",IF(C3066=DATE(2026,12,1),"培训；注册午餐；机构晚餐",IF(C3066=Options!$B$9,"抵达；"&amp;IF(C3066=DATE(2026,11,28),"机构晚餐","无统一供餐"),IF(C3066=Options!$B$10,"返程；"&amp;IF(C3066=DATE(2026,12,2),"机构午餐","无统一供餐"),"差旅状态；无统一日程"))))))</f>
        <v/>
      </c>
      <c r="E3066" s="13">
        <f>IF(C3066=Options!$B$9,Options!$C$22,0)</f>
        <v/>
      </c>
      <c r="F3066" s="13">
        <f>IF(AND(A3066&lt;&gt;"",C3066&lt;Options!$B$10),B3066*Options!$X$9,0)</f>
        <v/>
      </c>
      <c r="G3066" s="13">
        <f>F3066*12%</f>
        <v/>
      </c>
      <c r="H3066" s="13">
        <f>IF(A3066="",0,B3066*(92*IF(OR(C3066=Options!$B$9,C3066=Options!$B$10),75%,100%)-IF(C3066=DATE(2026,11,29),26+IF(Options!$B$8="是",23,0),0)-IF(C3066=DATE(2026,11,30),26,0)-IF(C3066=DATE(2026,12,1),64,0)-IF(C3066=DATE(2026,11,28),38,0)-IF(C3066=DATE(2026,12,2),26,0)))</f>
        <v/>
      </c>
      <c r="I3066" s="13">
        <f>IF(AND(C3066&gt;=DATE(2026,11,29),C3066&lt;=DATE(2026,12,1)),B3066*60,0)</f>
        <v/>
      </c>
      <c r="J3066" s="13">
        <f>IF(A3066="",0,B3066*(IF(C3066=DATE(2026,11,28),38,0)+IF(C3066=DATE(2026,12,1),38,0)+IF(C3066=DATE(2026,12,2),26,0)))</f>
        <v/>
      </c>
      <c r="K3066" s="13">
        <f>IF(C3066=Options!$B$9,B3066*12,0)</f>
        <v/>
      </c>
      <c r="L3066" s="13">
        <f>IF(C3066=Options!$B$9,B3066*Options!$Z$9,0)</f>
        <v/>
      </c>
      <c r="M3066" s="13" t="n">
        <v>0</v>
      </c>
      <c r="N3066" s="13">
        <f>SUM(E3066:M3066)</f>
        <v/>
      </c>
    </row>
    <row r="3067">
      <c r="A3067" s="5">
        <f>IF(AND(C3067&gt;=Options!$B$9,C3067&lt;=Options!$B$10),"Seattle","")</f>
        <v/>
      </c>
      <c r="B3067" s="5">
        <f>IF(A3067="","",18)</f>
        <v/>
      </c>
      <c r="C3067" s="17" t="n">
        <v>46438</v>
      </c>
      <c r="D3067" s="5">
        <f>IF(A3067="","",IF(C3067=DATE(2026,11,29),"培训；注册午餐；早餐参数",IF(C3067=DATE(2026,11,30),"培训；注册午餐",IF(C3067=DATE(2026,12,1),"培训；注册午餐；机构晚餐",IF(C3067=Options!$B$9,"抵达；"&amp;IF(C3067=DATE(2026,11,28),"机构晚餐","无统一供餐"),IF(C3067=Options!$B$10,"返程；"&amp;IF(C3067=DATE(2026,12,2),"机构午餐","无统一供餐"),"差旅状态；无统一日程"))))))</f>
        <v/>
      </c>
      <c r="E3067" s="13">
        <f>IF(C3067=Options!$B$9,Options!$C$22,0)</f>
        <v/>
      </c>
      <c r="F3067" s="13">
        <f>IF(AND(A3067&lt;&gt;"",C3067&lt;Options!$B$10),B3067*Options!$X$9,0)</f>
        <v/>
      </c>
      <c r="G3067" s="13">
        <f>F3067*12%</f>
        <v/>
      </c>
      <c r="H3067" s="13">
        <f>IF(A3067="",0,B3067*(92*IF(OR(C3067=Options!$B$9,C3067=Options!$B$10),75%,100%)-IF(C3067=DATE(2026,11,29),26+IF(Options!$B$8="是",23,0),0)-IF(C3067=DATE(2026,11,30),26,0)-IF(C3067=DATE(2026,12,1),64,0)-IF(C3067=DATE(2026,11,28),38,0)-IF(C3067=DATE(2026,12,2),26,0)))</f>
        <v/>
      </c>
      <c r="I3067" s="13">
        <f>IF(AND(C3067&gt;=DATE(2026,11,29),C3067&lt;=DATE(2026,12,1)),B3067*60,0)</f>
        <v/>
      </c>
      <c r="J3067" s="13">
        <f>IF(A3067="",0,B3067*(IF(C3067=DATE(2026,11,28),38,0)+IF(C3067=DATE(2026,12,1),38,0)+IF(C3067=DATE(2026,12,2),26,0)))</f>
        <v/>
      </c>
      <c r="K3067" s="13">
        <f>IF(C3067=Options!$B$9,B3067*12,0)</f>
        <v/>
      </c>
      <c r="L3067" s="13">
        <f>IF(C3067=Options!$B$9,B3067*Options!$Z$9,0)</f>
        <v/>
      </c>
      <c r="M3067" s="13" t="n">
        <v>0</v>
      </c>
      <c r="N3067" s="13">
        <f>SUM(E3067:M3067)</f>
        <v/>
      </c>
    </row>
    <row r="3068">
      <c r="A3068" s="5">
        <f>IF(AND(C3068&gt;=Options!$B$9,C3068&lt;=Options!$B$10),"Seattle","")</f>
        <v/>
      </c>
      <c r="B3068" s="5">
        <f>IF(A3068="","",18)</f>
        <v/>
      </c>
      <c r="C3068" s="17" t="n">
        <v>46439</v>
      </c>
      <c r="D3068" s="5">
        <f>IF(A3068="","",IF(C3068=DATE(2026,11,29),"培训；注册午餐；早餐参数",IF(C3068=DATE(2026,11,30),"培训；注册午餐",IF(C3068=DATE(2026,12,1),"培训；注册午餐；机构晚餐",IF(C3068=Options!$B$9,"抵达；"&amp;IF(C3068=DATE(2026,11,28),"机构晚餐","无统一供餐"),IF(C3068=Options!$B$10,"返程；"&amp;IF(C3068=DATE(2026,12,2),"机构午餐","无统一供餐"),"差旅状态；无统一日程"))))))</f>
        <v/>
      </c>
      <c r="E3068" s="13">
        <f>IF(C3068=Options!$B$9,Options!$C$22,0)</f>
        <v/>
      </c>
      <c r="F3068" s="13">
        <f>IF(AND(A3068&lt;&gt;"",C3068&lt;Options!$B$10),B3068*Options!$X$9,0)</f>
        <v/>
      </c>
      <c r="G3068" s="13">
        <f>F3068*12%</f>
        <v/>
      </c>
      <c r="H3068" s="13">
        <f>IF(A3068="",0,B3068*(92*IF(OR(C3068=Options!$B$9,C3068=Options!$B$10),75%,100%)-IF(C3068=DATE(2026,11,29),26+IF(Options!$B$8="是",23,0),0)-IF(C3068=DATE(2026,11,30),26,0)-IF(C3068=DATE(2026,12,1),64,0)-IF(C3068=DATE(2026,11,28),38,0)-IF(C3068=DATE(2026,12,2),26,0)))</f>
        <v/>
      </c>
      <c r="I3068" s="13">
        <f>IF(AND(C3068&gt;=DATE(2026,11,29),C3068&lt;=DATE(2026,12,1)),B3068*60,0)</f>
        <v/>
      </c>
      <c r="J3068" s="13">
        <f>IF(A3068="",0,B3068*(IF(C3068=DATE(2026,11,28),38,0)+IF(C3068=DATE(2026,12,1),38,0)+IF(C3068=DATE(2026,12,2),26,0)))</f>
        <v/>
      </c>
      <c r="K3068" s="13">
        <f>IF(C3068=Options!$B$9,B3068*12,0)</f>
        <v/>
      </c>
      <c r="L3068" s="13">
        <f>IF(C3068=Options!$B$9,B3068*Options!$Z$9,0)</f>
        <v/>
      </c>
      <c r="M3068" s="13" t="n">
        <v>0</v>
      </c>
      <c r="N3068" s="13">
        <f>SUM(E3068:M3068)</f>
        <v/>
      </c>
    </row>
    <row r="3069">
      <c r="A3069" s="5">
        <f>IF(AND(C3069&gt;=Options!$B$9,C3069&lt;=Options!$B$10),"Seattle","")</f>
        <v/>
      </c>
      <c r="B3069" s="5">
        <f>IF(A3069="","",18)</f>
        <v/>
      </c>
      <c r="C3069" s="17" t="n">
        <v>46440</v>
      </c>
      <c r="D3069" s="5">
        <f>IF(A3069="","",IF(C3069=DATE(2026,11,29),"培训；注册午餐；早餐参数",IF(C3069=DATE(2026,11,30),"培训；注册午餐",IF(C3069=DATE(2026,12,1),"培训；注册午餐；机构晚餐",IF(C3069=Options!$B$9,"抵达；"&amp;IF(C3069=DATE(2026,11,28),"机构晚餐","无统一供餐"),IF(C3069=Options!$B$10,"返程；"&amp;IF(C3069=DATE(2026,12,2),"机构午餐","无统一供餐"),"差旅状态；无统一日程"))))))</f>
        <v/>
      </c>
      <c r="E3069" s="13">
        <f>IF(C3069=Options!$B$9,Options!$C$22,0)</f>
        <v/>
      </c>
      <c r="F3069" s="13">
        <f>IF(AND(A3069&lt;&gt;"",C3069&lt;Options!$B$10),B3069*Options!$X$9,0)</f>
        <v/>
      </c>
      <c r="G3069" s="13">
        <f>F3069*12%</f>
        <v/>
      </c>
      <c r="H3069" s="13">
        <f>IF(A3069="",0,B3069*(92*IF(OR(C3069=Options!$B$9,C3069=Options!$B$10),75%,100%)-IF(C3069=DATE(2026,11,29),26+IF(Options!$B$8="是",23,0),0)-IF(C3069=DATE(2026,11,30),26,0)-IF(C3069=DATE(2026,12,1),64,0)-IF(C3069=DATE(2026,11,28),38,0)-IF(C3069=DATE(2026,12,2),26,0)))</f>
        <v/>
      </c>
      <c r="I3069" s="13">
        <f>IF(AND(C3069&gt;=DATE(2026,11,29),C3069&lt;=DATE(2026,12,1)),B3069*60,0)</f>
        <v/>
      </c>
      <c r="J3069" s="13">
        <f>IF(A3069="",0,B3069*(IF(C3069=DATE(2026,11,28),38,0)+IF(C3069=DATE(2026,12,1),38,0)+IF(C3069=DATE(2026,12,2),26,0)))</f>
        <v/>
      </c>
      <c r="K3069" s="13">
        <f>IF(C3069=Options!$B$9,B3069*12,0)</f>
        <v/>
      </c>
      <c r="L3069" s="13">
        <f>IF(C3069=Options!$B$9,B3069*Options!$Z$9,0)</f>
        <v/>
      </c>
      <c r="M3069" s="13" t="n">
        <v>0</v>
      </c>
      <c r="N3069" s="13">
        <f>SUM(E3069:M3069)</f>
        <v/>
      </c>
    </row>
    <row r="3070">
      <c r="A3070" s="5">
        <f>IF(AND(C3070&gt;=Options!$B$9,C3070&lt;=Options!$B$10),"Seattle","")</f>
        <v/>
      </c>
      <c r="B3070" s="5">
        <f>IF(A3070="","",18)</f>
        <v/>
      </c>
      <c r="C3070" s="17" t="n">
        <v>46441</v>
      </c>
      <c r="D3070" s="5">
        <f>IF(A3070="","",IF(C3070=DATE(2026,11,29),"培训；注册午餐；早餐参数",IF(C3070=DATE(2026,11,30),"培训；注册午餐",IF(C3070=DATE(2026,12,1),"培训；注册午餐；机构晚餐",IF(C3070=Options!$B$9,"抵达；"&amp;IF(C3070=DATE(2026,11,28),"机构晚餐","无统一供餐"),IF(C3070=Options!$B$10,"返程；"&amp;IF(C3070=DATE(2026,12,2),"机构午餐","无统一供餐"),"差旅状态；无统一日程"))))))</f>
        <v/>
      </c>
      <c r="E3070" s="13">
        <f>IF(C3070=Options!$B$9,Options!$C$22,0)</f>
        <v/>
      </c>
      <c r="F3070" s="13">
        <f>IF(AND(A3070&lt;&gt;"",C3070&lt;Options!$B$10),B3070*Options!$X$9,0)</f>
        <v/>
      </c>
      <c r="G3070" s="13">
        <f>F3070*12%</f>
        <v/>
      </c>
      <c r="H3070" s="13">
        <f>IF(A3070="",0,B3070*(92*IF(OR(C3070=Options!$B$9,C3070=Options!$B$10),75%,100%)-IF(C3070=DATE(2026,11,29),26+IF(Options!$B$8="是",23,0),0)-IF(C3070=DATE(2026,11,30),26,0)-IF(C3070=DATE(2026,12,1),64,0)-IF(C3070=DATE(2026,11,28),38,0)-IF(C3070=DATE(2026,12,2),26,0)))</f>
        <v/>
      </c>
      <c r="I3070" s="13">
        <f>IF(AND(C3070&gt;=DATE(2026,11,29),C3070&lt;=DATE(2026,12,1)),B3070*60,0)</f>
        <v/>
      </c>
      <c r="J3070" s="13">
        <f>IF(A3070="",0,B3070*(IF(C3070=DATE(2026,11,28),38,0)+IF(C3070=DATE(2026,12,1),38,0)+IF(C3070=DATE(2026,12,2),26,0)))</f>
        <v/>
      </c>
      <c r="K3070" s="13">
        <f>IF(C3070=Options!$B$9,B3070*12,0)</f>
        <v/>
      </c>
      <c r="L3070" s="13">
        <f>IF(C3070=Options!$B$9,B3070*Options!$Z$9,0)</f>
        <v/>
      </c>
      <c r="M3070" s="13" t="n">
        <v>0</v>
      </c>
      <c r="N3070" s="13">
        <f>SUM(E3070:M3070)</f>
        <v/>
      </c>
    </row>
    <row r="3071">
      <c r="A3071" s="5">
        <f>IF(AND(C3071&gt;=Options!$B$9,C3071&lt;=Options!$B$10),"Seattle","")</f>
        <v/>
      </c>
      <c r="B3071" s="5">
        <f>IF(A3071="","",18)</f>
        <v/>
      </c>
      <c r="C3071" s="17" t="n">
        <v>46442</v>
      </c>
      <c r="D3071" s="5">
        <f>IF(A3071="","",IF(C3071=DATE(2026,11,29),"培训；注册午餐；早餐参数",IF(C3071=DATE(2026,11,30),"培训；注册午餐",IF(C3071=DATE(2026,12,1),"培训；注册午餐；机构晚餐",IF(C3071=Options!$B$9,"抵达；"&amp;IF(C3071=DATE(2026,11,28),"机构晚餐","无统一供餐"),IF(C3071=Options!$B$10,"返程；"&amp;IF(C3071=DATE(2026,12,2),"机构午餐","无统一供餐"),"差旅状态；无统一日程"))))))</f>
        <v/>
      </c>
      <c r="E3071" s="13">
        <f>IF(C3071=Options!$B$9,Options!$C$22,0)</f>
        <v/>
      </c>
      <c r="F3071" s="13">
        <f>IF(AND(A3071&lt;&gt;"",C3071&lt;Options!$B$10),B3071*Options!$X$9,0)</f>
        <v/>
      </c>
      <c r="G3071" s="13">
        <f>F3071*12%</f>
        <v/>
      </c>
      <c r="H3071" s="13">
        <f>IF(A3071="",0,B3071*(92*IF(OR(C3071=Options!$B$9,C3071=Options!$B$10),75%,100%)-IF(C3071=DATE(2026,11,29),26+IF(Options!$B$8="是",23,0),0)-IF(C3071=DATE(2026,11,30),26,0)-IF(C3071=DATE(2026,12,1),64,0)-IF(C3071=DATE(2026,11,28),38,0)-IF(C3071=DATE(2026,12,2),26,0)))</f>
        <v/>
      </c>
      <c r="I3071" s="13">
        <f>IF(AND(C3071&gt;=DATE(2026,11,29),C3071&lt;=DATE(2026,12,1)),B3071*60,0)</f>
        <v/>
      </c>
      <c r="J3071" s="13">
        <f>IF(A3071="",0,B3071*(IF(C3071=DATE(2026,11,28),38,0)+IF(C3071=DATE(2026,12,1),38,0)+IF(C3071=DATE(2026,12,2),26,0)))</f>
        <v/>
      </c>
      <c r="K3071" s="13">
        <f>IF(C3071=Options!$B$9,B3071*12,0)</f>
        <v/>
      </c>
      <c r="L3071" s="13">
        <f>IF(C3071=Options!$B$9,B3071*Options!$Z$9,0)</f>
        <v/>
      </c>
      <c r="M3071" s="13" t="n">
        <v>0</v>
      </c>
      <c r="N3071" s="13">
        <f>SUM(E3071:M3071)</f>
        <v/>
      </c>
    </row>
    <row r="3072">
      <c r="A3072" s="5">
        <f>IF(AND(C3072&gt;=Options!$B$9,C3072&lt;=Options!$B$10),"Seattle","")</f>
        <v/>
      </c>
      <c r="B3072" s="5">
        <f>IF(A3072="","",18)</f>
        <v/>
      </c>
      <c r="C3072" s="17" t="n">
        <v>46443</v>
      </c>
      <c r="D3072" s="5">
        <f>IF(A3072="","",IF(C3072=DATE(2026,11,29),"培训；注册午餐；早餐参数",IF(C3072=DATE(2026,11,30),"培训；注册午餐",IF(C3072=DATE(2026,12,1),"培训；注册午餐；机构晚餐",IF(C3072=Options!$B$9,"抵达；"&amp;IF(C3072=DATE(2026,11,28),"机构晚餐","无统一供餐"),IF(C3072=Options!$B$10,"返程；"&amp;IF(C3072=DATE(2026,12,2),"机构午餐","无统一供餐"),"差旅状态；无统一日程"))))))</f>
        <v/>
      </c>
      <c r="E3072" s="13">
        <f>IF(C3072=Options!$B$9,Options!$C$22,0)</f>
        <v/>
      </c>
      <c r="F3072" s="13">
        <f>IF(AND(A3072&lt;&gt;"",C3072&lt;Options!$B$10),B3072*Options!$X$9,0)</f>
        <v/>
      </c>
      <c r="G3072" s="13">
        <f>F3072*12%</f>
        <v/>
      </c>
      <c r="H3072" s="13">
        <f>IF(A3072="",0,B3072*(92*IF(OR(C3072=Options!$B$9,C3072=Options!$B$10),75%,100%)-IF(C3072=DATE(2026,11,29),26+IF(Options!$B$8="是",23,0),0)-IF(C3072=DATE(2026,11,30),26,0)-IF(C3072=DATE(2026,12,1),64,0)-IF(C3072=DATE(2026,11,28),38,0)-IF(C3072=DATE(2026,12,2),26,0)))</f>
        <v/>
      </c>
      <c r="I3072" s="13">
        <f>IF(AND(C3072&gt;=DATE(2026,11,29),C3072&lt;=DATE(2026,12,1)),B3072*60,0)</f>
        <v/>
      </c>
      <c r="J3072" s="13">
        <f>IF(A3072="",0,B3072*(IF(C3072=DATE(2026,11,28),38,0)+IF(C3072=DATE(2026,12,1),38,0)+IF(C3072=DATE(2026,12,2),26,0)))</f>
        <v/>
      </c>
      <c r="K3072" s="13">
        <f>IF(C3072=Options!$B$9,B3072*12,0)</f>
        <v/>
      </c>
      <c r="L3072" s="13">
        <f>IF(C3072=Options!$B$9,B3072*Options!$Z$9,0)</f>
        <v/>
      </c>
      <c r="M3072" s="13" t="n">
        <v>0</v>
      </c>
      <c r="N3072" s="13">
        <f>SUM(E3072:M3072)</f>
        <v/>
      </c>
    </row>
    <row r="3073">
      <c r="A3073" s="5">
        <f>IF(AND(C3073&gt;=Options!$B$9,C3073&lt;=Options!$B$10),"Seattle","")</f>
        <v/>
      </c>
      <c r="B3073" s="5">
        <f>IF(A3073="","",18)</f>
        <v/>
      </c>
      <c r="C3073" s="17" t="n">
        <v>46444</v>
      </c>
      <c r="D3073" s="5">
        <f>IF(A3073="","",IF(C3073=DATE(2026,11,29),"培训；注册午餐；早餐参数",IF(C3073=DATE(2026,11,30),"培训；注册午餐",IF(C3073=DATE(2026,12,1),"培训；注册午餐；机构晚餐",IF(C3073=Options!$B$9,"抵达；"&amp;IF(C3073=DATE(2026,11,28),"机构晚餐","无统一供餐"),IF(C3073=Options!$B$10,"返程；"&amp;IF(C3073=DATE(2026,12,2),"机构午餐","无统一供餐"),"差旅状态；无统一日程"))))))</f>
        <v/>
      </c>
      <c r="E3073" s="13">
        <f>IF(C3073=Options!$B$9,Options!$C$22,0)</f>
        <v/>
      </c>
      <c r="F3073" s="13">
        <f>IF(AND(A3073&lt;&gt;"",C3073&lt;Options!$B$10),B3073*Options!$X$9,0)</f>
        <v/>
      </c>
      <c r="G3073" s="13">
        <f>F3073*12%</f>
        <v/>
      </c>
      <c r="H3073" s="13">
        <f>IF(A3073="",0,B3073*(92*IF(OR(C3073=Options!$B$9,C3073=Options!$B$10),75%,100%)-IF(C3073=DATE(2026,11,29),26+IF(Options!$B$8="是",23,0),0)-IF(C3073=DATE(2026,11,30),26,0)-IF(C3073=DATE(2026,12,1),64,0)-IF(C3073=DATE(2026,11,28),38,0)-IF(C3073=DATE(2026,12,2),26,0)))</f>
        <v/>
      </c>
      <c r="I3073" s="13">
        <f>IF(AND(C3073&gt;=DATE(2026,11,29),C3073&lt;=DATE(2026,12,1)),B3073*60,0)</f>
        <v/>
      </c>
      <c r="J3073" s="13">
        <f>IF(A3073="",0,B3073*(IF(C3073=DATE(2026,11,28),38,0)+IF(C3073=DATE(2026,12,1),38,0)+IF(C3073=DATE(2026,12,2),26,0)))</f>
        <v/>
      </c>
      <c r="K3073" s="13">
        <f>IF(C3073=Options!$B$9,B3073*12,0)</f>
        <v/>
      </c>
      <c r="L3073" s="13">
        <f>IF(C3073=Options!$B$9,B3073*Options!$Z$9,0)</f>
        <v/>
      </c>
      <c r="M3073" s="13" t="n">
        <v>0</v>
      </c>
      <c r="N3073" s="13">
        <f>SUM(E3073:M3073)</f>
        <v/>
      </c>
    </row>
    <row r="3074">
      <c r="A3074" s="5">
        <f>IF(AND(C3074&gt;=Options!$B$9,C3074&lt;=Options!$B$10),"Seattle","")</f>
        <v/>
      </c>
      <c r="B3074" s="5">
        <f>IF(A3074="","",18)</f>
        <v/>
      </c>
      <c r="C3074" s="17" t="n">
        <v>46445</v>
      </c>
      <c r="D3074" s="5">
        <f>IF(A3074="","",IF(C3074=DATE(2026,11,29),"培训；注册午餐；早餐参数",IF(C3074=DATE(2026,11,30),"培训；注册午餐",IF(C3074=DATE(2026,12,1),"培训；注册午餐；机构晚餐",IF(C3074=Options!$B$9,"抵达；"&amp;IF(C3074=DATE(2026,11,28),"机构晚餐","无统一供餐"),IF(C3074=Options!$B$10,"返程；"&amp;IF(C3074=DATE(2026,12,2),"机构午餐","无统一供餐"),"差旅状态；无统一日程"))))))</f>
        <v/>
      </c>
      <c r="E3074" s="13">
        <f>IF(C3074=Options!$B$9,Options!$C$22,0)</f>
        <v/>
      </c>
      <c r="F3074" s="13">
        <f>IF(AND(A3074&lt;&gt;"",C3074&lt;Options!$B$10),B3074*Options!$X$9,0)</f>
        <v/>
      </c>
      <c r="G3074" s="13">
        <f>F3074*12%</f>
        <v/>
      </c>
      <c r="H3074" s="13">
        <f>IF(A3074="",0,B3074*(92*IF(OR(C3074=Options!$B$9,C3074=Options!$B$10),75%,100%)-IF(C3074=DATE(2026,11,29),26+IF(Options!$B$8="是",23,0),0)-IF(C3074=DATE(2026,11,30),26,0)-IF(C3074=DATE(2026,12,1),64,0)-IF(C3074=DATE(2026,11,28),38,0)-IF(C3074=DATE(2026,12,2),26,0)))</f>
        <v/>
      </c>
      <c r="I3074" s="13">
        <f>IF(AND(C3074&gt;=DATE(2026,11,29),C3074&lt;=DATE(2026,12,1)),B3074*60,0)</f>
        <v/>
      </c>
      <c r="J3074" s="13">
        <f>IF(A3074="",0,B3074*(IF(C3074=DATE(2026,11,28),38,0)+IF(C3074=DATE(2026,12,1),38,0)+IF(C3074=DATE(2026,12,2),26,0)))</f>
        <v/>
      </c>
      <c r="K3074" s="13">
        <f>IF(C3074=Options!$B$9,B3074*12,0)</f>
        <v/>
      </c>
      <c r="L3074" s="13">
        <f>IF(C3074=Options!$B$9,B3074*Options!$Z$9,0)</f>
        <v/>
      </c>
      <c r="M3074" s="13" t="n">
        <v>0</v>
      </c>
      <c r="N3074" s="13">
        <f>SUM(E3074:M3074)</f>
        <v/>
      </c>
    </row>
    <row r="3075">
      <c r="A3075" s="5">
        <f>IF(AND(C3075&gt;=Options!$B$9,C3075&lt;=Options!$B$10),"Seattle","")</f>
        <v/>
      </c>
      <c r="B3075" s="5">
        <f>IF(A3075="","",18)</f>
        <v/>
      </c>
      <c r="C3075" s="17" t="n">
        <v>46446</v>
      </c>
      <c r="D3075" s="5">
        <f>IF(A3075="","",IF(C3075=DATE(2026,11,29),"培训；注册午餐；早餐参数",IF(C3075=DATE(2026,11,30),"培训；注册午餐",IF(C3075=DATE(2026,12,1),"培训；注册午餐；机构晚餐",IF(C3075=Options!$B$9,"抵达；"&amp;IF(C3075=DATE(2026,11,28),"机构晚餐","无统一供餐"),IF(C3075=Options!$B$10,"返程；"&amp;IF(C3075=DATE(2026,12,2),"机构午餐","无统一供餐"),"差旅状态；无统一日程"))))))</f>
        <v/>
      </c>
      <c r="E3075" s="13">
        <f>IF(C3075=Options!$B$9,Options!$C$22,0)</f>
        <v/>
      </c>
      <c r="F3075" s="13">
        <f>IF(AND(A3075&lt;&gt;"",C3075&lt;Options!$B$10),B3075*Options!$X$9,0)</f>
        <v/>
      </c>
      <c r="G3075" s="13">
        <f>F3075*12%</f>
        <v/>
      </c>
      <c r="H3075" s="13">
        <f>IF(A3075="",0,B3075*(92*IF(OR(C3075=Options!$B$9,C3075=Options!$B$10),75%,100%)-IF(C3075=DATE(2026,11,29),26+IF(Options!$B$8="是",23,0),0)-IF(C3075=DATE(2026,11,30),26,0)-IF(C3075=DATE(2026,12,1),64,0)-IF(C3075=DATE(2026,11,28),38,0)-IF(C3075=DATE(2026,12,2),26,0)))</f>
        <v/>
      </c>
      <c r="I3075" s="13">
        <f>IF(AND(C3075&gt;=DATE(2026,11,29),C3075&lt;=DATE(2026,12,1)),B3075*60,0)</f>
        <v/>
      </c>
      <c r="J3075" s="13">
        <f>IF(A3075="",0,B3075*(IF(C3075=DATE(2026,11,28),38,0)+IF(C3075=DATE(2026,12,1),38,0)+IF(C3075=DATE(2026,12,2),26,0)))</f>
        <v/>
      </c>
      <c r="K3075" s="13">
        <f>IF(C3075=Options!$B$9,B3075*12,0)</f>
        <v/>
      </c>
      <c r="L3075" s="13">
        <f>IF(C3075=Options!$B$9,B3075*Options!$Z$9,0)</f>
        <v/>
      </c>
      <c r="M3075" s="13" t="n">
        <v>0</v>
      </c>
      <c r="N3075" s="13">
        <f>SUM(E3075:M3075)</f>
        <v/>
      </c>
    </row>
    <row r="3076">
      <c r="A3076" s="5">
        <f>IF(AND(C3076&gt;=Options!$B$9,C3076&lt;=Options!$B$10),"Seattle","")</f>
        <v/>
      </c>
      <c r="B3076" s="5">
        <f>IF(A3076="","",18)</f>
        <v/>
      </c>
      <c r="C3076" s="17" t="n">
        <v>46447</v>
      </c>
      <c r="D3076" s="5">
        <f>IF(A3076="","",IF(C3076=DATE(2026,11,29),"培训；注册午餐；早餐参数",IF(C3076=DATE(2026,11,30),"培训；注册午餐",IF(C3076=DATE(2026,12,1),"培训；注册午餐；机构晚餐",IF(C3076=Options!$B$9,"抵达；"&amp;IF(C3076=DATE(2026,11,28),"机构晚餐","无统一供餐"),IF(C3076=Options!$B$10,"返程；"&amp;IF(C3076=DATE(2026,12,2),"机构午餐","无统一供餐"),"差旅状态；无统一日程"))))))</f>
        <v/>
      </c>
      <c r="E3076" s="13">
        <f>IF(C3076=Options!$B$9,Options!$C$22,0)</f>
        <v/>
      </c>
      <c r="F3076" s="13">
        <f>IF(AND(A3076&lt;&gt;"",C3076&lt;Options!$B$10),B3076*Options!$X$9,0)</f>
        <v/>
      </c>
      <c r="G3076" s="13">
        <f>F3076*12%</f>
        <v/>
      </c>
      <c r="H3076" s="13">
        <f>IF(A3076="",0,B3076*(92*IF(OR(C3076=Options!$B$9,C3076=Options!$B$10),75%,100%)-IF(C3076=DATE(2026,11,29),26+IF(Options!$B$8="是",23,0),0)-IF(C3076=DATE(2026,11,30),26,0)-IF(C3076=DATE(2026,12,1),64,0)-IF(C3076=DATE(2026,11,28),38,0)-IF(C3076=DATE(2026,12,2),26,0)))</f>
        <v/>
      </c>
      <c r="I3076" s="13">
        <f>IF(AND(C3076&gt;=DATE(2026,11,29),C3076&lt;=DATE(2026,12,1)),B3076*60,0)</f>
        <v/>
      </c>
      <c r="J3076" s="13">
        <f>IF(A3076="",0,B3076*(IF(C3076=DATE(2026,11,28),38,0)+IF(C3076=DATE(2026,12,1),38,0)+IF(C3076=DATE(2026,12,2),26,0)))</f>
        <v/>
      </c>
      <c r="K3076" s="13">
        <f>IF(C3076=Options!$B$9,B3076*12,0)</f>
        <v/>
      </c>
      <c r="L3076" s="13">
        <f>IF(C3076=Options!$B$9,B3076*Options!$Z$9,0)</f>
        <v/>
      </c>
      <c r="M3076" s="13" t="n">
        <v>0</v>
      </c>
      <c r="N3076" s="13">
        <f>SUM(E3076:M3076)</f>
        <v/>
      </c>
    </row>
    <row r="3077">
      <c r="A3077" s="5">
        <f>IF(AND(C3077&gt;=Options!$B$9,C3077&lt;=Options!$B$10),"Seattle","")</f>
        <v/>
      </c>
      <c r="B3077" s="5">
        <f>IF(A3077="","",18)</f>
        <v/>
      </c>
      <c r="C3077" s="17" t="n">
        <v>46448</v>
      </c>
      <c r="D3077" s="5">
        <f>IF(A3077="","",IF(C3077=DATE(2026,11,29),"培训；注册午餐；早餐参数",IF(C3077=DATE(2026,11,30),"培训；注册午餐",IF(C3077=DATE(2026,12,1),"培训；注册午餐；机构晚餐",IF(C3077=Options!$B$9,"抵达；"&amp;IF(C3077=DATE(2026,11,28),"机构晚餐","无统一供餐"),IF(C3077=Options!$B$10,"返程；"&amp;IF(C3077=DATE(2026,12,2),"机构午餐","无统一供餐"),"差旅状态；无统一日程"))))))</f>
        <v/>
      </c>
      <c r="E3077" s="13">
        <f>IF(C3077=Options!$B$9,Options!$C$22,0)</f>
        <v/>
      </c>
      <c r="F3077" s="13">
        <f>IF(AND(A3077&lt;&gt;"",C3077&lt;Options!$B$10),B3077*Options!$X$9,0)</f>
        <v/>
      </c>
      <c r="G3077" s="13">
        <f>F3077*12%</f>
        <v/>
      </c>
      <c r="H3077" s="13">
        <f>IF(A3077="",0,B3077*(92*IF(OR(C3077=Options!$B$9,C3077=Options!$B$10),75%,100%)-IF(C3077=DATE(2026,11,29),26+IF(Options!$B$8="是",23,0),0)-IF(C3077=DATE(2026,11,30),26,0)-IF(C3077=DATE(2026,12,1),64,0)-IF(C3077=DATE(2026,11,28),38,0)-IF(C3077=DATE(2026,12,2),26,0)))</f>
        <v/>
      </c>
      <c r="I3077" s="13">
        <f>IF(AND(C3077&gt;=DATE(2026,11,29),C3077&lt;=DATE(2026,12,1)),B3077*60,0)</f>
        <v/>
      </c>
      <c r="J3077" s="13">
        <f>IF(A3077="",0,B3077*(IF(C3077=DATE(2026,11,28),38,0)+IF(C3077=DATE(2026,12,1),38,0)+IF(C3077=DATE(2026,12,2),26,0)))</f>
        <v/>
      </c>
      <c r="K3077" s="13">
        <f>IF(C3077=Options!$B$9,B3077*12,0)</f>
        <v/>
      </c>
      <c r="L3077" s="13">
        <f>IF(C3077=Options!$B$9,B3077*Options!$Z$9,0)</f>
        <v/>
      </c>
      <c r="M3077" s="13" t="n">
        <v>0</v>
      </c>
      <c r="N3077" s="13">
        <f>SUM(E3077:M3077)</f>
        <v/>
      </c>
    </row>
    <row r="3078">
      <c r="A3078" s="5">
        <f>IF(AND(C3078&gt;=Options!$B$9,C3078&lt;=Options!$B$10),"Seattle","")</f>
        <v/>
      </c>
      <c r="B3078" s="5">
        <f>IF(A3078="","",18)</f>
        <v/>
      </c>
      <c r="C3078" s="17" t="n">
        <v>46449</v>
      </c>
      <c r="D3078" s="5">
        <f>IF(A3078="","",IF(C3078=DATE(2026,11,29),"培训；注册午餐；早餐参数",IF(C3078=DATE(2026,11,30),"培训；注册午餐",IF(C3078=DATE(2026,12,1),"培训；注册午餐；机构晚餐",IF(C3078=Options!$B$9,"抵达；"&amp;IF(C3078=DATE(2026,11,28),"机构晚餐","无统一供餐"),IF(C3078=Options!$B$10,"返程；"&amp;IF(C3078=DATE(2026,12,2),"机构午餐","无统一供餐"),"差旅状态；无统一日程"))))))</f>
        <v/>
      </c>
      <c r="E3078" s="13">
        <f>IF(C3078=Options!$B$9,Options!$C$22,0)</f>
        <v/>
      </c>
      <c r="F3078" s="13">
        <f>IF(AND(A3078&lt;&gt;"",C3078&lt;Options!$B$10),B3078*Options!$X$9,0)</f>
        <v/>
      </c>
      <c r="G3078" s="13">
        <f>F3078*12%</f>
        <v/>
      </c>
      <c r="H3078" s="13">
        <f>IF(A3078="",0,B3078*(92*IF(OR(C3078=Options!$B$9,C3078=Options!$B$10),75%,100%)-IF(C3078=DATE(2026,11,29),26+IF(Options!$B$8="是",23,0),0)-IF(C3078=DATE(2026,11,30),26,0)-IF(C3078=DATE(2026,12,1),64,0)-IF(C3078=DATE(2026,11,28),38,0)-IF(C3078=DATE(2026,12,2),26,0)))</f>
        <v/>
      </c>
      <c r="I3078" s="13">
        <f>IF(AND(C3078&gt;=DATE(2026,11,29),C3078&lt;=DATE(2026,12,1)),B3078*60,0)</f>
        <v/>
      </c>
      <c r="J3078" s="13">
        <f>IF(A3078="",0,B3078*(IF(C3078=DATE(2026,11,28),38,0)+IF(C3078=DATE(2026,12,1),38,0)+IF(C3078=DATE(2026,12,2),26,0)))</f>
        <v/>
      </c>
      <c r="K3078" s="13">
        <f>IF(C3078=Options!$B$9,B3078*12,0)</f>
        <v/>
      </c>
      <c r="L3078" s="13">
        <f>IF(C3078=Options!$B$9,B3078*Options!$Z$9,0)</f>
        <v/>
      </c>
      <c r="M3078" s="13" t="n">
        <v>0</v>
      </c>
      <c r="N3078" s="13">
        <f>SUM(E3078:M3078)</f>
        <v/>
      </c>
    </row>
    <row r="3079">
      <c r="A3079" s="5">
        <f>IF(AND(C3079&gt;=Options!$B$9,C3079&lt;=Options!$B$10),"Seattle","")</f>
        <v/>
      </c>
      <c r="B3079" s="5">
        <f>IF(A3079="","",18)</f>
        <v/>
      </c>
      <c r="C3079" s="17" t="n">
        <v>46450</v>
      </c>
      <c r="D3079" s="5">
        <f>IF(A3079="","",IF(C3079=DATE(2026,11,29),"培训；注册午餐；早餐参数",IF(C3079=DATE(2026,11,30),"培训；注册午餐",IF(C3079=DATE(2026,12,1),"培训；注册午餐；机构晚餐",IF(C3079=Options!$B$9,"抵达；"&amp;IF(C3079=DATE(2026,11,28),"机构晚餐","无统一供餐"),IF(C3079=Options!$B$10,"返程；"&amp;IF(C3079=DATE(2026,12,2),"机构午餐","无统一供餐"),"差旅状态；无统一日程"))))))</f>
        <v/>
      </c>
      <c r="E3079" s="13">
        <f>IF(C3079=Options!$B$9,Options!$C$22,0)</f>
        <v/>
      </c>
      <c r="F3079" s="13">
        <f>IF(AND(A3079&lt;&gt;"",C3079&lt;Options!$B$10),B3079*Options!$X$9,0)</f>
        <v/>
      </c>
      <c r="G3079" s="13">
        <f>F3079*12%</f>
        <v/>
      </c>
      <c r="H3079" s="13">
        <f>IF(A3079="",0,B3079*(92*IF(OR(C3079=Options!$B$9,C3079=Options!$B$10),75%,100%)-IF(C3079=DATE(2026,11,29),26+IF(Options!$B$8="是",23,0),0)-IF(C3079=DATE(2026,11,30),26,0)-IF(C3079=DATE(2026,12,1),64,0)-IF(C3079=DATE(2026,11,28),38,0)-IF(C3079=DATE(2026,12,2),26,0)))</f>
        <v/>
      </c>
      <c r="I3079" s="13">
        <f>IF(AND(C3079&gt;=DATE(2026,11,29),C3079&lt;=DATE(2026,12,1)),B3079*60,0)</f>
        <v/>
      </c>
      <c r="J3079" s="13">
        <f>IF(A3079="",0,B3079*(IF(C3079=DATE(2026,11,28),38,0)+IF(C3079=DATE(2026,12,1),38,0)+IF(C3079=DATE(2026,12,2),26,0)))</f>
        <v/>
      </c>
      <c r="K3079" s="13">
        <f>IF(C3079=Options!$B$9,B3079*12,0)</f>
        <v/>
      </c>
      <c r="L3079" s="13">
        <f>IF(C3079=Options!$B$9,B3079*Options!$Z$9,0)</f>
        <v/>
      </c>
      <c r="M3079" s="13" t="n">
        <v>0</v>
      </c>
      <c r="N3079" s="13">
        <f>SUM(E3079:M3079)</f>
        <v/>
      </c>
    </row>
    <row r="3080">
      <c r="A3080" s="5">
        <f>IF(AND(C3080&gt;=Options!$B$9,C3080&lt;=Options!$B$10),"Seattle","")</f>
        <v/>
      </c>
      <c r="B3080" s="5">
        <f>IF(A3080="","",18)</f>
        <v/>
      </c>
      <c r="C3080" s="17" t="n">
        <v>46451</v>
      </c>
      <c r="D3080" s="5">
        <f>IF(A3080="","",IF(C3080=DATE(2026,11,29),"培训；注册午餐；早餐参数",IF(C3080=DATE(2026,11,30),"培训；注册午餐",IF(C3080=DATE(2026,12,1),"培训；注册午餐；机构晚餐",IF(C3080=Options!$B$9,"抵达；"&amp;IF(C3080=DATE(2026,11,28),"机构晚餐","无统一供餐"),IF(C3080=Options!$B$10,"返程；"&amp;IF(C3080=DATE(2026,12,2),"机构午餐","无统一供餐"),"差旅状态；无统一日程"))))))</f>
        <v/>
      </c>
      <c r="E3080" s="13">
        <f>IF(C3080=Options!$B$9,Options!$C$22,0)</f>
        <v/>
      </c>
      <c r="F3080" s="13">
        <f>IF(AND(A3080&lt;&gt;"",C3080&lt;Options!$B$10),B3080*Options!$X$9,0)</f>
        <v/>
      </c>
      <c r="G3080" s="13">
        <f>F3080*12%</f>
        <v/>
      </c>
      <c r="H3080" s="13">
        <f>IF(A3080="",0,B3080*(92*IF(OR(C3080=Options!$B$9,C3080=Options!$B$10),75%,100%)-IF(C3080=DATE(2026,11,29),26+IF(Options!$B$8="是",23,0),0)-IF(C3080=DATE(2026,11,30),26,0)-IF(C3080=DATE(2026,12,1),64,0)-IF(C3080=DATE(2026,11,28),38,0)-IF(C3080=DATE(2026,12,2),26,0)))</f>
        <v/>
      </c>
      <c r="I3080" s="13">
        <f>IF(AND(C3080&gt;=DATE(2026,11,29),C3080&lt;=DATE(2026,12,1)),B3080*60,0)</f>
        <v/>
      </c>
      <c r="J3080" s="13">
        <f>IF(A3080="",0,B3080*(IF(C3080=DATE(2026,11,28),38,0)+IF(C3080=DATE(2026,12,1),38,0)+IF(C3080=DATE(2026,12,2),26,0)))</f>
        <v/>
      </c>
      <c r="K3080" s="13">
        <f>IF(C3080=Options!$B$9,B3080*12,0)</f>
        <v/>
      </c>
      <c r="L3080" s="13">
        <f>IF(C3080=Options!$B$9,B3080*Options!$Z$9,0)</f>
        <v/>
      </c>
      <c r="M3080" s="13" t="n">
        <v>0</v>
      </c>
      <c r="N3080" s="13">
        <f>SUM(E3080:M3080)</f>
        <v/>
      </c>
    </row>
    <row r="3081">
      <c r="A3081" s="5">
        <f>IF(AND(C3081&gt;=Options!$B$9,C3081&lt;=Options!$B$10),"Seattle","")</f>
        <v/>
      </c>
      <c r="B3081" s="5">
        <f>IF(A3081="","",18)</f>
        <v/>
      </c>
      <c r="C3081" s="17" t="n">
        <v>46452</v>
      </c>
      <c r="D3081" s="5">
        <f>IF(A3081="","",IF(C3081=DATE(2026,11,29),"培训；注册午餐；早餐参数",IF(C3081=DATE(2026,11,30),"培训；注册午餐",IF(C3081=DATE(2026,12,1),"培训；注册午餐；机构晚餐",IF(C3081=Options!$B$9,"抵达；"&amp;IF(C3081=DATE(2026,11,28),"机构晚餐","无统一供餐"),IF(C3081=Options!$B$10,"返程；"&amp;IF(C3081=DATE(2026,12,2),"机构午餐","无统一供餐"),"差旅状态；无统一日程"))))))</f>
        <v/>
      </c>
      <c r="E3081" s="13">
        <f>IF(C3081=Options!$B$9,Options!$C$22,0)</f>
        <v/>
      </c>
      <c r="F3081" s="13">
        <f>IF(AND(A3081&lt;&gt;"",C3081&lt;Options!$B$10),B3081*Options!$X$9,0)</f>
        <v/>
      </c>
      <c r="G3081" s="13">
        <f>F3081*12%</f>
        <v/>
      </c>
      <c r="H3081" s="13">
        <f>IF(A3081="",0,B3081*(92*IF(OR(C3081=Options!$B$9,C3081=Options!$B$10),75%,100%)-IF(C3081=DATE(2026,11,29),26+IF(Options!$B$8="是",23,0),0)-IF(C3081=DATE(2026,11,30),26,0)-IF(C3081=DATE(2026,12,1),64,0)-IF(C3081=DATE(2026,11,28),38,0)-IF(C3081=DATE(2026,12,2),26,0)))</f>
        <v/>
      </c>
      <c r="I3081" s="13">
        <f>IF(AND(C3081&gt;=DATE(2026,11,29),C3081&lt;=DATE(2026,12,1)),B3081*60,0)</f>
        <v/>
      </c>
      <c r="J3081" s="13">
        <f>IF(A3081="",0,B3081*(IF(C3081=DATE(2026,11,28),38,0)+IF(C3081=DATE(2026,12,1),38,0)+IF(C3081=DATE(2026,12,2),26,0)))</f>
        <v/>
      </c>
      <c r="K3081" s="13">
        <f>IF(C3081=Options!$B$9,B3081*12,0)</f>
        <v/>
      </c>
      <c r="L3081" s="13">
        <f>IF(C3081=Options!$B$9,B3081*Options!$Z$9,0)</f>
        <v/>
      </c>
      <c r="M3081" s="13" t="n">
        <v>0</v>
      </c>
      <c r="N3081" s="13">
        <f>SUM(E3081:M3081)</f>
        <v/>
      </c>
    </row>
    <row r="3082">
      <c r="A3082" s="5">
        <f>IF(AND(C3082&gt;=Options!$B$9,C3082&lt;=Options!$B$10),"Seattle","")</f>
        <v/>
      </c>
      <c r="B3082" s="5">
        <f>IF(A3082="","",18)</f>
        <v/>
      </c>
      <c r="C3082" s="17" t="n">
        <v>46453</v>
      </c>
      <c r="D3082" s="5">
        <f>IF(A3082="","",IF(C3082=DATE(2026,11,29),"培训；注册午餐；早餐参数",IF(C3082=DATE(2026,11,30),"培训；注册午餐",IF(C3082=DATE(2026,12,1),"培训；注册午餐；机构晚餐",IF(C3082=Options!$B$9,"抵达；"&amp;IF(C3082=DATE(2026,11,28),"机构晚餐","无统一供餐"),IF(C3082=Options!$B$10,"返程；"&amp;IF(C3082=DATE(2026,12,2),"机构午餐","无统一供餐"),"差旅状态；无统一日程"))))))</f>
        <v/>
      </c>
      <c r="E3082" s="13">
        <f>IF(C3082=Options!$B$9,Options!$C$22,0)</f>
        <v/>
      </c>
      <c r="F3082" s="13">
        <f>IF(AND(A3082&lt;&gt;"",C3082&lt;Options!$B$10),B3082*Options!$X$9,0)</f>
        <v/>
      </c>
      <c r="G3082" s="13">
        <f>F3082*12%</f>
        <v/>
      </c>
      <c r="H3082" s="13">
        <f>IF(A3082="",0,B3082*(92*IF(OR(C3082=Options!$B$9,C3082=Options!$B$10),75%,100%)-IF(C3082=DATE(2026,11,29),26+IF(Options!$B$8="是",23,0),0)-IF(C3082=DATE(2026,11,30),26,0)-IF(C3082=DATE(2026,12,1),64,0)-IF(C3082=DATE(2026,11,28),38,0)-IF(C3082=DATE(2026,12,2),26,0)))</f>
        <v/>
      </c>
      <c r="I3082" s="13">
        <f>IF(AND(C3082&gt;=DATE(2026,11,29),C3082&lt;=DATE(2026,12,1)),B3082*60,0)</f>
        <v/>
      </c>
      <c r="J3082" s="13">
        <f>IF(A3082="",0,B3082*(IF(C3082=DATE(2026,11,28),38,0)+IF(C3082=DATE(2026,12,1),38,0)+IF(C3082=DATE(2026,12,2),26,0)))</f>
        <v/>
      </c>
      <c r="K3082" s="13">
        <f>IF(C3082=Options!$B$9,B3082*12,0)</f>
        <v/>
      </c>
      <c r="L3082" s="13">
        <f>IF(C3082=Options!$B$9,B3082*Options!$Z$9,0)</f>
        <v/>
      </c>
      <c r="M3082" s="13" t="n">
        <v>0</v>
      </c>
      <c r="N3082" s="13">
        <f>SUM(E3082:M3082)</f>
        <v/>
      </c>
    </row>
    <row r="3083">
      <c r="A3083" s="5">
        <f>IF(AND(C3083&gt;=Options!$B$9,C3083&lt;=Options!$B$10),"Seattle","")</f>
        <v/>
      </c>
      <c r="B3083" s="5">
        <f>IF(A3083="","",18)</f>
        <v/>
      </c>
      <c r="C3083" s="17" t="n">
        <v>46454</v>
      </c>
      <c r="D3083" s="5">
        <f>IF(A3083="","",IF(C3083=DATE(2026,11,29),"培训；注册午餐；早餐参数",IF(C3083=DATE(2026,11,30),"培训；注册午餐",IF(C3083=DATE(2026,12,1),"培训；注册午餐；机构晚餐",IF(C3083=Options!$B$9,"抵达；"&amp;IF(C3083=DATE(2026,11,28),"机构晚餐","无统一供餐"),IF(C3083=Options!$B$10,"返程；"&amp;IF(C3083=DATE(2026,12,2),"机构午餐","无统一供餐"),"差旅状态；无统一日程"))))))</f>
        <v/>
      </c>
      <c r="E3083" s="13">
        <f>IF(C3083=Options!$B$9,Options!$C$22,0)</f>
        <v/>
      </c>
      <c r="F3083" s="13">
        <f>IF(AND(A3083&lt;&gt;"",C3083&lt;Options!$B$10),B3083*Options!$X$9,0)</f>
        <v/>
      </c>
      <c r="G3083" s="13">
        <f>F3083*12%</f>
        <v/>
      </c>
      <c r="H3083" s="13">
        <f>IF(A3083="",0,B3083*(92*IF(OR(C3083=Options!$B$9,C3083=Options!$B$10),75%,100%)-IF(C3083=DATE(2026,11,29),26+IF(Options!$B$8="是",23,0),0)-IF(C3083=DATE(2026,11,30),26,0)-IF(C3083=DATE(2026,12,1),64,0)-IF(C3083=DATE(2026,11,28),38,0)-IF(C3083=DATE(2026,12,2),26,0)))</f>
        <v/>
      </c>
      <c r="I3083" s="13">
        <f>IF(AND(C3083&gt;=DATE(2026,11,29),C3083&lt;=DATE(2026,12,1)),B3083*60,0)</f>
        <v/>
      </c>
      <c r="J3083" s="13">
        <f>IF(A3083="",0,B3083*(IF(C3083=DATE(2026,11,28),38,0)+IF(C3083=DATE(2026,12,1),38,0)+IF(C3083=DATE(2026,12,2),26,0)))</f>
        <v/>
      </c>
      <c r="K3083" s="13">
        <f>IF(C3083=Options!$B$9,B3083*12,0)</f>
        <v/>
      </c>
      <c r="L3083" s="13">
        <f>IF(C3083=Options!$B$9,B3083*Options!$Z$9,0)</f>
        <v/>
      </c>
      <c r="M3083" s="13" t="n">
        <v>0</v>
      </c>
      <c r="N3083" s="13">
        <f>SUM(E3083:M3083)</f>
        <v/>
      </c>
    </row>
    <row r="3084">
      <c r="A3084" s="5">
        <f>IF(AND(C3084&gt;=Options!$B$9,C3084&lt;=Options!$B$10),"Seattle","")</f>
        <v/>
      </c>
      <c r="B3084" s="5">
        <f>IF(A3084="","",18)</f>
        <v/>
      </c>
      <c r="C3084" s="17" t="n">
        <v>46455</v>
      </c>
      <c r="D3084" s="5">
        <f>IF(A3084="","",IF(C3084=DATE(2026,11,29),"培训；注册午餐；早餐参数",IF(C3084=DATE(2026,11,30),"培训；注册午餐",IF(C3084=DATE(2026,12,1),"培训；注册午餐；机构晚餐",IF(C3084=Options!$B$9,"抵达；"&amp;IF(C3084=DATE(2026,11,28),"机构晚餐","无统一供餐"),IF(C3084=Options!$B$10,"返程；"&amp;IF(C3084=DATE(2026,12,2),"机构午餐","无统一供餐"),"差旅状态；无统一日程"))))))</f>
        <v/>
      </c>
      <c r="E3084" s="13">
        <f>IF(C3084=Options!$B$9,Options!$C$22,0)</f>
        <v/>
      </c>
      <c r="F3084" s="13">
        <f>IF(AND(A3084&lt;&gt;"",C3084&lt;Options!$B$10),B3084*Options!$X$9,0)</f>
        <v/>
      </c>
      <c r="G3084" s="13">
        <f>F3084*12%</f>
        <v/>
      </c>
      <c r="H3084" s="13">
        <f>IF(A3084="",0,B3084*(92*IF(OR(C3084=Options!$B$9,C3084=Options!$B$10),75%,100%)-IF(C3084=DATE(2026,11,29),26+IF(Options!$B$8="是",23,0),0)-IF(C3084=DATE(2026,11,30),26,0)-IF(C3084=DATE(2026,12,1),64,0)-IF(C3084=DATE(2026,11,28),38,0)-IF(C3084=DATE(2026,12,2),26,0)))</f>
        <v/>
      </c>
      <c r="I3084" s="13">
        <f>IF(AND(C3084&gt;=DATE(2026,11,29),C3084&lt;=DATE(2026,12,1)),B3084*60,0)</f>
        <v/>
      </c>
      <c r="J3084" s="13">
        <f>IF(A3084="",0,B3084*(IF(C3084=DATE(2026,11,28),38,0)+IF(C3084=DATE(2026,12,1),38,0)+IF(C3084=DATE(2026,12,2),26,0)))</f>
        <v/>
      </c>
      <c r="K3084" s="13">
        <f>IF(C3084=Options!$B$9,B3084*12,0)</f>
        <v/>
      </c>
      <c r="L3084" s="13">
        <f>IF(C3084=Options!$B$9,B3084*Options!$Z$9,0)</f>
        <v/>
      </c>
      <c r="M3084" s="13" t="n">
        <v>0</v>
      </c>
      <c r="N3084" s="13">
        <f>SUM(E3084:M3084)</f>
        <v/>
      </c>
    </row>
    <row r="3085">
      <c r="A3085" s="5">
        <f>IF(AND(C3085&gt;=Options!$B$9,C3085&lt;=Options!$B$10),"Seattle","")</f>
        <v/>
      </c>
      <c r="B3085" s="5">
        <f>IF(A3085="","",18)</f>
        <v/>
      </c>
      <c r="C3085" s="17" t="n">
        <v>46456</v>
      </c>
      <c r="D3085" s="5">
        <f>IF(A3085="","",IF(C3085=DATE(2026,11,29),"培训；注册午餐；早餐参数",IF(C3085=DATE(2026,11,30),"培训；注册午餐",IF(C3085=DATE(2026,12,1),"培训；注册午餐；机构晚餐",IF(C3085=Options!$B$9,"抵达；"&amp;IF(C3085=DATE(2026,11,28),"机构晚餐","无统一供餐"),IF(C3085=Options!$B$10,"返程；"&amp;IF(C3085=DATE(2026,12,2),"机构午餐","无统一供餐"),"差旅状态；无统一日程"))))))</f>
        <v/>
      </c>
      <c r="E3085" s="13">
        <f>IF(C3085=Options!$B$9,Options!$C$22,0)</f>
        <v/>
      </c>
      <c r="F3085" s="13">
        <f>IF(AND(A3085&lt;&gt;"",C3085&lt;Options!$B$10),B3085*Options!$X$9,0)</f>
        <v/>
      </c>
      <c r="G3085" s="13">
        <f>F3085*12%</f>
        <v/>
      </c>
      <c r="H3085" s="13">
        <f>IF(A3085="",0,B3085*(92*IF(OR(C3085=Options!$B$9,C3085=Options!$B$10),75%,100%)-IF(C3085=DATE(2026,11,29),26+IF(Options!$B$8="是",23,0),0)-IF(C3085=DATE(2026,11,30),26,0)-IF(C3085=DATE(2026,12,1),64,0)-IF(C3085=DATE(2026,11,28),38,0)-IF(C3085=DATE(2026,12,2),26,0)))</f>
        <v/>
      </c>
      <c r="I3085" s="13">
        <f>IF(AND(C3085&gt;=DATE(2026,11,29),C3085&lt;=DATE(2026,12,1)),B3085*60,0)</f>
        <v/>
      </c>
      <c r="J3085" s="13">
        <f>IF(A3085="",0,B3085*(IF(C3085=DATE(2026,11,28),38,0)+IF(C3085=DATE(2026,12,1),38,0)+IF(C3085=DATE(2026,12,2),26,0)))</f>
        <v/>
      </c>
      <c r="K3085" s="13">
        <f>IF(C3085=Options!$B$9,B3085*12,0)</f>
        <v/>
      </c>
      <c r="L3085" s="13">
        <f>IF(C3085=Options!$B$9,B3085*Options!$Z$9,0)</f>
        <v/>
      </c>
      <c r="M3085" s="13" t="n">
        <v>0</v>
      </c>
      <c r="N3085" s="13">
        <f>SUM(E3085:M3085)</f>
        <v/>
      </c>
    </row>
    <row r="3086">
      <c r="A3086" s="5">
        <f>IF(AND(C3086&gt;=Options!$B$9,C3086&lt;=Options!$B$10),"Seattle","")</f>
        <v/>
      </c>
      <c r="B3086" s="5">
        <f>IF(A3086="","",18)</f>
        <v/>
      </c>
      <c r="C3086" s="17" t="n">
        <v>46457</v>
      </c>
      <c r="D3086" s="5">
        <f>IF(A3086="","",IF(C3086=DATE(2026,11,29),"培训；注册午餐；早餐参数",IF(C3086=DATE(2026,11,30),"培训；注册午餐",IF(C3086=DATE(2026,12,1),"培训；注册午餐；机构晚餐",IF(C3086=Options!$B$9,"抵达；"&amp;IF(C3086=DATE(2026,11,28),"机构晚餐","无统一供餐"),IF(C3086=Options!$B$10,"返程；"&amp;IF(C3086=DATE(2026,12,2),"机构午餐","无统一供餐"),"差旅状态；无统一日程"))))))</f>
        <v/>
      </c>
      <c r="E3086" s="13">
        <f>IF(C3086=Options!$B$9,Options!$C$22,0)</f>
        <v/>
      </c>
      <c r="F3086" s="13">
        <f>IF(AND(A3086&lt;&gt;"",C3086&lt;Options!$B$10),B3086*Options!$X$9,0)</f>
        <v/>
      </c>
      <c r="G3086" s="13">
        <f>F3086*12%</f>
        <v/>
      </c>
      <c r="H3086" s="13">
        <f>IF(A3086="",0,B3086*(92*IF(OR(C3086=Options!$B$9,C3086=Options!$B$10),75%,100%)-IF(C3086=DATE(2026,11,29),26+IF(Options!$B$8="是",23,0),0)-IF(C3086=DATE(2026,11,30),26,0)-IF(C3086=DATE(2026,12,1),64,0)-IF(C3086=DATE(2026,11,28),38,0)-IF(C3086=DATE(2026,12,2),26,0)))</f>
        <v/>
      </c>
      <c r="I3086" s="13">
        <f>IF(AND(C3086&gt;=DATE(2026,11,29),C3086&lt;=DATE(2026,12,1)),B3086*60,0)</f>
        <v/>
      </c>
      <c r="J3086" s="13">
        <f>IF(A3086="",0,B3086*(IF(C3086=DATE(2026,11,28),38,0)+IF(C3086=DATE(2026,12,1),38,0)+IF(C3086=DATE(2026,12,2),26,0)))</f>
        <v/>
      </c>
      <c r="K3086" s="13">
        <f>IF(C3086=Options!$B$9,B3086*12,0)</f>
        <v/>
      </c>
      <c r="L3086" s="13">
        <f>IF(C3086=Options!$B$9,B3086*Options!$Z$9,0)</f>
        <v/>
      </c>
      <c r="M3086" s="13" t="n">
        <v>0</v>
      </c>
      <c r="N3086" s="13">
        <f>SUM(E3086:M3086)</f>
        <v/>
      </c>
    </row>
    <row r="3087">
      <c r="A3087" s="5">
        <f>IF(AND(C3087&gt;=Options!$B$9,C3087&lt;=Options!$B$10),"Seattle","")</f>
        <v/>
      </c>
      <c r="B3087" s="5">
        <f>IF(A3087="","",18)</f>
        <v/>
      </c>
      <c r="C3087" s="17" t="n">
        <v>46458</v>
      </c>
      <c r="D3087" s="5">
        <f>IF(A3087="","",IF(C3087=DATE(2026,11,29),"培训；注册午餐；早餐参数",IF(C3087=DATE(2026,11,30),"培训；注册午餐",IF(C3087=DATE(2026,12,1),"培训；注册午餐；机构晚餐",IF(C3087=Options!$B$9,"抵达；"&amp;IF(C3087=DATE(2026,11,28),"机构晚餐","无统一供餐"),IF(C3087=Options!$B$10,"返程；"&amp;IF(C3087=DATE(2026,12,2),"机构午餐","无统一供餐"),"差旅状态；无统一日程"))))))</f>
        <v/>
      </c>
      <c r="E3087" s="13">
        <f>IF(C3087=Options!$B$9,Options!$C$22,0)</f>
        <v/>
      </c>
      <c r="F3087" s="13">
        <f>IF(AND(A3087&lt;&gt;"",C3087&lt;Options!$B$10),B3087*Options!$X$9,0)</f>
        <v/>
      </c>
      <c r="G3087" s="13">
        <f>F3087*12%</f>
        <v/>
      </c>
      <c r="H3087" s="13">
        <f>IF(A3087="",0,B3087*(92*IF(OR(C3087=Options!$B$9,C3087=Options!$B$10),75%,100%)-IF(C3087=DATE(2026,11,29),26+IF(Options!$B$8="是",23,0),0)-IF(C3087=DATE(2026,11,30),26,0)-IF(C3087=DATE(2026,12,1),64,0)-IF(C3087=DATE(2026,11,28),38,0)-IF(C3087=DATE(2026,12,2),26,0)))</f>
        <v/>
      </c>
      <c r="I3087" s="13">
        <f>IF(AND(C3087&gt;=DATE(2026,11,29),C3087&lt;=DATE(2026,12,1)),B3087*60,0)</f>
        <v/>
      </c>
      <c r="J3087" s="13">
        <f>IF(A3087="",0,B3087*(IF(C3087=DATE(2026,11,28),38,0)+IF(C3087=DATE(2026,12,1),38,0)+IF(C3087=DATE(2026,12,2),26,0)))</f>
        <v/>
      </c>
      <c r="K3087" s="13">
        <f>IF(C3087=Options!$B$9,B3087*12,0)</f>
        <v/>
      </c>
      <c r="L3087" s="13">
        <f>IF(C3087=Options!$B$9,B3087*Options!$Z$9,0)</f>
        <v/>
      </c>
      <c r="M3087" s="13" t="n">
        <v>0</v>
      </c>
      <c r="N3087" s="13">
        <f>SUM(E3087:M3087)</f>
        <v/>
      </c>
    </row>
    <row r="3088">
      <c r="A3088" s="5">
        <f>IF(AND(C3088&gt;=Options!$B$9,C3088&lt;=Options!$B$10),"Seattle","")</f>
        <v/>
      </c>
      <c r="B3088" s="5">
        <f>IF(A3088="","",18)</f>
        <v/>
      </c>
      <c r="C3088" s="17" t="n">
        <v>46459</v>
      </c>
      <c r="D3088" s="5">
        <f>IF(A3088="","",IF(C3088=DATE(2026,11,29),"培训；注册午餐；早餐参数",IF(C3088=DATE(2026,11,30),"培训；注册午餐",IF(C3088=DATE(2026,12,1),"培训；注册午餐；机构晚餐",IF(C3088=Options!$B$9,"抵达；"&amp;IF(C3088=DATE(2026,11,28),"机构晚餐","无统一供餐"),IF(C3088=Options!$B$10,"返程；"&amp;IF(C3088=DATE(2026,12,2),"机构午餐","无统一供餐"),"差旅状态；无统一日程"))))))</f>
        <v/>
      </c>
      <c r="E3088" s="13">
        <f>IF(C3088=Options!$B$9,Options!$C$22,0)</f>
        <v/>
      </c>
      <c r="F3088" s="13">
        <f>IF(AND(A3088&lt;&gt;"",C3088&lt;Options!$B$10),B3088*Options!$X$9,0)</f>
        <v/>
      </c>
      <c r="G3088" s="13">
        <f>F3088*12%</f>
        <v/>
      </c>
      <c r="H3088" s="13">
        <f>IF(A3088="",0,B3088*(92*IF(OR(C3088=Options!$B$9,C3088=Options!$B$10),75%,100%)-IF(C3088=DATE(2026,11,29),26+IF(Options!$B$8="是",23,0),0)-IF(C3088=DATE(2026,11,30),26,0)-IF(C3088=DATE(2026,12,1),64,0)-IF(C3088=DATE(2026,11,28),38,0)-IF(C3088=DATE(2026,12,2),26,0)))</f>
        <v/>
      </c>
      <c r="I3088" s="13">
        <f>IF(AND(C3088&gt;=DATE(2026,11,29),C3088&lt;=DATE(2026,12,1)),B3088*60,0)</f>
        <v/>
      </c>
      <c r="J3088" s="13">
        <f>IF(A3088="",0,B3088*(IF(C3088=DATE(2026,11,28),38,0)+IF(C3088=DATE(2026,12,1),38,0)+IF(C3088=DATE(2026,12,2),26,0)))</f>
        <v/>
      </c>
      <c r="K3088" s="13">
        <f>IF(C3088=Options!$B$9,B3088*12,0)</f>
        <v/>
      </c>
      <c r="L3088" s="13">
        <f>IF(C3088=Options!$B$9,B3088*Options!$Z$9,0)</f>
        <v/>
      </c>
      <c r="M3088" s="13" t="n">
        <v>0</v>
      </c>
      <c r="N3088" s="13">
        <f>SUM(E3088:M3088)</f>
        <v/>
      </c>
    </row>
    <row r="3089">
      <c r="A3089" s="5">
        <f>IF(AND(C3089&gt;=Options!$B$9,C3089&lt;=Options!$B$10),"Seattle","")</f>
        <v/>
      </c>
      <c r="B3089" s="5">
        <f>IF(A3089="","",18)</f>
        <v/>
      </c>
      <c r="C3089" s="17" t="n">
        <v>46460</v>
      </c>
      <c r="D3089" s="5">
        <f>IF(A3089="","",IF(C3089=DATE(2026,11,29),"培训；注册午餐；早餐参数",IF(C3089=DATE(2026,11,30),"培训；注册午餐",IF(C3089=DATE(2026,12,1),"培训；注册午餐；机构晚餐",IF(C3089=Options!$B$9,"抵达；"&amp;IF(C3089=DATE(2026,11,28),"机构晚餐","无统一供餐"),IF(C3089=Options!$B$10,"返程；"&amp;IF(C3089=DATE(2026,12,2),"机构午餐","无统一供餐"),"差旅状态；无统一日程"))))))</f>
        <v/>
      </c>
      <c r="E3089" s="13">
        <f>IF(C3089=Options!$B$9,Options!$C$22,0)</f>
        <v/>
      </c>
      <c r="F3089" s="13">
        <f>IF(AND(A3089&lt;&gt;"",C3089&lt;Options!$B$10),B3089*Options!$X$9,0)</f>
        <v/>
      </c>
      <c r="G3089" s="13">
        <f>F3089*12%</f>
        <v/>
      </c>
      <c r="H3089" s="13">
        <f>IF(A3089="",0,B3089*(92*IF(OR(C3089=Options!$B$9,C3089=Options!$B$10),75%,100%)-IF(C3089=DATE(2026,11,29),26+IF(Options!$B$8="是",23,0),0)-IF(C3089=DATE(2026,11,30),26,0)-IF(C3089=DATE(2026,12,1),64,0)-IF(C3089=DATE(2026,11,28),38,0)-IF(C3089=DATE(2026,12,2),26,0)))</f>
        <v/>
      </c>
      <c r="I3089" s="13">
        <f>IF(AND(C3089&gt;=DATE(2026,11,29),C3089&lt;=DATE(2026,12,1)),B3089*60,0)</f>
        <v/>
      </c>
      <c r="J3089" s="13">
        <f>IF(A3089="",0,B3089*(IF(C3089=DATE(2026,11,28),38,0)+IF(C3089=DATE(2026,12,1),38,0)+IF(C3089=DATE(2026,12,2),26,0)))</f>
        <v/>
      </c>
      <c r="K3089" s="13">
        <f>IF(C3089=Options!$B$9,B3089*12,0)</f>
        <v/>
      </c>
      <c r="L3089" s="13">
        <f>IF(C3089=Options!$B$9,B3089*Options!$Z$9,0)</f>
        <v/>
      </c>
      <c r="M3089" s="13" t="n">
        <v>0</v>
      </c>
      <c r="N3089" s="13">
        <f>SUM(E3089:M3089)</f>
        <v/>
      </c>
    </row>
    <row r="3090">
      <c r="A3090" s="5">
        <f>IF(AND(C3090&gt;=Options!$B$9,C3090&lt;=Options!$B$10),"Seattle","")</f>
        <v/>
      </c>
      <c r="B3090" s="5">
        <f>IF(A3090="","",18)</f>
        <v/>
      </c>
      <c r="C3090" s="17" t="n">
        <v>46461</v>
      </c>
      <c r="D3090" s="5">
        <f>IF(A3090="","",IF(C3090=DATE(2026,11,29),"培训；注册午餐；早餐参数",IF(C3090=DATE(2026,11,30),"培训；注册午餐",IF(C3090=DATE(2026,12,1),"培训；注册午餐；机构晚餐",IF(C3090=Options!$B$9,"抵达；"&amp;IF(C3090=DATE(2026,11,28),"机构晚餐","无统一供餐"),IF(C3090=Options!$B$10,"返程；"&amp;IF(C3090=DATE(2026,12,2),"机构午餐","无统一供餐"),"差旅状态；无统一日程"))))))</f>
        <v/>
      </c>
      <c r="E3090" s="13">
        <f>IF(C3090=Options!$B$9,Options!$C$22,0)</f>
        <v/>
      </c>
      <c r="F3090" s="13">
        <f>IF(AND(A3090&lt;&gt;"",C3090&lt;Options!$B$10),B3090*Options!$X$9,0)</f>
        <v/>
      </c>
      <c r="G3090" s="13">
        <f>F3090*12%</f>
        <v/>
      </c>
      <c r="H3090" s="13">
        <f>IF(A3090="",0,B3090*(92*IF(OR(C3090=Options!$B$9,C3090=Options!$B$10),75%,100%)-IF(C3090=DATE(2026,11,29),26+IF(Options!$B$8="是",23,0),0)-IF(C3090=DATE(2026,11,30),26,0)-IF(C3090=DATE(2026,12,1),64,0)-IF(C3090=DATE(2026,11,28),38,0)-IF(C3090=DATE(2026,12,2),26,0)))</f>
        <v/>
      </c>
      <c r="I3090" s="13">
        <f>IF(AND(C3090&gt;=DATE(2026,11,29),C3090&lt;=DATE(2026,12,1)),B3090*60,0)</f>
        <v/>
      </c>
      <c r="J3090" s="13">
        <f>IF(A3090="",0,B3090*(IF(C3090=DATE(2026,11,28),38,0)+IF(C3090=DATE(2026,12,1),38,0)+IF(C3090=DATE(2026,12,2),26,0)))</f>
        <v/>
      </c>
      <c r="K3090" s="13">
        <f>IF(C3090=Options!$B$9,B3090*12,0)</f>
        <v/>
      </c>
      <c r="L3090" s="13">
        <f>IF(C3090=Options!$B$9,B3090*Options!$Z$9,0)</f>
        <v/>
      </c>
      <c r="M3090" s="13" t="n">
        <v>0</v>
      </c>
      <c r="N3090" s="13">
        <f>SUM(E3090:M3090)</f>
        <v/>
      </c>
    </row>
    <row r="3091">
      <c r="A3091" s="5">
        <f>IF(AND(C3091&gt;=Options!$B$9,C3091&lt;=Options!$B$10),"Seattle","")</f>
        <v/>
      </c>
      <c r="B3091" s="5">
        <f>IF(A3091="","",18)</f>
        <v/>
      </c>
      <c r="C3091" s="17" t="n">
        <v>46462</v>
      </c>
      <c r="D3091" s="5">
        <f>IF(A3091="","",IF(C3091=DATE(2026,11,29),"培训；注册午餐；早餐参数",IF(C3091=DATE(2026,11,30),"培训；注册午餐",IF(C3091=DATE(2026,12,1),"培训；注册午餐；机构晚餐",IF(C3091=Options!$B$9,"抵达；"&amp;IF(C3091=DATE(2026,11,28),"机构晚餐","无统一供餐"),IF(C3091=Options!$B$10,"返程；"&amp;IF(C3091=DATE(2026,12,2),"机构午餐","无统一供餐"),"差旅状态；无统一日程"))))))</f>
        <v/>
      </c>
      <c r="E3091" s="13">
        <f>IF(C3091=Options!$B$9,Options!$C$22,0)</f>
        <v/>
      </c>
      <c r="F3091" s="13">
        <f>IF(AND(A3091&lt;&gt;"",C3091&lt;Options!$B$10),B3091*Options!$X$9,0)</f>
        <v/>
      </c>
      <c r="G3091" s="13">
        <f>F3091*12%</f>
        <v/>
      </c>
      <c r="H3091" s="13">
        <f>IF(A3091="",0,B3091*(92*IF(OR(C3091=Options!$B$9,C3091=Options!$B$10),75%,100%)-IF(C3091=DATE(2026,11,29),26+IF(Options!$B$8="是",23,0),0)-IF(C3091=DATE(2026,11,30),26,0)-IF(C3091=DATE(2026,12,1),64,0)-IF(C3091=DATE(2026,11,28),38,0)-IF(C3091=DATE(2026,12,2),26,0)))</f>
        <v/>
      </c>
      <c r="I3091" s="13">
        <f>IF(AND(C3091&gt;=DATE(2026,11,29),C3091&lt;=DATE(2026,12,1)),B3091*60,0)</f>
        <v/>
      </c>
      <c r="J3091" s="13">
        <f>IF(A3091="",0,B3091*(IF(C3091=DATE(2026,11,28),38,0)+IF(C3091=DATE(2026,12,1),38,0)+IF(C3091=DATE(2026,12,2),26,0)))</f>
        <v/>
      </c>
      <c r="K3091" s="13">
        <f>IF(C3091=Options!$B$9,B3091*12,0)</f>
        <v/>
      </c>
      <c r="L3091" s="13">
        <f>IF(C3091=Options!$B$9,B3091*Options!$Z$9,0)</f>
        <v/>
      </c>
      <c r="M3091" s="13" t="n">
        <v>0</v>
      </c>
      <c r="N3091" s="13">
        <f>SUM(E3091:M3091)</f>
        <v/>
      </c>
    </row>
    <row r="3092">
      <c r="A3092" s="5">
        <f>IF(AND(C3092&gt;=Options!$B$9,C3092&lt;=Options!$B$10),"Seattle","")</f>
        <v/>
      </c>
      <c r="B3092" s="5">
        <f>IF(A3092="","",18)</f>
        <v/>
      </c>
      <c r="C3092" s="17" t="n">
        <v>46463</v>
      </c>
      <c r="D3092" s="5">
        <f>IF(A3092="","",IF(C3092=DATE(2026,11,29),"培训；注册午餐；早餐参数",IF(C3092=DATE(2026,11,30),"培训；注册午餐",IF(C3092=DATE(2026,12,1),"培训；注册午餐；机构晚餐",IF(C3092=Options!$B$9,"抵达；"&amp;IF(C3092=DATE(2026,11,28),"机构晚餐","无统一供餐"),IF(C3092=Options!$B$10,"返程；"&amp;IF(C3092=DATE(2026,12,2),"机构午餐","无统一供餐"),"差旅状态；无统一日程"))))))</f>
        <v/>
      </c>
      <c r="E3092" s="13">
        <f>IF(C3092=Options!$B$9,Options!$C$22,0)</f>
        <v/>
      </c>
      <c r="F3092" s="13">
        <f>IF(AND(A3092&lt;&gt;"",C3092&lt;Options!$B$10),B3092*Options!$X$9,0)</f>
        <v/>
      </c>
      <c r="G3092" s="13">
        <f>F3092*12%</f>
        <v/>
      </c>
      <c r="H3092" s="13">
        <f>IF(A3092="",0,B3092*(92*IF(OR(C3092=Options!$B$9,C3092=Options!$B$10),75%,100%)-IF(C3092=DATE(2026,11,29),26+IF(Options!$B$8="是",23,0),0)-IF(C3092=DATE(2026,11,30),26,0)-IF(C3092=DATE(2026,12,1),64,0)-IF(C3092=DATE(2026,11,28),38,0)-IF(C3092=DATE(2026,12,2),26,0)))</f>
        <v/>
      </c>
      <c r="I3092" s="13">
        <f>IF(AND(C3092&gt;=DATE(2026,11,29),C3092&lt;=DATE(2026,12,1)),B3092*60,0)</f>
        <v/>
      </c>
      <c r="J3092" s="13">
        <f>IF(A3092="",0,B3092*(IF(C3092=DATE(2026,11,28),38,0)+IF(C3092=DATE(2026,12,1),38,0)+IF(C3092=DATE(2026,12,2),26,0)))</f>
        <v/>
      </c>
      <c r="K3092" s="13">
        <f>IF(C3092=Options!$B$9,B3092*12,0)</f>
        <v/>
      </c>
      <c r="L3092" s="13">
        <f>IF(C3092=Options!$B$9,B3092*Options!$Z$9,0)</f>
        <v/>
      </c>
      <c r="M3092" s="13" t="n">
        <v>0</v>
      </c>
      <c r="N3092" s="13">
        <f>SUM(E3092:M3092)</f>
        <v/>
      </c>
    </row>
    <row r="3093">
      <c r="A3093" s="5">
        <f>IF(AND(C3093&gt;=Options!$B$9,C3093&lt;=Options!$B$10),"Seattle","")</f>
        <v/>
      </c>
      <c r="B3093" s="5">
        <f>IF(A3093="","",18)</f>
        <v/>
      </c>
      <c r="C3093" s="17" t="n">
        <v>46464</v>
      </c>
      <c r="D3093" s="5">
        <f>IF(A3093="","",IF(C3093=DATE(2026,11,29),"培训；注册午餐；早餐参数",IF(C3093=DATE(2026,11,30),"培训；注册午餐",IF(C3093=DATE(2026,12,1),"培训；注册午餐；机构晚餐",IF(C3093=Options!$B$9,"抵达；"&amp;IF(C3093=DATE(2026,11,28),"机构晚餐","无统一供餐"),IF(C3093=Options!$B$10,"返程；"&amp;IF(C3093=DATE(2026,12,2),"机构午餐","无统一供餐"),"差旅状态；无统一日程"))))))</f>
        <v/>
      </c>
      <c r="E3093" s="13">
        <f>IF(C3093=Options!$B$9,Options!$C$22,0)</f>
        <v/>
      </c>
      <c r="F3093" s="13">
        <f>IF(AND(A3093&lt;&gt;"",C3093&lt;Options!$B$10),B3093*Options!$X$9,0)</f>
        <v/>
      </c>
      <c r="G3093" s="13">
        <f>F3093*12%</f>
        <v/>
      </c>
      <c r="H3093" s="13">
        <f>IF(A3093="",0,B3093*(92*IF(OR(C3093=Options!$B$9,C3093=Options!$B$10),75%,100%)-IF(C3093=DATE(2026,11,29),26+IF(Options!$B$8="是",23,0),0)-IF(C3093=DATE(2026,11,30),26,0)-IF(C3093=DATE(2026,12,1),64,0)-IF(C3093=DATE(2026,11,28),38,0)-IF(C3093=DATE(2026,12,2),26,0)))</f>
        <v/>
      </c>
      <c r="I3093" s="13">
        <f>IF(AND(C3093&gt;=DATE(2026,11,29),C3093&lt;=DATE(2026,12,1)),B3093*60,0)</f>
        <v/>
      </c>
      <c r="J3093" s="13">
        <f>IF(A3093="",0,B3093*(IF(C3093=DATE(2026,11,28),38,0)+IF(C3093=DATE(2026,12,1),38,0)+IF(C3093=DATE(2026,12,2),26,0)))</f>
        <v/>
      </c>
      <c r="K3093" s="13">
        <f>IF(C3093=Options!$B$9,B3093*12,0)</f>
        <v/>
      </c>
      <c r="L3093" s="13">
        <f>IF(C3093=Options!$B$9,B3093*Options!$Z$9,0)</f>
        <v/>
      </c>
      <c r="M3093" s="13" t="n">
        <v>0</v>
      </c>
      <c r="N3093" s="13">
        <f>SUM(E3093:M3093)</f>
        <v/>
      </c>
    </row>
    <row r="3094">
      <c r="A3094" s="5">
        <f>IF(AND(C3094&gt;=Options!$B$9,C3094&lt;=Options!$B$10),"Seattle","")</f>
        <v/>
      </c>
      <c r="B3094" s="5">
        <f>IF(A3094="","",18)</f>
        <v/>
      </c>
      <c r="C3094" s="17" t="n">
        <v>46465</v>
      </c>
      <c r="D3094" s="5">
        <f>IF(A3094="","",IF(C3094=DATE(2026,11,29),"培训；注册午餐；早餐参数",IF(C3094=DATE(2026,11,30),"培训；注册午餐",IF(C3094=DATE(2026,12,1),"培训；注册午餐；机构晚餐",IF(C3094=Options!$B$9,"抵达；"&amp;IF(C3094=DATE(2026,11,28),"机构晚餐","无统一供餐"),IF(C3094=Options!$B$10,"返程；"&amp;IF(C3094=DATE(2026,12,2),"机构午餐","无统一供餐"),"差旅状态；无统一日程"))))))</f>
        <v/>
      </c>
      <c r="E3094" s="13">
        <f>IF(C3094=Options!$B$9,Options!$C$22,0)</f>
        <v/>
      </c>
      <c r="F3094" s="13">
        <f>IF(AND(A3094&lt;&gt;"",C3094&lt;Options!$B$10),B3094*Options!$X$9,0)</f>
        <v/>
      </c>
      <c r="G3094" s="13">
        <f>F3094*12%</f>
        <v/>
      </c>
      <c r="H3094" s="13">
        <f>IF(A3094="",0,B3094*(92*IF(OR(C3094=Options!$B$9,C3094=Options!$B$10),75%,100%)-IF(C3094=DATE(2026,11,29),26+IF(Options!$B$8="是",23,0),0)-IF(C3094=DATE(2026,11,30),26,0)-IF(C3094=DATE(2026,12,1),64,0)-IF(C3094=DATE(2026,11,28),38,0)-IF(C3094=DATE(2026,12,2),26,0)))</f>
        <v/>
      </c>
      <c r="I3094" s="13">
        <f>IF(AND(C3094&gt;=DATE(2026,11,29),C3094&lt;=DATE(2026,12,1)),B3094*60,0)</f>
        <v/>
      </c>
      <c r="J3094" s="13">
        <f>IF(A3094="",0,B3094*(IF(C3094=DATE(2026,11,28),38,0)+IF(C3094=DATE(2026,12,1),38,0)+IF(C3094=DATE(2026,12,2),26,0)))</f>
        <v/>
      </c>
      <c r="K3094" s="13">
        <f>IF(C3094=Options!$B$9,B3094*12,0)</f>
        <v/>
      </c>
      <c r="L3094" s="13">
        <f>IF(C3094=Options!$B$9,B3094*Options!$Z$9,0)</f>
        <v/>
      </c>
      <c r="M3094" s="13" t="n">
        <v>0</v>
      </c>
      <c r="N3094" s="13">
        <f>SUM(E3094:M3094)</f>
        <v/>
      </c>
    </row>
    <row r="3095">
      <c r="A3095" s="5">
        <f>IF(AND(C3095&gt;=Options!$B$9,C3095&lt;=Options!$B$10),"Seattle","")</f>
        <v/>
      </c>
      <c r="B3095" s="5">
        <f>IF(A3095="","",18)</f>
        <v/>
      </c>
      <c r="C3095" s="17" t="n">
        <v>46466</v>
      </c>
      <c r="D3095" s="5">
        <f>IF(A3095="","",IF(C3095=DATE(2026,11,29),"培训；注册午餐；早餐参数",IF(C3095=DATE(2026,11,30),"培训；注册午餐",IF(C3095=DATE(2026,12,1),"培训；注册午餐；机构晚餐",IF(C3095=Options!$B$9,"抵达；"&amp;IF(C3095=DATE(2026,11,28),"机构晚餐","无统一供餐"),IF(C3095=Options!$B$10,"返程；"&amp;IF(C3095=DATE(2026,12,2),"机构午餐","无统一供餐"),"差旅状态；无统一日程"))))))</f>
        <v/>
      </c>
      <c r="E3095" s="13">
        <f>IF(C3095=Options!$B$9,Options!$C$22,0)</f>
        <v/>
      </c>
      <c r="F3095" s="13">
        <f>IF(AND(A3095&lt;&gt;"",C3095&lt;Options!$B$10),B3095*Options!$X$9,0)</f>
        <v/>
      </c>
      <c r="G3095" s="13">
        <f>F3095*12%</f>
        <v/>
      </c>
      <c r="H3095" s="13">
        <f>IF(A3095="",0,B3095*(92*IF(OR(C3095=Options!$B$9,C3095=Options!$B$10),75%,100%)-IF(C3095=DATE(2026,11,29),26+IF(Options!$B$8="是",23,0),0)-IF(C3095=DATE(2026,11,30),26,0)-IF(C3095=DATE(2026,12,1),64,0)-IF(C3095=DATE(2026,11,28),38,0)-IF(C3095=DATE(2026,12,2),26,0)))</f>
        <v/>
      </c>
      <c r="I3095" s="13">
        <f>IF(AND(C3095&gt;=DATE(2026,11,29),C3095&lt;=DATE(2026,12,1)),B3095*60,0)</f>
        <v/>
      </c>
      <c r="J3095" s="13">
        <f>IF(A3095="",0,B3095*(IF(C3095=DATE(2026,11,28),38,0)+IF(C3095=DATE(2026,12,1),38,0)+IF(C3095=DATE(2026,12,2),26,0)))</f>
        <v/>
      </c>
      <c r="K3095" s="13">
        <f>IF(C3095=Options!$B$9,B3095*12,0)</f>
        <v/>
      </c>
      <c r="L3095" s="13">
        <f>IF(C3095=Options!$B$9,B3095*Options!$Z$9,0)</f>
        <v/>
      </c>
      <c r="M3095" s="13" t="n">
        <v>0</v>
      </c>
      <c r="N3095" s="13">
        <f>SUM(E3095:M3095)</f>
        <v/>
      </c>
    </row>
    <row r="3096">
      <c r="A3096" s="5">
        <f>IF(AND(C3096&gt;=Options!$B$9,C3096&lt;=Options!$B$10),"Seattle","")</f>
        <v/>
      </c>
      <c r="B3096" s="5">
        <f>IF(A3096="","",18)</f>
        <v/>
      </c>
      <c r="C3096" s="17" t="n">
        <v>46467</v>
      </c>
      <c r="D3096" s="5">
        <f>IF(A3096="","",IF(C3096=DATE(2026,11,29),"培训；注册午餐；早餐参数",IF(C3096=DATE(2026,11,30),"培训；注册午餐",IF(C3096=DATE(2026,12,1),"培训；注册午餐；机构晚餐",IF(C3096=Options!$B$9,"抵达；"&amp;IF(C3096=DATE(2026,11,28),"机构晚餐","无统一供餐"),IF(C3096=Options!$B$10,"返程；"&amp;IF(C3096=DATE(2026,12,2),"机构午餐","无统一供餐"),"差旅状态；无统一日程"))))))</f>
        <v/>
      </c>
      <c r="E3096" s="13">
        <f>IF(C3096=Options!$B$9,Options!$C$22,0)</f>
        <v/>
      </c>
      <c r="F3096" s="13">
        <f>IF(AND(A3096&lt;&gt;"",C3096&lt;Options!$B$10),B3096*Options!$X$9,0)</f>
        <v/>
      </c>
      <c r="G3096" s="13">
        <f>F3096*12%</f>
        <v/>
      </c>
      <c r="H3096" s="13">
        <f>IF(A3096="",0,B3096*(92*IF(OR(C3096=Options!$B$9,C3096=Options!$B$10),75%,100%)-IF(C3096=DATE(2026,11,29),26+IF(Options!$B$8="是",23,0),0)-IF(C3096=DATE(2026,11,30),26,0)-IF(C3096=DATE(2026,12,1),64,0)-IF(C3096=DATE(2026,11,28),38,0)-IF(C3096=DATE(2026,12,2),26,0)))</f>
        <v/>
      </c>
      <c r="I3096" s="13">
        <f>IF(AND(C3096&gt;=DATE(2026,11,29),C3096&lt;=DATE(2026,12,1)),B3096*60,0)</f>
        <v/>
      </c>
      <c r="J3096" s="13">
        <f>IF(A3096="",0,B3096*(IF(C3096=DATE(2026,11,28),38,0)+IF(C3096=DATE(2026,12,1),38,0)+IF(C3096=DATE(2026,12,2),26,0)))</f>
        <v/>
      </c>
      <c r="K3096" s="13">
        <f>IF(C3096=Options!$B$9,B3096*12,0)</f>
        <v/>
      </c>
      <c r="L3096" s="13">
        <f>IF(C3096=Options!$B$9,B3096*Options!$Z$9,0)</f>
        <v/>
      </c>
      <c r="M3096" s="13" t="n">
        <v>0</v>
      </c>
      <c r="N3096" s="13">
        <f>SUM(E3096:M3096)</f>
        <v/>
      </c>
    </row>
    <row r="3097">
      <c r="A3097" s="5">
        <f>IF(AND(C3097&gt;=Options!$B$9,C3097&lt;=Options!$B$10),"Seattle","")</f>
        <v/>
      </c>
      <c r="B3097" s="5">
        <f>IF(A3097="","",18)</f>
        <v/>
      </c>
      <c r="C3097" s="17" t="n">
        <v>46468</v>
      </c>
      <c r="D3097" s="5">
        <f>IF(A3097="","",IF(C3097=DATE(2026,11,29),"培训；注册午餐；早餐参数",IF(C3097=DATE(2026,11,30),"培训；注册午餐",IF(C3097=DATE(2026,12,1),"培训；注册午餐；机构晚餐",IF(C3097=Options!$B$9,"抵达；"&amp;IF(C3097=DATE(2026,11,28),"机构晚餐","无统一供餐"),IF(C3097=Options!$B$10,"返程；"&amp;IF(C3097=DATE(2026,12,2),"机构午餐","无统一供餐"),"差旅状态；无统一日程"))))))</f>
        <v/>
      </c>
      <c r="E3097" s="13">
        <f>IF(C3097=Options!$B$9,Options!$C$22,0)</f>
        <v/>
      </c>
      <c r="F3097" s="13">
        <f>IF(AND(A3097&lt;&gt;"",C3097&lt;Options!$B$10),B3097*Options!$X$9,0)</f>
        <v/>
      </c>
      <c r="G3097" s="13">
        <f>F3097*12%</f>
        <v/>
      </c>
      <c r="H3097" s="13">
        <f>IF(A3097="",0,B3097*(92*IF(OR(C3097=Options!$B$9,C3097=Options!$B$10),75%,100%)-IF(C3097=DATE(2026,11,29),26+IF(Options!$B$8="是",23,0),0)-IF(C3097=DATE(2026,11,30),26,0)-IF(C3097=DATE(2026,12,1),64,0)-IF(C3097=DATE(2026,11,28),38,0)-IF(C3097=DATE(2026,12,2),26,0)))</f>
        <v/>
      </c>
      <c r="I3097" s="13">
        <f>IF(AND(C3097&gt;=DATE(2026,11,29),C3097&lt;=DATE(2026,12,1)),B3097*60,0)</f>
        <v/>
      </c>
      <c r="J3097" s="13">
        <f>IF(A3097="",0,B3097*(IF(C3097=DATE(2026,11,28),38,0)+IF(C3097=DATE(2026,12,1),38,0)+IF(C3097=DATE(2026,12,2),26,0)))</f>
        <v/>
      </c>
      <c r="K3097" s="13">
        <f>IF(C3097=Options!$B$9,B3097*12,0)</f>
        <v/>
      </c>
      <c r="L3097" s="13">
        <f>IF(C3097=Options!$B$9,B3097*Options!$Z$9,0)</f>
        <v/>
      </c>
      <c r="M3097" s="13" t="n">
        <v>0</v>
      </c>
      <c r="N3097" s="13">
        <f>SUM(E3097:M3097)</f>
        <v/>
      </c>
    </row>
    <row r="3098">
      <c r="A3098" s="5">
        <f>IF(AND(C3098&gt;=Options!$B$9,C3098&lt;=Options!$B$10),"Seattle","")</f>
        <v/>
      </c>
      <c r="B3098" s="5">
        <f>IF(A3098="","",18)</f>
        <v/>
      </c>
      <c r="C3098" s="17" t="n">
        <v>46469</v>
      </c>
      <c r="D3098" s="5">
        <f>IF(A3098="","",IF(C3098=DATE(2026,11,29),"培训；注册午餐；早餐参数",IF(C3098=DATE(2026,11,30),"培训；注册午餐",IF(C3098=DATE(2026,12,1),"培训；注册午餐；机构晚餐",IF(C3098=Options!$B$9,"抵达；"&amp;IF(C3098=DATE(2026,11,28),"机构晚餐","无统一供餐"),IF(C3098=Options!$B$10,"返程；"&amp;IF(C3098=DATE(2026,12,2),"机构午餐","无统一供餐"),"差旅状态；无统一日程"))))))</f>
        <v/>
      </c>
      <c r="E3098" s="13">
        <f>IF(C3098=Options!$B$9,Options!$C$22,0)</f>
        <v/>
      </c>
      <c r="F3098" s="13">
        <f>IF(AND(A3098&lt;&gt;"",C3098&lt;Options!$B$10),B3098*Options!$X$9,0)</f>
        <v/>
      </c>
      <c r="G3098" s="13">
        <f>F3098*12%</f>
        <v/>
      </c>
      <c r="H3098" s="13">
        <f>IF(A3098="",0,B3098*(92*IF(OR(C3098=Options!$B$9,C3098=Options!$B$10),75%,100%)-IF(C3098=DATE(2026,11,29),26+IF(Options!$B$8="是",23,0),0)-IF(C3098=DATE(2026,11,30),26,0)-IF(C3098=DATE(2026,12,1),64,0)-IF(C3098=DATE(2026,11,28),38,0)-IF(C3098=DATE(2026,12,2),26,0)))</f>
        <v/>
      </c>
      <c r="I3098" s="13">
        <f>IF(AND(C3098&gt;=DATE(2026,11,29),C3098&lt;=DATE(2026,12,1)),B3098*60,0)</f>
        <v/>
      </c>
      <c r="J3098" s="13">
        <f>IF(A3098="",0,B3098*(IF(C3098=DATE(2026,11,28),38,0)+IF(C3098=DATE(2026,12,1),38,0)+IF(C3098=DATE(2026,12,2),26,0)))</f>
        <v/>
      </c>
      <c r="K3098" s="13">
        <f>IF(C3098=Options!$B$9,B3098*12,0)</f>
        <v/>
      </c>
      <c r="L3098" s="13">
        <f>IF(C3098=Options!$B$9,B3098*Options!$Z$9,0)</f>
        <v/>
      </c>
      <c r="M3098" s="13" t="n">
        <v>0</v>
      </c>
      <c r="N3098" s="13">
        <f>SUM(E3098:M3098)</f>
        <v/>
      </c>
    </row>
    <row r="3099">
      <c r="A3099" s="5">
        <f>IF(AND(C3099&gt;=Options!$B$9,C3099&lt;=Options!$B$10),"Seattle","")</f>
        <v/>
      </c>
      <c r="B3099" s="5">
        <f>IF(A3099="","",18)</f>
        <v/>
      </c>
      <c r="C3099" s="17" t="n">
        <v>46470</v>
      </c>
      <c r="D3099" s="5">
        <f>IF(A3099="","",IF(C3099=DATE(2026,11,29),"培训；注册午餐；早餐参数",IF(C3099=DATE(2026,11,30),"培训；注册午餐",IF(C3099=DATE(2026,12,1),"培训；注册午餐；机构晚餐",IF(C3099=Options!$B$9,"抵达；"&amp;IF(C3099=DATE(2026,11,28),"机构晚餐","无统一供餐"),IF(C3099=Options!$B$10,"返程；"&amp;IF(C3099=DATE(2026,12,2),"机构午餐","无统一供餐"),"差旅状态；无统一日程"))))))</f>
        <v/>
      </c>
      <c r="E3099" s="13">
        <f>IF(C3099=Options!$B$9,Options!$C$22,0)</f>
        <v/>
      </c>
      <c r="F3099" s="13">
        <f>IF(AND(A3099&lt;&gt;"",C3099&lt;Options!$B$10),B3099*Options!$X$9,0)</f>
        <v/>
      </c>
      <c r="G3099" s="13">
        <f>F3099*12%</f>
        <v/>
      </c>
      <c r="H3099" s="13">
        <f>IF(A3099="",0,B3099*(92*IF(OR(C3099=Options!$B$9,C3099=Options!$B$10),75%,100%)-IF(C3099=DATE(2026,11,29),26+IF(Options!$B$8="是",23,0),0)-IF(C3099=DATE(2026,11,30),26,0)-IF(C3099=DATE(2026,12,1),64,0)-IF(C3099=DATE(2026,11,28),38,0)-IF(C3099=DATE(2026,12,2),26,0)))</f>
        <v/>
      </c>
      <c r="I3099" s="13">
        <f>IF(AND(C3099&gt;=DATE(2026,11,29),C3099&lt;=DATE(2026,12,1)),B3099*60,0)</f>
        <v/>
      </c>
      <c r="J3099" s="13">
        <f>IF(A3099="",0,B3099*(IF(C3099=DATE(2026,11,28),38,0)+IF(C3099=DATE(2026,12,1),38,0)+IF(C3099=DATE(2026,12,2),26,0)))</f>
        <v/>
      </c>
      <c r="K3099" s="13">
        <f>IF(C3099=Options!$B$9,B3099*12,0)</f>
        <v/>
      </c>
      <c r="L3099" s="13">
        <f>IF(C3099=Options!$B$9,B3099*Options!$Z$9,0)</f>
        <v/>
      </c>
      <c r="M3099" s="13" t="n">
        <v>0</v>
      </c>
      <c r="N3099" s="13">
        <f>SUM(E3099:M3099)</f>
        <v/>
      </c>
    </row>
    <row r="3100">
      <c r="A3100" s="5">
        <f>IF(AND(C3100&gt;=Options!$B$9,C3100&lt;=Options!$B$10),"Seattle","")</f>
        <v/>
      </c>
      <c r="B3100" s="5">
        <f>IF(A3100="","",18)</f>
        <v/>
      </c>
      <c r="C3100" s="17" t="n">
        <v>46471</v>
      </c>
      <c r="D3100" s="5">
        <f>IF(A3100="","",IF(C3100=DATE(2026,11,29),"培训；注册午餐；早餐参数",IF(C3100=DATE(2026,11,30),"培训；注册午餐",IF(C3100=DATE(2026,12,1),"培训；注册午餐；机构晚餐",IF(C3100=Options!$B$9,"抵达；"&amp;IF(C3100=DATE(2026,11,28),"机构晚餐","无统一供餐"),IF(C3100=Options!$B$10,"返程；"&amp;IF(C3100=DATE(2026,12,2),"机构午餐","无统一供餐"),"差旅状态；无统一日程"))))))</f>
        <v/>
      </c>
      <c r="E3100" s="13">
        <f>IF(C3100=Options!$B$9,Options!$C$22,0)</f>
        <v/>
      </c>
      <c r="F3100" s="13">
        <f>IF(AND(A3100&lt;&gt;"",C3100&lt;Options!$B$10),B3100*Options!$X$9,0)</f>
        <v/>
      </c>
      <c r="G3100" s="13">
        <f>F3100*12%</f>
        <v/>
      </c>
      <c r="H3100" s="13">
        <f>IF(A3100="",0,B3100*(92*IF(OR(C3100=Options!$B$9,C3100=Options!$B$10),75%,100%)-IF(C3100=DATE(2026,11,29),26+IF(Options!$B$8="是",23,0),0)-IF(C3100=DATE(2026,11,30),26,0)-IF(C3100=DATE(2026,12,1),64,0)-IF(C3100=DATE(2026,11,28),38,0)-IF(C3100=DATE(2026,12,2),26,0)))</f>
        <v/>
      </c>
      <c r="I3100" s="13">
        <f>IF(AND(C3100&gt;=DATE(2026,11,29),C3100&lt;=DATE(2026,12,1)),B3100*60,0)</f>
        <v/>
      </c>
      <c r="J3100" s="13">
        <f>IF(A3100="",0,B3100*(IF(C3100=DATE(2026,11,28),38,0)+IF(C3100=DATE(2026,12,1),38,0)+IF(C3100=DATE(2026,12,2),26,0)))</f>
        <v/>
      </c>
      <c r="K3100" s="13">
        <f>IF(C3100=Options!$B$9,B3100*12,0)</f>
        <v/>
      </c>
      <c r="L3100" s="13">
        <f>IF(C3100=Options!$B$9,B3100*Options!$Z$9,0)</f>
        <v/>
      </c>
      <c r="M3100" s="13" t="n">
        <v>0</v>
      </c>
      <c r="N3100" s="13">
        <f>SUM(E3100:M3100)</f>
        <v/>
      </c>
    </row>
    <row r="3101">
      <c r="A3101" s="5">
        <f>IF(AND(C3101&gt;=Options!$B$9,C3101&lt;=Options!$B$10),"Seattle","")</f>
        <v/>
      </c>
      <c r="B3101" s="5">
        <f>IF(A3101="","",18)</f>
        <v/>
      </c>
      <c r="C3101" s="17" t="n">
        <v>46472</v>
      </c>
      <c r="D3101" s="5">
        <f>IF(A3101="","",IF(C3101=DATE(2026,11,29),"培训；注册午餐；早餐参数",IF(C3101=DATE(2026,11,30),"培训；注册午餐",IF(C3101=DATE(2026,12,1),"培训；注册午餐；机构晚餐",IF(C3101=Options!$B$9,"抵达；"&amp;IF(C3101=DATE(2026,11,28),"机构晚餐","无统一供餐"),IF(C3101=Options!$B$10,"返程；"&amp;IF(C3101=DATE(2026,12,2),"机构午餐","无统一供餐"),"差旅状态；无统一日程"))))))</f>
        <v/>
      </c>
      <c r="E3101" s="13">
        <f>IF(C3101=Options!$B$9,Options!$C$22,0)</f>
        <v/>
      </c>
      <c r="F3101" s="13">
        <f>IF(AND(A3101&lt;&gt;"",C3101&lt;Options!$B$10),B3101*Options!$X$9,0)</f>
        <v/>
      </c>
      <c r="G3101" s="13">
        <f>F3101*12%</f>
        <v/>
      </c>
      <c r="H3101" s="13">
        <f>IF(A3101="",0,B3101*(92*IF(OR(C3101=Options!$B$9,C3101=Options!$B$10),75%,100%)-IF(C3101=DATE(2026,11,29),26+IF(Options!$B$8="是",23,0),0)-IF(C3101=DATE(2026,11,30),26,0)-IF(C3101=DATE(2026,12,1),64,0)-IF(C3101=DATE(2026,11,28),38,0)-IF(C3101=DATE(2026,12,2),26,0)))</f>
        <v/>
      </c>
      <c r="I3101" s="13">
        <f>IF(AND(C3101&gt;=DATE(2026,11,29),C3101&lt;=DATE(2026,12,1)),B3101*60,0)</f>
        <v/>
      </c>
      <c r="J3101" s="13">
        <f>IF(A3101="",0,B3101*(IF(C3101=DATE(2026,11,28),38,0)+IF(C3101=DATE(2026,12,1),38,0)+IF(C3101=DATE(2026,12,2),26,0)))</f>
        <v/>
      </c>
      <c r="K3101" s="13">
        <f>IF(C3101=Options!$B$9,B3101*12,0)</f>
        <v/>
      </c>
      <c r="L3101" s="13">
        <f>IF(C3101=Options!$B$9,B3101*Options!$Z$9,0)</f>
        <v/>
      </c>
      <c r="M3101" s="13" t="n">
        <v>0</v>
      </c>
      <c r="N3101" s="13">
        <f>SUM(E3101:M3101)</f>
        <v/>
      </c>
    </row>
    <row r="3102">
      <c r="A3102" s="5">
        <f>IF(AND(C3102&gt;=Options!$B$9,C3102&lt;=Options!$B$10),"Seattle","")</f>
        <v/>
      </c>
      <c r="B3102" s="5">
        <f>IF(A3102="","",18)</f>
        <v/>
      </c>
      <c r="C3102" s="17" t="n">
        <v>46473</v>
      </c>
      <c r="D3102" s="5">
        <f>IF(A3102="","",IF(C3102=DATE(2026,11,29),"培训；注册午餐；早餐参数",IF(C3102=DATE(2026,11,30),"培训；注册午餐",IF(C3102=DATE(2026,12,1),"培训；注册午餐；机构晚餐",IF(C3102=Options!$B$9,"抵达；"&amp;IF(C3102=DATE(2026,11,28),"机构晚餐","无统一供餐"),IF(C3102=Options!$B$10,"返程；"&amp;IF(C3102=DATE(2026,12,2),"机构午餐","无统一供餐"),"差旅状态；无统一日程"))))))</f>
        <v/>
      </c>
      <c r="E3102" s="13">
        <f>IF(C3102=Options!$B$9,Options!$C$22,0)</f>
        <v/>
      </c>
      <c r="F3102" s="13">
        <f>IF(AND(A3102&lt;&gt;"",C3102&lt;Options!$B$10),B3102*Options!$X$9,0)</f>
        <v/>
      </c>
      <c r="G3102" s="13">
        <f>F3102*12%</f>
        <v/>
      </c>
      <c r="H3102" s="13">
        <f>IF(A3102="",0,B3102*(92*IF(OR(C3102=Options!$B$9,C3102=Options!$B$10),75%,100%)-IF(C3102=DATE(2026,11,29),26+IF(Options!$B$8="是",23,0),0)-IF(C3102=DATE(2026,11,30),26,0)-IF(C3102=DATE(2026,12,1),64,0)-IF(C3102=DATE(2026,11,28),38,0)-IF(C3102=DATE(2026,12,2),26,0)))</f>
        <v/>
      </c>
      <c r="I3102" s="13">
        <f>IF(AND(C3102&gt;=DATE(2026,11,29),C3102&lt;=DATE(2026,12,1)),B3102*60,0)</f>
        <v/>
      </c>
      <c r="J3102" s="13">
        <f>IF(A3102="",0,B3102*(IF(C3102=DATE(2026,11,28),38,0)+IF(C3102=DATE(2026,12,1),38,0)+IF(C3102=DATE(2026,12,2),26,0)))</f>
        <v/>
      </c>
      <c r="K3102" s="13">
        <f>IF(C3102=Options!$B$9,B3102*12,0)</f>
        <v/>
      </c>
      <c r="L3102" s="13">
        <f>IF(C3102=Options!$B$9,B3102*Options!$Z$9,0)</f>
        <v/>
      </c>
      <c r="M3102" s="13" t="n">
        <v>0</v>
      </c>
      <c r="N3102" s="13">
        <f>SUM(E3102:M3102)</f>
        <v/>
      </c>
    </row>
    <row r="3103">
      <c r="A3103" s="5">
        <f>IF(AND(C3103&gt;=Options!$B$9,C3103&lt;=Options!$B$10),"Seattle","")</f>
        <v/>
      </c>
      <c r="B3103" s="5">
        <f>IF(A3103="","",18)</f>
        <v/>
      </c>
      <c r="C3103" s="17" t="n">
        <v>46474</v>
      </c>
      <c r="D3103" s="5">
        <f>IF(A3103="","",IF(C3103=DATE(2026,11,29),"培训；注册午餐；早餐参数",IF(C3103=DATE(2026,11,30),"培训；注册午餐",IF(C3103=DATE(2026,12,1),"培训；注册午餐；机构晚餐",IF(C3103=Options!$B$9,"抵达；"&amp;IF(C3103=DATE(2026,11,28),"机构晚餐","无统一供餐"),IF(C3103=Options!$B$10,"返程；"&amp;IF(C3103=DATE(2026,12,2),"机构午餐","无统一供餐"),"差旅状态；无统一日程"))))))</f>
        <v/>
      </c>
      <c r="E3103" s="13">
        <f>IF(C3103=Options!$B$9,Options!$C$22,0)</f>
        <v/>
      </c>
      <c r="F3103" s="13">
        <f>IF(AND(A3103&lt;&gt;"",C3103&lt;Options!$B$10),B3103*Options!$X$9,0)</f>
        <v/>
      </c>
      <c r="G3103" s="13">
        <f>F3103*12%</f>
        <v/>
      </c>
      <c r="H3103" s="13">
        <f>IF(A3103="",0,B3103*(92*IF(OR(C3103=Options!$B$9,C3103=Options!$B$10),75%,100%)-IF(C3103=DATE(2026,11,29),26+IF(Options!$B$8="是",23,0),0)-IF(C3103=DATE(2026,11,30),26,0)-IF(C3103=DATE(2026,12,1),64,0)-IF(C3103=DATE(2026,11,28),38,0)-IF(C3103=DATE(2026,12,2),26,0)))</f>
        <v/>
      </c>
      <c r="I3103" s="13">
        <f>IF(AND(C3103&gt;=DATE(2026,11,29),C3103&lt;=DATE(2026,12,1)),B3103*60,0)</f>
        <v/>
      </c>
      <c r="J3103" s="13">
        <f>IF(A3103="",0,B3103*(IF(C3103=DATE(2026,11,28),38,0)+IF(C3103=DATE(2026,12,1),38,0)+IF(C3103=DATE(2026,12,2),26,0)))</f>
        <v/>
      </c>
      <c r="K3103" s="13">
        <f>IF(C3103=Options!$B$9,B3103*12,0)</f>
        <v/>
      </c>
      <c r="L3103" s="13">
        <f>IF(C3103=Options!$B$9,B3103*Options!$Z$9,0)</f>
        <v/>
      </c>
      <c r="M3103" s="13" t="n">
        <v>0</v>
      </c>
      <c r="N3103" s="13">
        <f>SUM(E3103:M3103)</f>
        <v/>
      </c>
    </row>
    <row r="3104">
      <c r="A3104" s="5">
        <f>IF(AND(C3104&gt;=Options!$B$9,C3104&lt;=Options!$B$10),"Seattle","")</f>
        <v/>
      </c>
      <c r="B3104" s="5">
        <f>IF(A3104="","",18)</f>
        <v/>
      </c>
      <c r="C3104" s="17" t="n">
        <v>46475</v>
      </c>
      <c r="D3104" s="5">
        <f>IF(A3104="","",IF(C3104=DATE(2026,11,29),"培训；注册午餐；早餐参数",IF(C3104=DATE(2026,11,30),"培训；注册午餐",IF(C3104=DATE(2026,12,1),"培训；注册午餐；机构晚餐",IF(C3104=Options!$B$9,"抵达；"&amp;IF(C3104=DATE(2026,11,28),"机构晚餐","无统一供餐"),IF(C3104=Options!$B$10,"返程；"&amp;IF(C3104=DATE(2026,12,2),"机构午餐","无统一供餐"),"差旅状态；无统一日程"))))))</f>
        <v/>
      </c>
      <c r="E3104" s="13">
        <f>IF(C3104=Options!$B$9,Options!$C$22,0)</f>
        <v/>
      </c>
      <c r="F3104" s="13">
        <f>IF(AND(A3104&lt;&gt;"",C3104&lt;Options!$B$10),B3104*Options!$X$9,0)</f>
        <v/>
      </c>
      <c r="G3104" s="13">
        <f>F3104*12%</f>
        <v/>
      </c>
      <c r="H3104" s="13">
        <f>IF(A3104="",0,B3104*(92*IF(OR(C3104=Options!$B$9,C3104=Options!$B$10),75%,100%)-IF(C3104=DATE(2026,11,29),26+IF(Options!$B$8="是",23,0),0)-IF(C3104=DATE(2026,11,30),26,0)-IF(C3104=DATE(2026,12,1),64,0)-IF(C3104=DATE(2026,11,28),38,0)-IF(C3104=DATE(2026,12,2),26,0)))</f>
        <v/>
      </c>
      <c r="I3104" s="13">
        <f>IF(AND(C3104&gt;=DATE(2026,11,29),C3104&lt;=DATE(2026,12,1)),B3104*60,0)</f>
        <v/>
      </c>
      <c r="J3104" s="13">
        <f>IF(A3104="",0,B3104*(IF(C3104=DATE(2026,11,28),38,0)+IF(C3104=DATE(2026,12,1),38,0)+IF(C3104=DATE(2026,12,2),26,0)))</f>
        <v/>
      </c>
      <c r="K3104" s="13">
        <f>IF(C3104=Options!$B$9,B3104*12,0)</f>
        <v/>
      </c>
      <c r="L3104" s="13">
        <f>IF(C3104=Options!$B$9,B3104*Options!$Z$9,0)</f>
        <v/>
      </c>
      <c r="M3104" s="13" t="n">
        <v>0</v>
      </c>
      <c r="N3104" s="13">
        <f>SUM(E3104:M3104)</f>
        <v/>
      </c>
    </row>
    <row r="3105">
      <c r="A3105" s="5">
        <f>IF(AND(C3105&gt;=Options!$B$9,C3105&lt;=Options!$B$10),"Seattle","")</f>
        <v/>
      </c>
      <c r="B3105" s="5">
        <f>IF(A3105="","",18)</f>
        <v/>
      </c>
      <c r="C3105" s="17" t="n">
        <v>46476</v>
      </c>
      <c r="D3105" s="5">
        <f>IF(A3105="","",IF(C3105=DATE(2026,11,29),"培训；注册午餐；早餐参数",IF(C3105=DATE(2026,11,30),"培训；注册午餐",IF(C3105=DATE(2026,12,1),"培训；注册午餐；机构晚餐",IF(C3105=Options!$B$9,"抵达；"&amp;IF(C3105=DATE(2026,11,28),"机构晚餐","无统一供餐"),IF(C3105=Options!$B$10,"返程；"&amp;IF(C3105=DATE(2026,12,2),"机构午餐","无统一供餐"),"差旅状态；无统一日程"))))))</f>
        <v/>
      </c>
      <c r="E3105" s="13">
        <f>IF(C3105=Options!$B$9,Options!$C$22,0)</f>
        <v/>
      </c>
      <c r="F3105" s="13">
        <f>IF(AND(A3105&lt;&gt;"",C3105&lt;Options!$B$10),B3105*Options!$X$9,0)</f>
        <v/>
      </c>
      <c r="G3105" s="13">
        <f>F3105*12%</f>
        <v/>
      </c>
      <c r="H3105" s="13">
        <f>IF(A3105="",0,B3105*(92*IF(OR(C3105=Options!$B$9,C3105=Options!$B$10),75%,100%)-IF(C3105=DATE(2026,11,29),26+IF(Options!$B$8="是",23,0),0)-IF(C3105=DATE(2026,11,30),26,0)-IF(C3105=DATE(2026,12,1),64,0)-IF(C3105=DATE(2026,11,28),38,0)-IF(C3105=DATE(2026,12,2),26,0)))</f>
        <v/>
      </c>
      <c r="I3105" s="13">
        <f>IF(AND(C3105&gt;=DATE(2026,11,29),C3105&lt;=DATE(2026,12,1)),B3105*60,0)</f>
        <v/>
      </c>
      <c r="J3105" s="13">
        <f>IF(A3105="",0,B3105*(IF(C3105=DATE(2026,11,28),38,0)+IF(C3105=DATE(2026,12,1),38,0)+IF(C3105=DATE(2026,12,2),26,0)))</f>
        <v/>
      </c>
      <c r="K3105" s="13">
        <f>IF(C3105=Options!$B$9,B3105*12,0)</f>
        <v/>
      </c>
      <c r="L3105" s="13">
        <f>IF(C3105=Options!$B$9,B3105*Options!$Z$9,0)</f>
        <v/>
      </c>
      <c r="M3105" s="13" t="n">
        <v>0</v>
      </c>
      <c r="N3105" s="13">
        <f>SUM(E3105:M3105)</f>
        <v/>
      </c>
    </row>
    <row r="3106">
      <c r="A3106" s="5">
        <f>IF(AND(C3106&gt;=Options!$B$9,C3106&lt;=Options!$B$10),"Seattle","")</f>
        <v/>
      </c>
      <c r="B3106" s="5">
        <f>IF(A3106="","",18)</f>
        <v/>
      </c>
      <c r="C3106" s="17" t="n">
        <v>46477</v>
      </c>
      <c r="D3106" s="5">
        <f>IF(A3106="","",IF(C3106=DATE(2026,11,29),"培训；注册午餐；早餐参数",IF(C3106=DATE(2026,11,30),"培训；注册午餐",IF(C3106=DATE(2026,12,1),"培训；注册午餐；机构晚餐",IF(C3106=Options!$B$9,"抵达；"&amp;IF(C3106=DATE(2026,11,28),"机构晚餐","无统一供餐"),IF(C3106=Options!$B$10,"返程；"&amp;IF(C3106=DATE(2026,12,2),"机构午餐","无统一供餐"),"差旅状态；无统一日程"))))))</f>
        <v/>
      </c>
      <c r="E3106" s="13">
        <f>IF(C3106=Options!$B$9,Options!$C$22,0)</f>
        <v/>
      </c>
      <c r="F3106" s="13">
        <f>IF(AND(A3106&lt;&gt;"",C3106&lt;Options!$B$10),B3106*Options!$X$9,0)</f>
        <v/>
      </c>
      <c r="G3106" s="13">
        <f>F3106*12%</f>
        <v/>
      </c>
      <c r="H3106" s="13">
        <f>IF(A3106="",0,B3106*(92*IF(OR(C3106=Options!$B$9,C3106=Options!$B$10),75%,100%)-IF(C3106=DATE(2026,11,29),26+IF(Options!$B$8="是",23,0),0)-IF(C3106=DATE(2026,11,30),26,0)-IF(C3106=DATE(2026,12,1),64,0)-IF(C3106=DATE(2026,11,28),38,0)-IF(C3106=DATE(2026,12,2),26,0)))</f>
        <v/>
      </c>
      <c r="I3106" s="13">
        <f>IF(AND(C3106&gt;=DATE(2026,11,29),C3106&lt;=DATE(2026,12,1)),B3106*60,0)</f>
        <v/>
      </c>
      <c r="J3106" s="13">
        <f>IF(A3106="",0,B3106*(IF(C3106=DATE(2026,11,28),38,0)+IF(C3106=DATE(2026,12,1),38,0)+IF(C3106=DATE(2026,12,2),26,0)))</f>
        <v/>
      </c>
      <c r="K3106" s="13">
        <f>IF(C3106=Options!$B$9,B3106*12,0)</f>
        <v/>
      </c>
      <c r="L3106" s="13">
        <f>IF(C3106=Options!$B$9,B3106*Options!$Z$9,0)</f>
        <v/>
      </c>
      <c r="M3106" s="13" t="n">
        <v>0</v>
      </c>
      <c r="N3106" s="13">
        <f>SUM(E3106:M3106)</f>
        <v/>
      </c>
    </row>
    <row r="3107">
      <c r="A3107" s="5">
        <f>IF(AND(C3107&gt;=Options!$B$9,C3107&lt;=Options!$B$10),"Seattle","")</f>
        <v/>
      </c>
      <c r="B3107" s="5">
        <f>IF(A3107="","",18)</f>
        <v/>
      </c>
      <c r="C3107" s="17" t="n">
        <v>46478</v>
      </c>
      <c r="D3107" s="5">
        <f>IF(A3107="","",IF(C3107=DATE(2026,11,29),"培训；注册午餐；早餐参数",IF(C3107=DATE(2026,11,30),"培训；注册午餐",IF(C3107=DATE(2026,12,1),"培训；注册午餐；机构晚餐",IF(C3107=Options!$B$9,"抵达；"&amp;IF(C3107=DATE(2026,11,28),"机构晚餐","无统一供餐"),IF(C3107=Options!$B$10,"返程；"&amp;IF(C3107=DATE(2026,12,2),"机构午餐","无统一供餐"),"差旅状态；无统一日程"))))))</f>
        <v/>
      </c>
      <c r="E3107" s="13">
        <f>IF(C3107=Options!$B$9,Options!$C$22,0)</f>
        <v/>
      </c>
      <c r="F3107" s="13">
        <f>IF(AND(A3107&lt;&gt;"",C3107&lt;Options!$B$10),B3107*Options!$X$9,0)</f>
        <v/>
      </c>
      <c r="G3107" s="13">
        <f>F3107*12%</f>
        <v/>
      </c>
      <c r="H3107" s="13">
        <f>IF(A3107="",0,B3107*(92*IF(OR(C3107=Options!$B$9,C3107=Options!$B$10),75%,100%)-IF(C3107=DATE(2026,11,29),26+IF(Options!$B$8="是",23,0),0)-IF(C3107=DATE(2026,11,30),26,0)-IF(C3107=DATE(2026,12,1),64,0)-IF(C3107=DATE(2026,11,28),38,0)-IF(C3107=DATE(2026,12,2),26,0)))</f>
        <v/>
      </c>
      <c r="I3107" s="13">
        <f>IF(AND(C3107&gt;=DATE(2026,11,29),C3107&lt;=DATE(2026,12,1)),B3107*60,0)</f>
        <v/>
      </c>
      <c r="J3107" s="13">
        <f>IF(A3107="",0,B3107*(IF(C3107=DATE(2026,11,28),38,0)+IF(C3107=DATE(2026,12,1),38,0)+IF(C3107=DATE(2026,12,2),26,0)))</f>
        <v/>
      </c>
      <c r="K3107" s="13">
        <f>IF(C3107=Options!$B$9,B3107*12,0)</f>
        <v/>
      </c>
      <c r="L3107" s="13">
        <f>IF(C3107=Options!$B$9,B3107*Options!$Z$9,0)</f>
        <v/>
      </c>
      <c r="M3107" s="13" t="n">
        <v>0</v>
      </c>
      <c r="N3107" s="13">
        <f>SUM(E3107:M3107)</f>
        <v/>
      </c>
    </row>
    <row r="3108">
      <c r="A3108" s="5">
        <f>IF(AND(C3108&gt;=Options!$B$9,C3108&lt;=Options!$B$10),"Seattle","")</f>
        <v/>
      </c>
      <c r="B3108" s="5">
        <f>IF(A3108="","",18)</f>
        <v/>
      </c>
      <c r="C3108" s="17" t="n">
        <v>46479</v>
      </c>
      <c r="D3108" s="5">
        <f>IF(A3108="","",IF(C3108=DATE(2026,11,29),"培训；注册午餐；早餐参数",IF(C3108=DATE(2026,11,30),"培训；注册午餐",IF(C3108=DATE(2026,12,1),"培训；注册午餐；机构晚餐",IF(C3108=Options!$B$9,"抵达；"&amp;IF(C3108=DATE(2026,11,28),"机构晚餐","无统一供餐"),IF(C3108=Options!$B$10,"返程；"&amp;IF(C3108=DATE(2026,12,2),"机构午餐","无统一供餐"),"差旅状态；无统一日程"))))))</f>
        <v/>
      </c>
      <c r="E3108" s="13">
        <f>IF(C3108=Options!$B$9,Options!$C$22,0)</f>
        <v/>
      </c>
      <c r="F3108" s="13">
        <f>IF(AND(A3108&lt;&gt;"",C3108&lt;Options!$B$10),B3108*Options!$X$9,0)</f>
        <v/>
      </c>
      <c r="G3108" s="13">
        <f>F3108*12%</f>
        <v/>
      </c>
      <c r="H3108" s="13">
        <f>IF(A3108="",0,B3108*(92*IF(OR(C3108=Options!$B$9,C3108=Options!$B$10),75%,100%)-IF(C3108=DATE(2026,11,29),26+IF(Options!$B$8="是",23,0),0)-IF(C3108=DATE(2026,11,30),26,0)-IF(C3108=DATE(2026,12,1),64,0)-IF(C3108=DATE(2026,11,28),38,0)-IF(C3108=DATE(2026,12,2),26,0)))</f>
        <v/>
      </c>
      <c r="I3108" s="13">
        <f>IF(AND(C3108&gt;=DATE(2026,11,29),C3108&lt;=DATE(2026,12,1)),B3108*60,0)</f>
        <v/>
      </c>
      <c r="J3108" s="13">
        <f>IF(A3108="",0,B3108*(IF(C3108=DATE(2026,11,28),38,0)+IF(C3108=DATE(2026,12,1),38,0)+IF(C3108=DATE(2026,12,2),26,0)))</f>
        <v/>
      </c>
      <c r="K3108" s="13">
        <f>IF(C3108=Options!$B$9,B3108*12,0)</f>
        <v/>
      </c>
      <c r="L3108" s="13">
        <f>IF(C3108=Options!$B$9,B3108*Options!$Z$9,0)</f>
        <v/>
      </c>
      <c r="M3108" s="13" t="n">
        <v>0</v>
      </c>
      <c r="N3108" s="13">
        <f>SUM(E3108:M3108)</f>
        <v/>
      </c>
    </row>
    <row r="3109">
      <c r="A3109" s="5">
        <f>IF(AND(C3109&gt;=Options!$B$9,C3109&lt;=Options!$B$10),"Seattle","")</f>
        <v/>
      </c>
      <c r="B3109" s="5">
        <f>IF(A3109="","",18)</f>
        <v/>
      </c>
      <c r="C3109" s="17" t="n">
        <v>46480</v>
      </c>
      <c r="D3109" s="5">
        <f>IF(A3109="","",IF(C3109=DATE(2026,11,29),"培训；注册午餐；早餐参数",IF(C3109=DATE(2026,11,30),"培训；注册午餐",IF(C3109=DATE(2026,12,1),"培训；注册午餐；机构晚餐",IF(C3109=Options!$B$9,"抵达；"&amp;IF(C3109=DATE(2026,11,28),"机构晚餐","无统一供餐"),IF(C3109=Options!$B$10,"返程；"&amp;IF(C3109=DATE(2026,12,2),"机构午餐","无统一供餐"),"差旅状态；无统一日程"))))))</f>
        <v/>
      </c>
      <c r="E3109" s="13">
        <f>IF(C3109=Options!$B$9,Options!$C$22,0)</f>
        <v/>
      </c>
      <c r="F3109" s="13">
        <f>IF(AND(A3109&lt;&gt;"",C3109&lt;Options!$B$10),B3109*Options!$X$9,0)</f>
        <v/>
      </c>
      <c r="G3109" s="13">
        <f>F3109*12%</f>
        <v/>
      </c>
      <c r="H3109" s="13">
        <f>IF(A3109="",0,B3109*(92*IF(OR(C3109=Options!$B$9,C3109=Options!$B$10),75%,100%)-IF(C3109=DATE(2026,11,29),26+IF(Options!$B$8="是",23,0),0)-IF(C3109=DATE(2026,11,30),26,0)-IF(C3109=DATE(2026,12,1),64,0)-IF(C3109=DATE(2026,11,28),38,0)-IF(C3109=DATE(2026,12,2),26,0)))</f>
        <v/>
      </c>
      <c r="I3109" s="13">
        <f>IF(AND(C3109&gt;=DATE(2026,11,29),C3109&lt;=DATE(2026,12,1)),B3109*60,0)</f>
        <v/>
      </c>
      <c r="J3109" s="13">
        <f>IF(A3109="",0,B3109*(IF(C3109=DATE(2026,11,28),38,0)+IF(C3109=DATE(2026,12,1),38,0)+IF(C3109=DATE(2026,12,2),26,0)))</f>
        <v/>
      </c>
      <c r="K3109" s="13">
        <f>IF(C3109=Options!$B$9,B3109*12,0)</f>
        <v/>
      </c>
      <c r="L3109" s="13">
        <f>IF(C3109=Options!$B$9,B3109*Options!$Z$9,0)</f>
        <v/>
      </c>
      <c r="M3109" s="13" t="n">
        <v>0</v>
      </c>
      <c r="N3109" s="13">
        <f>SUM(E3109:M3109)</f>
        <v/>
      </c>
    </row>
    <row r="3110">
      <c r="A3110" s="5">
        <f>IF(AND(C3110&gt;=Options!$B$9,C3110&lt;=Options!$B$10),"Seattle","")</f>
        <v/>
      </c>
      <c r="B3110" s="5">
        <f>IF(A3110="","",18)</f>
        <v/>
      </c>
      <c r="C3110" s="17" t="n">
        <v>46481</v>
      </c>
      <c r="D3110" s="5">
        <f>IF(A3110="","",IF(C3110=DATE(2026,11,29),"培训；注册午餐；早餐参数",IF(C3110=DATE(2026,11,30),"培训；注册午餐",IF(C3110=DATE(2026,12,1),"培训；注册午餐；机构晚餐",IF(C3110=Options!$B$9,"抵达；"&amp;IF(C3110=DATE(2026,11,28),"机构晚餐","无统一供餐"),IF(C3110=Options!$B$10,"返程；"&amp;IF(C3110=DATE(2026,12,2),"机构午餐","无统一供餐"),"差旅状态；无统一日程"))))))</f>
        <v/>
      </c>
      <c r="E3110" s="13">
        <f>IF(C3110=Options!$B$9,Options!$C$22,0)</f>
        <v/>
      </c>
      <c r="F3110" s="13">
        <f>IF(AND(A3110&lt;&gt;"",C3110&lt;Options!$B$10),B3110*Options!$X$9,0)</f>
        <v/>
      </c>
      <c r="G3110" s="13">
        <f>F3110*12%</f>
        <v/>
      </c>
      <c r="H3110" s="13">
        <f>IF(A3110="",0,B3110*(92*IF(OR(C3110=Options!$B$9,C3110=Options!$B$10),75%,100%)-IF(C3110=DATE(2026,11,29),26+IF(Options!$B$8="是",23,0),0)-IF(C3110=DATE(2026,11,30),26,0)-IF(C3110=DATE(2026,12,1),64,0)-IF(C3110=DATE(2026,11,28),38,0)-IF(C3110=DATE(2026,12,2),26,0)))</f>
        <v/>
      </c>
      <c r="I3110" s="13">
        <f>IF(AND(C3110&gt;=DATE(2026,11,29),C3110&lt;=DATE(2026,12,1)),B3110*60,0)</f>
        <v/>
      </c>
      <c r="J3110" s="13">
        <f>IF(A3110="",0,B3110*(IF(C3110=DATE(2026,11,28),38,0)+IF(C3110=DATE(2026,12,1),38,0)+IF(C3110=DATE(2026,12,2),26,0)))</f>
        <v/>
      </c>
      <c r="K3110" s="13">
        <f>IF(C3110=Options!$B$9,B3110*12,0)</f>
        <v/>
      </c>
      <c r="L3110" s="13">
        <f>IF(C3110=Options!$B$9,B3110*Options!$Z$9,0)</f>
        <v/>
      </c>
      <c r="M3110" s="13" t="n">
        <v>0</v>
      </c>
      <c r="N3110" s="13">
        <f>SUM(E3110:M3110)</f>
        <v/>
      </c>
    </row>
    <row r="3111">
      <c r="A3111" s="5">
        <f>IF(AND(C3111&gt;=Options!$B$9,C3111&lt;=Options!$B$10),"Seattle","")</f>
        <v/>
      </c>
      <c r="B3111" s="5">
        <f>IF(A3111="","",18)</f>
        <v/>
      </c>
      <c r="C3111" s="17" t="n">
        <v>46482</v>
      </c>
      <c r="D3111" s="5">
        <f>IF(A3111="","",IF(C3111=DATE(2026,11,29),"培训；注册午餐；早餐参数",IF(C3111=DATE(2026,11,30),"培训；注册午餐",IF(C3111=DATE(2026,12,1),"培训；注册午餐；机构晚餐",IF(C3111=Options!$B$9,"抵达；"&amp;IF(C3111=DATE(2026,11,28),"机构晚餐","无统一供餐"),IF(C3111=Options!$B$10,"返程；"&amp;IF(C3111=DATE(2026,12,2),"机构午餐","无统一供餐"),"差旅状态；无统一日程"))))))</f>
        <v/>
      </c>
      <c r="E3111" s="13">
        <f>IF(C3111=Options!$B$9,Options!$C$22,0)</f>
        <v/>
      </c>
      <c r="F3111" s="13">
        <f>IF(AND(A3111&lt;&gt;"",C3111&lt;Options!$B$10),B3111*Options!$X$9,0)</f>
        <v/>
      </c>
      <c r="G3111" s="13">
        <f>F3111*12%</f>
        <v/>
      </c>
      <c r="H3111" s="13">
        <f>IF(A3111="",0,B3111*(92*IF(OR(C3111=Options!$B$9,C3111=Options!$B$10),75%,100%)-IF(C3111=DATE(2026,11,29),26+IF(Options!$B$8="是",23,0),0)-IF(C3111=DATE(2026,11,30),26,0)-IF(C3111=DATE(2026,12,1),64,0)-IF(C3111=DATE(2026,11,28),38,0)-IF(C3111=DATE(2026,12,2),26,0)))</f>
        <v/>
      </c>
      <c r="I3111" s="13">
        <f>IF(AND(C3111&gt;=DATE(2026,11,29),C3111&lt;=DATE(2026,12,1)),B3111*60,0)</f>
        <v/>
      </c>
      <c r="J3111" s="13">
        <f>IF(A3111="",0,B3111*(IF(C3111=DATE(2026,11,28),38,0)+IF(C3111=DATE(2026,12,1),38,0)+IF(C3111=DATE(2026,12,2),26,0)))</f>
        <v/>
      </c>
      <c r="K3111" s="13">
        <f>IF(C3111=Options!$B$9,B3111*12,0)</f>
        <v/>
      </c>
      <c r="L3111" s="13">
        <f>IF(C3111=Options!$B$9,B3111*Options!$Z$9,0)</f>
        <v/>
      </c>
      <c r="M3111" s="13" t="n">
        <v>0</v>
      </c>
      <c r="N3111" s="13">
        <f>SUM(E3111:M3111)</f>
        <v/>
      </c>
    </row>
    <row r="3112">
      <c r="A3112" s="5">
        <f>IF(AND(C3112&gt;=Options!$B$9,C3112&lt;=Options!$B$10),"Seattle","")</f>
        <v/>
      </c>
      <c r="B3112" s="5">
        <f>IF(A3112="","",18)</f>
        <v/>
      </c>
      <c r="C3112" s="17" t="n">
        <v>46483</v>
      </c>
      <c r="D3112" s="5">
        <f>IF(A3112="","",IF(C3112=DATE(2026,11,29),"培训；注册午餐；早餐参数",IF(C3112=DATE(2026,11,30),"培训；注册午餐",IF(C3112=DATE(2026,12,1),"培训；注册午餐；机构晚餐",IF(C3112=Options!$B$9,"抵达；"&amp;IF(C3112=DATE(2026,11,28),"机构晚餐","无统一供餐"),IF(C3112=Options!$B$10,"返程；"&amp;IF(C3112=DATE(2026,12,2),"机构午餐","无统一供餐"),"差旅状态；无统一日程"))))))</f>
        <v/>
      </c>
      <c r="E3112" s="13">
        <f>IF(C3112=Options!$B$9,Options!$C$22,0)</f>
        <v/>
      </c>
      <c r="F3112" s="13">
        <f>IF(AND(A3112&lt;&gt;"",C3112&lt;Options!$B$10),B3112*Options!$X$9,0)</f>
        <v/>
      </c>
      <c r="G3112" s="13">
        <f>F3112*12%</f>
        <v/>
      </c>
      <c r="H3112" s="13">
        <f>IF(A3112="",0,B3112*(92*IF(OR(C3112=Options!$B$9,C3112=Options!$B$10),75%,100%)-IF(C3112=DATE(2026,11,29),26+IF(Options!$B$8="是",23,0),0)-IF(C3112=DATE(2026,11,30),26,0)-IF(C3112=DATE(2026,12,1),64,0)-IF(C3112=DATE(2026,11,28),38,0)-IF(C3112=DATE(2026,12,2),26,0)))</f>
        <v/>
      </c>
      <c r="I3112" s="13">
        <f>IF(AND(C3112&gt;=DATE(2026,11,29),C3112&lt;=DATE(2026,12,1)),B3112*60,0)</f>
        <v/>
      </c>
      <c r="J3112" s="13">
        <f>IF(A3112="",0,B3112*(IF(C3112=DATE(2026,11,28),38,0)+IF(C3112=DATE(2026,12,1),38,0)+IF(C3112=DATE(2026,12,2),26,0)))</f>
        <v/>
      </c>
      <c r="K3112" s="13">
        <f>IF(C3112=Options!$B$9,B3112*12,0)</f>
        <v/>
      </c>
      <c r="L3112" s="13">
        <f>IF(C3112=Options!$B$9,B3112*Options!$Z$9,0)</f>
        <v/>
      </c>
      <c r="M3112" s="13" t="n">
        <v>0</v>
      </c>
      <c r="N3112" s="13">
        <f>SUM(E3112:M3112)</f>
        <v/>
      </c>
    </row>
    <row r="3113">
      <c r="A3113" s="5">
        <f>IF(AND(C3113&gt;=Options!$B$9,C3113&lt;=Options!$B$10),"Seattle","")</f>
        <v/>
      </c>
      <c r="B3113" s="5">
        <f>IF(A3113="","",18)</f>
        <v/>
      </c>
      <c r="C3113" s="17" t="n">
        <v>46484</v>
      </c>
      <c r="D3113" s="5">
        <f>IF(A3113="","",IF(C3113=DATE(2026,11,29),"培训；注册午餐；早餐参数",IF(C3113=DATE(2026,11,30),"培训；注册午餐",IF(C3113=DATE(2026,12,1),"培训；注册午餐；机构晚餐",IF(C3113=Options!$B$9,"抵达；"&amp;IF(C3113=DATE(2026,11,28),"机构晚餐","无统一供餐"),IF(C3113=Options!$B$10,"返程；"&amp;IF(C3113=DATE(2026,12,2),"机构午餐","无统一供餐"),"差旅状态；无统一日程"))))))</f>
        <v/>
      </c>
      <c r="E3113" s="13">
        <f>IF(C3113=Options!$B$9,Options!$C$22,0)</f>
        <v/>
      </c>
      <c r="F3113" s="13">
        <f>IF(AND(A3113&lt;&gt;"",C3113&lt;Options!$B$10),B3113*Options!$X$9,0)</f>
        <v/>
      </c>
      <c r="G3113" s="13">
        <f>F3113*12%</f>
        <v/>
      </c>
      <c r="H3113" s="13">
        <f>IF(A3113="",0,B3113*(92*IF(OR(C3113=Options!$B$9,C3113=Options!$B$10),75%,100%)-IF(C3113=DATE(2026,11,29),26+IF(Options!$B$8="是",23,0),0)-IF(C3113=DATE(2026,11,30),26,0)-IF(C3113=DATE(2026,12,1),64,0)-IF(C3113=DATE(2026,11,28),38,0)-IF(C3113=DATE(2026,12,2),26,0)))</f>
        <v/>
      </c>
      <c r="I3113" s="13">
        <f>IF(AND(C3113&gt;=DATE(2026,11,29),C3113&lt;=DATE(2026,12,1)),B3113*60,0)</f>
        <v/>
      </c>
      <c r="J3113" s="13">
        <f>IF(A3113="",0,B3113*(IF(C3113=DATE(2026,11,28),38,0)+IF(C3113=DATE(2026,12,1),38,0)+IF(C3113=DATE(2026,12,2),26,0)))</f>
        <v/>
      </c>
      <c r="K3113" s="13">
        <f>IF(C3113=Options!$B$9,B3113*12,0)</f>
        <v/>
      </c>
      <c r="L3113" s="13">
        <f>IF(C3113=Options!$B$9,B3113*Options!$Z$9,0)</f>
        <v/>
      </c>
      <c r="M3113" s="13" t="n">
        <v>0</v>
      </c>
      <c r="N3113" s="13">
        <f>SUM(E3113:M3113)</f>
        <v/>
      </c>
    </row>
    <row r="3114">
      <c r="A3114" s="5">
        <f>IF(AND(C3114&gt;=Options!$B$9,C3114&lt;=Options!$B$10),"Seattle","")</f>
        <v/>
      </c>
      <c r="B3114" s="5">
        <f>IF(A3114="","",18)</f>
        <v/>
      </c>
      <c r="C3114" s="17" t="n">
        <v>46485</v>
      </c>
      <c r="D3114" s="5">
        <f>IF(A3114="","",IF(C3114=DATE(2026,11,29),"培训；注册午餐；早餐参数",IF(C3114=DATE(2026,11,30),"培训；注册午餐",IF(C3114=DATE(2026,12,1),"培训；注册午餐；机构晚餐",IF(C3114=Options!$B$9,"抵达；"&amp;IF(C3114=DATE(2026,11,28),"机构晚餐","无统一供餐"),IF(C3114=Options!$B$10,"返程；"&amp;IF(C3114=DATE(2026,12,2),"机构午餐","无统一供餐"),"差旅状态；无统一日程"))))))</f>
        <v/>
      </c>
      <c r="E3114" s="13">
        <f>IF(C3114=Options!$B$9,Options!$C$22,0)</f>
        <v/>
      </c>
      <c r="F3114" s="13">
        <f>IF(AND(A3114&lt;&gt;"",C3114&lt;Options!$B$10),B3114*Options!$X$9,0)</f>
        <v/>
      </c>
      <c r="G3114" s="13">
        <f>F3114*12%</f>
        <v/>
      </c>
      <c r="H3114" s="13">
        <f>IF(A3114="",0,B3114*(92*IF(OR(C3114=Options!$B$9,C3114=Options!$B$10),75%,100%)-IF(C3114=DATE(2026,11,29),26+IF(Options!$B$8="是",23,0),0)-IF(C3114=DATE(2026,11,30),26,0)-IF(C3114=DATE(2026,12,1),64,0)-IF(C3114=DATE(2026,11,28),38,0)-IF(C3114=DATE(2026,12,2),26,0)))</f>
        <v/>
      </c>
      <c r="I3114" s="13">
        <f>IF(AND(C3114&gt;=DATE(2026,11,29),C3114&lt;=DATE(2026,12,1)),B3114*60,0)</f>
        <v/>
      </c>
      <c r="J3114" s="13">
        <f>IF(A3114="",0,B3114*(IF(C3114=DATE(2026,11,28),38,0)+IF(C3114=DATE(2026,12,1),38,0)+IF(C3114=DATE(2026,12,2),26,0)))</f>
        <v/>
      </c>
      <c r="K3114" s="13">
        <f>IF(C3114=Options!$B$9,B3114*12,0)</f>
        <v/>
      </c>
      <c r="L3114" s="13">
        <f>IF(C3114=Options!$B$9,B3114*Options!$Z$9,0)</f>
        <v/>
      </c>
      <c r="M3114" s="13" t="n">
        <v>0</v>
      </c>
      <c r="N3114" s="13">
        <f>SUM(E3114:M3114)</f>
        <v/>
      </c>
    </row>
    <row r="3115">
      <c r="A3115" s="5">
        <f>IF(AND(C3115&gt;=Options!$B$9,C3115&lt;=Options!$B$10),"Seattle","")</f>
        <v/>
      </c>
      <c r="B3115" s="5">
        <f>IF(A3115="","",18)</f>
        <v/>
      </c>
      <c r="C3115" s="17" t="n">
        <v>46486</v>
      </c>
      <c r="D3115" s="5">
        <f>IF(A3115="","",IF(C3115=DATE(2026,11,29),"培训；注册午餐；早餐参数",IF(C3115=DATE(2026,11,30),"培训；注册午餐",IF(C3115=DATE(2026,12,1),"培训；注册午餐；机构晚餐",IF(C3115=Options!$B$9,"抵达；"&amp;IF(C3115=DATE(2026,11,28),"机构晚餐","无统一供餐"),IF(C3115=Options!$B$10,"返程；"&amp;IF(C3115=DATE(2026,12,2),"机构午餐","无统一供餐"),"差旅状态；无统一日程"))))))</f>
        <v/>
      </c>
      <c r="E3115" s="13">
        <f>IF(C3115=Options!$B$9,Options!$C$22,0)</f>
        <v/>
      </c>
      <c r="F3115" s="13">
        <f>IF(AND(A3115&lt;&gt;"",C3115&lt;Options!$B$10),B3115*Options!$X$9,0)</f>
        <v/>
      </c>
      <c r="G3115" s="13">
        <f>F3115*12%</f>
        <v/>
      </c>
      <c r="H3115" s="13">
        <f>IF(A3115="",0,B3115*(92*IF(OR(C3115=Options!$B$9,C3115=Options!$B$10),75%,100%)-IF(C3115=DATE(2026,11,29),26+IF(Options!$B$8="是",23,0),0)-IF(C3115=DATE(2026,11,30),26,0)-IF(C3115=DATE(2026,12,1),64,0)-IF(C3115=DATE(2026,11,28),38,0)-IF(C3115=DATE(2026,12,2),26,0)))</f>
        <v/>
      </c>
      <c r="I3115" s="13">
        <f>IF(AND(C3115&gt;=DATE(2026,11,29),C3115&lt;=DATE(2026,12,1)),B3115*60,0)</f>
        <v/>
      </c>
      <c r="J3115" s="13">
        <f>IF(A3115="",0,B3115*(IF(C3115=DATE(2026,11,28),38,0)+IF(C3115=DATE(2026,12,1),38,0)+IF(C3115=DATE(2026,12,2),26,0)))</f>
        <v/>
      </c>
      <c r="K3115" s="13">
        <f>IF(C3115=Options!$B$9,B3115*12,0)</f>
        <v/>
      </c>
      <c r="L3115" s="13">
        <f>IF(C3115=Options!$B$9,B3115*Options!$Z$9,0)</f>
        <v/>
      </c>
      <c r="M3115" s="13" t="n">
        <v>0</v>
      </c>
      <c r="N3115" s="13">
        <f>SUM(E3115:M3115)</f>
        <v/>
      </c>
    </row>
    <row r="3116">
      <c r="A3116" s="5">
        <f>IF(AND(C3116&gt;=Options!$B$9,C3116&lt;=Options!$B$10),"Seattle","")</f>
        <v/>
      </c>
      <c r="B3116" s="5">
        <f>IF(A3116="","",18)</f>
        <v/>
      </c>
      <c r="C3116" s="17" t="n">
        <v>46487</v>
      </c>
      <c r="D3116" s="5">
        <f>IF(A3116="","",IF(C3116=DATE(2026,11,29),"培训；注册午餐；早餐参数",IF(C3116=DATE(2026,11,30),"培训；注册午餐",IF(C3116=DATE(2026,12,1),"培训；注册午餐；机构晚餐",IF(C3116=Options!$B$9,"抵达；"&amp;IF(C3116=DATE(2026,11,28),"机构晚餐","无统一供餐"),IF(C3116=Options!$B$10,"返程；"&amp;IF(C3116=DATE(2026,12,2),"机构午餐","无统一供餐"),"差旅状态；无统一日程"))))))</f>
        <v/>
      </c>
      <c r="E3116" s="13">
        <f>IF(C3116=Options!$B$9,Options!$C$22,0)</f>
        <v/>
      </c>
      <c r="F3116" s="13">
        <f>IF(AND(A3116&lt;&gt;"",C3116&lt;Options!$B$10),B3116*Options!$X$9,0)</f>
        <v/>
      </c>
      <c r="G3116" s="13">
        <f>F3116*12%</f>
        <v/>
      </c>
      <c r="H3116" s="13">
        <f>IF(A3116="",0,B3116*(92*IF(OR(C3116=Options!$B$9,C3116=Options!$B$10),75%,100%)-IF(C3116=DATE(2026,11,29),26+IF(Options!$B$8="是",23,0),0)-IF(C3116=DATE(2026,11,30),26,0)-IF(C3116=DATE(2026,12,1),64,0)-IF(C3116=DATE(2026,11,28),38,0)-IF(C3116=DATE(2026,12,2),26,0)))</f>
        <v/>
      </c>
      <c r="I3116" s="13">
        <f>IF(AND(C3116&gt;=DATE(2026,11,29),C3116&lt;=DATE(2026,12,1)),B3116*60,0)</f>
        <v/>
      </c>
      <c r="J3116" s="13">
        <f>IF(A3116="",0,B3116*(IF(C3116=DATE(2026,11,28),38,0)+IF(C3116=DATE(2026,12,1),38,0)+IF(C3116=DATE(2026,12,2),26,0)))</f>
        <v/>
      </c>
      <c r="K3116" s="13">
        <f>IF(C3116=Options!$B$9,B3116*12,0)</f>
        <v/>
      </c>
      <c r="L3116" s="13">
        <f>IF(C3116=Options!$B$9,B3116*Options!$Z$9,0)</f>
        <v/>
      </c>
      <c r="M3116" s="13" t="n">
        <v>0</v>
      </c>
      <c r="N3116" s="13">
        <f>SUM(E3116:M3116)</f>
        <v/>
      </c>
    </row>
    <row r="3117">
      <c r="A3117" s="5">
        <f>IF(AND(C3117&gt;=Options!$B$9,C3117&lt;=Options!$B$10),"Seattle","")</f>
        <v/>
      </c>
      <c r="B3117" s="5">
        <f>IF(A3117="","",18)</f>
        <v/>
      </c>
      <c r="C3117" s="17" t="n">
        <v>46488</v>
      </c>
      <c r="D3117" s="5">
        <f>IF(A3117="","",IF(C3117=DATE(2026,11,29),"培训；注册午餐；早餐参数",IF(C3117=DATE(2026,11,30),"培训；注册午餐",IF(C3117=DATE(2026,12,1),"培训；注册午餐；机构晚餐",IF(C3117=Options!$B$9,"抵达；"&amp;IF(C3117=DATE(2026,11,28),"机构晚餐","无统一供餐"),IF(C3117=Options!$B$10,"返程；"&amp;IF(C3117=DATE(2026,12,2),"机构午餐","无统一供餐"),"差旅状态；无统一日程"))))))</f>
        <v/>
      </c>
      <c r="E3117" s="13">
        <f>IF(C3117=Options!$B$9,Options!$C$22,0)</f>
        <v/>
      </c>
      <c r="F3117" s="13">
        <f>IF(AND(A3117&lt;&gt;"",C3117&lt;Options!$B$10),B3117*Options!$X$9,0)</f>
        <v/>
      </c>
      <c r="G3117" s="13">
        <f>F3117*12%</f>
        <v/>
      </c>
      <c r="H3117" s="13">
        <f>IF(A3117="",0,B3117*(92*IF(OR(C3117=Options!$B$9,C3117=Options!$B$10),75%,100%)-IF(C3117=DATE(2026,11,29),26+IF(Options!$B$8="是",23,0),0)-IF(C3117=DATE(2026,11,30),26,0)-IF(C3117=DATE(2026,12,1),64,0)-IF(C3117=DATE(2026,11,28),38,0)-IF(C3117=DATE(2026,12,2),26,0)))</f>
        <v/>
      </c>
      <c r="I3117" s="13">
        <f>IF(AND(C3117&gt;=DATE(2026,11,29),C3117&lt;=DATE(2026,12,1)),B3117*60,0)</f>
        <v/>
      </c>
      <c r="J3117" s="13">
        <f>IF(A3117="",0,B3117*(IF(C3117=DATE(2026,11,28),38,0)+IF(C3117=DATE(2026,12,1),38,0)+IF(C3117=DATE(2026,12,2),26,0)))</f>
        <v/>
      </c>
      <c r="K3117" s="13">
        <f>IF(C3117=Options!$B$9,B3117*12,0)</f>
        <v/>
      </c>
      <c r="L3117" s="13">
        <f>IF(C3117=Options!$B$9,B3117*Options!$Z$9,0)</f>
        <v/>
      </c>
      <c r="M3117" s="13" t="n">
        <v>0</v>
      </c>
      <c r="N3117" s="13">
        <f>SUM(E3117:M3117)</f>
        <v/>
      </c>
    </row>
    <row r="3118">
      <c r="A3118" s="5">
        <f>IF(AND(C3118&gt;=Options!$B$9,C3118&lt;=Options!$B$10),"Seattle","")</f>
        <v/>
      </c>
      <c r="B3118" s="5">
        <f>IF(A3118="","",18)</f>
        <v/>
      </c>
      <c r="C3118" s="17" t="n">
        <v>46489</v>
      </c>
      <c r="D3118" s="5">
        <f>IF(A3118="","",IF(C3118=DATE(2026,11,29),"培训；注册午餐；早餐参数",IF(C3118=DATE(2026,11,30),"培训；注册午餐",IF(C3118=DATE(2026,12,1),"培训；注册午餐；机构晚餐",IF(C3118=Options!$B$9,"抵达；"&amp;IF(C3118=DATE(2026,11,28),"机构晚餐","无统一供餐"),IF(C3118=Options!$B$10,"返程；"&amp;IF(C3118=DATE(2026,12,2),"机构午餐","无统一供餐"),"差旅状态；无统一日程"))))))</f>
        <v/>
      </c>
      <c r="E3118" s="13">
        <f>IF(C3118=Options!$B$9,Options!$C$22,0)</f>
        <v/>
      </c>
      <c r="F3118" s="13">
        <f>IF(AND(A3118&lt;&gt;"",C3118&lt;Options!$B$10),B3118*Options!$X$9,0)</f>
        <v/>
      </c>
      <c r="G3118" s="13">
        <f>F3118*12%</f>
        <v/>
      </c>
      <c r="H3118" s="13">
        <f>IF(A3118="",0,B3118*(92*IF(OR(C3118=Options!$B$9,C3118=Options!$B$10),75%,100%)-IF(C3118=DATE(2026,11,29),26+IF(Options!$B$8="是",23,0),0)-IF(C3118=DATE(2026,11,30),26,0)-IF(C3118=DATE(2026,12,1),64,0)-IF(C3118=DATE(2026,11,28),38,0)-IF(C3118=DATE(2026,12,2),26,0)))</f>
        <v/>
      </c>
      <c r="I3118" s="13">
        <f>IF(AND(C3118&gt;=DATE(2026,11,29),C3118&lt;=DATE(2026,12,1)),B3118*60,0)</f>
        <v/>
      </c>
      <c r="J3118" s="13">
        <f>IF(A3118="",0,B3118*(IF(C3118=DATE(2026,11,28),38,0)+IF(C3118=DATE(2026,12,1),38,0)+IF(C3118=DATE(2026,12,2),26,0)))</f>
        <v/>
      </c>
      <c r="K3118" s="13">
        <f>IF(C3118=Options!$B$9,B3118*12,0)</f>
        <v/>
      </c>
      <c r="L3118" s="13">
        <f>IF(C3118=Options!$B$9,B3118*Options!$Z$9,0)</f>
        <v/>
      </c>
      <c r="M3118" s="13" t="n">
        <v>0</v>
      </c>
      <c r="N3118" s="13">
        <f>SUM(E3118:M3118)</f>
        <v/>
      </c>
    </row>
    <row r="3119">
      <c r="A3119" s="5">
        <f>IF(AND(C3119&gt;=Options!$B$9,C3119&lt;=Options!$B$10),"Seattle","")</f>
        <v/>
      </c>
      <c r="B3119" s="5">
        <f>IF(A3119="","",18)</f>
        <v/>
      </c>
      <c r="C3119" s="17" t="n">
        <v>46490</v>
      </c>
      <c r="D3119" s="5">
        <f>IF(A3119="","",IF(C3119=DATE(2026,11,29),"培训；注册午餐；早餐参数",IF(C3119=DATE(2026,11,30),"培训；注册午餐",IF(C3119=DATE(2026,12,1),"培训；注册午餐；机构晚餐",IF(C3119=Options!$B$9,"抵达；"&amp;IF(C3119=DATE(2026,11,28),"机构晚餐","无统一供餐"),IF(C3119=Options!$B$10,"返程；"&amp;IF(C3119=DATE(2026,12,2),"机构午餐","无统一供餐"),"差旅状态；无统一日程"))))))</f>
        <v/>
      </c>
      <c r="E3119" s="13">
        <f>IF(C3119=Options!$B$9,Options!$C$22,0)</f>
        <v/>
      </c>
      <c r="F3119" s="13">
        <f>IF(AND(A3119&lt;&gt;"",C3119&lt;Options!$B$10),B3119*Options!$X$9,0)</f>
        <v/>
      </c>
      <c r="G3119" s="13">
        <f>F3119*12%</f>
        <v/>
      </c>
      <c r="H3119" s="13">
        <f>IF(A3119="",0,B3119*(92*IF(OR(C3119=Options!$B$9,C3119=Options!$B$10),75%,100%)-IF(C3119=DATE(2026,11,29),26+IF(Options!$B$8="是",23,0),0)-IF(C3119=DATE(2026,11,30),26,0)-IF(C3119=DATE(2026,12,1),64,0)-IF(C3119=DATE(2026,11,28),38,0)-IF(C3119=DATE(2026,12,2),26,0)))</f>
        <v/>
      </c>
      <c r="I3119" s="13">
        <f>IF(AND(C3119&gt;=DATE(2026,11,29),C3119&lt;=DATE(2026,12,1)),B3119*60,0)</f>
        <v/>
      </c>
      <c r="J3119" s="13">
        <f>IF(A3119="",0,B3119*(IF(C3119=DATE(2026,11,28),38,0)+IF(C3119=DATE(2026,12,1),38,0)+IF(C3119=DATE(2026,12,2),26,0)))</f>
        <v/>
      </c>
      <c r="K3119" s="13">
        <f>IF(C3119=Options!$B$9,B3119*12,0)</f>
        <v/>
      </c>
      <c r="L3119" s="13">
        <f>IF(C3119=Options!$B$9,B3119*Options!$Z$9,0)</f>
        <v/>
      </c>
      <c r="M3119" s="13" t="n">
        <v>0</v>
      </c>
      <c r="N3119" s="13">
        <f>SUM(E3119:M3119)</f>
        <v/>
      </c>
    </row>
    <row r="3120">
      <c r="A3120" s="5">
        <f>IF(AND(C3120&gt;=Options!$B$9,C3120&lt;=Options!$B$10),"Seattle","")</f>
        <v/>
      </c>
      <c r="B3120" s="5">
        <f>IF(A3120="","",18)</f>
        <v/>
      </c>
      <c r="C3120" s="17" t="n">
        <v>46491</v>
      </c>
      <c r="D3120" s="5">
        <f>IF(A3120="","",IF(C3120=DATE(2026,11,29),"培训；注册午餐；早餐参数",IF(C3120=DATE(2026,11,30),"培训；注册午餐",IF(C3120=DATE(2026,12,1),"培训；注册午餐；机构晚餐",IF(C3120=Options!$B$9,"抵达；"&amp;IF(C3120=DATE(2026,11,28),"机构晚餐","无统一供餐"),IF(C3120=Options!$B$10,"返程；"&amp;IF(C3120=DATE(2026,12,2),"机构午餐","无统一供餐"),"差旅状态；无统一日程"))))))</f>
        <v/>
      </c>
      <c r="E3120" s="13">
        <f>IF(C3120=Options!$B$9,Options!$C$22,0)</f>
        <v/>
      </c>
      <c r="F3120" s="13">
        <f>IF(AND(A3120&lt;&gt;"",C3120&lt;Options!$B$10),B3120*Options!$X$9,0)</f>
        <v/>
      </c>
      <c r="G3120" s="13">
        <f>F3120*12%</f>
        <v/>
      </c>
      <c r="H3120" s="13">
        <f>IF(A3120="",0,B3120*(92*IF(OR(C3120=Options!$B$9,C3120=Options!$B$10),75%,100%)-IF(C3120=DATE(2026,11,29),26+IF(Options!$B$8="是",23,0),0)-IF(C3120=DATE(2026,11,30),26,0)-IF(C3120=DATE(2026,12,1),64,0)-IF(C3120=DATE(2026,11,28),38,0)-IF(C3120=DATE(2026,12,2),26,0)))</f>
        <v/>
      </c>
      <c r="I3120" s="13">
        <f>IF(AND(C3120&gt;=DATE(2026,11,29),C3120&lt;=DATE(2026,12,1)),B3120*60,0)</f>
        <v/>
      </c>
      <c r="J3120" s="13">
        <f>IF(A3120="",0,B3120*(IF(C3120=DATE(2026,11,28),38,0)+IF(C3120=DATE(2026,12,1),38,0)+IF(C3120=DATE(2026,12,2),26,0)))</f>
        <v/>
      </c>
      <c r="K3120" s="13">
        <f>IF(C3120=Options!$B$9,B3120*12,0)</f>
        <v/>
      </c>
      <c r="L3120" s="13">
        <f>IF(C3120=Options!$B$9,B3120*Options!$Z$9,0)</f>
        <v/>
      </c>
      <c r="M3120" s="13" t="n">
        <v>0</v>
      </c>
      <c r="N3120" s="13">
        <f>SUM(E3120:M3120)</f>
        <v/>
      </c>
    </row>
    <row r="3121">
      <c r="A3121" s="5">
        <f>IF(AND(C3121&gt;=Options!$B$9,C3121&lt;=Options!$B$10),"Seattle","")</f>
        <v/>
      </c>
      <c r="B3121" s="5">
        <f>IF(A3121="","",18)</f>
        <v/>
      </c>
      <c r="C3121" s="17" t="n">
        <v>46492</v>
      </c>
      <c r="D3121" s="5">
        <f>IF(A3121="","",IF(C3121=DATE(2026,11,29),"培训；注册午餐；早餐参数",IF(C3121=DATE(2026,11,30),"培训；注册午餐",IF(C3121=DATE(2026,12,1),"培训；注册午餐；机构晚餐",IF(C3121=Options!$B$9,"抵达；"&amp;IF(C3121=DATE(2026,11,28),"机构晚餐","无统一供餐"),IF(C3121=Options!$B$10,"返程；"&amp;IF(C3121=DATE(2026,12,2),"机构午餐","无统一供餐"),"差旅状态；无统一日程"))))))</f>
        <v/>
      </c>
      <c r="E3121" s="13">
        <f>IF(C3121=Options!$B$9,Options!$C$22,0)</f>
        <v/>
      </c>
      <c r="F3121" s="13">
        <f>IF(AND(A3121&lt;&gt;"",C3121&lt;Options!$B$10),B3121*Options!$X$9,0)</f>
        <v/>
      </c>
      <c r="G3121" s="13">
        <f>F3121*12%</f>
        <v/>
      </c>
      <c r="H3121" s="13">
        <f>IF(A3121="",0,B3121*(92*IF(OR(C3121=Options!$B$9,C3121=Options!$B$10),75%,100%)-IF(C3121=DATE(2026,11,29),26+IF(Options!$B$8="是",23,0),0)-IF(C3121=DATE(2026,11,30),26,0)-IF(C3121=DATE(2026,12,1),64,0)-IF(C3121=DATE(2026,11,28),38,0)-IF(C3121=DATE(2026,12,2),26,0)))</f>
        <v/>
      </c>
      <c r="I3121" s="13">
        <f>IF(AND(C3121&gt;=DATE(2026,11,29),C3121&lt;=DATE(2026,12,1)),B3121*60,0)</f>
        <v/>
      </c>
      <c r="J3121" s="13">
        <f>IF(A3121="",0,B3121*(IF(C3121=DATE(2026,11,28),38,0)+IF(C3121=DATE(2026,12,1),38,0)+IF(C3121=DATE(2026,12,2),26,0)))</f>
        <v/>
      </c>
      <c r="K3121" s="13">
        <f>IF(C3121=Options!$B$9,B3121*12,0)</f>
        <v/>
      </c>
      <c r="L3121" s="13">
        <f>IF(C3121=Options!$B$9,B3121*Options!$Z$9,0)</f>
        <v/>
      </c>
      <c r="M3121" s="13" t="n">
        <v>0</v>
      </c>
      <c r="N3121" s="13">
        <f>SUM(E3121:M3121)</f>
        <v/>
      </c>
    </row>
    <row r="3122">
      <c r="A3122" s="5">
        <f>IF(AND(C3122&gt;=Options!$B$9,C3122&lt;=Options!$B$10),"Seattle","")</f>
        <v/>
      </c>
      <c r="B3122" s="5">
        <f>IF(A3122="","",18)</f>
        <v/>
      </c>
      <c r="C3122" s="17" t="n">
        <v>46493</v>
      </c>
      <c r="D3122" s="5">
        <f>IF(A3122="","",IF(C3122=DATE(2026,11,29),"培训；注册午餐；早餐参数",IF(C3122=DATE(2026,11,30),"培训；注册午餐",IF(C3122=DATE(2026,12,1),"培训；注册午餐；机构晚餐",IF(C3122=Options!$B$9,"抵达；"&amp;IF(C3122=DATE(2026,11,28),"机构晚餐","无统一供餐"),IF(C3122=Options!$B$10,"返程；"&amp;IF(C3122=DATE(2026,12,2),"机构午餐","无统一供餐"),"差旅状态；无统一日程"))))))</f>
        <v/>
      </c>
      <c r="E3122" s="13">
        <f>IF(C3122=Options!$B$9,Options!$C$22,0)</f>
        <v/>
      </c>
      <c r="F3122" s="13">
        <f>IF(AND(A3122&lt;&gt;"",C3122&lt;Options!$B$10),B3122*Options!$X$9,0)</f>
        <v/>
      </c>
      <c r="G3122" s="13">
        <f>F3122*12%</f>
        <v/>
      </c>
      <c r="H3122" s="13">
        <f>IF(A3122="",0,B3122*(92*IF(OR(C3122=Options!$B$9,C3122=Options!$B$10),75%,100%)-IF(C3122=DATE(2026,11,29),26+IF(Options!$B$8="是",23,0),0)-IF(C3122=DATE(2026,11,30),26,0)-IF(C3122=DATE(2026,12,1),64,0)-IF(C3122=DATE(2026,11,28),38,0)-IF(C3122=DATE(2026,12,2),26,0)))</f>
        <v/>
      </c>
      <c r="I3122" s="13">
        <f>IF(AND(C3122&gt;=DATE(2026,11,29),C3122&lt;=DATE(2026,12,1)),B3122*60,0)</f>
        <v/>
      </c>
      <c r="J3122" s="13">
        <f>IF(A3122="",0,B3122*(IF(C3122=DATE(2026,11,28),38,0)+IF(C3122=DATE(2026,12,1),38,0)+IF(C3122=DATE(2026,12,2),26,0)))</f>
        <v/>
      </c>
      <c r="K3122" s="13">
        <f>IF(C3122=Options!$B$9,B3122*12,0)</f>
        <v/>
      </c>
      <c r="L3122" s="13">
        <f>IF(C3122=Options!$B$9,B3122*Options!$Z$9,0)</f>
        <v/>
      </c>
      <c r="M3122" s="13" t="n">
        <v>0</v>
      </c>
      <c r="N3122" s="13">
        <f>SUM(E3122:M3122)</f>
        <v/>
      </c>
    </row>
    <row r="3123">
      <c r="A3123" s="5">
        <f>IF(AND(C3123&gt;=Options!$B$9,C3123&lt;=Options!$B$10),"Seattle","")</f>
        <v/>
      </c>
      <c r="B3123" s="5">
        <f>IF(A3123="","",18)</f>
        <v/>
      </c>
      <c r="C3123" s="17" t="n">
        <v>46494</v>
      </c>
      <c r="D3123" s="5">
        <f>IF(A3123="","",IF(C3123=DATE(2026,11,29),"培训；注册午餐；早餐参数",IF(C3123=DATE(2026,11,30),"培训；注册午餐",IF(C3123=DATE(2026,12,1),"培训；注册午餐；机构晚餐",IF(C3123=Options!$B$9,"抵达；"&amp;IF(C3123=DATE(2026,11,28),"机构晚餐","无统一供餐"),IF(C3123=Options!$B$10,"返程；"&amp;IF(C3123=DATE(2026,12,2),"机构午餐","无统一供餐"),"差旅状态；无统一日程"))))))</f>
        <v/>
      </c>
      <c r="E3123" s="13">
        <f>IF(C3123=Options!$B$9,Options!$C$22,0)</f>
        <v/>
      </c>
      <c r="F3123" s="13">
        <f>IF(AND(A3123&lt;&gt;"",C3123&lt;Options!$B$10),B3123*Options!$X$9,0)</f>
        <v/>
      </c>
      <c r="G3123" s="13">
        <f>F3123*12%</f>
        <v/>
      </c>
      <c r="H3123" s="13">
        <f>IF(A3123="",0,B3123*(92*IF(OR(C3123=Options!$B$9,C3123=Options!$B$10),75%,100%)-IF(C3123=DATE(2026,11,29),26+IF(Options!$B$8="是",23,0),0)-IF(C3123=DATE(2026,11,30),26,0)-IF(C3123=DATE(2026,12,1),64,0)-IF(C3123=DATE(2026,11,28),38,0)-IF(C3123=DATE(2026,12,2),26,0)))</f>
        <v/>
      </c>
      <c r="I3123" s="13">
        <f>IF(AND(C3123&gt;=DATE(2026,11,29),C3123&lt;=DATE(2026,12,1)),B3123*60,0)</f>
        <v/>
      </c>
      <c r="J3123" s="13">
        <f>IF(A3123="",0,B3123*(IF(C3123=DATE(2026,11,28),38,0)+IF(C3123=DATE(2026,12,1),38,0)+IF(C3123=DATE(2026,12,2),26,0)))</f>
        <v/>
      </c>
      <c r="K3123" s="13">
        <f>IF(C3123=Options!$B$9,B3123*12,0)</f>
        <v/>
      </c>
      <c r="L3123" s="13">
        <f>IF(C3123=Options!$B$9,B3123*Options!$Z$9,0)</f>
        <v/>
      </c>
      <c r="M3123" s="13" t="n">
        <v>0</v>
      </c>
      <c r="N3123" s="13">
        <f>SUM(E3123:M3123)</f>
        <v/>
      </c>
    </row>
    <row r="3124">
      <c r="A3124" s="5">
        <f>IF(AND(C3124&gt;=Options!$B$9,C3124&lt;=Options!$B$10),"Seattle","")</f>
        <v/>
      </c>
      <c r="B3124" s="5">
        <f>IF(A3124="","",18)</f>
        <v/>
      </c>
      <c r="C3124" s="17" t="n">
        <v>46495</v>
      </c>
      <c r="D3124" s="5">
        <f>IF(A3124="","",IF(C3124=DATE(2026,11,29),"培训；注册午餐；早餐参数",IF(C3124=DATE(2026,11,30),"培训；注册午餐",IF(C3124=DATE(2026,12,1),"培训；注册午餐；机构晚餐",IF(C3124=Options!$B$9,"抵达；"&amp;IF(C3124=DATE(2026,11,28),"机构晚餐","无统一供餐"),IF(C3124=Options!$B$10,"返程；"&amp;IF(C3124=DATE(2026,12,2),"机构午餐","无统一供餐"),"差旅状态；无统一日程"))))))</f>
        <v/>
      </c>
      <c r="E3124" s="13">
        <f>IF(C3124=Options!$B$9,Options!$C$22,0)</f>
        <v/>
      </c>
      <c r="F3124" s="13">
        <f>IF(AND(A3124&lt;&gt;"",C3124&lt;Options!$B$10),B3124*Options!$X$9,0)</f>
        <v/>
      </c>
      <c r="G3124" s="13">
        <f>F3124*12%</f>
        <v/>
      </c>
      <c r="H3124" s="13">
        <f>IF(A3124="",0,B3124*(92*IF(OR(C3124=Options!$B$9,C3124=Options!$B$10),75%,100%)-IF(C3124=DATE(2026,11,29),26+IF(Options!$B$8="是",23,0),0)-IF(C3124=DATE(2026,11,30),26,0)-IF(C3124=DATE(2026,12,1),64,0)-IF(C3124=DATE(2026,11,28),38,0)-IF(C3124=DATE(2026,12,2),26,0)))</f>
        <v/>
      </c>
      <c r="I3124" s="13">
        <f>IF(AND(C3124&gt;=DATE(2026,11,29),C3124&lt;=DATE(2026,12,1)),B3124*60,0)</f>
        <v/>
      </c>
      <c r="J3124" s="13">
        <f>IF(A3124="",0,B3124*(IF(C3124=DATE(2026,11,28),38,0)+IF(C3124=DATE(2026,12,1),38,0)+IF(C3124=DATE(2026,12,2),26,0)))</f>
        <v/>
      </c>
      <c r="K3124" s="13">
        <f>IF(C3124=Options!$B$9,B3124*12,0)</f>
        <v/>
      </c>
      <c r="L3124" s="13">
        <f>IF(C3124=Options!$B$9,B3124*Options!$Z$9,0)</f>
        <v/>
      </c>
      <c r="M3124" s="13" t="n">
        <v>0</v>
      </c>
      <c r="N3124" s="13">
        <f>SUM(E3124:M3124)</f>
        <v/>
      </c>
    </row>
    <row r="3125">
      <c r="A3125" s="5">
        <f>IF(AND(C3125&gt;=Options!$B$9,C3125&lt;=Options!$B$10),"Seattle","")</f>
        <v/>
      </c>
      <c r="B3125" s="5">
        <f>IF(A3125="","",18)</f>
        <v/>
      </c>
      <c r="C3125" s="17" t="n">
        <v>46496</v>
      </c>
      <c r="D3125" s="5">
        <f>IF(A3125="","",IF(C3125=DATE(2026,11,29),"培训；注册午餐；早餐参数",IF(C3125=DATE(2026,11,30),"培训；注册午餐",IF(C3125=DATE(2026,12,1),"培训；注册午餐；机构晚餐",IF(C3125=Options!$B$9,"抵达；"&amp;IF(C3125=DATE(2026,11,28),"机构晚餐","无统一供餐"),IF(C3125=Options!$B$10,"返程；"&amp;IF(C3125=DATE(2026,12,2),"机构午餐","无统一供餐"),"差旅状态；无统一日程"))))))</f>
        <v/>
      </c>
      <c r="E3125" s="13">
        <f>IF(C3125=Options!$B$9,Options!$C$22,0)</f>
        <v/>
      </c>
      <c r="F3125" s="13">
        <f>IF(AND(A3125&lt;&gt;"",C3125&lt;Options!$B$10),B3125*Options!$X$9,0)</f>
        <v/>
      </c>
      <c r="G3125" s="13">
        <f>F3125*12%</f>
        <v/>
      </c>
      <c r="H3125" s="13">
        <f>IF(A3125="",0,B3125*(92*IF(OR(C3125=Options!$B$9,C3125=Options!$B$10),75%,100%)-IF(C3125=DATE(2026,11,29),26+IF(Options!$B$8="是",23,0),0)-IF(C3125=DATE(2026,11,30),26,0)-IF(C3125=DATE(2026,12,1),64,0)-IF(C3125=DATE(2026,11,28),38,0)-IF(C3125=DATE(2026,12,2),26,0)))</f>
        <v/>
      </c>
      <c r="I3125" s="13">
        <f>IF(AND(C3125&gt;=DATE(2026,11,29),C3125&lt;=DATE(2026,12,1)),B3125*60,0)</f>
        <v/>
      </c>
      <c r="J3125" s="13">
        <f>IF(A3125="",0,B3125*(IF(C3125=DATE(2026,11,28),38,0)+IF(C3125=DATE(2026,12,1),38,0)+IF(C3125=DATE(2026,12,2),26,0)))</f>
        <v/>
      </c>
      <c r="K3125" s="13">
        <f>IF(C3125=Options!$B$9,B3125*12,0)</f>
        <v/>
      </c>
      <c r="L3125" s="13">
        <f>IF(C3125=Options!$B$9,B3125*Options!$Z$9,0)</f>
        <v/>
      </c>
      <c r="M3125" s="13" t="n">
        <v>0</v>
      </c>
      <c r="N3125" s="13">
        <f>SUM(E3125:M3125)</f>
        <v/>
      </c>
    </row>
    <row r="3126">
      <c r="A3126" s="5">
        <f>IF(AND(C3126&gt;=Options!$B$9,C3126&lt;=Options!$B$10),"Seattle","")</f>
        <v/>
      </c>
      <c r="B3126" s="5">
        <f>IF(A3126="","",18)</f>
        <v/>
      </c>
      <c r="C3126" s="17" t="n">
        <v>46497</v>
      </c>
      <c r="D3126" s="5">
        <f>IF(A3126="","",IF(C3126=DATE(2026,11,29),"培训；注册午餐；早餐参数",IF(C3126=DATE(2026,11,30),"培训；注册午餐",IF(C3126=DATE(2026,12,1),"培训；注册午餐；机构晚餐",IF(C3126=Options!$B$9,"抵达；"&amp;IF(C3126=DATE(2026,11,28),"机构晚餐","无统一供餐"),IF(C3126=Options!$B$10,"返程；"&amp;IF(C3126=DATE(2026,12,2),"机构午餐","无统一供餐"),"差旅状态；无统一日程"))))))</f>
        <v/>
      </c>
      <c r="E3126" s="13">
        <f>IF(C3126=Options!$B$9,Options!$C$22,0)</f>
        <v/>
      </c>
      <c r="F3126" s="13">
        <f>IF(AND(A3126&lt;&gt;"",C3126&lt;Options!$B$10),B3126*Options!$X$9,0)</f>
        <v/>
      </c>
      <c r="G3126" s="13">
        <f>F3126*12%</f>
        <v/>
      </c>
      <c r="H3126" s="13">
        <f>IF(A3126="",0,B3126*(92*IF(OR(C3126=Options!$B$9,C3126=Options!$B$10),75%,100%)-IF(C3126=DATE(2026,11,29),26+IF(Options!$B$8="是",23,0),0)-IF(C3126=DATE(2026,11,30),26,0)-IF(C3126=DATE(2026,12,1),64,0)-IF(C3126=DATE(2026,11,28),38,0)-IF(C3126=DATE(2026,12,2),26,0)))</f>
        <v/>
      </c>
      <c r="I3126" s="13">
        <f>IF(AND(C3126&gt;=DATE(2026,11,29),C3126&lt;=DATE(2026,12,1)),B3126*60,0)</f>
        <v/>
      </c>
      <c r="J3126" s="13">
        <f>IF(A3126="",0,B3126*(IF(C3126=DATE(2026,11,28),38,0)+IF(C3126=DATE(2026,12,1),38,0)+IF(C3126=DATE(2026,12,2),26,0)))</f>
        <v/>
      </c>
      <c r="K3126" s="13">
        <f>IF(C3126=Options!$B$9,B3126*12,0)</f>
        <v/>
      </c>
      <c r="L3126" s="13">
        <f>IF(C3126=Options!$B$9,B3126*Options!$Z$9,0)</f>
        <v/>
      </c>
      <c r="M3126" s="13" t="n">
        <v>0</v>
      </c>
      <c r="N3126" s="13">
        <f>SUM(E3126:M3126)</f>
        <v/>
      </c>
    </row>
    <row r="3127">
      <c r="A3127" s="5">
        <f>IF(AND(C3127&gt;=Options!$B$9,C3127&lt;=Options!$B$10),"Seattle","")</f>
        <v/>
      </c>
      <c r="B3127" s="5">
        <f>IF(A3127="","",18)</f>
        <v/>
      </c>
      <c r="C3127" s="17" t="n">
        <v>46498</v>
      </c>
      <c r="D3127" s="5">
        <f>IF(A3127="","",IF(C3127=DATE(2026,11,29),"培训；注册午餐；早餐参数",IF(C3127=DATE(2026,11,30),"培训；注册午餐",IF(C3127=DATE(2026,12,1),"培训；注册午餐；机构晚餐",IF(C3127=Options!$B$9,"抵达；"&amp;IF(C3127=DATE(2026,11,28),"机构晚餐","无统一供餐"),IF(C3127=Options!$B$10,"返程；"&amp;IF(C3127=DATE(2026,12,2),"机构午餐","无统一供餐"),"差旅状态；无统一日程"))))))</f>
        <v/>
      </c>
      <c r="E3127" s="13">
        <f>IF(C3127=Options!$B$9,Options!$C$22,0)</f>
        <v/>
      </c>
      <c r="F3127" s="13">
        <f>IF(AND(A3127&lt;&gt;"",C3127&lt;Options!$B$10),B3127*Options!$X$9,0)</f>
        <v/>
      </c>
      <c r="G3127" s="13">
        <f>F3127*12%</f>
        <v/>
      </c>
      <c r="H3127" s="13">
        <f>IF(A3127="",0,B3127*(92*IF(OR(C3127=Options!$B$9,C3127=Options!$B$10),75%,100%)-IF(C3127=DATE(2026,11,29),26+IF(Options!$B$8="是",23,0),0)-IF(C3127=DATE(2026,11,30),26,0)-IF(C3127=DATE(2026,12,1),64,0)-IF(C3127=DATE(2026,11,28),38,0)-IF(C3127=DATE(2026,12,2),26,0)))</f>
        <v/>
      </c>
      <c r="I3127" s="13">
        <f>IF(AND(C3127&gt;=DATE(2026,11,29),C3127&lt;=DATE(2026,12,1)),B3127*60,0)</f>
        <v/>
      </c>
      <c r="J3127" s="13">
        <f>IF(A3127="",0,B3127*(IF(C3127=DATE(2026,11,28),38,0)+IF(C3127=DATE(2026,12,1),38,0)+IF(C3127=DATE(2026,12,2),26,0)))</f>
        <v/>
      </c>
      <c r="K3127" s="13">
        <f>IF(C3127=Options!$B$9,B3127*12,0)</f>
        <v/>
      </c>
      <c r="L3127" s="13">
        <f>IF(C3127=Options!$B$9,B3127*Options!$Z$9,0)</f>
        <v/>
      </c>
      <c r="M3127" s="13" t="n">
        <v>0</v>
      </c>
      <c r="N3127" s="13">
        <f>SUM(E3127:M3127)</f>
        <v/>
      </c>
    </row>
    <row r="3128">
      <c r="A3128" s="5">
        <f>IF(AND(C3128&gt;=Options!$B$9,C3128&lt;=Options!$B$10),"Seattle","")</f>
        <v/>
      </c>
      <c r="B3128" s="5">
        <f>IF(A3128="","",18)</f>
        <v/>
      </c>
      <c r="C3128" s="17" t="n">
        <v>46499</v>
      </c>
      <c r="D3128" s="5">
        <f>IF(A3128="","",IF(C3128=DATE(2026,11,29),"培训；注册午餐；早餐参数",IF(C3128=DATE(2026,11,30),"培训；注册午餐",IF(C3128=DATE(2026,12,1),"培训；注册午餐；机构晚餐",IF(C3128=Options!$B$9,"抵达；"&amp;IF(C3128=DATE(2026,11,28),"机构晚餐","无统一供餐"),IF(C3128=Options!$B$10,"返程；"&amp;IF(C3128=DATE(2026,12,2),"机构午餐","无统一供餐"),"差旅状态；无统一日程"))))))</f>
        <v/>
      </c>
      <c r="E3128" s="13">
        <f>IF(C3128=Options!$B$9,Options!$C$22,0)</f>
        <v/>
      </c>
      <c r="F3128" s="13">
        <f>IF(AND(A3128&lt;&gt;"",C3128&lt;Options!$B$10),B3128*Options!$X$9,0)</f>
        <v/>
      </c>
      <c r="G3128" s="13">
        <f>F3128*12%</f>
        <v/>
      </c>
      <c r="H3128" s="13">
        <f>IF(A3128="",0,B3128*(92*IF(OR(C3128=Options!$B$9,C3128=Options!$B$10),75%,100%)-IF(C3128=DATE(2026,11,29),26+IF(Options!$B$8="是",23,0),0)-IF(C3128=DATE(2026,11,30),26,0)-IF(C3128=DATE(2026,12,1),64,0)-IF(C3128=DATE(2026,11,28),38,0)-IF(C3128=DATE(2026,12,2),26,0)))</f>
        <v/>
      </c>
      <c r="I3128" s="13">
        <f>IF(AND(C3128&gt;=DATE(2026,11,29),C3128&lt;=DATE(2026,12,1)),B3128*60,0)</f>
        <v/>
      </c>
      <c r="J3128" s="13">
        <f>IF(A3128="",0,B3128*(IF(C3128=DATE(2026,11,28),38,0)+IF(C3128=DATE(2026,12,1),38,0)+IF(C3128=DATE(2026,12,2),26,0)))</f>
        <v/>
      </c>
      <c r="K3128" s="13">
        <f>IF(C3128=Options!$B$9,B3128*12,0)</f>
        <v/>
      </c>
      <c r="L3128" s="13">
        <f>IF(C3128=Options!$B$9,B3128*Options!$Z$9,0)</f>
        <v/>
      </c>
      <c r="M3128" s="13" t="n">
        <v>0</v>
      </c>
      <c r="N3128" s="13">
        <f>SUM(E3128:M3128)</f>
        <v/>
      </c>
    </row>
    <row r="3129">
      <c r="A3129" s="5">
        <f>IF(AND(C3129&gt;=Options!$B$9,C3129&lt;=Options!$B$10),"Seattle","")</f>
        <v/>
      </c>
      <c r="B3129" s="5">
        <f>IF(A3129="","",18)</f>
        <v/>
      </c>
      <c r="C3129" s="17" t="n">
        <v>46500</v>
      </c>
      <c r="D3129" s="5">
        <f>IF(A3129="","",IF(C3129=DATE(2026,11,29),"培训；注册午餐；早餐参数",IF(C3129=DATE(2026,11,30),"培训；注册午餐",IF(C3129=DATE(2026,12,1),"培训；注册午餐；机构晚餐",IF(C3129=Options!$B$9,"抵达；"&amp;IF(C3129=DATE(2026,11,28),"机构晚餐","无统一供餐"),IF(C3129=Options!$B$10,"返程；"&amp;IF(C3129=DATE(2026,12,2),"机构午餐","无统一供餐"),"差旅状态；无统一日程"))))))</f>
        <v/>
      </c>
      <c r="E3129" s="13">
        <f>IF(C3129=Options!$B$9,Options!$C$22,0)</f>
        <v/>
      </c>
      <c r="F3129" s="13">
        <f>IF(AND(A3129&lt;&gt;"",C3129&lt;Options!$B$10),B3129*Options!$X$9,0)</f>
        <v/>
      </c>
      <c r="G3129" s="13">
        <f>F3129*12%</f>
        <v/>
      </c>
      <c r="H3129" s="13">
        <f>IF(A3129="",0,B3129*(92*IF(OR(C3129=Options!$B$9,C3129=Options!$B$10),75%,100%)-IF(C3129=DATE(2026,11,29),26+IF(Options!$B$8="是",23,0),0)-IF(C3129=DATE(2026,11,30),26,0)-IF(C3129=DATE(2026,12,1),64,0)-IF(C3129=DATE(2026,11,28),38,0)-IF(C3129=DATE(2026,12,2),26,0)))</f>
        <v/>
      </c>
      <c r="I3129" s="13">
        <f>IF(AND(C3129&gt;=DATE(2026,11,29),C3129&lt;=DATE(2026,12,1)),B3129*60,0)</f>
        <v/>
      </c>
      <c r="J3129" s="13">
        <f>IF(A3129="",0,B3129*(IF(C3129=DATE(2026,11,28),38,0)+IF(C3129=DATE(2026,12,1),38,0)+IF(C3129=DATE(2026,12,2),26,0)))</f>
        <v/>
      </c>
      <c r="K3129" s="13">
        <f>IF(C3129=Options!$B$9,B3129*12,0)</f>
        <v/>
      </c>
      <c r="L3129" s="13">
        <f>IF(C3129=Options!$B$9,B3129*Options!$Z$9,0)</f>
        <v/>
      </c>
      <c r="M3129" s="13" t="n">
        <v>0</v>
      </c>
      <c r="N3129" s="13">
        <f>SUM(E3129:M3129)</f>
        <v/>
      </c>
    </row>
    <row r="3130">
      <c r="A3130" s="5">
        <f>IF(AND(C3130&gt;=Options!$B$9,C3130&lt;=Options!$B$10),"Seattle","")</f>
        <v/>
      </c>
      <c r="B3130" s="5">
        <f>IF(A3130="","",18)</f>
        <v/>
      </c>
      <c r="C3130" s="17" t="n">
        <v>46501</v>
      </c>
      <c r="D3130" s="5">
        <f>IF(A3130="","",IF(C3130=DATE(2026,11,29),"培训；注册午餐；早餐参数",IF(C3130=DATE(2026,11,30),"培训；注册午餐",IF(C3130=DATE(2026,12,1),"培训；注册午餐；机构晚餐",IF(C3130=Options!$B$9,"抵达；"&amp;IF(C3130=DATE(2026,11,28),"机构晚餐","无统一供餐"),IF(C3130=Options!$B$10,"返程；"&amp;IF(C3130=DATE(2026,12,2),"机构午餐","无统一供餐"),"差旅状态；无统一日程"))))))</f>
        <v/>
      </c>
      <c r="E3130" s="13">
        <f>IF(C3130=Options!$B$9,Options!$C$22,0)</f>
        <v/>
      </c>
      <c r="F3130" s="13">
        <f>IF(AND(A3130&lt;&gt;"",C3130&lt;Options!$B$10),B3130*Options!$X$9,0)</f>
        <v/>
      </c>
      <c r="G3130" s="13">
        <f>F3130*12%</f>
        <v/>
      </c>
      <c r="H3130" s="13">
        <f>IF(A3130="",0,B3130*(92*IF(OR(C3130=Options!$B$9,C3130=Options!$B$10),75%,100%)-IF(C3130=DATE(2026,11,29),26+IF(Options!$B$8="是",23,0),0)-IF(C3130=DATE(2026,11,30),26,0)-IF(C3130=DATE(2026,12,1),64,0)-IF(C3130=DATE(2026,11,28),38,0)-IF(C3130=DATE(2026,12,2),26,0)))</f>
        <v/>
      </c>
      <c r="I3130" s="13">
        <f>IF(AND(C3130&gt;=DATE(2026,11,29),C3130&lt;=DATE(2026,12,1)),B3130*60,0)</f>
        <v/>
      </c>
      <c r="J3130" s="13">
        <f>IF(A3130="",0,B3130*(IF(C3130=DATE(2026,11,28),38,0)+IF(C3130=DATE(2026,12,1),38,0)+IF(C3130=DATE(2026,12,2),26,0)))</f>
        <v/>
      </c>
      <c r="K3130" s="13">
        <f>IF(C3130=Options!$B$9,B3130*12,0)</f>
        <v/>
      </c>
      <c r="L3130" s="13">
        <f>IF(C3130=Options!$B$9,B3130*Options!$Z$9,0)</f>
        <v/>
      </c>
      <c r="M3130" s="13" t="n">
        <v>0</v>
      </c>
      <c r="N3130" s="13">
        <f>SUM(E3130:M3130)</f>
        <v/>
      </c>
    </row>
    <row r="3131">
      <c r="A3131" s="5">
        <f>IF(AND(C3131&gt;=Options!$B$9,C3131&lt;=Options!$B$10),"Seattle","")</f>
        <v/>
      </c>
      <c r="B3131" s="5">
        <f>IF(A3131="","",18)</f>
        <v/>
      </c>
      <c r="C3131" s="17" t="n">
        <v>46502</v>
      </c>
      <c r="D3131" s="5">
        <f>IF(A3131="","",IF(C3131=DATE(2026,11,29),"培训；注册午餐；早餐参数",IF(C3131=DATE(2026,11,30),"培训；注册午餐",IF(C3131=DATE(2026,12,1),"培训；注册午餐；机构晚餐",IF(C3131=Options!$B$9,"抵达；"&amp;IF(C3131=DATE(2026,11,28),"机构晚餐","无统一供餐"),IF(C3131=Options!$B$10,"返程；"&amp;IF(C3131=DATE(2026,12,2),"机构午餐","无统一供餐"),"差旅状态；无统一日程"))))))</f>
        <v/>
      </c>
      <c r="E3131" s="13">
        <f>IF(C3131=Options!$B$9,Options!$C$22,0)</f>
        <v/>
      </c>
      <c r="F3131" s="13">
        <f>IF(AND(A3131&lt;&gt;"",C3131&lt;Options!$B$10),B3131*Options!$X$9,0)</f>
        <v/>
      </c>
      <c r="G3131" s="13">
        <f>F3131*12%</f>
        <v/>
      </c>
      <c r="H3131" s="13">
        <f>IF(A3131="",0,B3131*(92*IF(OR(C3131=Options!$B$9,C3131=Options!$B$10),75%,100%)-IF(C3131=DATE(2026,11,29),26+IF(Options!$B$8="是",23,0),0)-IF(C3131=DATE(2026,11,30),26,0)-IF(C3131=DATE(2026,12,1),64,0)-IF(C3131=DATE(2026,11,28),38,0)-IF(C3131=DATE(2026,12,2),26,0)))</f>
        <v/>
      </c>
      <c r="I3131" s="13">
        <f>IF(AND(C3131&gt;=DATE(2026,11,29),C3131&lt;=DATE(2026,12,1)),B3131*60,0)</f>
        <v/>
      </c>
      <c r="J3131" s="13">
        <f>IF(A3131="",0,B3131*(IF(C3131=DATE(2026,11,28),38,0)+IF(C3131=DATE(2026,12,1),38,0)+IF(C3131=DATE(2026,12,2),26,0)))</f>
        <v/>
      </c>
      <c r="K3131" s="13">
        <f>IF(C3131=Options!$B$9,B3131*12,0)</f>
        <v/>
      </c>
      <c r="L3131" s="13">
        <f>IF(C3131=Options!$B$9,B3131*Options!$Z$9,0)</f>
        <v/>
      </c>
      <c r="M3131" s="13" t="n">
        <v>0</v>
      </c>
      <c r="N3131" s="13">
        <f>SUM(E3131:M3131)</f>
        <v/>
      </c>
    </row>
    <row r="3132">
      <c r="A3132" s="5">
        <f>IF(AND(C3132&gt;=Options!$B$9,C3132&lt;=Options!$B$10),"Seattle","")</f>
        <v/>
      </c>
      <c r="B3132" s="5">
        <f>IF(A3132="","",18)</f>
        <v/>
      </c>
      <c r="C3132" s="17" t="n">
        <v>46503</v>
      </c>
      <c r="D3132" s="5">
        <f>IF(A3132="","",IF(C3132=DATE(2026,11,29),"培训；注册午餐；早餐参数",IF(C3132=DATE(2026,11,30),"培训；注册午餐",IF(C3132=DATE(2026,12,1),"培训；注册午餐；机构晚餐",IF(C3132=Options!$B$9,"抵达；"&amp;IF(C3132=DATE(2026,11,28),"机构晚餐","无统一供餐"),IF(C3132=Options!$B$10,"返程；"&amp;IF(C3132=DATE(2026,12,2),"机构午餐","无统一供餐"),"差旅状态；无统一日程"))))))</f>
        <v/>
      </c>
      <c r="E3132" s="13">
        <f>IF(C3132=Options!$B$9,Options!$C$22,0)</f>
        <v/>
      </c>
      <c r="F3132" s="13">
        <f>IF(AND(A3132&lt;&gt;"",C3132&lt;Options!$B$10),B3132*Options!$X$9,0)</f>
        <v/>
      </c>
      <c r="G3132" s="13">
        <f>F3132*12%</f>
        <v/>
      </c>
      <c r="H3132" s="13">
        <f>IF(A3132="",0,B3132*(92*IF(OR(C3132=Options!$B$9,C3132=Options!$B$10),75%,100%)-IF(C3132=DATE(2026,11,29),26+IF(Options!$B$8="是",23,0),0)-IF(C3132=DATE(2026,11,30),26,0)-IF(C3132=DATE(2026,12,1),64,0)-IF(C3132=DATE(2026,11,28),38,0)-IF(C3132=DATE(2026,12,2),26,0)))</f>
        <v/>
      </c>
      <c r="I3132" s="13">
        <f>IF(AND(C3132&gt;=DATE(2026,11,29),C3132&lt;=DATE(2026,12,1)),B3132*60,0)</f>
        <v/>
      </c>
      <c r="J3132" s="13">
        <f>IF(A3132="",0,B3132*(IF(C3132=DATE(2026,11,28),38,0)+IF(C3132=DATE(2026,12,1),38,0)+IF(C3132=DATE(2026,12,2),26,0)))</f>
        <v/>
      </c>
      <c r="K3132" s="13">
        <f>IF(C3132=Options!$B$9,B3132*12,0)</f>
        <v/>
      </c>
      <c r="L3132" s="13">
        <f>IF(C3132=Options!$B$9,B3132*Options!$Z$9,0)</f>
        <v/>
      </c>
      <c r="M3132" s="13" t="n">
        <v>0</v>
      </c>
      <c r="N3132" s="13">
        <f>SUM(E3132:M3132)</f>
        <v/>
      </c>
    </row>
    <row r="3133">
      <c r="A3133" s="5">
        <f>IF(AND(C3133&gt;=Options!$B$9,C3133&lt;=Options!$B$10),"Seattle","")</f>
        <v/>
      </c>
      <c r="B3133" s="5">
        <f>IF(A3133="","",18)</f>
        <v/>
      </c>
      <c r="C3133" s="17" t="n">
        <v>46504</v>
      </c>
      <c r="D3133" s="5">
        <f>IF(A3133="","",IF(C3133=DATE(2026,11,29),"培训；注册午餐；早餐参数",IF(C3133=DATE(2026,11,30),"培训；注册午餐",IF(C3133=DATE(2026,12,1),"培训；注册午餐；机构晚餐",IF(C3133=Options!$B$9,"抵达；"&amp;IF(C3133=DATE(2026,11,28),"机构晚餐","无统一供餐"),IF(C3133=Options!$B$10,"返程；"&amp;IF(C3133=DATE(2026,12,2),"机构午餐","无统一供餐"),"差旅状态；无统一日程"))))))</f>
        <v/>
      </c>
      <c r="E3133" s="13">
        <f>IF(C3133=Options!$B$9,Options!$C$22,0)</f>
        <v/>
      </c>
      <c r="F3133" s="13">
        <f>IF(AND(A3133&lt;&gt;"",C3133&lt;Options!$B$10),B3133*Options!$X$9,0)</f>
        <v/>
      </c>
      <c r="G3133" s="13">
        <f>F3133*12%</f>
        <v/>
      </c>
      <c r="H3133" s="13">
        <f>IF(A3133="",0,B3133*(92*IF(OR(C3133=Options!$B$9,C3133=Options!$B$10),75%,100%)-IF(C3133=DATE(2026,11,29),26+IF(Options!$B$8="是",23,0),0)-IF(C3133=DATE(2026,11,30),26,0)-IF(C3133=DATE(2026,12,1),64,0)-IF(C3133=DATE(2026,11,28),38,0)-IF(C3133=DATE(2026,12,2),26,0)))</f>
        <v/>
      </c>
      <c r="I3133" s="13">
        <f>IF(AND(C3133&gt;=DATE(2026,11,29),C3133&lt;=DATE(2026,12,1)),B3133*60,0)</f>
        <v/>
      </c>
      <c r="J3133" s="13">
        <f>IF(A3133="",0,B3133*(IF(C3133=DATE(2026,11,28),38,0)+IF(C3133=DATE(2026,12,1),38,0)+IF(C3133=DATE(2026,12,2),26,0)))</f>
        <v/>
      </c>
      <c r="K3133" s="13">
        <f>IF(C3133=Options!$B$9,B3133*12,0)</f>
        <v/>
      </c>
      <c r="L3133" s="13">
        <f>IF(C3133=Options!$B$9,B3133*Options!$Z$9,0)</f>
        <v/>
      </c>
      <c r="M3133" s="13" t="n">
        <v>0</v>
      </c>
      <c r="N3133" s="13">
        <f>SUM(E3133:M3133)</f>
        <v/>
      </c>
    </row>
    <row r="3134">
      <c r="A3134" s="5">
        <f>IF(AND(C3134&gt;=Options!$B$9,C3134&lt;=Options!$B$10),"Seattle","")</f>
        <v/>
      </c>
      <c r="B3134" s="5">
        <f>IF(A3134="","",18)</f>
        <v/>
      </c>
      <c r="C3134" s="17" t="n">
        <v>46505</v>
      </c>
      <c r="D3134" s="5">
        <f>IF(A3134="","",IF(C3134=DATE(2026,11,29),"培训；注册午餐；早餐参数",IF(C3134=DATE(2026,11,30),"培训；注册午餐",IF(C3134=DATE(2026,12,1),"培训；注册午餐；机构晚餐",IF(C3134=Options!$B$9,"抵达；"&amp;IF(C3134=DATE(2026,11,28),"机构晚餐","无统一供餐"),IF(C3134=Options!$B$10,"返程；"&amp;IF(C3134=DATE(2026,12,2),"机构午餐","无统一供餐"),"差旅状态；无统一日程"))))))</f>
        <v/>
      </c>
      <c r="E3134" s="13">
        <f>IF(C3134=Options!$B$9,Options!$C$22,0)</f>
        <v/>
      </c>
      <c r="F3134" s="13">
        <f>IF(AND(A3134&lt;&gt;"",C3134&lt;Options!$B$10),B3134*Options!$X$9,0)</f>
        <v/>
      </c>
      <c r="G3134" s="13">
        <f>F3134*12%</f>
        <v/>
      </c>
      <c r="H3134" s="13">
        <f>IF(A3134="",0,B3134*(92*IF(OR(C3134=Options!$B$9,C3134=Options!$B$10),75%,100%)-IF(C3134=DATE(2026,11,29),26+IF(Options!$B$8="是",23,0),0)-IF(C3134=DATE(2026,11,30),26,0)-IF(C3134=DATE(2026,12,1),64,0)-IF(C3134=DATE(2026,11,28),38,0)-IF(C3134=DATE(2026,12,2),26,0)))</f>
        <v/>
      </c>
      <c r="I3134" s="13">
        <f>IF(AND(C3134&gt;=DATE(2026,11,29),C3134&lt;=DATE(2026,12,1)),B3134*60,0)</f>
        <v/>
      </c>
      <c r="J3134" s="13">
        <f>IF(A3134="",0,B3134*(IF(C3134=DATE(2026,11,28),38,0)+IF(C3134=DATE(2026,12,1),38,0)+IF(C3134=DATE(2026,12,2),26,0)))</f>
        <v/>
      </c>
      <c r="K3134" s="13">
        <f>IF(C3134=Options!$B$9,B3134*12,0)</f>
        <v/>
      </c>
      <c r="L3134" s="13">
        <f>IF(C3134=Options!$B$9,B3134*Options!$Z$9,0)</f>
        <v/>
      </c>
      <c r="M3134" s="13" t="n">
        <v>0</v>
      </c>
      <c r="N3134" s="13">
        <f>SUM(E3134:M3134)</f>
        <v/>
      </c>
    </row>
    <row r="3135">
      <c r="A3135" s="5">
        <f>IF(AND(C3135&gt;=Options!$B$9,C3135&lt;=Options!$B$10),"Seattle","")</f>
        <v/>
      </c>
      <c r="B3135" s="5">
        <f>IF(A3135="","",18)</f>
        <v/>
      </c>
      <c r="C3135" s="17" t="n">
        <v>46506</v>
      </c>
      <c r="D3135" s="5">
        <f>IF(A3135="","",IF(C3135=DATE(2026,11,29),"培训；注册午餐；早餐参数",IF(C3135=DATE(2026,11,30),"培训；注册午餐",IF(C3135=DATE(2026,12,1),"培训；注册午餐；机构晚餐",IF(C3135=Options!$B$9,"抵达；"&amp;IF(C3135=DATE(2026,11,28),"机构晚餐","无统一供餐"),IF(C3135=Options!$B$10,"返程；"&amp;IF(C3135=DATE(2026,12,2),"机构午餐","无统一供餐"),"差旅状态；无统一日程"))))))</f>
        <v/>
      </c>
      <c r="E3135" s="13">
        <f>IF(C3135=Options!$B$9,Options!$C$22,0)</f>
        <v/>
      </c>
      <c r="F3135" s="13">
        <f>IF(AND(A3135&lt;&gt;"",C3135&lt;Options!$B$10),B3135*Options!$X$9,0)</f>
        <v/>
      </c>
      <c r="G3135" s="13">
        <f>F3135*12%</f>
        <v/>
      </c>
      <c r="H3135" s="13">
        <f>IF(A3135="",0,B3135*(92*IF(OR(C3135=Options!$B$9,C3135=Options!$B$10),75%,100%)-IF(C3135=DATE(2026,11,29),26+IF(Options!$B$8="是",23,0),0)-IF(C3135=DATE(2026,11,30),26,0)-IF(C3135=DATE(2026,12,1),64,0)-IF(C3135=DATE(2026,11,28),38,0)-IF(C3135=DATE(2026,12,2),26,0)))</f>
        <v/>
      </c>
      <c r="I3135" s="13">
        <f>IF(AND(C3135&gt;=DATE(2026,11,29),C3135&lt;=DATE(2026,12,1)),B3135*60,0)</f>
        <v/>
      </c>
      <c r="J3135" s="13">
        <f>IF(A3135="",0,B3135*(IF(C3135=DATE(2026,11,28),38,0)+IF(C3135=DATE(2026,12,1),38,0)+IF(C3135=DATE(2026,12,2),26,0)))</f>
        <v/>
      </c>
      <c r="K3135" s="13">
        <f>IF(C3135=Options!$B$9,B3135*12,0)</f>
        <v/>
      </c>
      <c r="L3135" s="13">
        <f>IF(C3135=Options!$B$9,B3135*Options!$Z$9,0)</f>
        <v/>
      </c>
      <c r="M3135" s="13" t="n">
        <v>0</v>
      </c>
      <c r="N3135" s="13">
        <f>SUM(E3135:M3135)</f>
        <v/>
      </c>
    </row>
    <row r="3136">
      <c r="A3136" s="5">
        <f>IF(AND(C3136&gt;=Options!$B$9,C3136&lt;=Options!$B$10),"Seattle","")</f>
        <v/>
      </c>
      <c r="B3136" s="5">
        <f>IF(A3136="","",18)</f>
        <v/>
      </c>
      <c r="C3136" s="17" t="n">
        <v>46507</v>
      </c>
      <c r="D3136" s="5">
        <f>IF(A3136="","",IF(C3136=DATE(2026,11,29),"培训；注册午餐；早餐参数",IF(C3136=DATE(2026,11,30),"培训；注册午餐",IF(C3136=DATE(2026,12,1),"培训；注册午餐；机构晚餐",IF(C3136=Options!$B$9,"抵达；"&amp;IF(C3136=DATE(2026,11,28),"机构晚餐","无统一供餐"),IF(C3136=Options!$B$10,"返程；"&amp;IF(C3136=DATE(2026,12,2),"机构午餐","无统一供餐"),"差旅状态；无统一日程"))))))</f>
        <v/>
      </c>
      <c r="E3136" s="13">
        <f>IF(C3136=Options!$B$9,Options!$C$22,0)</f>
        <v/>
      </c>
      <c r="F3136" s="13">
        <f>IF(AND(A3136&lt;&gt;"",C3136&lt;Options!$B$10),B3136*Options!$X$9,0)</f>
        <v/>
      </c>
      <c r="G3136" s="13">
        <f>F3136*12%</f>
        <v/>
      </c>
      <c r="H3136" s="13">
        <f>IF(A3136="",0,B3136*(92*IF(OR(C3136=Options!$B$9,C3136=Options!$B$10),75%,100%)-IF(C3136=DATE(2026,11,29),26+IF(Options!$B$8="是",23,0),0)-IF(C3136=DATE(2026,11,30),26,0)-IF(C3136=DATE(2026,12,1),64,0)-IF(C3136=DATE(2026,11,28),38,0)-IF(C3136=DATE(2026,12,2),26,0)))</f>
        <v/>
      </c>
      <c r="I3136" s="13">
        <f>IF(AND(C3136&gt;=DATE(2026,11,29),C3136&lt;=DATE(2026,12,1)),B3136*60,0)</f>
        <v/>
      </c>
      <c r="J3136" s="13">
        <f>IF(A3136="",0,B3136*(IF(C3136=DATE(2026,11,28),38,0)+IF(C3136=DATE(2026,12,1),38,0)+IF(C3136=DATE(2026,12,2),26,0)))</f>
        <v/>
      </c>
      <c r="K3136" s="13">
        <f>IF(C3136=Options!$B$9,B3136*12,0)</f>
        <v/>
      </c>
      <c r="L3136" s="13">
        <f>IF(C3136=Options!$B$9,B3136*Options!$Z$9,0)</f>
        <v/>
      </c>
      <c r="M3136" s="13" t="n">
        <v>0</v>
      </c>
      <c r="N3136" s="13">
        <f>SUM(E3136:M3136)</f>
        <v/>
      </c>
    </row>
    <row r="3137">
      <c r="A3137" s="5">
        <f>IF(AND(C3137&gt;=Options!$B$9,C3137&lt;=Options!$B$10),"Seattle","")</f>
        <v/>
      </c>
      <c r="B3137" s="5">
        <f>IF(A3137="","",18)</f>
        <v/>
      </c>
      <c r="C3137" s="17" t="n">
        <v>46508</v>
      </c>
      <c r="D3137" s="5">
        <f>IF(A3137="","",IF(C3137=DATE(2026,11,29),"培训；注册午餐；早餐参数",IF(C3137=DATE(2026,11,30),"培训；注册午餐",IF(C3137=DATE(2026,12,1),"培训；注册午餐；机构晚餐",IF(C3137=Options!$B$9,"抵达；"&amp;IF(C3137=DATE(2026,11,28),"机构晚餐","无统一供餐"),IF(C3137=Options!$B$10,"返程；"&amp;IF(C3137=DATE(2026,12,2),"机构午餐","无统一供餐"),"差旅状态；无统一日程"))))))</f>
        <v/>
      </c>
      <c r="E3137" s="13">
        <f>IF(C3137=Options!$B$9,Options!$C$22,0)</f>
        <v/>
      </c>
      <c r="F3137" s="13">
        <f>IF(AND(A3137&lt;&gt;"",C3137&lt;Options!$B$10),B3137*Options!$X$9,0)</f>
        <v/>
      </c>
      <c r="G3137" s="13">
        <f>F3137*12%</f>
        <v/>
      </c>
      <c r="H3137" s="13">
        <f>IF(A3137="",0,B3137*(92*IF(OR(C3137=Options!$B$9,C3137=Options!$B$10),75%,100%)-IF(C3137=DATE(2026,11,29),26+IF(Options!$B$8="是",23,0),0)-IF(C3137=DATE(2026,11,30),26,0)-IF(C3137=DATE(2026,12,1),64,0)-IF(C3137=DATE(2026,11,28),38,0)-IF(C3137=DATE(2026,12,2),26,0)))</f>
        <v/>
      </c>
      <c r="I3137" s="13">
        <f>IF(AND(C3137&gt;=DATE(2026,11,29),C3137&lt;=DATE(2026,12,1)),B3137*60,0)</f>
        <v/>
      </c>
      <c r="J3137" s="13">
        <f>IF(A3137="",0,B3137*(IF(C3137=DATE(2026,11,28),38,0)+IF(C3137=DATE(2026,12,1),38,0)+IF(C3137=DATE(2026,12,2),26,0)))</f>
        <v/>
      </c>
      <c r="K3137" s="13">
        <f>IF(C3137=Options!$B$9,B3137*12,0)</f>
        <v/>
      </c>
      <c r="L3137" s="13">
        <f>IF(C3137=Options!$B$9,B3137*Options!$Z$9,0)</f>
        <v/>
      </c>
      <c r="M3137" s="13" t="n">
        <v>0</v>
      </c>
      <c r="N3137" s="13">
        <f>SUM(E3137:M3137)</f>
        <v/>
      </c>
    </row>
    <row r="3138">
      <c r="A3138" s="5">
        <f>IF(AND(C3138&gt;=Options!$B$9,C3138&lt;=Options!$B$10),"Seattle","")</f>
        <v/>
      </c>
      <c r="B3138" s="5">
        <f>IF(A3138="","",18)</f>
        <v/>
      </c>
      <c r="C3138" s="17" t="n">
        <v>46509</v>
      </c>
      <c r="D3138" s="5">
        <f>IF(A3138="","",IF(C3138=DATE(2026,11,29),"培训；注册午餐；早餐参数",IF(C3138=DATE(2026,11,30),"培训；注册午餐",IF(C3138=DATE(2026,12,1),"培训；注册午餐；机构晚餐",IF(C3138=Options!$B$9,"抵达；"&amp;IF(C3138=DATE(2026,11,28),"机构晚餐","无统一供餐"),IF(C3138=Options!$B$10,"返程；"&amp;IF(C3138=DATE(2026,12,2),"机构午餐","无统一供餐"),"差旅状态；无统一日程"))))))</f>
        <v/>
      </c>
      <c r="E3138" s="13">
        <f>IF(C3138=Options!$B$9,Options!$C$22,0)</f>
        <v/>
      </c>
      <c r="F3138" s="13">
        <f>IF(AND(A3138&lt;&gt;"",C3138&lt;Options!$B$10),B3138*Options!$X$9,0)</f>
        <v/>
      </c>
      <c r="G3138" s="13">
        <f>F3138*12%</f>
        <v/>
      </c>
      <c r="H3138" s="13">
        <f>IF(A3138="",0,B3138*(92*IF(OR(C3138=Options!$B$9,C3138=Options!$B$10),75%,100%)-IF(C3138=DATE(2026,11,29),26+IF(Options!$B$8="是",23,0),0)-IF(C3138=DATE(2026,11,30),26,0)-IF(C3138=DATE(2026,12,1),64,0)-IF(C3138=DATE(2026,11,28),38,0)-IF(C3138=DATE(2026,12,2),26,0)))</f>
        <v/>
      </c>
      <c r="I3138" s="13">
        <f>IF(AND(C3138&gt;=DATE(2026,11,29),C3138&lt;=DATE(2026,12,1)),B3138*60,0)</f>
        <v/>
      </c>
      <c r="J3138" s="13">
        <f>IF(A3138="",0,B3138*(IF(C3138=DATE(2026,11,28),38,0)+IF(C3138=DATE(2026,12,1),38,0)+IF(C3138=DATE(2026,12,2),26,0)))</f>
        <v/>
      </c>
      <c r="K3138" s="13">
        <f>IF(C3138=Options!$B$9,B3138*12,0)</f>
        <v/>
      </c>
      <c r="L3138" s="13">
        <f>IF(C3138=Options!$B$9,B3138*Options!$Z$9,0)</f>
        <v/>
      </c>
      <c r="M3138" s="13" t="n">
        <v>0</v>
      </c>
      <c r="N3138" s="13">
        <f>SUM(E3138:M3138)</f>
        <v/>
      </c>
    </row>
    <row r="3139">
      <c r="A3139" s="5">
        <f>IF(AND(C3139&gt;=Options!$B$9,C3139&lt;=Options!$B$10),"Seattle","")</f>
        <v/>
      </c>
      <c r="B3139" s="5">
        <f>IF(A3139="","",18)</f>
        <v/>
      </c>
      <c r="C3139" s="17" t="n">
        <v>46510</v>
      </c>
      <c r="D3139" s="5">
        <f>IF(A3139="","",IF(C3139=DATE(2026,11,29),"培训；注册午餐；早餐参数",IF(C3139=DATE(2026,11,30),"培训；注册午餐",IF(C3139=DATE(2026,12,1),"培训；注册午餐；机构晚餐",IF(C3139=Options!$B$9,"抵达；"&amp;IF(C3139=DATE(2026,11,28),"机构晚餐","无统一供餐"),IF(C3139=Options!$B$10,"返程；"&amp;IF(C3139=DATE(2026,12,2),"机构午餐","无统一供餐"),"差旅状态；无统一日程"))))))</f>
        <v/>
      </c>
      <c r="E3139" s="13">
        <f>IF(C3139=Options!$B$9,Options!$C$22,0)</f>
        <v/>
      </c>
      <c r="F3139" s="13">
        <f>IF(AND(A3139&lt;&gt;"",C3139&lt;Options!$B$10),B3139*Options!$X$9,0)</f>
        <v/>
      </c>
      <c r="G3139" s="13">
        <f>F3139*12%</f>
        <v/>
      </c>
      <c r="H3139" s="13">
        <f>IF(A3139="",0,B3139*(92*IF(OR(C3139=Options!$B$9,C3139=Options!$B$10),75%,100%)-IF(C3139=DATE(2026,11,29),26+IF(Options!$B$8="是",23,0),0)-IF(C3139=DATE(2026,11,30),26,0)-IF(C3139=DATE(2026,12,1),64,0)-IF(C3139=DATE(2026,11,28),38,0)-IF(C3139=DATE(2026,12,2),26,0)))</f>
        <v/>
      </c>
      <c r="I3139" s="13">
        <f>IF(AND(C3139&gt;=DATE(2026,11,29),C3139&lt;=DATE(2026,12,1)),B3139*60,0)</f>
        <v/>
      </c>
      <c r="J3139" s="13">
        <f>IF(A3139="",0,B3139*(IF(C3139=DATE(2026,11,28),38,0)+IF(C3139=DATE(2026,12,1),38,0)+IF(C3139=DATE(2026,12,2),26,0)))</f>
        <v/>
      </c>
      <c r="K3139" s="13">
        <f>IF(C3139=Options!$B$9,B3139*12,0)</f>
        <v/>
      </c>
      <c r="L3139" s="13">
        <f>IF(C3139=Options!$B$9,B3139*Options!$Z$9,0)</f>
        <v/>
      </c>
      <c r="M3139" s="13" t="n">
        <v>0</v>
      </c>
      <c r="N3139" s="13">
        <f>SUM(E3139:M3139)</f>
        <v/>
      </c>
    </row>
    <row r="3140">
      <c r="A3140" s="5">
        <f>IF(AND(C3140&gt;=Options!$B$9,C3140&lt;=Options!$B$10),"Seattle","")</f>
        <v/>
      </c>
      <c r="B3140" s="5">
        <f>IF(A3140="","",18)</f>
        <v/>
      </c>
      <c r="C3140" s="17" t="n">
        <v>46511</v>
      </c>
      <c r="D3140" s="5">
        <f>IF(A3140="","",IF(C3140=DATE(2026,11,29),"培训；注册午餐；早餐参数",IF(C3140=DATE(2026,11,30),"培训；注册午餐",IF(C3140=DATE(2026,12,1),"培训；注册午餐；机构晚餐",IF(C3140=Options!$B$9,"抵达；"&amp;IF(C3140=DATE(2026,11,28),"机构晚餐","无统一供餐"),IF(C3140=Options!$B$10,"返程；"&amp;IF(C3140=DATE(2026,12,2),"机构午餐","无统一供餐"),"差旅状态；无统一日程"))))))</f>
        <v/>
      </c>
      <c r="E3140" s="13">
        <f>IF(C3140=Options!$B$9,Options!$C$22,0)</f>
        <v/>
      </c>
      <c r="F3140" s="13">
        <f>IF(AND(A3140&lt;&gt;"",C3140&lt;Options!$B$10),B3140*Options!$X$9,0)</f>
        <v/>
      </c>
      <c r="G3140" s="13">
        <f>F3140*12%</f>
        <v/>
      </c>
      <c r="H3140" s="13">
        <f>IF(A3140="",0,B3140*(92*IF(OR(C3140=Options!$B$9,C3140=Options!$B$10),75%,100%)-IF(C3140=DATE(2026,11,29),26+IF(Options!$B$8="是",23,0),0)-IF(C3140=DATE(2026,11,30),26,0)-IF(C3140=DATE(2026,12,1),64,0)-IF(C3140=DATE(2026,11,28),38,0)-IF(C3140=DATE(2026,12,2),26,0)))</f>
        <v/>
      </c>
      <c r="I3140" s="13">
        <f>IF(AND(C3140&gt;=DATE(2026,11,29),C3140&lt;=DATE(2026,12,1)),B3140*60,0)</f>
        <v/>
      </c>
      <c r="J3140" s="13">
        <f>IF(A3140="",0,B3140*(IF(C3140=DATE(2026,11,28),38,0)+IF(C3140=DATE(2026,12,1),38,0)+IF(C3140=DATE(2026,12,2),26,0)))</f>
        <v/>
      </c>
      <c r="K3140" s="13">
        <f>IF(C3140=Options!$B$9,B3140*12,0)</f>
        <v/>
      </c>
      <c r="L3140" s="13">
        <f>IF(C3140=Options!$B$9,B3140*Options!$Z$9,0)</f>
        <v/>
      </c>
      <c r="M3140" s="13" t="n">
        <v>0</v>
      </c>
      <c r="N3140" s="13">
        <f>SUM(E3140:M3140)</f>
        <v/>
      </c>
    </row>
    <row r="3141">
      <c r="A3141" s="5">
        <f>IF(AND(C3141&gt;=Options!$B$9,C3141&lt;=Options!$B$10),"Seattle","")</f>
        <v/>
      </c>
      <c r="B3141" s="5">
        <f>IF(A3141="","",18)</f>
        <v/>
      </c>
      <c r="C3141" s="17" t="n">
        <v>46512</v>
      </c>
      <c r="D3141" s="5">
        <f>IF(A3141="","",IF(C3141=DATE(2026,11,29),"培训；注册午餐；早餐参数",IF(C3141=DATE(2026,11,30),"培训；注册午餐",IF(C3141=DATE(2026,12,1),"培训；注册午餐；机构晚餐",IF(C3141=Options!$B$9,"抵达；"&amp;IF(C3141=DATE(2026,11,28),"机构晚餐","无统一供餐"),IF(C3141=Options!$B$10,"返程；"&amp;IF(C3141=DATE(2026,12,2),"机构午餐","无统一供餐"),"差旅状态；无统一日程"))))))</f>
        <v/>
      </c>
      <c r="E3141" s="13">
        <f>IF(C3141=Options!$B$9,Options!$C$22,0)</f>
        <v/>
      </c>
      <c r="F3141" s="13">
        <f>IF(AND(A3141&lt;&gt;"",C3141&lt;Options!$B$10),B3141*Options!$X$9,0)</f>
        <v/>
      </c>
      <c r="G3141" s="13">
        <f>F3141*12%</f>
        <v/>
      </c>
      <c r="H3141" s="13">
        <f>IF(A3141="",0,B3141*(92*IF(OR(C3141=Options!$B$9,C3141=Options!$B$10),75%,100%)-IF(C3141=DATE(2026,11,29),26+IF(Options!$B$8="是",23,0),0)-IF(C3141=DATE(2026,11,30),26,0)-IF(C3141=DATE(2026,12,1),64,0)-IF(C3141=DATE(2026,11,28),38,0)-IF(C3141=DATE(2026,12,2),26,0)))</f>
        <v/>
      </c>
      <c r="I3141" s="13">
        <f>IF(AND(C3141&gt;=DATE(2026,11,29),C3141&lt;=DATE(2026,12,1)),B3141*60,0)</f>
        <v/>
      </c>
      <c r="J3141" s="13">
        <f>IF(A3141="",0,B3141*(IF(C3141=DATE(2026,11,28),38,0)+IF(C3141=DATE(2026,12,1),38,0)+IF(C3141=DATE(2026,12,2),26,0)))</f>
        <v/>
      </c>
      <c r="K3141" s="13">
        <f>IF(C3141=Options!$B$9,B3141*12,0)</f>
        <v/>
      </c>
      <c r="L3141" s="13">
        <f>IF(C3141=Options!$B$9,B3141*Options!$Z$9,0)</f>
        <v/>
      </c>
      <c r="M3141" s="13" t="n">
        <v>0</v>
      </c>
      <c r="N3141" s="13">
        <f>SUM(E3141:M3141)</f>
        <v/>
      </c>
    </row>
    <row r="3142">
      <c r="A3142" s="5">
        <f>IF(AND(C3142&gt;=Options!$B$9,C3142&lt;=Options!$B$10),"Seattle","")</f>
        <v/>
      </c>
      <c r="B3142" s="5">
        <f>IF(A3142="","",18)</f>
        <v/>
      </c>
      <c r="C3142" s="17" t="n">
        <v>46513</v>
      </c>
      <c r="D3142" s="5">
        <f>IF(A3142="","",IF(C3142=DATE(2026,11,29),"培训；注册午餐；早餐参数",IF(C3142=DATE(2026,11,30),"培训；注册午餐",IF(C3142=DATE(2026,12,1),"培训；注册午餐；机构晚餐",IF(C3142=Options!$B$9,"抵达；"&amp;IF(C3142=DATE(2026,11,28),"机构晚餐","无统一供餐"),IF(C3142=Options!$B$10,"返程；"&amp;IF(C3142=DATE(2026,12,2),"机构午餐","无统一供餐"),"差旅状态；无统一日程"))))))</f>
        <v/>
      </c>
      <c r="E3142" s="13">
        <f>IF(C3142=Options!$B$9,Options!$C$22,0)</f>
        <v/>
      </c>
      <c r="F3142" s="13">
        <f>IF(AND(A3142&lt;&gt;"",C3142&lt;Options!$B$10),B3142*Options!$X$9,0)</f>
        <v/>
      </c>
      <c r="G3142" s="13">
        <f>F3142*12%</f>
        <v/>
      </c>
      <c r="H3142" s="13">
        <f>IF(A3142="",0,B3142*(92*IF(OR(C3142=Options!$B$9,C3142=Options!$B$10),75%,100%)-IF(C3142=DATE(2026,11,29),26+IF(Options!$B$8="是",23,0),0)-IF(C3142=DATE(2026,11,30),26,0)-IF(C3142=DATE(2026,12,1),64,0)-IF(C3142=DATE(2026,11,28),38,0)-IF(C3142=DATE(2026,12,2),26,0)))</f>
        <v/>
      </c>
      <c r="I3142" s="13">
        <f>IF(AND(C3142&gt;=DATE(2026,11,29),C3142&lt;=DATE(2026,12,1)),B3142*60,0)</f>
        <v/>
      </c>
      <c r="J3142" s="13">
        <f>IF(A3142="",0,B3142*(IF(C3142=DATE(2026,11,28),38,0)+IF(C3142=DATE(2026,12,1),38,0)+IF(C3142=DATE(2026,12,2),26,0)))</f>
        <v/>
      </c>
      <c r="K3142" s="13">
        <f>IF(C3142=Options!$B$9,B3142*12,0)</f>
        <v/>
      </c>
      <c r="L3142" s="13">
        <f>IF(C3142=Options!$B$9,B3142*Options!$Z$9,0)</f>
        <v/>
      </c>
      <c r="M3142" s="13" t="n">
        <v>0</v>
      </c>
      <c r="N3142" s="13">
        <f>SUM(E3142:M3142)</f>
        <v/>
      </c>
    </row>
    <row r="3143">
      <c r="A3143" s="5">
        <f>IF(AND(C3143&gt;=Options!$B$9,C3143&lt;=Options!$B$10),"Seattle","")</f>
        <v/>
      </c>
      <c r="B3143" s="5">
        <f>IF(A3143="","",18)</f>
        <v/>
      </c>
      <c r="C3143" s="17" t="n">
        <v>46514</v>
      </c>
      <c r="D3143" s="5">
        <f>IF(A3143="","",IF(C3143=DATE(2026,11,29),"培训；注册午餐；早餐参数",IF(C3143=DATE(2026,11,30),"培训；注册午餐",IF(C3143=DATE(2026,12,1),"培训；注册午餐；机构晚餐",IF(C3143=Options!$B$9,"抵达；"&amp;IF(C3143=DATE(2026,11,28),"机构晚餐","无统一供餐"),IF(C3143=Options!$B$10,"返程；"&amp;IF(C3143=DATE(2026,12,2),"机构午餐","无统一供餐"),"差旅状态；无统一日程"))))))</f>
        <v/>
      </c>
      <c r="E3143" s="13">
        <f>IF(C3143=Options!$B$9,Options!$C$22,0)</f>
        <v/>
      </c>
      <c r="F3143" s="13">
        <f>IF(AND(A3143&lt;&gt;"",C3143&lt;Options!$B$10),B3143*Options!$X$9,0)</f>
        <v/>
      </c>
      <c r="G3143" s="13">
        <f>F3143*12%</f>
        <v/>
      </c>
      <c r="H3143" s="13">
        <f>IF(A3143="",0,B3143*(92*IF(OR(C3143=Options!$B$9,C3143=Options!$B$10),75%,100%)-IF(C3143=DATE(2026,11,29),26+IF(Options!$B$8="是",23,0),0)-IF(C3143=DATE(2026,11,30),26,0)-IF(C3143=DATE(2026,12,1),64,0)-IF(C3143=DATE(2026,11,28),38,0)-IF(C3143=DATE(2026,12,2),26,0)))</f>
        <v/>
      </c>
      <c r="I3143" s="13">
        <f>IF(AND(C3143&gt;=DATE(2026,11,29),C3143&lt;=DATE(2026,12,1)),B3143*60,0)</f>
        <v/>
      </c>
      <c r="J3143" s="13">
        <f>IF(A3143="",0,B3143*(IF(C3143=DATE(2026,11,28),38,0)+IF(C3143=DATE(2026,12,1),38,0)+IF(C3143=DATE(2026,12,2),26,0)))</f>
        <v/>
      </c>
      <c r="K3143" s="13">
        <f>IF(C3143=Options!$B$9,B3143*12,0)</f>
        <v/>
      </c>
      <c r="L3143" s="13">
        <f>IF(C3143=Options!$B$9,B3143*Options!$Z$9,0)</f>
        <v/>
      </c>
      <c r="M3143" s="13" t="n">
        <v>0</v>
      </c>
      <c r="N3143" s="13">
        <f>SUM(E3143:M3143)</f>
        <v/>
      </c>
    </row>
    <row r="3144">
      <c r="A3144" s="5">
        <f>IF(AND(C3144&gt;=Options!$B$9,C3144&lt;=Options!$B$10),"Seattle","")</f>
        <v/>
      </c>
      <c r="B3144" s="5">
        <f>IF(A3144="","",18)</f>
        <v/>
      </c>
      <c r="C3144" s="17" t="n">
        <v>46515</v>
      </c>
      <c r="D3144" s="5">
        <f>IF(A3144="","",IF(C3144=DATE(2026,11,29),"培训；注册午餐；早餐参数",IF(C3144=DATE(2026,11,30),"培训；注册午餐",IF(C3144=DATE(2026,12,1),"培训；注册午餐；机构晚餐",IF(C3144=Options!$B$9,"抵达；"&amp;IF(C3144=DATE(2026,11,28),"机构晚餐","无统一供餐"),IF(C3144=Options!$B$10,"返程；"&amp;IF(C3144=DATE(2026,12,2),"机构午餐","无统一供餐"),"差旅状态；无统一日程"))))))</f>
        <v/>
      </c>
      <c r="E3144" s="13">
        <f>IF(C3144=Options!$B$9,Options!$C$22,0)</f>
        <v/>
      </c>
      <c r="F3144" s="13">
        <f>IF(AND(A3144&lt;&gt;"",C3144&lt;Options!$B$10),B3144*Options!$X$9,0)</f>
        <v/>
      </c>
      <c r="G3144" s="13">
        <f>F3144*12%</f>
        <v/>
      </c>
      <c r="H3144" s="13">
        <f>IF(A3144="",0,B3144*(92*IF(OR(C3144=Options!$B$9,C3144=Options!$B$10),75%,100%)-IF(C3144=DATE(2026,11,29),26+IF(Options!$B$8="是",23,0),0)-IF(C3144=DATE(2026,11,30),26,0)-IF(C3144=DATE(2026,12,1),64,0)-IF(C3144=DATE(2026,11,28),38,0)-IF(C3144=DATE(2026,12,2),26,0)))</f>
        <v/>
      </c>
      <c r="I3144" s="13">
        <f>IF(AND(C3144&gt;=DATE(2026,11,29),C3144&lt;=DATE(2026,12,1)),B3144*60,0)</f>
        <v/>
      </c>
      <c r="J3144" s="13">
        <f>IF(A3144="",0,B3144*(IF(C3144=DATE(2026,11,28),38,0)+IF(C3144=DATE(2026,12,1),38,0)+IF(C3144=DATE(2026,12,2),26,0)))</f>
        <v/>
      </c>
      <c r="K3144" s="13">
        <f>IF(C3144=Options!$B$9,B3144*12,0)</f>
        <v/>
      </c>
      <c r="L3144" s="13">
        <f>IF(C3144=Options!$B$9,B3144*Options!$Z$9,0)</f>
        <v/>
      </c>
      <c r="M3144" s="13" t="n">
        <v>0</v>
      </c>
      <c r="N3144" s="13">
        <f>SUM(E3144:M3144)</f>
        <v/>
      </c>
    </row>
    <row r="3145">
      <c r="A3145" s="5">
        <f>IF(AND(C3145&gt;=Options!$B$9,C3145&lt;=Options!$B$10),"Seattle","")</f>
        <v/>
      </c>
      <c r="B3145" s="5">
        <f>IF(A3145="","",18)</f>
        <v/>
      </c>
      <c r="C3145" s="17" t="n">
        <v>46516</v>
      </c>
      <c r="D3145" s="5">
        <f>IF(A3145="","",IF(C3145=DATE(2026,11,29),"培训；注册午餐；早餐参数",IF(C3145=DATE(2026,11,30),"培训；注册午餐",IF(C3145=DATE(2026,12,1),"培训；注册午餐；机构晚餐",IF(C3145=Options!$B$9,"抵达；"&amp;IF(C3145=DATE(2026,11,28),"机构晚餐","无统一供餐"),IF(C3145=Options!$B$10,"返程；"&amp;IF(C3145=DATE(2026,12,2),"机构午餐","无统一供餐"),"差旅状态；无统一日程"))))))</f>
        <v/>
      </c>
      <c r="E3145" s="13">
        <f>IF(C3145=Options!$B$9,Options!$C$22,0)</f>
        <v/>
      </c>
      <c r="F3145" s="13">
        <f>IF(AND(A3145&lt;&gt;"",C3145&lt;Options!$B$10),B3145*Options!$X$9,0)</f>
        <v/>
      </c>
      <c r="G3145" s="13">
        <f>F3145*12%</f>
        <v/>
      </c>
      <c r="H3145" s="13">
        <f>IF(A3145="",0,B3145*(92*IF(OR(C3145=Options!$B$9,C3145=Options!$B$10),75%,100%)-IF(C3145=DATE(2026,11,29),26+IF(Options!$B$8="是",23,0),0)-IF(C3145=DATE(2026,11,30),26,0)-IF(C3145=DATE(2026,12,1),64,0)-IF(C3145=DATE(2026,11,28),38,0)-IF(C3145=DATE(2026,12,2),26,0)))</f>
        <v/>
      </c>
      <c r="I3145" s="13">
        <f>IF(AND(C3145&gt;=DATE(2026,11,29),C3145&lt;=DATE(2026,12,1)),B3145*60,0)</f>
        <v/>
      </c>
      <c r="J3145" s="13">
        <f>IF(A3145="",0,B3145*(IF(C3145=DATE(2026,11,28),38,0)+IF(C3145=DATE(2026,12,1),38,0)+IF(C3145=DATE(2026,12,2),26,0)))</f>
        <v/>
      </c>
      <c r="K3145" s="13">
        <f>IF(C3145=Options!$B$9,B3145*12,0)</f>
        <v/>
      </c>
      <c r="L3145" s="13">
        <f>IF(C3145=Options!$B$9,B3145*Options!$Z$9,0)</f>
        <v/>
      </c>
      <c r="M3145" s="13" t="n">
        <v>0</v>
      </c>
      <c r="N3145" s="13">
        <f>SUM(E3145:M3145)</f>
        <v/>
      </c>
    </row>
    <row r="3146">
      <c r="A3146" s="5">
        <f>IF(AND(C3146&gt;=Options!$B$9,C3146&lt;=Options!$B$10),"Seattle","")</f>
        <v/>
      </c>
      <c r="B3146" s="5">
        <f>IF(A3146="","",18)</f>
        <v/>
      </c>
      <c r="C3146" s="17" t="n">
        <v>46517</v>
      </c>
      <c r="D3146" s="5">
        <f>IF(A3146="","",IF(C3146=DATE(2026,11,29),"培训；注册午餐；早餐参数",IF(C3146=DATE(2026,11,30),"培训；注册午餐",IF(C3146=DATE(2026,12,1),"培训；注册午餐；机构晚餐",IF(C3146=Options!$B$9,"抵达；"&amp;IF(C3146=DATE(2026,11,28),"机构晚餐","无统一供餐"),IF(C3146=Options!$B$10,"返程；"&amp;IF(C3146=DATE(2026,12,2),"机构午餐","无统一供餐"),"差旅状态；无统一日程"))))))</f>
        <v/>
      </c>
      <c r="E3146" s="13">
        <f>IF(C3146=Options!$B$9,Options!$C$22,0)</f>
        <v/>
      </c>
      <c r="F3146" s="13">
        <f>IF(AND(A3146&lt;&gt;"",C3146&lt;Options!$B$10),B3146*Options!$X$9,0)</f>
        <v/>
      </c>
      <c r="G3146" s="13">
        <f>F3146*12%</f>
        <v/>
      </c>
      <c r="H3146" s="13">
        <f>IF(A3146="",0,B3146*(92*IF(OR(C3146=Options!$B$9,C3146=Options!$B$10),75%,100%)-IF(C3146=DATE(2026,11,29),26+IF(Options!$B$8="是",23,0),0)-IF(C3146=DATE(2026,11,30),26,0)-IF(C3146=DATE(2026,12,1),64,0)-IF(C3146=DATE(2026,11,28),38,0)-IF(C3146=DATE(2026,12,2),26,0)))</f>
        <v/>
      </c>
      <c r="I3146" s="13">
        <f>IF(AND(C3146&gt;=DATE(2026,11,29),C3146&lt;=DATE(2026,12,1)),B3146*60,0)</f>
        <v/>
      </c>
      <c r="J3146" s="13">
        <f>IF(A3146="",0,B3146*(IF(C3146=DATE(2026,11,28),38,0)+IF(C3146=DATE(2026,12,1),38,0)+IF(C3146=DATE(2026,12,2),26,0)))</f>
        <v/>
      </c>
      <c r="K3146" s="13">
        <f>IF(C3146=Options!$B$9,B3146*12,0)</f>
        <v/>
      </c>
      <c r="L3146" s="13">
        <f>IF(C3146=Options!$B$9,B3146*Options!$Z$9,0)</f>
        <v/>
      </c>
      <c r="M3146" s="13" t="n">
        <v>0</v>
      </c>
      <c r="N3146" s="13">
        <f>SUM(E3146:M3146)</f>
        <v/>
      </c>
    </row>
    <row r="3147">
      <c r="A3147" s="5">
        <f>IF(AND(C3147&gt;=Options!$B$9,C3147&lt;=Options!$B$10),"Seattle","")</f>
        <v/>
      </c>
      <c r="B3147" s="5">
        <f>IF(A3147="","",18)</f>
        <v/>
      </c>
      <c r="C3147" s="17" t="n">
        <v>46518</v>
      </c>
      <c r="D3147" s="5">
        <f>IF(A3147="","",IF(C3147=DATE(2026,11,29),"培训；注册午餐；早餐参数",IF(C3147=DATE(2026,11,30),"培训；注册午餐",IF(C3147=DATE(2026,12,1),"培训；注册午餐；机构晚餐",IF(C3147=Options!$B$9,"抵达；"&amp;IF(C3147=DATE(2026,11,28),"机构晚餐","无统一供餐"),IF(C3147=Options!$B$10,"返程；"&amp;IF(C3147=DATE(2026,12,2),"机构午餐","无统一供餐"),"差旅状态；无统一日程"))))))</f>
        <v/>
      </c>
      <c r="E3147" s="13">
        <f>IF(C3147=Options!$B$9,Options!$C$22,0)</f>
        <v/>
      </c>
      <c r="F3147" s="13">
        <f>IF(AND(A3147&lt;&gt;"",C3147&lt;Options!$B$10),B3147*Options!$X$9,0)</f>
        <v/>
      </c>
      <c r="G3147" s="13">
        <f>F3147*12%</f>
        <v/>
      </c>
      <c r="H3147" s="13">
        <f>IF(A3147="",0,B3147*(92*IF(OR(C3147=Options!$B$9,C3147=Options!$B$10),75%,100%)-IF(C3147=DATE(2026,11,29),26+IF(Options!$B$8="是",23,0),0)-IF(C3147=DATE(2026,11,30),26,0)-IF(C3147=DATE(2026,12,1),64,0)-IF(C3147=DATE(2026,11,28),38,0)-IF(C3147=DATE(2026,12,2),26,0)))</f>
        <v/>
      </c>
      <c r="I3147" s="13">
        <f>IF(AND(C3147&gt;=DATE(2026,11,29),C3147&lt;=DATE(2026,12,1)),B3147*60,0)</f>
        <v/>
      </c>
      <c r="J3147" s="13">
        <f>IF(A3147="",0,B3147*(IF(C3147=DATE(2026,11,28),38,0)+IF(C3147=DATE(2026,12,1),38,0)+IF(C3147=DATE(2026,12,2),26,0)))</f>
        <v/>
      </c>
      <c r="K3147" s="13">
        <f>IF(C3147=Options!$B$9,B3147*12,0)</f>
        <v/>
      </c>
      <c r="L3147" s="13">
        <f>IF(C3147=Options!$B$9,B3147*Options!$Z$9,0)</f>
        <v/>
      </c>
      <c r="M3147" s="13" t="n">
        <v>0</v>
      </c>
      <c r="N3147" s="13">
        <f>SUM(E3147:M3147)</f>
        <v/>
      </c>
    </row>
    <row r="3148">
      <c r="A3148" s="5">
        <f>IF(AND(C3148&gt;=Options!$B$9,C3148&lt;=Options!$B$10),"Seattle","")</f>
        <v/>
      </c>
      <c r="B3148" s="5">
        <f>IF(A3148="","",18)</f>
        <v/>
      </c>
      <c r="C3148" s="17" t="n">
        <v>46519</v>
      </c>
      <c r="D3148" s="5">
        <f>IF(A3148="","",IF(C3148=DATE(2026,11,29),"培训；注册午餐；早餐参数",IF(C3148=DATE(2026,11,30),"培训；注册午餐",IF(C3148=DATE(2026,12,1),"培训；注册午餐；机构晚餐",IF(C3148=Options!$B$9,"抵达；"&amp;IF(C3148=DATE(2026,11,28),"机构晚餐","无统一供餐"),IF(C3148=Options!$B$10,"返程；"&amp;IF(C3148=DATE(2026,12,2),"机构午餐","无统一供餐"),"差旅状态；无统一日程"))))))</f>
        <v/>
      </c>
      <c r="E3148" s="13">
        <f>IF(C3148=Options!$B$9,Options!$C$22,0)</f>
        <v/>
      </c>
      <c r="F3148" s="13">
        <f>IF(AND(A3148&lt;&gt;"",C3148&lt;Options!$B$10),B3148*Options!$X$9,0)</f>
        <v/>
      </c>
      <c r="G3148" s="13">
        <f>F3148*12%</f>
        <v/>
      </c>
      <c r="H3148" s="13">
        <f>IF(A3148="",0,B3148*(92*IF(OR(C3148=Options!$B$9,C3148=Options!$B$10),75%,100%)-IF(C3148=DATE(2026,11,29),26+IF(Options!$B$8="是",23,0),0)-IF(C3148=DATE(2026,11,30),26,0)-IF(C3148=DATE(2026,12,1),64,0)-IF(C3148=DATE(2026,11,28),38,0)-IF(C3148=DATE(2026,12,2),26,0)))</f>
        <v/>
      </c>
      <c r="I3148" s="13">
        <f>IF(AND(C3148&gt;=DATE(2026,11,29),C3148&lt;=DATE(2026,12,1)),B3148*60,0)</f>
        <v/>
      </c>
      <c r="J3148" s="13">
        <f>IF(A3148="",0,B3148*(IF(C3148=DATE(2026,11,28),38,0)+IF(C3148=DATE(2026,12,1),38,0)+IF(C3148=DATE(2026,12,2),26,0)))</f>
        <v/>
      </c>
      <c r="K3148" s="13">
        <f>IF(C3148=Options!$B$9,B3148*12,0)</f>
        <v/>
      </c>
      <c r="L3148" s="13">
        <f>IF(C3148=Options!$B$9,B3148*Options!$Z$9,0)</f>
        <v/>
      </c>
      <c r="M3148" s="13" t="n">
        <v>0</v>
      </c>
      <c r="N3148" s="13">
        <f>SUM(E3148:M3148)</f>
        <v/>
      </c>
    </row>
    <row r="3149">
      <c r="A3149" s="5">
        <f>IF(AND(C3149&gt;=Options!$B$9,C3149&lt;=Options!$B$10),"Seattle","")</f>
        <v/>
      </c>
      <c r="B3149" s="5">
        <f>IF(A3149="","",18)</f>
        <v/>
      </c>
      <c r="C3149" s="17" t="n">
        <v>46520</v>
      </c>
      <c r="D3149" s="5">
        <f>IF(A3149="","",IF(C3149=DATE(2026,11,29),"培训；注册午餐；早餐参数",IF(C3149=DATE(2026,11,30),"培训；注册午餐",IF(C3149=DATE(2026,12,1),"培训；注册午餐；机构晚餐",IF(C3149=Options!$B$9,"抵达；"&amp;IF(C3149=DATE(2026,11,28),"机构晚餐","无统一供餐"),IF(C3149=Options!$B$10,"返程；"&amp;IF(C3149=DATE(2026,12,2),"机构午餐","无统一供餐"),"差旅状态；无统一日程"))))))</f>
        <v/>
      </c>
      <c r="E3149" s="13">
        <f>IF(C3149=Options!$B$9,Options!$C$22,0)</f>
        <v/>
      </c>
      <c r="F3149" s="13">
        <f>IF(AND(A3149&lt;&gt;"",C3149&lt;Options!$B$10),B3149*Options!$X$9,0)</f>
        <v/>
      </c>
      <c r="G3149" s="13">
        <f>F3149*12%</f>
        <v/>
      </c>
      <c r="H3149" s="13">
        <f>IF(A3149="",0,B3149*(92*IF(OR(C3149=Options!$B$9,C3149=Options!$B$10),75%,100%)-IF(C3149=DATE(2026,11,29),26+IF(Options!$B$8="是",23,0),0)-IF(C3149=DATE(2026,11,30),26,0)-IF(C3149=DATE(2026,12,1),64,0)-IF(C3149=DATE(2026,11,28),38,0)-IF(C3149=DATE(2026,12,2),26,0)))</f>
        <v/>
      </c>
      <c r="I3149" s="13">
        <f>IF(AND(C3149&gt;=DATE(2026,11,29),C3149&lt;=DATE(2026,12,1)),B3149*60,0)</f>
        <v/>
      </c>
      <c r="J3149" s="13">
        <f>IF(A3149="",0,B3149*(IF(C3149=DATE(2026,11,28),38,0)+IF(C3149=DATE(2026,12,1),38,0)+IF(C3149=DATE(2026,12,2),26,0)))</f>
        <v/>
      </c>
      <c r="K3149" s="13">
        <f>IF(C3149=Options!$B$9,B3149*12,0)</f>
        <v/>
      </c>
      <c r="L3149" s="13">
        <f>IF(C3149=Options!$B$9,B3149*Options!$Z$9,0)</f>
        <v/>
      </c>
      <c r="M3149" s="13" t="n">
        <v>0</v>
      </c>
      <c r="N3149" s="13">
        <f>SUM(E3149:M3149)</f>
        <v/>
      </c>
    </row>
    <row r="3150">
      <c r="A3150" s="5">
        <f>IF(AND(C3150&gt;=Options!$B$9,C3150&lt;=Options!$B$10),"Seattle","")</f>
        <v/>
      </c>
      <c r="B3150" s="5">
        <f>IF(A3150="","",18)</f>
        <v/>
      </c>
      <c r="C3150" s="17" t="n">
        <v>46521</v>
      </c>
      <c r="D3150" s="5">
        <f>IF(A3150="","",IF(C3150=DATE(2026,11,29),"培训；注册午餐；早餐参数",IF(C3150=DATE(2026,11,30),"培训；注册午餐",IF(C3150=DATE(2026,12,1),"培训；注册午餐；机构晚餐",IF(C3150=Options!$B$9,"抵达；"&amp;IF(C3150=DATE(2026,11,28),"机构晚餐","无统一供餐"),IF(C3150=Options!$B$10,"返程；"&amp;IF(C3150=DATE(2026,12,2),"机构午餐","无统一供餐"),"差旅状态；无统一日程"))))))</f>
        <v/>
      </c>
      <c r="E3150" s="13">
        <f>IF(C3150=Options!$B$9,Options!$C$22,0)</f>
        <v/>
      </c>
      <c r="F3150" s="13">
        <f>IF(AND(A3150&lt;&gt;"",C3150&lt;Options!$B$10),B3150*Options!$X$9,0)</f>
        <v/>
      </c>
      <c r="G3150" s="13">
        <f>F3150*12%</f>
        <v/>
      </c>
      <c r="H3150" s="13">
        <f>IF(A3150="",0,B3150*(92*IF(OR(C3150=Options!$B$9,C3150=Options!$B$10),75%,100%)-IF(C3150=DATE(2026,11,29),26+IF(Options!$B$8="是",23,0),0)-IF(C3150=DATE(2026,11,30),26,0)-IF(C3150=DATE(2026,12,1),64,0)-IF(C3150=DATE(2026,11,28),38,0)-IF(C3150=DATE(2026,12,2),26,0)))</f>
        <v/>
      </c>
      <c r="I3150" s="13">
        <f>IF(AND(C3150&gt;=DATE(2026,11,29),C3150&lt;=DATE(2026,12,1)),B3150*60,0)</f>
        <v/>
      </c>
      <c r="J3150" s="13">
        <f>IF(A3150="",0,B3150*(IF(C3150=DATE(2026,11,28),38,0)+IF(C3150=DATE(2026,12,1),38,0)+IF(C3150=DATE(2026,12,2),26,0)))</f>
        <v/>
      </c>
      <c r="K3150" s="13">
        <f>IF(C3150=Options!$B$9,B3150*12,0)</f>
        <v/>
      </c>
      <c r="L3150" s="13">
        <f>IF(C3150=Options!$B$9,B3150*Options!$Z$9,0)</f>
        <v/>
      </c>
      <c r="M3150" s="13" t="n">
        <v>0</v>
      </c>
      <c r="N3150" s="13">
        <f>SUM(E3150:M3150)</f>
        <v/>
      </c>
    </row>
    <row r="3151">
      <c r="A3151" s="5">
        <f>IF(AND(C3151&gt;=Options!$B$9,C3151&lt;=Options!$B$10),"Seattle","")</f>
        <v/>
      </c>
      <c r="B3151" s="5">
        <f>IF(A3151="","",18)</f>
        <v/>
      </c>
      <c r="C3151" s="17" t="n">
        <v>46522</v>
      </c>
      <c r="D3151" s="5">
        <f>IF(A3151="","",IF(C3151=DATE(2026,11,29),"培训；注册午餐；早餐参数",IF(C3151=DATE(2026,11,30),"培训；注册午餐",IF(C3151=DATE(2026,12,1),"培训；注册午餐；机构晚餐",IF(C3151=Options!$B$9,"抵达；"&amp;IF(C3151=DATE(2026,11,28),"机构晚餐","无统一供餐"),IF(C3151=Options!$B$10,"返程；"&amp;IF(C3151=DATE(2026,12,2),"机构午餐","无统一供餐"),"差旅状态；无统一日程"))))))</f>
        <v/>
      </c>
      <c r="E3151" s="13">
        <f>IF(C3151=Options!$B$9,Options!$C$22,0)</f>
        <v/>
      </c>
      <c r="F3151" s="13">
        <f>IF(AND(A3151&lt;&gt;"",C3151&lt;Options!$B$10),B3151*Options!$X$9,0)</f>
        <v/>
      </c>
      <c r="G3151" s="13">
        <f>F3151*12%</f>
        <v/>
      </c>
      <c r="H3151" s="13">
        <f>IF(A3151="",0,B3151*(92*IF(OR(C3151=Options!$B$9,C3151=Options!$B$10),75%,100%)-IF(C3151=DATE(2026,11,29),26+IF(Options!$B$8="是",23,0),0)-IF(C3151=DATE(2026,11,30),26,0)-IF(C3151=DATE(2026,12,1),64,0)-IF(C3151=DATE(2026,11,28),38,0)-IF(C3151=DATE(2026,12,2),26,0)))</f>
        <v/>
      </c>
      <c r="I3151" s="13">
        <f>IF(AND(C3151&gt;=DATE(2026,11,29),C3151&lt;=DATE(2026,12,1)),B3151*60,0)</f>
        <v/>
      </c>
      <c r="J3151" s="13">
        <f>IF(A3151="",0,B3151*(IF(C3151=DATE(2026,11,28),38,0)+IF(C3151=DATE(2026,12,1),38,0)+IF(C3151=DATE(2026,12,2),26,0)))</f>
        <v/>
      </c>
      <c r="K3151" s="13">
        <f>IF(C3151=Options!$B$9,B3151*12,0)</f>
        <v/>
      </c>
      <c r="L3151" s="13">
        <f>IF(C3151=Options!$B$9,B3151*Options!$Z$9,0)</f>
        <v/>
      </c>
      <c r="M3151" s="13" t="n">
        <v>0</v>
      </c>
      <c r="N3151" s="13">
        <f>SUM(E3151:M3151)</f>
        <v/>
      </c>
    </row>
    <row r="3152">
      <c r="A3152" s="5">
        <f>IF(AND(C3152&gt;=Options!$B$9,C3152&lt;=Options!$B$10),"Seattle","")</f>
        <v/>
      </c>
      <c r="B3152" s="5">
        <f>IF(A3152="","",18)</f>
        <v/>
      </c>
      <c r="C3152" s="17" t="n">
        <v>46523</v>
      </c>
      <c r="D3152" s="5">
        <f>IF(A3152="","",IF(C3152=DATE(2026,11,29),"培训；注册午餐；早餐参数",IF(C3152=DATE(2026,11,30),"培训；注册午餐",IF(C3152=DATE(2026,12,1),"培训；注册午餐；机构晚餐",IF(C3152=Options!$B$9,"抵达；"&amp;IF(C3152=DATE(2026,11,28),"机构晚餐","无统一供餐"),IF(C3152=Options!$B$10,"返程；"&amp;IF(C3152=DATE(2026,12,2),"机构午餐","无统一供餐"),"差旅状态；无统一日程"))))))</f>
        <v/>
      </c>
      <c r="E3152" s="13">
        <f>IF(C3152=Options!$B$9,Options!$C$22,0)</f>
        <v/>
      </c>
      <c r="F3152" s="13">
        <f>IF(AND(A3152&lt;&gt;"",C3152&lt;Options!$B$10),B3152*Options!$X$9,0)</f>
        <v/>
      </c>
      <c r="G3152" s="13">
        <f>F3152*12%</f>
        <v/>
      </c>
      <c r="H3152" s="13">
        <f>IF(A3152="",0,B3152*(92*IF(OR(C3152=Options!$B$9,C3152=Options!$B$10),75%,100%)-IF(C3152=DATE(2026,11,29),26+IF(Options!$B$8="是",23,0),0)-IF(C3152=DATE(2026,11,30),26,0)-IF(C3152=DATE(2026,12,1),64,0)-IF(C3152=DATE(2026,11,28),38,0)-IF(C3152=DATE(2026,12,2),26,0)))</f>
        <v/>
      </c>
      <c r="I3152" s="13">
        <f>IF(AND(C3152&gt;=DATE(2026,11,29),C3152&lt;=DATE(2026,12,1)),B3152*60,0)</f>
        <v/>
      </c>
      <c r="J3152" s="13">
        <f>IF(A3152="",0,B3152*(IF(C3152=DATE(2026,11,28),38,0)+IF(C3152=DATE(2026,12,1),38,0)+IF(C3152=DATE(2026,12,2),26,0)))</f>
        <v/>
      </c>
      <c r="K3152" s="13">
        <f>IF(C3152=Options!$B$9,B3152*12,0)</f>
        <v/>
      </c>
      <c r="L3152" s="13">
        <f>IF(C3152=Options!$B$9,B3152*Options!$Z$9,0)</f>
        <v/>
      </c>
      <c r="M3152" s="13" t="n">
        <v>0</v>
      </c>
      <c r="N3152" s="13">
        <f>SUM(E3152:M3152)</f>
        <v/>
      </c>
    </row>
    <row r="3153">
      <c r="A3153" s="5">
        <f>IF(AND(C3153&gt;=Options!$B$9,C3153&lt;=Options!$B$10),"Seattle","")</f>
        <v/>
      </c>
      <c r="B3153" s="5">
        <f>IF(A3153="","",18)</f>
        <v/>
      </c>
      <c r="C3153" s="17" t="n">
        <v>46524</v>
      </c>
      <c r="D3153" s="5">
        <f>IF(A3153="","",IF(C3153=DATE(2026,11,29),"培训；注册午餐；早餐参数",IF(C3153=DATE(2026,11,30),"培训；注册午餐",IF(C3153=DATE(2026,12,1),"培训；注册午餐；机构晚餐",IF(C3153=Options!$B$9,"抵达；"&amp;IF(C3153=DATE(2026,11,28),"机构晚餐","无统一供餐"),IF(C3153=Options!$B$10,"返程；"&amp;IF(C3153=DATE(2026,12,2),"机构午餐","无统一供餐"),"差旅状态；无统一日程"))))))</f>
        <v/>
      </c>
      <c r="E3153" s="13">
        <f>IF(C3153=Options!$B$9,Options!$C$22,0)</f>
        <v/>
      </c>
      <c r="F3153" s="13">
        <f>IF(AND(A3153&lt;&gt;"",C3153&lt;Options!$B$10),B3153*Options!$X$9,0)</f>
        <v/>
      </c>
      <c r="G3153" s="13">
        <f>F3153*12%</f>
        <v/>
      </c>
      <c r="H3153" s="13">
        <f>IF(A3153="",0,B3153*(92*IF(OR(C3153=Options!$B$9,C3153=Options!$B$10),75%,100%)-IF(C3153=DATE(2026,11,29),26+IF(Options!$B$8="是",23,0),0)-IF(C3153=DATE(2026,11,30),26,0)-IF(C3153=DATE(2026,12,1),64,0)-IF(C3153=DATE(2026,11,28),38,0)-IF(C3153=DATE(2026,12,2),26,0)))</f>
        <v/>
      </c>
      <c r="I3153" s="13">
        <f>IF(AND(C3153&gt;=DATE(2026,11,29),C3153&lt;=DATE(2026,12,1)),B3153*60,0)</f>
        <v/>
      </c>
      <c r="J3153" s="13">
        <f>IF(A3153="",0,B3153*(IF(C3153=DATE(2026,11,28),38,0)+IF(C3153=DATE(2026,12,1),38,0)+IF(C3153=DATE(2026,12,2),26,0)))</f>
        <v/>
      </c>
      <c r="K3153" s="13">
        <f>IF(C3153=Options!$B$9,B3153*12,0)</f>
        <v/>
      </c>
      <c r="L3153" s="13">
        <f>IF(C3153=Options!$B$9,B3153*Options!$Z$9,0)</f>
        <v/>
      </c>
      <c r="M3153" s="13" t="n">
        <v>0</v>
      </c>
      <c r="N3153" s="13">
        <f>SUM(E3153:M3153)</f>
        <v/>
      </c>
    </row>
    <row r="3154">
      <c r="A3154" s="5">
        <f>IF(AND(C3154&gt;=Options!$B$9,C3154&lt;=Options!$B$10),"Seattle","")</f>
        <v/>
      </c>
      <c r="B3154" s="5">
        <f>IF(A3154="","",18)</f>
        <v/>
      </c>
      <c r="C3154" s="17" t="n">
        <v>46525</v>
      </c>
      <c r="D3154" s="5">
        <f>IF(A3154="","",IF(C3154=DATE(2026,11,29),"培训；注册午餐；早餐参数",IF(C3154=DATE(2026,11,30),"培训；注册午餐",IF(C3154=DATE(2026,12,1),"培训；注册午餐；机构晚餐",IF(C3154=Options!$B$9,"抵达；"&amp;IF(C3154=DATE(2026,11,28),"机构晚餐","无统一供餐"),IF(C3154=Options!$B$10,"返程；"&amp;IF(C3154=DATE(2026,12,2),"机构午餐","无统一供餐"),"差旅状态；无统一日程"))))))</f>
        <v/>
      </c>
      <c r="E3154" s="13">
        <f>IF(C3154=Options!$B$9,Options!$C$22,0)</f>
        <v/>
      </c>
      <c r="F3154" s="13">
        <f>IF(AND(A3154&lt;&gt;"",C3154&lt;Options!$B$10),B3154*Options!$X$9,0)</f>
        <v/>
      </c>
      <c r="G3154" s="13">
        <f>F3154*12%</f>
        <v/>
      </c>
      <c r="H3154" s="13">
        <f>IF(A3154="",0,B3154*(92*IF(OR(C3154=Options!$B$9,C3154=Options!$B$10),75%,100%)-IF(C3154=DATE(2026,11,29),26+IF(Options!$B$8="是",23,0),0)-IF(C3154=DATE(2026,11,30),26,0)-IF(C3154=DATE(2026,12,1),64,0)-IF(C3154=DATE(2026,11,28),38,0)-IF(C3154=DATE(2026,12,2),26,0)))</f>
        <v/>
      </c>
      <c r="I3154" s="13">
        <f>IF(AND(C3154&gt;=DATE(2026,11,29),C3154&lt;=DATE(2026,12,1)),B3154*60,0)</f>
        <v/>
      </c>
      <c r="J3154" s="13">
        <f>IF(A3154="",0,B3154*(IF(C3154=DATE(2026,11,28),38,0)+IF(C3154=DATE(2026,12,1),38,0)+IF(C3154=DATE(2026,12,2),26,0)))</f>
        <v/>
      </c>
      <c r="K3154" s="13">
        <f>IF(C3154=Options!$B$9,B3154*12,0)</f>
        <v/>
      </c>
      <c r="L3154" s="13">
        <f>IF(C3154=Options!$B$9,B3154*Options!$Z$9,0)</f>
        <v/>
      </c>
      <c r="M3154" s="13" t="n">
        <v>0</v>
      </c>
      <c r="N3154" s="13">
        <f>SUM(E3154:M3154)</f>
        <v/>
      </c>
    </row>
    <row r="3155">
      <c r="A3155" s="5">
        <f>IF(AND(C3155&gt;=Options!$B$9,C3155&lt;=Options!$B$10),"Seattle","")</f>
        <v/>
      </c>
      <c r="B3155" s="5">
        <f>IF(A3155="","",18)</f>
        <v/>
      </c>
      <c r="C3155" s="17" t="n">
        <v>46526</v>
      </c>
      <c r="D3155" s="5">
        <f>IF(A3155="","",IF(C3155=DATE(2026,11,29),"培训；注册午餐；早餐参数",IF(C3155=DATE(2026,11,30),"培训；注册午餐",IF(C3155=DATE(2026,12,1),"培训；注册午餐；机构晚餐",IF(C3155=Options!$B$9,"抵达；"&amp;IF(C3155=DATE(2026,11,28),"机构晚餐","无统一供餐"),IF(C3155=Options!$B$10,"返程；"&amp;IF(C3155=DATE(2026,12,2),"机构午餐","无统一供餐"),"差旅状态；无统一日程"))))))</f>
        <v/>
      </c>
      <c r="E3155" s="13">
        <f>IF(C3155=Options!$B$9,Options!$C$22,0)</f>
        <v/>
      </c>
      <c r="F3155" s="13">
        <f>IF(AND(A3155&lt;&gt;"",C3155&lt;Options!$B$10),B3155*Options!$X$9,0)</f>
        <v/>
      </c>
      <c r="G3155" s="13">
        <f>F3155*12%</f>
        <v/>
      </c>
      <c r="H3155" s="13">
        <f>IF(A3155="",0,B3155*(92*IF(OR(C3155=Options!$B$9,C3155=Options!$B$10),75%,100%)-IF(C3155=DATE(2026,11,29),26+IF(Options!$B$8="是",23,0),0)-IF(C3155=DATE(2026,11,30),26,0)-IF(C3155=DATE(2026,12,1),64,0)-IF(C3155=DATE(2026,11,28),38,0)-IF(C3155=DATE(2026,12,2),26,0)))</f>
        <v/>
      </c>
      <c r="I3155" s="13">
        <f>IF(AND(C3155&gt;=DATE(2026,11,29),C3155&lt;=DATE(2026,12,1)),B3155*60,0)</f>
        <v/>
      </c>
      <c r="J3155" s="13">
        <f>IF(A3155="",0,B3155*(IF(C3155=DATE(2026,11,28),38,0)+IF(C3155=DATE(2026,12,1),38,0)+IF(C3155=DATE(2026,12,2),26,0)))</f>
        <v/>
      </c>
      <c r="K3155" s="13">
        <f>IF(C3155=Options!$B$9,B3155*12,0)</f>
        <v/>
      </c>
      <c r="L3155" s="13">
        <f>IF(C3155=Options!$B$9,B3155*Options!$Z$9,0)</f>
        <v/>
      </c>
      <c r="M3155" s="13" t="n">
        <v>0</v>
      </c>
      <c r="N3155" s="13">
        <f>SUM(E3155:M3155)</f>
        <v/>
      </c>
    </row>
    <row r="3156">
      <c r="A3156" s="5">
        <f>IF(AND(C3156&gt;=Options!$B$9,C3156&lt;=Options!$B$10),"Seattle","")</f>
        <v/>
      </c>
      <c r="B3156" s="5">
        <f>IF(A3156="","",18)</f>
        <v/>
      </c>
      <c r="C3156" s="17" t="n">
        <v>46527</v>
      </c>
      <c r="D3156" s="5">
        <f>IF(A3156="","",IF(C3156=DATE(2026,11,29),"培训；注册午餐；早餐参数",IF(C3156=DATE(2026,11,30),"培训；注册午餐",IF(C3156=DATE(2026,12,1),"培训；注册午餐；机构晚餐",IF(C3156=Options!$B$9,"抵达；"&amp;IF(C3156=DATE(2026,11,28),"机构晚餐","无统一供餐"),IF(C3156=Options!$B$10,"返程；"&amp;IF(C3156=DATE(2026,12,2),"机构午餐","无统一供餐"),"差旅状态；无统一日程"))))))</f>
        <v/>
      </c>
      <c r="E3156" s="13">
        <f>IF(C3156=Options!$B$9,Options!$C$22,0)</f>
        <v/>
      </c>
      <c r="F3156" s="13">
        <f>IF(AND(A3156&lt;&gt;"",C3156&lt;Options!$B$10),B3156*Options!$X$9,0)</f>
        <v/>
      </c>
      <c r="G3156" s="13">
        <f>F3156*12%</f>
        <v/>
      </c>
      <c r="H3156" s="13">
        <f>IF(A3156="",0,B3156*(92*IF(OR(C3156=Options!$B$9,C3156=Options!$B$10),75%,100%)-IF(C3156=DATE(2026,11,29),26+IF(Options!$B$8="是",23,0),0)-IF(C3156=DATE(2026,11,30),26,0)-IF(C3156=DATE(2026,12,1),64,0)-IF(C3156=DATE(2026,11,28),38,0)-IF(C3156=DATE(2026,12,2),26,0)))</f>
        <v/>
      </c>
      <c r="I3156" s="13">
        <f>IF(AND(C3156&gt;=DATE(2026,11,29),C3156&lt;=DATE(2026,12,1)),B3156*60,0)</f>
        <v/>
      </c>
      <c r="J3156" s="13">
        <f>IF(A3156="",0,B3156*(IF(C3156=DATE(2026,11,28),38,0)+IF(C3156=DATE(2026,12,1),38,0)+IF(C3156=DATE(2026,12,2),26,0)))</f>
        <v/>
      </c>
      <c r="K3156" s="13">
        <f>IF(C3156=Options!$B$9,B3156*12,0)</f>
        <v/>
      </c>
      <c r="L3156" s="13">
        <f>IF(C3156=Options!$B$9,B3156*Options!$Z$9,0)</f>
        <v/>
      </c>
      <c r="M3156" s="13" t="n">
        <v>0</v>
      </c>
      <c r="N3156" s="13">
        <f>SUM(E3156:M3156)</f>
        <v/>
      </c>
    </row>
    <row r="3157">
      <c r="A3157" s="5">
        <f>IF(AND(C3157&gt;=Options!$B$9,C3157&lt;=Options!$B$10),"Seattle","")</f>
        <v/>
      </c>
      <c r="B3157" s="5">
        <f>IF(A3157="","",18)</f>
        <v/>
      </c>
      <c r="C3157" s="17" t="n">
        <v>46528</v>
      </c>
      <c r="D3157" s="5">
        <f>IF(A3157="","",IF(C3157=DATE(2026,11,29),"培训；注册午餐；早餐参数",IF(C3157=DATE(2026,11,30),"培训；注册午餐",IF(C3157=DATE(2026,12,1),"培训；注册午餐；机构晚餐",IF(C3157=Options!$B$9,"抵达；"&amp;IF(C3157=DATE(2026,11,28),"机构晚餐","无统一供餐"),IF(C3157=Options!$B$10,"返程；"&amp;IF(C3157=DATE(2026,12,2),"机构午餐","无统一供餐"),"差旅状态；无统一日程"))))))</f>
        <v/>
      </c>
      <c r="E3157" s="13">
        <f>IF(C3157=Options!$B$9,Options!$C$22,0)</f>
        <v/>
      </c>
      <c r="F3157" s="13">
        <f>IF(AND(A3157&lt;&gt;"",C3157&lt;Options!$B$10),B3157*Options!$X$9,0)</f>
        <v/>
      </c>
      <c r="G3157" s="13">
        <f>F3157*12%</f>
        <v/>
      </c>
      <c r="H3157" s="13">
        <f>IF(A3157="",0,B3157*(92*IF(OR(C3157=Options!$B$9,C3157=Options!$B$10),75%,100%)-IF(C3157=DATE(2026,11,29),26+IF(Options!$B$8="是",23,0),0)-IF(C3157=DATE(2026,11,30),26,0)-IF(C3157=DATE(2026,12,1),64,0)-IF(C3157=DATE(2026,11,28),38,0)-IF(C3157=DATE(2026,12,2),26,0)))</f>
        <v/>
      </c>
      <c r="I3157" s="13">
        <f>IF(AND(C3157&gt;=DATE(2026,11,29),C3157&lt;=DATE(2026,12,1)),B3157*60,0)</f>
        <v/>
      </c>
      <c r="J3157" s="13">
        <f>IF(A3157="",0,B3157*(IF(C3157=DATE(2026,11,28),38,0)+IF(C3157=DATE(2026,12,1),38,0)+IF(C3157=DATE(2026,12,2),26,0)))</f>
        <v/>
      </c>
      <c r="K3157" s="13">
        <f>IF(C3157=Options!$B$9,B3157*12,0)</f>
        <v/>
      </c>
      <c r="L3157" s="13">
        <f>IF(C3157=Options!$B$9,B3157*Options!$Z$9,0)</f>
        <v/>
      </c>
      <c r="M3157" s="13" t="n">
        <v>0</v>
      </c>
      <c r="N3157" s="13">
        <f>SUM(E3157:M3157)</f>
        <v/>
      </c>
    </row>
    <row r="3158">
      <c r="A3158" s="5">
        <f>IF(AND(C3158&gt;=Options!$B$9,C3158&lt;=Options!$B$10),"Seattle","")</f>
        <v/>
      </c>
      <c r="B3158" s="5">
        <f>IF(A3158="","",18)</f>
        <v/>
      </c>
      <c r="C3158" s="17" t="n">
        <v>46529</v>
      </c>
      <c r="D3158" s="5">
        <f>IF(A3158="","",IF(C3158=DATE(2026,11,29),"培训；注册午餐；早餐参数",IF(C3158=DATE(2026,11,30),"培训；注册午餐",IF(C3158=DATE(2026,12,1),"培训；注册午餐；机构晚餐",IF(C3158=Options!$B$9,"抵达；"&amp;IF(C3158=DATE(2026,11,28),"机构晚餐","无统一供餐"),IF(C3158=Options!$B$10,"返程；"&amp;IF(C3158=DATE(2026,12,2),"机构午餐","无统一供餐"),"差旅状态；无统一日程"))))))</f>
        <v/>
      </c>
      <c r="E3158" s="13">
        <f>IF(C3158=Options!$B$9,Options!$C$22,0)</f>
        <v/>
      </c>
      <c r="F3158" s="13">
        <f>IF(AND(A3158&lt;&gt;"",C3158&lt;Options!$B$10),B3158*Options!$X$9,0)</f>
        <v/>
      </c>
      <c r="G3158" s="13">
        <f>F3158*12%</f>
        <v/>
      </c>
      <c r="H3158" s="13">
        <f>IF(A3158="",0,B3158*(92*IF(OR(C3158=Options!$B$9,C3158=Options!$B$10),75%,100%)-IF(C3158=DATE(2026,11,29),26+IF(Options!$B$8="是",23,0),0)-IF(C3158=DATE(2026,11,30),26,0)-IF(C3158=DATE(2026,12,1),64,0)-IF(C3158=DATE(2026,11,28),38,0)-IF(C3158=DATE(2026,12,2),26,0)))</f>
        <v/>
      </c>
      <c r="I3158" s="13">
        <f>IF(AND(C3158&gt;=DATE(2026,11,29),C3158&lt;=DATE(2026,12,1)),B3158*60,0)</f>
        <v/>
      </c>
      <c r="J3158" s="13">
        <f>IF(A3158="",0,B3158*(IF(C3158=DATE(2026,11,28),38,0)+IF(C3158=DATE(2026,12,1),38,0)+IF(C3158=DATE(2026,12,2),26,0)))</f>
        <v/>
      </c>
      <c r="K3158" s="13">
        <f>IF(C3158=Options!$B$9,B3158*12,0)</f>
        <v/>
      </c>
      <c r="L3158" s="13">
        <f>IF(C3158=Options!$B$9,B3158*Options!$Z$9,0)</f>
        <v/>
      </c>
      <c r="M3158" s="13" t="n">
        <v>0</v>
      </c>
      <c r="N3158" s="13">
        <f>SUM(E3158:M3158)</f>
        <v/>
      </c>
    </row>
    <row r="3159">
      <c r="A3159" s="5">
        <f>IF(AND(C3159&gt;=Options!$B$9,C3159&lt;=Options!$B$10),"Seattle","")</f>
        <v/>
      </c>
      <c r="B3159" s="5">
        <f>IF(A3159="","",18)</f>
        <v/>
      </c>
      <c r="C3159" s="17" t="n">
        <v>46530</v>
      </c>
      <c r="D3159" s="5">
        <f>IF(A3159="","",IF(C3159=DATE(2026,11,29),"培训；注册午餐；早餐参数",IF(C3159=DATE(2026,11,30),"培训；注册午餐",IF(C3159=DATE(2026,12,1),"培训；注册午餐；机构晚餐",IF(C3159=Options!$B$9,"抵达；"&amp;IF(C3159=DATE(2026,11,28),"机构晚餐","无统一供餐"),IF(C3159=Options!$B$10,"返程；"&amp;IF(C3159=DATE(2026,12,2),"机构午餐","无统一供餐"),"差旅状态；无统一日程"))))))</f>
        <v/>
      </c>
      <c r="E3159" s="13">
        <f>IF(C3159=Options!$B$9,Options!$C$22,0)</f>
        <v/>
      </c>
      <c r="F3159" s="13">
        <f>IF(AND(A3159&lt;&gt;"",C3159&lt;Options!$B$10),B3159*Options!$X$9,0)</f>
        <v/>
      </c>
      <c r="G3159" s="13">
        <f>F3159*12%</f>
        <v/>
      </c>
      <c r="H3159" s="13">
        <f>IF(A3159="",0,B3159*(92*IF(OR(C3159=Options!$B$9,C3159=Options!$B$10),75%,100%)-IF(C3159=DATE(2026,11,29),26+IF(Options!$B$8="是",23,0),0)-IF(C3159=DATE(2026,11,30),26,0)-IF(C3159=DATE(2026,12,1),64,0)-IF(C3159=DATE(2026,11,28),38,0)-IF(C3159=DATE(2026,12,2),26,0)))</f>
        <v/>
      </c>
      <c r="I3159" s="13">
        <f>IF(AND(C3159&gt;=DATE(2026,11,29),C3159&lt;=DATE(2026,12,1)),B3159*60,0)</f>
        <v/>
      </c>
      <c r="J3159" s="13">
        <f>IF(A3159="",0,B3159*(IF(C3159=DATE(2026,11,28),38,0)+IF(C3159=DATE(2026,12,1),38,0)+IF(C3159=DATE(2026,12,2),26,0)))</f>
        <v/>
      </c>
      <c r="K3159" s="13">
        <f>IF(C3159=Options!$B$9,B3159*12,0)</f>
        <v/>
      </c>
      <c r="L3159" s="13">
        <f>IF(C3159=Options!$B$9,B3159*Options!$Z$9,0)</f>
        <v/>
      </c>
      <c r="M3159" s="13" t="n">
        <v>0</v>
      </c>
      <c r="N3159" s="13">
        <f>SUM(E3159:M3159)</f>
        <v/>
      </c>
    </row>
    <row r="3160">
      <c r="A3160" s="5">
        <f>IF(AND(C3160&gt;=Options!$B$9,C3160&lt;=Options!$B$10),"Seattle","")</f>
        <v/>
      </c>
      <c r="B3160" s="5">
        <f>IF(A3160="","",18)</f>
        <v/>
      </c>
      <c r="C3160" s="17" t="n">
        <v>46531</v>
      </c>
      <c r="D3160" s="5">
        <f>IF(A3160="","",IF(C3160=DATE(2026,11,29),"培训；注册午餐；早餐参数",IF(C3160=DATE(2026,11,30),"培训；注册午餐",IF(C3160=DATE(2026,12,1),"培训；注册午餐；机构晚餐",IF(C3160=Options!$B$9,"抵达；"&amp;IF(C3160=DATE(2026,11,28),"机构晚餐","无统一供餐"),IF(C3160=Options!$B$10,"返程；"&amp;IF(C3160=DATE(2026,12,2),"机构午餐","无统一供餐"),"差旅状态；无统一日程"))))))</f>
        <v/>
      </c>
      <c r="E3160" s="13">
        <f>IF(C3160=Options!$B$9,Options!$C$22,0)</f>
        <v/>
      </c>
      <c r="F3160" s="13">
        <f>IF(AND(A3160&lt;&gt;"",C3160&lt;Options!$B$10),B3160*Options!$X$9,0)</f>
        <v/>
      </c>
      <c r="G3160" s="13">
        <f>F3160*12%</f>
        <v/>
      </c>
      <c r="H3160" s="13">
        <f>IF(A3160="",0,B3160*(92*IF(OR(C3160=Options!$B$9,C3160=Options!$B$10),75%,100%)-IF(C3160=DATE(2026,11,29),26+IF(Options!$B$8="是",23,0),0)-IF(C3160=DATE(2026,11,30),26,0)-IF(C3160=DATE(2026,12,1),64,0)-IF(C3160=DATE(2026,11,28),38,0)-IF(C3160=DATE(2026,12,2),26,0)))</f>
        <v/>
      </c>
      <c r="I3160" s="13">
        <f>IF(AND(C3160&gt;=DATE(2026,11,29),C3160&lt;=DATE(2026,12,1)),B3160*60,0)</f>
        <v/>
      </c>
      <c r="J3160" s="13">
        <f>IF(A3160="",0,B3160*(IF(C3160=DATE(2026,11,28),38,0)+IF(C3160=DATE(2026,12,1),38,0)+IF(C3160=DATE(2026,12,2),26,0)))</f>
        <v/>
      </c>
      <c r="K3160" s="13">
        <f>IF(C3160=Options!$B$9,B3160*12,0)</f>
        <v/>
      </c>
      <c r="L3160" s="13">
        <f>IF(C3160=Options!$B$9,B3160*Options!$Z$9,0)</f>
        <v/>
      </c>
      <c r="M3160" s="13" t="n">
        <v>0</v>
      </c>
      <c r="N3160" s="13">
        <f>SUM(E3160:M3160)</f>
        <v/>
      </c>
    </row>
    <row r="3161">
      <c r="A3161" s="5">
        <f>IF(AND(C3161&gt;=Options!$B$9,C3161&lt;=Options!$B$10),"Seattle","")</f>
        <v/>
      </c>
      <c r="B3161" s="5">
        <f>IF(A3161="","",18)</f>
        <v/>
      </c>
      <c r="C3161" s="17" t="n">
        <v>46532</v>
      </c>
      <c r="D3161" s="5">
        <f>IF(A3161="","",IF(C3161=DATE(2026,11,29),"培训；注册午餐；早餐参数",IF(C3161=DATE(2026,11,30),"培训；注册午餐",IF(C3161=DATE(2026,12,1),"培训；注册午餐；机构晚餐",IF(C3161=Options!$B$9,"抵达；"&amp;IF(C3161=DATE(2026,11,28),"机构晚餐","无统一供餐"),IF(C3161=Options!$B$10,"返程；"&amp;IF(C3161=DATE(2026,12,2),"机构午餐","无统一供餐"),"差旅状态；无统一日程"))))))</f>
        <v/>
      </c>
      <c r="E3161" s="13">
        <f>IF(C3161=Options!$B$9,Options!$C$22,0)</f>
        <v/>
      </c>
      <c r="F3161" s="13">
        <f>IF(AND(A3161&lt;&gt;"",C3161&lt;Options!$B$10),B3161*Options!$X$9,0)</f>
        <v/>
      </c>
      <c r="G3161" s="13">
        <f>F3161*12%</f>
        <v/>
      </c>
      <c r="H3161" s="13">
        <f>IF(A3161="",0,B3161*(92*IF(OR(C3161=Options!$B$9,C3161=Options!$B$10),75%,100%)-IF(C3161=DATE(2026,11,29),26+IF(Options!$B$8="是",23,0),0)-IF(C3161=DATE(2026,11,30),26,0)-IF(C3161=DATE(2026,12,1),64,0)-IF(C3161=DATE(2026,11,28),38,0)-IF(C3161=DATE(2026,12,2),26,0)))</f>
        <v/>
      </c>
      <c r="I3161" s="13">
        <f>IF(AND(C3161&gt;=DATE(2026,11,29),C3161&lt;=DATE(2026,12,1)),B3161*60,0)</f>
        <v/>
      </c>
      <c r="J3161" s="13">
        <f>IF(A3161="",0,B3161*(IF(C3161=DATE(2026,11,28),38,0)+IF(C3161=DATE(2026,12,1),38,0)+IF(C3161=DATE(2026,12,2),26,0)))</f>
        <v/>
      </c>
      <c r="K3161" s="13">
        <f>IF(C3161=Options!$B$9,B3161*12,0)</f>
        <v/>
      </c>
      <c r="L3161" s="13">
        <f>IF(C3161=Options!$B$9,B3161*Options!$Z$9,0)</f>
        <v/>
      </c>
      <c r="M3161" s="13" t="n">
        <v>0</v>
      </c>
      <c r="N3161" s="13">
        <f>SUM(E3161:M3161)</f>
        <v/>
      </c>
    </row>
    <row r="3162">
      <c r="A3162" s="5">
        <f>IF(AND(C3162&gt;=Options!$B$9,C3162&lt;=Options!$B$10),"Seattle","")</f>
        <v/>
      </c>
      <c r="B3162" s="5">
        <f>IF(A3162="","",18)</f>
        <v/>
      </c>
      <c r="C3162" s="17" t="n">
        <v>46533</v>
      </c>
      <c r="D3162" s="5">
        <f>IF(A3162="","",IF(C3162=DATE(2026,11,29),"培训；注册午餐；早餐参数",IF(C3162=DATE(2026,11,30),"培训；注册午餐",IF(C3162=DATE(2026,12,1),"培训；注册午餐；机构晚餐",IF(C3162=Options!$B$9,"抵达；"&amp;IF(C3162=DATE(2026,11,28),"机构晚餐","无统一供餐"),IF(C3162=Options!$B$10,"返程；"&amp;IF(C3162=DATE(2026,12,2),"机构午餐","无统一供餐"),"差旅状态；无统一日程"))))))</f>
        <v/>
      </c>
      <c r="E3162" s="13">
        <f>IF(C3162=Options!$B$9,Options!$C$22,0)</f>
        <v/>
      </c>
      <c r="F3162" s="13">
        <f>IF(AND(A3162&lt;&gt;"",C3162&lt;Options!$B$10),B3162*Options!$X$9,0)</f>
        <v/>
      </c>
      <c r="G3162" s="13">
        <f>F3162*12%</f>
        <v/>
      </c>
      <c r="H3162" s="13">
        <f>IF(A3162="",0,B3162*(92*IF(OR(C3162=Options!$B$9,C3162=Options!$B$10),75%,100%)-IF(C3162=DATE(2026,11,29),26+IF(Options!$B$8="是",23,0),0)-IF(C3162=DATE(2026,11,30),26,0)-IF(C3162=DATE(2026,12,1),64,0)-IF(C3162=DATE(2026,11,28),38,0)-IF(C3162=DATE(2026,12,2),26,0)))</f>
        <v/>
      </c>
      <c r="I3162" s="13">
        <f>IF(AND(C3162&gt;=DATE(2026,11,29),C3162&lt;=DATE(2026,12,1)),B3162*60,0)</f>
        <v/>
      </c>
      <c r="J3162" s="13">
        <f>IF(A3162="",0,B3162*(IF(C3162=DATE(2026,11,28),38,0)+IF(C3162=DATE(2026,12,1),38,0)+IF(C3162=DATE(2026,12,2),26,0)))</f>
        <v/>
      </c>
      <c r="K3162" s="13">
        <f>IF(C3162=Options!$B$9,B3162*12,0)</f>
        <v/>
      </c>
      <c r="L3162" s="13">
        <f>IF(C3162=Options!$B$9,B3162*Options!$Z$9,0)</f>
        <v/>
      </c>
      <c r="M3162" s="13" t="n">
        <v>0</v>
      </c>
      <c r="N3162" s="13">
        <f>SUM(E3162:M3162)</f>
        <v/>
      </c>
    </row>
    <row r="3163">
      <c r="A3163" s="5">
        <f>IF(AND(C3163&gt;=Options!$B$9,C3163&lt;=Options!$B$10),"Seattle","")</f>
        <v/>
      </c>
      <c r="B3163" s="5">
        <f>IF(A3163="","",18)</f>
        <v/>
      </c>
      <c r="C3163" s="17" t="n">
        <v>46534</v>
      </c>
      <c r="D3163" s="5">
        <f>IF(A3163="","",IF(C3163=DATE(2026,11,29),"培训；注册午餐；早餐参数",IF(C3163=DATE(2026,11,30),"培训；注册午餐",IF(C3163=DATE(2026,12,1),"培训；注册午餐；机构晚餐",IF(C3163=Options!$B$9,"抵达；"&amp;IF(C3163=DATE(2026,11,28),"机构晚餐","无统一供餐"),IF(C3163=Options!$B$10,"返程；"&amp;IF(C3163=DATE(2026,12,2),"机构午餐","无统一供餐"),"差旅状态；无统一日程"))))))</f>
        <v/>
      </c>
      <c r="E3163" s="13">
        <f>IF(C3163=Options!$B$9,Options!$C$22,0)</f>
        <v/>
      </c>
      <c r="F3163" s="13">
        <f>IF(AND(A3163&lt;&gt;"",C3163&lt;Options!$B$10),B3163*Options!$X$9,0)</f>
        <v/>
      </c>
      <c r="G3163" s="13">
        <f>F3163*12%</f>
        <v/>
      </c>
      <c r="H3163" s="13">
        <f>IF(A3163="",0,B3163*(92*IF(OR(C3163=Options!$B$9,C3163=Options!$B$10),75%,100%)-IF(C3163=DATE(2026,11,29),26+IF(Options!$B$8="是",23,0),0)-IF(C3163=DATE(2026,11,30),26,0)-IF(C3163=DATE(2026,12,1),64,0)-IF(C3163=DATE(2026,11,28),38,0)-IF(C3163=DATE(2026,12,2),26,0)))</f>
        <v/>
      </c>
      <c r="I3163" s="13">
        <f>IF(AND(C3163&gt;=DATE(2026,11,29),C3163&lt;=DATE(2026,12,1)),B3163*60,0)</f>
        <v/>
      </c>
      <c r="J3163" s="13">
        <f>IF(A3163="",0,B3163*(IF(C3163=DATE(2026,11,28),38,0)+IF(C3163=DATE(2026,12,1),38,0)+IF(C3163=DATE(2026,12,2),26,0)))</f>
        <v/>
      </c>
      <c r="K3163" s="13">
        <f>IF(C3163=Options!$B$9,B3163*12,0)</f>
        <v/>
      </c>
      <c r="L3163" s="13">
        <f>IF(C3163=Options!$B$9,B3163*Options!$Z$9,0)</f>
        <v/>
      </c>
      <c r="M3163" s="13" t="n">
        <v>0</v>
      </c>
      <c r="N3163" s="13">
        <f>SUM(E3163:M3163)</f>
        <v/>
      </c>
    </row>
    <row r="3164">
      <c r="A3164" s="5">
        <f>IF(AND(C3164&gt;=Options!$B$9,C3164&lt;=Options!$B$10),"Seattle","")</f>
        <v/>
      </c>
      <c r="B3164" s="5">
        <f>IF(A3164="","",18)</f>
        <v/>
      </c>
      <c r="C3164" s="17" t="n">
        <v>46535</v>
      </c>
      <c r="D3164" s="5">
        <f>IF(A3164="","",IF(C3164=DATE(2026,11,29),"培训；注册午餐；早餐参数",IF(C3164=DATE(2026,11,30),"培训；注册午餐",IF(C3164=DATE(2026,12,1),"培训；注册午餐；机构晚餐",IF(C3164=Options!$B$9,"抵达；"&amp;IF(C3164=DATE(2026,11,28),"机构晚餐","无统一供餐"),IF(C3164=Options!$B$10,"返程；"&amp;IF(C3164=DATE(2026,12,2),"机构午餐","无统一供餐"),"差旅状态；无统一日程"))))))</f>
        <v/>
      </c>
      <c r="E3164" s="13">
        <f>IF(C3164=Options!$B$9,Options!$C$22,0)</f>
        <v/>
      </c>
      <c r="F3164" s="13">
        <f>IF(AND(A3164&lt;&gt;"",C3164&lt;Options!$B$10),B3164*Options!$X$9,0)</f>
        <v/>
      </c>
      <c r="G3164" s="13">
        <f>F3164*12%</f>
        <v/>
      </c>
      <c r="H3164" s="13">
        <f>IF(A3164="",0,B3164*(92*IF(OR(C3164=Options!$B$9,C3164=Options!$B$10),75%,100%)-IF(C3164=DATE(2026,11,29),26+IF(Options!$B$8="是",23,0),0)-IF(C3164=DATE(2026,11,30),26,0)-IF(C3164=DATE(2026,12,1),64,0)-IF(C3164=DATE(2026,11,28),38,0)-IF(C3164=DATE(2026,12,2),26,0)))</f>
        <v/>
      </c>
      <c r="I3164" s="13">
        <f>IF(AND(C3164&gt;=DATE(2026,11,29),C3164&lt;=DATE(2026,12,1)),B3164*60,0)</f>
        <v/>
      </c>
      <c r="J3164" s="13">
        <f>IF(A3164="",0,B3164*(IF(C3164=DATE(2026,11,28),38,0)+IF(C3164=DATE(2026,12,1),38,0)+IF(C3164=DATE(2026,12,2),26,0)))</f>
        <v/>
      </c>
      <c r="K3164" s="13">
        <f>IF(C3164=Options!$B$9,B3164*12,0)</f>
        <v/>
      </c>
      <c r="L3164" s="13">
        <f>IF(C3164=Options!$B$9,B3164*Options!$Z$9,0)</f>
        <v/>
      </c>
      <c r="M3164" s="13" t="n">
        <v>0</v>
      </c>
      <c r="N3164" s="13">
        <f>SUM(E3164:M3164)</f>
        <v/>
      </c>
    </row>
    <row r="3165">
      <c r="A3165" s="5">
        <f>IF(AND(C3165&gt;=Options!$B$9,C3165&lt;=Options!$B$10),"Seattle","")</f>
        <v/>
      </c>
      <c r="B3165" s="5">
        <f>IF(A3165="","",18)</f>
        <v/>
      </c>
      <c r="C3165" s="17" t="n">
        <v>46536</v>
      </c>
      <c r="D3165" s="5">
        <f>IF(A3165="","",IF(C3165=DATE(2026,11,29),"培训；注册午餐；早餐参数",IF(C3165=DATE(2026,11,30),"培训；注册午餐",IF(C3165=DATE(2026,12,1),"培训；注册午餐；机构晚餐",IF(C3165=Options!$B$9,"抵达；"&amp;IF(C3165=DATE(2026,11,28),"机构晚餐","无统一供餐"),IF(C3165=Options!$B$10,"返程；"&amp;IF(C3165=DATE(2026,12,2),"机构午餐","无统一供餐"),"差旅状态；无统一日程"))))))</f>
        <v/>
      </c>
      <c r="E3165" s="13">
        <f>IF(C3165=Options!$B$9,Options!$C$22,0)</f>
        <v/>
      </c>
      <c r="F3165" s="13">
        <f>IF(AND(A3165&lt;&gt;"",C3165&lt;Options!$B$10),B3165*Options!$X$9,0)</f>
        <v/>
      </c>
      <c r="G3165" s="13">
        <f>F3165*12%</f>
        <v/>
      </c>
      <c r="H3165" s="13">
        <f>IF(A3165="",0,B3165*(92*IF(OR(C3165=Options!$B$9,C3165=Options!$B$10),75%,100%)-IF(C3165=DATE(2026,11,29),26+IF(Options!$B$8="是",23,0),0)-IF(C3165=DATE(2026,11,30),26,0)-IF(C3165=DATE(2026,12,1),64,0)-IF(C3165=DATE(2026,11,28),38,0)-IF(C3165=DATE(2026,12,2),26,0)))</f>
        <v/>
      </c>
      <c r="I3165" s="13">
        <f>IF(AND(C3165&gt;=DATE(2026,11,29),C3165&lt;=DATE(2026,12,1)),B3165*60,0)</f>
        <v/>
      </c>
      <c r="J3165" s="13">
        <f>IF(A3165="",0,B3165*(IF(C3165=DATE(2026,11,28),38,0)+IF(C3165=DATE(2026,12,1),38,0)+IF(C3165=DATE(2026,12,2),26,0)))</f>
        <v/>
      </c>
      <c r="K3165" s="13">
        <f>IF(C3165=Options!$B$9,B3165*12,0)</f>
        <v/>
      </c>
      <c r="L3165" s="13">
        <f>IF(C3165=Options!$B$9,B3165*Options!$Z$9,0)</f>
        <v/>
      </c>
      <c r="M3165" s="13" t="n">
        <v>0</v>
      </c>
      <c r="N3165" s="13">
        <f>SUM(E3165:M3165)</f>
        <v/>
      </c>
    </row>
    <row r="3166">
      <c r="A3166" s="5">
        <f>IF(AND(C3166&gt;=Options!$B$9,C3166&lt;=Options!$B$10),"Seattle","")</f>
        <v/>
      </c>
      <c r="B3166" s="5">
        <f>IF(A3166="","",18)</f>
        <v/>
      </c>
      <c r="C3166" s="17" t="n">
        <v>46537</v>
      </c>
      <c r="D3166" s="5">
        <f>IF(A3166="","",IF(C3166=DATE(2026,11,29),"培训；注册午餐；早餐参数",IF(C3166=DATE(2026,11,30),"培训；注册午餐",IF(C3166=DATE(2026,12,1),"培训；注册午餐；机构晚餐",IF(C3166=Options!$B$9,"抵达；"&amp;IF(C3166=DATE(2026,11,28),"机构晚餐","无统一供餐"),IF(C3166=Options!$B$10,"返程；"&amp;IF(C3166=DATE(2026,12,2),"机构午餐","无统一供餐"),"差旅状态；无统一日程"))))))</f>
        <v/>
      </c>
      <c r="E3166" s="13">
        <f>IF(C3166=Options!$B$9,Options!$C$22,0)</f>
        <v/>
      </c>
      <c r="F3166" s="13">
        <f>IF(AND(A3166&lt;&gt;"",C3166&lt;Options!$B$10),B3166*Options!$X$9,0)</f>
        <v/>
      </c>
      <c r="G3166" s="13">
        <f>F3166*12%</f>
        <v/>
      </c>
      <c r="H3166" s="13">
        <f>IF(A3166="",0,B3166*(92*IF(OR(C3166=Options!$B$9,C3166=Options!$B$10),75%,100%)-IF(C3166=DATE(2026,11,29),26+IF(Options!$B$8="是",23,0),0)-IF(C3166=DATE(2026,11,30),26,0)-IF(C3166=DATE(2026,12,1),64,0)-IF(C3166=DATE(2026,11,28),38,0)-IF(C3166=DATE(2026,12,2),26,0)))</f>
        <v/>
      </c>
      <c r="I3166" s="13">
        <f>IF(AND(C3166&gt;=DATE(2026,11,29),C3166&lt;=DATE(2026,12,1)),B3166*60,0)</f>
        <v/>
      </c>
      <c r="J3166" s="13">
        <f>IF(A3166="",0,B3166*(IF(C3166=DATE(2026,11,28),38,0)+IF(C3166=DATE(2026,12,1),38,0)+IF(C3166=DATE(2026,12,2),26,0)))</f>
        <v/>
      </c>
      <c r="K3166" s="13">
        <f>IF(C3166=Options!$B$9,B3166*12,0)</f>
        <v/>
      </c>
      <c r="L3166" s="13">
        <f>IF(C3166=Options!$B$9,B3166*Options!$Z$9,0)</f>
        <v/>
      </c>
      <c r="M3166" s="13" t="n">
        <v>0</v>
      </c>
      <c r="N3166" s="13">
        <f>SUM(E3166:M3166)</f>
        <v/>
      </c>
    </row>
    <row r="3167">
      <c r="A3167" s="5">
        <f>IF(AND(C3167&gt;=Options!$B$9,C3167&lt;=Options!$B$10),"Seattle","")</f>
        <v/>
      </c>
      <c r="B3167" s="5">
        <f>IF(A3167="","",18)</f>
        <v/>
      </c>
      <c r="C3167" s="17" t="n">
        <v>46538</v>
      </c>
      <c r="D3167" s="5">
        <f>IF(A3167="","",IF(C3167=DATE(2026,11,29),"培训；注册午餐；早餐参数",IF(C3167=DATE(2026,11,30),"培训；注册午餐",IF(C3167=DATE(2026,12,1),"培训；注册午餐；机构晚餐",IF(C3167=Options!$B$9,"抵达；"&amp;IF(C3167=DATE(2026,11,28),"机构晚餐","无统一供餐"),IF(C3167=Options!$B$10,"返程；"&amp;IF(C3167=DATE(2026,12,2),"机构午餐","无统一供餐"),"差旅状态；无统一日程"))))))</f>
        <v/>
      </c>
      <c r="E3167" s="13">
        <f>IF(C3167=Options!$B$9,Options!$C$22,0)</f>
        <v/>
      </c>
      <c r="F3167" s="13">
        <f>IF(AND(A3167&lt;&gt;"",C3167&lt;Options!$B$10),B3167*Options!$X$9,0)</f>
        <v/>
      </c>
      <c r="G3167" s="13">
        <f>F3167*12%</f>
        <v/>
      </c>
      <c r="H3167" s="13">
        <f>IF(A3167="",0,B3167*(92*IF(OR(C3167=Options!$B$9,C3167=Options!$B$10),75%,100%)-IF(C3167=DATE(2026,11,29),26+IF(Options!$B$8="是",23,0),0)-IF(C3167=DATE(2026,11,30),26,0)-IF(C3167=DATE(2026,12,1),64,0)-IF(C3167=DATE(2026,11,28),38,0)-IF(C3167=DATE(2026,12,2),26,0)))</f>
        <v/>
      </c>
      <c r="I3167" s="13">
        <f>IF(AND(C3167&gt;=DATE(2026,11,29),C3167&lt;=DATE(2026,12,1)),B3167*60,0)</f>
        <v/>
      </c>
      <c r="J3167" s="13">
        <f>IF(A3167="",0,B3167*(IF(C3167=DATE(2026,11,28),38,0)+IF(C3167=DATE(2026,12,1),38,0)+IF(C3167=DATE(2026,12,2),26,0)))</f>
        <v/>
      </c>
      <c r="K3167" s="13">
        <f>IF(C3167=Options!$B$9,B3167*12,0)</f>
        <v/>
      </c>
      <c r="L3167" s="13">
        <f>IF(C3167=Options!$B$9,B3167*Options!$Z$9,0)</f>
        <v/>
      </c>
      <c r="M3167" s="13" t="n">
        <v>0</v>
      </c>
      <c r="N3167" s="13">
        <f>SUM(E3167:M3167)</f>
        <v/>
      </c>
    </row>
    <row r="3168">
      <c r="A3168" s="5">
        <f>IF(AND(C3168&gt;=Options!$B$9,C3168&lt;=Options!$B$10),"Seattle","")</f>
        <v/>
      </c>
      <c r="B3168" s="5">
        <f>IF(A3168="","",18)</f>
        <v/>
      </c>
      <c r="C3168" s="17" t="n">
        <v>46539</v>
      </c>
      <c r="D3168" s="5">
        <f>IF(A3168="","",IF(C3168=DATE(2026,11,29),"培训；注册午餐；早餐参数",IF(C3168=DATE(2026,11,30),"培训；注册午餐",IF(C3168=DATE(2026,12,1),"培训；注册午餐；机构晚餐",IF(C3168=Options!$B$9,"抵达；"&amp;IF(C3168=DATE(2026,11,28),"机构晚餐","无统一供餐"),IF(C3168=Options!$B$10,"返程；"&amp;IF(C3168=DATE(2026,12,2),"机构午餐","无统一供餐"),"差旅状态；无统一日程"))))))</f>
        <v/>
      </c>
      <c r="E3168" s="13">
        <f>IF(C3168=Options!$B$9,Options!$C$22,0)</f>
        <v/>
      </c>
      <c r="F3168" s="13">
        <f>IF(AND(A3168&lt;&gt;"",C3168&lt;Options!$B$10),B3168*Options!$X$9,0)</f>
        <v/>
      </c>
      <c r="G3168" s="13">
        <f>F3168*12%</f>
        <v/>
      </c>
      <c r="H3168" s="13">
        <f>IF(A3168="",0,B3168*(92*IF(OR(C3168=Options!$B$9,C3168=Options!$B$10),75%,100%)-IF(C3168=DATE(2026,11,29),26+IF(Options!$B$8="是",23,0),0)-IF(C3168=DATE(2026,11,30),26,0)-IF(C3168=DATE(2026,12,1),64,0)-IF(C3168=DATE(2026,11,28),38,0)-IF(C3168=DATE(2026,12,2),26,0)))</f>
        <v/>
      </c>
      <c r="I3168" s="13">
        <f>IF(AND(C3168&gt;=DATE(2026,11,29),C3168&lt;=DATE(2026,12,1)),B3168*60,0)</f>
        <v/>
      </c>
      <c r="J3168" s="13">
        <f>IF(A3168="",0,B3168*(IF(C3168=DATE(2026,11,28),38,0)+IF(C3168=DATE(2026,12,1),38,0)+IF(C3168=DATE(2026,12,2),26,0)))</f>
        <v/>
      </c>
      <c r="K3168" s="13">
        <f>IF(C3168=Options!$B$9,B3168*12,0)</f>
        <v/>
      </c>
      <c r="L3168" s="13">
        <f>IF(C3168=Options!$B$9,B3168*Options!$Z$9,0)</f>
        <v/>
      </c>
      <c r="M3168" s="13" t="n">
        <v>0</v>
      </c>
      <c r="N3168" s="13">
        <f>SUM(E3168:M3168)</f>
        <v/>
      </c>
    </row>
    <row r="3169">
      <c r="A3169" s="5">
        <f>IF(AND(C3169&gt;=Options!$B$9,C3169&lt;=Options!$B$10),"Seattle","")</f>
        <v/>
      </c>
      <c r="B3169" s="5">
        <f>IF(A3169="","",18)</f>
        <v/>
      </c>
      <c r="C3169" s="17" t="n">
        <v>46540</v>
      </c>
      <c r="D3169" s="5">
        <f>IF(A3169="","",IF(C3169=DATE(2026,11,29),"培训；注册午餐；早餐参数",IF(C3169=DATE(2026,11,30),"培训；注册午餐",IF(C3169=DATE(2026,12,1),"培训；注册午餐；机构晚餐",IF(C3169=Options!$B$9,"抵达；"&amp;IF(C3169=DATE(2026,11,28),"机构晚餐","无统一供餐"),IF(C3169=Options!$B$10,"返程；"&amp;IF(C3169=DATE(2026,12,2),"机构午餐","无统一供餐"),"差旅状态；无统一日程"))))))</f>
        <v/>
      </c>
      <c r="E3169" s="13">
        <f>IF(C3169=Options!$B$9,Options!$C$22,0)</f>
        <v/>
      </c>
      <c r="F3169" s="13">
        <f>IF(AND(A3169&lt;&gt;"",C3169&lt;Options!$B$10),B3169*Options!$X$9,0)</f>
        <v/>
      </c>
      <c r="G3169" s="13">
        <f>F3169*12%</f>
        <v/>
      </c>
      <c r="H3169" s="13">
        <f>IF(A3169="",0,B3169*(92*IF(OR(C3169=Options!$B$9,C3169=Options!$B$10),75%,100%)-IF(C3169=DATE(2026,11,29),26+IF(Options!$B$8="是",23,0),0)-IF(C3169=DATE(2026,11,30),26,0)-IF(C3169=DATE(2026,12,1),64,0)-IF(C3169=DATE(2026,11,28),38,0)-IF(C3169=DATE(2026,12,2),26,0)))</f>
        <v/>
      </c>
      <c r="I3169" s="13">
        <f>IF(AND(C3169&gt;=DATE(2026,11,29),C3169&lt;=DATE(2026,12,1)),B3169*60,0)</f>
        <v/>
      </c>
      <c r="J3169" s="13">
        <f>IF(A3169="",0,B3169*(IF(C3169=DATE(2026,11,28),38,0)+IF(C3169=DATE(2026,12,1),38,0)+IF(C3169=DATE(2026,12,2),26,0)))</f>
        <v/>
      </c>
      <c r="K3169" s="13">
        <f>IF(C3169=Options!$B$9,B3169*12,0)</f>
        <v/>
      </c>
      <c r="L3169" s="13">
        <f>IF(C3169=Options!$B$9,B3169*Options!$Z$9,0)</f>
        <v/>
      </c>
      <c r="M3169" s="13" t="n">
        <v>0</v>
      </c>
      <c r="N3169" s="13">
        <f>SUM(E3169:M3169)</f>
        <v/>
      </c>
    </row>
    <row r="3170">
      <c r="A3170" s="5">
        <f>IF(AND(C3170&gt;=Options!$B$9,C3170&lt;=Options!$B$10),"Seattle","")</f>
        <v/>
      </c>
      <c r="B3170" s="5">
        <f>IF(A3170="","",18)</f>
        <v/>
      </c>
      <c r="C3170" s="17" t="n">
        <v>46541</v>
      </c>
      <c r="D3170" s="5">
        <f>IF(A3170="","",IF(C3170=DATE(2026,11,29),"培训；注册午餐；早餐参数",IF(C3170=DATE(2026,11,30),"培训；注册午餐",IF(C3170=DATE(2026,12,1),"培训；注册午餐；机构晚餐",IF(C3170=Options!$B$9,"抵达；"&amp;IF(C3170=DATE(2026,11,28),"机构晚餐","无统一供餐"),IF(C3170=Options!$B$10,"返程；"&amp;IF(C3170=DATE(2026,12,2),"机构午餐","无统一供餐"),"差旅状态；无统一日程"))))))</f>
        <v/>
      </c>
      <c r="E3170" s="13">
        <f>IF(C3170=Options!$B$9,Options!$C$22,0)</f>
        <v/>
      </c>
      <c r="F3170" s="13">
        <f>IF(AND(A3170&lt;&gt;"",C3170&lt;Options!$B$10),B3170*Options!$X$9,0)</f>
        <v/>
      </c>
      <c r="G3170" s="13">
        <f>F3170*12%</f>
        <v/>
      </c>
      <c r="H3170" s="13">
        <f>IF(A3170="",0,B3170*(92*IF(OR(C3170=Options!$B$9,C3170=Options!$B$10),75%,100%)-IF(C3170=DATE(2026,11,29),26+IF(Options!$B$8="是",23,0),0)-IF(C3170=DATE(2026,11,30),26,0)-IF(C3170=DATE(2026,12,1),64,0)-IF(C3170=DATE(2026,11,28),38,0)-IF(C3170=DATE(2026,12,2),26,0)))</f>
        <v/>
      </c>
      <c r="I3170" s="13">
        <f>IF(AND(C3170&gt;=DATE(2026,11,29),C3170&lt;=DATE(2026,12,1)),B3170*60,0)</f>
        <v/>
      </c>
      <c r="J3170" s="13">
        <f>IF(A3170="",0,B3170*(IF(C3170=DATE(2026,11,28),38,0)+IF(C3170=DATE(2026,12,1),38,0)+IF(C3170=DATE(2026,12,2),26,0)))</f>
        <v/>
      </c>
      <c r="K3170" s="13">
        <f>IF(C3170=Options!$B$9,B3170*12,0)</f>
        <v/>
      </c>
      <c r="L3170" s="13">
        <f>IF(C3170=Options!$B$9,B3170*Options!$Z$9,0)</f>
        <v/>
      </c>
      <c r="M3170" s="13" t="n">
        <v>0</v>
      </c>
      <c r="N3170" s="13">
        <f>SUM(E3170:M3170)</f>
        <v/>
      </c>
    </row>
    <row r="3171">
      <c r="A3171" s="5">
        <f>IF(AND(C3171&gt;=Options!$B$9,C3171&lt;=Options!$B$10),"Seattle","")</f>
        <v/>
      </c>
      <c r="B3171" s="5">
        <f>IF(A3171="","",18)</f>
        <v/>
      </c>
      <c r="C3171" s="17" t="n">
        <v>46542</v>
      </c>
      <c r="D3171" s="5">
        <f>IF(A3171="","",IF(C3171=DATE(2026,11,29),"培训；注册午餐；早餐参数",IF(C3171=DATE(2026,11,30),"培训；注册午餐",IF(C3171=DATE(2026,12,1),"培训；注册午餐；机构晚餐",IF(C3171=Options!$B$9,"抵达；"&amp;IF(C3171=DATE(2026,11,28),"机构晚餐","无统一供餐"),IF(C3171=Options!$B$10,"返程；"&amp;IF(C3171=DATE(2026,12,2),"机构午餐","无统一供餐"),"差旅状态；无统一日程"))))))</f>
        <v/>
      </c>
      <c r="E3171" s="13">
        <f>IF(C3171=Options!$B$9,Options!$C$22,0)</f>
        <v/>
      </c>
      <c r="F3171" s="13">
        <f>IF(AND(A3171&lt;&gt;"",C3171&lt;Options!$B$10),B3171*Options!$X$9,0)</f>
        <v/>
      </c>
      <c r="G3171" s="13">
        <f>F3171*12%</f>
        <v/>
      </c>
      <c r="H3171" s="13">
        <f>IF(A3171="",0,B3171*(92*IF(OR(C3171=Options!$B$9,C3171=Options!$B$10),75%,100%)-IF(C3171=DATE(2026,11,29),26+IF(Options!$B$8="是",23,0),0)-IF(C3171=DATE(2026,11,30),26,0)-IF(C3171=DATE(2026,12,1),64,0)-IF(C3171=DATE(2026,11,28),38,0)-IF(C3171=DATE(2026,12,2),26,0)))</f>
        <v/>
      </c>
      <c r="I3171" s="13">
        <f>IF(AND(C3171&gt;=DATE(2026,11,29),C3171&lt;=DATE(2026,12,1)),B3171*60,0)</f>
        <v/>
      </c>
      <c r="J3171" s="13">
        <f>IF(A3171="",0,B3171*(IF(C3171=DATE(2026,11,28),38,0)+IF(C3171=DATE(2026,12,1),38,0)+IF(C3171=DATE(2026,12,2),26,0)))</f>
        <v/>
      </c>
      <c r="K3171" s="13">
        <f>IF(C3171=Options!$B$9,B3171*12,0)</f>
        <v/>
      </c>
      <c r="L3171" s="13">
        <f>IF(C3171=Options!$B$9,B3171*Options!$Z$9,0)</f>
        <v/>
      </c>
      <c r="M3171" s="13" t="n">
        <v>0</v>
      </c>
      <c r="N3171" s="13">
        <f>SUM(E3171:M3171)</f>
        <v/>
      </c>
    </row>
    <row r="3172">
      <c r="A3172" s="5">
        <f>IF(AND(C3172&gt;=Options!$B$9,C3172&lt;=Options!$B$10),"Seattle","")</f>
        <v/>
      </c>
      <c r="B3172" s="5">
        <f>IF(A3172="","",18)</f>
        <v/>
      </c>
      <c r="C3172" s="17" t="n">
        <v>46543</v>
      </c>
      <c r="D3172" s="5">
        <f>IF(A3172="","",IF(C3172=DATE(2026,11,29),"培训；注册午餐；早餐参数",IF(C3172=DATE(2026,11,30),"培训；注册午餐",IF(C3172=DATE(2026,12,1),"培训；注册午餐；机构晚餐",IF(C3172=Options!$B$9,"抵达；"&amp;IF(C3172=DATE(2026,11,28),"机构晚餐","无统一供餐"),IF(C3172=Options!$B$10,"返程；"&amp;IF(C3172=DATE(2026,12,2),"机构午餐","无统一供餐"),"差旅状态；无统一日程"))))))</f>
        <v/>
      </c>
      <c r="E3172" s="13">
        <f>IF(C3172=Options!$B$9,Options!$C$22,0)</f>
        <v/>
      </c>
      <c r="F3172" s="13">
        <f>IF(AND(A3172&lt;&gt;"",C3172&lt;Options!$B$10),B3172*Options!$X$9,0)</f>
        <v/>
      </c>
      <c r="G3172" s="13">
        <f>F3172*12%</f>
        <v/>
      </c>
      <c r="H3172" s="13">
        <f>IF(A3172="",0,B3172*(92*IF(OR(C3172=Options!$B$9,C3172=Options!$B$10),75%,100%)-IF(C3172=DATE(2026,11,29),26+IF(Options!$B$8="是",23,0),0)-IF(C3172=DATE(2026,11,30),26,0)-IF(C3172=DATE(2026,12,1),64,0)-IF(C3172=DATE(2026,11,28),38,0)-IF(C3172=DATE(2026,12,2),26,0)))</f>
        <v/>
      </c>
      <c r="I3172" s="13">
        <f>IF(AND(C3172&gt;=DATE(2026,11,29),C3172&lt;=DATE(2026,12,1)),B3172*60,0)</f>
        <v/>
      </c>
      <c r="J3172" s="13">
        <f>IF(A3172="",0,B3172*(IF(C3172=DATE(2026,11,28),38,0)+IF(C3172=DATE(2026,12,1),38,0)+IF(C3172=DATE(2026,12,2),26,0)))</f>
        <v/>
      </c>
      <c r="K3172" s="13">
        <f>IF(C3172=Options!$B$9,B3172*12,0)</f>
        <v/>
      </c>
      <c r="L3172" s="13">
        <f>IF(C3172=Options!$B$9,B3172*Options!$Z$9,0)</f>
        <v/>
      </c>
      <c r="M3172" s="13" t="n">
        <v>0</v>
      </c>
      <c r="N3172" s="13">
        <f>SUM(E3172:M3172)</f>
        <v/>
      </c>
    </row>
    <row r="3173">
      <c r="A3173" s="5">
        <f>IF(AND(C3173&gt;=Options!$B$9,C3173&lt;=Options!$B$10),"Seattle","")</f>
        <v/>
      </c>
      <c r="B3173" s="5">
        <f>IF(A3173="","",18)</f>
        <v/>
      </c>
      <c r="C3173" s="17" t="n">
        <v>46544</v>
      </c>
      <c r="D3173" s="5">
        <f>IF(A3173="","",IF(C3173=DATE(2026,11,29),"培训；注册午餐；早餐参数",IF(C3173=DATE(2026,11,30),"培训；注册午餐",IF(C3173=DATE(2026,12,1),"培训；注册午餐；机构晚餐",IF(C3173=Options!$B$9,"抵达；"&amp;IF(C3173=DATE(2026,11,28),"机构晚餐","无统一供餐"),IF(C3173=Options!$B$10,"返程；"&amp;IF(C3173=DATE(2026,12,2),"机构午餐","无统一供餐"),"差旅状态；无统一日程"))))))</f>
        <v/>
      </c>
      <c r="E3173" s="13">
        <f>IF(C3173=Options!$B$9,Options!$C$22,0)</f>
        <v/>
      </c>
      <c r="F3173" s="13">
        <f>IF(AND(A3173&lt;&gt;"",C3173&lt;Options!$B$10),B3173*Options!$X$9,0)</f>
        <v/>
      </c>
      <c r="G3173" s="13">
        <f>F3173*12%</f>
        <v/>
      </c>
      <c r="H3173" s="13">
        <f>IF(A3173="",0,B3173*(92*IF(OR(C3173=Options!$B$9,C3173=Options!$B$10),75%,100%)-IF(C3173=DATE(2026,11,29),26+IF(Options!$B$8="是",23,0),0)-IF(C3173=DATE(2026,11,30),26,0)-IF(C3173=DATE(2026,12,1),64,0)-IF(C3173=DATE(2026,11,28),38,0)-IF(C3173=DATE(2026,12,2),26,0)))</f>
        <v/>
      </c>
      <c r="I3173" s="13">
        <f>IF(AND(C3173&gt;=DATE(2026,11,29),C3173&lt;=DATE(2026,12,1)),B3173*60,0)</f>
        <v/>
      </c>
      <c r="J3173" s="13">
        <f>IF(A3173="",0,B3173*(IF(C3173=DATE(2026,11,28),38,0)+IF(C3173=DATE(2026,12,1),38,0)+IF(C3173=DATE(2026,12,2),26,0)))</f>
        <v/>
      </c>
      <c r="K3173" s="13">
        <f>IF(C3173=Options!$B$9,B3173*12,0)</f>
        <v/>
      </c>
      <c r="L3173" s="13">
        <f>IF(C3173=Options!$B$9,B3173*Options!$Z$9,0)</f>
        <v/>
      </c>
      <c r="M3173" s="13" t="n">
        <v>0</v>
      </c>
      <c r="N3173" s="13">
        <f>SUM(E3173:M3173)</f>
        <v/>
      </c>
    </row>
    <row r="3174">
      <c r="A3174" s="5">
        <f>IF(AND(C3174&gt;=Options!$B$9,C3174&lt;=Options!$B$10),"Seattle","")</f>
        <v/>
      </c>
      <c r="B3174" s="5">
        <f>IF(A3174="","",18)</f>
        <v/>
      </c>
      <c r="C3174" s="17" t="n">
        <v>46545</v>
      </c>
      <c r="D3174" s="5">
        <f>IF(A3174="","",IF(C3174=DATE(2026,11,29),"培训；注册午餐；早餐参数",IF(C3174=DATE(2026,11,30),"培训；注册午餐",IF(C3174=DATE(2026,12,1),"培训；注册午餐；机构晚餐",IF(C3174=Options!$B$9,"抵达；"&amp;IF(C3174=DATE(2026,11,28),"机构晚餐","无统一供餐"),IF(C3174=Options!$B$10,"返程；"&amp;IF(C3174=DATE(2026,12,2),"机构午餐","无统一供餐"),"差旅状态；无统一日程"))))))</f>
        <v/>
      </c>
      <c r="E3174" s="13">
        <f>IF(C3174=Options!$B$9,Options!$C$22,0)</f>
        <v/>
      </c>
      <c r="F3174" s="13">
        <f>IF(AND(A3174&lt;&gt;"",C3174&lt;Options!$B$10),B3174*Options!$X$9,0)</f>
        <v/>
      </c>
      <c r="G3174" s="13">
        <f>F3174*12%</f>
        <v/>
      </c>
      <c r="H3174" s="13">
        <f>IF(A3174="",0,B3174*(92*IF(OR(C3174=Options!$B$9,C3174=Options!$B$10),75%,100%)-IF(C3174=DATE(2026,11,29),26+IF(Options!$B$8="是",23,0),0)-IF(C3174=DATE(2026,11,30),26,0)-IF(C3174=DATE(2026,12,1),64,0)-IF(C3174=DATE(2026,11,28),38,0)-IF(C3174=DATE(2026,12,2),26,0)))</f>
        <v/>
      </c>
      <c r="I3174" s="13">
        <f>IF(AND(C3174&gt;=DATE(2026,11,29),C3174&lt;=DATE(2026,12,1)),B3174*60,0)</f>
        <v/>
      </c>
      <c r="J3174" s="13">
        <f>IF(A3174="",0,B3174*(IF(C3174=DATE(2026,11,28),38,0)+IF(C3174=DATE(2026,12,1),38,0)+IF(C3174=DATE(2026,12,2),26,0)))</f>
        <v/>
      </c>
      <c r="K3174" s="13">
        <f>IF(C3174=Options!$B$9,B3174*12,0)</f>
        <v/>
      </c>
      <c r="L3174" s="13">
        <f>IF(C3174=Options!$B$9,B3174*Options!$Z$9,0)</f>
        <v/>
      </c>
      <c r="M3174" s="13" t="n">
        <v>0</v>
      </c>
      <c r="N3174" s="13">
        <f>SUM(E3174:M3174)</f>
        <v/>
      </c>
    </row>
    <row r="3175">
      <c r="A3175" s="5">
        <f>IF(AND(C3175&gt;=Options!$B$9,C3175&lt;=Options!$B$10),"Seattle","")</f>
        <v/>
      </c>
      <c r="B3175" s="5">
        <f>IF(A3175="","",18)</f>
        <v/>
      </c>
      <c r="C3175" s="17" t="n">
        <v>46546</v>
      </c>
      <c r="D3175" s="5">
        <f>IF(A3175="","",IF(C3175=DATE(2026,11,29),"培训；注册午餐；早餐参数",IF(C3175=DATE(2026,11,30),"培训；注册午餐",IF(C3175=DATE(2026,12,1),"培训；注册午餐；机构晚餐",IF(C3175=Options!$B$9,"抵达；"&amp;IF(C3175=DATE(2026,11,28),"机构晚餐","无统一供餐"),IF(C3175=Options!$B$10,"返程；"&amp;IF(C3175=DATE(2026,12,2),"机构午餐","无统一供餐"),"差旅状态；无统一日程"))))))</f>
        <v/>
      </c>
      <c r="E3175" s="13">
        <f>IF(C3175=Options!$B$9,Options!$C$22,0)</f>
        <v/>
      </c>
      <c r="F3175" s="13">
        <f>IF(AND(A3175&lt;&gt;"",C3175&lt;Options!$B$10),B3175*Options!$X$9,0)</f>
        <v/>
      </c>
      <c r="G3175" s="13">
        <f>F3175*12%</f>
        <v/>
      </c>
      <c r="H3175" s="13">
        <f>IF(A3175="",0,B3175*(92*IF(OR(C3175=Options!$B$9,C3175=Options!$B$10),75%,100%)-IF(C3175=DATE(2026,11,29),26+IF(Options!$B$8="是",23,0),0)-IF(C3175=DATE(2026,11,30),26,0)-IF(C3175=DATE(2026,12,1),64,0)-IF(C3175=DATE(2026,11,28),38,0)-IF(C3175=DATE(2026,12,2),26,0)))</f>
        <v/>
      </c>
      <c r="I3175" s="13">
        <f>IF(AND(C3175&gt;=DATE(2026,11,29),C3175&lt;=DATE(2026,12,1)),B3175*60,0)</f>
        <v/>
      </c>
      <c r="J3175" s="13">
        <f>IF(A3175="",0,B3175*(IF(C3175=DATE(2026,11,28),38,0)+IF(C3175=DATE(2026,12,1),38,0)+IF(C3175=DATE(2026,12,2),26,0)))</f>
        <v/>
      </c>
      <c r="K3175" s="13">
        <f>IF(C3175=Options!$B$9,B3175*12,0)</f>
        <v/>
      </c>
      <c r="L3175" s="13">
        <f>IF(C3175=Options!$B$9,B3175*Options!$Z$9,0)</f>
        <v/>
      </c>
      <c r="M3175" s="13" t="n">
        <v>0</v>
      </c>
      <c r="N3175" s="13">
        <f>SUM(E3175:M3175)</f>
        <v/>
      </c>
    </row>
    <row r="3176">
      <c r="A3176" s="5">
        <f>IF(AND(C3176&gt;=Options!$B$9,C3176&lt;=Options!$B$10),"Seattle","")</f>
        <v/>
      </c>
      <c r="B3176" s="5">
        <f>IF(A3176="","",18)</f>
        <v/>
      </c>
      <c r="C3176" s="17" t="n">
        <v>46547</v>
      </c>
      <c r="D3176" s="5">
        <f>IF(A3176="","",IF(C3176=DATE(2026,11,29),"培训；注册午餐；早餐参数",IF(C3176=DATE(2026,11,30),"培训；注册午餐",IF(C3176=DATE(2026,12,1),"培训；注册午餐；机构晚餐",IF(C3176=Options!$B$9,"抵达；"&amp;IF(C3176=DATE(2026,11,28),"机构晚餐","无统一供餐"),IF(C3176=Options!$B$10,"返程；"&amp;IF(C3176=DATE(2026,12,2),"机构午餐","无统一供餐"),"差旅状态；无统一日程"))))))</f>
        <v/>
      </c>
      <c r="E3176" s="13">
        <f>IF(C3176=Options!$B$9,Options!$C$22,0)</f>
        <v/>
      </c>
      <c r="F3176" s="13">
        <f>IF(AND(A3176&lt;&gt;"",C3176&lt;Options!$B$10),B3176*Options!$X$9,0)</f>
        <v/>
      </c>
      <c r="G3176" s="13">
        <f>F3176*12%</f>
        <v/>
      </c>
      <c r="H3176" s="13">
        <f>IF(A3176="",0,B3176*(92*IF(OR(C3176=Options!$B$9,C3176=Options!$B$10),75%,100%)-IF(C3176=DATE(2026,11,29),26+IF(Options!$B$8="是",23,0),0)-IF(C3176=DATE(2026,11,30),26,0)-IF(C3176=DATE(2026,12,1),64,0)-IF(C3176=DATE(2026,11,28),38,0)-IF(C3176=DATE(2026,12,2),26,0)))</f>
        <v/>
      </c>
      <c r="I3176" s="13">
        <f>IF(AND(C3176&gt;=DATE(2026,11,29),C3176&lt;=DATE(2026,12,1)),B3176*60,0)</f>
        <v/>
      </c>
      <c r="J3176" s="13">
        <f>IF(A3176="",0,B3176*(IF(C3176=DATE(2026,11,28),38,0)+IF(C3176=DATE(2026,12,1),38,0)+IF(C3176=DATE(2026,12,2),26,0)))</f>
        <v/>
      </c>
      <c r="K3176" s="13">
        <f>IF(C3176=Options!$B$9,B3176*12,0)</f>
        <v/>
      </c>
      <c r="L3176" s="13">
        <f>IF(C3176=Options!$B$9,B3176*Options!$Z$9,0)</f>
        <v/>
      </c>
      <c r="M3176" s="13" t="n">
        <v>0</v>
      </c>
      <c r="N3176" s="13">
        <f>SUM(E3176:M3176)</f>
        <v/>
      </c>
    </row>
    <row r="3177">
      <c r="A3177" s="5">
        <f>IF(AND(C3177&gt;=Options!$B$9,C3177&lt;=Options!$B$10),"Seattle","")</f>
        <v/>
      </c>
      <c r="B3177" s="5">
        <f>IF(A3177="","",18)</f>
        <v/>
      </c>
      <c r="C3177" s="17" t="n">
        <v>46548</v>
      </c>
      <c r="D3177" s="5">
        <f>IF(A3177="","",IF(C3177=DATE(2026,11,29),"培训；注册午餐；早餐参数",IF(C3177=DATE(2026,11,30),"培训；注册午餐",IF(C3177=DATE(2026,12,1),"培训；注册午餐；机构晚餐",IF(C3177=Options!$B$9,"抵达；"&amp;IF(C3177=DATE(2026,11,28),"机构晚餐","无统一供餐"),IF(C3177=Options!$B$10,"返程；"&amp;IF(C3177=DATE(2026,12,2),"机构午餐","无统一供餐"),"差旅状态；无统一日程"))))))</f>
        <v/>
      </c>
      <c r="E3177" s="13">
        <f>IF(C3177=Options!$B$9,Options!$C$22,0)</f>
        <v/>
      </c>
      <c r="F3177" s="13">
        <f>IF(AND(A3177&lt;&gt;"",C3177&lt;Options!$B$10),B3177*Options!$X$9,0)</f>
        <v/>
      </c>
      <c r="G3177" s="13">
        <f>F3177*12%</f>
        <v/>
      </c>
      <c r="H3177" s="13">
        <f>IF(A3177="",0,B3177*(92*IF(OR(C3177=Options!$B$9,C3177=Options!$B$10),75%,100%)-IF(C3177=DATE(2026,11,29),26+IF(Options!$B$8="是",23,0),0)-IF(C3177=DATE(2026,11,30),26,0)-IF(C3177=DATE(2026,12,1),64,0)-IF(C3177=DATE(2026,11,28),38,0)-IF(C3177=DATE(2026,12,2),26,0)))</f>
        <v/>
      </c>
      <c r="I3177" s="13">
        <f>IF(AND(C3177&gt;=DATE(2026,11,29),C3177&lt;=DATE(2026,12,1)),B3177*60,0)</f>
        <v/>
      </c>
      <c r="J3177" s="13">
        <f>IF(A3177="",0,B3177*(IF(C3177=DATE(2026,11,28),38,0)+IF(C3177=DATE(2026,12,1),38,0)+IF(C3177=DATE(2026,12,2),26,0)))</f>
        <v/>
      </c>
      <c r="K3177" s="13">
        <f>IF(C3177=Options!$B$9,B3177*12,0)</f>
        <v/>
      </c>
      <c r="L3177" s="13">
        <f>IF(C3177=Options!$B$9,B3177*Options!$Z$9,0)</f>
        <v/>
      </c>
      <c r="M3177" s="13" t="n">
        <v>0</v>
      </c>
      <c r="N3177" s="13">
        <f>SUM(E3177:M3177)</f>
        <v/>
      </c>
    </row>
    <row r="3178">
      <c r="A3178" s="5">
        <f>IF(AND(C3178&gt;=Options!$B$9,C3178&lt;=Options!$B$10),"Seattle","")</f>
        <v/>
      </c>
      <c r="B3178" s="5">
        <f>IF(A3178="","",18)</f>
        <v/>
      </c>
      <c r="C3178" s="17" t="n">
        <v>46549</v>
      </c>
      <c r="D3178" s="5">
        <f>IF(A3178="","",IF(C3178=DATE(2026,11,29),"培训；注册午餐；早餐参数",IF(C3178=DATE(2026,11,30),"培训；注册午餐",IF(C3178=DATE(2026,12,1),"培训；注册午餐；机构晚餐",IF(C3178=Options!$B$9,"抵达；"&amp;IF(C3178=DATE(2026,11,28),"机构晚餐","无统一供餐"),IF(C3178=Options!$B$10,"返程；"&amp;IF(C3178=DATE(2026,12,2),"机构午餐","无统一供餐"),"差旅状态；无统一日程"))))))</f>
        <v/>
      </c>
      <c r="E3178" s="13">
        <f>IF(C3178=Options!$B$9,Options!$C$22,0)</f>
        <v/>
      </c>
      <c r="F3178" s="13">
        <f>IF(AND(A3178&lt;&gt;"",C3178&lt;Options!$B$10),B3178*Options!$X$9,0)</f>
        <v/>
      </c>
      <c r="G3178" s="13">
        <f>F3178*12%</f>
        <v/>
      </c>
      <c r="H3178" s="13">
        <f>IF(A3178="",0,B3178*(92*IF(OR(C3178=Options!$B$9,C3178=Options!$B$10),75%,100%)-IF(C3178=DATE(2026,11,29),26+IF(Options!$B$8="是",23,0),0)-IF(C3178=DATE(2026,11,30),26,0)-IF(C3178=DATE(2026,12,1),64,0)-IF(C3178=DATE(2026,11,28),38,0)-IF(C3178=DATE(2026,12,2),26,0)))</f>
        <v/>
      </c>
      <c r="I3178" s="13">
        <f>IF(AND(C3178&gt;=DATE(2026,11,29),C3178&lt;=DATE(2026,12,1)),B3178*60,0)</f>
        <v/>
      </c>
      <c r="J3178" s="13">
        <f>IF(A3178="",0,B3178*(IF(C3178=DATE(2026,11,28),38,0)+IF(C3178=DATE(2026,12,1),38,0)+IF(C3178=DATE(2026,12,2),26,0)))</f>
        <v/>
      </c>
      <c r="K3178" s="13">
        <f>IF(C3178=Options!$B$9,B3178*12,0)</f>
        <v/>
      </c>
      <c r="L3178" s="13">
        <f>IF(C3178=Options!$B$9,B3178*Options!$Z$9,0)</f>
        <v/>
      </c>
      <c r="M3178" s="13" t="n">
        <v>0</v>
      </c>
      <c r="N3178" s="13">
        <f>SUM(E3178:M3178)</f>
        <v/>
      </c>
    </row>
    <row r="3179">
      <c r="A3179" s="5">
        <f>IF(AND(C3179&gt;=Options!$B$9,C3179&lt;=Options!$B$10),"Seattle","")</f>
        <v/>
      </c>
      <c r="B3179" s="5">
        <f>IF(A3179="","",18)</f>
        <v/>
      </c>
      <c r="C3179" s="17" t="n">
        <v>46550</v>
      </c>
      <c r="D3179" s="5">
        <f>IF(A3179="","",IF(C3179=DATE(2026,11,29),"培训；注册午餐；早餐参数",IF(C3179=DATE(2026,11,30),"培训；注册午餐",IF(C3179=DATE(2026,12,1),"培训；注册午餐；机构晚餐",IF(C3179=Options!$B$9,"抵达；"&amp;IF(C3179=DATE(2026,11,28),"机构晚餐","无统一供餐"),IF(C3179=Options!$B$10,"返程；"&amp;IF(C3179=DATE(2026,12,2),"机构午餐","无统一供餐"),"差旅状态；无统一日程"))))))</f>
        <v/>
      </c>
      <c r="E3179" s="13">
        <f>IF(C3179=Options!$B$9,Options!$C$22,0)</f>
        <v/>
      </c>
      <c r="F3179" s="13">
        <f>IF(AND(A3179&lt;&gt;"",C3179&lt;Options!$B$10),B3179*Options!$X$9,0)</f>
        <v/>
      </c>
      <c r="G3179" s="13">
        <f>F3179*12%</f>
        <v/>
      </c>
      <c r="H3179" s="13">
        <f>IF(A3179="",0,B3179*(92*IF(OR(C3179=Options!$B$9,C3179=Options!$B$10),75%,100%)-IF(C3179=DATE(2026,11,29),26+IF(Options!$B$8="是",23,0),0)-IF(C3179=DATE(2026,11,30),26,0)-IF(C3179=DATE(2026,12,1),64,0)-IF(C3179=DATE(2026,11,28),38,0)-IF(C3179=DATE(2026,12,2),26,0)))</f>
        <v/>
      </c>
      <c r="I3179" s="13">
        <f>IF(AND(C3179&gt;=DATE(2026,11,29),C3179&lt;=DATE(2026,12,1)),B3179*60,0)</f>
        <v/>
      </c>
      <c r="J3179" s="13">
        <f>IF(A3179="",0,B3179*(IF(C3179=DATE(2026,11,28),38,0)+IF(C3179=DATE(2026,12,1),38,0)+IF(C3179=DATE(2026,12,2),26,0)))</f>
        <v/>
      </c>
      <c r="K3179" s="13">
        <f>IF(C3179=Options!$B$9,B3179*12,0)</f>
        <v/>
      </c>
      <c r="L3179" s="13">
        <f>IF(C3179=Options!$B$9,B3179*Options!$Z$9,0)</f>
        <v/>
      </c>
      <c r="M3179" s="13" t="n">
        <v>0</v>
      </c>
      <c r="N3179" s="13">
        <f>SUM(E3179:M3179)</f>
        <v/>
      </c>
    </row>
    <row r="3180">
      <c r="A3180" s="5">
        <f>IF(AND(C3180&gt;=Options!$B$9,C3180&lt;=Options!$B$10),"Seattle","")</f>
        <v/>
      </c>
      <c r="B3180" s="5">
        <f>IF(A3180="","",18)</f>
        <v/>
      </c>
      <c r="C3180" s="17" t="n">
        <v>46551</v>
      </c>
      <c r="D3180" s="5">
        <f>IF(A3180="","",IF(C3180=DATE(2026,11,29),"培训；注册午餐；早餐参数",IF(C3180=DATE(2026,11,30),"培训；注册午餐",IF(C3180=DATE(2026,12,1),"培训；注册午餐；机构晚餐",IF(C3180=Options!$B$9,"抵达；"&amp;IF(C3180=DATE(2026,11,28),"机构晚餐","无统一供餐"),IF(C3180=Options!$B$10,"返程；"&amp;IF(C3180=DATE(2026,12,2),"机构午餐","无统一供餐"),"差旅状态；无统一日程"))))))</f>
        <v/>
      </c>
      <c r="E3180" s="13">
        <f>IF(C3180=Options!$B$9,Options!$C$22,0)</f>
        <v/>
      </c>
      <c r="F3180" s="13">
        <f>IF(AND(A3180&lt;&gt;"",C3180&lt;Options!$B$10),B3180*Options!$X$9,0)</f>
        <v/>
      </c>
      <c r="G3180" s="13">
        <f>F3180*12%</f>
        <v/>
      </c>
      <c r="H3180" s="13">
        <f>IF(A3180="",0,B3180*(92*IF(OR(C3180=Options!$B$9,C3180=Options!$B$10),75%,100%)-IF(C3180=DATE(2026,11,29),26+IF(Options!$B$8="是",23,0),0)-IF(C3180=DATE(2026,11,30),26,0)-IF(C3180=DATE(2026,12,1),64,0)-IF(C3180=DATE(2026,11,28),38,0)-IF(C3180=DATE(2026,12,2),26,0)))</f>
        <v/>
      </c>
      <c r="I3180" s="13">
        <f>IF(AND(C3180&gt;=DATE(2026,11,29),C3180&lt;=DATE(2026,12,1)),B3180*60,0)</f>
        <v/>
      </c>
      <c r="J3180" s="13">
        <f>IF(A3180="",0,B3180*(IF(C3180=DATE(2026,11,28),38,0)+IF(C3180=DATE(2026,12,1),38,0)+IF(C3180=DATE(2026,12,2),26,0)))</f>
        <v/>
      </c>
      <c r="K3180" s="13">
        <f>IF(C3180=Options!$B$9,B3180*12,0)</f>
        <v/>
      </c>
      <c r="L3180" s="13">
        <f>IF(C3180=Options!$B$9,B3180*Options!$Z$9,0)</f>
        <v/>
      </c>
      <c r="M3180" s="13" t="n">
        <v>0</v>
      </c>
      <c r="N3180" s="13">
        <f>SUM(E3180:M3180)</f>
        <v/>
      </c>
    </row>
    <row r="3181">
      <c r="A3181" s="5">
        <f>IF(AND(C3181&gt;=Options!$B$9,C3181&lt;=Options!$B$10),"Seattle","")</f>
        <v/>
      </c>
      <c r="B3181" s="5">
        <f>IF(A3181="","",18)</f>
        <v/>
      </c>
      <c r="C3181" s="17" t="n">
        <v>46552</v>
      </c>
      <c r="D3181" s="5">
        <f>IF(A3181="","",IF(C3181=DATE(2026,11,29),"培训；注册午餐；早餐参数",IF(C3181=DATE(2026,11,30),"培训；注册午餐",IF(C3181=DATE(2026,12,1),"培训；注册午餐；机构晚餐",IF(C3181=Options!$B$9,"抵达；"&amp;IF(C3181=DATE(2026,11,28),"机构晚餐","无统一供餐"),IF(C3181=Options!$B$10,"返程；"&amp;IF(C3181=DATE(2026,12,2),"机构午餐","无统一供餐"),"差旅状态；无统一日程"))))))</f>
        <v/>
      </c>
      <c r="E3181" s="13">
        <f>IF(C3181=Options!$B$9,Options!$C$22,0)</f>
        <v/>
      </c>
      <c r="F3181" s="13">
        <f>IF(AND(A3181&lt;&gt;"",C3181&lt;Options!$B$10),B3181*Options!$X$9,0)</f>
        <v/>
      </c>
      <c r="G3181" s="13">
        <f>F3181*12%</f>
        <v/>
      </c>
      <c r="H3181" s="13">
        <f>IF(A3181="",0,B3181*(92*IF(OR(C3181=Options!$B$9,C3181=Options!$B$10),75%,100%)-IF(C3181=DATE(2026,11,29),26+IF(Options!$B$8="是",23,0),0)-IF(C3181=DATE(2026,11,30),26,0)-IF(C3181=DATE(2026,12,1),64,0)-IF(C3181=DATE(2026,11,28),38,0)-IF(C3181=DATE(2026,12,2),26,0)))</f>
        <v/>
      </c>
      <c r="I3181" s="13">
        <f>IF(AND(C3181&gt;=DATE(2026,11,29),C3181&lt;=DATE(2026,12,1)),B3181*60,0)</f>
        <v/>
      </c>
      <c r="J3181" s="13">
        <f>IF(A3181="",0,B3181*(IF(C3181=DATE(2026,11,28),38,0)+IF(C3181=DATE(2026,12,1),38,0)+IF(C3181=DATE(2026,12,2),26,0)))</f>
        <v/>
      </c>
      <c r="K3181" s="13">
        <f>IF(C3181=Options!$B$9,B3181*12,0)</f>
        <v/>
      </c>
      <c r="L3181" s="13">
        <f>IF(C3181=Options!$B$9,B3181*Options!$Z$9,0)</f>
        <v/>
      </c>
      <c r="M3181" s="13" t="n">
        <v>0</v>
      </c>
      <c r="N3181" s="13">
        <f>SUM(E3181:M3181)</f>
        <v/>
      </c>
    </row>
    <row r="3182">
      <c r="A3182" s="5">
        <f>IF(AND(C3182&gt;=Options!$B$9,C3182&lt;=Options!$B$10),"Seattle","")</f>
        <v/>
      </c>
      <c r="B3182" s="5">
        <f>IF(A3182="","",18)</f>
        <v/>
      </c>
      <c r="C3182" s="17" t="n">
        <v>46553</v>
      </c>
      <c r="D3182" s="5">
        <f>IF(A3182="","",IF(C3182=DATE(2026,11,29),"培训；注册午餐；早餐参数",IF(C3182=DATE(2026,11,30),"培训；注册午餐",IF(C3182=DATE(2026,12,1),"培训；注册午餐；机构晚餐",IF(C3182=Options!$B$9,"抵达；"&amp;IF(C3182=DATE(2026,11,28),"机构晚餐","无统一供餐"),IF(C3182=Options!$B$10,"返程；"&amp;IF(C3182=DATE(2026,12,2),"机构午餐","无统一供餐"),"差旅状态；无统一日程"))))))</f>
        <v/>
      </c>
      <c r="E3182" s="13">
        <f>IF(C3182=Options!$B$9,Options!$C$22,0)</f>
        <v/>
      </c>
      <c r="F3182" s="13">
        <f>IF(AND(A3182&lt;&gt;"",C3182&lt;Options!$B$10),B3182*Options!$X$9,0)</f>
        <v/>
      </c>
      <c r="G3182" s="13">
        <f>F3182*12%</f>
        <v/>
      </c>
      <c r="H3182" s="13">
        <f>IF(A3182="",0,B3182*(92*IF(OR(C3182=Options!$B$9,C3182=Options!$B$10),75%,100%)-IF(C3182=DATE(2026,11,29),26+IF(Options!$B$8="是",23,0),0)-IF(C3182=DATE(2026,11,30),26,0)-IF(C3182=DATE(2026,12,1),64,0)-IF(C3182=DATE(2026,11,28),38,0)-IF(C3182=DATE(2026,12,2),26,0)))</f>
        <v/>
      </c>
      <c r="I3182" s="13">
        <f>IF(AND(C3182&gt;=DATE(2026,11,29),C3182&lt;=DATE(2026,12,1)),B3182*60,0)</f>
        <v/>
      </c>
      <c r="J3182" s="13">
        <f>IF(A3182="",0,B3182*(IF(C3182=DATE(2026,11,28),38,0)+IF(C3182=DATE(2026,12,1),38,0)+IF(C3182=DATE(2026,12,2),26,0)))</f>
        <v/>
      </c>
      <c r="K3182" s="13">
        <f>IF(C3182=Options!$B$9,B3182*12,0)</f>
        <v/>
      </c>
      <c r="L3182" s="13">
        <f>IF(C3182=Options!$B$9,B3182*Options!$Z$9,0)</f>
        <v/>
      </c>
      <c r="M3182" s="13" t="n">
        <v>0</v>
      </c>
      <c r="N3182" s="13">
        <f>SUM(E3182:M3182)</f>
        <v/>
      </c>
    </row>
    <row r="3183">
      <c r="A3183" s="5">
        <f>IF(AND(C3183&gt;=Options!$B$9,C3183&lt;=Options!$B$10),"Seattle","")</f>
        <v/>
      </c>
      <c r="B3183" s="5">
        <f>IF(A3183="","",18)</f>
        <v/>
      </c>
      <c r="C3183" s="17" t="n">
        <v>46554</v>
      </c>
      <c r="D3183" s="5">
        <f>IF(A3183="","",IF(C3183=DATE(2026,11,29),"培训；注册午餐；早餐参数",IF(C3183=DATE(2026,11,30),"培训；注册午餐",IF(C3183=DATE(2026,12,1),"培训；注册午餐；机构晚餐",IF(C3183=Options!$B$9,"抵达；"&amp;IF(C3183=DATE(2026,11,28),"机构晚餐","无统一供餐"),IF(C3183=Options!$B$10,"返程；"&amp;IF(C3183=DATE(2026,12,2),"机构午餐","无统一供餐"),"差旅状态；无统一日程"))))))</f>
        <v/>
      </c>
      <c r="E3183" s="13">
        <f>IF(C3183=Options!$B$9,Options!$C$22,0)</f>
        <v/>
      </c>
      <c r="F3183" s="13">
        <f>IF(AND(A3183&lt;&gt;"",C3183&lt;Options!$B$10),B3183*Options!$X$9,0)</f>
        <v/>
      </c>
      <c r="G3183" s="13">
        <f>F3183*12%</f>
        <v/>
      </c>
      <c r="H3183" s="13">
        <f>IF(A3183="",0,B3183*(92*IF(OR(C3183=Options!$B$9,C3183=Options!$B$10),75%,100%)-IF(C3183=DATE(2026,11,29),26+IF(Options!$B$8="是",23,0),0)-IF(C3183=DATE(2026,11,30),26,0)-IF(C3183=DATE(2026,12,1),64,0)-IF(C3183=DATE(2026,11,28),38,0)-IF(C3183=DATE(2026,12,2),26,0)))</f>
        <v/>
      </c>
      <c r="I3183" s="13">
        <f>IF(AND(C3183&gt;=DATE(2026,11,29),C3183&lt;=DATE(2026,12,1)),B3183*60,0)</f>
        <v/>
      </c>
      <c r="J3183" s="13">
        <f>IF(A3183="",0,B3183*(IF(C3183=DATE(2026,11,28),38,0)+IF(C3183=DATE(2026,12,1),38,0)+IF(C3183=DATE(2026,12,2),26,0)))</f>
        <v/>
      </c>
      <c r="K3183" s="13">
        <f>IF(C3183=Options!$B$9,B3183*12,0)</f>
        <v/>
      </c>
      <c r="L3183" s="13">
        <f>IF(C3183=Options!$B$9,B3183*Options!$Z$9,0)</f>
        <v/>
      </c>
      <c r="M3183" s="13" t="n">
        <v>0</v>
      </c>
      <c r="N3183" s="13">
        <f>SUM(E3183:M3183)</f>
        <v/>
      </c>
    </row>
    <row r="3184">
      <c r="A3184" s="5">
        <f>IF(AND(C3184&gt;=Options!$B$9,C3184&lt;=Options!$B$10),"Seattle","")</f>
        <v/>
      </c>
      <c r="B3184" s="5">
        <f>IF(A3184="","",18)</f>
        <v/>
      </c>
      <c r="C3184" s="17" t="n">
        <v>46555</v>
      </c>
      <c r="D3184" s="5">
        <f>IF(A3184="","",IF(C3184=DATE(2026,11,29),"培训；注册午餐；早餐参数",IF(C3184=DATE(2026,11,30),"培训；注册午餐",IF(C3184=DATE(2026,12,1),"培训；注册午餐；机构晚餐",IF(C3184=Options!$B$9,"抵达；"&amp;IF(C3184=DATE(2026,11,28),"机构晚餐","无统一供餐"),IF(C3184=Options!$B$10,"返程；"&amp;IF(C3184=DATE(2026,12,2),"机构午餐","无统一供餐"),"差旅状态；无统一日程"))))))</f>
        <v/>
      </c>
      <c r="E3184" s="13">
        <f>IF(C3184=Options!$B$9,Options!$C$22,0)</f>
        <v/>
      </c>
      <c r="F3184" s="13">
        <f>IF(AND(A3184&lt;&gt;"",C3184&lt;Options!$B$10),B3184*Options!$X$9,0)</f>
        <v/>
      </c>
      <c r="G3184" s="13">
        <f>F3184*12%</f>
        <v/>
      </c>
      <c r="H3184" s="13">
        <f>IF(A3184="",0,B3184*(92*IF(OR(C3184=Options!$B$9,C3184=Options!$B$10),75%,100%)-IF(C3184=DATE(2026,11,29),26+IF(Options!$B$8="是",23,0),0)-IF(C3184=DATE(2026,11,30),26,0)-IF(C3184=DATE(2026,12,1),64,0)-IF(C3184=DATE(2026,11,28),38,0)-IF(C3184=DATE(2026,12,2),26,0)))</f>
        <v/>
      </c>
      <c r="I3184" s="13">
        <f>IF(AND(C3184&gt;=DATE(2026,11,29),C3184&lt;=DATE(2026,12,1)),B3184*60,0)</f>
        <v/>
      </c>
      <c r="J3184" s="13">
        <f>IF(A3184="",0,B3184*(IF(C3184=DATE(2026,11,28),38,0)+IF(C3184=DATE(2026,12,1),38,0)+IF(C3184=DATE(2026,12,2),26,0)))</f>
        <v/>
      </c>
      <c r="K3184" s="13">
        <f>IF(C3184=Options!$B$9,B3184*12,0)</f>
        <v/>
      </c>
      <c r="L3184" s="13">
        <f>IF(C3184=Options!$B$9,B3184*Options!$Z$9,0)</f>
        <v/>
      </c>
      <c r="M3184" s="13" t="n">
        <v>0</v>
      </c>
      <c r="N3184" s="13">
        <f>SUM(E3184:M3184)</f>
        <v/>
      </c>
    </row>
    <row r="3185">
      <c r="A3185" s="5">
        <f>IF(AND(C3185&gt;=Options!$B$9,C3185&lt;=Options!$B$10),"Seattle","")</f>
        <v/>
      </c>
      <c r="B3185" s="5">
        <f>IF(A3185="","",18)</f>
        <v/>
      </c>
      <c r="C3185" s="17" t="n">
        <v>46556</v>
      </c>
      <c r="D3185" s="5">
        <f>IF(A3185="","",IF(C3185=DATE(2026,11,29),"培训；注册午餐；早餐参数",IF(C3185=DATE(2026,11,30),"培训；注册午餐",IF(C3185=DATE(2026,12,1),"培训；注册午餐；机构晚餐",IF(C3185=Options!$B$9,"抵达；"&amp;IF(C3185=DATE(2026,11,28),"机构晚餐","无统一供餐"),IF(C3185=Options!$B$10,"返程；"&amp;IF(C3185=DATE(2026,12,2),"机构午餐","无统一供餐"),"差旅状态；无统一日程"))))))</f>
        <v/>
      </c>
      <c r="E3185" s="13">
        <f>IF(C3185=Options!$B$9,Options!$C$22,0)</f>
        <v/>
      </c>
      <c r="F3185" s="13">
        <f>IF(AND(A3185&lt;&gt;"",C3185&lt;Options!$B$10),B3185*Options!$X$9,0)</f>
        <v/>
      </c>
      <c r="G3185" s="13">
        <f>F3185*12%</f>
        <v/>
      </c>
      <c r="H3185" s="13">
        <f>IF(A3185="",0,B3185*(92*IF(OR(C3185=Options!$B$9,C3185=Options!$B$10),75%,100%)-IF(C3185=DATE(2026,11,29),26+IF(Options!$B$8="是",23,0),0)-IF(C3185=DATE(2026,11,30),26,0)-IF(C3185=DATE(2026,12,1),64,0)-IF(C3185=DATE(2026,11,28),38,0)-IF(C3185=DATE(2026,12,2),26,0)))</f>
        <v/>
      </c>
      <c r="I3185" s="13">
        <f>IF(AND(C3185&gt;=DATE(2026,11,29),C3185&lt;=DATE(2026,12,1)),B3185*60,0)</f>
        <v/>
      </c>
      <c r="J3185" s="13">
        <f>IF(A3185="",0,B3185*(IF(C3185=DATE(2026,11,28),38,0)+IF(C3185=DATE(2026,12,1),38,0)+IF(C3185=DATE(2026,12,2),26,0)))</f>
        <v/>
      </c>
      <c r="K3185" s="13">
        <f>IF(C3185=Options!$B$9,B3185*12,0)</f>
        <v/>
      </c>
      <c r="L3185" s="13">
        <f>IF(C3185=Options!$B$9,B3185*Options!$Z$9,0)</f>
        <v/>
      </c>
      <c r="M3185" s="13" t="n">
        <v>0</v>
      </c>
      <c r="N3185" s="13">
        <f>SUM(E3185:M3185)</f>
        <v/>
      </c>
    </row>
    <row r="3186">
      <c r="A3186" s="5">
        <f>IF(AND(C3186&gt;=Options!$B$9,C3186&lt;=Options!$B$10),"Seattle","")</f>
        <v/>
      </c>
      <c r="B3186" s="5">
        <f>IF(A3186="","",18)</f>
        <v/>
      </c>
      <c r="C3186" s="17" t="n">
        <v>46557</v>
      </c>
      <c r="D3186" s="5">
        <f>IF(A3186="","",IF(C3186=DATE(2026,11,29),"培训；注册午餐；早餐参数",IF(C3186=DATE(2026,11,30),"培训；注册午餐",IF(C3186=DATE(2026,12,1),"培训；注册午餐；机构晚餐",IF(C3186=Options!$B$9,"抵达；"&amp;IF(C3186=DATE(2026,11,28),"机构晚餐","无统一供餐"),IF(C3186=Options!$B$10,"返程；"&amp;IF(C3186=DATE(2026,12,2),"机构午餐","无统一供餐"),"差旅状态；无统一日程"))))))</f>
        <v/>
      </c>
      <c r="E3186" s="13">
        <f>IF(C3186=Options!$B$9,Options!$C$22,0)</f>
        <v/>
      </c>
      <c r="F3186" s="13">
        <f>IF(AND(A3186&lt;&gt;"",C3186&lt;Options!$B$10),B3186*Options!$X$9,0)</f>
        <v/>
      </c>
      <c r="G3186" s="13">
        <f>F3186*12%</f>
        <v/>
      </c>
      <c r="H3186" s="13">
        <f>IF(A3186="",0,B3186*(92*IF(OR(C3186=Options!$B$9,C3186=Options!$B$10),75%,100%)-IF(C3186=DATE(2026,11,29),26+IF(Options!$B$8="是",23,0),0)-IF(C3186=DATE(2026,11,30),26,0)-IF(C3186=DATE(2026,12,1),64,0)-IF(C3186=DATE(2026,11,28),38,0)-IF(C3186=DATE(2026,12,2),26,0)))</f>
        <v/>
      </c>
      <c r="I3186" s="13">
        <f>IF(AND(C3186&gt;=DATE(2026,11,29),C3186&lt;=DATE(2026,12,1)),B3186*60,0)</f>
        <v/>
      </c>
      <c r="J3186" s="13">
        <f>IF(A3186="",0,B3186*(IF(C3186=DATE(2026,11,28),38,0)+IF(C3186=DATE(2026,12,1),38,0)+IF(C3186=DATE(2026,12,2),26,0)))</f>
        <v/>
      </c>
      <c r="K3186" s="13">
        <f>IF(C3186=Options!$B$9,B3186*12,0)</f>
        <v/>
      </c>
      <c r="L3186" s="13">
        <f>IF(C3186=Options!$B$9,B3186*Options!$Z$9,0)</f>
        <v/>
      </c>
      <c r="M3186" s="13" t="n">
        <v>0</v>
      </c>
      <c r="N3186" s="13">
        <f>SUM(E3186:M3186)</f>
        <v/>
      </c>
    </row>
    <row r="3187">
      <c r="A3187" s="5">
        <f>IF(AND(C3187&gt;=Options!$B$9,C3187&lt;=Options!$B$10),"Seattle","")</f>
        <v/>
      </c>
      <c r="B3187" s="5">
        <f>IF(A3187="","",18)</f>
        <v/>
      </c>
      <c r="C3187" s="17" t="n">
        <v>46558</v>
      </c>
      <c r="D3187" s="5">
        <f>IF(A3187="","",IF(C3187=DATE(2026,11,29),"培训；注册午餐；早餐参数",IF(C3187=DATE(2026,11,30),"培训；注册午餐",IF(C3187=DATE(2026,12,1),"培训；注册午餐；机构晚餐",IF(C3187=Options!$B$9,"抵达；"&amp;IF(C3187=DATE(2026,11,28),"机构晚餐","无统一供餐"),IF(C3187=Options!$B$10,"返程；"&amp;IF(C3187=DATE(2026,12,2),"机构午餐","无统一供餐"),"差旅状态；无统一日程"))))))</f>
        <v/>
      </c>
      <c r="E3187" s="13">
        <f>IF(C3187=Options!$B$9,Options!$C$22,0)</f>
        <v/>
      </c>
      <c r="F3187" s="13">
        <f>IF(AND(A3187&lt;&gt;"",C3187&lt;Options!$B$10),B3187*Options!$X$9,0)</f>
        <v/>
      </c>
      <c r="G3187" s="13">
        <f>F3187*12%</f>
        <v/>
      </c>
      <c r="H3187" s="13">
        <f>IF(A3187="",0,B3187*(92*IF(OR(C3187=Options!$B$9,C3187=Options!$B$10),75%,100%)-IF(C3187=DATE(2026,11,29),26+IF(Options!$B$8="是",23,0),0)-IF(C3187=DATE(2026,11,30),26,0)-IF(C3187=DATE(2026,12,1),64,0)-IF(C3187=DATE(2026,11,28),38,0)-IF(C3187=DATE(2026,12,2),26,0)))</f>
        <v/>
      </c>
      <c r="I3187" s="13">
        <f>IF(AND(C3187&gt;=DATE(2026,11,29),C3187&lt;=DATE(2026,12,1)),B3187*60,0)</f>
        <v/>
      </c>
      <c r="J3187" s="13">
        <f>IF(A3187="",0,B3187*(IF(C3187=DATE(2026,11,28),38,0)+IF(C3187=DATE(2026,12,1),38,0)+IF(C3187=DATE(2026,12,2),26,0)))</f>
        <v/>
      </c>
      <c r="K3187" s="13">
        <f>IF(C3187=Options!$B$9,B3187*12,0)</f>
        <v/>
      </c>
      <c r="L3187" s="13">
        <f>IF(C3187=Options!$B$9,B3187*Options!$Z$9,0)</f>
        <v/>
      </c>
      <c r="M3187" s="13" t="n">
        <v>0</v>
      </c>
      <c r="N3187" s="13">
        <f>SUM(E3187:M3187)</f>
        <v/>
      </c>
    </row>
    <row r="3188">
      <c r="A3188" s="5">
        <f>IF(AND(C3188&gt;=Options!$B$9,C3188&lt;=Options!$B$10),"Seattle","")</f>
        <v/>
      </c>
      <c r="B3188" s="5">
        <f>IF(A3188="","",18)</f>
        <v/>
      </c>
      <c r="C3188" s="17" t="n">
        <v>46559</v>
      </c>
      <c r="D3188" s="5">
        <f>IF(A3188="","",IF(C3188=DATE(2026,11,29),"培训；注册午餐；早餐参数",IF(C3188=DATE(2026,11,30),"培训；注册午餐",IF(C3188=DATE(2026,12,1),"培训；注册午餐；机构晚餐",IF(C3188=Options!$B$9,"抵达；"&amp;IF(C3188=DATE(2026,11,28),"机构晚餐","无统一供餐"),IF(C3188=Options!$B$10,"返程；"&amp;IF(C3188=DATE(2026,12,2),"机构午餐","无统一供餐"),"差旅状态；无统一日程"))))))</f>
        <v/>
      </c>
      <c r="E3188" s="13">
        <f>IF(C3188=Options!$B$9,Options!$C$22,0)</f>
        <v/>
      </c>
      <c r="F3188" s="13">
        <f>IF(AND(A3188&lt;&gt;"",C3188&lt;Options!$B$10),B3188*Options!$X$9,0)</f>
        <v/>
      </c>
      <c r="G3188" s="13">
        <f>F3188*12%</f>
        <v/>
      </c>
      <c r="H3188" s="13">
        <f>IF(A3188="",0,B3188*(92*IF(OR(C3188=Options!$B$9,C3188=Options!$B$10),75%,100%)-IF(C3188=DATE(2026,11,29),26+IF(Options!$B$8="是",23,0),0)-IF(C3188=DATE(2026,11,30),26,0)-IF(C3188=DATE(2026,12,1),64,0)-IF(C3188=DATE(2026,11,28),38,0)-IF(C3188=DATE(2026,12,2),26,0)))</f>
        <v/>
      </c>
      <c r="I3188" s="13">
        <f>IF(AND(C3188&gt;=DATE(2026,11,29),C3188&lt;=DATE(2026,12,1)),B3188*60,0)</f>
        <v/>
      </c>
      <c r="J3188" s="13">
        <f>IF(A3188="",0,B3188*(IF(C3188=DATE(2026,11,28),38,0)+IF(C3188=DATE(2026,12,1),38,0)+IF(C3188=DATE(2026,12,2),26,0)))</f>
        <v/>
      </c>
      <c r="K3188" s="13">
        <f>IF(C3188=Options!$B$9,B3188*12,0)</f>
        <v/>
      </c>
      <c r="L3188" s="13">
        <f>IF(C3188=Options!$B$9,B3188*Options!$Z$9,0)</f>
        <v/>
      </c>
      <c r="M3188" s="13" t="n">
        <v>0</v>
      </c>
      <c r="N3188" s="13">
        <f>SUM(E3188:M3188)</f>
        <v/>
      </c>
    </row>
    <row r="3189">
      <c r="A3189" s="5">
        <f>IF(AND(C3189&gt;=Options!$B$9,C3189&lt;=Options!$B$10),"Seattle","")</f>
        <v/>
      </c>
      <c r="B3189" s="5">
        <f>IF(A3189="","",18)</f>
        <v/>
      </c>
      <c r="C3189" s="17" t="n">
        <v>46560</v>
      </c>
      <c r="D3189" s="5">
        <f>IF(A3189="","",IF(C3189=DATE(2026,11,29),"培训；注册午餐；早餐参数",IF(C3189=DATE(2026,11,30),"培训；注册午餐",IF(C3189=DATE(2026,12,1),"培训；注册午餐；机构晚餐",IF(C3189=Options!$B$9,"抵达；"&amp;IF(C3189=DATE(2026,11,28),"机构晚餐","无统一供餐"),IF(C3189=Options!$B$10,"返程；"&amp;IF(C3189=DATE(2026,12,2),"机构午餐","无统一供餐"),"差旅状态；无统一日程"))))))</f>
        <v/>
      </c>
      <c r="E3189" s="13">
        <f>IF(C3189=Options!$B$9,Options!$C$22,0)</f>
        <v/>
      </c>
      <c r="F3189" s="13">
        <f>IF(AND(A3189&lt;&gt;"",C3189&lt;Options!$B$10),B3189*Options!$X$9,0)</f>
        <v/>
      </c>
      <c r="G3189" s="13">
        <f>F3189*12%</f>
        <v/>
      </c>
      <c r="H3189" s="13">
        <f>IF(A3189="",0,B3189*(92*IF(OR(C3189=Options!$B$9,C3189=Options!$B$10),75%,100%)-IF(C3189=DATE(2026,11,29),26+IF(Options!$B$8="是",23,0),0)-IF(C3189=DATE(2026,11,30),26,0)-IF(C3189=DATE(2026,12,1),64,0)-IF(C3189=DATE(2026,11,28),38,0)-IF(C3189=DATE(2026,12,2),26,0)))</f>
        <v/>
      </c>
      <c r="I3189" s="13">
        <f>IF(AND(C3189&gt;=DATE(2026,11,29),C3189&lt;=DATE(2026,12,1)),B3189*60,0)</f>
        <v/>
      </c>
      <c r="J3189" s="13">
        <f>IF(A3189="",0,B3189*(IF(C3189=DATE(2026,11,28),38,0)+IF(C3189=DATE(2026,12,1),38,0)+IF(C3189=DATE(2026,12,2),26,0)))</f>
        <v/>
      </c>
      <c r="K3189" s="13">
        <f>IF(C3189=Options!$B$9,B3189*12,0)</f>
        <v/>
      </c>
      <c r="L3189" s="13">
        <f>IF(C3189=Options!$B$9,B3189*Options!$Z$9,0)</f>
        <v/>
      </c>
      <c r="M3189" s="13" t="n">
        <v>0</v>
      </c>
      <c r="N3189" s="13">
        <f>SUM(E3189:M3189)</f>
        <v/>
      </c>
    </row>
    <row r="3190">
      <c r="A3190" s="5">
        <f>IF(AND(C3190&gt;=Options!$B$9,C3190&lt;=Options!$B$10),"Seattle","")</f>
        <v/>
      </c>
      <c r="B3190" s="5">
        <f>IF(A3190="","",18)</f>
        <v/>
      </c>
      <c r="C3190" s="17" t="n">
        <v>46561</v>
      </c>
      <c r="D3190" s="5">
        <f>IF(A3190="","",IF(C3190=DATE(2026,11,29),"培训；注册午餐；早餐参数",IF(C3190=DATE(2026,11,30),"培训；注册午餐",IF(C3190=DATE(2026,12,1),"培训；注册午餐；机构晚餐",IF(C3190=Options!$B$9,"抵达；"&amp;IF(C3190=DATE(2026,11,28),"机构晚餐","无统一供餐"),IF(C3190=Options!$B$10,"返程；"&amp;IF(C3190=DATE(2026,12,2),"机构午餐","无统一供餐"),"差旅状态；无统一日程"))))))</f>
        <v/>
      </c>
      <c r="E3190" s="13">
        <f>IF(C3190=Options!$B$9,Options!$C$22,0)</f>
        <v/>
      </c>
      <c r="F3190" s="13">
        <f>IF(AND(A3190&lt;&gt;"",C3190&lt;Options!$B$10),B3190*Options!$X$9,0)</f>
        <v/>
      </c>
      <c r="G3190" s="13">
        <f>F3190*12%</f>
        <v/>
      </c>
      <c r="H3190" s="13">
        <f>IF(A3190="",0,B3190*(92*IF(OR(C3190=Options!$B$9,C3190=Options!$B$10),75%,100%)-IF(C3190=DATE(2026,11,29),26+IF(Options!$B$8="是",23,0),0)-IF(C3190=DATE(2026,11,30),26,0)-IF(C3190=DATE(2026,12,1),64,0)-IF(C3190=DATE(2026,11,28),38,0)-IF(C3190=DATE(2026,12,2),26,0)))</f>
        <v/>
      </c>
      <c r="I3190" s="13">
        <f>IF(AND(C3190&gt;=DATE(2026,11,29),C3190&lt;=DATE(2026,12,1)),B3190*60,0)</f>
        <v/>
      </c>
      <c r="J3190" s="13">
        <f>IF(A3190="",0,B3190*(IF(C3190=DATE(2026,11,28),38,0)+IF(C3190=DATE(2026,12,1),38,0)+IF(C3190=DATE(2026,12,2),26,0)))</f>
        <v/>
      </c>
      <c r="K3190" s="13">
        <f>IF(C3190=Options!$B$9,B3190*12,0)</f>
        <v/>
      </c>
      <c r="L3190" s="13">
        <f>IF(C3190=Options!$B$9,B3190*Options!$Z$9,0)</f>
        <v/>
      </c>
      <c r="M3190" s="13" t="n">
        <v>0</v>
      </c>
      <c r="N3190" s="13">
        <f>SUM(E3190:M3190)</f>
        <v/>
      </c>
    </row>
    <row r="3191">
      <c r="A3191" s="5">
        <f>IF(AND(C3191&gt;=Options!$B$9,C3191&lt;=Options!$B$10),"Seattle","")</f>
        <v/>
      </c>
      <c r="B3191" s="5">
        <f>IF(A3191="","",18)</f>
        <v/>
      </c>
      <c r="C3191" s="17" t="n">
        <v>46562</v>
      </c>
      <c r="D3191" s="5">
        <f>IF(A3191="","",IF(C3191=DATE(2026,11,29),"培训；注册午餐；早餐参数",IF(C3191=DATE(2026,11,30),"培训；注册午餐",IF(C3191=DATE(2026,12,1),"培训；注册午餐；机构晚餐",IF(C3191=Options!$B$9,"抵达；"&amp;IF(C3191=DATE(2026,11,28),"机构晚餐","无统一供餐"),IF(C3191=Options!$B$10,"返程；"&amp;IF(C3191=DATE(2026,12,2),"机构午餐","无统一供餐"),"差旅状态；无统一日程"))))))</f>
        <v/>
      </c>
      <c r="E3191" s="13">
        <f>IF(C3191=Options!$B$9,Options!$C$22,0)</f>
        <v/>
      </c>
      <c r="F3191" s="13">
        <f>IF(AND(A3191&lt;&gt;"",C3191&lt;Options!$B$10),B3191*Options!$X$9,0)</f>
        <v/>
      </c>
      <c r="G3191" s="13">
        <f>F3191*12%</f>
        <v/>
      </c>
      <c r="H3191" s="13">
        <f>IF(A3191="",0,B3191*(92*IF(OR(C3191=Options!$B$9,C3191=Options!$B$10),75%,100%)-IF(C3191=DATE(2026,11,29),26+IF(Options!$B$8="是",23,0),0)-IF(C3191=DATE(2026,11,30),26,0)-IF(C3191=DATE(2026,12,1),64,0)-IF(C3191=DATE(2026,11,28),38,0)-IF(C3191=DATE(2026,12,2),26,0)))</f>
        <v/>
      </c>
      <c r="I3191" s="13">
        <f>IF(AND(C3191&gt;=DATE(2026,11,29),C3191&lt;=DATE(2026,12,1)),B3191*60,0)</f>
        <v/>
      </c>
      <c r="J3191" s="13">
        <f>IF(A3191="",0,B3191*(IF(C3191=DATE(2026,11,28),38,0)+IF(C3191=DATE(2026,12,1),38,0)+IF(C3191=DATE(2026,12,2),26,0)))</f>
        <v/>
      </c>
      <c r="K3191" s="13">
        <f>IF(C3191=Options!$B$9,B3191*12,0)</f>
        <v/>
      </c>
      <c r="L3191" s="13">
        <f>IF(C3191=Options!$B$9,B3191*Options!$Z$9,0)</f>
        <v/>
      </c>
      <c r="M3191" s="13" t="n">
        <v>0</v>
      </c>
      <c r="N3191" s="13">
        <f>SUM(E3191:M3191)</f>
        <v/>
      </c>
    </row>
    <row r="3192">
      <c r="A3192" s="5">
        <f>IF(AND(C3192&gt;=Options!$B$9,C3192&lt;=Options!$B$10),"Seattle","")</f>
        <v/>
      </c>
      <c r="B3192" s="5">
        <f>IF(A3192="","",18)</f>
        <v/>
      </c>
      <c r="C3192" s="17" t="n">
        <v>46563</v>
      </c>
      <c r="D3192" s="5">
        <f>IF(A3192="","",IF(C3192=DATE(2026,11,29),"培训；注册午餐；早餐参数",IF(C3192=DATE(2026,11,30),"培训；注册午餐",IF(C3192=DATE(2026,12,1),"培训；注册午餐；机构晚餐",IF(C3192=Options!$B$9,"抵达；"&amp;IF(C3192=DATE(2026,11,28),"机构晚餐","无统一供餐"),IF(C3192=Options!$B$10,"返程；"&amp;IF(C3192=DATE(2026,12,2),"机构午餐","无统一供餐"),"差旅状态；无统一日程"))))))</f>
        <v/>
      </c>
      <c r="E3192" s="13">
        <f>IF(C3192=Options!$B$9,Options!$C$22,0)</f>
        <v/>
      </c>
      <c r="F3192" s="13">
        <f>IF(AND(A3192&lt;&gt;"",C3192&lt;Options!$B$10),B3192*Options!$X$9,0)</f>
        <v/>
      </c>
      <c r="G3192" s="13">
        <f>F3192*12%</f>
        <v/>
      </c>
      <c r="H3192" s="13">
        <f>IF(A3192="",0,B3192*(92*IF(OR(C3192=Options!$B$9,C3192=Options!$B$10),75%,100%)-IF(C3192=DATE(2026,11,29),26+IF(Options!$B$8="是",23,0),0)-IF(C3192=DATE(2026,11,30),26,0)-IF(C3192=DATE(2026,12,1),64,0)-IF(C3192=DATE(2026,11,28),38,0)-IF(C3192=DATE(2026,12,2),26,0)))</f>
        <v/>
      </c>
      <c r="I3192" s="13">
        <f>IF(AND(C3192&gt;=DATE(2026,11,29),C3192&lt;=DATE(2026,12,1)),B3192*60,0)</f>
        <v/>
      </c>
      <c r="J3192" s="13">
        <f>IF(A3192="",0,B3192*(IF(C3192=DATE(2026,11,28),38,0)+IF(C3192=DATE(2026,12,1),38,0)+IF(C3192=DATE(2026,12,2),26,0)))</f>
        <v/>
      </c>
      <c r="K3192" s="13">
        <f>IF(C3192=Options!$B$9,B3192*12,0)</f>
        <v/>
      </c>
      <c r="L3192" s="13">
        <f>IF(C3192=Options!$B$9,B3192*Options!$Z$9,0)</f>
        <v/>
      </c>
      <c r="M3192" s="13" t="n">
        <v>0</v>
      </c>
      <c r="N3192" s="13">
        <f>SUM(E3192:M3192)</f>
        <v/>
      </c>
    </row>
    <row r="3193">
      <c r="A3193" s="5">
        <f>IF(AND(C3193&gt;=Options!$B$9,C3193&lt;=Options!$B$10),"Seattle","")</f>
        <v/>
      </c>
      <c r="B3193" s="5">
        <f>IF(A3193="","",18)</f>
        <v/>
      </c>
      <c r="C3193" s="17" t="n">
        <v>46564</v>
      </c>
      <c r="D3193" s="5">
        <f>IF(A3193="","",IF(C3193=DATE(2026,11,29),"培训；注册午餐；早餐参数",IF(C3193=DATE(2026,11,30),"培训；注册午餐",IF(C3193=DATE(2026,12,1),"培训；注册午餐；机构晚餐",IF(C3193=Options!$B$9,"抵达；"&amp;IF(C3193=DATE(2026,11,28),"机构晚餐","无统一供餐"),IF(C3193=Options!$B$10,"返程；"&amp;IF(C3193=DATE(2026,12,2),"机构午餐","无统一供餐"),"差旅状态；无统一日程"))))))</f>
        <v/>
      </c>
      <c r="E3193" s="13">
        <f>IF(C3193=Options!$B$9,Options!$C$22,0)</f>
        <v/>
      </c>
      <c r="F3193" s="13">
        <f>IF(AND(A3193&lt;&gt;"",C3193&lt;Options!$B$10),B3193*Options!$X$9,0)</f>
        <v/>
      </c>
      <c r="G3193" s="13">
        <f>F3193*12%</f>
        <v/>
      </c>
      <c r="H3193" s="13">
        <f>IF(A3193="",0,B3193*(92*IF(OR(C3193=Options!$B$9,C3193=Options!$B$10),75%,100%)-IF(C3193=DATE(2026,11,29),26+IF(Options!$B$8="是",23,0),0)-IF(C3193=DATE(2026,11,30),26,0)-IF(C3193=DATE(2026,12,1),64,0)-IF(C3193=DATE(2026,11,28),38,0)-IF(C3193=DATE(2026,12,2),26,0)))</f>
        <v/>
      </c>
      <c r="I3193" s="13">
        <f>IF(AND(C3193&gt;=DATE(2026,11,29),C3193&lt;=DATE(2026,12,1)),B3193*60,0)</f>
        <v/>
      </c>
      <c r="J3193" s="13">
        <f>IF(A3193="",0,B3193*(IF(C3193=DATE(2026,11,28),38,0)+IF(C3193=DATE(2026,12,1),38,0)+IF(C3193=DATE(2026,12,2),26,0)))</f>
        <v/>
      </c>
      <c r="K3193" s="13">
        <f>IF(C3193=Options!$B$9,B3193*12,0)</f>
        <v/>
      </c>
      <c r="L3193" s="13">
        <f>IF(C3193=Options!$B$9,B3193*Options!$Z$9,0)</f>
        <v/>
      </c>
      <c r="M3193" s="13" t="n">
        <v>0</v>
      </c>
      <c r="N3193" s="13">
        <f>SUM(E3193:M3193)</f>
        <v/>
      </c>
    </row>
    <row r="3194">
      <c r="A3194" s="5">
        <f>IF(AND(C3194&gt;=Options!$B$9,C3194&lt;=Options!$B$10),"Seattle","")</f>
        <v/>
      </c>
      <c r="B3194" s="5">
        <f>IF(A3194="","",18)</f>
        <v/>
      </c>
      <c r="C3194" s="17" t="n">
        <v>46565</v>
      </c>
      <c r="D3194" s="5">
        <f>IF(A3194="","",IF(C3194=DATE(2026,11,29),"培训；注册午餐；早餐参数",IF(C3194=DATE(2026,11,30),"培训；注册午餐",IF(C3194=DATE(2026,12,1),"培训；注册午餐；机构晚餐",IF(C3194=Options!$B$9,"抵达；"&amp;IF(C3194=DATE(2026,11,28),"机构晚餐","无统一供餐"),IF(C3194=Options!$B$10,"返程；"&amp;IF(C3194=DATE(2026,12,2),"机构午餐","无统一供餐"),"差旅状态；无统一日程"))))))</f>
        <v/>
      </c>
      <c r="E3194" s="13">
        <f>IF(C3194=Options!$B$9,Options!$C$22,0)</f>
        <v/>
      </c>
      <c r="F3194" s="13">
        <f>IF(AND(A3194&lt;&gt;"",C3194&lt;Options!$B$10),B3194*Options!$X$9,0)</f>
        <v/>
      </c>
      <c r="G3194" s="13">
        <f>F3194*12%</f>
        <v/>
      </c>
      <c r="H3194" s="13">
        <f>IF(A3194="",0,B3194*(92*IF(OR(C3194=Options!$B$9,C3194=Options!$B$10),75%,100%)-IF(C3194=DATE(2026,11,29),26+IF(Options!$B$8="是",23,0),0)-IF(C3194=DATE(2026,11,30),26,0)-IF(C3194=DATE(2026,12,1),64,0)-IF(C3194=DATE(2026,11,28),38,0)-IF(C3194=DATE(2026,12,2),26,0)))</f>
        <v/>
      </c>
      <c r="I3194" s="13">
        <f>IF(AND(C3194&gt;=DATE(2026,11,29),C3194&lt;=DATE(2026,12,1)),B3194*60,0)</f>
        <v/>
      </c>
      <c r="J3194" s="13">
        <f>IF(A3194="",0,B3194*(IF(C3194=DATE(2026,11,28),38,0)+IF(C3194=DATE(2026,12,1),38,0)+IF(C3194=DATE(2026,12,2),26,0)))</f>
        <v/>
      </c>
      <c r="K3194" s="13">
        <f>IF(C3194=Options!$B$9,B3194*12,0)</f>
        <v/>
      </c>
      <c r="L3194" s="13">
        <f>IF(C3194=Options!$B$9,B3194*Options!$Z$9,0)</f>
        <v/>
      </c>
      <c r="M3194" s="13" t="n">
        <v>0</v>
      </c>
      <c r="N3194" s="13">
        <f>SUM(E3194:M3194)</f>
        <v/>
      </c>
    </row>
    <row r="3195">
      <c r="A3195" s="5">
        <f>IF(AND(C3195&gt;=Options!$B$9,C3195&lt;=Options!$B$10),"Seattle","")</f>
        <v/>
      </c>
      <c r="B3195" s="5">
        <f>IF(A3195="","",18)</f>
        <v/>
      </c>
      <c r="C3195" s="17" t="n">
        <v>46566</v>
      </c>
      <c r="D3195" s="5">
        <f>IF(A3195="","",IF(C3195=DATE(2026,11,29),"培训；注册午餐；早餐参数",IF(C3195=DATE(2026,11,30),"培训；注册午餐",IF(C3195=DATE(2026,12,1),"培训；注册午餐；机构晚餐",IF(C3195=Options!$B$9,"抵达；"&amp;IF(C3195=DATE(2026,11,28),"机构晚餐","无统一供餐"),IF(C3195=Options!$B$10,"返程；"&amp;IF(C3195=DATE(2026,12,2),"机构午餐","无统一供餐"),"差旅状态；无统一日程"))))))</f>
        <v/>
      </c>
      <c r="E3195" s="13">
        <f>IF(C3195=Options!$B$9,Options!$C$22,0)</f>
        <v/>
      </c>
      <c r="F3195" s="13">
        <f>IF(AND(A3195&lt;&gt;"",C3195&lt;Options!$B$10),B3195*Options!$X$9,0)</f>
        <v/>
      </c>
      <c r="G3195" s="13">
        <f>F3195*12%</f>
        <v/>
      </c>
      <c r="H3195" s="13">
        <f>IF(A3195="",0,B3195*(92*IF(OR(C3195=Options!$B$9,C3195=Options!$B$10),75%,100%)-IF(C3195=DATE(2026,11,29),26+IF(Options!$B$8="是",23,0),0)-IF(C3195=DATE(2026,11,30),26,0)-IF(C3195=DATE(2026,12,1),64,0)-IF(C3195=DATE(2026,11,28),38,0)-IF(C3195=DATE(2026,12,2),26,0)))</f>
        <v/>
      </c>
      <c r="I3195" s="13">
        <f>IF(AND(C3195&gt;=DATE(2026,11,29),C3195&lt;=DATE(2026,12,1)),B3195*60,0)</f>
        <v/>
      </c>
      <c r="J3195" s="13">
        <f>IF(A3195="",0,B3195*(IF(C3195=DATE(2026,11,28),38,0)+IF(C3195=DATE(2026,12,1),38,0)+IF(C3195=DATE(2026,12,2),26,0)))</f>
        <v/>
      </c>
      <c r="K3195" s="13">
        <f>IF(C3195=Options!$B$9,B3195*12,0)</f>
        <v/>
      </c>
      <c r="L3195" s="13">
        <f>IF(C3195=Options!$B$9,B3195*Options!$Z$9,0)</f>
        <v/>
      </c>
      <c r="M3195" s="13" t="n">
        <v>0</v>
      </c>
      <c r="N3195" s="13">
        <f>SUM(E3195:M3195)</f>
        <v/>
      </c>
    </row>
    <row r="3196">
      <c r="A3196" s="5">
        <f>IF(AND(C3196&gt;=Options!$B$9,C3196&lt;=Options!$B$10),"Seattle","")</f>
        <v/>
      </c>
      <c r="B3196" s="5">
        <f>IF(A3196="","",18)</f>
        <v/>
      </c>
      <c r="C3196" s="17" t="n">
        <v>46567</v>
      </c>
      <c r="D3196" s="5">
        <f>IF(A3196="","",IF(C3196=DATE(2026,11,29),"培训；注册午餐；早餐参数",IF(C3196=DATE(2026,11,30),"培训；注册午餐",IF(C3196=DATE(2026,12,1),"培训；注册午餐；机构晚餐",IF(C3196=Options!$B$9,"抵达；"&amp;IF(C3196=DATE(2026,11,28),"机构晚餐","无统一供餐"),IF(C3196=Options!$B$10,"返程；"&amp;IF(C3196=DATE(2026,12,2),"机构午餐","无统一供餐"),"差旅状态；无统一日程"))))))</f>
        <v/>
      </c>
      <c r="E3196" s="13">
        <f>IF(C3196=Options!$B$9,Options!$C$22,0)</f>
        <v/>
      </c>
      <c r="F3196" s="13">
        <f>IF(AND(A3196&lt;&gt;"",C3196&lt;Options!$B$10),B3196*Options!$X$9,0)</f>
        <v/>
      </c>
      <c r="G3196" s="13">
        <f>F3196*12%</f>
        <v/>
      </c>
      <c r="H3196" s="13">
        <f>IF(A3196="",0,B3196*(92*IF(OR(C3196=Options!$B$9,C3196=Options!$B$10),75%,100%)-IF(C3196=DATE(2026,11,29),26+IF(Options!$B$8="是",23,0),0)-IF(C3196=DATE(2026,11,30),26,0)-IF(C3196=DATE(2026,12,1),64,0)-IF(C3196=DATE(2026,11,28),38,0)-IF(C3196=DATE(2026,12,2),26,0)))</f>
        <v/>
      </c>
      <c r="I3196" s="13">
        <f>IF(AND(C3196&gt;=DATE(2026,11,29),C3196&lt;=DATE(2026,12,1)),B3196*60,0)</f>
        <v/>
      </c>
      <c r="J3196" s="13">
        <f>IF(A3196="",0,B3196*(IF(C3196=DATE(2026,11,28),38,0)+IF(C3196=DATE(2026,12,1),38,0)+IF(C3196=DATE(2026,12,2),26,0)))</f>
        <v/>
      </c>
      <c r="K3196" s="13">
        <f>IF(C3196=Options!$B$9,B3196*12,0)</f>
        <v/>
      </c>
      <c r="L3196" s="13">
        <f>IF(C3196=Options!$B$9,B3196*Options!$Z$9,0)</f>
        <v/>
      </c>
      <c r="M3196" s="13" t="n">
        <v>0</v>
      </c>
      <c r="N3196" s="13">
        <f>SUM(E3196:M3196)</f>
        <v/>
      </c>
    </row>
    <row r="3197">
      <c r="A3197" s="5">
        <f>IF(AND(C3197&gt;=Options!$B$9,C3197&lt;=Options!$B$10),"Seattle","")</f>
        <v/>
      </c>
      <c r="B3197" s="5">
        <f>IF(A3197="","",18)</f>
        <v/>
      </c>
      <c r="C3197" s="17" t="n">
        <v>46568</v>
      </c>
      <c r="D3197" s="5">
        <f>IF(A3197="","",IF(C3197=DATE(2026,11,29),"培训；注册午餐；早餐参数",IF(C3197=DATE(2026,11,30),"培训；注册午餐",IF(C3197=DATE(2026,12,1),"培训；注册午餐；机构晚餐",IF(C3197=Options!$B$9,"抵达；"&amp;IF(C3197=DATE(2026,11,28),"机构晚餐","无统一供餐"),IF(C3197=Options!$B$10,"返程；"&amp;IF(C3197=DATE(2026,12,2),"机构午餐","无统一供餐"),"差旅状态；无统一日程"))))))</f>
        <v/>
      </c>
      <c r="E3197" s="13">
        <f>IF(C3197=Options!$B$9,Options!$C$22,0)</f>
        <v/>
      </c>
      <c r="F3197" s="13">
        <f>IF(AND(A3197&lt;&gt;"",C3197&lt;Options!$B$10),B3197*Options!$X$9,0)</f>
        <v/>
      </c>
      <c r="G3197" s="13">
        <f>F3197*12%</f>
        <v/>
      </c>
      <c r="H3197" s="13">
        <f>IF(A3197="",0,B3197*(92*IF(OR(C3197=Options!$B$9,C3197=Options!$B$10),75%,100%)-IF(C3197=DATE(2026,11,29),26+IF(Options!$B$8="是",23,0),0)-IF(C3197=DATE(2026,11,30),26,0)-IF(C3197=DATE(2026,12,1),64,0)-IF(C3197=DATE(2026,11,28),38,0)-IF(C3197=DATE(2026,12,2),26,0)))</f>
        <v/>
      </c>
      <c r="I3197" s="13">
        <f>IF(AND(C3197&gt;=DATE(2026,11,29),C3197&lt;=DATE(2026,12,1)),B3197*60,0)</f>
        <v/>
      </c>
      <c r="J3197" s="13">
        <f>IF(A3197="",0,B3197*(IF(C3197=DATE(2026,11,28),38,0)+IF(C3197=DATE(2026,12,1),38,0)+IF(C3197=DATE(2026,12,2),26,0)))</f>
        <v/>
      </c>
      <c r="K3197" s="13">
        <f>IF(C3197=Options!$B$9,B3197*12,0)</f>
        <v/>
      </c>
      <c r="L3197" s="13">
        <f>IF(C3197=Options!$B$9,B3197*Options!$Z$9,0)</f>
        <v/>
      </c>
      <c r="M3197" s="13" t="n">
        <v>0</v>
      </c>
      <c r="N3197" s="13">
        <f>SUM(E3197:M3197)</f>
        <v/>
      </c>
    </row>
    <row r="3198">
      <c r="A3198" s="5">
        <f>IF(AND(C3198&gt;=Options!$B$9,C3198&lt;=Options!$B$10),"Seattle","")</f>
        <v/>
      </c>
      <c r="B3198" s="5">
        <f>IF(A3198="","",18)</f>
        <v/>
      </c>
      <c r="C3198" s="17" t="n">
        <v>46569</v>
      </c>
      <c r="D3198" s="5">
        <f>IF(A3198="","",IF(C3198=DATE(2026,11,29),"培训；注册午餐；早餐参数",IF(C3198=DATE(2026,11,30),"培训；注册午餐",IF(C3198=DATE(2026,12,1),"培训；注册午餐；机构晚餐",IF(C3198=Options!$B$9,"抵达；"&amp;IF(C3198=DATE(2026,11,28),"机构晚餐","无统一供餐"),IF(C3198=Options!$B$10,"返程；"&amp;IF(C3198=DATE(2026,12,2),"机构午餐","无统一供餐"),"差旅状态；无统一日程"))))))</f>
        <v/>
      </c>
      <c r="E3198" s="13">
        <f>IF(C3198=Options!$B$9,Options!$C$22,0)</f>
        <v/>
      </c>
      <c r="F3198" s="13">
        <f>IF(AND(A3198&lt;&gt;"",C3198&lt;Options!$B$10),B3198*Options!$X$9,0)</f>
        <v/>
      </c>
      <c r="G3198" s="13">
        <f>F3198*12%</f>
        <v/>
      </c>
      <c r="H3198" s="13">
        <f>IF(A3198="",0,B3198*(92*IF(OR(C3198=Options!$B$9,C3198=Options!$B$10),75%,100%)-IF(C3198=DATE(2026,11,29),26+IF(Options!$B$8="是",23,0),0)-IF(C3198=DATE(2026,11,30),26,0)-IF(C3198=DATE(2026,12,1),64,0)-IF(C3198=DATE(2026,11,28),38,0)-IF(C3198=DATE(2026,12,2),26,0)))</f>
        <v/>
      </c>
      <c r="I3198" s="13">
        <f>IF(AND(C3198&gt;=DATE(2026,11,29),C3198&lt;=DATE(2026,12,1)),B3198*60,0)</f>
        <v/>
      </c>
      <c r="J3198" s="13">
        <f>IF(A3198="",0,B3198*(IF(C3198=DATE(2026,11,28),38,0)+IF(C3198=DATE(2026,12,1),38,0)+IF(C3198=DATE(2026,12,2),26,0)))</f>
        <v/>
      </c>
      <c r="K3198" s="13">
        <f>IF(C3198=Options!$B$9,B3198*12,0)</f>
        <v/>
      </c>
      <c r="L3198" s="13">
        <f>IF(C3198=Options!$B$9,B3198*Options!$Z$9,0)</f>
        <v/>
      </c>
      <c r="M3198" s="13" t="n">
        <v>0</v>
      </c>
      <c r="N3198" s="13">
        <f>SUM(E3198:M3198)</f>
        <v/>
      </c>
    </row>
    <row r="3199">
      <c r="A3199" s="5">
        <f>IF(AND(C3199&gt;=Options!$B$9,C3199&lt;=Options!$B$10),"Seattle","")</f>
        <v/>
      </c>
      <c r="B3199" s="5">
        <f>IF(A3199="","",18)</f>
        <v/>
      </c>
      <c r="C3199" s="17" t="n">
        <v>46570</v>
      </c>
      <c r="D3199" s="5">
        <f>IF(A3199="","",IF(C3199=DATE(2026,11,29),"培训；注册午餐；早餐参数",IF(C3199=DATE(2026,11,30),"培训；注册午餐",IF(C3199=DATE(2026,12,1),"培训；注册午餐；机构晚餐",IF(C3199=Options!$B$9,"抵达；"&amp;IF(C3199=DATE(2026,11,28),"机构晚餐","无统一供餐"),IF(C3199=Options!$B$10,"返程；"&amp;IF(C3199=DATE(2026,12,2),"机构午餐","无统一供餐"),"差旅状态；无统一日程"))))))</f>
        <v/>
      </c>
      <c r="E3199" s="13">
        <f>IF(C3199=Options!$B$9,Options!$C$22,0)</f>
        <v/>
      </c>
      <c r="F3199" s="13">
        <f>IF(AND(A3199&lt;&gt;"",C3199&lt;Options!$B$10),B3199*Options!$X$9,0)</f>
        <v/>
      </c>
      <c r="G3199" s="13">
        <f>F3199*12%</f>
        <v/>
      </c>
      <c r="H3199" s="13">
        <f>IF(A3199="",0,B3199*(92*IF(OR(C3199=Options!$B$9,C3199=Options!$B$10),75%,100%)-IF(C3199=DATE(2026,11,29),26+IF(Options!$B$8="是",23,0),0)-IF(C3199=DATE(2026,11,30),26,0)-IF(C3199=DATE(2026,12,1),64,0)-IF(C3199=DATE(2026,11,28),38,0)-IF(C3199=DATE(2026,12,2),26,0)))</f>
        <v/>
      </c>
      <c r="I3199" s="13">
        <f>IF(AND(C3199&gt;=DATE(2026,11,29),C3199&lt;=DATE(2026,12,1)),B3199*60,0)</f>
        <v/>
      </c>
      <c r="J3199" s="13">
        <f>IF(A3199="",0,B3199*(IF(C3199=DATE(2026,11,28),38,0)+IF(C3199=DATE(2026,12,1),38,0)+IF(C3199=DATE(2026,12,2),26,0)))</f>
        <v/>
      </c>
      <c r="K3199" s="13">
        <f>IF(C3199=Options!$B$9,B3199*12,0)</f>
        <v/>
      </c>
      <c r="L3199" s="13">
        <f>IF(C3199=Options!$B$9,B3199*Options!$Z$9,0)</f>
        <v/>
      </c>
      <c r="M3199" s="13" t="n">
        <v>0</v>
      </c>
      <c r="N3199" s="13">
        <f>SUM(E3199:M3199)</f>
        <v/>
      </c>
    </row>
    <row r="3200">
      <c r="A3200" s="5">
        <f>IF(AND(C3200&gt;=Options!$B$9,C3200&lt;=Options!$B$10),"Seattle","")</f>
        <v/>
      </c>
      <c r="B3200" s="5">
        <f>IF(A3200="","",18)</f>
        <v/>
      </c>
      <c r="C3200" s="17" t="n">
        <v>46571</v>
      </c>
      <c r="D3200" s="5">
        <f>IF(A3200="","",IF(C3200=DATE(2026,11,29),"培训；注册午餐；早餐参数",IF(C3200=DATE(2026,11,30),"培训；注册午餐",IF(C3200=DATE(2026,12,1),"培训；注册午餐；机构晚餐",IF(C3200=Options!$B$9,"抵达；"&amp;IF(C3200=DATE(2026,11,28),"机构晚餐","无统一供餐"),IF(C3200=Options!$B$10,"返程；"&amp;IF(C3200=DATE(2026,12,2),"机构午餐","无统一供餐"),"差旅状态；无统一日程"))))))</f>
        <v/>
      </c>
      <c r="E3200" s="13">
        <f>IF(C3200=Options!$B$9,Options!$C$22,0)</f>
        <v/>
      </c>
      <c r="F3200" s="13">
        <f>IF(AND(A3200&lt;&gt;"",C3200&lt;Options!$B$10),B3200*Options!$X$9,0)</f>
        <v/>
      </c>
      <c r="G3200" s="13">
        <f>F3200*12%</f>
        <v/>
      </c>
      <c r="H3200" s="13">
        <f>IF(A3200="",0,B3200*(92*IF(OR(C3200=Options!$B$9,C3200=Options!$B$10),75%,100%)-IF(C3200=DATE(2026,11,29),26+IF(Options!$B$8="是",23,0),0)-IF(C3200=DATE(2026,11,30),26,0)-IF(C3200=DATE(2026,12,1),64,0)-IF(C3200=DATE(2026,11,28),38,0)-IF(C3200=DATE(2026,12,2),26,0)))</f>
        <v/>
      </c>
      <c r="I3200" s="13">
        <f>IF(AND(C3200&gt;=DATE(2026,11,29),C3200&lt;=DATE(2026,12,1)),B3200*60,0)</f>
        <v/>
      </c>
      <c r="J3200" s="13">
        <f>IF(A3200="",0,B3200*(IF(C3200=DATE(2026,11,28),38,0)+IF(C3200=DATE(2026,12,1),38,0)+IF(C3200=DATE(2026,12,2),26,0)))</f>
        <v/>
      </c>
      <c r="K3200" s="13">
        <f>IF(C3200=Options!$B$9,B3200*12,0)</f>
        <v/>
      </c>
      <c r="L3200" s="13">
        <f>IF(C3200=Options!$B$9,B3200*Options!$Z$9,0)</f>
        <v/>
      </c>
      <c r="M3200" s="13" t="n">
        <v>0</v>
      </c>
      <c r="N3200" s="13">
        <f>SUM(E3200:M3200)</f>
        <v/>
      </c>
    </row>
    <row r="3201">
      <c r="A3201" s="5">
        <f>IF(AND(C3201&gt;=Options!$B$9,C3201&lt;=Options!$B$10),"Seattle","")</f>
        <v/>
      </c>
      <c r="B3201" s="5">
        <f>IF(A3201="","",18)</f>
        <v/>
      </c>
      <c r="C3201" s="17" t="n">
        <v>46572</v>
      </c>
      <c r="D3201" s="5">
        <f>IF(A3201="","",IF(C3201=DATE(2026,11,29),"培训；注册午餐；早餐参数",IF(C3201=DATE(2026,11,30),"培训；注册午餐",IF(C3201=DATE(2026,12,1),"培训；注册午餐；机构晚餐",IF(C3201=Options!$B$9,"抵达；"&amp;IF(C3201=DATE(2026,11,28),"机构晚餐","无统一供餐"),IF(C3201=Options!$B$10,"返程；"&amp;IF(C3201=DATE(2026,12,2),"机构午餐","无统一供餐"),"差旅状态；无统一日程"))))))</f>
        <v/>
      </c>
      <c r="E3201" s="13">
        <f>IF(C3201=Options!$B$9,Options!$C$22,0)</f>
        <v/>
      </c>
      <c r="F3201" s="13">
        <f>IF(AND(A3201&lt;&gt;"",C3201&lt;Options!$B$10),B3201*Options!$X$9,0)</f>
        <v/>
      </c>
      <c r="G3201" s="13">
        <f>F3201*12%</f>
        <v/>
      </c>
      <c r="H3201" s="13">
        <f>IF(A3201="",0,B3201*(92*IF(OR(C3201=Options!$B$9,C3201=Options!$B$10),75%,100%)-IF(C3201=DATE(2026,11,29),26+IF(Options!$B$8="是",23,0),0)-IF(C3201=DATE(2026,11,30),26,0)-IF(C3201=DATE(2026,12,1),64,0)-IF(C3201=DATE(2026,11,28),38,0)-IF(C3201=DATE(2026,12,2),26,0)))</f>
        <v/>
      </c>
      <c r="I3201" s="13">
        <f>IF(AND(C3201&gt;=DATE(2026,11,29),C3201&lt;=DATE(2026,12,1)),B3201*60,0)</f>
        <v/>
      </c>
      <c r="J3201" s="13">
        <f>IF(A3201="",0,B3201*(IF(C3201=DATE(2026,11,28),38,0)+IF(C3201=DATE(2026,12,1),38,0)+IF(C3201=DATE(2026,12,2),26,0)))</f>
        <v/>
      </c>
      <c r="K3201" s="13">
        <f>IF(C3201=Options!$B$9,B3201*12,0)</f>
        <v/>
      </c>
      <c r="L3201" s="13">
        <f>IF(C3201=Options!$B$9,B3201*Options!$Z$9,0)</f>
        <v/>
      </c>
      <c r="M3201" s="13" t="n">
        <v>0</v>
      </c>
      <c r="N3201" s="13">
        <f>SUM(E3201:M3201)</f>
        <v/>
      </c>
    </row>
    <row r="3202">
      <c r="A3202" s="5">
        <f>IF(AND(C3202&gt;=Options!$B$9,C3202&lt;=Options!$B$10),"Seattle","")</f>
        <v/>
      </c>
      <c r="B3202" s="5">
        <f>IF(A3202="","",18)</f>
        <v/>
      </c>
      <c r="C3202" s="17" t="n">
        <v>46573</v>
      </c>
      <c r="D3202" s="5">
        <f>IF(A3202="","",IF(C3202=DATE(2026,11,29),"培训；注册午餐；早餐参数",IF(C3202=DATE(2026,11,30),"培训；注册午餐",IF(C3202=DATE(2026,12,1),"培训；注册午餐；机构晚餐",IF(C3202=Options!$B$9,"抵达；"&amp;IF(C3202=DATE(2026,11,28),"机构晚餐","无统一供餐"),IF(C3202=Options!$B$10,"返程；"&amp;IF(C3202=DATE(2026,12,2),"机构午餐","无统一供餐"),"差旅状态；无统一日程"))))))</f>
        <v/>
      </c>
      <c r="E3202" s="13">
        <f>IF(C3202=Options!$B$9,Options!$C$22,0)</f>
        <v/>
      </c>
      <c r="F3202" s="13">
        <f>IF(AND(A3202&lt;&gt;"",C3202&lt;Options!$B$10),B3202*Options!$X$9,0)</f>
        <v/>
      </c>
      <c r="G3202" s="13">
        <f>F3202*12%</f>
        <v/>
      </c>
      <c r="H3202" s="13">
        <f>IF(A3202="",0,B3202*(92*IF(OR(C3202=Options!$B$9,C3202=Options!$B$10),75%,100%)-IF(C3202=DATE(2026,11,29),26+IF(Options!$B$8="是",23,0),0)-IF(C3202=DATE(2026,11,30),26,0)-IF(C3202=DATE(2026,12,1),64,0)-IF(C3202=DATE(2026,11,28),38,0)-IF(C3202=DATE(2026,12,2),26,0)))</f>
        <v/>
      </c>
      <c r="I3202" s="13">
        <f>IF(AND(C3202&gt;=DATE(2026,11,29),C3202&lt;=DATE(2026,12,1)),B3202*60,0)</f>
        <v/>
      </c>
      <c r="J3202" s="13">
        <f>IF(A3202="",0,B3202*(IF(C3202=DATE(2026,11,28),38,0)+IF(C3202=DATE(2026,12,1),38,0)+IF(C3202=DATE(2026,12,2),26,0)))</f>
        <v/>
      </c>
      <c r="K3202" s="13">
        <f>IF(C3202=Options!$B$9,B3202*12,0)</f>
        <v/>
      </c>
      <c r="L3202" s="13">
        <f>IF(C3202=Options!$B$9,B3202*Options!$Z$9,0)</f>
        <v/>
      </c>
      <c r="M3202" s="13" t="n">
        <v>0</v>
      </c>
      <c r="N3202" s="13">
        <f>SUM(E3202:M3202)</f>
        <v/>
      </c>
    </row>
    <row r="3203">
      <c r="A3203" s="5">
        <f>IF(AND(C3203&gt;=Options!$B$9,C3203&lt;=Options!$B$10),"Seattle","")</f>
        <v/>
      </c>
      <c r="B3203" s="5">
        <f>IF(A3203="","",18)</f>
        <v/>
      </c>
      <c r="C3203" s="17" t="n">
        <v>46574</v>
      </c>
      <c r="D3203" s="5">
        <f>IF(A3203="","",IF(C3203=DATE(2026,11,29),"培训；注册午餐；早餐参数",IF(C3203=DATE(2026,11,30),"培训；注册午餐",IF(C3203=DATE(2026,12,1),"培训；注册午餐；机构晚餐",IF(C3203=Options!$B$9,"抵达；"&amp;IF(C3203=DATE(2026,11,28),"机构晚餐","无统一供餐"),IF(C3203=Options!$B$10,"返程；"&amp;IF(C3203=DATE(2026,12,2),"机构午餐","无统一供餐"),"差旅状态；无统一日程"))))))</f>
        <v/>
      </c>
      <c r="E3203" s="13">
        <f>IF(C3203=Options!$B$9,Options!$C$22,0)</f>
        <v/>
      </c>
      <c r="F3203" s="13">
        <f>IF(AND(A3203&lt;&gt;"",C3203&lt;Options!$B$10),B3203*Options!$X$9,0)</f>
        <v/>
      </c>
      <c r="G3203" s="13">
        <f>F3203*12%</f>
        <v/>
      </c>
      <c r="H3203" s="13">
        <f>IF(A3203="",0,B3203*(92*IF(OR(C3203=Options!$B$9,C3203=Options!$B$10),75%,100%)-IF(C3203=DATE(2026,11,29),26+IF(Options!$B$8="是",23,0),0)-IF(C3203=DATE(2026,11,30),26,0)-IF(C3203=DATE(2026,12,1),64,0)-IF(C3203=DATE(2026,11,28),38,0)-IF(C3203=DATE(2026,12,2),26,0)))</f>
        <v/>
      </c>
      <c r="I3203" s="13">
        <f>IF(AND(C3203&gt;=DATE(2026,11,29),C3203&lt;=DATE(2026,12,1)),B3203*60,0)</f>
        <v/>
      </c>
      <c r="J3203" s="13">
        <f>IF(A3203="",0,B3203*(IF(C3203=DATE(2026,11,28),38,0)+IF(C3203=DATE(2026,12,1),38,0)+IF(C3203=DATE(2026,12,2),26,0)))</f>
        <v/>
      </c>
      <c r="K3203" s="13">
        <f>IF(C3203=Options!$B$9,B3203*12,0)</f>
        <v/>
      </c>
      <c r="L3203" s="13">
        <f>IF(C3203=Options!$B$9,B3203*Options!$Z$9,0)</f>
        <v/>
      </c>
      <c r="M3203" s="13" t="n">
        <v>0</v>
      </c>
      <c r="N3203" s="13">
        <f>SUM(E3203:M3203)</f>
        <v/>
      </c>
    </row>
    <row r="3204">
      <c r="A3204" s="5">
        <f>IF(AND(C3204&gt;=Options!$B$9,C3204&lt;=Options!$B$10),"Seattle","")</f>
        <v/>
      </c>
      <c r="B3204" s="5">
        <f>IF(A3204="","",18)</f>
        <v/>
      </c>
      <c r="C3204" s="17" t="n">
        <v>46575</v>
      </c>
      <c r="D3204" s="5">
        <f>IF(A3204="","",IF(C3204=DATE(2026,11,29),"培训；注册午餐；早餐参数",IF(C3204=DATE(2026,11,30),"培训；注册午餐",IF(C3204=DATE(2026,12,1),"培训；注册午餐；机构晚餐",IF(C3204=Options!$B$9,"抵达；"&amp;IF(C3204=DATE(2026,11,28),"机构晚餐","无统一供餐"),IF(C3204=Options!$B$10,"返程；"&amp;IF(C3204=DATE(2026,12,2),"机构午餐","无统一供餐"),"差旅状态；无统一日程"))))))</f>
        <v/>
      </c>
      <c r="E3204" s="13">
        <f>IF(C3204=Options!$B$9,Options!$C$22,0)</f>
        <v/>
      </c>
      <c r="F3204" s="13">
        <f>IF(AND(A3204&lt;&gt;"",C3204&lt;Options!$B$10),B3204*Options!$X$9,0)</f>
        <v/>
      </c>
      <c r="G3204" s="13">
        <f>F3204*12%</f>
        <v/>
      </c>
      <c r="H3204" s="13">
        <f>IF(A3204="",0,B3204*(92*IF(OR(C3204=Options!$B$9,C3204=Options!$B$10),75%,100%)-IF(C3204=DATE(2026,11,29),26+IF(Options!$B$8="是",23,0),0)-IF(C3204=DATE(2026,11,30),26,0)-IF(C3204=DATE(2026,12,1),64,0)-IF(C3204=DATE(2026,11,28),38,0)-IF(C3204=DATE(2026,12,2),26,0)))</f>
        <v/>
      </c>
      <c r="I3204" s="13">
        <f>IF(AND(C3204&gt;=DATE(2026,11,29),C3204&lt;=DATE(2026,12,1)),B3204*60,0)</f>
        <v/>
      </c>
      <c r="J3204" s="13">
        <f>IF(A3204="",0,B3204*(IF(C3204=DATE(2026,11,28),38,0)+IF(C3204=DATE(2026,12,1),38,0)+IF(C3204=DATE(2026,12,2),26,0)))</f>
        <v/>
      </c>
      <c r="K3204" s="13">
        <f>IF(C3204=Options!$B$9,B3204*12,0)</f>
        <v/>
      </c>
      <c r="L3204" s="13">
        <f>IF(C3204=Options!$B$9,B3204*Options!$Z$9,0)</f>
        <v/>
      </c>
      <c r="M3204" s="13" t="n">
        <v>0</v>
      </c>
      <c r="N3204" s="13">
        <f>SUM(E3204:M3204)</f>
        <v/>
      </c>
    </row>
    <row r="3205">
      <c r="A3205" s="5">
        <f>IF(AND(C3205&gt;=Options!$B$9,C3205&lt;=Options!$B$10),"Seattle","")</f>
        <v/>
      </c>
      <c r="B3205" s="5">
        <f>IF(A3205="","",18)</f>
        <v/>
      </c>
      <c r="C3205" s="17" t="n">
        <v>46576</v>
      </c>
      <c r="D3205" s="5">
        <f>IF(A3205="","",IF(C3205=DATE(2026,11,29),"培训；注册午餐；早餐参数",IF(C3205=DATE(2026,11,30),"培训；注册午餐",IF(C3205=DATE(2026,12,1),"培训；注册午餐；机构晚餐",IF(C3205=Options!$B$9,"抵达；"&amp;IF(C3205=DATE(2026,11,28),"机构晚餐","无统一供餐"),IF(C3205=Options!$B$10,"返程；"&amp;IF(C3205=DATE(2026,12,2),"机构午餐","无统一供餐"),"差旅状态；无统一日程"))))))</f>
        <v/>
      </c>
      <c r="E3205" s="13">
        <f>IF(C3205=Options!$B$9,Options!$C$22,0)</f>
        <v/>
      </c>
      <c r="F3205" s="13">
        <f>IF(AND(A3205&lt;&gt;"",C3205&lt;Options!$B$10),B3205*Options!$X$9,0)</f>
        <v/>
      </c>
      <c r="G3205" s="13">
        <f>F3205*12%</f>
        <v/>
      </c>
      <c r="H3205" s="13">
        <f>IF(A3205="",0,B3205*(92*IF(OR(C3205=Options!$B$9,C3205=Options!$B$10),75%,100%)-IF(C3205=DATE(2026,11,29),26+IF(Options!$B$8="是",23,0),0)-IF(C3205=DATE(2026,11,30),26,0)-IF(C3205=DATE(2026,12,1),64,0)-IF(C3205=DATE(2026,11,28),38,0)-IF(C3205=DATE(2026,12,2),26,0)))</f>
        <v/>
      </c>
      <c r="I3205" s="13">
        <f>IF(AND(C3205&gt;=DATE(2026,11,29),C3205&lt;=DATE(2026,12,1)),B3205*60,0)</f>
        <v/>
      </c>
      <c r="J3205" s="13">
        <f>IF(A3205="",0,B3205*(IF(C3205=DATE(2026,11,28),38,0)+IF(C3205=DATE(2026,12,1),38,0)+IF(C3205=DATE(2026,12,2),26,0)))</f>
        <v/>
      </c>
      <c r="K3205" s="13">
        <f>IF(C3205=Options!$B$9,B3205*12,0)</f>
        <v/>
      </c>
      <c r="L3205" s="13">
        <f>IF(C3205=Options!$B$9,B3205*Options!$Z$9,0)</f>
        <v/>
      </c>
      <c r="M3205" s="13" t="n">
        <v>0</v>
      </c>
      <c r="N3205" s="13">
        <f>SUM(E3205:M3205)</f>
        <v/>
      </c>
    </row>
    <row r="3206">
      <c r="A3206" s="5">
        <f>IF(AND(C3206&gt;=Options!$B$9,C3206&lt;=Options!$B$10),"Seattle","")</f>
        <v/>
      </c>
      <c r="B3206" s="5">
        <f>IF(A3206="","",18)</f>
        <v/>
      </c>
      <c r="C3206" s="17" t="n">
        <v>46577</v>
      </c>
      <c r="D3206" s="5">
        <f>IF(A3206="","",IF(C3206=DATE(2026,11,29),"培训；注册午餐；早餐参数",IF(C3206=DATE(2026,11,30),"培训；注册午餐",IF(C3206=DATE(2026,12,1),"培训；注册午餐；机构晚餐",IF(C3206=Options!$B$9,"抵达；"&amp;IF(C3206=DATE(2026,11,28),"机构晚餐","无统一供餐"),IF(C3206=Options!$B$10,"返程；"&amp;IF(C3206=DATE(2026,12,2),"机构午餐","无统一供餐"),"差旅状态；无统一日程"))))))</f>
        <v/>
      </c>
      <c r="E3206" s="13">
        <f>IF(C3206=Options!$B$9,Options!$C$22,0)</f>
        <v/>
      </c>
      <c r="F3206" s="13">
        <f>IF(AND(A3206&lt;&gt;"",C3206&lt;Options!$B$10),B3206*Options!$X$9,0)</f>
        <v/>
      </c>
      <c r="G3206" s="13">
        <f>F3206*12%</f>
        <v/>
      </c>
      <c r="H3206" s="13">
        <f>IF(A3206="",0,B3206*(92*IF(OR(C3206=Options!$B$9,C3206=Options!$B$10),75%,100%)-IF(C3206=DATE(2026,11,29),26+IF(Options!$B$8="是",23,0),0)-IF(C3206=DATE(2026,11,30),26,0)-IF(C3206=DATE(2026,12,1),64,0)-IF(C3206=DATE(2026,11,28),38,0)-IF(C3206=DATE(2026,12,2),26,0)))</f>
        <v/>
      </c>
      <c r="I3206" s="13">
        <f>IF(AND(C3206&gt;=DATE(2026,11,29),C3206&lt;=DATE(2026,12,1)),B3206*60,0)</f>
        <v/>
      </c>
      <c r="J3206" s="13">
        <f>IF(A3206="",0,B3206*(IF(C3206=DATE(2026,11,28),38,0)+IF(C3206=DATE(2026,12,1),38,0)+IF(C3206=DATE(2026,12,2),26,0)))</f>
        <v/>
      </c>
      <c r="K3206" s="13">
        <f>IF(C3206=Options!$B$9,B3206*12,0)</f>
        <v/>
      </c>
      <c r="L3206" s="13">
        <f>IF(C3206=Options!$B$9,B3206*Options!$Z$9,0)</f>
        <v/>
      </c>
      <c r="M3206" s="13" t="n">
        <v>0</v>
      </c>
      <c r="N3206" s="13">
        <f>SUM(E3206:M3206)</f>
        <v/>
      </c>
    </row>
    <row r="3207">
      <c r="A3207" s="5">
        <f>IF(AND(C3207&gt;=Options!$B$9,C3207&lt;=Options!$B$10),"Seattle","")</f>
        <v/>
      </c>
      <c r="B3207" s="5">
        <f>IF(A3207="","",18)</f>
        <v/>
      </c>
      <c r="C3207" s="17" t="n">
        <v>46578</v>
      </c>
      <c r="D3207" s="5">
        <f>IF(A3207="","",IF(C3207=DATE(2026,11,29),"培训；注册午餐；早餐参数",IF(C3207=DATE(2026,11,30),"培训；注册午餐",IF(C3207=DATE(2026,12,1),"培训；注册午餐；机构晚餐",IF(C3207=Options!$B$9,"抵达；"&amp;IF(C3207=DATE(2026,11,28),"机构晚餐","无统一供餐"),IF(C3207=Options!$B$10,"返程；"&amp;IF(C3207=DATE(2026,12,2),"机构午餐","无统一供餐"),"差旅状态；无统一日程"))))))</f>
        <v/>
      </c>
      <c r="E3207" s="13">
        <f>IF(C3207=Options!$B$9,Options!$C$22,0)</f>
        <v/>
      </c>
      <c r="F3207" s="13">
        <f>IF(AND(A3207&lt;&gt;"",C3207&lt;Options!$B$10),B3207*Options!$X$9,0)</f>
        <v/>
      </c>
      <c r="G3207" s="13">
        <f>F3207*12%</f>
        <v/>
      </c>
      <c r="H3207" s="13">
        <f>IF(A3207="",0,B3207*(92*IF(OR(C3207=Options!$B$9,C3207=Options!$B$10),75%,100%)-IF(C3207=DATE(2026,11,29),26+IF(Options!$B$8="是",23,0),0)-IF(C3207=DATE(2026,11,30),26,0)-IF(C3207=DATE(2026,12,1),64,0)-IF(C3207=DATE(2026,11,28),38,0)-IF(C3207=DATE(2026,12,2),26,0)))</f>
        <v/>
      </c>
      <c r="I3207" s="13">
        <f>IF(AND(C3207&gt;=DATE(2026,11,29),C3207&lt;=DATE(2026,12,1)),B3207*60,0)</f>
        <v/>
      </c>
      <c r="J3207" s="13">
        <f>IF(A3207="",0,B3207*(IF(C3207=DATE(2026,11,28),38,0)+IF(C3207=DATE(2026,12,1),38,0)+IF(C3207=DATE(2026,12,2),26,0)))</f>
        <v/>
      </c>
      <c r="K3207" s="13">
        <f>IF(C3207=Options!$B$9,B3207*12,0)</f>
        <v/>
      </c>
      <c r="L3207" s="13">
        <f>IF(C3207=Options!$B$9,B3207*Options!$Z$9,0)</f>
        <v/>
      </c>
      <c r="M3207" s="13" t="n">
        <v>0</v>
      </c>
      <c r="N3207" s="13">
        <f>SUM(E3207:M3207)</f>
        <v/>
      </c>
    </row>
    <row r="3208">
      <c r="A3208" s="5">
        <f>IF(AND(C3208&gt;=Options!$B$9,C3208&lt;=Options!$B$10),"Seattle","")</f>
        <v/>
      </c>
      <c r="B3208" s="5">
        <f>IF(A3208="","",18)</f>
        <v/>
      </c>
      <c r="C3208" s="17" t="n">
        <v>46579</v>
      </c>
      <c r="D3208" s="5">
        <f>IF(A3208="","",IF(C3208=DATE(2026,11,29),"培训；注册午餐；早餐参数",IF(C3208=DATE(2026,11,30),"培训；注册午餐",IF(C3208=DATE(2026,12,1),"培训；注册午餐；机构晚餐",IF(C3208=Options!$B$9,"抵达；"&amp;IF(C3208=DATE(2026,11,28),"机构晚餐","无统一供餐"),IF(C3208=Options!$B$10,"返程；"&amp;IF(C3208=DATE(2026,12,2),"机构午餐","无统一供餐"),"差旅状态；无统一日程"))))))</f>
        <v/>
      </c>
      <c r="E3208" s="13">
        <f>IF(C3208=Options!$B$9,Options!$C$22,0)</f>
        <v/>
      </c>
      <c r="F3208" s="13">
        <f>IF(AND(A3208&lt;&gt;"",C3208&lt;Options!$B$10),B3208*Options!$X$9,0)</f>
        <v/>
      </c>
      <c r="G3208" s="13">
        <f>F3208*12%</f>
        <v/>
      </c>
      <c r="H3208" s="13">
        <f>IF(A3208="",0,B3208*(92*IF(OR(C3208=Options!$B$9,C3208=Options!$B$10),75%,100%)-IF(C3208=DATE(2026,11,29),26+IF(Options!$B$8="是",23,0),0)-IF(C3208=DATE(2026,11,30),26,0)-IF(C3208=DATE(2026,12,1),64,0)-IF(C3208=DATE(2026,11,28),38,0)-IF(C3208=DATE(2026,12,2),26,0)))</f>
        <v/>
      </c>
      <c r="I3208" s="13">
        <f>IF(AND(C3208&gt;=DATE(2026,11,29),C3208&lt;=DATE(2026,12,1)),B3208*60,0)</f>
        <v/>
      </c>
      <c r="J3208" s="13">
        <f>IF(A3208="",0,B3208*(IF(C3208=DATE(2026,11,28),38,0)+IF(C3208=DATE(2026,12,1),38,0)+IF(C3208=DATE(2026,12,2),26,0)))</f>
        <v/>
      </c>
      <c r="K3208" s="13">
        <f>IF(C3208=Options!$B$9,B3208*12,0)</f>
        <v/>
      </c>
      <c r="L3208" s="13">
        <f>IF(C3208=Options!$B$9,B3208*Options!$Z$9,0)</f>
        <v/>
      </c>
      <c r="M3208" s="13" t="n">
        <v>0</v>
      </c>
      <c r="N3208" s="13">
        <f>SUM(E3208:M3208)</f>
        <v/>
      </c>
    </row>
    <row r="3209">
      <c r="A3209" s="5">
        <f>IF(AND(C3209&gt;=Options!$B$9,C3209&lt;=Options!$B$10),"Seattle","")</f>
        <v/>
      </c>
      <c r="B3209" s="5">
        <f>IF(A3209="","",18)</f>
        <v/>
      </c>
      <c r="C3209" s="17" t="n">
        <v>46580</v>
      </c>
      <c r="D3209" s="5">
        <f>IF(A3209="","",IF(C3209=DATE(2026,11,29),"培训；注册午餐；早餐参数",IF(C3209=DATE(2026,11,30),"培训；注册午餐",IF(C3209=DATE(2026,12,1),"培训；注册午餐；机构晚餐",IF(C3209=Options!$B$9,"抵达；"&amp;IF(C3209=DATE(2026,11,28),"机构晚餐","无统一供餐"),IF(C3209=Options!$B$10,"返程；"&amp;IF(C3209=DATE(2026,12,2),"机构午餐","无统一供餐"),"差旅状态；无统一日程"))))))</f>
        <v/>
      </c>
      <c r="E3209" s="13">
        <f>IF(C3209=Options!$B$9,Options!$C$22,0)</f>
        <v/>
      </c>
      <c r="F3209" s="13">
        <f>IF(AND(A3209&lt;&gt;"",C3209&lt;Options!$B$10),B3209*Options!$X$9,0)</f>
        <v/>
      </c>
      <c r="G3209" s="13">
        <f>F3209*12%</f>
        <v/>
      </c>
      <c r="H3209" s="13">
        <f>IF(A3209="",0,B3209*(92*IF(OR(C3209=Options!$B$9,C3209=Options!$B$10),75%,100%)-IF(C3209=DATE(2026,11,29),26+IF(Options!$B$8="是",23,0),0)-IF(C3209=DATE(2026,11,30),26,0)-IF(C3209=DATE(2026,12,1),64,0)-IF(C3209=DATE(2026,11,28),38,0)-IF(C3209=DATE(2026,12,2),26,0)))</f>
        <v/>
      </c>
      <c r="I3209" s="13">
        <f>IF(AND(C3209&gt;=DATE(2026,11,29),C3209&lt;=DATE(2026,12,1)),B3209*60,0)</f>
        <v/>
      </c>
      <c r="J3209" s="13">
        <f>IF(A3209="",0,B3209*(IF(C3209=DATE(2026,11,28),38,0)+IF(C3209=DATE(2026,12,1),38,0)+IF(C3209=DATE(2026,12,2),26,0)))</f>
        <v/>
      </c>
      <c r="K3209" s="13">
        <f>IF(C3209=Options!$B$9,B3209*12,0)</f>
        <v/>
      </c>
      <c r="L3209" s="13">
        <f>IF(C3209=Options!$B$9,B3209*Options!$Z$9,0)</f>
        <v/>
      </c>
      <c r="M3209" s="13" t="n">
        <v>0</v>
      </c>
      <c r="N3209" s="13">
        <f>SUM(E3209:M3209)</f>
        <v/>
      </c>
    </row>
    <row r="3210">
      <c r="A3210" s="5">
        <f>IF(AND(C3210&gt;=Options!$B$9,C3210&lt;=Options!$B$10),"Seattle","")</f>
        <v/>
      </c>
      <c r="B3210" s="5">
        <f>IF(A3210="","",18)</f>
        <v/>
      </c>
      <c r="C3210" s="17" t="n">
        <v>46581</v>
      </c>
      <c r="D3210" s="5">
        <f>IF(A3210="","",IF(C3210=DATE(2026,11,29),"培训；注册午餐；早餐参数",IF(C3210=DATE(2026,11,30),"培训；注册午餐",IF(C3210=DATE(2026,12,1),"培训；注册午餐；机构晚餐",IF(C3210=Options!$B$9,"抵达；"&amp;IF(C3210=DATE(2026,11,28),"机构晚餐","无统一供餐"),IF(C3210=Options!$B$10,"返程；"&amp;IF(C3210=DATE(2026,12,2),"机构午餐","无统一供餐"),"差旅状态；无统一日程"))))))</f>
        <v/>
      </c>
      <c r="E3210" s="13">
        <f>IF(C3210=Options!$B$9,Options!$C$22,0)</f>
        <v/>
      </c>
      <c r="F3210" s="13">
        <f>IF(AND(A3210&lt;&gt;"",C3210&lt;Options!$B$10),B3210*Options!$X$9,0)</f>
        <v/>
      </c>
      <c r="G3210" s="13">
        <f>F3210*12%</f>
        <v/>
      </c>
      <c r="H3210" s="13">
        <f>IF(A3210="",0,B3210*(92*IF(OR(C3210=Options!$B$9,C3210=Options!$B$10),75%,100%)-IF(C3210=DATE(2026,11,29),26+IF(Options!$B$8="是",23,0),0)-IF(C3210=DATE(2026,11,30),26,0)-IF(C3210=DATE(2026,12,1),64,0)-IF(C3210=DATE(2026,11,28),38,0)-IF(C3210=DATE(2026,12,2),26,0)))</f>
        <v/>
      </c>
      <c r="I3210" s="13">
        <f>IF(AND(C3210&gt;=DATE(2026,11,29),C3210&lt;=DATE(2026,12,1)),B3210*60,0)</f>
        <v/>
      </c>
      <c r="J3210" s="13">
        <f>IF(A3210="",0,B3210*(IF(C3210=DATE(2026,11,28),38,0)+IF(C3210=DATE(2026,12,1),38,0)+IF(C3210=DATE(2026,12,2),26,0)))</f>
        <v/>
      </c>
      <c r="K3210" s="13">
        <f>IF(C3210=Options!$B$9,B3210*12,0)</f>
        <v/>
      </c>
      <c r="L3210" s="13">
        <f>IF(C3210=Options!$B$9,B3210*Options!$Z$9,0)</f>
        <v/>
      </c>
      <c r="M3210" s="13" t="n">
        <v>0</v>
      </c>
      <c r="N3210" s="13">
        <f>SUM(E3210:M3210)</f>
        <v/>
      </c>
    </row>
    <row r="3211">
      <c r="A3211" s="5">
        <f>IF(AND(C3211&gt;=Options!$B$9,C3211&lt;=Options!$B$10),"Seattle","")</f>
        <v/>
      </c>
      <c r="B3211" s="5">
        <f>IF(A3211="","",18)</f>
        <v/>
      </c>
      <c r="C3211" s="17" t="n">
        <v>46582</v>
      </c>
      <c r="D3211" s="5">
        <f>IF(A3211="","",IF(C3211=DATE(2026,11,29),"培训；注册午餐；早餐参数",IF(C3211=DATE(2026,11,30),"培训；注册午餐",IF(C3211=DATE(2026,12,1),"培训；注册午餐；机构晚餐",IF(C3211=Options!$B$9,"抵达；"&amp;IF(C3211=DATE(2026,11,28),"机构晚餐","无统一供餐"),IF(C3211=Options!$B$10,"返程；"&amp;IF(C3211=DATE(2026,12,2),"机构午餐","无统一供餐"),"差旅状态；无统一日程"))))))</f>
        <v/>
      </c>
      <c r="E3211" s="13">
        <f>IF(C3211=Options!$B$9,Options!$C$22,0)</f>
        <v/>
      </c>
      <c r="F3211" s="13">
        <f>IF(AND(A3211&lt;&gt;"",C3211&lt;Options!$B$10),B3211*Options!$X$9,0)</f>
        <v/>
      </c>
      <c r="G3211" s="13">
        <f>F3211*12%</f>
        <v/>
      </c>
      <c r="H3211" s="13">
        <f>IF(A3211="",0,B3211*(92*IF(OR(C3211=Options!$B$9,C3211=Options!$B$10),75%,100%)-IF(C3211=DATE(2026,11,29),26+IF(Options!$B$8="是",23,0),0)-IF(C3211=DATE(2026,11,30),26,0)-IF(C3211=DATE(2026,12,1),64,0)-IF(C3211=DATE(2026,11,28),38,0)-IF(C3211=DATE(2026,12,2),26,0)))</f>
        <v/>
      </c>
      <c r="I3211" s="13">
        <f>IF(AND(C3211&gt;=DATE(2026,11,29),C3211&lt;=DATE(2026,12,1)),B3211*60,0)</f>
        <v/>
      </c>
      <c r="J3211" s="13">
        <f>IF(A3211="",0,B3211*(IF(C3211=DATE(2026,11,28),38,0)+IF(C3211=DATE(2026,12,1),38,0)+IF(C3211=DATE(2026,12,2),26,0)))</f>
        <v/>
      </c>
      <c r="K3211" s="13">
        <f>IF(C3211=Options!$B$9,B3211*12,0)</f>
        <v/>
      </c>
      <c r="L3211" s="13">
        <f>IF(C3211=Options!$B$9,B3211*Options!$Z$9,0)</f>
        <v/>
      </c>
      <c r="M3211" s="13" t="n">
        <v>0</v>
      </c>
      <c r="N3211" s="13">
        <f>SUM(E3211:M3211)</f>
        <v/>
      </c>
    </row>
    <row r="3212">
      <c r="A3212" s="5">
        <f>IF(AND(C3212&gt;=Options!$B$9,C3212&lt;=Options!$B$10),"Seattle","")</f>
        <v/>
      </c>
      <c r="B3212" s="5">
        <f>IF(A3212="","",18)</f>
        <v/>
      </c>
      <c r="C3212" s="17" t="n">
        <v>46583</v>
      </c>
      <c r="D3212" s="5">
        <f>IF(A3212="","",IF(C3212=DATE(2026,11,29),"培训；注册午餐；早餐参数",IF(C3212=DATE(2026,11,30),"培训；注册午餐",IF(C3212=DATE(2026,12,1),"培训；注册午餐；机构晚餐",IF(C3212=Options!$B$9,"抵达；"&amp;IF(C3212=DATE(2026,11,28),"机构晚餐","无统一供餐"),IF(C3212=Options!$B$10,"返程；"&amp;IF(C3212=DATE(2026,12,2),"机构午餐","无统一供餐"),"差旅状态；无统一日程"))))))</f>
        <v/>
      </c>
      <c r="E3212" s="13">
        <f>IF(C3212=Options!$B$9,Options!$C$22,0)</f>
        <v/>
      </c>
      <c r="F3212" s="13">
        <f>IF(AND(A3212&lt;&gt;"",C3212&lt;Options!$B$10),B3212*Options!$X$9,0)</f>
        <v/>
      </c>
      <c r="G3212" s="13">
        <f>F3212*12%</f>
        <v/>
      </c>
      <c r="H3212" s="13">
        <f>IF(A3212="",0,B3212*(92*IF(OR(C3212=Options!$B$9,C3212=Options!$B$10),75%,100%)-IF(C3212=DATE(2026,11,29),26+IF(Options!$B$8="是",23,0),0)-IF(C3212=DATE(2026,11,30),26,0)-IF(C3212=DATE(2026,12,1),64,0)-IF(C3212=DATE(2026,11,28),38,0)-IF(C3212=DATE(2026,12,2),26,0)))</f>
        <v/>
      </c>
      <c r="I3212" s="13">
        <f>IF(AND(C3212&gt;=DATE(2026,11,29),C3212&lt;=DATE(2026,12,1)),B3212*60,0)</f>
        <v/>
      </c>
      <c r="J3212" s="13">
        <f>IF(A3212="",0,B3212*(IF(C3212=DATE(2026,11,28),38,0)+IF(C3212=DATE(2026,12,1),38,0)+IF(C3212=DATE(2026,12,2),26,0)))</f>
        <v/>
      </c>
      <c r="K3212" s="13">
        <f>IF(C3212=Options!$B$9,B3212*12,0)</f>
        <v/>
      </c>
      <c r="L3212" s="13">
        <f>IF(C3212=Options!$B$9,B3212*Options!$Z$9,0)</f>
        <v/>
      </c>
      <c r="M3212" s="13" t="n">
        <v>0</v>
      </c>
      <c r="N3212" s="13">
        <f>SUM(E3212:M3212)</f>
        <v/>
      </c>
    </row>
    <row r="3213">
      <c r="A3213" s="5">
        <f>IF(AND(C3213&gt;=Options!$B$9,C3213&lt;=Options!$B$10),"Seattle","")</f>
        <v/>
      </c>
      <c r="B3213" s="5">
        <f>IF(A3213="","",18)</f>
        <v/>
      </c>
      <c r="C3213" s="17" t="n">
        <v>46584</v>
      </c>
      <c r="D3213" s="5">
        <f>IF(A3213="","",IF(C3213=DATE(2026,11,29),"培训；注册午餐；早餐参数",IF(C3213=DATE(2026,11,30),"培训；注册午餐",IF(C3213=DATE(2026,12,1),"培训；注册午餐；机构晚餐",IF(C3213=Options!$B$9,"抵达；"&amp;IF(C3213=DATE(2026,11,28),"机构晚餐","无统一供餐"),IF(C3213=Options!$B$10,"返程；"&amp;IF(C3213=DATE(2026,12,2),"机构午餐","无统一供餐"),"差旅状态；无统一日程"))))))</f>
        <v/>
      </c>
      <c r="E3213" s="13">
        <f>IF(C3213=Options!$B$9,Options!$C$22,0)</f>
        <v/>
      </c>
      <c r="F3213" s="13">
        <f>IF(AND(A3213&lt;&gt;"",C3213&lt;Options!$B$10),B3213*Options!$X$9,0)</f>
        <v/>
      </c>
      <c r="G3213" s="13">
        <f>F3213*12%</f>
        <v/>
      </c>
      <c r="H3213" s="13">
        <f>IF(A3213="",0,B3213*(92*IF(OR(C3213=Options!$B$9,C3213=Options!$B$10),75%,100%)-IF(C3213=DATE(2026,11,29),26+IF(Options!$B$8="是",23,0),0)-IF(C3213=DATE(2026,11,30),26,0)-IF(C3213=DATE(2026,12,1),64,0)-IF(C3213=DATE(2026,11,28),38,0)-IF(C3213=DATE(2026,12,2),26,0)))</f>
        <v/>
      </c>
      <c r="I3213" s="13">
        <f>IF(AND(C3213&gt;=DATE(2026,11,29),C3213&lt;=DATE(2026,12,1)),B3213*60,0)</f>
        <v/>
      </c>
      <c r="J3213" s="13">
        <f>IF(A3213="",0,B3213*(IF(C3213=DATE(2026,11,28),38,0)+IF(C3213=DATE(2026,12,1),38,0)+IF(C3213=DATE(2026,12,2),26,0)))</f>
        <v/>
      </c>
      <c r="K3213" s="13">
        <f>IF(C3213=Options!$B$9,B3213*12,0)</f>
        <v/>
      </c>
      <c r="L3213" s="13">
        <f>IF(C3213=Options!$B$9,B3213*Options!$Z$9,0)</f>
        <v/>
      </c>
      <c r="M3213" s="13" t="n">
        <v>0</v>
      </c>
      <c r="N3213" s="13">
        <f>SUM(E3213:M3213)</f>
        <v/>
      </c>
    </row>
    <row r="3214">
      <c r="A3214" s="5">
        <f>IF(AND(C3214&gt;=Options!$B$9,C3214&lt;=Options!$B$10),"Seattle","")</f>
        <v/>
      </c>
      <c r="B3214" s="5">
        <f>IF(A3214="","",18)</f>
        <v/>
      </c>
      <c r="C3214" s="17" t="n">
        <v>46585</v>
      </c>
      <c r="D3214" s="5">
        <f>IF(A3214="","",IF(C3214=DATE(2026,11,29),"培训；注册午餐；早餐参数",IF(C3214=DATE(2026,11,30),"培训；注册午餐",IF(C3214=DATE(2026,12,1),"培训；注册午餐；机构晚餐",IF(C3214=Options!$B$9,"抵达；"&amp;IF(C3214=DATE(2026,11,28),"机构晚餐","无统一供餐"),IF(C3214=Options!$B$10,"返程；"&amp;IF(C3214=DATE(2026,12,2),"机构午餐","无统一供餐"),"差旅状态；无统一日程"))))))</f>
        <v/>
      </c>
      <c r="E3214" s="13">
        <f>IF(C3214=Options!$B$9,Options!$C$22,0)</f>
        <v/>
      </c>
      <c r="F3214" s="13">
        <f>IF(AND(A3214&lt;&gt;"",C3214&lt;Options!$B$10),B3214*Options!$X$9,0)</f>
        <v/>
      </c>
      <c r="G3214" s="13">
        <f>F3214*12%</f>
        <v/>
      </c>
      <c r="H3214" s="13">
        <f>IF(A3214="",0,B3214*(92*IF(OR(C3214=Options!$B$9,C3214=Options!$B$10),75%,100%)-IF(C3214=DATE(2026,11,29),26+IF(Options!$B$8="是",23,0),0)-IF(C3214=DATE(2026,11,30),26,0)-IF(C3214=DATE(2026,12,1),64,0)-IF(C3214=DATE(2026,11,28),38,0)-IF(C3214=DATE(2026,12,2),26,0)))</f>
        <v/>
      </c>
      <c r="I3214" s="13">
        <f>IF(AND(C3214&gt;=DATE(2026,11,29),C3214&lt;=DATE(2026,12,1)),B3214*60,0)</f>
        <v/>
      </c>
      <c r="J3214" s="13">
        <f>IF(A3214="",0,B3214*(IF(C3214=DATE(2026,11,28),38,0)+IF(C3214=DATE(2026,12,1),38,0)+IF(C3214=DATE(2026,12,2),26,0)))</f>
        <v/>
      </c>
      <c r="K3214" s="13">
        <f>IF(C3214=Options!$B$9,B3214*12,0)</f>
        <v/>
      </c>
      <c r="L3214" s="13">
        <f>IF(C3214=Options!$B$9,B3214*Options!$Z$9,0)</f>
        <v/>
      </c>
      <c r="M3214" s="13" t="n">
        <v>0</v>
      </c>
      <c r="N3214" s="13">
        <f>SUM(E3214:M3214)</f>
        <v/>
      </c>
    </row>
    <row r="3215">
      <c r="A3215" s="5">
        <f>IF(AND(C3215&gt;=Options!$B$9,C3215&lt;=Options!$B$10),"Seattle","")</f>
        <v/>
      </c>
      <c r="B3215" s="5">
        <f>IF(A3215="","",18)</f>
        <v/>
      </c>
      <c r="C3215" s="17" t="n">
        <v>46586</v>
      </c>
      <c r="D3215" s="5">
        <f>IF(A3215="","",IF(C3215=DATE(2026,11,29),"培训；注册午餐；早餐参数",IF(C3215=DATE(2026,11,30),"培训；注册午餐",IF(C3215=DATE(2026,12,1),"培训；注册午餐；机构晚餐",IF(C3215=Options!$B$9,"抵达；"&amp;IF(C3215=DATE(2026,11,28),"机构晚餐","无统一供餐"),IF(C3215=Options!$B$10,"返程；"&amp;IF(C3215=DATE(2026,12,2),"机构午餐","无统一供餐"),"差旅状态；无统一日程"))))))</f>
        <v/>
      </c>
      <c r="E3215" s="13">
        <f>IF(C3215=Options!$B$9,Options!$C$22,0)</f>
        <v/>
      </c>
      <c r="F3215" s="13">
        <f>IF(AND(A3215&lt;&gt;"",C3215&lt;Options!$B$10),B3215*Options!$X$9,0)</f>
        <v/>
      </c>
      <c r="G3215" s="13">
        <f>F3215*12%</f>
        <v/>
      </c>
      <c r="H3215" s="13">
        <f>IF(A3215="",0,B3215*(92*IF(OR(C3215=Options!$B$9,C3215=Options!$B$10),75%,100%)-IF(C3215=DATE(2026,11,29),26+IF(Options!$B$8="是",23,0),0)-IF(C3215=DATE(2026,11,30),26,0)-IF(C3215=DATE(2026,12,1),64,0)-IF(C3215=DATE(2026,11,28),38,0)-IF(C3215=DATE(2026,12,2),26,0)))</f>
        <v/>
      </c>
      <c r="I3215" s="13">
        <f>IF(AND(C3215&gt;=DATE(2026,11,29),C3215&lt;=DATE(2026,12,1)),B3215*60,0)</f>
        <v/>
      </c>
      <c r="J3215" s="13">
        <f>IF(A3215="",0,B3215*(IF(C3215=DATE(2026,11,28),38,0)+IF(C3215=DATE(2026,12,1),38,0)+IF(C3215=DATE(2026,12,2),26,0)))</f>
        <v/>
      </c>
      <c r="K3215" s="13">
        <f>IF(C3215=Options!$B$9,B3215*12,0)</f>
        <v/>
      </c>
      <c r="L3215" s="13">
        <f>IF(C3215=Options!$B$9,B3215*Options!$Z$9,0)</f>
        <v/>
      </c>
      <c r="M3215" s="13" t="n">
        <v>0</v>
      </c>
      <c r="N3215" s="13">
        <f>SUM(E3215:M3215)</f>
        <v/>
      </c>
    </row>
    <row r="3216">
      <c r="A3216" s="5">
        <f>IF(AND(C3216&gt;=Options!$B$9,C3216&lt;=Options!$B$10),"Seattle","")</f>
        <v/>
      </c>
      <c r="B3216" s="5">
        <f>IF(A3216="","",18)</f>
        <v/>
      </c>
      <c r="C3216" s="17" t="n">
        <v>46587</v>
      </c>
      <c r="D3216" s="5">
        <f>IF(A3216="","",IF(C3216=DATE(2026,11,29),"培训；注册午餐；早餐参数",IF(C3216=DATE(2026,11,30),"培训；注册午餐",IF(C3216=DATE(2026,12,1),"培训；注册午餐；机构晚餐",IF(C3216=Options!$B$9,"抵达；"&amp;IF(C3216=DATE(2026,11,28),"机构晚餐","无统一供餐"),IF(C3216=Options!$B$10,"返程；"&amp;IF(C3216=DATE(2026,12,2),"机构午餐","无统一供餐"),"差旅状态；无统一日程"))))))</f>
        <v/>
      </c>
      <c r="E3216" s="13">
        <f>IF(C3216=Options!$B$9,Options!$C$22,0)</f>
        <v/>
      </c>
      <c r="F3216" s="13">
        <f>IF(AND(A3216&lt;&gt;"",C3216&lt;Options!$B$10),B3216*Options!$X$9,0)</f>
        <v/>
      </c>
      <c r="G3216" s="13">
        <f>F3216*12%</f>
        <v/>
      </c>
      <c r="H3216" s="13">
        <f>IF(A3216="",0,B3216*(92*IF(OR(C3216=Options!$B$9,C3216=Options!$B$10),75%,100%)-IF(C3216=DATE(2026,11,29),26+IF(Options!$B$8="是",23,0),0)-IF(C3216=DATE(2026,11,30),26,0)-IF(C3216=DATE(2026,12,1),64,0)-IF(C3216=DATE(2026,11,28),38,0)-IF(C3216=DATE(2026,12,2),26,0)))</f>
        <v/>
      </c>
      <c r="I3216" s="13">
        <f>IF(AND(C3216&gt;=DATE(2026,11,29),C3216&lt;=DATE(2026,12,1)),B3216*60,0)</f>
        <v/>
      </c>
      <c r="J3216" s="13">
        <f>IF(A3216="",0,B3216*(IF(C3216=DATE(2026,11,28),38,0)+IF(C3216=DATE(2026,12,1),38,0)+IF(C3216=DATE(2026,12,2),26,0)))</f>
        <v/>
      </c>
      <c r="K3216" s="13">
        <f>IF(C3216=Options!$B$9,B3216*12,0)</f>
        <v/>
      </c>
      <c r="L3216" s="13">
        <f>IF(C3216=Options!$B$9,B3216*Options!$Z$9,0)</f>
        <v/>
      </c>
      <c r="M3216" s="13" t="n">
        <v>0</v>
      </c>
      <c r="N3216" s="13">
        <f>SUM(E3216:M3216)</f>
        <v/>
      </c>
    </row>
    <row r="3217">
      <c r="A3217" s="5">
        <f>IF(AND(C3217&gt;=Options!$B$9,C3217&lt;=Options!$B$10),"Seattle","")</f>
        <v/>
      </c>
      <c r="B3217" s="5">
        <f>IF(A3217="","",18)</f>
        <v/>
      </c>
      <c r="C3217" s="17" t="n">
        <v>46588</v>
      </c>
      <c r="D3217" s="5">
        <f>IF(A3217="","",IF(C3217=DATE(2026,11,29),"培训；注册午餐；早餐参数",IF(C3217=DATE(2026,11,30),"培训；注册午餐",IF(C3217=DATE(2026,12,1),"培训；注册午餐；机构晚餐",IF(C3217=Options!$B$9,"抵达；"&amp;IF(C3217=DATE(2026,11,28),"机构晚餐","无统一供餐"),IF(C3217=Options!$B$10,"返程；"&amp;IF(C3217=DATE(2026,12,2),"机构午餐","无统一供餐"),"差旅状态；无统一日程"))))))</f>
        <v/>
      </c>
      <c r="E3217" s="13">
        <f>IF(C3217=Options!$B$9,Options!$C$22,0)</f>
        <v/>
      </c>
      <c r="F3217" s="13">
        <f>IF(AND(A3217&lt;&gt;"",C3217&lt;Options!$B$10),B3217*Options!$X$9,0)</f>
        <v/>
      </c>
      <c r="G3217" s="13">
        <f>F3217*12%</f>
        <v/>
      </c>
      <c r="H3217" s="13">
        <f>IF(A3217="",0,B3217*(92*IF(OR(C3217=Options!$B$9,C3217=Options!$B$10),75%,100%)-IF(C3217=DATE(2026,11,29),26+IF(Options!$B$8="是",23,0),0)-IF(C3217=DATE(2026,11,30),26,0)-IF(C3217=DATE(2026,12,1),64,0)-IF(C3217=DATE(2026,11,28),38,0)-IF(C3217=DATE(2026,12,2),26,0)))</f>
        <v/>
      </c>
      <c r="I3217" s="13">
        <f>IF(AND(C3217&gt;=DATE(2026,11,29),C3217&lt;=DATE(2026,12,1)),B3217*60,0)</f>
        <v/>
      </c>
      <c r="J3217" s="13">
        <f>IF(A3217="",0,B3217*(IF(C3217=DATE(2026,11,28),38,0)+IF(C3217=DATE(2026,12,1),38,0)+IF(C3217=DATE(2026,12,2),26,0)))</f>
        <v/>
      </c>
      <c r="K3217" s="13">
        <f>IF(C3217=Options!$B$9,B3217*12,0)</f>
        <v/>
      </c>
      <c r="L3217" s="13">
        <f>IF(C3217=Options!$B$9,B3217*Options!$Z$9,0)</f>
        <v/>
      </c>
      <c r="M3217" s="13" t="n">
        <v>0</v>
      </c>
      <c r="N3217" s="13">
        <f>SUM(E3217:M3217)</f>
        <v/>
      </c>
    </row>
    <row r="3218">
      <c r="A3218" s="5">
        <f>IF(AND(C3218&gt;=Options!$B$9,C3218&lt;=Options!$B$10),"Seattle","")</f>
        <v/>
      </c>
      <c r="B3218" s="5">
        <f>IF(A3218="","",18)</f>
        <v/>
      </c>
      <c r="C3218" s="17" t="n">
        <v>46589</v>
      </c>
      <c r="D3218" s="5">
        <f>IF(A3218="","",IF(C3218=DATE(2026,11,29),"培训；注册午餐；早餐参数",IF(C3218=DATE(2026,11,30),"培训；注册午餐",IF(C3218=DATE(2026,12,1),"培训；注册午餐；机构晚餐",IF(C3218=Options!$B$9,"抵达；"&amp;IF(C3218=DATE(2026,11,28),"机构晚餐","无统一供餐"),IF(C3218=Options!$B$10,"返程；"&amp;IF(C3218=DATE(2026,12,2),"机构午餐","无统一供餐"),"差旅状态；无统一日程"))))))</f>
        <v/>
      </c>
      <c r="E3218" s="13">
        <f>IF(C3218=Options!$B$9,Options!$C$22,0)</f>
        <v/>
      </c>
      <c r="F3218" s="13">
        <f>IF(AND(A3218&lt;&gt;"",C3218&lt;Options!$B$10),B3218*Options!$X$9,0)</f>
        <v/>
      </c>
      <c r="G3218" s="13">
        <f>F3218*12%</f>
        <v/>
      </c>
      <c r="H3218" s="13">
        <f>IF(A3218="",0,B3218*(92*IF(OR(C3218=Options!$B$9,C3218=Options!$B$10),75%,100%)-IF(C3218=DATE(2026,11,29),26+IF(Options!$B$8="是",23,0),0)-IF(C3218=DATE(2026,11,30),26,0)-IF(C3218=DATE(2026,12,1),64,0)-IF(C3218=DATE(2026,11,28),38,0)-IF(C3218=DATE(2026,12,2),26,0)))</f>
        <v/>
      </c>
      <c r="I3218" s="13">
        <f>IF(AND(C3218&gt;=DATE(2026,11,29),C3218&lt;=DATE(2026,12,1)),B3218*60,0)</f>
        <v/>
      </c>
      <c r="J3218" s="13">
        <f>IF(A3218="",0,B3218*(IF(C3218=DATE(2026,11,28),38,0)+IF(C3218=DATE(2026,12,1),38,0)+IF(C3218=DATE(2026,12,2),26,0)))</f>
        <v/>
      </c>
      <c r="K3218" s="13">
        <f>IF(C3218=Options!$B$9,B3218*12,0)</f>
        <v/>
      </c>
      <c r="L3218" s="13">
        <f>IF(C3218=Options!$B$9,B3218*Options!$Z$9,0)</f>
        <v/>
      </c>
      <c r="M3218" s="13" t="n">
        <v>0</v>
      </c>
      <c r="N3218" s="13">
        <f>SUM(E3218:M3218)</f>
        <v/>
      </c>
    </row>
    <row r="3219">
      <c r="A3219" s="5">
        <f>IF(AND(C3219&gt;=Options!$B$9,C3219&lt;=Options!$B$10),"Seattle","")</f>
        <v/>
      </c>
      <c r="B3219" s="5">
        <f>IF(A3219="","",18)</f>
        <v/>
      </c>
      <c r="C3219" s="17" t="n">
        <v>46590</v>
      </c>
      <c r="D3219" s="5">
        <f>IF(A3219="","",IF(C3219=DATE(2026,11,29),"培训；注册午餐；早餐参数",IF(C3219=DATE(2026,11,30),"培训；注册午餐",IF(C3219=DATE(2026,12,1),"培训；注册午餐；机构晚餐",IF(C3219=Options!$B$9,"抵达；"&amp;IF(C3219=DATE(2026,11,28),"机构晚餐","无统一供餐"),IF(C3219=Options!$B$10,"返程；"&amp;IF(C3219=DATE(2026,12,2),"机构午餐","无统一供餐"),"差旅状态；无统一日程"))))))</f>
        <v/>
      </c>
      <c r="E3219" s="13">
        <f>IF(C3219=Options!$B$9,Options!$C$22,0)</f>
        <v/>
      </c>
      <c r="F3219" s="13">
        <f>IF(AND(A3219&lt;&gt;"",C3219&lt;Options!$B$10),B3219*Options!$X$9,0)</f>
        <v/>
      </c>
      <c r="G3219" s="13">
        <f>F3219*12%</f>
        <v/>
      </c>
      <c r="H3219" s="13">
        <f>IF(A3219="",0,B3219*(92*IF(OR(C3219=Options!$B$9,C3219=Options!$B$10),75%,100%)-IF(C3219=DATE(2026,11,29),26+IF(Options!$B$8="是",23,0),0)-IF(C3219=DATE(2026,11,30),26,0)-IF(C3219=DATE(2026,12,1),64,0)-IF(C3219=DATE(2026,11,28),38,0)-IF(C3219=DATE(2026,12,2),26,0)))</f>
        <v/>
      </c>
      <c r="I3219" s="13">
        <f>IF(AND(C3219&gt;=DATE(2026,11,29),C3219&lt;=DATE(2026,12,1)),B3219*60,0)</f>
        <v/>
      </c>
      <c r="J3219" s="13">
        <f>IF(A3219="",0,B3219*(IF(C3219=DATE(2026,11,28),38,0)+IF(C3219=DATE(2026,12,1),38,0)+IF(C3219=DATE(2026,12,2),26,0)))</f>
        <v/>
      </c>
      <c r="K3219" s="13">
        <f>IF(C3219=Options!$B$9,B3219*12,0)</f>
        <v/>
      </c>
      <c r="L3219" s="13">
        <f>IF(C3219=Options!$B$9,B3219*Options!$Z$9,0)</f>
        <v/>
      </c>
      <c r="M3219" s="13" t="n">
        <v>0</v>
      </c>
      <c r="N3219" s="13">
        <f>SUM(E3219:M3219)</f>
        <v/>
      </c>
    </row>
    <row r="3220">
      <c r="A3220" s="5">
        <f>IF(AND(C3220&gt;=Options!$B$9,C3220&lt;=Options!$B$10),"Seattle","")</f>
        <v/>
      </c>
      <c r="B3220" s="5">
        <f>IF(A3220="","",18)</f>
        <v/>
      </c>
      <c r="C3220" s="17" t="n">
        <v>46591</v>
      </c>
      <c r="D3220" s="5">
        <f>IF(A3220="","",IF(C3220=DATE(2026,11,29),"培训；注册午餐；早餐参数",IF(C3220=DATE(2026,11,30),"培训；注册午餐",IF(C3220=DATE(2026,12,1),"培训；注册午餐；机构晚餐",IF(C3220=Options!$B$9,"抵达；"&amp;IF(C3220=DATE(2026,11,28),"机构晚餐","无统一供餐"),IF(C3220=Options!$B$10,"返程；"&amp;IF(C3220=DATE(2026,12,2),"机构午餐","无统一供餐"),"差旅状态；无统一日程"))))))</f>
        <v/>
      </c>
      <c r="E3220" s="13">
        <f>IF(C3220=Options!$B$9,Options!$C$22,0)</f>
        <v/>
      </c>
      <c r="F3220" s="13">
        <f>IF(AND(A3220&lt;&gt;"",C3220&lt;Options!$B$10),B3220*Options!$X$9,0)</f>
        <v/>
      </c>
      <c r="G3220" s="13">
        <f>F3220*12%</f>
        <v/>
      </c>
      <c r="H3220" s="13">
        <f>IF(A3220="",0,B3220*(92*IF(OR(C3220=Options!$B$9,C3220=Options!$B$10),75%,100%)-IF(C3220=DATE(2026,11,29),26+IF(Options!$B$8="是",23,0),0)-IF(C3220=DATE(2026,11,30),26,0)-IF(C3220=DATE(2026,12,1),64,0)-IF(C3220=DATE(2026,11,28),38,0)-IF(C3220=DATE(2026,12,2),26,0)))</f>
        <v/>
      </c>
      <c r="I3220" s="13">
        <f>IF(AND(C3220&gt;=DATE(2026,11,29),C3220&lt;=DATE(2026,12,1)),B3220*60,0)</f>
        <v/>
      </c>
      <c r="J3220" s="13">
        <f>IF(A3220="",0,B3220*(IF(C3220=DATE(2026,11,28),38,0)+IF(C3220=DATE(2026,12,1),38,0)+IF(C3220=DATE(2026,12,2),26,0)))</f>
        <v/>
      </c>
      <c r="K3220" s="13">
        <f>IF(C3220=Options!$B$9,B3220*12,0)</f>
        <v/>
      </c>
      <c r="L3220" s="13">
        <f>IF(C3220=Options!$B$9,B3220*Options!$Z$9,0)</f>
        <v/>
      </c>
      <c r="M3220" s="13" t="n">
        <v>0</v>
      </c>
      <c r="N3220" s="13">
        <f>SUM(E3220:M3220)</f>
        <v/>
      </c>
    </row>
    <row r="3221">
      <c r="A3221" s="5">
        <f>IF(AND(C3221&gt;=Options!$B$9,C3221&lt;=Options!$B$10),"Seattle","")</f>
        <v/>
      </c>
      <c r="B3221" s="5">
        <f>IF(A3221="","",18)</f>
        <v/>
      </c>
      <c r="C3221" s="17" t="n">
        <v>46592</v>
      </c>
      <c r="D3221" s="5">
        <f>IF(A3221="","",IF(C3221=DATE(2026,11,29),"培训；注册午餐；早餐参数",IF(C3221=DATE(2026,11,30),"培训；注册午餐",IF(C3221=DATE(2026,12,1),"培训；注册午餐；机构晚餐",IF(C3221=Options!$B$9,"抵达；"&amp;IF(C3221=DATE(2026,11,28),"机构晚餐","无统一供餐"),IF(C3221=Options!$B$10,"返程；"&amp;IF(C3221=DATE(2026,12,2),"机构午餐","无统一供餐"),"差旅状态；无统一日程"))))))</f>
        <v/>
      </c>
      <c r="E3221" s="13">
        <f>IF(C3221=Options!$B$9,Options!$C$22,0)</f>
        <v/>
      </c>
      <c r="F3221" s="13">
        <f>IF(AND(A3221&lt;&gt;"",C3221&lt;Options!$B$10),B3221*Options!$X$9,0)</f>
        <v/>
      </c>
      <c r="G3221" s="13">
        <f>F3221*12%</f>
        <v/>
      </c>
      <c r="H3221" s="13">
        <f>IF(A3221="",0,B3221*(92*IF(OR(C3221=Options!$B$9,C3221=Options!$B$10),75%,100%)-IF(C3221=DATE(2026,11,29),26+IF(Options!$B$8="是",23,0),0)-IF(C3221=DATE(2026,11,30),26,0)-IF(C3221=DATE(2026,12,1),64,0)-IF(C3221=DATE(2026,11,28),38,0)-IF(C3221=DATE(2026,12,2),26,0)))</f>
        <v/>
      </c>
      <c r="I3221" s="13">
        <f>IF(AND(C3221&gt;=DATE(2026,11,29),C3221&lt;=DATE(2026,12,1)),B3221*60,0)</f>
        <v/>
      </c>
      <c r="J3221" s="13">
        <f>IF(A3221="",0,B3221*(IF(C3221=DATE(2026,11,28),38,0)+IF(C3221=DATE(2026,12,1),38,0)+IF(C3221=DATE(2026,12,2),26,0)))</f>
        <v/>
      </c>
      <c r="K3221" s="13">
        <f>IF(C3221=Options!$B$9,B3221*12,0)</f>
        <v/>
      </c>
      <c r="L3221" s="13">
        <f>IF(C3221=Options!$B$9,B3221*Options!$Z$9,0)</f>
        <v/>
      </c>
      <c r="M3221" s="13" t="n">
        <v>0</v>
      </c>
      <c r="N3221" s="13">
        <f>SUM(E3221:M3221)</f>
        <v/>
      </c>
    </row>
    <row r="3222">
      <c r="A3222" s="5">
        <f>IF(AND(C3222&gt;=Options!$B$9,C3222&lt;=Options!$B$10),"Seattle","")</f>
        <v/>
      </c>
      <c r="B3222" s="5">
        <f>IF(A3222="","",18)</f>
        <v/>
      </c>
      <c r="C3222" s="17" t="n">
        <v>46593</v>
      </c>
      <c r="D3222" s="5">
        <f>IF(A3222="","",IF(C3222=DATE(2026,11,29),"培训；注册午餐；早餐参数",IF(C3222=DATE(2026,11,30),"培训；注册午餐",IF(C3222=DATE(2026,12,1),"培训；注册午餐；机构晚餐",IF(C3222=Options!$B$9,"抵达；"&amp;IF(C3222=DATE(2026,11,28),"机构晚餐","无统一供餐"),IF(C3222=Options!$B$10,"返程；"&amp;IF(C3222=DATE(2026,12,2),"机构午餐","无统一供餐"),"差旅状态；无统一日程"))))))</f>
        <v/>
      </c>
      <c r="E3222" s="13">
        <f>IF(C3222=Options!$B$9,Options!$C$22,0)</f>
        <v/>
      </c>
      <c r="F3222" s="13">
        <f>IF(AND(A3222&lt;&gt;"",C3222&lt;Options!$B$10),B3222*Options!$X$9,0)</f>
        <v/>
      </c>
      <c r="G3222" s="13">
        <f>F3222*12%</f>
        <v/>
      </c>
      <c r="H3222" s="13">
        <f>IF(A3222="",0,B3222*(92*IF(OR(C3222=Options!$B$9,C3222=Options!$B$10),75%,100%)-IF(C3222=DATE(2026,11,29),26+IF(Options!$B$8="是",23,0),0)-IF(C3222=DATE(2026,11,30),26,0)-IF(C3222=DATE(2026,12,1),64,0)-IF(C3222=DATE(2026,11,28),38,0)-IF(C3222=DATE(2026,12,2),26,0)))</f>
        <v/>
      </c>
      <c r="I3222" s="13">
        <f>IF(AND(C3222&gt;=DATE(2026,11,29),C3222&lt;=DATE(2026,12,1)),B3222*60,0)</f>
        <v/>
      </c>
      <c r="J3222" s="13">
        <f>IF(A3222="",0,B3222*(IF(C3222=DATE(2026,11,28),38,0)+IF(C3222=DATE(2026,12,1),38,0)+IF(C3222=DATE(2026,12,2),26,0)))</f>
        <v/>
      </c>
      <c r="K3222" s="13">
        <f>IF(C3222=Options!$B$9,B3222*12,0)</f>
        <v/>
      </c>
      <c r="L3222" s="13">
        <f>IF(C3222=Options!$B$9,B3222*Options!$Z$9,0)</f>
        <v/>
      </c>
      <c r="M3222" s="13" t="n">
        <v>0</v>
      </c>
      <c r="N3222" s="13">
        <f>SUM(E3222:M3222)</f>
        <v/>
      </c>
    </row>
    <row r="3223">
      <c r="A3223" s="5">
        <f>IF(AND(C3223&gt;=Options!$B$9,C3223&lt;=Options!$B$10),"Seattle","")</f>
        <v/>
      </c>
      <c r="B3223" s="5">
        <f>IF(A3223="","",18)</f>
        <v/>
      </c>
      <c r="C3223" s="17" t="n">
        <v>46594</v>
      </c>
      <c r="D3223" s="5">
        <f>IF(A3223="","",IF(C3223=DATE(2026,11,29),"培训；注册午餐；早餐参数",IF(C3223=DATE(2026,11,30),"培训；注册午餐",IF(C3223=DATE(2026,12,1),"培训；注册午餐；机构晚餐",IF(C3223=Options!$B$9,"抵达；"&amp;IF(C3223=DATE(2026,11,28),"机构晚餐","无统一供餐"),IF(C3223=Options!$B$10,"返程；"&amp;IF(C3223=DATE(2026,12,2),"机构午餐","无统一供餐"),"差旅状态；无统一日程"))))))</f>
        <v/>
      </c>
      <c r="E3223" s="13">
        <f>IF(C3223=Options!$B$9,Options!$C$22,0)</f>
        <v/>
      </c>
      <c r="F3223" s="13">
        <f>IF(AND(A3223&lt;&gt;"",C3223&lt;Options!$B$10),B3223*Options!$X$9,0)</f>
        <v/>
      </c>
      <c r="G3223" s="13">
        <f>F3223*12%</f>
        <v/>
      </c>
      <c r="H3223" s="13">
        <f>IF(A3223="",0,B3223*(92*IF(OR(C3223=Options!$B$9,C3223=Options!$B$10),75%,100%)-IF(C3223=DATE(2026,11,29),26+IF(Options!$B$8="是",23,0),0)-IF(C3223=DATE(2026,11,30),26,0)-IF(C3223=DATE(2026,12,1),64,0)-IF(C3223=DATE(2026,11,28),38,0)-IF(C3223=DATE(2026,12,2),26,0)))</f>
        <v/>
      </c>
      <c r="I3223" s="13">
        <f>IF(AND(C3223&gt;=DATE(2026,11,29),C3223&lt;=DATE(2026,12,1)),B3223*60,0)</f>
        <v/>
      </c>
      <c r="J3223" s="13">
        <f>IF(A3223="",0,B3223*(IF(C3223=DATE(2026,11,28),38,0)+IF(C3223=DATE(2026,12,1),38,0)+IF(C3223=DATE(2026,12,2),26,0)))</f>
        <v/>
      </c>
      <c r="K3223" s="13">
        <f>IF(C3223=Options!$B$9,B3223*12,0)</f>
        <v/>
      </c>
      <c r="L3223" s="13">
        <f>IF(C3223=Options!$B$9,B3223*Options!$Z$9,0)</f>
        <v/>
      </c>
      <c r="M3223" s="13" t="n">
        <v>0</v>
      </c>
      <c r="N3223" s="13">
        <f>SUM(E3223:M3223)</f>
        <v/>
      </c>
    </row>
    <row r="3224">
      <c r="A3224" s="5">
        <f>IF(AND(C3224&gt;=Options!$B$9,C3224&lt;=Options!$B$10),"Seattle","")</f>
        <v/>
      </c>
      <c r="B3224" s="5">
        <f>IF(A3224="","",18)</f>
        <v/>
      </c>
      <c r="C3224" s="17" t="n">
        <v>46595</v>
      </c>
      <c r="D3224" s="5">
        <f>IF(A3224="","",IF(C3224=DATE(2026,11,29),"培训；注册午餐；早餐参数",IF(C3224=DATE(2026,11,30),"培训；注册午餐",IF(C3224=DATE(2026,12,1),"培训；注册午餐；机构晚餐",IF(C3224=Options!$B$9,"抵达；"&amp;IF(C3224=DATE(2026,11,28),"机构晚餐","无统一供餐"),IF(C3224=Options!$B$10,"返程；"&amp;IF(C3224=DATE(2026,12,2),"机构午餐","无统一供餐"),"差旅状态；无统一日程"))))))</f>
        <v/>
      </c>
      <c r="E3224" s="13">
        <f>IF(C3224=Options!$B$9,Options!$C$22,0)</f>
        <v/>
      </c>
      <c r="F3224" s="13">
        <f>IF(AND(A3224&lt;&gt;"",C3224&lt;Options!$B$10),B3224*Options!$X$9,0)</f>
        <v/>
      </c>
      <c r="G3224" s="13">
        <f>F3224*12%</f>
        <v/>
      </c>
      <c r="H3224" s="13">
        <f>IF(A3224="",0,B3224*(92*IF(OR(C3224=Options!$B$9,C3224=Options!$B$10),75%,100%)-IF(C3224=DATE(2026,11,29),26+IF(Options!$B$8="是",23,0),0)-IF(C3224=DATE(2026,11,30),26,0)-IF(C3224=DATE(2026,12,1),64,0)-IF(C3224=DATE(2026,11,28),38,0)-IF(C3224=DATE(2026,12,2),26,0)))</f>
        <v/>
      </c>
      <c r="I3224" s="13">
        <f>IF(AND(C3224&gt;=DATE(2026,11,29),C3224&lt;=DATE(2026,12,1)),B3224*60,0)</f>
        <v/>
      </c>
      <c r="J3224" s="13">
        <f>IF(A3224="",0,B3224*(IF(C3224=DATE(2026,11,28),38,0)+IF(C3224=DATE(2026,12,1),38,0)+IF(C3224=DATE(2026,12,2),26,0)))</f>
        <v/>
      </c>
      <c r="K3224" s="13">
        <f>IF(C3224=Options!$B$9,B3224*12,0)</f>
        <v/>
      </c>
      <c r="L3224" s="13">
        <f>IF(C3224=Options!$B$9,B3224*Options!$Z$9,0)</f>
        <v/>
      </c>
      <c r="M3224" s="13" t="n">
        <v>0</v>
      </c>
      <c r="N3224" s="13">
        <f>SUM(E3224:M3224)</f>
        <v/>
      </c>
    </row>
    <row r="3225">
      <c r="A3225" s="5">
        <f>IF(AND(C3225&gt;=Options!$B$9,C3225&lt;=Options!$B$10),"Seattle","")</f>
        <v/>
      </c>
      <c r="B3225" s="5">
        <f>IF(A3225="","",18)</f>
        <v/>
      </c>
      <c r="C3225" s="17" t="n">
        <v>46596</v>
      </c>
      <c r="D3225" s="5">
        <f>IF(A3225="","",IF(C3225=DATE(2026,11,29),"培训；注册午餐；早餐参数",IF(C3225=DATE(2026,11,30),"培训；注册午餐",IF(C3225=DATE(2026,12,1),"培训；注册午餐；机构晚餐",IF(C3225=Options!$B$9,"抵达；"&amp;IF(C3225=DATE(2026,11,28),"机构晚餐","无统一供餐"),IF(C3225=Options!$B$10,"返程；"&amp;IF(C3225=DATE(2026,12,2),"机构午餐","无统一供餐"),"差旅状态；无统一日程"))))))</f>
        <v/>
      </c>
      <c r="E3225" s="13">
        <f>IF(C3225=Options!$B$9,Options!$C$22,0)</f>
        <v/>
      </c>
      <c r="F3225" s="13">
        <f>IF(AND(A3225&lt;&gt;"",C3225&lt;Options!$B$10),B3225*Options!$X$9,0)</f>
        <v/>
      </c>
      <c r="G3225" s="13">
        <f>F3225*12%</f>
        <v/>
      </c>
      <c r="H3225" s="13">
        <f>IF(A3225="",0,B3225*(92*IF(OR(C3225=Options!$B$9,C3225=Options!$B$10),75%,100%)-IF(C3225=DATE(2026,11,29),26+IF(Options!$B$8="是",23,0),0)-IF(C3225=DATE(2026,11,30),26,0)-IF(C3225=DATE(2026,12,1),64,0)-IF(C3225=DATE(2026,11,28),38,0)-IF(C3225=DATE(2026,12,2),26,0)))</f>
        <v/>
      </c>
      <c r="I3225" s="13">
        <f>IF(AND(C3225&gt;=DATE(2026,11,29),C3225&lt;=DATE(2026,12,1)),B3225*60,0)</f>
        <v/>
      </c>
      <c r="J3225" s="13">
        <f>IF(A3225="",0,B3225*(IF(C3225=DATE(2026,11,28),38,0)+IF(C3225=DATE(2026,12,1),38,0)+IF(C3225=DATE(2026,12,2),26,0)))</f>
        <v/>
      </c>
      <c r="K3225" s="13">
        <f>IF(C3225=Options!$B$9,B3225*12,0)</f>
        <v/>
      </c>
      <c r="L3225" s="13">
        <f>IF(C3225=Options!$B$9,B3225*Options!$Z$9,0)</f>
        <v/>
      </c>
      <c r="M3225" s="13" t="n">
        <v>0</v>
      </c>
      <c r="N3225" s="13">
        <f>SUM(E3225:M3225)</f>
        <v/>
      </c>
    </row>
    <row r="3226">
      <c r="A3226" s="5">
        <f>IF(AND(C3226&gt;=Options!$B$9,C3226&lt;=Options!$B$10),"Seattle","")</f>
        <v/>
      </c>
      <c r="B3226" s="5">
        <f>IF(A3226="","",18)</f>
        <v/>
      </c>
      <c r="C3226" s="17" t="n">
        <v>46597</v>
      </c>
      <c r="D3226" s="5">
        <f>IF(A3226="","",IF(C3226=DATE(2026,11,29),"培训；注册午餐；早餐参数",IF(C3226=DATE(2026,11,30),"培训；注册午餐",IF(C3226=DATE(2026,12,1),"培训；注册午餐；机构晚餐",IF(C3226=Options!$B$9,"抵达；"&amp;IF(C3226=DATE(2026,11,28),"机构晚餐","无统一供餐"),IF(C3226=Options!$B$10,"返程；"&amp;IF(C3226=DATE(2026,12,2),"机构午餐","无统一供餐"),"差旅状态；无统一日程"))))))</f>
        <v/>
      </c>
      <c r="E3226" s="13">
        <f>IF(C3226=Options!$B$9,Options!$C$22,0)</f>
        <v/>
      </c>
      <c r="F3226" s="13">
        <f>IF(AND(A3226&lt;&gt;"",C3226&lt;Options!$B$10),B3226*Options!$X$9,0)</f>
        <v/>
      </c>
      <c r="G3226" s="13">
        <f>F3226*12%</f>
        <v/>
      </c>
      <c r="H3226" s="13">
        <f>IF(A3226="",0,B3226*(92*IF(OR(C3226=Options!$B$9,C3226=Options!$B$10),75%,100%)-IF(C3226=DATE(2026,11,29),26+IF(Options!$B$8="是",23,0),0)-IF(C3226=DATE(2026,11,30),26,0)-IF(C3226=DATE(2026,12,1),64,0)-IF(C3226=DATE(2026,11,28),38,0)-IF(C3226=DATE(2026,12,2),26,0)))</f>
        <v/>
      </c>
      <c r="I3226" s="13">
        <f>IF(AND(C3226&gt;=DATE(2026,11,29),C3226&lt;=DATE(2026,12,1)),B3226*60,0)</f>
        <v/>
      </c>
      <c r="J3226" s="13">
        <f>IF(A3226="",0,B3226*(IF(C3226=DATE(2026,11,28),38,0)+IF(C3226=DATE(2026,12,1),38,0)+IF(C3226=DATE(2026,12,2),26,0)))</f>
        <v/>
      </c>
      <c r="K3226" s="13">
        <f>IF(C3226=Options!$B$9,B3226*12,0)</f>
        <v/>
      </c>
      <c r="L3226" s="13">
        <f>IF(C3226=Options!$B$9,B3226*Options!$Z$9,0)</f>
        <v/>
      </c>
      <c r="M3226" s="13" t="n">
        <v>0</v>
      </c>
      <c r="N3226" s="13">
        <f>SUM(E3226:M3226)</f>
        <v/>
      </c>
    </row>
    <row r="3227">
      <c r="A3227" s="5">
        <f>IF(AND(C3227&gt;=Options!$B$9,C3227&lt;=Options!$B$10),"Seattle","")</f>
        <v/>
      </c>
      <c r="B3227" s="5">
        <f>IF(A3227="","",18)</f>
        <v/>
      </c>
      <c r="C3227" s="17" t="n">
        <v>46598</v>
      </c>
      <c r="D3227" s="5">
        <f>IF(A3227="","",IF(C3227=DATE(2026,11,29),"培训；注册午餐；早餐参数",IF(C3227=DATE(2026,11,30),"培训；注册午餐",IF(C3227=DATE(2026,12,1),"培训；注册午餐；机构晚餐",IF(C3227=Options!$B$9,"抵达；"&amp;IF(C3227=DATE(2026,11,28),"机构晚餐","无统一供餐"),IF(C3227=Options!$B$10,"返程；"&amp;IF(C3227=DATE(2026,12,2),"机构午餐","无统一供餐"),"差旅状态；无统一日程"))))))</f>
        <v/>
      </c>
      <c r="E3227" s="13">
        <f>IF(C3227=Options!$B$9,Options!$C$22,0)</f>
        <v/>
      </c>
      <c r="F3227" s="13">
        <f>IF(AND(A3227&lt;&gt;"",C3227&lt;Options!$B$10),B3227*Options!$X$9,0)</f>
        <v/>
      </c>
      <c r="G3227" s="13">
        <f>F3227*12%</f>
        <v/>
      </c>
      <c r="H3227" s="13">
        <f>IF(A3227="",0,B3227*(92*IF(OR(C3227=Options!$B$9,C3227=Options!$B$10),75%,100%)-IF(C3227=DATE(2026,11,29),26+IF(Options!$B$8="是",23,0),0)-IF(C3227=DATE(2026,11,30),26,0)-IF(C3227=DATE(2026,12,1),64,0)-IF(C3227=DATE(2026,11,28),38,0)-IF(C3227=DATE(2026,12,2),26,0)))</f>
        <v/>
      </c>
      <c r="I3227" s="13">
        <f>IF(AND(C3227&gt;=DATE(2026,11,29),C3227&lt;=DATE(2026,12,1)),B3227*60,0)</f>
        <v/>
      </c>
      <c r="J3227" s="13">
        <f>IF(A3227="",0,B3227*(IF(C3227=DATE(2026,11,28),38,0)+IF(C3227=DATE(2026,12,1),38,0)+IF(C3227=DATE(2026,12,2),26,0)))</f>
        <v/>
      </c>
      <c r="K3227" s="13">
        <f>IF(C3227=Options!$B$9,B3227*12,0)</f>
        <v/>
      </c>
      <c r="L3227" s="13">
        <f>IF(C3227=Options!$B$9,B3227*Options!$Z$9,0)</f>
        <v/>
      </c>
      <c r="M3227" s="13" t="n">
        <v>0</v>
      </c>
      <c r="N3227" s="13">
        <f>SUM(E3227:M3227)</f>
        <v/>
      </c>
    </row>
    <row r="3228">
      <c r="A3228" s="5">
        <f>IF(AND(C3228&gt;=Options!$B$9,C3228&lt;=Options!$B$10),"Seattle","")</f>
        <v/>
      </c>
      <c r="B3228" s="5">
        <f>IF(A3228="","",18)</f>
        <v/>
      </c>
      <c r="C3228" s="17" t="n">
        <v>46599</v>
      </c>
      <c r="D3228" s="5">
        <f>IF(A3228="","",IF(C3228=DATE(2026,11,29),"培训；注册午餐；早餐参数",IF(C3228=DATE(2026,11,30),"培训；注册午餐",IF(C3228=DATE(2026,12,1),"培训；注册午餐；机构晚餐",IF(C3228=Options!$B$9,"抵达；"&amp;IF(C3228=DATE(2026,11,28),"机构晚餐","无统一供餐"),IF(C3228=Options!$B$10,"返程；"&amp;IF(C3228=DATE(2026,12,2),"机构午餐","无统一供餐"),"差旅状态；无统一日程"))))))</f>
        <v/>
      </c>
      <c r="E3228" s="13">
        <f>IF(C3228=Options!$B$9,Options!$C$22,0)</f>
        <v/>
      </c>
      <c r="F3228" s="13">
        <f>IF(AND(A3228&lt;&gt;"",C3228&lt;Options!$B$10),B3228*Options!$X$9,0)</f>
        <v/>
      </c>
      <c r="G3228" s="13">
        <f>F3228*12%</f>
        <v/>
      </c>
      <c r="H3228" s="13">
        <f>IF(A3228="",0,B3228*(92*IF(OR(C3228=Options!$B$9,C3228=Options!$B$10),75%,100%)-IF(C3228=DATE(2026,11,29),26+IF(Options!$B$8="是",23,0),0)-IF(C3228=DATE(2026,11,30),26,0)-IF(C3228=DATE(2026,12,1),64,0)-IF(C3228=DATE(2026,11,28),38,0)-IF(C3228=DATE(2026,12,2),26,0)))</f>
        <v/>
      </c>
      <c r="I3228" s="13">
        <f>IF(AND(C3228&gt;=DATE(2026,11,29),C3228&lt;=DATE(2026,12,1)),B3228*60,0)</f>
        <v/>
      </c>
      <c r="J3228" s="13">
        <f>IF(A3228="",0,B3228*(IF(C3228=DATE(2026,11,28),38,0)+IF(C3228=DATE(2026,12,1),38,0)+IF(C3228=DATE(2026,12,2),26,0)))</f>
        <v/>
      </c>
      <c r="K3228" s="13">
        <f>IF(C3228=Options!$B$9,B3228*12,0)</f>
        <v/>
      </c>
      <c r="L3228" s="13">
        <f>IF(C3228=Options!$B$9,B3228*Options!$Z$9,0)</f>
        <v/>
      </c>
      <c r="M3228" s="13" t="n">
        <v>0</v>
      </c>
      <c r="N3228" s="13">
        <f>SUM(E3228:M3228)</f>
        <v/>
      </c>
    </row>
    <row r="3229">
      <c r="A3229" s="5">
        <f>IF(AND(C3229&gt;=Options!$B$9,C3229&lt;=Options!$B$10),"Seattle","")</f>
        <v/>
      </c>
      <c r="B3229" s="5">
        <f>IF(A3229="","",18)</f>
        <v/>
      </c>
      <c r="C3229" s="17" t="n">
        <v>46600</v>
      </c>
      <c r="D3229" s="5">
        <f>IF(A3229="","",IF(C3229=DATE(2026,11,29),"培训；注册午餐；早餐参数",IF(C3229=DATE(2026,11,30),"培训；注册午餐",IF(C3229=DATE(2026,12,1),"培训；注册午餐；机构晚餐",IF(C3229=Options!$B$9,"抵达；"&amp;IF(C3229=DATE(2026,11,28),"机构晚餐","无统一供餐"),IF(C3229=Options!$B$10,"返程；"&amp;IF(C3229=DATE(2026,12,2),"机构午餐","无统一供餐"),"差旅状态；无统一日程"))))))</f>
        <v/>
      </c>
      <c r="E3229" s="13">
        <f>IF(C3229=Options!$B$9,Options!$C$22,0)</f>
        <v/>
      </c>
      <c r="F3229" s="13">
        <f>IF(AND(A3229&lt;&gt;"",C3229&lt;Options!$B$10),B3229*Options!$X$9,0)</f>
        <v/>
      </c>
      <c r="G3229" s="13">
        <f>F3229*12%</f>
        <v/>
      </c>
      <c r="H3229" s="13">
        <f>IF(A3229="",0,B3229*(92*IF(OR(C3229=Options!$B$9,C3229=Options!$B$10),75%,100%)-IF(C3229=DATE(2026,11,29),26+IF(Options!$B$8="是",23,0),0)-IF(C3229=DATE(2026,11,30),26,0)-IF(C3229=DATE(2026,12,1),64,0)-IF(C3229=DATE(2026,11,28),38,0)-IF(C3229=DATE(2026,12,2),26,0)))</f>
        <v/>
      </c>
      <c r="I3229" s="13">
        <f>IF(AND(C3229&gt;=DATE(2026,11,29),C3229&lt;=DATE(2026,12,1)),B3229*60,0)</f>
        <v/>
      </c>
      <c r="J3229" s="13">
        <f>IF(A3229="",0,B3229*(IF(C3229=DATE(2026,11,28),38,0)+IF(C3229=DATE(2026,12,1),38,0)+IF(C3229=DATE(2026,12,2),26,0)))</f>
        <v/>
      </c>
      <c r="K3229" s="13">
        <f>IF(C3229=Options!$B$9,B3229*12,0)</f>
        <v/>
      </c>
      <c r="L3229" s="13">
        <f>IF(C3229=Options!$B$9,B3229*Options!$Z$9,0)</f>
        <v/>
      </c>
      <c r="M3229" s="13" t="n">
        <v>0</v>
      </c>
      <c r="N3229" s="13">
        <f>SUM(E3229:M3229)</f>
        <v/>
      </c>
    </row>
    <row r="3230">
      <c r="A3230" s="5">
        <f>IF(AND(C3230&gt;=Options!$B$9,C3230&lt;=Options!$B$10),"Seattle","")</f>
        <v/>
      </c>
      <c r="B3230" s="5">
        <f>IF(A3230="","",18)</f>
        <v/>
      </c>
      <c r="C3230" s="17" t="n">
        <v>46601</v>
      </c>
      <c r="D3230" s="5">
        <f>IF(A3230="","",IF(C3230=DATE(2026,11,29),"培训；注册午餐；早餐参数",IF(C3230=DATE(2026,11,30),"培训；注册午餐",IF(C3230=DATE(2026,12,1),"培训；注册午餐；机构晚餐",IF(C3230=Options!$B$9,"抵达；"&amp;IF(C3230=DATE(2026,11,28),"机构晚餐","无统一供餐"),IF(C3230=Options!$B$10,"返程；"&amp;IF(C3230=DATE(2026,12,2),"机构午餐","无统一供餐"),"差旅状态；无统一日程"))))))</f>
        <v/>
      </c>
      <c r="E3230" s="13">
        <f>IF(C3230=Options!$B$9,Options!$C$22,0)</f>
        <v/>
      </c>
      <c r="F3230" s="13">
        <f>IF(AND(A3230&lt;&gt;"",C3230&lt;Options!$B$10),B3230*Options!$X$9,0)</f>
        <v/>
      </c>
      <c r="G3230" s="13">
        <f>F3230*12%</f>
        <v/>
      </c>
      <c r="H3230" s="13">
        <f>IF(A3230="",0,B3230*(92*IF(OR(C3230=Options!$B$9,C3230=Options!$B$10),75%,100%)-IF(C3230=DATE(2026,11,29),26+IF(Options!$B$8="是",23,0),0)-IF(C3230=DATE(2026,11,30),26,0)-IF(C3230=DATE(2026,12,1),64,0)-IF(C3230=DATE(2026,11,28),38,0)-IF(C3230=DATE(2026,12,2),26,0)))</f>
        <v/>
      </c>
      <c r="I3230" s="13">
        <f>IF(AND(C3230&gt;=DATE(2026,11,29),C3230&lt;=DATE(2026,12,1)),B3230*60,0)</f>
        <v/>
      </c>
      <c r="J3230" s="13">
        <f>IF(A3230="",0,B3230*(IF(C3230=DATE(2026,11,28),38,0)+IF(C3230=DATE(2026,12,1),38,0)+IF(C3230=DATE(2026,12,2),26,0)))</f>
        <v/>
      </c>
      <c r="K3230" s="13">
        <f>IF(C3230=Options!$B$9,B3230*12,0)</f>
        <v/>
      </c>
      <c r="L3230" s="13">
        <f>IF(C3230=Options!$B$9,B3230*Options!$Z$9,0)</f>
        <v/>
      </c>
      <c r="M3230" s="13" t="n">
        <v>0</v>
      </c>
      <c r="N3230" s="13">
        <f>SUM(E3230:M3230)</f>
        <v/>
      </c>
    </row>
    <row r="3231">
      <c r="A3231" s="5">
        <f>IF(AND(C3231&gt;=Options!$B$9,C3231&lt;=Options!$B$10),"Seattle","")</f>
        <v/>
      </c>
      <c r="B3231" s="5">
        <f>IF(A3231="","",18)</f>
        <v/>
      </c>
      <c r="C3231" s="17" t="n">
        <v>46602</v>
      </c>
      <c r="D3231" s="5">
        <f>IF(A3231="","",IF(C3231=DATE(2026,11,29),"培训；注册午餐；早餐参数",IF(C3231=DATE(2026,11,30),"培训；注册午餐",IF(C3231=DATE(2026,12,1),"培训；注册午餐；机构晚餐",IF(C3231=Options!$B$9,"抵达；"&amp;IF(C3231=DATE(2026,11,28),"机构晚餐","无统一供餐"),IF(C3231=Options!$B$10,"返程；"&amp;IF(C3231=DATE(2026,12,2),"机构午餐","无统一供餐"),"差旅状态；无统一日程"))))))</f>
        <v/>
      </c>
      <c r="E3231" s="13">
        <f>IF(C3231=Options!$B$9,Options!$C$22,0)</f>
        <v/>
      </c>
      <c r="F3231" s="13">
        <f>IF(AND(A3231&lt;&gt;"",C3231&lt;Options!$B$10),B3231*Options!$X$9,0)</f>
        <v/>
      </c>
      <c r="G3231" s="13">
        <f>F3231*12%</f>
        <v/>
      </c>
      <c r="H3231" s="13">
        <f>IF(A3231="",0,B3231*(92*IF(OR(C3231=Options!$B$9,C3231=Options!$B$10),75%,100%)-IF(C3231=DATE(2026,11,29),26+IF(Options!$B$8="是",23,0),0)-IF(C3231=DATE(2026,11,30),26,0)-IF(C3231=DATE(2026,12,1),64,0)-IF(C3231=DATE(2026,11,28),38,0)-IF(C3231=DATE(2026,12,2),26,0)))</f>
        <v/>
      </c>
      <c r="I3231" s="13">
        <f>IF(AND(C3231&gt;=DATE(2026,11,29),C3231&lt;=DATE(2026,12,1)),B3231*60,0)</f>
        <v/>
      </c>
      <c r="J3231" s="13">
        <f>IF(A3231="",0,B3231*(IF(C3231=DATE(2026,11,28),38,0)+IF(C3231=DATE(2026,12,1),38,0)+IF(C3231=DATE(2026,12,2),26,0)))</f>
        <v/>
      </c>
      <c r="K3231" s="13">
        <f>IF(C3231=Options!$B$9,B3231*12,0)</f>
        <v/>
      </c>
      <c r="L3231" s="13">
        <f>IF(C3231=Options!$B$9,B3231*Options!$Z$9,0)</f>
        <v/>
      </c>
      <c r="M3231" s="13" t="n">
        <v>0</v>
      </c>
      <c r="N3231" s="13">
        <f>SUM(E3231:M3231)</f>
        <v/>
      </c>
    </row>
    <row r="3232">
      <c r="A3232" s="5">
        <f>IF(AND(C3232&gt;=Options!$B$9,C3232&lt;=Options!$B$10),"Seattle","")</f>
        <v/>
      </c>
      <c r="B3232" s="5">
        <f>IF(A3232="","",18)</f>
        <v/>
      </c>
      <c r="C3232" s="17" t="n">
        <v>46603</v>
      </c>
      <c r="D3232" s="5">
        <f>IF(A3232="","",IF(C3232=DATE(2026,11,29),"培训；注册午餐；早餐参数",IF(C3232=DATE(2026,11,30),"培训；注册午餐",IF(C3232=DATE(2026,12,1),"培训；注册午餐；机构晚餐",IF(C3232=Options!$B$9,"抵达；"&amp;IF(C3232=DATE(2026,11,28),"机构晚餐","无统一供餐"),IF(C3232=Options!$B$10,"返程；"&amp;IF(C3232=DATE(2026,12,2),"机构午餐","无统一供餐"),"差旅状态；无统一日程"))))))</f>
        <v/>
      </c>
      <c r="E3232" s="13">
        <f>IF(C3232=Options!$B$9,Options!$C$22,0)</f>
        <v/>
      </c>
      <c r="F3232" s="13">
        <f>IF(AND(A3232&lt;&gt;"",C3232&lt;Options!$B$10),B3232*Options!$X$9,0)</f>
        <v/>
      </c>
      <c r="G3232" s="13">
        <f>F3232*12%</f>
        <v/>
      </c>
      <c r="H3232" s="13">
        <f>IF(A3232="",0,B3232*(92*IF(OR(C3232=Options!$B$9,C3232=Options!$B$10),75%,100%)-IF(C3232=DATE(2026,11,29),26+IF(Options!$B$8="是",23,0),0)-IF(C3232=DATE(2026,11,30),26,0)-IF(C3232=DATE(2026,12,1),64,0)-IF(C3232=DATE(2026,11,28),38,0)-IF(C3232=DATE(2026,12,2),26,0)))</f>
        <v/>
      </c>
      <c r="I3232" s="13">
        <f>IF(AND(C3232&gt;=DATE(2026,11,29),C3232&lt;=DATE(2026,12,1)),B3232*60,0)</f>
        <v/>
      </c>
      <c r="J3232" s="13">
        <f>IF(A3232="",0,B3232*(IF(C3232=DATE(2026,11,28),38,0)+IF(C3232=DATE(2026,12,1),38,0)+IF(C3232=DATE(2026,12,2),26,0)))</f>
        <v/>
      </c>
      <c r="K3232" s="13">
        <f>IF(C3232=Options!$B$9,B3232*12,0)</f>
        <v/>
      </c>
      <c r="L3232" s="13">
        <f>IF(C3232=Options!$B$9,B3232*Options!$Z$9,0)</f>
        <v/>
      </c>
      <c r="M3232" s="13" t="n">
        <v>0</v>
      </c>
      <c r="N3232" s="13">
        <f>SUM(E3232:M3232)</f>
        <v/>
      </c>
    </row>
    <row r="3233">
      <c r="A3233" s="5">
        <f>IF(AND(C3233&gt;=Options!$B$9,C3233&lt;=Options!$B$10),"Seattle","")</f>
        <v/>
      </c>
      <c r="B3233" s="5">
        <f>IF(A3233="","",18)</f>
        <v/>
      </c>
      <c r="C3233" s="17" t="n">
        <v>46604</v>
      </c>
      <c r="D3233" s="5">
        <f>IF(A3233="","",IF(C3233=DATE(2026,11,29),"培训；注册午餐；早餐参数",IF(C3233=DATE(2026,11,30),"培训；注册午餐",IF(C3233=DATE(2026,12,1),"培训；注册午餐；机构晚餐",IF(C3233=Options!$B$9,"抵达；"&amp;IF(C3233=DATE(2026,11,28),"机构晚餐","无统一供餐"),IF(C3233=Options!$B$10,"返程；"&amp;IF(C3233=DATE(2026,12,2),"机构午餐","无统一供餐"),"差旅状态；无统一日程"))))))</f>
        <v/>
      </c>
      <c r="E3233" s="13">
        <f>IF(C3233=Options!$B$9,Options!$C$22,0)</f>
        <v/>
      </c>
      <c r="F3233" s="13">
        <f>IF(AND(A3233&lt;&gt;"",C3233&lt;Options!$B$10),B3233*Options!$X$9,0)</f>
        <v/>
      </c>
      <c r="G3233" s="13">
        <f>F3233*12%</f>
        <v/>
      </c>
      <c r="H3233" s="13">
        <f>IF(A3233="",0,B3233*(92*IF(OR(C3233=Options!$B$9,C3233=Options!$B$10),75%,100%)-IF(C3233=DATE(2026,11,29),26+IF(Options!$B$8="是",23,0),0)-IF(C3233=DATE(2026,11,30),26,0)-IF(C3233=DATE(2026,12,1),64,0)-IF(C3233=DATE(2026,11,28),38,0)-IF(C3233=DATE(2026,12,2),26,0)))</f>
        <v/>
      </c>
      <c r="I3233" s="13">
        <f>IF(AND(C3233&gt;=DATE(2026,11,29),C3233&lt;=DATE(2026,12,1)),B3233*60,0)</f>
        <v/>
      </c>
      <c r="J3233" s="13">
        <f>IF(A3233="",0,B3233*(IF(C3233=DATE(2026,11,28),38,0)+IF(C3233=DATE(2026,12,1),38,0)+IF(C3233=DATE(2026,12,2),26,0)))</f>
        <v/>
      </c>
      <c r="K3233" s="13">
        <f>IF(C3233=Options!$B$9,B3233*12,0)</f>
        <v/>
      </c>
      <c r="L3233" s="13">
        <f>IF(C3233=Options!$B$9,B3233*Options!$Z$9,0)</f>
        <v/>
      </c>
      <c r="M3233" s="13" t="n">
        <v>0</v>
      </c>
      <c r="N3233" s="13">
        <f>SUM(E3233:M3233)</f>
        <v/>
      </c>
    </row>
    <row r="3234">
      <c r="A3234" s="5">
        <f>IF(AND(C3234&gt;=Options!$B$9,C3234&lt;=Options!$B$10),"Seattle","")</f>
        <v/>
      </c>
      <c r="B3234" s="5">
        <f>IF(A3234="","",18)</f>
        <v/>
      </c>
      <c r="C3234" s="17" t="n">
        <v>46605</v>
      </c>
      <c r="D3234" s="5">
        <f>IF(A3234="","",IF(C3234=DATE(2026,11,29),"培训；注册午餐；早餐参数",IF(C3234=DATE(2026,11,30),"培训；注册午餐",IF(C3234=DATE(2026,12,1),"培训；注册午餐；机构晚餐",IF(C3234=Options!$B$9,"抵达；"&amp;IF(C3234=DATE(2026,11,28),"机构晚餐","无统一供餐"),IF(C3234=Options!$B$10,"返程；"&amp;IF(C3234=DATE(2026,12,2),"机构午餐","无统一供餐"),"差旅状态；无统一日程"))))))</f>
        <v/>
      </c>
      <c r="E3234" s="13">
        <f>IF(C3234=Options!$B$9,Options!$C$22,0)</f>
        <v/>
      </c>
      <c r="F3234" s="13">
        <f>IF(AND(A3234&lt;&gt;"",C3234&lt;Options!$B$10),B3234*Options!$X$9,0)</f>
        <v/>
      </c>
      <c r="G3234" s="13">
        <f>F3234*12%</f>
        <v/>
      </c>
      <c r="H3234" s="13">
        <f>IF(A3234="",0,B3234*(92*IF(OR(C3234=Options!$B$9,C3234=Options!$B$10),75%,100%)-IF(C3234=DATE(2026,11,29),26+IF(Options!$B$8="是",23,0),0)-IF(C3234=DATE(2026,11,30),26,0)-IF(C3234=DATE(2026,12,1),64,0)-IF(C3234=DATE(2026,11,28),38,0)-IF(C3234=DATE(2026,12,2),26,0)))</f>
        <v/>
      </c>
      <c r="I3234" s="13">
        <f>IF(AND(C3234&gt;=DATE(2026,11,29),C3234&lt;=DATE(2026,12,1)),B3234*60,0)</f>
        <v/>
      </c>
      <c r="J3234" s="13">
        <f>IF(A3234="",0,B3234*(IF(C3234=DATE(2026,11,28),38,0)+IF(C3234=DATE(2026,12,1),38,0)+IF(C3234=DATE(2026,12,2),26,0)))</f>
        <v/>
      </c>
      <c r="K3234" s="13">
        <f>IF(C3234=Options!$B$9,B3234*12,0)</f>
        <v/>
      </c>
      <c r="L3234" s="13">
        <f>IF(C3234=Options!$B$9,B3234*Options!$Z$9,0)</f>
        <v/>
      </c>
      <c r="M3234" s="13" t="n">
        <v>0</v>
      </c>
      <c r="N3234" s="13">
        <f>SUM(E3234:M3234)</f>
        <v/>
      </c>
    </row>
    <row r="3235">
      <c r="A3235" s="5">
        <f>IF(AND(C3235&gt;=Options!$B$9,C3235&lt;=Options!$B$10),"Seattle","")</f>
        <v/>
      </c>
      <c r="B3235" s="5">
        <f>IF(A3235="","",18)</f>
        <v/>
      </c>
      <c r="C3235" s="17" t="n">
        <v>46606</v>
      </c>
      <c r="D3235" s="5">
        <f>IF(A3235="","",IF(C3235=DATE(2026,11,29),"培训；注册午餐；早餐参数",IF(C3235=DATE(2026,11,30),"培训；注册午餐",IF(C3235=DATE(2026,12,1),"培训；注册午餐；机构晚餐",IF(C3235=Options!$B$9,"抵达；"&amp;IF(C3235=DATE(2026,11,28),"机构晚餐","无统一供餐"),IF(C3235=Options!$B$10,"返程；"&amp;IF(C3235=DATE(2026,12,2),"机构午餐","无统一供餐"),"差旅状态；无统一日程"))))))</f>
        <v/>
      </c>
      <c r="E3235" s="13">
        <f>IF(C3235=Options!$B$9,Options!$C$22,0)</f>
        <v/>
      </c>
      <c r="F3235" s="13">
        <f>IF(AND(A3235&lt;&gt;"",C3235&lt;Options!$B$10),B3235*Options!$X$9,0)</f>
        <v/>
      </c>
      <c r="G3235" s="13">
        <f>F3235*12%</f>
        <v/>
      </c>
      <c r="H3235" s="13">
        <f>IF(A3235="",0,B3235*(92*IF(OR(C3235=Options!$B$9,C3235=Options!$B$10),75%,100%)-IF(C3235=DATE(2026,11,29),26+IF(Options!$B$8="是",23,0),0)-IF(C3235=DATE(2026,11,30),26,0)-IF(C3235=DATE(2026,12,1),64,0)-IF(C3235=DATE(2026,11,28),38,0)-IF(C3235=DATE(2026,12,2),26,0)))</f>
        <v/>
      </c>
      <c r="I3235" s="13">
        <f>IF(AND(C3235&gt;=DATE(2026,11,29),C3235&lt;=DATE(2026,12,1)),B3235*60,0)</f>
        <v/>
      </c>
      <c r="J3235" s="13">
        <f>IF(A3235="",0,B3235*(IF(C3235=DATE(2026,11,28),38,0)+IF(C3235=DATE(2026,12,1),38,0)+IF(C3235=DATE(2026,12,2),26,0)))</f>
        <v/>
      </c>
      <c r="K3235" s="13">
        <f>IF(C3235=Options!$B$9,B3235*12,0)</f>
        <v/>
      </c>
      <c r="L3235" s="13">
        <f>IF(C3235=Options!$B$9,B3235*Options!$Z$9,0)</f>
        <v/>
      </c>
      <c r="M3235" s="13" t="n">
        <v>0</v>
      </c>
      <c r="N3235" s="13">
        <f>SUM(E3235:M3235)</f>
        <v/>
      </c>
    </row>
    <row r="3236">
      <c r="A3236" s="5">
        <f>IF(AND(C3236&gt;=Options!$B$9,C3236&lt;=Options!$B$10),"Seattle","")</f>
        <v/>
      </c>
      <c r="B3236" s="5">
        <f>IF(A3236="","",18)</f>
        <v/>
      </c>
      <c r="C3236" s="17" t="n">
        <v>46607</v>
      </c>
      <c r="D3236" s="5">
        <f>IF(A3236="","",IF(C3236=DATE(2026,11,29),"培训；注册午餐；早餐参数",IF(C3236=DATE(2026,11,30),"培训；注册午餐",IF(C3236=DATE(2026,12,1),"培训；注册午餐；机构晚餐",IF(C3236=Options!$B$9,"抵达；"&amp;IF(C3236=DATE(2026,11,28),"机构晚餐","无统一供餐"),IF(C3236=Options!$B$10,"返程；"&amp;IF(C3236=DATE(2026,12,2),"机构午餐","无统一供餐"),"差旅状态；无统一日程"))))))</f>
        <v/>
      </c>
      <c r="E3236" s="13">
        <f>IF(C3236=Options!$B$9,Options!$C$22,0)</f>
        <v/>
      </c>
      <c r="F3236" s="13">
        <f>IF(AND(A3236&lt;&gt;"",C3236&lt;Options!$B$10),B3236*Options!$X$9,0)</f>
        <v/>
      </c>
      <c r="G3236" s="13">
        <f>F3236*12%</f>
        <v/>
      </c>
      <c r="H3236" s="13">
        <f>IF(A3236="",0,B3236*(92*IF(OR(C3236=Options!$B$9,C3236=Options!$B$10),75%,100%)-IF(C3236=DATE(2026,11,29),26+IF(Options!$B$8="是",23,0),0)-IF(C3236=DATE(2026,11,30),26,0)-IF(C3236=DATE(2026,12,1),64,0)-IF(C3236=DATE(2026,11,28),38,0)-IF(C3236=DATE(2026,12,2),26,0)))</f>
        <v/>
      </c>
      <c r="I3236" s="13">
        <f>IF(AND(C3236&gt;=DATE(2026,11,29),C3236&lt;=DATE(2026,12,1)),B3236*60,0)</f>
        <v/>
      </c>
      <c r="J3236" s="13">
        <f>IF(A3236="",0,B3236*(IF(C3236=DATE(2026,11,28),38,0)+IF(C3236=DATE(2026,12,1),38,0)+IF(C3236=DATE(2026,12,2),26,0)))</f>
        <v/>
      </c>
      <c r="K3236" s="13">
        <f>IF(C3236=Options!$B$9,B3236*12,0)</f>
        <v/>
      </c>
      <c r="L3236" s="13">
        <f>IF(C3236=Options!$B$9,B3236*Options!$Z$9,0)</f>
        <v/>
      </c>
      <c r="M3236" s="13" t="n">
        <v>0</v>
      </c>
      <c r="N3236" s="13">
        <f>SUM(E3236:M3236)</f>
        <v/>
      </c>
    </row>
    <row r="3237">
      <c r="A3237" s="5">
        <f>IF(AND(C3237&gt;=Options!$B$9,C3237&lt;=Options!$B$10),"Seattle","")</f>
        <v/>
      </c>
      <c r="B3237" s="5">
        <f>IF(A3237="","",18)</f>
        <v/>
      </c>
      <c r="C3237" s="17" t="n">
        <v>46608</v>
      </c>
      <c r="D3237" s="5">
        <f>IF(A3237="","",IF(C3237=DATE(2026,11,29),"培训；注册午餐；早餐参数",IF(C3237=DATE(2026,11,30),"培训；注册午餐",IF(C3237=DATE(2026,12,1),"培训；注册午餐；机构晚餐",IF(C3237=Options!$B$9,"抵达；"&amp;IF(C3237=DATE(2026,11,28),"机构晚餐","无统一供餐"),IF(C3237=Options!$B$10,"返程；"&amp;IF(C3237=DATE(2026,12,2),"机构午餐","无统一供餐"),"差旅状态；无统一日程"))))))</f>
        <v/>
      </c>
      <c r="E3237" s="13">
        <f>IF(C3237=Options!$B$9,Options!$C$22,0)</f>
        <v/>
      </c>
      <c r="F3237" s="13">
        <f>IF(AND(A3237&lt;&gt;"",C3237&lt;Options!$B$10),B3237*Options!$X$9,0)</f>
        <v/>
      </c>
      <c r="G3237" s="13">
        <f>F3237*12%</f>
        <v/>
      </c>
      <c r="H3237" s="13">
        <f>IF(A3237="",0,B3237*(92*IF(OR(C3237=Options!$B$9,C3237=Options!$B$10),75%,100%)-IF(C3237=DATE(2026,11,29),26+IF(Options!$B$8="是",23,0),0)-IF(C3237=DATE(2026,11,30),26,0)-IF(C3237=DATE(2026,12,1),64,0)-IF(C3237=DATE(2026,11,28),38,0)-IF(C3237=DATE(2026,12,2),26,0)))</f>
        <v/>
      </c>
      <c r="I3237" s="13">
        <f>IF(AND(C3237&gt;=DATE(2026,11,29),C3237&lt;=DATE(2026,12,1)),B3237*60,0)</f>
        <v/>
      </c>
      <c r="J3237" s="13">
        <f>IF(A3237="",0,B3237*(IF(C3237=DATE(2026,11,28),38,0)+IF(C3237=DATE(2026,12,1),38,0)+IF(C3237=DATE(2026,12,2),26,0)))</f>
        <v/>
      </c>
      <c r="K3237" s="13">
        <f>IF(C3237=Options!$B$9,B3237*12,0)</f>
        <v/>
      </c>
      <c r="L3237" s="13">
        <f>IF(C3237=Options!$B$9,B3237*Options!$Z$9,0)</f>
        <v/>
      </c>
      <c r="M3237" s="13" t="n">
        <v>0</v>
      </c>
      <c r="N3237" s="13">
        <f>SUM(E3237:M3237)</f>
        <v/>
      </c>
    </row>
    <row r="3238">
      <c r="A3238" s="5">
        <f>IF(AND(C3238&gt;=Options!$B$9,C3238&lt;=Options!$B$10),"Seattle","")</f>
        <v/>
      </c>
      <c r="B3238" s="5">
        <f>IF(A3238="","",18)</f>
        <v/>
      </c>
      <c r="C3238" s="17" t="n">
        <v>46609</v>
      </c>
      <c r="D3238" s="5">
        <f>IF(A3238="","",IF(C3238=DATE(2026,11,29),"培训；注册午餐；早餐参数",IF(C3238=DATE(2026,11,30),"培训；注册午餐",IF(C3238=DATE(2026,12,1),"培训；注册午餐；机构晚餐",IF(C3238=Options!$B$9,"抵达；"&amp;IF(C3238=DATE(2026,11,28),"机构晚餐","无统一供餐"),IF(C3238=Options!$B$10,"返程；"&amp;IF(C3238=DATE(2026,12,2),"机构午餐","无统一供餐"),"差旅状态；无统一日程"))))))</f>
        <v/>
      </c>
      <c r="E3238" s="13">
        <f>IF(C3238=Options!$B$9,Options!$C$22,0)</f>
        <v/>
      </c>
      <c r="F3238" s="13">
        <f>IF(AND(A3238&lt;&gt;"",C3238&lt;Options!$B$10),B3238*Options!$X$9,0)</f>
        <v/>
      </c>
      <c r="G3238" s="13">
        <f>F3238*12%</f>
        <v/>
      </c>
      <c r="H3238" s="13">
        <f>IF(A3238="",0,B3238*(92*IF(OR(C3238=Options!$B$9,C3238=Options!$B$10),75%,100%)-IF(C3238=DATE(2026,11,29),26+IF(Options!$B$8="是",23,0),0)-IF(C3238=DATE(2026,11,30),26,0)-IF(C3238=DATE(2026,12,1),64,0)-IF(C3238=DATE(2026,11,28),38,0)-IF(C3238=DATE(2026,12,2),26,0)))</f>
        <v/>
      </c>
      <c r="I3238" s="13">
        <f>IF(AND(C3238&gt;=DATE(2026,11,29),C3238&lt;=DATE(2026,12,1)),B3238*60,0)</f>
        <v/>
      </c>
      <c r="J3238" s="13">
        <f>IF(A3238="",0,B3238*(IF(C3238=DATE(2026,11,28),38,0)+IF(C3238=DATE(2026,12,1),38,0)+IF(C3238=DATE(2026,12,2),26,0)))</f>
        <v/>
      </c>
      <c r="K3238" s="13">
        <f>IF(C3238=Options!$B$9,B3238*12,0)</f>
        <v/>
      </c>
      <c r="L3238" s="13">
        <f>IF(C3238=Options!$B$9,B3238*Options!$Z$9,0)</f>
        <v/>
      </c>
      <c r="M3238" s="13" t="n">
        <v>0</v>
      </c>
      <c r="N3238" s="13">
        <f>SUM(E3238:M3238)</f>
        <v/>
      </c>
    </row>
    <row r="3239">
      <c r="A3239" s="5">
        <f>IF(AND(C3239&gt;=Options!$B$9,C3239&lt;=Options!$B$10),"Seattle","")</f>
        <v/>
      </c>
      <c r="B3239" s="5">
        <f>IF(A3239="","",18)</f>
        <v/>
      </c>
      <c r="C3239" s="17" t="n">
        <v>46610</v>
      </c>
      <c r="D3239" s="5">
        <f>IF(A3239="","",IF(C3239=DATE(2026,11,29),"培训；注册午餐；早餐参数",IF(C3239=DATE(2026,11,30),"培训；注册午餐",IF(C3239=DATE(2026,12,1),"培训；注册午餐；机构晚餐",IF(C3239=Options!$B$9,"抵达；"&amp;IF(C3239=DATE(2026,11,28),"机构晚餐","无统一供餐"),IF(C3239=Options!$B$10,"返程；"&amp;IF(C3239=DATE(2026,12,2),"机构午餐","无统一供餐"),"差旅状态；无统一日程"))))))</f>
        <v/>
      </c>
      <c r="E3239" s="13">
        <f>IF(C3239=Options!$B$9,Options!$C$22,0)</f>
        <v/>
      </c>
      <c r="F3239" s="13">
        <f>IF(AND(A3239&lt;&gt;"",C3239&lt;Options!$B$10),B3239*Options!$X$9,0)</f>
        <v/>
      </c>
      <c r="G3239" s="13">
        <f>F3239*12%</f>
        <v/>
      </c>
      <c r="H3239" s="13">
        <f>IF(A3239="",0,B3239*(92*IF(OR(C3239=Options!$B$9,C3239=Options!$B$10),75%,100%)-IF(C3239=DATE(2026,11,29),26+IF(Options!$B$8="是",23,0),0)-IF(C3239=DATE(2026,11,30),26,0)-IF(C3239=DATE(2026,12,1),64,0)-IF(C3239=DATE(2026,11,28),38,0)-IF(C3239=DATE(2026,12,2),26,0)))</f>
        <v/>
      </c>
      <c r="I3239" s="13">
        <f>IF(AND(C3239&gt;=DATE(2026,11,29),C3239&lt;=DATE(2026,12,1)),B3239*60,0)</f>
        <v/>
      </c>
      <c r="J3239" s="13">
        <f>IF(A3239="",0,B3239*(IF(C3239=DATE(2026,11,28),38,0)+IF(C3239=DATE(2026,12,1),38,0)+IF(C3239=DATE(2026,12,2),26,0)))</f>
        <v/>
      </c>
      <c r="K3239" s="13">
        <f>IF(C3239=Options!$B$9,B3239*12,0)</f>
        <v/>
      </c>
      <c r="L3239" s="13">
        <f>IF(C3239=Options!$B$9,B3239*Options!$Z$9,0)</f>
        <v/>
      </c>
      <c r="M3239" s="13" t="n">
        <v>0</v>
      </c>
      <c r="N3239" s="13">
        <f>SUM(E3239:M3239)</f>
        <v/>
      </c>
    </row>
    <row r="3240">
      <c r="A3240" s="5">
        <f>IF(AND(C3240&gt;=Options!$B$9,C3240&lt;=Options!$B$10),"Seattle","")</f>
        <v/>
      </c>
      <c r="B3240" s="5">
        <f>IF(A3240="","",18)</f>
        <v/>
      </c>
      <c r="C3240" s="17" t="n">
        <v>46611</v>
      </c>
      <c r="D3240" s="5">
        <f>IF(A3240="","",IF(C3240=DATE(2026,11,29),"培训；注册午餐；早餐参数",IF(C3240=DATE(2026,11,30),"培训；注册午餐",IF(C3240=DATE(2026,12,1),"培训；注册午餐；机构晚餐",IF(C3240=Options!$B$9,"抵达；"&amp;IF(C3240=DATE(2026,11,28),"机构晚餐","无统一供餐"),IF(C3240=Options!$B$10,"返程；"&amp;IF(C3240=DATE(2026,12,2),"机构午餐","无统一供餐"),"差旅状态；无统一日程"))))))</f>
        <v/>
      </c>
      <c r="E3240" s="13">
        <f>IF(C3240=Options!$B$9,Options!$C$22,0)</f>
        <v/>
      </c>
      <c r="F3240" s="13">
        <f>IF(AND(A3240&lt;&gt;"",C3240&lt;Options!$B$10),B3240*Options!$X$9,0)</f>
        <v/>
      </c>
      <c r="G3240" s="13">
        <f>F3240*12%</f>
        <v/>
      </c>
      <c r="H3240" s="13">
        <f>IF(A3240="",0,B3240*(92*IF(OR(C3240=Options!$B$9,C3240=Options!$B$10),75%,100%)-IF(C3240=DATE(2026,11,29),26+IF(Options!$B$8="是",23,0),0)-IF(C3240=DATE(2026,11,30),26,0)-IF(C3240=DATE(2026,12,1),64,0)-IF(C3240=DATE(2026,11,28),38,0)-IF(C3240=DATE(2026,12,2),26,0)))</f>
        <v/>
      </c>
      <c r="I3240" s="13">
        <f>IF(AND(C3240&gt;=DATE(2026,11,29),C3240&lt;=DATE(2026,12,1)),B3240*60,0)</f>
        <v/>
      </c>
      <c r="J3240" s="13">
        <f>IF(A3240="",0,B3240*(IF(C3240=DATE(2026,11,28),38,0)+IF(C3240=DATE(2026,12,1),38,0)+IF(C3240=DATE(2026,12,2),26,0)))</f>
        <v/>
      </c>
      <c r="K3240" s="13">
        <f>IF(C3240=Options!$B$9,B3240*12,0)</f>
        <v/>
      </c>
      <c r="L3240" s="13">
        <f>IF(C3240=Options!$B$9,B3240*Options!$Z$9,0)</f>
        <v/>
      </c>
      <c r="M3240" s="13" t="n">
        <v>0</v>
      </c>
      <c r="N3240" s="13">
        <f>SUM(E3240:M3240)</f>
        <v/>
      </c>
    </row>
    <row r="3241">
      <c r="A3241" s="5">
        <f>IF(AND(C3241&gt;=Options!$B$9,C3241&lt;=Options!$B$10),"Seattle","")</f>
        <v/>
      </c>
      <c r="B3241" s="5">
        <f>IF(A3241="","",18)</f>
        <v/>
      </c>
      <c r="C3241" s="17" t="n">
        <v>46612</v>
      </c>
      <c r="D3241" s="5">
        <f>IF(A3241="","",IF(C3241=DATE(2026,11,29),"培训；注册午餐；早餐参数",IF(C3241=DATE(2026,11,30),"培训；注册午餐",IF(C3241=DATE(2026,12,1),"培训；注册午餐；机构晚餐",IF(C3241=Options!$B$9,"抵达；"&amp;IF(C3241=DATE(2026,11,28),"机构晚餐","无统一供餐"),IF(C3241=Options!$B$10,"返程；"&amp;IF(C3241=DATE(2026,12,2),"机构午餐","无统一供餐"),"差旅状态；无统一日程"))))))</f>
        <v/>
      </c>
      <c r="E3241" s="13">
        <f>IF(C3241=Options!$B$9,Options!$C$22,0)</f>
        <v/>
      </c>
      <c r="F3241" s="13">
        <f>IF(AND(A3241&lt;&gt;"",C3241&lt;Options!$B$10),B3241*Options!$X$9,0)</f>
        <v/>
      </c>
      <c r="G3241" s="13">
        <f>F3241*12%</f>
        <v/>
      </c>
      <c r="H3241" s="13">
        <f>IF(A3241="",0,B3241*(92*IF(OR(C3241=Options!$B$9,C3241=Options!$B$10),75%,100%)-IF(C3241=DATE(2026,11,29),26+IF(Options!$B$8="是",23,0),0)-IF(C3241=DATE(2026,11,30),26,0)-IF(C3241=DATE(2026,12,1),64,0)-IF(C3241=DATE(2026,11,28),38,0)-IF(C3241=DATE(2026,12,2),26,0)))</f>
        <v/>
      </c>
      <c r="I3241" s="13">
        <f>IF(AND(C3241&gt;=DATE(2026,11,29),C3241&lt;=DATE(2026,12,1)),B3241*60,0)</f>
        <v/>
      </c>
      <c r="J3241" s="13">
        <f>IF(A3241="",0,B3241*(IF(C3241=DATE(2026,11,28),38,0)+IF(C3241=DATE(2026,12,1),38,0)+IF(C3241=DATE(2026,12,2),26,0)))</f>
        <v/>
      </c>
      <c r="K3241" s="13">
        <f>IF(C3241=Options!$B$9,B3241*12,0)</f>
        <v/>
      </c>
      <c r="L3241" s="13">
        <f>IF(C3241=Options!$B$9,B3241*Options!$Z$9,0)</f>
        <v/>
      </c>
      <c r="M3241" s="13" t="n">
        <v>0</v>
      </c>
      <c r="N3241" s="13">
        <f>SUM(E3241:M3241)</f>
        <v/>
      </c>
    </row>
    <row r="3242">
      <c r="A3242" s="5">
        <f>IF(AND(C3242&gt;=Options!$B$9,C3242&lt;=Options!$B$10),"Seattle","")</f>
        <v/>
      </c>
      <c r="B3242" s="5">
        <f>IF(A3242="","",18)</f>
        <v/>
      </c>
      <c r="C3242" s="17" t="n">
        <v>46613</v>
      </c>
      <c r="D3242" s="5">
        <f>IF(A3242="","",IF(C3242=DATE(2026,11,29),"培训；注册午餐；早餐参数",IF(C3242=DATE(2026,11,30),"培训；注册午餐",IF(C3242=DATE(2026,12,1),"培训；注册午餐；机构晚餐",IF(C3242=Options!$B$9,"抵达；"&amp;IF(C3242=DATE(2026,11,28),"机构晚餐","无统一供餐"),IF(C3242=Options!$B$10,"返程；"&amp;IF(C3242=DATE(2026,12,2),"机构午餐","无统一供餐"),"差旅状态；无统一日程"))))))</f>
        <v/>
      </c>
      <c r="E3242" s="13">
        <f>IF(C3242=Options!$B$9,Options!$C$22,0)</f>
        <v/>
      </c>
      <c r="F3242" s="13">
        <f>IF(AND(A3242&lt;&gt;"",C3242&lt;Options!$B$10),B3242*Options!$X$9,0)</f>
        <v/>
      </c>
      <c r="G3242" s="13">
        <f>F3242*12%</f>
        <v/>
      </c>
      <c r="H3242" s="13">
        <f>IF(A3242="",0,B3242*(92*IF(OR(C3242=Options!$B$9,C3242=Options!$B$10),75%,100%)-IF(C3242=DATE(2026,11,29),26+IF(Options!$B$8="是",23,0),0)-IF(C3242=DATE(2026,11,30),26,0)-IF(C3242=DATE(2026,12,1),64,0)-IF(C3242=DATE(2026,11,28),38,0)-IF(C3242=DATE(2026,12,2),26,0)))</f>
        <v/>
      </c>
      <c r="I3242" s="13">
        <f>IF(AND(C3242&gt;=DATE(2026,11,29),C3242&lt;=DATE(2026,12,1)),B3242*60,0)</f>
        <v/>
      </c>
      <c r="J3242" s="13">
        <f>IF(A3242="",0,B3242*(IF(C3242=DATE(2026,11,28),38,0)+IF(C3242=DATE(2026,12,1),38,0)+IF(C3242=DATE(2026,12,2),26,0)))</f>
        <v/>
      </c>
      <c r="K3242" s="13">
        <f>IF(C3242=Options!$B$9,B3242*12,0)</f>
        <v/>
      </c>
      <c r="L3242" s="13">
        <f>IF(C3242=Options!$B$9,B3242*Options!$Z$9,0)</f>
        <v/>
      </c>
      <c r="M3242" s="13" t="n">
        <v>0</v>
      </c>
      <c r="N3242" s="13">
        <f>SUM(E3242:M3242)</f>
        <v/>
      </c>
    </row>
    <row r="3243">
      <c r="A3243" s="5">
        <f>IF(AND(C3243&gt;=Options!$B$9,C3243&lt;=Options!$B$10),"Seattle","")</f>
        <v/>
      </c>
      <c r="B3243" s="5">
        <f>IF(A3243="","",18)</f>
        <v/>
      </c>
      <c r="C3243" s="17" t="n">
        <v>46614</v>
      </c>
      <c r="D3243" s="5">
        <f>IF(A3243="","",IF(C3243=DATE(2026,11,29),"培训；注册午餐；早餐参数",IF(C3243=DATE(2026,11,30),"培训；注册午餐",IF(C3243=DATE(2026,12,1),"培训；注册午餐；机构晚餐",IF(C3243=Options!$B$9,"抵达；"&amp;IF(C3243=DATE(2026,11,28),"机构晚餐","无统一供餐"),IF(C3243=Options!$B$10,"返程；"&amp;IF(C3243=DATE(2026,12,2),"机构午餐","无统一供餐"),"差旅状态；无统一日程"))))))</f>
        <v/>
      </c>
      <c r="E3243" s="13">
        <f>IF(C3243=Options!$B$9,Options!$C$22,0)</f>
        <v/>
      </c>
      <c r="F3243" s="13">
        <f>IF(AND(A3243&lt;&gt;"",C3243&lt;Options!$B$10),B3243*Options!$X$9,0)</f>
        <v/>
      </c>
      <c r="G3243" s="13">
        <f>F3243*12%</f>
        <v/>
      </c>
      <c r="H3243" s="13">
        <f>IF(A3243="",0,B3243*(92*IF(OR(C3243=Options!$B$9,C3243=Options!$B$10),75%,100%)-IF(C3243=DATE(2026,11,29),26+IF(Options!$B$8="是",23,0),0)-IF(C3243=DATE(2026,11,30),26,0)-IF(C3243=DATE(2026,12,1),64,0)-IF(C3243=DATE(2026,11,28),38,0)-IF(C3243=DATE(2026,12,2),26,0)))</f>
        <v/>
      </c>
      <c r="I3243" s="13">
        <f>IF(AND(C3243&gt;=DATE(2026,11,29),C3243&lt;=DATE(2026,12,1)),B3243*60,0)</f>
        <v/>
      </c>
      <c r="J3243" s="13">
        <f>IF(A3243="",0,B3243*(IF(C3243=DATE(2026,11,28),38,0)+IF(C3243=DATE(2026,12,1),38,0)+IF(C3243=DATE(2026,12,2),26,0)))</f>
        <v/>
      </c>
      <c r="K3243" s="13">
        <f>IF(C3243=Options!$B$9,B3243*12,0)</f>
        <v/>
      </c>
      <c r="L3243" s="13">
        <f>IF(C3243=Options!$B$9,B3243*Options!$Z$9,0)</f>
        <v/>
      </c>
      <c r="M3243" s="13" t="n">
        <v>0</v>
      </c>
      <c r="N3243" s="13">
        <f>SUM(E3243:M3243)</f>
        <v/>
      </c>
    </row>
    <row r="3244">
      <c r="A3244" s="5">
        <f>IF(AND(C3244&gt;=Options!$B$9,C3244&lt;=Options!$B$10),"Seattle","")</f>
        <v/>
      </c>
      <c r="B3244" s="5">
        <f>IF(A3244="","",18)</f>
        <v/>
      </c>
      <c r="C3244" s="17" t="n">
        <v>46615</v>
      </c>
      <c r="D3244" s="5">
        <f>IF(A3244="","",IF(C3244=DATE(2026,11,29),"培训；注册午餐；早餐参数",IF(C3244=DATE(2026,11,30),"培训；注册午餐",IF(C3244=DATE(2026,12,1),"培训；注册午餐；机构晚餐",IF(C3244=Options!$B$9,"抵达；"&amp;IF(C3244=DATE(2026,11,28),"机构晚餐","无统一供餐"),IF(C3244=Options!$B$10,"返程；"&amp;IF(C3244=DATE(2026,12,2),"机构午餐","无统一供餐"),"差旅状态；无统一日程"))))))</f>
        <v/>
      </c>
      <c r="E3244" s="13">
        <f>IF(C3244=Options!$B$9,Options!$C$22,0)</f>
        <v/>
      </c>
      <c r="F3244" s="13">
        <f>IF(AND(A3244&lt;&gt;"",C3244&lt;Options!$B$10),B3244*Options!$X$9,0)</f>
        <v/>
      </c>
      <c r="G3244" s="13">
        <f>F3244*12%</f>
        <v/>
      </c>
      <c r="H3244" s="13">
        <f>IF(A3244="",0,B3244*(92*IF(OR(C3244=Options!$B$9,C3244=Options!$B$10),75%,100%)-IF(C3244=DATE(2026,11,29),26+IF(Options!$B$8="是",23,0),0)-IF(C3244=DATE(2026,11,30),26,0)-IF(C3244=DATE(2026,12,1),64,0)-IF(C3244=DATE(2026,11,28),38,0)-IF(C3244=DATE(2026,12,2),26,0)))</f>
        <v/>
      </c>
      <c r="I3244" s="13">
        <f>IF(AND(C3244&gt;=DATE(2026,11,29),C3244&lt;=DATE(2026,12,1)),B3244*60,0)</f>
        <v/>
      </c>
      <c r="J3244" s="13">
        <f>IF(A3244="",0,B3244*(IF(C3244=DATE(2026,11,28),38,0)+IF(C3244=DATE(2026,12,1),38,0)+IF(C3244=DATE(2026,12,2),26,0)))</f>
        <v/>
      </c>
      <c r="K3244" s="13">
        <f>IF(C3244=Options!$B$9,B3244*12,0)</f>
        <v/>
      </c>
      <c r="L3244" s="13">
        <f>IF(C3244=Options!$B$9,B3244*Options!$Z$9,0)</f>
        <v/>
      </c>
      <c r="M3244" s="13" t="n">
        <v>0</v>
      </c>
      <c r="N3244" s="13">
        <f>SUM(E3244:M3244)</f>
        <v/>
      </c>
    </row>
    <row r="3245">
      <c r="A3245" s="5">
        <f>IF(AND(C3245&gt;=Options!$B$9,C3245&lt;=Options!$B$10),"Seattle","")</f>
        <v/>
      </c>
      <c r="B3245" s="5">
        <f>IF(A3245="","",18)</f>
        <v/>
      </c>
      <c r="C3245" s="17" t="n">
        <v>46616</v>
      </c>
      <c r="D3245" s="5">
        <f>IF(A3245="","",IF(C3245=DATE(2026,11,29),"培训；注册午餐；早餐参数",IF(C3245=DATE(2026,11,30),"培训；注册午餐",IF(C3245=DATE(2026,12,1),"培训；注册午餐；机构晚餐",IF(C3245=Options!$B$9,"抵达；"&amp;IF(C3245=DATE(2026,11,28),"机构晚餐","无统一供餐"),IF(C3245=Options!$B$10,"返程；"&amp;IF(C3245=DATE(2026,12,2),"机构午餐","无统一供餐"),"差旅状态；无统一日程"))))))</f>
        <v/>
      </c>
      <c r="E3245" s="13">
        <f>IF(C3245=Options!$B$9,Options!$C$22,0)</f>
        <v/>
      </c>
      <c r="F3245" s="13">
        <f>IF(AND(A3245&lt;&gt;"",C3245&lt;Options!$B$10),B3245*Options!$X$9,0)</f>
        <v/>
      </c>
      <c r="G3245" s="13">
        <f>F3245*12%</f>
        <v/>
      </c>
      <c r="H3245" s="13">
        <f>IF(A3245="",0,B3245*(92*IF(OR(C3245=Options!$B$9,C3245=Options!$B$10),75%,100%)-IF(C3245=DATE(2026,11,29),26+IF(Options!$B$8="是",23,0),0)-IF(C3245=DATE(2026,11,30),26,0)-IF(C3245=DATE(2026,12,1),64,0)-IF(C3245=DATE(2026,11,28),38,0)-IF(C3245=DATE(2026,12,2),26,0)))</f>
        <v/>
      </c>
      <c r="I3245" s="13">
        <f>IF(AND(C3245&gt;=DATE(2026,11,29),C3245&lt;=DATE(2026,12,1)),B3245*60,0)</f>
        <v/>
      </c>
      <c r="J3245" s="13">
        <f>IF(A3245="",0,B3245*(IF(C3245=DATE(2026,11,28),38,0)+IF(C3245=DATE(2026,12,1),38,0)+IF(C3245=DATE(2026,12,2),26,0)))</f>
        <v/>
      </c>
      <c r="K3245" s="13">
        <f>IF(C3245=Options!$B$9,B3245*12,0)</f>
        <v/>
      </c>
      <c r="L3245" s="13">
        <f>IF(C3245=Options!$B$9,B3245*Options!$Z$9,0)</f>
        <v/>
      </c>
      <c r="M3245" s="13" t="n">
        <v>0</v>
      </c>
      <c r="N3245" s="13">
        <f>SUM(E3245:M3245)</f>
        <v/>
      </c>
    </row>
    <row r="3246">
      <c r="A3246" s="5">
        <f>IF(AND(C3246&gt;=Options!$B$9,C3246&lt;=Options!$B$10),"Seattle","")</f>
        <v/>
      </c>
      <c r="B3246" s="5">
        <f>IF(A3246="","",18)</f>
        <v/>
      </c>
      <c r="C3246" s="17" t="n">
        <v>46617</v>
      </c>
      <c r="D3246" s="5">
        <f>IF(A3246="","",IF(C3246=DATE(2026,11,29),"培训；注册午餐；早餐参数",IF(C3246=DATE(2026,11,30),"培训；注册午餐",IF(C3246=DATE(2026,12,1),"培训；注册午餐；机构晚餐",IF(C3246=Options!$B$9,"抵达；"&amp;IF(C3246=DATE(2026,11,28),"机构晚餐","无统一供餐"),IF(C3246=Options!$B$10,"返程；"&amp;IF(C3246=DATE(2026,12,2),"机构午餐","无统一供餐"),"差旅状态；无统一日程"))))))</f>
        <v/>
      </c>
      <c r="E3246" s="13">
        <f>IF(C3246=Options!$B$9,Options!$C$22,0)</f>
        <v/>
      </c>
      <c r="F3246" s="13">
        <f>IF(AND(A3246&lt;&gt;"",C3246&lt;Options!$B$10),B3246*Options!$X$9,0)</f>
        <v/>
      </c>
      <c r="G3246" s="13">
        <f>F3246*12%</f>
        <v/>
      </c>
      <c r="H3246" s="13">
        <f>IF(A3246="",0,B3246*(92*IF(OR(C3246=Options!$B$9,C3246=Options!$B$10),75%,100%)-IF(C3246=DATE(2026,11,29),26+IF(Options!$B$8="是",23,0),0)-IF(C3246=DATE(2026,11,30),26,0)-IF(C3246=DATE(2026,12,1),64,0)-IF(C3246=DATE(2026,11,28),38,0)-IF(C3246=DATE(2026,12,2),26,0)))</f>
        <v/>
      </c>
      <c r="I3246" s="13">
        <f>IF(AND(C3246&gt;=DATE(2026,11,29),C3246&lt;=DATE(2026,12,1)),B3246*60,0)</f>
        <v/>
      </c>
      <c r="J3246" s="13">
        <f>IF(A3246="",0,B3246*(IF(C3246=DATE(2026,11,28),38,0)+IF(C3246=DATE(2026,12,1),38,0)+IF(C3246=DATE(2026,12,2),26,0)))</f>
        <v/>
      </c>
      <c r="K3246" s="13">
        <f>IF(C3246=Options!$B$9,B3246*12,0)</f>
        <v/>
      </c>
      <c r="L3246" s="13">
        <f>IF(C3246=Options!$B$9,B3246*Options!$Z$9,0)</f>
        <v/>
      </c>
      <c r="M3246" s="13" t="n">
        <v>0</v>
      </c>
      <c r="N3246" s="13">
        <f>SUM(E3246:M3246)</f>
        <v/>
      </c>
    </row>
    <row r="3247">
      <c r="A3247" s="5">
        <f>IF(AND(C3247&gt;=Options!$B$9,C3247&lt;=Options!$B$10),"Seattle","")</f>
        <v/>
      </c>
      <c r="B3247" s="5">
        <f>IF(A3247="","",18)</f>
        <v/>
      </c>
      <c r="C3247" s="17" t="n">
        <v>46618</v>
      </c>
      <c r="D3247" s="5">
        <f>IF(A3247="","",IF(C3247=DATE(2026,11,29),"培训；注册午餐；早餐参数",IF(C3247=DATE(2026,11,30),"培训；注册午餐",IF(C3247=DATE(2026,12,1),"培训；注册午餐；机构晚餐",IF(C3247=Options!$B$9,"抵达；"&amp;IF(C3247=DATE(2026,11,28),"机构晚餐","无统一供餐"),IF(C3247=Options!$B$10,"返程；"&amp;IF(C3247=DATE(2026,12,2),"机构午餐","无统一供餐"),"差旅状态；无统一日程"))))))</f>
        <v/>
      </c>
      <c r="E3247" s="13">
        <f>IF(C3247=Options!$B$9,Options!$C$22,0)</f>
        <v/>
      </c>
      <c r="F3247" s="13">
        <f>IF(AND(A3247&lt;&gt;"",C3247&lt;Options!$B$10),B3247*Options!$X$9,0)</f>
        <v/>
      </c>
      <c r="G3247" s="13">
        <f>F3247*12%</f>
        <v/>
      </c>
      <c r="H3247" s="13">
        <f>IF(A3247="",0,B3247*(92*IF(OR(C3247=Options!$B$9,C3247=Options!$B$10),75%,100%)-IF(C3247=DATE(2026,11,29),26+IF(Options!$B$8="是",23,0),0)-IF(C3247=DATE(2026,11,30),26,0)-IF(C3247=DATE(2026,12,1),64,0)-IF(C3247=DATE(2026,11,28),38,0)-IF(C3247=DATE(2026,12,2),26,0)))</f>
        <v/>
      </c>
      <c r="I3247" s="13">
        <f>IF(AND(C3247&gt;=DATE(2026,11,29),C3247&lt;=DATE(2026,12,1)),B3247*60,0)</f>
        <v/>
      </c>
      <c r="J3247" s="13">
        <f>IF(A3247="",0,B3247*(IF(C3247=DATE(2026,11,28),38,0)+IF(C3247=DATE(2026,12,1),38,0)+IF(C3247=DATE(2026,12,2),26,0)))</f>
        <v/>
      </c>
      <c r="K3247" s="13">
        <f>IF(C3247=Options!$B$9,B3247*12,0)</f>
        <v/>
      </c>
      <c r="L3247" s="13">
        <f>IF(C3247=Options!$B$9,B3247*Options!$Z$9,0)</f>
        <v/>
      </c>
      <c r="M3247" s="13" t="n">
        <v>0</v>
      </c>
      <c r="N3247" s="13">
        <f>SUM(E3247:M3247)</f>
        <v/>
      </c>
    </row>
    <row r="3248">
      <c r="A3248" s="5">
        <f>IF(AND(C3248&gt;=Options!$B$9,C3248&lt;=Options!$B$10),"Seattle","")</f>
        <v/>
      </c>
      <c r="B3248" s="5">
        <f>IF(A3248="","",18)</f>
        <v/>
      </c>
      <c r="C3248" s="17" t="n">
        <v>46619</v>
      </c>
      <c r="D3248" s="5">
        <f>IF(A3248="","",IF(C3248=DATE(2026,11,29),"培训；注册午餐；早餐参数",IF(C3248=DATE(2026,11,30),"培训；注册午餐",IF(C3248=DATE(2026,12,1),"培训；注册午餐；机构晚餐",IF(C3248=Options!$B$9,"抵达；"&amp;IF(C3248=DATE(2026,11,28),"机构晚餐","无统一供餐"),IF(C3248=Options!$B$10,"返程；"&amp;IF(C3248=DATE(2026,12,2),"机构午餐","无统一供餐"),"差旅状态；无统一日程"))))))</f>
        <v/>
      </c>
      <c r="E3248" s="13">
        <f>IF(C3248=Options!$B$9,Options!$C$22,0)</f>
        <v/>
      </c>
      <c r="F3248" s="13">
        <f>IF(AND(A3248&lt;&gt;"",C3248&lt;Options!$B$10),B3248*Options!$X$9,0)</f>
        <v/>
      </c>
      <c r="G3248" s="13">
        <f>F3248*12%</f>
        <v/>
      </c>
      <c r="H3248" s="13">
        <f>IF(A3248="",0,B3248*(92*IF(OR(C3248=Options!$B$9,C3248=Options!$B$10),75%,100%)-IF(C3248=DATE(2026,11,29),26+IF(Options!$B$8="是",23,0),0)-IF(C3248=DATE(2026,11,30),26,0)-IF(C3248=DATE(2026,12,1),64,0)-IF(C3248=DATE(2026,11,28),38,0)-IF(C3248=DATE(2026,12,2),26,0)))</f>
        <v/>
      </c>
      <c r="I3248" s="13">
        <f>IF(AND(C3248&gt;=DATE(2026,11,29),C3248&lt;=DATE(2026,12,1)),B3248*60,0)</f>
        <v/>
      </c>
      <c r="J3248" s="13">
        <f>IF(A3248="",0,B3248*(IF(C3248=DATE(2026,11,28),38,0)+IF(C3248=DATE(2026,12,1),38,0)+IF(C3248=DATE(2026,12,2),26,0)))</f>
        <v/>
      </c>
      <c r="K3248" s="13">
        <f>IF(C3248=Options!$B$9,B3248*12,0)</f>
        <v/>
      </c>
      <c r="L3248" s="13">
        <f>IF(C3248=Options!$B$9,B3248*Options!$Z$9,0)</f>
        <v/>
      </c>
      <c r="M3248" s="13" t="n">
        <v>0</v>
      </c>
      <c r="N3248" s="13">
        <f>SUM(E3248:M3248)</f>
        <v/>
      </c>
    </row>
    <row r="3249">
      <c r="A3249" s="5">
        <f>IF(AND(C3249&gt;=Options!$B$9,C3249&lt;=Options!$B$10),"Seattle","")</f>
        <v/>
      </c>
      <c r="B3249" s="5">
        <f>IF(A3249="","",18)</f>
        <v/>
      </c>
      <c r="C3249" s="17" t="n">
        <v>46620</v>
      </c>
      <c r="D3249" s="5">
        <f>IF(A3249="","",IF(C3249=DATE(2026,11,29),"培训；注册午餐；早餐参数",IF(C3249=DATE(2026,11,30),"培训；注册午餐",IF(C3249=DATE(2026,12,1),"培训；注册午餐；机构晚餐",IF(C3249=Options!$B$9,"抵达；"&amp;IF(C3249=DATE(2026,11,28),"机构晚餐","无统一供餐"),IF(C3249=Options!$B$10,"返程；"&amp;IF(C3249=DATE(2026,12,2),"机构午餐","无统一供餐"),"差旅状态；无统一日程"))))))</f>
        <v/>
      </c>
      <c r="E3249" s="13">
        <f>IF(C3249=Options!$B$9,Options!$C$22,0)</f>
        <v/>
      </c>
      <c r="F3249" s="13">
        <f>IF(AND(A3249&lt;&gt;"",C3249&lt;Options!$B$10),B3249*Options!$X$9,0)</f>
        <v/>
      </c>
      <c r="G3249" s="13">
        <f>F3249*12%</f>
        <v/>
      </c>
      <c r="H3249" s="13">
        <f>IF(A3249="",0,B3249*(92*IF(OR(C3249=Options!$B$9,C3249=Options!$B$10),75%,100%)-IF(C3249=DATE(2026,11,29),26+IF(Options!$B$8="是",23,0),0)-IF(C3249=DATE(2026,11,30),26,0)-IF(C3249=DATE(2026,12,1),64,0)-IF(C3249=DATE(2026,11,28),38,0)-IF(C3249=DATE(2026,12,2),26,0)))</f>
        <v/>
      </c>
      <c r="I3249" s="13">
        <f>IF(AND(C3249&gt;=DATE(2026,11,29),C3249&lt;=DATE(2026,12,1)),B3249*60,0)</f>
        <v/>
      </c>
      <c r="J3249" s="13">
        <f>IF(A3249="",0,B3249*(IF(C3249=DATE(2026,11,28),38,0)+IF(C3249=DATE(2026,12,1),38,0)+IF(C3249=DATE(2026,12,2),26,0)))</f>
        <v/>
      </c>
      <c r="K3249" s="13">
        <f>IF(C3249=Options!$B$9,B3249*12,0)</f>
        <v/>
      </c>
      <c r="L3249" s="13">
        <f>IF(C3249=Options!$B$9,B3249*Options!$Z$9,0)</f>
        <v/>
      </c>
      <c r="M3249" s="13" t="n">
        <v>0</v>
      </c>
      <c r="N3249" s="13">
        <f>SUM(E3249:M3249)</f>
        <v/>
      </c>
    </row>
    <row r="3250">
      <c r="A3250" s="5">
        <f>IF(AND(C3250&gt;=Options!$B$9,C3250&lt;=Options!$B$10),"Seattle","")</f>
        <v/>
      </c>
      <c r="B3250" s="5">
        <f>IF(A3250="","",18)</f>
        <v/>
      </c>
      <c r="C3250" s="17" t="n">
        <v>46621</v>
      </c>
      <c r="D3250" s="5">
        <f>IF(A3250="","",IF(C3250=DATE(2026,11,29),"培训；注册午餐；早餐参数",IF(C3250=DATE(2026,11,30),"培训；注册午餐",IF(C3250=DATE(2026,12,1),"培训；注册午餐；机构晚餐",IF(C3250=Options!$B$9,"抵达；"&amp;IF(C3250=DATE(2026,11,28),"机构晚餐","无统一供餐"),IF(C3250=Options!$B$10,"返程；"&amp;IF(C3250=DATE(2026,12,2),"机构午餐","无统一供餐"),"差旅状态；无统一日程"))))))</f>
        <v/>
      </c>
      <c r="E3250" s="13">
        <f>IF(C3250=Options!$B$9,Options!$C$22,0)</f>
        <v/>
      </c>
      <c r="F3250" s="13">
        <f>IF(AND(A3250&lt;&gt;"",C3250&lt;Options!$B$10),B3250*Options!$X$9,0)</f>
        <v/>
      </c>
      <c r="G3250" s="13">
        <f>F3250*12%</f>
        <v/>
      </c>
      <c r="H3250" s="13">
        <f>IF(A3250="",0,B3250*(92*IF(OR(C3250=Options!$B$9,C3250=Options!$B$10),75%,100%)-IF(C3250=DATE(2026,11,29),26+IF(Options!$B$8="是",23,0),0)-IF(C3250=DATE(2026,11,30),26,0)-IF(C3250=DATE(2026,12,1),64,0)-IF(C3250=DATE(2026,11,28),38,0)-IF(C3250=DATE(2026,12,2),26,0)))</f>
        <v/>
      </c>
      <c r="I3250" s="13">
        <f>IF(AND(C3250&gt;=DATE(2026,11,29),C3250&lt;=DATE(2026,12,1)),B3250*60,0)</f>
        <v/>
      </c>
      <c r="J3250" s="13">
        <f>IF(A3250="",0,B3250*(IF(C3250=DATE(2026,11,28),38,0)+IF(C3250=DATE(2026,12,1),38,0)+IF(C3250=DATE(2026,12,2),26,0)))</f>
        <v/>
      </c>
      <c r="K3250" s="13">
        <f>IF(C3250=Options!$B$9,B3250*12,0)</f>
        <v/>
      </c>
      <c r="L3250" s="13">
        <f>IF(C3250=Options!$B$9,B3250*Options!$Z$9,0)</f>
        <v/>
      </c>
      <c r="M3250" s="13" t="n">
        <v>0</v>
      </c>
      <c r="N3250" s="13">
        <f>SUM(E3250:M3250)</f>
        <v/>
      </c>
    </row>
    <row r="3251">
      <c r="A3251" s="5">
        <f>IF(AND(C3251&gt;=Options!$B$9,C3251&lt;=Options!$B$10),"Seattle","")</f>
        <v/>
      </c>
      <c r="B3251" s="5">
        <f>IF(A3251="","",18)</f>
        <v/>
      </c>
      <c r="C3251" s="17" t="n">
        <v>46622</v>
      </c>
      <c r="D3251" s="5">
        <f>IF(A3251="","",IF(C3251=DATE(2026,11,29),"培训；注册午餐；早餐参数",IF(C3251=DATE(2026,11,30),"培训；注册午餐",IF(C3251=DATE(2026,12,1),"培训；注册午餐；机构晚餐",IF(C3251=Options!$B$9,"抵达；"&amp;IF(C3251=DATE(2026,11,28),"机构晚餐","无统一供餐"),IF(C3251=Options!$B$10,"返程；"&amp;IF(C3251=DATE(2026,12,2),"机构午餐","无统一供餐"),"差旅状态；无统一日程"))))))</f>
        <v/>
      </c>
      <c r="E3251" s="13">
        <f>IF(C3251=Options!$B$9,Options!$C$22,0)</f>
        <v/>
      </c>
      <c r="F3251" s="13">
        <f>IF(AND(A3251&lt;&gt;"",C3251&lt;Options!$B$10),B3251*Options!$X$9,0)</f>
        <v/>
      </c>
      <c r="G3251" s="13">
        <f>F3251*12%</f>
        <v/>
      </c>
      <c r="H3251" s="13">
        <f>IF(A3251="",0,B3251*(92*IF(OR(C3251=Options!$B$9,C3251=Options!$B$10),75%,100%)-IF(C3251=DATE(2026,11,29),26+IF(Options!$B$8="是",23,0),0)-IF(C3251=DATE(2026,11,30),26,0)-IF(C3251=DATE(2026,12,1),64,0)-IF(C3251=DATE(2026,11,28),38,0)-IF(C3251=DATE(2026,12,2),26,0)))</f>
        <v/>
      </c>
      <c r="I3251" s="13">
        <f>IF(AND(C3251&gt;=DATE(2026,11,29),C3251&lt;=DATE(2026,12,1)),B3251*60,0)</f>
        <v/>
      </c>
      <c r="J3251" s="13">
        <f>IF(A3251="",0,B3251*(IF(C3251=DATE(2026,11,28),38,0)+IF(C3251=DATE(2026,12,1),38,0)+IF(C3251=DATE(2026,12,2),26,0)))</f>
        <v/>
      </c>
      <c r="K3251" s="13">
        <f>IF(C3251=Options!$B$9,B3251*12,0)</f>
        <v/>
      </c>
      <c r="L3251" s="13">
        <f>IF(C3251=Options!$B$9,B3251*Options!$Z$9,0)</f>
        <v/>
      </c>
      <c r="M3251" s="13" t="n">
        <v>0</v>
      </c>
      <c r="N3251" s="13">
        <f>SUM(E3251:M3251)</f>
        <v/>
      </c>
    </row>
    <row r="3252">
      <c r="A3252" s="5">
        <f>IF(AND(C3252&gt;=Options!$B$9,C3252&lt;=Options!$B$10),"Seattle","")</f>
        <v/>
      </c>
      <c r="B3252" s="5">
        <f>IF(A3252="","",18)</f>
        <v/>
      </c>
      <c r="C3252" s="17" t="n">
        <v>46623</v>
      </c>
      <c r="D3252" s="5">
        <f>IF(A3252="","",IF(C3252=DATE(2026,11,29),"培训；注册午餐；早餐参数",IF(C3252=DATE(2026,11,30),"培训；注册午餐",IF(C3252=DATE(2026,12,1),"培训；注册午餐；机构晚餐",IF(C3252=Options!$B$9,"抵达；"&amp;IF(C3252=DATE(2026,11,28),"机构晚餐","无统一供餐"),IF(C3252=Options!$B$10,"返程；"&amp;IF(C3252=DATE(2026,12,2),"机构午餐","无统一供餐"),"差旅状态；无统一日程"))))))</f>
        <v/>
      </c>
      <c r="E3252" s="13">
        <f>IF(C3252=Options!$B$9,Options!$C$22,0)</f>
        <v/>
      </c>
      <c r="F3252" s="13">
        <f>IF(AND(A3252&lt;&gt;"",C3252&lt;Options!$B$10),B3252*Options!$X$9,0)</f>
        <v/>
      </c>
      <c r="G3252" s="13">
        <f>F3252*12%</f>
        <v/>
      </c>
      <c r="H3252" s="13">
        <f>IF(A3252="",0,B3252*(92*IF(OR(C3252=Options!$B$9,C3252=Options!$B$10),75%,100%)-IF(C3252=DATE(2026,11,29),26+IF(Options!$B$8="是",23,0),0)-IF(C3252=DATE(2026,11,30),26,0)-IF(C3252=DATE(2026,12,1),64,0)-IF(C3252=DATE(2026,11,28),38,0)-IF(C3252=DATE(2026,12,2),26,0)))</f>
        <v/>
      </c>
      <c r="I3252" s="13">
        <f>IF(AND(C3252&gt;=DATE(2026,11,29),C3252&lt;=DATE(2026,12,1)),B3252*60,0)</f>
        <v/>
      </c>
      <c r="J3252" s="13">
        <f>IF(A3252="",0,B3252*(IF(C3252=DATE(2026,11,28),38,0)+IF(C3252=DATE(2026,12,1),38,0)+IF(C3252=DATE(2026,12,2),26,0)))</f>
        <v/>
      </c>
      <c r="K3252" s="13">
        <f>IF(C3252=Options!$B$9,B3252*12,0)</f>
        <v/>
      </c>
      <c r="L3252" s="13">
        <f>IF(C3252=Options!$B$9,B3252*Options!$Z$9,0)</f>
        <v/>
      </c>
      <c r="M3252" s="13" t="n">
        <v>0</v>
      </c>
      <c r="N3252" s="13">
        <f>SUM(E3252:M3252)</f>
        <v/>
      </c>
    </row>
    <row r="3253">
      <c r="A3253" s="5">
        <f>IF(AND(C3253&gt;=Options!$B$9,C3253&lt;=Options!$B$10),"Seattle","")</f>
        <v/>
      </c>
      <c r="B3253" s="5">
        <f>IF(A3253="","",18)</f>
        <v/>
      </c>
      <c r="C3253" s="17" t="n">
        <v>46624</v>
      </c>
      <c r="D3253" s="5">
        <f>IF(A3253="","",IF(C3253=DATE(2026,11,29),"培训；注册午餐；早餐参数",IF(C3253=DATE(2026,11,30),"培训；注册午餐",IF(C3253=DATE(2026,12,1),"培训；注册午餐；机构晚餐",IF(C3253=Options!$B$9,"抵达；"&amp;IF(C3253=DATE(2026,11,28),"机构晚餐","无统一供餐"),IF(C3253=Options!$B$10,"返程；"&amp;IF(C3253=DATE(2026,12,2),"机构午餐","无统一供餐"),"差旅状态；无统一日程"))))))</f>
        <v/>
      </c>
      <c r="E3253" s="13">
        <f>IF(C3253=Options!$B$9,Options!$C$22,0)</f>
        <v/>
      </c>
      <c r="F3253" s="13">
        <f>IF(AND(A3253&lt;&gt;"",C3253&lt;Options!$B$10),B3253*Options!$X$9,0)</f>
        <v/>
      </c>
      <c r="G3253" s="13">
        <f>F3253*12%</f>
        <v/>
      </c>
      <c r="H3253" s="13">
        <f>IF(A3253="",0,B3253*(92*IF(OR(C3253=Options!$B$9,C3253=Options!$B$10),75%,100%)-IF(C3253=DATE(2026,11,29),26+IF(Options!$B$8="是",23,0),0)-IF(C3253=DATE(2026,11,30),26,0)-IF(C3253=DATE(2026,12,1),64,0)-IF(C3253=DATE(2026,11,28),38,0)-IF(C3253=DATE(2026,12,2),26,0)))</f>
        <v/>
      </c>
      <c r="I3253" s="13">
        <f>IF(AND(C3253&gt;=DATE(2026,11,29),C3253&lt;=DATE(2026,12,1)),B3253*60,0)</f>
        <v/>
      </c>
      <c r="J3253" s="13">
        <f>IF(A3253="",0,B3253*(IF(C3253=DATE(2026,11,28),38,0)+IF(C3253=DATE(2026,12,1),38,0)+IF(C3253=DATE(2026,12,2),26,0)))</f>
        <v/>
      </c>
      <c r="K3253" s="13">
        <f>IF(C3253=Options!$B$9,B3253*12,0)</f>
        <v/>
      </c>
      <c r="L3253" s="13">
        <f>IF(C3253=Options!$B$9,B3253*Options!$Z$9,0)</f>
        <v/>
      </c>
      <c r="M3253" s="13" t="n">
        <v>0</v>
      </c>
      <c r="N3253" s="13">
        <f>SUM(E3253:M3253)</f>
        <v/>
      </c>
    </row>
    <row r="3254">
      <c r="A3254" s="5">
        <f>IF(AND(C3254&gt;=Options!$B$9,C3254&lt;=Options!$B$10),"Seattle","")</f>
        <v/>
      </c>
      <c r="B3254" s="5">
        <f>IF(A3254="","",18)</f>
        <v/>
      </c>
      <c r="C3254" s="17" t="n">
        <v>46625</v>
      </c>
      <c r="D3254" s="5">
        <f>IF(A3254="","",IF(C3254=DATE(2026,11,29),"培训；注册午餐；早餐参数",IF(C3254=DATE(2026,11,30),"培训；注册午餐",IF(C3254=DATE(2026,12,1),"培训；注册午餐；机构晚餐",IF(C3254=Options!$B$9,"抵达；"&amp;IF(C3254=DATE(2026,11,28),"机构晚餐","无统一供餐"),IF(C3254=Options!$B$10,"返程；"&amp;IF(C3254=DATE(2026,12,2),"机构午餐","无统一供餐"),"差旅状态；无统一日程"))))))</f>
        <v/>
      </c>
      <c r="E3254" s="13">
        <f>IF(C3254=Options!$B$9,Options!$C$22,0)</f>
        <v/>
      </c>
      <c r="F3254" s="13">
        <f>IF(AND(A3254&lt;&gt;"",C3254&lt;Options!$B$10),B3254*Options!$X$9,0)</f>
        <v/>
      </c>
      <c r="G3254" s="13">
        <f>F3254*12%</f>
        <v/>
      </c>
      <c r="H3254" s="13">
        <f>IF(A3254="",0,B3254*(92*IF(OR(C3254=Options!$B$9,C3254=Options!$B$10),75%,100%)-IF(C3254=DATE(2026,11,29),26+IF(Options!$B$8="是",23,0),0)-IF(C3254=DATE(2026,11,30),26,0)-IF(C3254=DATE(2026,12,1),64,0)-IF(C3254=DATE(2026,11,28),38,0)-IF(C3254=DATE(2026,12,2),26,0)))</f>
        <v/>
      </c>
      <c r="I3254" s="13">
        <f>IF(AND(C3254&gt;=DATE(2026,11,29),C3254&lt;=DATE(2026,12,1)),B3254*60,0)</f>
        <v/>
      </c>
      <c r="J3254" s="13">
        <f>IF(A3254="",0,B3254*(IF(C3254=DATE(2026,11,28),38,0)+IF(C3254=DATE(2026,12,1),38,0)+IF(C3254=DATE(2026,12,2),26,0)))</f>
        <v/>
      </c>
      <c r="K3254" s="13">
        <f>IF(C3254=Options!$B$9,B3254*12,0)</f>
        <v/>
      </c>
      <c r="L3254" s="13">
        <f>IF(C3254=Options!$B$9,B3254*Options!$Z$9,0)</f>
        <v/>
      </c>
      <c r="M3254" s="13" t="n">
        <v>0</v>
      </c>
      <c r="N3254" s="13">
        <f>SUM(E3254:M3254)</f>
        <v/>
      </c>
    </row>
    <row r="3255">
      <c r="A3255" s="5">
        <f>IF(AND(C3255&gt;=Options!$B$9,C3255&lt;=Options!$B$10),"Seattle","")</f>
        <v/>
      </c>
      <c r="B3255" s="5">
        <f>IF(A3255="","",18)</f>
        <v/>
      </c>
      <c r="C3255" s="17" t="n">
        <v>46626</v>
      </c>
      <c r="D3255" s="5">
        <f>IF(A3255="","",IF(C3255=DATE(2026,11,29),"培训；注册午餐；早餐参数",IF(C3255=DATE(2026,11,30),"培训；注册午餐",IF(C3255=DATE(2026,12,1),"培训；注册午餐；机构晚餐",IF(C3255=Options!$B$9,"抵达；"&amp;IF(C3255=DATE(2026,11,28),"机构晚餐","无统一供餐"),IF(C3255=Options!$B$10,"返程；"&amp;IF(C3255=DATE(2026,12,2),"机构午餐","无统一供餐"),"差旅状态；无统一日程"))))))</f>
        <v/>
      </c>
      <c r="E3255" s="13">
        <f>IF(C3255=Options!$B$9,Options!$C$22,0)</f>
        <v/>
      </c>
      <c r="F3255" s="13">
        <f>IF(AND(A3255&lt;&gt;"",C3255&lt;Options!$B$10),B3255*Options!$X$9,0)</f>
        <v/>
      </c>
      <c r="G3255" s="13">
        <f>F3255*12%</f>
        <v/>
      </c>
      <c r="H3255" s="13">
        <f>IF(A3255="",0,B3255*(92*IF(OR(C3255=Options!$B$9,C3255=Options!$B$10),75%,100%)-IF(C3255=DATE(2026,11,29),26+IF(Options!$B$8="是",23,0),0)-IF(C3255=DATE(2026,11,30),26,0)-IF(C3255=DATE(2026,12,1),64,0)-IF(C3255=DATE(2026,11,28),38,0)-IF(C3255=DATE(2026,12,2),26,0)))</f>
        <v/>
      </c>
      <c r="I3255" s="13">
        <f>IF(AND(C3255&gt;=DATE(2026,11,29),C3255&lt;=DATE(2026,12,1)),B3255*60,0)</f>
        <v/>
      </c>
      <c r="J3255" s="13">
        <f>IF(A3255="",0,B3255*(IF(C3255=DATE(2026,11,28),38,0)+IF(C3255=DATE(2026,12,1),38,0)+IF(C3255=DATE(2026,12,2),26,0)))</f>
        <v/>
      </c>
      <c r="K3255" s="13">
        <f>IF(C3255=Options!$B$9,B3255*12,0)</f>
        <v/>
      </c>
      <c r="L3255" s="13">
        <f>IF(C3255=Options!$B$9,B3255*Options!$Z$9,0)</f>
        <v/>
      </c>
      <c r="M3255" s="13" t="n">
        <v>0</v>
      </c>
      <c r="N3255" s="13">
        <f>SUM(E3255:M3255)</f>
        <v/>
      </c>
    </row>
    <row r="3256">
      <c r="A3256" s="5">
        <f>IF(AND(C3256&gt;=Options!$B$9,C3256&lt;=Options!$B$10),"Seattle","")</f>
        <v/>
      </c>
      <c r="B3256" s="5">
        <f>IF(A3256="","",18)</f>
        <v/>
      </c>
      <c r="C3256" s="17" t="n">
        <v>46627</v>
      </c>
      <c r="D3256" s="5">
        <f>IF(A3256="","",IF(C3256=DATE(2026,11,29),"培训；注册午餐；早餐参数",IF(C3256=DATE(2026,11,30),"培训；注册午餐",IF(C3256=DATE(2026,12,1),"培训；注册午餐；机构晚餐",IF(C3256=Options!$B$9,"抵达；"&amp;IF(C3256=DATE(2026,11,28),"机构晚餐","无统一供餐"),IF(C3256=Options!$B$10,"返程；"&amp;IF(C3256=DATE(2026,12,2),"机构午餐","无统一供餐"),"差旅状态；无统一日程"))))))</f>
        <v/>
      </c>
      <c r="E3256" s="13">
        <f>IF(C3256=Options!$B$9,Options!$C$22,0)</f>
        <v/>
      </c>
      <c r="F3256" s="13">
        <f>IF(AND(A3256&lt;&gt;"",C3256&lt;Options!$B$10),B3256*Options!$X$9,0)</f>
        <v/>
      </c>
      <c r="G3256" s="13">
        <f>F3256*12%</f>
        <v/>
      </c>
      <c r="H3256" s="13">
        <f>IF(A3256="",0,B3256*(92*IF(OR(C3256=Options!$B$9,C3256=Options!$B$10),75%,100%)-IF(C3256=DATE(2026,11,29),26+IF(Options!$B$8="是",23,0),0)-IF(C3256=DATE(2026,11,30),26,0)-IF(C3256=DATE(2026,12,1),64,0)-IF(C3256=DATE(2026,11,28),38,0)-IF(C3256=DATE(2026,12,2),26,0)))</f>
        <v/>
      </c>
      <c r="I3256" s="13">
        <f>IF(AND(C3256&gt;=DATE(2026,11,29),C3256&lt;=DATE(2026,12,1)),B3256*60,0)</f>
        <v/>
      </c>
      <c r="J3256" s="13">
        <f>IF(A3256="",0,B3256*(IF(C3256=DATE(2026,11,28),38,0)+IF(C3256=DATE(2026,12,1),38,0)+IF(C3256=DATE(2026,12,2),26,0)))</f>
        <v/>
      </c>
      <c r="K3256" s="13">
        <f>IF(C3256=Options!$B$9,B3256*12,0)</f>
        <v/>
      </c>
      <c r="L3256" s="13">
        <f>IF(C3256=Options!$B$9,B3256*Options!$Z$9,0)</f>
        <v/>
      </c>
      <c r="M3256" s="13" t="n">
        <v>0</v>
      </c>
      <c r="N3256" s="13">
        <f>SUM(E3256:M3256)</f>
        <v/>
      </c>
    </row>
    <row r="3257">
      <c r="A3257" s="5">
        <f>IF(AND(C3257&gt;=Options!$B$9,C3257&lt;=Options!$B$10),"Seattle","")</f>
        <v/>
      </c>
      <c r="B3257" s="5">
        <f>IF(A3257="","",18)</f>
        <v/>
      </c>
      <c r="C3257" s="17" t="n">
        <v>46628</v>
      </c>
      <c r="D3257" s="5">
        <f>IF(A3257="","",IF(C3257=DATE(2026,11,29),"培训；注册午餐；早餐参数",IF(C3257=DATE(2026,11,30),"培训；注册午餐",IF(C3257=DATE(2026,12,1),"培训；注册午餐；机构晚餐",IF(C3257=Options!$B$9,"抵达；"&amp;IF(C3257=DATE(2026,11,28),"机构晚餐","无统一供餐"),IF(C3257=Options!$B$10,"返程；"&amp;IF(C3257=DATE(2026,12,2),"机构午餐","无统一供餐"),"差旅状态；无统一日程"))))))</f>
        <v/>
      </c>
      <c r="E3257" s="13">
        <f>IF(C3257=Options!$B$9,Options!$C$22,0)</f>
        <v/>
      </c>
      <c r="F3257" s="13">
        <f>IF(AND(A3257&lt;&gt;"",C3257&lt;Options!$B$10),B3257*Options!$X$9,0)</f>
        <v/>
      </c>
      <c r="G3257" s="13">
        <f>F3257*12%</f>
        <v/>
      </c>
      <c r="H3257" s="13">
        <f>IF(A3257="",0,B3257*(92*IF(OR(C3257=Options!$B$9,C3257=Options!$B$10),75%,100%)-IF(C3257=DATE(2026,11,29),26+IF(Options!$B$8="是",23,0),0)-IF(C3257=DATE(2026,11,30),26,0)-IF(C3257=DATE(2026,12,1),64,0)-IF(C3257=DATE(2026,11,28),38,0)-IF(C3257=DATE(2026,12,2),26,0)))</f>
        <v/>
      </c>
      <c r="I3257" s="13">
        <f>IF(AND(C3257&gt;=DATE(2026,11,29),C3257&lt;=DATE(2026,12,1)),B3257*60,0)</f>
        <v/>
      </c>
      <c r="J3257" s="13">
        <f>IF(A3257="",0,B3257*(IF(C3257=DATE(2026,11,28),38,0)+IF(C3257=DATE(2026,12,1),38,0)+IF(C3257=DATE(2026,12,2),26,0)))</f>
        <v/>
      </c>
      <c r="K3257" s="13">
        <f>IF(C3257=Options!$B$9,B3257*12,0)</f>
        <v/>
      </c>
      <c r="L3257" s="13">
        <f>IF(C3257=Options!$B$9,B3257*Options!$Z$9,0)</f>
        <v/>
      </c>
      <c r="M3257" s="13" t="n">
        <v>0</v>
      </c>
      <c r="N3257" s="13">
        <f>SUM(E3257:M3257)</f>
        <v/>
      </c>
    </row>
    <row r="3258">
      <c r="A3258" s="5">
        <f>IF(AND(C3258&gt;=Options!$B$9,C3258&lt;=Options!$B$10),"Seattle","")</f>
        <v/>
      </c>
      <c r="B3258" s="5">
        <f>IF(A3258="","",18)</f>
        <v/>
      </c>
      <c r="C3258" s="17" t="n">
        <v>46629</v>
      </c>
      <c r="D3258" s="5">
        <f>IF(A3258="","",IF(C3258=DATE(2026,11,29),"培训；注册午餐；早餐参数",IF(C3258=DATE(2026,11,30),"培训；注册午餐",IF(C3258=DATE(2026,12,1),"培训；注册午餐；机构晚餐",IF(C3258=Options!$B$9,"抵达；"&amp;IF(C3258=DATE(2026,11,28),"机构晚餐","无统一供餐"),IF(C3258=Options!$B$10,"返程；"&amp;IF(C3258=DATE(2026,12,2),"机构午餐","无统一供餐"),"差旅状态；无统一日程"))))))</f>
        <v/>
      </c>
      <c r="E3258" s="13">
        <f>IF(C3258=Options!$B$9,Options!$C$22,0)</f>
        <v/>
      </c>
      <c r="F3258" s="13">
        <f>IF(AND(A3258&lt;&gt;"",C3258&lt;Options!$B$10),B3258*Options!$X$9,0)</f>
        <v/>
      </c>
      <c r="G3258" s="13">
        <f>F3258*12%</f>
        <v/>
      </c>
      <c r="H3258" s="13">
        <f>IF(A3258="",0,B3258*(92*IF(OR(C3258=Options!$B$9,C3258=Options!$B$10),75%,100%)-IF(C3258=DATE(2026,11,29),26+IF(Options!$B$8="是",23,0),0)-IF(C3258=DATE(2026,11,30),26,0)-IF(C3258=DATE(2026,12,1),64,0)-IF(C3258=DATE(2026,11,28),38,0)-IF(C3258=DATE(2026,12,2),26,0)))</f>
        <v/>
      </c>
      <c r="I3258" s="13">
        <f>IF(AND(C3258&gt;=DATE(2026,11,29),C3258&lt;=DATE(2026,12,1)),B3258*60,0)</f>
        <v/>
      </c>
      <c r="J3258" s="13">
        <f>IF(A3258="",0,B3258*(IF(C3258=DATE(2026,11,28),38,0)+IF(C3258=DATE(2026,12,1),38,0)+IF(C3258=DATE(2026,12,2),26,0)))</f>
        <v/>
      </c>
      <c r="K3258" s="13">
        <f>IF(C3258=Options!$B$9,B3258*12,0)</f>
        <v/>
      </c>
      <c r="L3258" s="13">
        <f>IF(C3258=Options!$B$9,B3258*Options!$Z$9,0)</f>
        <v/>
      </c>
      <c r="M3258" s="13" t="n">
        <v>0</v>
      </c>
      <c r="N3258" s="13">
        <f>SUM(E3258:M3258)</f>
        <v/>
      </c>
    </row>
    <row r="3259">
      <c r="A3259" s="5">
        <f>IF(AND(C3259&gt;=Options!$B$9,C3259&lt;=Options!$B$10),"Seattle","")</f>
        <v/>
      </c>
      <c r="B3259" s="5">
        <f>IF(A3259="","",18)</f>
        <v/>
      </c>
      <c r="C3259" s="17" t="n">
        <v>46630</v>
      </c>
      <c r="D3259" s="5">
        <f>IF(A3259="","",IF(C3259=DATE(2026,11,29),"培训；注册午餐；早餐参数",IF(C3259=DATE(2026,11,30),"培训；注册午餐",IF(C3259=DATE(2026,12,1),"培训；注册午餐；机构晚餐",IF(C3259=Options!$B$9,"抵达；"&amp;IF(C3259=DATE(2026,11,28),"机构晚餐","无统一供餐"),IF(C3259=Options!$B$10,"返程；"&amp;IF(C3259=DATE(2026,12,2),"机构午餐","无统一供餐"),"差旅状态；无统一日程"))))))</f>
        <v/>
      </c>
      <c r="E3259" s="13">
        <f>IF(C3259=Options!$B$9,Options!$C$22,0)</f>
        <v/>
      </c>
      <c r="F3259" s="13">
        <f>IF(AND(A3259&lt;&gt;"",C3259&lt;Options!$B$10),B3259*Options!$X$9,0)</f>
        <v/>
      </c>
      <c r="G3259" s="13">
        <f>F3259*12%</f>
        <v/>
      </c>
      <c r="H3259" s="13">
        <f>IF(A3259="",0,B3259*(92*IF(OR(C3259=Options!$B$9,C3259=Options!$B$10),75%,100%)-IF(C3259=DATE(2026,11,29),26+IF(Options!$B$8="是",23,0),0)-IF(C3259=DATE(2026,11,30),26,0)-IF(C3259=DATE(2026,12,1),64,0)-IF(C3259=DATE(2026,11,28),38,0)-IF(C3259=DATE(2026,12,2),26,0)))</f>
        <v/>
      </c>
      <c r="I3259" s="13">
        <f>IF(AND(C3259&gt;=DATE(2026,11,29),C3259&lt;=DATE(2026,12,1)),B3259*60,0)</f>
        <v/>
      </c>
      <c r="J3259" s="13">
        <f>IF(A3259="",0,B3259*(IF(C3259=DATE(2026,11,28),38,0)+IF(C3259=DATE(2026,12,1),38,0)+IF(C3259=DATE(2026,12,2),26,0)))</f>
        <v/>
      </c>
      <c r="K3259" s="13">
        <f>IF(C3259=Options!$B$9,B3259*12,0)</f>
        <v/>
      </c>
      <c r="L3259" s="13">
        <f>IF(C3259=Options!$B$9,B3259*Options!$Z$9,0)</f>
        <v/>
      </c>
      <c r="M3259" s="13" t="n">
        <v>0</v>
      </c>
      <c r="N3259" s="13">
        <f>SUM(E3259:M3259)</f>
        <v/>
      </c>
    </row>
    <row r="3260">
      <c r="A3260" s="5">
        <f>IF(AND(C3260&gt;=Options!$B$9,C3260&lt;=Options!$B$10),"Seattle","")</f>
        <v/>
      </c>
      <c r="B3260" s="5">
        <f>IF(A3260="","",18)</f>
        <v/>
      </c>
      <c r="C3260" s="17" t="n">
        <v>46631</v>
      </c>
      <c r="D3260" s="5">
        <f>IF(A3260="","",IF(C3260=DATE(2026,11,29),"培训；注册午餐；早餐参数",IF(C3260=DATE(2026,11,30),"培训；注册午餐",IF(C3260=DATE(2026,12,1),"培训；注册午餐；机构晚餐",IF(C3260=Options!$B$9,"抵达；"&amp;IF(C3260=DATE(2026,11,28),"机构晚餐","无统一供餐"),IF(C3260=Options!$B$10,"返程；"&amp;IF(C3260=DATE(2026,12,2),"机构午餐","无统一供餐"),"差旅状态；无统一日程"))))))</f>
        <v/>
      </c>
      <c r="E3260" s="13">
        <f>IF(C3260=Options!$B$9,Options!$C$22,0)</f>
        <v/>
      </c>
      <c r="F3260" s="13">
        <f>IF(AND(A3260&lt;&gt;"",C3260&lt;Options!$B$10),B3260*Options!$X$9,0)</f>
        <v/>
      </c>
      <c r="G3260" s="13">
        <f>F3260*12%</f>
        <v/>
      </c>
      <c r="H3260" s="13">
        <f>IF(A3260="",0,B3260*(92*IF(OR(C3260=Options!$B$9,C3260=Options!$B$10),75%,100%)-IF(C3260=DATE(2026,11,29),26+IF(Options!$B$8="是",23,0),0)-IF(C3260=DATE(2026,11,30),26,0)-IF(C3260=DATE(2026,12,1),64,0)-IF(C3260=DATE(2026,11,28),38,0)-IF(C3260=DATE(2026,12,2),26,0)))</f>
        <v/>
      </c>
      <c r="I3260" s="13">
        <f>IF(AND(C3260&gt;=DATE(2026,11,29),C3260&lt;=DATE(2026,12,1)),B3260*60,0)</f>
        <v/>
      </c>
      <c r="J3260" s="13">
        <f>IF(A3260="",0,B3260*(IF(C3260=DATE(2026,11,28),38,0)+IF(C3260=DATE(2026,12,1),38,0)+IF(C3260=DATE(2026,12,2),26,0)))</f>
        <v/>
      </c>
      <c r="K3260" s="13">
        <f>IF(C3260=Options!$B$9,B3260*12,0)</f>
        <v/>
      </c>
      <c r="L3260" s="13">
        <f>IF(C3260=Options!$B$9,B3260*Options!$Z$9,0)</f>
        <v/>
      </c>
      <c r="M3260" s="13" t="n">
        <v>0</v>
      </c>
      <c r="N3260" s="13">
        <f>SUM(E3260:M3260)</f>
        <v/>
      </c>
    </row>
    <row r="3261">
      <c r="A3261" s="5">
        <f>IF(AND(C3261&gt;=Options!$B$9,C3261&lt;=Options!$B$10),"Seattle","")</f>
        <v/>
      </c>
      <c r="B3261" s="5">
        <f>IF(A3261="","",18)</f>
        <v/>
      </c>
      <c r="C3261" s="17" t="n">
        <v>46632</v>
      </c>
      <c r="D3261" s="5">
        <f>IF(A3261="","",IF(C3261=DATE(2026,11,29),"培训；注册午餐；早餐参数",IF(C3261=DATE(2026,11,30),"培训；注册午餐",IF(C3261=DATE(2026,12,1),"培训；注册午餐；机构晚餐",IF(C3261=Options!$B$9,"抵达；"&amp;IF(C3261=DATE(2026,11,28),"机构晚餐","无统一供餐"),IF(C3261=Options!$B$10,"返程；"&amp;IF(C3261=DATE(2026,12,2),"机构午餐","无统一供餐"),"差旅状态；无统一日程"))))))</f>
        <v/>
      </c>
      <c r="E3261" s="13">
        <f>IF(C3261=Options!$B$9,Options!$C$22,0)</f>
        <v/>
      </c>
      <c r="F3261" s="13">
        <f>IF(AND(A3261&lt;&gt;"",C3261&lt;Options!$B$10),B3261*Options!$X$9,0)</f>
        <v/>
      </c>
      <c r="G3261" s="13">
        <f>F3261*12%</f>
        <v/>
      </c>
      <c r="H3261" s="13">
        <f>IF(A3261="",0,B3261*(92*IF(OR(C3261=Options!$B$9,C3261=Options!$B$10),75%,100%)-IF(C3261=DATE(2026,11,29),26+IF(Options!$B$8="是",23,0),0)-IF(C3261=DATE(2026,11,30),26,0)-IF(C3261=DATE(2026,12,1),64,0)-IF(C3261=DATE(2026,11,28),38,0)-IF(C3261=DATE(2026,12,2),26,0)))</f>
        <v/>
      </c>
      <c r="I3261" s="13">
        <f>IF(AND(C3261&gt;=DATE(2026,11,29),C3261&lt;=DATE(2026,12,1)),B3261*60,0)</f>
        <v/>
      </c>
      <c r="J3261" s="13">
        <f>IF(A3261="",0,B3261*(IF(C3261=DATE(2026,11,28),38,0)+IF(C3261=DATE(2026,12,1),38,0)+IF(C3261=DATE(2026,12,2),26,0)))</f>
        <v/>
      </c>
      <c r="K3261" s="13">
        <f>IF(C3261=Options!$B$9,B3261*12,0)</f>
        <v/>
      </c>
      <c r="L3261" s="13">
        <f>IF(C3261=Options!$B$9,B3261*Options!$Z$9,0)</f>
        <v/>
      </c>
      <c r="M3261" s="13" t="n">
        <v>0</v>
      </c>
      <c r="N3261" s="13">
        <f>SUM(E3261:M3261)</f>
        <v/>
      </c>
    </row>
    <row r="3262">
      <c r="A3262" s="5">
        <f>IF(AND(C3262&gt;=Options!$B$9,C3262&lt;=Options!$B$10),"Seattle","")</f>
        <v/>
      </c>
      <c r="B3262" s="5">
        <f>IF(A3262="","",18)</f>
        <v/>
      </c>
      <c r="C3262" s="17" t="n">
        <v>46633</v>
      </c>
      <c r="D3262" s="5">
        <f>IF(A3262="","",IF(C3262=DATE(2026,11,29),"培训；注册午餐；早餐参数",IF(C3262=DATE(2026,11,30),"培训；注册午餐",IF(C3262=DATE(2026,12,1),"培训；注册午餐；机构晚餐",IF(C3262=Options!$B$9,"抵达；"&amp;IF(C3262=DATE(2026,11,28),"机构晚餐","无统一供餐"),IF(C3262=Options!$B$10,"返程；"&amp;IF(C3262=DATE(2026,12,2),"机构午餐","无统一供餐"),"差旅状态；无统一日程"))))))</f>
        <v/>
      </c>
      <c r="E3262" s="13">
        <f>IF(C3262=Options!$B$9,Options!$C$22,0)</f>
        <v/>
      </c>
      <c r="F3262" s="13">
        <f>IF(AND(A3262&lt;&gt;"",C3262&lt;Options!$B$10),B3262*Options!$X$9,0)</f>
        <v/>
      </c>
      <c r="G3262" s="13">
        <f>F3262*12%</f>
        <v/>
      </c>
      <c r="H3262" s="13">
        <f>IF(A3262="",0,B3262*(92*IF(OR(C3262=Options!$B$9,C3262=Options!$B$10),75%,100%)-IF(C3262=DATE(2026,11,29),26+IF(Options!$B$8="是",23,0),0)-IF(C3262=DATE(2026,11,30),26,0)-IF(C3262=DATE(2026,12,1),64,0)-IF(C3262=DATE(2026,11,28),38,0)-IF(C3262=DATE(2026,12,2),26,0)))</f>
        <v/>
      </c>
      <c r="I3262" s="13">
        <f>IF(AND(C3262&gt;=DATE(2026,11,29),C3262&lt;=DATE(2026,12,1)),B3262*60,0)</f>
        <v/>
      </c>
      <c r="J3262" s="13">
        <f>IF(A3262="",0,B3262*(IF(C3262=DATE(2026,11,28),38,0)+IF(C3262=DATE(2026,12,1),38,0)+IF(C3262=DATE(2026,12,2),26,0)))</f>
        <v/>
      </c>
      <c r="K3262" s="13">
        <f>IF(C3262=Options!$B$9,B3262*12,0)</f>
        <v/>
      </c>
      <c r="L3262" s="13">
        <f>IF(C3262=Options!$B$9,B3262*Options!$Z$9,0)</f>
        <v/>
      </c>
      <c r="M3262" s="13" t="n">
        <v>0</v>
      </c>
      <c r="N3262" s="13">
        <f>SUM(E3262:M3262)</f>
        <v/>
      </c>
    </row>
    <row r="3263">
      <c r="A3263" s="5">
        <f>IF(AND(C3263&gt;=Options!$B$9,C3263&lt;=Options!$B$10),"Seattle","")</f>
        <v/>
      </c>
      <c r="B3263" s="5">
        <f>IF(A3263="","",18)</f>
        <v/>
      </c>
      <c r="C3263" s="17" t="n">
        <v>46634</v>
      </c>
      <c r="D3263" s="5">
        <f>IF(A3263="","",IF(C3263=DATE(2026,11,29),"培训；注册午餐；早餐参数",IF(C3263=DATE(2026,11,30),"培训；注册午餐",IF(C3263=DATE(2026,12,1),"培训；注册午餐；机构晚餐",IF(C3263=Options!$B$9,"抵达；"&amp;IF(C3263=DATE(2026,11,28),"机构晚餐","无统一供餐"),IF(C3263=Options!$B$10,"返程；"&amp;IF(C3263=DATE(2026,12,2),"机构午餐","无统一供餐"),"差旅状态；无统一日程"))))))</f>
        <v/>
      </c>
      <c r="E3263" s="13">
        <f>IF(C3263=Options!$B$9,Options!$C$22,0)</f>
        <v/>
      </c>
      <c r="F3263" s="13">
        <f>IF(AND(A3263&lt;&gt;"",C3263&lt;Options!$B$10),B3263*Options!$X$9,0)</f>
        <v/>
      </c>
      <c r="G3263" s="13">
        <f>F3263*12%</f>
        <v/>
      </c>
      <c r="H3263" s="13">
        <f>IF(A3263="",0,B3263*(92*IF(OR(C3263=Options!$B$9,C3263=Options!$B$10),75%,100%)-IF(C3263=DATE(2026,11,29),26+IF(Options!$B$8="是",23,0),0)-IF(C3263=DATE(2026,11,30),26,0)-IF(C3263=DATE(2026,12,1),64,0)-IF(C3263=DATE(2026,11,28),38,0)-IF(C3263=DATE(2026,12,2),26,0)))</f>
        <v/>
      </c>
      <c r="I3263" s="13">
        <f>IF(AND(C3263&gt;=DATE(2026,11,29),C3263&lt;=DATE(2026,12,1)),B3263*60,0)</f>
        <v/>
      </c>
      <c r="J3263" s="13">
        <f>IF(A3263="",0,B3263*(IF(C3263=DATE(2026,11,28),38,0)+IF(C3263=DATE(2026,12,1),38,0)+IF(C3263=DATE(2026,12,2),26,0)))</f>
        <v/>
      </c>
      <c r="K3263" s="13">
        <f>IF(C3263=Options!$B$9,B3263*12,0)</f>
        <v/>
      </c>
      <c r="L3263" s="13">
        <f>IF(C3263=Options!$B$9,B3263*Options!$Z$9,0)</f>
        <v/>
      </c>
      <c r="M3263" s="13" t="n">
        <v>0</v>
      </c>
      <c r="N3263" s="13">
        <f>SUM(E3263:M3263)</f>
        <v/>
      </c>
    </row>
    <row r="3264">
      <c r="A3264" s="5">
        <f>IF(AND(C3264&gt;=Options!$B$9,C3264&lt;=Options!$B$10),"Seattle","")</f>
        <v/>
      </c>
      <c r="B3264" s="5">
        <f>IF(A3264="","",18)</f>
        <v/>
      </c>
      <c r="C3264" s="17" t="n">
        <v>46635</v>
      </c>
      <c r="D3264" s="5">
        <f>IF(A3264="","",IF(C3264=DATE(2026,11,29),"培训；注册午餐；早餐参数",IF(C3264=DATE(2026,11,30),"培训；注册午餐",IF(C3264=DATE(2026,12,1),"培训；注册午餐；机构晚餐",IF(C3264=Options!$B$9,"抵达；"&amp;IF(C3264=DATE(2026,11,28),"机构晚餐","无统一供餐"),IF(C3264=Options!$B$10,"返程；"&amp;IF(C3264=DATE(2026,12,2),"机构午餐","无统一供餐"),"差旅状态；无统一日程"))))))</f>
        <v/>
      </c>
      <c r="E3264" s="13">
        <f>IF(C3264=Options!$B$9,Options!$C$22,0)</f>
        <v/>
      </c>
      <c r="F3264" s="13">
        <f>IF(AND(A3264&lt;&gt;"",C3264&lt;Options!$B$10),B3264*Options!$X$9,0)</f>
        <v/>
      </c>
      <c r="G3264" s="13">
        <f>F3264*12%</f>
        <v/>
      </c>
      <c r="H3264" s="13">
        <f>IF(A3264="",0,B3264*(92*IF(OR(C3264=Options!$B$9,C3264=Options!$B$10),75%,100%)-IF(C3264=DATE(2026,11,29),26+IF(Options!$B$8="是",23,0),0)-IF(C3264=DATE(2026,11,30),26,0)-IF(C3264=DATE(2026,12,1),64,0)-IF(C3264=DATE(2026,11,28),38,0)-IF(C3264=DATE(2026,12,2),26,0)))</f>
        <v/>
      </c>
      <c r="I3264" s="13">
        <f>IF(AND(C3264&gt;=DATE(2026,11,29),C3264&lt;=DATE(2026,12,1)),B3264*60,0)</f>
        <v/>
      </c>
      <c r="J3264" s="13">
        <f>IF(A3264="",0,B3264*(IF(C3264=DATE(2026,11,28),38,0)+IF(C3264=DATE(2026,12,1),38,0)+IF(C3264=DATE(2026,12,2),26,0)))</f>
        <v/>
      </c>
      <c r="K3264" s="13">
        <f>IF(C3264=Options!$B$9,B3264*12,0)</f>
        <v/>
      </c>
      <c r="L3264" s="13">
        <f>IF(C3264=Options!$B$9,B3264*Options!$Z$9,0)</f>
        <v/>
      </c>
      <c r="M3264" s="13" t="n">
        <v>0</v>
      </c>
      <c r="N3264" s="13">
        <f>SUM(E3264:M3264)</f>
        <v/>
      </c>
    </row>
    <row r="3265">
      <c r="A3265" s="5">
        <f>IF(AND(C3265&gt;=Options!$B$9,C3265&lt;=Options!$B$10),"Seattle","")</f>
        <v/>
      </c>
      <c r="B3265" s="5">
        <f>IF(A3265="","",18)</f>
        <v/>
      </c>
      <c r="C3265" s="17" t="n">
        <v>46636</v>
      </c>
      <c r="D3265" s="5">
        <f>IF(A3265="","",IF(C3265=DATE(2026,11,29),"培训；注册午餐；早餐参数",IF(C3265=DATE(2026,11,30),"培训；注册午餐",IF(C3265=DATE(2026,12,1),"培训；注册午餐；机构晚餐",IF(C3265=Options!$B$9,"抵达；"&amp;IF(C3265=DATE(2026,11,28),"机构晚餐","无统一供餐"),IF(C3265=Options!$B$10,"返程；"&amp;IF(C3265=DATE(2026,12,2),"机构午餐","无统一供餐"),"差旅状态；无统一日程"))))))</f>
        <v/>
      </c>
      <c r="E3265" s="13">
        <f>IF(C3265=Options!$B$9,Options!$C$22,0)</f>
        <v/>
      </c>
      <c r="F3265" s="13">
        <f>IF(AND(A3265&lt;&gt;"",C3265&lt;Options!$B$10),B3265*Options!$X$9,0)</f>
        <v/>
      </c>
      <c r="G3265" s="13">
        <f>F3265*12%</f>
        <v/>
      </c>
      <c r="H3265" s="13">
        <f>IF(A3265="",0,B3265*(92*IF(OR(C3265=Options!$B$9,C3265=Options!$B$10),75%,100%)-IF(C3265=DATE(2026,11,29),26+IF(Options!$B$8="是",23,0),0)-IF(C3265=DATE(2026,11,30),26,0)-IF(C3265=DATE(2026,12,1),64,0)-IF(C3265=DATE(2026,11,28),38,0)-IF(C3265=DATE(2026,12,2),26,0)))</f>
        <v/>
      </c>
      <c r="I3265" s="13">
        <f>IF(AND(C3265&gt;=DATE(2026,11,29),C3265&lt;=DATE(2026,12,1)),B3265*60,0)</f>
        <v/>
      </c>
      <c r="J3265" s="13">
        <f>IF(A3265="",0,B3265*(IF(C3265=DATE(2026,11,28),38,0)+IF(C3265=DATE(2026,12,1),38,0)+IF(C3265=DATE(2026,12,2),26,0)))</f>
        <v/>
      </c>
      <c r="K3265" s="13">
        <f>IF(C3265=Options!$B$9,B3265*12,0)</f>
        <v/>
      </c>
      <c r="L3265" s="13">
        <f>IF(C3265=Options!$B$9,B3265*Options!$Z$9,0)</f>
        <v/>
      </c>
      <c r="M3265" s="13" t="n">
        <v>0</v>
      </c>
      <c r="N3265" s="13">
        <f>SUM(E3265:M3265)</f>
        <v/>
      </c>
    </row>
    <row r="3266">
      <c r="A3266" s="5">
        <f>IF(AND(C3266&gt;=Options!$B$9,C3266&lt;=Options!$B$10),"Seattle","")</f>
        <v/>
      </c>
      <c r="B3266" s="5">
        <f>IF(A3266="","",18)</f>
        <v/>
      </c>
      <c r="C3266" s="17" t="n">
        <v>46637</v>
      </c>
      <c r="D3266" s="5">
        <f>IF(A3266="","",IF(C3266=DATE(2026,11,29),"培训；注册午餐；早餐参数",IF(C3266=DATE(2026,11,30),"培训；注册午餐",IF(C3266=DATE(2026,12,1),"培训；注册午餐；机构晚餐",IF(C3266=Options!$B$9,"抵达；"&amp;IF(C3266=DATE(2026,11,28),"机构晚餐","无统一供餐"),IF(C3266=Options!$B$10,"返程；"&amp;IF(C3266=DATE(2026,12,2),"机构午餐","无统一供餐"),"差旅状态；无统一日程"))))))</f>
        <v/>
      </c>
      <c r="E3266" s="13">
        <f>IF(C3266=Options!$B$9,Options!$C$22,0)</f>
        <v/>
      </c>
      <c r="F3266" s="13">
        <f>IF(AND(A3266&lt;&gt;"",C3266&lt;Options!$B$10),B3266*Options!$X$9,0)</f>
        <v/>
      </c>
      <c r="G3266" s="13">
        <f>F3266*12%</f>
        <v/>
      </c>
      <c r="H3266" s="13">
        <f>IF(A3266="",0,B3266*(92*IF(OR(C3266=Options!$B$9,C3266=Options!$B$10),75%,100%)-IF(C3266=DATE(2026,11,29),26+IF(Options!$B$8="是",23,0),0)-IF(C3266=DATE(2026,11,30),26,0)-IF(C3266=DATE(2026,12,1),64,0)-IF(C3266=DATE(2026,11,28),38,0)-IF(C3266=DATE(2026,12,2),26,0)))</f>
        <v/>
      </c>
      <c r="I3266" s="13">
        <f>IF(AND(C3266&gt;=DATE(2026,11,29),C3266&lt;=DATE(2026,12,1)),B3266*60,0)</f>
        <v/>
      </c>
      <c r="J3266" s="13">
        <f>IF(A3266="",0,B3266*(IF(C3266=DATE(2026,11,28),38,0)+IF(C3266=DATE(2026,12,1),38,0)+IF(C3266=DATE(2026,12,2),26,0)))</f>
        <v/>
      </c>
      <c r="K3266" s="13">
        <f>IF(C3266=Options!$B$9,B3266*12,0)</f>
        <v/>
      </c>
      <c r="L3266" s="13">
        <f>IF(C3266=Options!$B$9,B3266*Options!$Z$9,0)</f>
        <v/>
      </c>
      <c r="M3266" s="13" t="n">
        <v>0</v>
      </c>
      <c r="N3266" s="13">
        <f>SUM(E3266:M3266)</f>
        <v/>
      </c>
    </row>
    <row r="3267">
      <c r="A3267" s="5">
        <f>IF(AND(C3267&gt;=Options!$B$9,C3267&lt;=Options!$B$10),"Seattle","")</f>
        <v/>
      </c>
      <c r="B3267" s="5">
        <f>IF(A3267="","",18)</f>
        <v/>
      </c>
      <c r="C3267" s="17" t="n">
        <v>46638</v>
      </c>
      <c r="D3267" s="5">
        <f>IF(A3267="","",IF(C3267=DATE(2026,11,29),"培训；注册午餐；早餐参数",IF(C3267=DATE(2026,11,30),"培训；注册午餐",IF(C3267=DATE(2026,12,1),"培训；注册午餐；机构晚餐",IF(C3267=Options!$B$9,"抵达；"&amp;IF(C3267=DATE(2026,11,28),"机构晚餐","无统一供餐"),IF(C3267=Options!$B$10,"返程；"&amp;IF(C3267=DATE(2026,12,2),"机构午餐","无统一供餐"),"差旅状态；无统一日程"))))))</f>
        <v/>
      </c>
      <c r="E3267" s="13">
        <f>IF(C3267=Options!$B$9,Options!$C$22,0)</f>
        <v/>
      </c>
      <c r="F3267" s="13">
        <f>IF(AND(A3267&lt;&gt;"",C3267&lt;Options!$B$10),B3267*Options!$X$9,0)</f>
        <v/>
      </c>
      <c r="G3267" s="13">
        <f>F3267*12%</f>
        <v/>
      </c>
      <c r="H3267" s="13">
        <f>IF(A3267="",0,B3267*(92*IF(OR(C3267=Options!$B$9,C3267=Options!$B$10),75%,100%)-IF(C3267=DATE(2026,11,29),26+IF(Options!$B$8="是",23,0),0)-IF(C3267=DATE(2026,11,30),26,0)-IF(C3267=DATE(2026,12,1),64,0)-IF(C3267=DATE(2026,11,28),38,0)-IF(C3267=DATE(2026,12,2),26,0)))</f>
        <v/>
      </c>
      <c r="I3267" s="13">
        <f>IF(AND(C3267&gt;=DATE(2026,11,29),C3267&lt;=DATE(2026,12,1)),B3267*60,0)</f>
        <v/>
      </c>
      <c r="J3267" s="13">
        <f>IF(A3267="",0,B3267*(IF(C3267=DATE(2026,11,28),38,0)+IF(C3267=DATE(2026,12,1),38,0)+IF(C3267=DATE(2026,12,2),26,0)))</f>
        <v/>
      </c>
      <c r="K3267" s="13">
        <f>IF(C3267=Options!$B$9,B3267*12,0)</f>
        <v/>
      </c>
      <c r="L3267" s="13">
        <f>IF(C3267=Options!$B$9,B3267*Options!$Z$9,0)</f>
        <v/>
      </c>
      <c r="M3267" s="13" t="n">
        <v>0</v>
      </c>
      <c r="N3267" s="13">
        <f>SUM(E3267:M3267)</f>
        <v/>
      </c>
    </row>
    <row r="3268">
      <c r="A3268" s="5">
        <f>IF(AND(C3268&gt;=Options!$B$9,C3268&lt;=Options!$B$10),"Seattle","")</f>
        <v/>
      </c>
      <c r="B3268" s="5">
        <f>IF(A3268="","",18)</f>
        <v/>
      </c>
      <c r="C3268" s="17" t="n">
        <v>46639</v>
      </c>
      <c r="D3268" s="5">
        <f>IF(A3268="","",IF(C3268=DATE(2026,11,29),"培训；注册午餐；早餐参数",IF(C3268=DATE(2026,11,30),"培训；注册午餐",IF(C3268=DATE(2026,12,1),"培训；注册午餐；机构晚餐",IF(C3268=Options!$B$9,"抵达；"&amp;IF(C3268=DATE(2026,11,28),"机构晚餐","无统一供餐"),IF(C3268=Options!$B$10,"返程；"&amp;IF(C3268=DATE(2026,12,2),"机构午餐","无统一供餐"),"差旅状态；无统一日程"))))))</f>
        <v/>
      </c>
      <c r="E3268" s="13">
        <f>IF(C3268=Options!$B$9,Options!$C$22,0)</f>
        <v/>
      </c>
      <c r="F3268" s="13">
        <f>IF(AND(A3268&lt;&gt;"",C3268&lt;Options!$B$10),B3268*Options!$X$9,0)</f>
        <v/>
      </c>
      <c r="G3268" s="13">
        <f>F3268*12%</f>
        <v/>
      </c>
      <c r="H3268" s="13">
        <f>IF(A3268="",0,B3268*(92*IF(OR(C3268=Options!$B$9,C3268=Options!$B$10),75%,100%)-IF(C3268=DATE(2026,11,29),26+IF(Options!$B$8="是",23,0),0)-IF(C3268=DATE(2026,11,30),26,0)-IF(C3268=DATE(2026,12,1),64,0)-IF(C3268=DATE(2026,11,28),38,0)-IF(C3268=DATE(2026,12,2),26,0)))</f>
        <v/>
      </c>
      <c r="I3268" s="13">
        <f>IF(AND(C3268&gt;=DATE(2026,11,29),C3268&lt;=DATE(2026,12,1)),B3268*60,0)</f>
        <v/>
      </c>
      <c r="J3268" s="13">
        <f>IF(A3268="",0,B3268*(IF(C3268=DATE(2026,11,28),38,0)+IF(C3268=DATE(2026,12,1),38,0)+IF(C3268=DATE(2026,12,2),26,0)))</f>
        <v/>
      </c>
      <c r="K3268" s="13">
        <f>IF(C3268=Options!$B$9,B3268*12,0)</f>
        <v/>
      </c>
      <c r="L3268" s="13">
        <f>IF(C3268=Options!$B$9,B3268*Options!$Z$9,0)</f>
        <v/>
      </c>
      <c r="M3268" s="13" t="n">
        <v>0</v>
      </c>
      <c r="N3268" s="13">
        <f>SUM(E3268:M3268)</f>
        <v/>
      </c>
    </row>
    <row r="3269">
      <c r="A3269" s="5">
        <f>IF(AND(C3269&gt;=Options!$B$9,C3269&lt;=Options!$B$10),"Seattle","")</f>
        <v/>
      </c>
      <c r="B3269" s="5">
        <f>IF(A3269="","",18)</f>
        <v/>
      </c>
      <c r="C3269" s="17" t="n">
        <v>46640</v>
      </c>
      <c r="D3269" s="5">
        <f>IF(A3269="","",IF(C3269=DATE(2026,11,29),"培训；注册午餐；早餐参数",IF(C3269=DATE(2026,11,30),"培训；注册午餐",IF(C3269=DATE(2026,12,1),"培训；注册午餐；机构晚餐",IF(C3269=Options!$B$9,"抵达；"&amp;IF(C3269=DATE(2026,11,28),"机构晚餐","无统一供餐"),IF(C3269=Options!$B$10,"返程；"&amp;IF(C3269=DATE(2026,12,2),"机构午餐","无统一供餐"),"差旅状态；无统一日程"))))))</f>
        <v/>
      </c>
      <c r="E3269" s="13">
        <f>IF(C3269=Options!$B$9,Options!$C$22,0)</f>
        <v/>
      </c>
      <c r="F3269" s="13">
        <f>IF(AND(A3269&lt;&gt;"",C3269&lt;Options!$B$10),B3269*Options!$X$9,0)</f>
        <v/>
      </c>
      <c r="G3269" s="13">
        <f>F3269*12%</f>
        <v/>
      </c>
      <c r="H3269" s="13">
        <f>IF(A3269="",0,B3269*(92*IF(OR(C3269=Options!$B$9,C3269=Options!$B$10),75%,100%)-IF(C3269=DATE(2026,11,29),26+IF(Options!$B$8="是",23,0),0)-IF(C3269=DATE(2026,11,30),26,0)-IF(C3269=DATE(2026,12,1),64,0)-IF(C3269=DATE(2026,11,28),38,0)-IF(C3269=DATE(2026,12,2),26,0)))</f>
        <v/>
      </c>
      <c r="I3269" s="13">
        <f>IF(AND(C3269&gt;=DATE(2026,11,29),C3269&lt;=DATE(2026,12,1)),B3269*60,0)</f>
        <v/>
      </c>
      <c r="J3269" s="13">
        <f>IF(A3269="",0,B3269*(IF(C3269=DATE(2026,11,28),38,0)+IF(C3269=DATE(2026,12,1),38,0)+IF(C3269=DATE(2026,12,2),26,0)))</f>
        <v/>
      </c>
      <c r="K3269" s="13">
        <f>IF(C3269=Options!$B$9,B3269*12,0)</f>
        <v/>
      </c>
      <c r="L3269" s="13">
        <f>IF(C3269=Options!$B$9,B3269*Options!$Z$9,0)</f>
        <v/>
      </c>
      <c r="M3269" s="13" t="n">
        <v>0</v>
      </c>
      <c r="N3269" s="13">
        <f>SUM(E3269:M3269)</f>
        <v/>
      </c>
    </row>
    <row r="3270">
      <c r="A3270" s="5">
        <f>IF(AND(C3270&gt;=Options!$B$9,C3270&lt;=Options!$B$10),"Seattle","")</f>
        <v/>
      </c>
      <c r="B3270" s="5">
        <f>IF(A3270="","",18)</f>
        <v/>
      </c>
      <c r="C3270" s="17" t="n">
        <v>46641</v>
      </c>
      <c r="D3270" s="5">
        <f>IF(A3270="","",IF(C3270=DATE(2026,11,29),"培训；注册午餐；早餐参数",IF(C3270=DATE(2026,11,30),"培训；注册午餐",IF(C3270=DATE(2026,12,1),"培训；注册午餐；机构晚餐",IF(C3270=Options!$B$9,"抵达；"&amp;IF(C3270=DATE(2026,11,28),"机构晚餐","无统一供餐"),IF(C3270=Options!$B$10,"返程；"&amp;IF(C3270=DATE(2026,12,2),"机构午餐","无统一供餐"),"差旅状态；无统一日程"))))))</f>
        <v/>
      </c>
      <c r="E3270" s="13">
        <f>IF(C3270=Options!$B$9,Options!$C$22,0)</f>
        <v/>
      </c>
      <c r="F3270" s="13">
        <f>IF(AND(A3270&lt;&gt;"",C3270&lt;Options!$B$10),B3270*Options!$X$9,0)</f>
        <v/>
      </c>
      <c r="G3270" s="13">
        <f>F3270*12%</f>
        <v/>
      </c>
      <c r="H3270" s="13">
        <f>IF(A3270="",0,B3270*(92*IF(OR(C3270=Options!$B$9,C3270=Options!$B$10),75%,100%)-IF(C3270=DATE(2026,11,29),26+IF(Options!$B$8="是",23,0),0)-IF(C3270=DATE(2026,11,30),26,0)-IF(C3270=DATE(2026,12,1),64,0)-IF(C3270=DATE(2026,11,28),38,0)-IF(C3270=DATE(2026,12,2),26,0)))</f>
        <v/>
      </c>
      <c r="I3270" s="13">
        <f>IF(AND(C3270&gt;=DATE(2026,11,29),C3270&lt;=DATE(2026,12,1)),B3270*60,0)</f>
        <v/>
      </c>
      <c r="J3270" s="13">
        <f>IF(A3270="",0,B3270*(IF(C3270=DATE(2026,11,28),38,0)+IF(C3270=DATE(2026,12,1),38,0)+IF(C3270=DATE(2026,12,2),26,0)))</f>
        <v/>
      </c>
      <c r="K3270" s="13">
        <f>IF(C3270=Options!$B$9,B3270*12,0)</f>
        <v/>
      </c>
      <c r="L3270" s="13">
        <f>IF(C3270=Options!$B$9,B3270*Options!$Z$9,0)</f>
        <v/>
      </c>
      <c r="M3270" s="13" t="n">
        <v>0</v>
      </c>
      <c r="N3270" s="13">
        <f>SUM(E3270:M3270)</f>
        <v/>
      </c>
    </row>
    <row r="3271">
      <c r="A3271" s="5">
        <f>IF(AND(C3271&gt;=Options!$B$9,C3271&lt;=Options!$B$10),"Seattle","")</f>
        <v/>
      </c>
      <c r="B3271" s="5">
        <f>IF(A3271="","",18)</f>
        <v/>
      </c>
      <c r="C3271" s="17" t="n">
        <v>46642</v>
      </c>
      <c r="D3271" s="5">
        <f>IF(A3271="","",IF(C3271=DATE(2026,11,29),"培训；注册午餐；早餐参数",IF(C3271=DATE(2026,11,30),"培训；注册午餐",IF(C3271=DATE(2026,12,1),"培训；注册午餐；机构晚餐",IF(C3271=Options!$B$9,"抵达；"&amp;IF(C3271=DATE(2026,11,28),"机构晚餐","无统一供餐"),IF(C3271=Options!$B$10,"返程；"&amp;IF(C3271=DATE(2026,12,2),"机构午餐","无统一供餐"),"差旅状态；无统一日程"))))))</f>
        <v/>
      </c>
      <c r="E3271" s="13">
        <f>IF(C3271=Options!$B$9,Options!$C$22,0)</f>
        <v/>
      </c>
      <c r="F3271" s="13">
        <f>IF(AND(A3271&lt;&gt;"",C3271&lt;Options!$B$10),B3271*Options!$X$9,0)</f>
        <v/>
      </c>
      <c r="G3271" s="13">
        <f>F3271*12%</f>
        <v/>
      </c>
      <c r="H3271" s="13">
        <f>IF(A3271="",0,B3271*(92*IF(OR(C3271=Options!$B$9,C3271=Options!$B$10),75%,100%)-IF(C3271=DATE(2026,11,29),26+IF(Options!$B$8="是",23,0),0)-IF(C3271=DATE(2026,11,30),26,0)-IF(C3271=DATE(2026,12,1),64,0)-IF(C3271=DATE(2026,11,28),38,0)-IF(C3271=DATE(2026,12,2),26,0)))</f>
        <v/>
      </c>
      <c r="I3271" s="13">
        <f>IF(AND(C3271&gt;=DATE(2026,11,29),C3271&lt;=DATE(2026,12,1)),B3271*60,0)</f>
        <v/>
      </c>
      <c r="J3271" s="13">
        <f>IF(A3271="",0,B3271*(IF(C3271=DATE(2026,11,28),38,0)+IF(C3271=DATE(2026,12,1),38,0)+IF(C3271=DATE(2026,12,2),26,0)))</f>
        <v/>
      </c>
      <c r="K3271" s="13">
        <f>IF(C3271=Options!$B$9,B3271*12,0)</f>
        <v/>
      </c>
      <c r="L3271" s="13">
        <f>IF(C3271=Options!$B$9,B3271*Options!$Z$9,0)</f>
        <v/>
      </c>
      <c r="M3271" s="13" t="n">
        <v>0</v>
      </c>
      <c r="N3271" s="13">
        <f>SUM(E3271:M3271)</f>
        <v/>
      </c>
    </row>
    <row r="3272">
      <c r="A3272" s="5">
        <f>IF(AND(C3272&gt;=Options!$B$9,C3272&lt;=Options!$B$10),"Seattle","")</f>
        <v/>
      </c>
      <c r="B3272" s="5">
        <f>IF(A3272="","",18)</f>
        <v/>
      </c>
      <c r="C3272" s="17" t="n">
        <v>46643</v>
      </c>
      <c r="D3272" s="5">
        <f>IF(A3272="","",IF(C3272=DATE(2026,11,29),"培训；注册午餐；早餐参数",IF(C3272=DATE(2026,11,30),"培训；注册午餐",IF(C3272=DATE(2026,12,1),"培训；注册午餐；机构晚餐",IF(C3272=Options!$B$9,"抵达；"&amp;IF(C3272=DATE(2026,11,28),"机构晚餐","无统一供餐"),IF(C3272=Options!$B$10,"返程；"&amp;IF(C3272=DATE(2026,12,2),"机构午餐","无统一供餐"),"差旅状态；无统一日程"))))))</f>
        <v/>
      </c>
      <c r="E3272" s="13">
        <f>IF(C3272=Options!$B$9,Options!$C$22,0)</f>
        <v/>
      </c>
      <c r="F3272" s="13">
        <f>IF(AND(A3272&lt;&gt;"",C3272&lt;Options!$B$10),B3272*Options!$X$9,0)</f>
        <v/>
      </c>
      <c r="G3272" s="13">
        <f>F3272*12%</f>
        <v/>
      </c>
      <c r="H3272" s="13">
        <f>IF(A3272="",0,B3272*(92*IF(OR(C3272=Options!$B$9,C3272=Options!$B$10),75%,100%)-IF(C3272=DATE(2026,11,29),26+IF(Options!$B$8="是",23,0),0)-IF(C3272=DATE(2026,11,30),26,0)-IF(C3272=DATE(2026,12,1),64,0)-IF(C3272=DATE(2026,11,28),38,0)-IF(C3272=DATE(2026,12,2),26,0)))</f>
        <v/>
      </c>
      <c r="I3272" s="13">
        <f>IF(AND(C3272&gt;=DATE(2026,11,29),C3272&lt;=DATE(2026,12,1)),B3272*60,0)</f>
        <v/>
      </c>
      <c r="J3272" s="13">
        <f>IF(A3272="",0,B3272*(IF(C3272=DATE(2026,11,28),38,0)+IF(C3272=DATE(2026,12,1),38,0)+IF(C3272=DATE(2026,12,2),26,0)))</f>
        <v/>
      </c>
      <c r="K3272" s="13">
        <f>IF(C3272=Options!$B$9,B3272*12,0)</f>
        <v/>
      </c>
      <c r="L3272" s="13">
        <f>IF(C3272=Options!$B$9,B3272*Options!$Z$9,0)</f>
        <v/>
      </c>
      <c r="M3272" s="13" t="n">
        <v>0</v>
      </c>
      <c r="N3272" s="13">
        <f>SUM(E3272:M3272)</f>
        <v/>
      </c>
    </row>
    <row r="3273">
      <c r="A3273" s="5">
        <f>IF(AND(C3273&gt;=Options!$B$9,C3273&lt;=Options!$B$10),"Seattle","")</f>
        <v/>
      </c>
      <c r="B3273" s="5">
        <f>IF(A3273="","",18)</f>
        <v/>
      </c>
      <c r="C3273" s="17" t="n">
        <v>46644</v>
      </c>
      <c r="D3273" s="5">
        <f>IF(A3273="","",IF(C3273=DATE(2026,11,29),"培训；注册午餐；早餐参数",IF(C3273=DATE(2026,11,30),"培训；注册午餐",IF(C3273=DATE(2026,12,1),"培训；注册午餐；机构晚餐",IF(C3273=Options!$B$9,"抵达；"&amp;IF(C3273=DATE(2026,11,28),"机构晚餐","无统一供餐"),IF(C3273=Options!$B$10,"返程；"&amp;IF(C3273=DATE(2026,12,2),"机构午餐","无统一供餐"),"差旅状态；无统一日程"))))))</f>
        <v/>
      </c>
      <c r="E3273" s="13">
        <f>IF(C3273=Options!$B$9,Options!$C$22,0)</f>
        <v/>
      </c>
      <c r="F3273" s="13">
        <f>IF(AND(A3273&lt;&gt;"",C3273&lt;Options!$B$10),B3273*Options!$X$9,0)</f>
        <v/>
      </c>
      <c r="G3273" s="13">
        <f>F3273*12%</f>
        <v/>
      </c>
      <c r="H3273" s="13">
        <f>IF(A3273="",0,B3273*(92*IF(OR(C3273=Options!$B$9,C3273=Options!$B$10),75%,100%)-IF(C3273=DATE(2026,11,29),26+IF(Options!$B$8="是",23,0),0)-IF(C3273=DATE(2026,11,30),26,0)-IF(C3273=DATE(2026,12,1),64,0)-IF(C3273=DATE(2026,11,28),38,0)-IF(C3273=DATE(2026,12,2),26,0)))</f>
        <v/>
      </c>
      <c r="I3273" s="13">
        <f>IF(AND(C3273&gt;=DATE(2026,11,29),C3273&lt;=DATE(2026,12,1)),B3273*60,0)</f>
        <v/>
      </c>
      <c r="J3273" s="13">
        <f>IF(A3273="",0,B3273*(IF(C3273=DATE(2026,11,28),38,0)+IF(C3273=DATE(2026,12,1),38,0)+IF(C3273=DATE(2026,12,2),26,0)))</f>
        <v/>
      </c>
      <c r="K3273" s="13">
        <f>IF(C3273=Options!$B$9,B3273*12,0)</f>
        <v/>
      </c>
      <c r="L3273" s="13">
        <f>IF(C3273=Options!$B$9,B3273*Options!$Z$9,0)</f>
        <v/>
      </c>
      <c r="M3273" s="13" t="n">
        <v>0</v>
      </c>
      <c r="N3273" s="13">
        <f>SUM(E3273:M3273)</f>
        <v/>
      </c>
    </row>
    <row r="3274">
      <c r="A3274" s="5">
        <f>IF(AND(C3274&gt;=Options!$B$9,C3274&lt;=Options!$B$10),"Seattle","")</f>
        <v/>
      </c>
      <c r="B3274" s="5">
        <f>IF(A3274="","",18)</f>
        <v/>
      </c>
      <c r="C3274" s="17" t="n">
        <v>46645</v>
      </c>
      <c r="D3274" s="5">
        <f>IF(A3274="","",IF(C3274=DATE(2026,11,29),"培训；注册午餐；早餐参数",IF(C3274=DATE(2026,11,30),"培训；注册午餐",IF(C3274=DATE(2026,12,1),"培训；注册午餐；机构晚餐",IF(C3274=Options!$B$9,"抵达；"&amp;IF(C3274=DATE(2026,11,28),"机构晚餐","无统一供餐"),IF(C3274=Options!$B$10,"返程；"&amp;IF(C3274=DATE(2026,12,2),"机构午餐","无统一供餐"),"差旅状态；无统一日程"))))))</f>
        <v/>
      </c>
      <c r="E3274" s="13">
        <f>IF(C3274=Options!$B$9,Options!$C$22,0)</f>
        <v/>
      </c>
      <c r="F3274" s="13">
        <f>IF(AND(A3274&lt;&gt;"",C3274&lt;Options!$B$10),B3274*Options!$X$9,0)</f>
        <v/>
      </c>
      <c r="G3274" s="13">
        <f>F3274*12%</f>
        <v/>
      </c>
      <c r="H3274" s="13">
        <f>IF(A3274="",0,B3274*(92*IF(OR(C3274=Options!$B$9,C3274=Options!$B$10),75%,100%)-IF(C3274=DATE(2026,11,29),26+IF(Options!$B$8="是",23,0),0)-IF(C3274=DATE(2026,11,30),26,0)-IF(C3274=DATE(2026,12,1),64,0)-IF(C3274=DATE(2026,11,28),38,0)-IF(C3274=DATE(2026,12,2),26,0)))</f>
        <v/>
      </c>
      <c r="I3274" s="13">
        <f>IF(AND(C3274&gt;=DATE(2026,11,29),C3274&lt;=DATE(2026,12,1)),B3274*60,0)</f>
        <v/>
      </c>
      <c r="J3274" s="13">
        <f>IF(A3274="",0,B3274*(IF(C3274=DATE(2026,11,28),38,0)+IF(C3274=DATE(2026,12,1),38,0)+IF(C3274=DATE(2026,12,2),26,0)))</f>
        <v/>
      </c>
      <c r="K3274" s="13">
        <f>IF(C3274=Options!$B$9,B3274*12,0)</f>
        <v/>
      </c>
      <c r="L3274" s="13">
        <f>IF(C3274=Options!$B$9,B3274*Options!$Z$9,0)</f>
        <v/>
      </c>
      <c r="M3274" s="13" t="n">
        <v>0</v>
      </c>
      <c r="N3274" s="13">
        <f>SUM(E3274:M3274)</f>
        <v/>
      </c>
    </row>
    <row r="3275">
      <c r="A3275" s="5">
        <f>IF(AND(C3275&gt;=Options!$B$9,C3275&lt;=Options!$B$10),"Seattle","")</f>
        <v/>
      </c>
      <c r="B3275" s="5">
        <f>IF(A3275="","",18)</f>
        <v/>
      </c>
      <c r="C3275" s="17" t="n">
        <v>46646</v>
      </c>
      <c r="D3275" s="5">
        <f>IF(A3275="","",IF(C3275=DATE(2026,11,29),"培训；注册午餐；早餐参数",IF(C3275=DATE(2026,11,30),"培训；注册午餐",IF(C3275=DATE(2026,12,1),"培训；注册午餐；机构晚餐",IF(C3275=Options!$B$9,"抵达；"&amp;IF(C3275=DATE(2026,11,28),"机构晚餐","无统一供餐"),IF(C3275=Options!$B$10,"返程；"&amp;IF(C3275=DATE(2026,12,2),"机构午餐","无统一供餐"),"差旅状态；无统一日程"))))))</f>
        <v/>
      </c>
      <c r="E3275" s="13">
        <f>IF(C3275=Options!$B$9,Options!$C$22,0)</f>
        <v/>
      </c>
      <c r="F3275" s="13">
        <f>IF(AND(A3275&lt;&gt;"",C3275&lt;Options!$B$10),B3275*Options!$X$9,0)</f>
        <v/>
      </c>
      <c r="G3275" s="13">
        <f>F3275*12%</f>
        <v/>
      </c>
      <c r="H3275" s="13">
        <f>IF(A3275="",0,B3275*(92*IF(OR(C3275=Options!$B$9,C3275=Options!$B$10),75%,100%)-IF(C3275=DATE(2026,11,29),26+IF(Options!$B$8="是",23,0),0)-IF(C3275=DATE(2026,11,30),26,0)-IF(C3275=DATE(2026,12,1),64,0)-IF(C3275=DATE(2026,11,28),38,0)-IF(C3275=DATE(2026,12,2),26,0)))</f>
        <v/>
      </c>
      <c r="I3275" s="13">
        <f>IF(AND(C3275&gt;=DATE(2026,11,29),C3275&lt;=DATE(2026,12,1)),B3275*60,0)</f>
        <v/>
      </c>
      <c r="J3275" s="13">
        <f>IF(A3275="",0,B3275*(IF(C3275=DATE(2026,11,28),38,0)+IF(C3275=DATE(2026,12,1),38,0)+IF(C3275=DATE(2026,12,2),26,0)))</f>
        <v/>
      </c>
      <c r="K3275" s="13">
        <f>IF(C3275=Options!$B$9,B3275*12,0)</f>
        <v/>
      </c>
      <c r="L3275" s="13">
        <f>IF(C3275=Options!$B$9,B3275*Options!$Z$9,0)</f>
        <v/>
      </c>
      <c r="M3275" s="13" t="n">
        <v>0</v>
      </c>
      <c r="N3275" s="13">
        <f>SUM(E3275:M3275)</f>
        <v/>
      </c>
    </row>
    <row r="3276">
      <c r="A3276" s="5">
        <f>IF(AND(C3276&gt;=Options!$B$9,C3276&lt;=Options!$B$10),"Seattle","")</f>
        <v/>
      </c>
      <c r="B3276" s="5">
        <f>IF(A3276="","",18)</f>
        <v/>
      </c>
      <c r="C3276" s="17" t="n">
        <v>46647</v>
      </c>
      <c r="D3276" s="5">
        <f>IF(A3276="","",IF(C3276=DATE(2026,11,29),"培训；注册午餐；早餐参数",IF(C3276=DATE(2026,11,30),"培训；注册午餐",IF(C3276=DATE(2026,12,1),"培训；注册午餐；机构晚餐",IF(C3276=Options!$B$9,"抵达；"&amp;IF(C3276=DATE(2026,11,28),"机构晚餐","无统一供餐"),IF(C3276=Options!$B$10,"返程；"&amp;IF(C3276=DATE(2026,12,2),"机构午餐","无统一供餐"),"差旅状态；无统一日程"))))))</f>
        <v/>
      </c>
      <c r="E3276" s="13">
        <f>IF(C3276=Options!$B$9,Options!$C$22,0)</f>
        <v/>
      </c>
      <c r="F3276" s="13">
        <f>IF(AND(A3276&lt;&gt;"",C3276&lt;Options!$B$10),B3276*Options!$X$9,0)</f>
        <v/>
      </c>
      <c r="G3276" s="13">
        <f>F3276*12%</f>
        <v/>
      </c>
      <c r="H3276" s="13">
        <f>IF(A3276="",0,B3276*(92*IF(OR(C3276=Options!$B$9,C3276=Options!$B$10),75%,100%)-IF(C3276=DATE(2026,11,29),26+IF(Options!$B$8="是",23,0),0)-IF(C3276=DATE(2026,11,30),26,0)-IF(C3276=DATE(2026,12,1),64,0)-IF(C3276=DATE(2026,11,28),38,0)-IF(C3276=DATE(2026,12,2),26,0)))</f>
        <v/>
      </c>
      <c r="I3276" s="13">
        <f>IF(AND(C3276&gt;=DATE(2026,11,29),C3276&lt;=DATE(2026,12,1)),B3276*60,0)</f>
        <v/>
      </c>
      <c r="J3276" s="13">
        <f>IF(A3276="",0,B3276*(IF(C3276=DATE(2026,11,28),38,0)+IF(C3276=DATE(2026,12,1),38,0)+IF(C3276=DATE(2026,12,2),26,0)))</f>
        <v/>
      </c>
      <c r="K3276" s="13">
        <f>IF(C3276=Options!$B$9,B3276*12,0)</f>
        <v/>
      </c>
      <c r="L3276" s="13">
        <f>IF(C3276=Options!$B$9,B3276*Options!$Z$9,0)</f>
        <v/>
      </c>
      <c r="M3276" s="13" t="n">
        <v>0</v>
      </c>
      <c r="N3276" s="13">
        <f>SUM(E3276:M3276)</f>
        <v/>
      </c>
    </row>
    <row r="3277">
      <c r="A3277" s="5">
        <f>IF(AND(C3277&gt;=Options!$B$9,C3277&lt;=Options!$B$10),"Seattle","")</f>
        <v/>
      </c>
      <c r="B3277" s="5">
        <f>IF(A3277="","",18)</f>
        <v/>
      </c>
      <c r="C3277" s="17" t="n">
        <v>46648</v>
      </c>
      <c r="D3277" s="5">
        <f>IF(A3277="","",IF(C3277=DATE(2026,11,29),"培训；注册午餐；早餐参数",IF(C3277=DATE(2026,11,30),"培训；注册午餐",IF(C3277=DATE(2026,12,1),"培训；注册午餐；机构晚餐",IF(C3277=Options!$B$9,"抵达；"&amp;IF(C3277=DATE(2026,11,28),"机构晚餐","无统一供餐"),IF(C3277=Options!$B$10,"返程；"&amp;IF(C3277=DATE(2026,12,2),"机构午餐","无统一供餐"),"差旅状态；无统一日程"))))))</f>
        <v/>
      </c>
      <c r="E3277" s="13">
        <f>IF(C3277=Options!$B$9,Options!$C$22,0)</f>
        <v/>
      </c>
      <c r="F3277" s="13">
        <f>IF(AND(A3277&lt;&gt;"",C3277&lt;Options!$B$10),B3277*Options!$X$9,0)</f>
        <v/>
      </c>
      <c r="G3277" s="13">
        <f>F3277*12%</f>
        <v/>
      </c>
      <c r="H3277" s="13">
        <f>IF(A3277="",0,B3277*(92*IF(OR(C3277=Options!$B$9,C3277=Options!$B$10),75%,100%)-IF(C3277=DATE(2026,11,29),26+IF(Options!$B$8="是",23,0),0)-IF(C3277=DATE(2026,11,30),26,0)-IF(C3277=DATE(2026,12,1),64,0)-IF(C3277=DATE(2026,11,28),38,0)-IF(C3277=DATE(2026,12,2),26,0)))</f>
        <v/>
      </c>
      <c r="I3277" s="13">
        <f>IF(AND(C3277&gt;=DATE(2026,11,29),C3277&lt;=DATE(2026,12,1)),B3277*60,0)</f>
        <v/>
      </c>
      <c r="J3277" s="13">
        <f>IF(A3277="",0,B3277*(IF(C3277=DATE(2026,11,28),38,0)+IF(C3277=DATE(2026,12,1),38,0)+IF(C3277=DATE(2026,12,2),26,0)))</f>
        <v/>
      </c>
      <c r="K3277" s="13">
        <f>IF(C3277=Options!$B$9,B3277*12,0)</f>
        <v/>
      </c>
      <c r="L3277" s="13">
        <f>IF(C3277=Options!$B$9,B3277*Options!$Z$9,0)</f>
        <v/>
      </c>
      <c r="M3277" s="13" t="n">
        <v>0</v>
      </c>
      <c r="N3277" s="13">
        <f>SUM(E3277:M3277)</f>
        <v/>
      </c>
    </row>
    <row r="3278">
      <c r="A3278" s="5">
        <f>IF(AND(C3278&gt;=Options!$B$9,C3278&lt;=Options!$B$10),"Seattle","")</f>
        <v/>
      </c>
      <c r="B3278" s="5">
        <f>IF(A3278="","",18)</f>
        <v/>
      </c>
      <c r="C3278" s="17" t="n">
        <v>46649</v>
      </c>
      <c r="D3278" s="5">
        <f>IF(A3278="","",IF(C3278=DATE(2026,11,29),"培训；注册午餐；早餐参数",IF(C3278=DATE(2026,11,30),"培训；注册午餐",IF(C3278=DATE(2026,12,1),"培训；注册午餐；机构晚餐",IF(C3278=Options!$B$9,"抵达；"&amp;IF(C3278=DATE(2026,11,28),"机构晚餐","无统一供餐"),IF(C3278=Options!$B$10,"返程；"&amp;IF(C3278=DATE(2026,12,2),"机构午餐","无统一供餐"),"差旅状态；无统一日程"))))))</f>
        <v/>
      </c>
      <c r="E3278" s="13">
        <f>IF(C3278=Options!$B$9,Options!$C$22,0)</f>
        <v/>
      </c>
      <c r="F3278" s="13">
        <f>IF(AND(A3278&lt;&gt;"",C3278&lt;Options!$B$10),B3278*Options!$X$9,0)</f>
        <v/>
      </c>
      <c r="G3278" s="13">
        <f>F3278*12%</f>
        <v/>
      </c>
      <c r="H3278" s="13">
        <f>IF(A3278="",0,B3278*(92*IF(OR(C3278=Options!$B$9,C3278=Options!$B$10),75%,100%)-IF(C3278=DATE(2026,11,29),26+IF(Options!$B$8="是",23,0),0)-IF(C3278=DATE(2026,11,30),26,0)-IF(C3278=DATE(2026,12,1),64,0)-IF(C3278=DATE(2026,11,28),38,0)-IF(C3278=DATE(2026,12,2),26,0)))</f>
        <v/>
      </c>
      <c r="I3278" s="13">
        <f>IF(AND(C3278&gt;=DATE(2026,11,29),C3278&lt;=DATE(2026,12,1)),B3278*60,0)</f>
        <v/>
      </c>
      <c r="J3278" s="13">
        <f>IF(A3278="",0,B3278*(IF(C3278=DATE(2026,11,28),38,0)+IF(C3278=DATE(2026,12,1),38,0)+IF(C3278=DATE(2026,12,2),26,0)))</f>
        <v/>
      </c>
      <c r="K3278" s="13">
        <f>IF(C3278=Options!$B$9,B3278*12,0)</f>
        <v/>
      </c>
      <c r="L3278" s="13">
        <f>IF(C3278=Options!$B$9,B3278*Options!$Z$9,0)</f>
        <v/>
      </c>
      <c r="M3278" s="13" t="n">
        <v>0</v>
      </c>
      <c r="N3278" s="13">
        <f>SUM(E3278:M3278)</f>
        <v/>
      </c>
    </row>
    <row r="3279">
      <c r="A3279" s="5">
        <f>IF(AND(C3279&gt;=Options!$B$9,C3279&lt;=Options!$B$10),"Seattle","")</f>
        <v/>
      </c>
      <c r="B3279" s="5">
        <f>IF(A3279="","",18)</f>
        <v/>
      </c>
      <c r="C3279" s="17" t="n">
        <v>46650</v>
      </c>
      <c r="D3279" s="5">
        <f>IF(A3279="","",IF(C3279=DATE(2026,11,29),"培训；注册午餐；早餐参数",IF(C3279=DATE(2026,11,30),"培训；注册午餐",IF(C3279=DATE(2026,12,1),"培训；注册午餐；机构晚餐",IF(C3279=Options!$B$9,"抵达；"&amp;IF(C3279=DATE(2026,11,28),"机构晚餐","无统一供餐"),IF(C3279=Options!$B$10,"返程；"&amp;IF(C3279=DATE(2026,12,2),"机构午餐","无统一供餐"),"差旅状态；无统一日程"))))))</f>
        <v/>
      </c>
      <c r="E3279" s="13">
        <f>IF(C3279=Options!$B$9,Options!$C$22,0)</f>
        <v/>
      </c>
      <c r="F3279" s="13">
        <f>IF(AND(A3279&lt;&gt;"",C3279&lt;Options!$B$10),B3279*Options!$X$9,0)</f>
        <v/>
      </c>
      <c r="G3279" s="13">
        <f>F3279*12%</f>
        <v/>
      </c>
      <c r="H3279" s="13">
        <f>IF(A3279="",0,B3279*(92*IF(OR(C3279=Options!$B$9,C3279=Options!$B$10),75%,100%)-IF(C3279=DATE(2026,11,29),26+IF(Options!$B$8="是",23,0),0)-IF(C3279=DATE(2026,11,30),26,0)-IF(C3279=DATE(2026,12,1),64,0)-IF(C3279=DATE(2026,11,28),38,0)-IF(C3279=DATE(2026,12,2),26,0)))</f>
        <v/>
      </c>
      <c r="I3279" s="13">
        <f>IF(AND(C3279&gt;=DATE(2026,11,29),C3279&lt;=DATE(2026,12,1)),B3279*60,0)</f>
        <v/>
      </c>
      <c r="J3279" s="13">
        <f>IF(A3279="",0,B3279*(IF(C3279=DATE(2026,11,28),38,0)+IF(C3279=DATE(2026,12,1),38,0)+IF(C3279=DATE(2026,12,2),26,0)))</f>
        <v/>
      </c>
      <c r="K3279" s="13">
        <f>IF(C3279=Options!$B$9,B3279*12,0)</f>
        <v/>
      </c>
      <c r="L3279" s="13">
        <f>IF(C3279=Options!$B$9,B3279*Options!$Z$9,0)</f>
        <v/>
      </c>
      <c r="M3279" s="13" t="n">
        <v>0</v>
      </c>
      <c r="N3279" s="13">
        <f>SUM(E3279:M3279)</f>
        <v/>
      </c>
    </row>
    <row r="3280">
      <c r="A3280" s="5">
        <f>IF(AND(C3280&gt;=Options!$B$9,C3280&lt;=Options!$B$10),"Seattle","")</f>
        <v/>
      </c>
      <c r="B3280" s="5">
        <f>IF(A3280="","",18)</f>
        <v/>
      </c>
      <c r="C3280" s="17" t="n">
        <v>46651</v>
      </c>
      <c r="D3280" s="5">
        <f>IF(A3280="","",IF(C3280=DATE(2026,11,29),"培训；注册午餐；早餐参数",IF(C3280=DATE(2026,11,30),"培训；注册午餐",IF(C3280=DATE(2026,12,1),"培训；注册午餐；机构晚餐",IF(C3280=Options!$B$9,"抵达；"&amp;IF(C3280=DATE(2026,11,28),"机构晚餐","无统一供餐"),IF(C3280=Options!$B$10,"返程；"&amp;IF(C3280=DATE(2026,12,2),"机构午餐","无统一供餐"),"差旅状态；无统一日程"))))))</f>
        <v/>
      </c>
      <c r="E3280" s="13">
        <f>IF(C3280=Options!$B$9,Options!$C$22,0)</f>
        <v/>
      </c>
      <c r="F3280" s="13">
        <f>IF(AND(A3280&lt;&gt;"",C3280&lt;Options!$B$10),B3280*Options!$X$9,0)</f>
        <v/>
      </c>
      <c r="G3280" s="13">
        <f>F3280*12%</f>
        <v/>
      </c>
      <c r="H3280" s="13">
        <f>IF(A3280="",0,B3280*(92*IF(OR(C3280=Options!$B$9,C3280=Options!$B$10),75%,100%)-IF(C3280=DATE(2026,11,29),26+IF(Options!$B$8="是",23,0),0)-IF(C3280=DATE(2026,11,30),26,0)-IF(C3280=DATE(2026,12,1),64,0)-IF(C3280=DATE(2026,11,28),38,0)-IF(C3280=DATE(2026,12,2),26,0)))</f>
        <v/>
      </c>
      <c r="I3280" s="13">
        <f>IF(AND(C3280&gt;=DATE(2026,11,29),C3280&lt;=DATE(2026,12,1)),B3280*60,0)</f>
        <v/>
      </c>
      <c r="J3280" s="13">
        <f>IF(A3280="",0,B3280*(IF(C3280=DATE(2026,11,28),38,0)+IF(C3280=DATE(2026,12,1),38,0)+IF(C3280=DATE(2026,12,2),26,0)))</f>
        <v/>
      </c>
      <c r="K3280" s="13">
        <f>IF(C3280=Options!$B$9,B3280*12,0)</f>
        <v/>
      </c>
      <c r="L3280" s="13">
        <f>IF(C3280=Options!$B$9,B3280*Options!$Z$9,0)</f>
        <v/>
      </c>
      <c r="M3280" s="13" t="n">
        <v>0</v>
      </c>
      <c r="N3280" s="13">
        <f>SUM(E3280:M3280)</f>
        <v/>
      </c>
    </row>
    <row r="3281">
      <c r="A3281" s="5">
        <f>IF(AND(C3281&gt;=Options!$B$9,C3281&lt;=Options!$B$10),"Seattle","")</f>
        <v/>
      </c>
      <c r="B3281" s="5">
        <f>IF(A3281="","",18)</f>
        <v/>
      </c>
      <c r="C3281" s="17" t="n">
        <v>46652</v>
      </c>
      <c r="D3281" s="5">
        <f>IF(A3281="","",IF(C3281=DATE(2026,11,29),"培训；注册午餐；早餐参数",IF(C3281=DATE(2026,11,30),"培训；注册午餐",IF(C3281=DATE(2026,12,1),"培训；注册午餐；机构晚餐",IF(C3281=Options!$B$9,"抵达；"&amp;IF(C3281=DATE(2026,11,28),"机构晚餐","无统一供餐"),IF(C3281=Options!$B$10,"返程；"&amp;IF(C3281=DATE(2026,12,2),"机构午餐","无统一供餐"),"差旅状态；无统一日程"))))))</f>
        <v/>
      </c>
      <c r="E3281" s="13">
        <f>IF(C3281=Options!$B$9,Options!$C$22,0)</f>
        <v/>
      </c>
      <c r="F3281" s="13">
        <f>IF(AND(A3281&lt;&gt;"",C3281&lt;Options!$B$10),B3281*Options!$X$9,0)</f>
        <v/>
      </c>
      <c r="G3281" s="13">
        <f>F3281*12%</f>
        <v/>
      </c>
      <c r="H3281" s="13">
        <f>IF(A3281="",0,B3281*(92*IF(OR(C3281=Options!$B$9,C3281=Options!$B$10),75%,100%)-IF(C3281=DATE(2026,11,29),26+IF(Options!$B$8="是",23,0),0)-IF(C3281=DATE(2026,11,30),26,0)-IF(C3281=DATE(2026,12,1),64,0)-IF(C3281=DATE(2026,11,28),38,0)-IF(C3281=DATE(2026,12,2),26,0)))</f>
        <v/>
      </c>
      <c r="I3281" s="13">
        <f>IF(AND(C3281&gt;=DATE(2026,11,29),C3281&lt;=DATE(2026,12,1)),B3281*60,0)</f>
        <v/>
      </c>
      <c r="J3281" s="13">
        <f>IF(A3281="",0,B3281*(IF(C3281=DATE(2026,11,28),38,0)+IF(C3281=DATE(2026,12,1),38,0)+IF(C3281=DATE(2026,12,2),26,0)))</f>
        <v/>
      </c>
      <c r="K3281" s="13">
        <f>IF(C3281=Options!$B$9,B3281*12,0)</f>
        <v/>
      </c>
      <c r="L3281" s="13">
        <f>IF(C3281=Options!$B$9,B3281*Options!$Z$9,0)</f>
        <v/>
      </c>
      <c r="M3281" s="13" t="n">
        <v>0</v>
      </c>
      <c r="N3281" s="13">
        <f>SUM(E3281:M3281)</f>
        <v/>
      </c>
    </row>
    <row r="3282">
      <c r="A3282" s="5">
        <f>IF(AND(C3282&gt;=Options!$B$9,C3282&lt;=Options!$B$10),"Seattle","")</f>
        <v/>
      </c>
      <c r="B3282" s="5">
        <f>IF(A3282="","",18)</f>
        <v/>
      </c>
      <c r="C3282" s="17" t="n">
        <v>46653</v>
      </c>
      <c r="D3282" s="5">
        <f>IF(A3282="","",IF(C3282=DATE(2026,11,29),"培训；注册午餐；早餐参数",IF(C3282=DATE(2026,11,30),"培训；注册午餐",IF(C3282=DATE(2026,12,1),"培训；注册午餐；机构晚餐",IF(C3282=Options!$B$9,"抵达；"&amp;IF(C3282=DATE(2026,11,28),"机构晚餐","无统一供餐"),IF(C3282=Options!$B$10,"返程；"&amp;IF(C3282=DATE(2026,12,2),"机构午餐","无统一供餐"),"差旅状态；无统一日程"))))))</f>
        <v/>
      </c>
      <c r="E3282" s="13">
        <f>IF(C3282=Options!$B$9,Options!$C$22,0)</f>
        <v/>
      </c>
      <c r="F3282" s="13">
        <f>IF(AND(A3282&lt;&gt;"",C3282&lt;Options!$B$10),B3282*Options!$X$9,0)</f>
        <v/>
      </c>
      <c r="G3282" s="13">
        <f>F3282*12%</f>
        <v/>
      </c>
      <c r="H3282" s="13">
        <f>IF(A3282="",0,B3282*(92*IF(OR(C3282=Options!$B$9,C3282=Options!$B$10),75%,100%)-IF(C3282=DATE(2026,11,29),26+IF(Options!$B$8="是",23,0),0)-IF(C3282=DATE(2026,11,30),26,0)-IF(C3282=DATE(2026,12,1),64,0)-IF(C3282=DATE(2026,11,28),38,0)-IF(C3282=DATE(2026,12,2),26,0)))</f>
        <v/>
      </c>
      <c r="I3282" s="13">
        <f>IF(AND(C3282&gt;=DATE(2026,11,29),C3282&lt;=DATE(2026,12,1)),B3282*60,0)</f>
        <v/>
      </c>
      <c r="J3282" s="13">
        <f>IF(A3282="",0,B3282*(IF(C3282=DATE(2026,11,28),38,0)+IF(C3282=DATE(2026,12,1),38,0)+IF(C3282=DATE(2026,12,2),26,0)))</f>
        <v/>
      </c>
      <c r="K3282" s="13">
        <f>IF(C3282=Options!$B$9,B3282*12,0)</f>
        <v/>
      </c>
      <c r="L3282" s="13">
        <f>IF(C3282=Options!$B$9,B3282*Options!$Z$9,0)</f>
        <v/>
      </c>
      <c r="M3282" s="13" t="n">
        <v>0</v>
      </c>
      <c r="N3282" s="13">
        <f>SUM(E3282:M3282)</f>
        <v/>
      </c>
    </row>
    <row r="3283">
      <c r="A3283" s="5">
        <f>IF(AND(C3283&gt;=Options!$B$9,C3283&lt;=Options!$B$10),"Seattle","")</f>
        <v/>
      </c>
      <c r="B3283" s="5">
        <f>IF(A3283="","",18)</f>
        <v/>
      </c>
      <c r="C3283" s="17" t="n">
        <v>46654</v>
      </c>
      <c r="D3283" s="5">
        <f>IF(A3283="","",IF(C3283=DATE(2026,11,29),"培训；注册午餐；早餐参数",IF(C3283=DATE(2026,11,30),"培训；注册午餐",IF(C3283=DATE(2026,12,1),"培训；注册午餐；机构晚餐",IF(C3283=Options!$B$9,"抵达；"&amp;IF(C3283=DATE(2026,11,28),"机构晚餐","无统一供餐"),IF(C3283=Options!$B$10,"返程；"&amp;IF(C3283=DATE(2026,12,2),"机构午餐","无统一供餐"),"差旅状态；无统一日程"))))))</f>
        <v/>
      </c>
      <c r="E3283" s="13">
        <f>IF(C3283=Options!$B$9,Options!$C$22,0)</f>
        <v/>
      </c>
      <c r="F3283" s="13">
        <f>IF(AND(A3283&lt;&gt;"",C3283&lt;Options!$B$10),B3283*Options!$X$9,0)</f>
        <v/>
      </c>
      <c r="G3283" s="13">
        <f>F3283*12%</f>
        <v/>
      </c>
      <c r="H3283" s="13">
        <f>IF(A3283="",0,B3283*(92*IF(OR(C3283=Options!$B$9,C3283=Options!$B$10),75%,100%)-IF(C3283=DATE(2026,11,29),26+IF(Options!$B$8="是",23,0),0)-IF(C3283=DATE(2026,11,30),26,0)-IF(C3283=DATE(2026,12,1),64,0)-IF(C3283=DATE(2026,11,28),38,0)-IF(C3283=DATE(2026,12,2),26,0)))</f>
        <v/>
      </c>
      <c r="I3283" s="13">
        <f>IF(AND(C3283&gt;=DATE(2026,11,29),C3283&lt;=DATE(2026,12,1)),B3283*60,0)</f>
        <v/>
      </c>
      <c r="J3283" s="13">
        <f>IF(A3283="",0,B3283*(IF(C3283=DATE(2026,11,28),38,0)+IF(C3283=DATE(2026,12,1),38,0)+IF(C3283=DATE(2026,12,2),26,0)))</f>
        <v/>
      </c>
      <c r="K3283" s="13">
        <f>IF(C3283=Options!$B$9,B3283*12,0)</f>
        <v/>
      </c>
      <c r="L3283" s="13">
        <f>IF(C3283=Options!$B$9,B3283*Options!$Z$9,0)</f>
        <v/>
      </c>
      <c r="M3283" s="13" t="n">
        <v>0</v>
      </c>
      <c r="N3283" s="13">
        <f>SUM(E3283:M3283)</f>
        <v/>
      </c>
    </row>
    <row r="3284">
      <c r="A3284" s="5">
        <f>IF(AND(C3284&gt;=Options!$B$9,C3284&lt;=Options!$B$10),"Seattle","")</f>
        <v/>
      </c>
      <c r="B3284" s="5">
        <f>IF(A3284="","",18)</f>
        <v/>
      </c>
      <c r="C3284" s="17" t="n">
        <v>46655</v>
      </c>
      <c r="D3284" s="5">
        <f>IF(A3284="","",IF(C3284=DATE(2026,11,29),"培训；注册午餐；早餐参数",IF(C3284=DATE(2026,11,30),"培训；注册午餐",IF(C3284=DATE(2026,12,1),"培训；注册午餐；机构晚餐",IF(C3284=Options!$B$9,"抵达；"&amp;IF(C3284=DATE(2026,11,28),"机构晚餐","无统一供餐"),IF(C3284=Options!$B$10,"返程；"&amp;IF(C3284=DATE(2026,12,2),"机构午餐","无统一供餐"),"差旅状态；无统一日程"))))))</f>
        <v/>
      </c>
      <c r="E3284" s="13">
        <f>IF(C3284=Options!$B$9,Options!$C$22,0)</f>
        <v/>
      </c>
      <c r="F3284" s="13">
        <f>IF(AND(A3284&lt;&gt;"",C3284&lt;Options!$B$10),B3284*Options!$X$9,0)</f>
        <v/>
      </c>
      <c r="G3284" s="13">
        <f>F3284*12%</f>
        <v/>
      </c>
      <c r="H3284" s="13">
        <f>IF(A3284="",0,B3284*(92*IF(OR(C3284=Options!$B$9,C3284=Options!$B$10),75%,100%)-IF(C3284=DATE(2026,11,29),26+IF(Options!$B$8="是",23,0),0)-IF(C3284=DATE(2026,11,30),26,0)-IF(C3284=DATE(2026,12,1),64,0)-IF(C3284=DATE(2026,11,28),38,0)-IF(C3284=DATE(2026,12,2),26,0)))</f>
        <v/>
      </c>
      <c r="I3284" s="13">
        <f>IF(AND(C3284&gt;=DATE(2026,11,29),C3284&lt;=DATE(2026,12,1)),B3284*60,0)</f>
        <v/>
      </c>
      <c r="J3284" s="13">
        <f>IF(A3284="",0,B3284*(IF(C3284=DATE(2026,11,28),38,0)+IF(C3284=DATE(2026,12,1),38,0)+IF(C3284=DATE(2026,12,2),26,0)))</f>
        <v/>
      </c>
      <c r="K3284" s="13">
        <f>IF(C3284=Options!$B$9,B3284*12,0)</f>
        <v/>
      </c>
      <c r="L3284" s="13">
        <f>IF(C3284=Options!$B$9,B3284*Options!$Z$9,0)</f>
        <v/>
      </c>
      <c r="M3284" s="13" t="n">
        <v>0</v>
      </c>
      <c r="N3284" s="13">
        <f>SUM(E3284:M3284)</f>
        <v/>
      </c>
    </row>
    <row r="3285">
      <c r="A3285" s="5">
        <f>IF(AND(C3285&gt;=Options!$B$9,C3285&lt;=Options!$B$10),"Seattle","")</f>
        <v/>
      </c>
      <c r="B3285" s="5">
        <f>IF(A3285="","",18)</f>
        <v/>
      </c>
      <c r="C3285" s="17" t="n">
        <v>46656</v>
      </c>
      <c r="D3285" s="5">
        <f>IF(A3285="","",IF(C3285=DATE(2026,11,29),"培训；注册午餐；早餐参数",IF(C3285=DATE(2026,11,30),"培训；注册午餐",IF(C3285=DATE(2026,12,1),"培训；注册午餐；机构晚餐",IF(C3285=Options!$B$9,"抵达；"&amp;IF(C3285=DATE(2026,11,28),"机构晚餐","无统一供餐"),IF(C3285=Options!$B$10,"返程；"&amp;IF(C3285=DATE(2026,12,2),"机构午餐","无统一供餐"),"差旅状态；无统一日程"))))))</f>
        <v/>
      </c>
      <c r="E3285" s="13">
        <f>IF(C3285=Options!$B$9,Options!$C$22,0)</f>
        <v/>
      </c>
      <c r="F3285" s="13">
        <f>IF(AND(A3285&lt;&gt;"",C3285&lt;Options!$B$10),B3285*Options!$X$9,0)</f>
        <v/>
      </c>
      <c r="G3285" s="13">
        <f>F3285*12%</f>
        <v/>
      </c>
      <c r="H3285" s="13">
        <f>IF(A3285="",0,B3285*(92*IF(OR(C3285=Options!$B$9,C3285=Options!$B$10),75%,100%)-IF(C3285=DATE(2026,11,29),26+IF(Options!$B$8="是",23,0),0)-IF(C3285=DATE(2026,11,30),26,0)-IF(C3285=DATE(2026,12,1),64,0)-IF(C3285=DATE(2026,11,28),38,0)-IF(C3285=DATE(2026,12,2),26,0)))</f>
        <v/>
      </c>
      <c r="I3285" s="13">
        <f>IF(AND(C3285&gt;=DATE(2026,11,29),C3285&lt;=DATE(2026,12,1)),B3285*60,0)</f>
        <v/>
      </c>
      <c r="J3285" s="13">
        <f>IF(A3285="",0,B3285*(IF(C3285=DATE(2026,11,28),38,0)+IF(C3285=DATE(2026,12,1),38,0)+IF(C3285=DATE(2026,12,2),26,0)))</f>
        <v/>
      </c>
      <c r="K3285" s="13">
        <f>IF(C3285=Options!$B$9,B3285*12,0)</f>
        <v/>
      </c>
      <c r="L3285" s="13">
        <f>IF(C3285=Options!$B$9,B3285*Options!$Z$9,0)</f>
        <v/>
      </c>
      <c r="M3285" s="13" t="n">
        <v>0</v>
      </c>
      <c r="N3285" s="13">
        <f>SUM(E3285:M3285)</f>
        <v/>
      </c>
    </row>
    <row r="3286">
      <c r="A3286" s="5">
        <f>IF(AND(C3286&gt;=Options!$B$9,C3286&lt;=Options!$B$10),"Seattle","")</f>
        <v/>
      </c>
      <c r="B3286" s="5">
        <f>IF(A3286="","",18)</f>
        <v/>
      </c>
      <c r="C3286" s="17" t="n">
        <v>46657</v>
      </c>
      <c r="D3286" s="5">
        <f>IF(A3286="","",IF(C3286=DATE(2026,11,29),"培训；注册午餐；早餐参数",IF(C3286=DATE(2026,11,30),"培训；注册午餐",IF(C3286=DATE(2026,12,1),"培训；注册午餐；机构晚餐",IF(C3286=Options!$B$9,"抵达；"&amp;IF(C3286=DATE(2026,11,28),"机构晚餐","无统一供餐"),IF(C3286=Options!$B$10,"返程；"&amp;IF(C3286=DATE(2026,12,2),"机构午餐","无统一供餐"),"差旅状态；无统一日程"))))))</f>
        <v/>
      </c>
      <c r="E3286" s="13">
        <f>IF(C3286=Options!$B$9,Options!$C$22,0)</f>
        <v/>
      </c>
      <c r="F3286" s="13">
        <f>IF(AND(A3286&lt;&gt;"",C3286&lt;Options!$B$10),B3286*Options!$X$9,0)</f>
        <v/>
      </c>
      <c r="G3286" s="13">
        <f>F3286*12%</f>
        <v/>
      </c>
      <c r="H3286" s="13">
        <f>IF(A3286="",0,B3286*(92*IF(OR(C3286=Options!$B$9,C3286=Options!$B$10),75%,100%)-IF(C3286=DATE(2026,11,29),26+IF(Options!$B$8="是",23,0),0)-IF(C3286=DATE(2026,11,30),26,0)-IF(C3286=DATE(2026,12,1),64,0)-IF(C3286=DATE(2026,11,28),38,0)-IF(C3286=DATE(2026,12,2),26,0)))</f>
        <v/>
      </c>
      <c r="I3286" s="13">
        <f>IF(AND(C3286&gt;=DATE(2026,11,29),C3286&lt;=DATE(2026,12,1)),B3286*60,0)</f>
        <v/>
      </c>
      <c r="J3286" s="13">
        <f>IF(A3286="",0,B3286*(IF(C3286=DATE(2026,11,28),38,0)+IF(C3286=DATE(2026,12,1),38,0)+IF(C3286=DATE(2026,12,2),26,0)))</f>
        <v/>
      </c>
      <c r="K3286" s="13">
        <f>IF(C3286=Options!$B$9,B3286*12,0)</f>
        <v/>
      </c>
      <c r="L3286" s="13">
        <f>IF(C3286=Options!$B$9,B3286*Options!$Z$9,0)</f>
        <v/>
      </c>
      <c r="M3286" s="13" t="n">
        <v>0</v>
      </c>
      <c r="N3286" s="13">
        <f>SUM(E3286:M3286)</f>
        <v/>
      </c>
    </row>
    <row r="3287">
      <c r="A3287" s="5">
        <f>IF(AND(C3287&gt;=Options!$B$9,C3287&lt;=Options!$B$10),"Seattle","")</f>
        <v/>
      </c>
      <c r="B3287" s="5">
        <f>IF(A3287="","",18)</f>
        <v/>
      </c>
      <c r="C3287" s="17" t="n">
        <v>46658</v>
      </c>
      <c r="D3287" s="5">
        <f>IF(A3287="","",IF(C3287=DATE(2026,11,29),"培训；注册午餐；早餐参数",IF(C3287=DATE(2026,11,30),"培训；注册午餐",IF(C3287=DATE(2026,12,1),"培训；注册午餐；机构晚餐",IF(C3287=Options!$B$9,"抵达；"&amp;IF(C3287=DATE(2026,11,28),"机构晚餐","无统一供餐"),IF(C3287=Options!$B$10,"返程；"&amp;IF(C3287=DATE(2026,12,2),"机构午餐","无统一供餐"),"差旅状态；无统一日程"))))))</f>
        <v/>
      </c>
      <c r="E3287" s="13">
        <f>IF(C3287=Options!$B$9,Options!$C$22,0)</f>
        <v/>
      </c>
      <c r="F3287" s="13">
        <f>IF(AND(A3287&lt;&gt;"",C3287&lt;Options!$B$10),B3287*Options!$X$9,0)</f>
        <v/>
      </c>
      <c r="G3287" s="13">
        <f>F3287*12%</f>
        <v/>
      </c>
      <c r="H3287" s="13">
        <f>IF(A3287="",0,B3287*(92*IF(OR(C3287=Options!$B$9,C3287=Options!$B$10),75%,100%)-IF(C3287=DATE(2026,11,29),26+IF(Options!$B$8="是",23,0),0)-IF(C3287=DATE(2026,11,30),26,0)-IF(C3287=DATE(2026,12,1),64,0)-IF(C3287=DATE(2026,11,28),38,0)-IF(C3287=DATE(2026,12,2),26,0)))</f>
        <v/>
      </c>
      <c r="I3287" s="13">
        <f>IF(AND(C3287&gt;=DATE(2026,11,29),C3287&lt;=DATE(2026,12,1)),B3287*60,0)</f>
        <v/>
      </c>
      <c r="J3287" s="13">
        <f>IF(A3287="",0,B3287*(IF(C3287=DATE(2026,11,28),38,0)+IF(C3287=DATE(2026,12,1),38,0)+IF(C3287=DATE(2026,12,2),26,0)))</f>
        <v/>
      </c>
      <c r="K3287" s="13">
        <f>IF(C3287=Options!$B$9,B3287*12,0)</f>
        <v/>
      </c>
      <c r="L3287" s="13">
        <f>IF(C3287=Options!$B$9,B3287*Options!$Z$9,0)</f>
        <v/>
      </c>
      <c r="M3287" s="13" t="n">
        <v>0</v>
      </c>
      <c r="N3287" s="13">
        <f>SUM(E3287:M3287)</f>
        <v/>
      </c>
    </row>
    <row r="3288">
      <c r="A3288" s="5">
        <f>IF(AND(C3288&gt;=Options!$B$9,C3288&lt;=Options!$B$10),"Seattle","")</f>
        <v/>
      </c>
      <c r="B3288" s="5">
        <f>IF(A3288="","",18)</f>
        <v/>
      </c>
      <c r="C3288" s="17" t="n">
        <v>46659</v>
      </c>
      <c r="D3288" s="5">
        <f>IF(A3288="","",IF(C3288=DATE(2026,11,29),"培训；注册午餐；早餐参数",IF(C3288=DATE(2026,11,30),"培训；注册午餐",IF(C3288=DATE(2026,12,1),"培训；注册午餐；机构晚餐",IF(C3288=Options!$B$9,"抵达；"&amp;IF(C3288=DATE(2026,11,28),"机构晚餐","无统一供餐"),IF(C3288=Options!$B$10,"返程；"&amp;IF(C3288=DATE(2026,12,2),"机构午餐","无统一供餐"),"差旅状态；无统一日程"))))))</f>
        <v/>
      </c>
      <c r="E3288" s="13">
        <f>IF(C3288=Options!$B$9,Options!$C$22,0)</f>
        <v/>
      </c>
      <c r="F3288" s="13">
        <f>IF(AND(A3288&lt;&gt;"",C3288&lt;Options!$B$10),B3288*Options!$X$9,0)</f>
        <v/>
      </c>
      <c r="G3288" s="13">
        <f>F3288*12%</f>
        <v/>
      </c>
      <c r="H3288" s="13">
        <f>IF(A3288="",0,B3288*(92*IF(OR(C3288=Options!$B$9,C3288=Options!$B$10),75%,100%)-IF(C3288=DATE(2026,11,29),26+IF(Options!$B$8="是",23,0),0)-IF(C3288=DATE(2026,11,30),26,0)-IF(C3288=DATE(2026,12,1),64,0)-IF(C3288=DATE(2026,11,28),38,0)-IF(C3288=DATE(2026,12,2),26,0)))</f>
        <v/>
      </c>
      <c r="I3288" s="13">
        <f>IF(AND(C3288&gt;=DATE(2026,11,29),C3288&lt;=DATE(2026,12,1)),B3288*60,0)</f>
        <v/>
      </c>
      <c r="J3288" s="13">
        <f>IF(A3288="",0,B3288*(IF(C3288=DATE(2026,11,28),38,0)+IF(C3288=DATE(2026,12,1),38,0)+IF(C3288=DATE(2026,12,2),26,0)))</f>
        <v/>
      </c>
      <c r="K3288" s="13">
        <f>IF(C3288=Options!$B$9,B3288*12,0)</f>
        <v/>
      </c>
      <c r="L3288" s="13">
        <f>IF(C3288=Options!$B$9,B3288*Options!$Z$9,0)</f>
        <v/>
      </c>
      <c r="M3288" s="13" t="n">
        <v>0</v>
      </c>
      <c r="N3288" s="13">
        <f>SUM(E3288:M3288)</f>
        <v/>
      </c>
    </row>
    <row r="3289">
      <c r="A3289" s="5">
        <f>IF(AND(C3289&gt;=Options!$B$9,C3289&lt;=Options!$B$10),"Seattle","")</f>
        <v/>
      </c>
      <c r="B3289" s="5">
        <f>IF(A3289="","",18)</f>
        <v/>
      </c>
      <c r="C3289" s="17" t="n">
        <v>46660</v>
      </c>
      <c r="D3289" s="5">
        <f>IF(A3289="","",IF(C3289=DATE(2026,11,29),"培训；注册午餐；早餐参数",IF(C3289=DATE(2026,11,30),"培训；注册午餐",IF(C3289=DATE(2026,12,1),"培训；注册午餐；机构晚餐",IF(C3289=Options!$B$9,"抵达；"&amp;IF(C3289=DATE(2026,11,28),"机构晚餐","无统一供餐"),IF(C3289=Options!$B$10,"返程；"&amp;IF(C3289=DATE(2026,12,2),"机构午餐","无统一供餐"),"差旅状态；无统一日程"))))))</f>
        <v/>
      </c>
      <c r="E3289" s="13">
        <f>IF(C3289=Options!$B$9,Options!$C$22,0)</f>
        <v/>
      </c>
      <c r="F3289" s="13">
        <f>IF(AND(A3289&lt;&gt;"",C3289&lt;Options!$B$10),B3289*Options!$X$9,0)</f>
        <v/>
      </c>
      <c r="G3289" s="13">
        <f>F3289*12%</f>
        <v/>
      </c>
      <c r="H3289" s="13">
        <f>IF(A3289="",0,B3289*(92*IF(OR(C3289=Options!$B$9,C3289=Options!$B$10),75%,100%)-IF(C3289=DATE(2026,11,29),26+IF(Options!$B$8="是",23,0),0)-IF(C3289=DATE(2026,11,30),26,0)-IF(C3289=DATE(2026,12,1),64,0)-IF(C3289=DATE(2026,11,28),38,0)-IF(C3289=DATE(2026,12,2),26,0)))</f>
        <v/>
      </c>
      <c r="I3289" s="13">
        <f>IF(AND(C3289&gt;=DATE(2026,11,29),C3289&lt;=DATE(2026,12,1)),B3289*60,0)</f>
        <v/>
      </c>
      <c r="J3289" s="13">
        <f>IF(A3289="",0,B3289*(IF(C3289=DATE(2026,11,28),38,0)+IF(C3289=DATE(2026,12,1),38,0)+IF(C3289=DATE(2026,12,2),26,0)))</f>
        <v/>
      </c>
      <c r="K3289" s="13">
        <f>IF(C3289=Options!$B$9,B3289*12,0)</f>
        <v/>
      </c>
      <c r="L3289" s="13">
        <f>IF(C3289=Options!$B$9,B3289*Options!$Z$9,0)</f>
        <v/>
      </c>
      <c r="M3289" s="13" t="n">
        <v>0</v>
      </c>
      <c r="N3289" s="13">
        <f>SUM(E3289:M3289)</f>
        <v/>
      </c>
    </row>
    <row r="3290">
      <c r="A3290" s="5">
        <f>IF(AND(C3290&gt;=Options!$B$9,C3290&lt;=Options!$B$10),"Seattle","")</f>
        <v/>
      </c>
      <c r="B3290" s="5">
        <f>IF(A3290="","",24)</f>
        <v/>
      </c>
      <c r="C3290" s="17" t="n">
        <v>46296</v>
      </c>
      <c r="D3290" s="5">
        <f>IF(A3290="","",IF(C3290=DATE(2026,11,29),"培训；注册午餐；早餐参数",IF(C3290=DATE(2026,11,30),"培训；注册午餐",IF(C3290=DATE(2026,12,1),"培训；注册午餐；机构晚餐",IF(C3290=Options!$B$9,"抵达；"&amp;IF(C3290=DATE(2026,11,28),"机构晚餐","无统一供餐"),IF(C3290=Options!$B$10,"返程；"&amp;IF(C3290=DATE(2026,12,2),"机构午餐","无统一供餐"),"差旅状态；无统一日程"))))))</f>
        <v/>
      </c>
      <c r="E3290" s="13">
        <f>IF(C3290=Options!$B$9,Options!$C$23,0)</f>
        <v/>
      </c>
      <c r="F3290" s="13">
        <f>IF(AND(A3290&lt;&gt;"",C3290&lt;Options!$B$10),B3290*Options!$X$9,0)</f>
        <v/>
      </c>
      <c r="G3290" s="13">
        <f>F3290*12%</f>
        <v/>
      </c>
      <c r="H3290" s="13">
        <f>IF(A3290="",0,B3290*(92*IF(OR(C3290=Options!$B$9,C3290=Options!$B$10),75%,100%)-IF(C3290=DATE(2026,11,29),26+IF(Options!$B$8="是",23,0),0)-IF(C3290=DATE(2026,11,30),26,0)-IF(C3290=DATE(2026,12,1),64,0)-IF(C3290=DATE(2026,11,28),38,0)-IF(C3290=DATE(2026,12,2),26,0)))</f>
        <v/>
      </c>
      <c r="I3290" s="13">
        <f>IF(AND(C3290&gt;=DATE(2026,11,29),C3290&lt;=DATE(2026,12,1)),B3290*60,0)</f>
        <v/>
      </c>
      <c r="J3290" s="13">
        <f>IF(A3290="",0,B3290*(IF(C3290=DATE(2026,11,28),38,0)+IF(C3290=DATE(2026,12,1),38,0)+IF(C3290=DATE(2026,12,2),26,0)))</f>
        <v/>
      </c>
      <c r="K3290" s="13">
        <f>IF(C3290=Options!$B$9,B3290*12,0)</f>
        <v/>
      </c>
      <c r="L3290" s="13">
        <f>IF(C3290=Options!$B$9,B3290*Options!$Z$9,0)</f>
        <v/>
      </c>
      <c r="M3290" s="13" t="n">
        <v>0</v>
      </c>
      <c r="N3290" s="13">
        <f>SUM(E3290:M3290)</f>
        <v/>
      </c>
    </row>
    <row r="3291">
      <c r="A3291" s="5">
        <f>IF(AND(C3291&gt;=Options!$B$9,C3291&lt;=Options!$B$10),"Seattle","")</f>
        <v/>
      </c>
      <c r="B3291" s="5">
        <f>IF(A3291="","",24)</f>
        <v/>
      </c>
      <c r="C3291" s="17" t="n">
        <v>46297</v>
      </c>
      <c r="D3291" s="5">
        <f>IF(A3291="","",IF(C3291=DATE(2026,11,29),"培训；注册午餐；早餐参数",IF(C3291=DATE(2026,11,30),"培训；注册午餐",IF(C3291=DATE(2026,12,1),"培训；注册午餐；机构晚餐",IF(C3291=Options!$B$9,"抵达；"&amp;IF(C3291=DATE(2026,11,28),"机构晚餐","无统一供餐"),IF(C3291=Options!$B$10,"返程；"&amp;IF(C3291=DATE(2026,12,2),"机构午餐","无统一供餐"),"差旅状态；无统一日程"))))))</f>
        <v/>
      </c>
      <c r="E3291" s="13">
        <f>IF(C3291=Options!$B$9,Options!$C$23,0)</f>
        <v/>
      </c>
      <c r="F3291" s="13">
        <f>IF(AND(A3291&lt;&gt;"",C3291&lt;Options!$B$10),B3291*Options!$X$9,0)</f>
        <v/>
      </c>
      <c r="G3291" s="13">
        <f>F3291*12%</f>
        <v/>
      </c>
      <c r="H3291" s="13">
        <f>IF(A3291="",0,B3291*(92*IF(OR(C3291=Options!$B$9,C3291=Options!$B$10),75%,100%)-IF(C3291=DATE(2026,11,29),26+IF(Options!$B$8="是",23,0),0)-IF(C3291=DATE(2026,11,30),26,0)-IF(C3291=DATE(2026,12,1),64,0)-IF(C3291=DATE(2026,11,28),38,0)-IF(C3291=DATE(2026,12,2),26,0)))</f>
        <v/>
      </c>
      <c r="I3291" s="13">
        <f>IF(AND(C3291&gt;=DATE(2026,11,29),C3291&lt;=DATE(2026,12,1)),B3291*60,0)</f>
        <v/>
      </c>
      <c r="J3291" s="13">
        <f>IF(A3291="",0,B3291*(IF(C3291=DATE(2026,11,28),38,0)+IF(C3291=DATE(2026,12,1),38,0)+IF(C3291=DATE(2026,12,2),26,0)))</f>
        <v/>
      </c>
      <c r="K3291" s="13">
        <f>IF(C3291=Options!$B$9,B3291*12,0)</f>
        <v/>
      </c>
      <c r="L3291" s="13">
        <f>IF(C3291=Options!$B$9,B3291*Options!$Z$9,0)</f>
        <v/>
      </c>
      <c r="M3291" s="13" t="n">
        <v>0</v>
      </c>
      <c r="N3291" s="13">
        <f>SUM(E3291:M3291)</f>
        <v/>
      </c>
    </row>
    <row r="3292">
      <c r="A3292" s="5">
        <f>IF(AND(C3292&gt;=Options!$B$9,C3292&lt;=Options!$B$10),"Seattle","")</f>
        <v/>
      </c>
      <c r="B3292" s="5">
        <f>IF(A3292="","",24)</f>
        <v/>
      </c>
      <c r="C3292" s="17" t="n">
        <v>46298</v>
      </c>
      <c r="D3292" s="5">
        <f>IF(A3292="","",IF(C3292=DATE(2026,11,29),"培训；注册午餐；早餐参数",IF(C3292=DATE(2026,11,30),"培训；注册午餐",IF(C3292=DATE(2026,12,1),"培训；注册午餐；机构晚餐",IF(C3292=Options!$B$9,"抵达；"&amp;IF(C3292=DATE(2026,11,28),"机构晚餐","无统一供餐"),IF(C3292=Options!$B$10,"返程；"&amp;IF(C3292=DATE(2026,12,2),"机构午餐","无统一供餐"),"差旅状态；无统一日程"))))))</f>
        <v/>
      </c>
      <c r="E3292" s="13">
        <f>IF(C3292=Options!$B$9,Options!$C$23,0)</f>
        <v/>
      </c>
      <c r="F3292" s="13">
        <f>IF(AND(A3292&lt;&gt;"",C3292&lt;Options!$B$10),B3292*Options!$X$9,0)</f>
        <v/>
      </c>
      <c r="G3292" s="13">
        <f>F3292*12%</f>
        <v/>
      </c>
      <c r="H3292" s="13">
        <f>IF(A3292="",0,B3292*(92*IF(OR(C3292=Options!$B$9,C3292=Options!$B$10),75%,100%)-IF(C3292=DATE(2026,11,29),26+IF(Options!$B$8="是",23,0),0)-IF(C3292=DATE(2026,11,30),26,0)-IF(C3292=DATE(2026,12,1),64,0)-IF(C3292=DATE(2026,11,28),38,0)-IF(C3292=DATE(2026,12,2),26,0)))</f>
        <v/>
      </c>
      <c r="I3292" s="13">
        <f>IF(AND(C3292&gt;=DATE(2026,11,29),C3292&lt;=DATE(2026,12,1)),B3292*60,0)</f>
        <v/>
      </c>
      <c r="J3292" s="13">
        <f>IF(A3292="",0,B3292*(IF(C3292=DATE(2026,11,28),38,0)+IF(C3292=DATE(2026,12,1),38,0)+IF(C3292=DATE(2026,12,2),26,0)))</f>
        <v/>
      </c>
      <c r="K3292" s="13">
        <f>IF(C3292=Options!$B$9,B3292*12,0)</f>
        <v/>
      </c>
      <c r="L3292" s="13">
        <f>IF(C3292=Options!$B$9,B3292*Options!$Z$9,0)</f>
        <v/>
      </c>
      <c r="M3292" s="13" t="n">
        <v>0</v>
      </c>
      <c r="N3292" s="13">
        <f>SUM(E3292:M3292)</f>
        <v/>
      </c>
    </row>
    <row r="3293">
      <c r="A3293" s="5">
        <f>IF(AND(C3293&gt;=Options!$B$9,C3293&lt;=Options!$B$10),"Seattle","")</f>
        <v/>
      </c>
      <c r="B3293" s="5">
        <f>IF(A3293="","",24)</f>
        <v/>
      </c>
      <c r="C3293" s="17" t="n">
        <v>46299</v>
      </c>
      <c r="D3293" s="5">
        <f>IF(A3293="","",IF(C3293=DATE(2026,11,29),"培训；注册午餐；早餐参数",IF(C3293=DATE(2026,11,30),"培训；注册午餐",IF(C3293=DATE(2026,12,1),"培训；注册午餐；机构晚餐",IF(C3293=Options!$B$9,"抵达；"&amp;IF(C3293=DATE(2026,11,28),"机构晚餐","无统一供餐"),IF(C3293=Options!$B$10,"返程；"&amp;IF(C3293=DATE(2026,12,2),"机构午餐","无统一供餐"),"差旅状态；无统一日程"))))))</f>
        <v/>
      </c>
      <c r="E3293" s="13">
        <f>IF(C3293=Options!$B$9,Options!$C$23,0)</f>
        <v/>
      </c>
      <c r="F3293" s="13">
        <f>IF(AND(A3293&lt;&gt;"",C3293&lt;Options!$B$10),B3293*Options!$X$9,0)</f>
        <v/>
      </c>
      <c r="G3293" s="13">
        <f>F3293*12%</f>
        <v/>
      </c>
      <c r="H3293" s="13">
        <f>IF(A3293="",0,B3293*(92*IF(OR(C3293=Options!$B$9,C3293=Options!$B$10),75%,100%)-IF(C3293=DATE(2026,11,29),26+IF(Options!$B$8="是",23,0),0)-IF(C3293=DATE(2026,11,30),26,0)-IF(C3293=DATE(2026,12,1),64,0)-IF(C3293=DATE(2026,11,28),38,0)-IF(C3293=DATE(2026,12,2),26,0)))</f>
        <v/>
      </c>
      <c r="I3293" s="13">
        <f>IF(AND(C3293&gt;=DATE(2026,11,29),C3293&lt;=DATE(2026,12,1)),B3293*60,0)</f>
        <v/>
      </c>
      <c r="J3293" s="13">
        <f>IF(A3293="",0,B3293*(IF(C3293=DATE(2026,11,28),38,0)+IF(C3293=DATE(2026,12,1),38,0)+IF(C3293=DATE(2026,12,2),26,0)))</f>
        <v/>
      </c>
      <c r="K3293" s="13">
        <f>IF(C3293=Options!$B$9,B3293*12,0)</f>
        <v/>
      </c>
      <c r="L3293" s="13">
        <f>IF(C3293=Options!$B$9,B3293*Options!$Z$9,0)</f>
        <v/>
      </c>
      <c r="M3293" s="13" t="n">
        <v>0</v>
      </c>
      <c r="N3293" s="13">
        <f>SUM(E3293:M3293)</f>
        <v/>
      </c>
    </row>
    <row r="3294">
      <c r="A3294" s="5">
        <f>IF(AND(C3294&gt;=Options!$B$9,C3294&lt;=Options!$B$10),"Seattle","")</f>
        <v/>
      </c>
      <c r="B3294" s="5">
        <f>IF(A3294="","",24)</f>
        <v/>
      </c>
      <c r="C3294" s="17" t="n">
        <v>46300</v>
      </c>
      <c r="D3294" s="5">
        <f>IF(A3294="","",IF(C3294=DATE(2026,11,29),"培训；注册午餐；早餐参数",IF(C3294=DATE(2026,11,30),"培训；注册午餐",IF(C3294=DATE(2026,12,1),"培训；注册午餐；机构晚餐",IF(C3294=Options!$B$9,"抵达；"&amp;IF(C3294=DATE(2026,11,28),"机构晚餐","无统一供餐"),IF(C3294=Options!$B$10,"返程；"&amp;IF(C3294=DATE(2026,12,2),"机构午餐","无统一供餐"),"差旅状态；无统一日程"))))))</f>
        <v/>
      </c>
      <c r="E3294" s="13">
        <f>IF(C3294=Options!$B$9,Options!$C$23,0)</f>
        <v/>
      </c>
      <c r="F3294" s="13">
        <f>IF(AND(A3294&lt;&gt;"",C3294&lt;Options!$B$10),B3294*Options!$X$9,0)</f>
        <v/>
      </c>
      <c r="G3294" s="13">
        <f>F3294*12%</f>
        <v/>
      </c>
      <c r="H3294" s="13">
        <f>IF(A3294="",0,B3294*(92*IF(OR(C3294=Options!$B$9,C3294=Options!$B$10),75%,100%)-IF(C3294=DATE(2026,11,29),26+IF(Options!$B$8="是",23,0),0)-IF(C3294=DATE(2026,11,30),26,0)-IF(C3294=DATE(2026,12,1),64,0)-IF(C3294=DATE(2026,11,28),38,0)-IF(C3294=DATE(2026,12,2),26,0)))</f>
        <v/>
      </c>
      <c r="I3294" s="13">
        <f>IF(AND(C3294&gt;=DATE(2026,11,29),C3294&lt;=DATE(2026,12,1)),B3294*60,0)</f>
        <v/>
      </c>
      <c r="J3294" s="13">
        <f>IF(A3294="",0,B3294*(IF(C3294=DATE(2026,11,28),38,0)+IF(C3294=DATE(2026,12,1),38,0)+IF(C3294=DATE(2026,12,2),26,0)))</f>
        <v/>
      </c>
      <c r="K3294" s="13">
        <f>IF(C3294=Options!$B$9,B3294*12,0)</f>
        <v/>
      </c>
      <c r="L3294" s="13">
        <f>IF(C3294=Options!$B$9,B3294*Options!$Z$9,0)</f>
        <v/>
      </c>
      <c r="M3294" s="13" t="n">
        <v>0</v>
      </c>
      <c r="N3294" s="13">
        <f>SUM(E3294:M3294)</f>
        <v/>
      </c>
    </row>
    <row r="3295">
      <c r="A3295" s="5">
        <f>IF(AND(C3295&gt;=Options!$B$9,C3295&lt;=Options!$B$10),"Seattle","")</f>
        <v/>
      </c>
      <c r="B3295" s="5">
        <f>IF(A3295="","",24)</f>
        <v/>
      </c>
      <c r="C3295" s="17" t="n">
        <v>46301</v>
      </c>
      <c r="D3295" s="5">
        <f>IF(A3295="","",IF(C3295=DATE(2026,11,29),"培训；注册午餐；早餐参数",IF(C3295=DATE(2026,11,30),"培训；注册午餐",IF(C3295=DATE(2026,12,1),"培训；注册午餐；机构晚餐",IF(C3295=Options!$B$9,"抵达；"&amp;IF(C3295=DATE(2026,11,28),"机构晚餐","无统一供餐"),IF(C3295=Options!$B$10,"返程；"&amp;IF(C3295=DATE(2026,12,2),"机构午餐","无统一供餐"),"差旅状态；无统一日程"))))))</f>
        <v/>
      </c>
      <c r="E3295" s="13">
        <f>IF(C3295=Options!$B$9,Options!$C$23,0)</f>
        <v/>
      </c>
      <c r="F3295" s="13">
        <f>IF(AND(A3295&lt;&gt;"",C3295&lt;Options!$B$10),B3295*Options!$X$9,0)</f>
        <v/>
      </c>
      <c r="G3295" s="13">
        <f>F3295*12%</f>
        <v/>
      </c>
      <c r="H3295" s="13">
        <f>IF(A3295="",0,B3295*(92*IF(OR(C3295=Options!$B$9,C3295=Options!$B$10),75%,100%)-IF(C3295=DATE(2026,11,29),26+IF(Options!$B$8="是",23,0),0)-IF(C3295=DATE(2026,11,30),26,0)-IF(C3295=DATE(2026,12,1),64,0)-IF(C3295=DATE(2026,11,28),38,0)-IF(C3295=DATE(2026,12,2),26,0)))</f>
        <v/>
      </c>
      <c r="I3295" s="13">
        <f>IF(AND(C3295&gt;=DATE(2026,11,29),C3295&lt;=DATE(2026,12,1)),B3295*60,0)</f>
        <v/>
      </c>
      <c r="J3295" s="13">
        <f>IF(A3295="",0,B3295*(IF(C3295=DATE(2026,11,28),38,0)+IF(C3295=DATE(2026,12,1),38,0)+IF(C3295=DATE(2026,12,2),26,0)))</f>
        <v/>
      </c>
      <c r="K3295" s="13">
        <f>IF(C3295=Options!$B$9,B3295*12,0)</f>
        <v/>
      </c>
      <c r="L3295" s="13">
        <f>IF(C3295=Options!$B$9,B3295*Options!$Z$9,0)</f>
        <v/>
      </c>
      <c r="M3295" s="13" t="n">
        <v>0</v>
      </c>
      <c r="N3295" s="13">
        <f>SUM(E3295:M3295)</f>
        <v/>
      </c>
    </row>
    <row r="3296">
      <c r="A3296" s="5">
        <f>IF(AND(C3296&gt;=Options!$B$9,C3296&lt;=Options!$B$10),"Seattle","")</f>
        <v/>
      </c>
      <c r="B3296" s="5">
        <f>IF(A3296="","",24)</f>
        <v/>
      </c>
      <c r="C3296" s="17" t="n">
        <v>46302</v>
      </c>
      <c r="D3296" s="5">
        <f>IF(A3296="","",IF(C3296=DATE(2026,11,29),"培训；注册午餐；早餐参数",IF(C3296=DATE(2026,11,30),"培训；注册午餐",IF(C3296=DATE(2026,12,1),"培训；注册午餐；机构晚餐",IF(C3296=Options!$B$9,"抵达；"&amp;IF(C3296=DATE(2026,11,28),"机构晚餐","无统一供餐"),IF(C3296=Options!$B$10,"返程；"&amp;IF(C3296=DATE(2026,12,2),"机构午餐","无统一供餐"),"差旅状态；无统一日程"))))))</f>
        <v/>
      </c>
      <c r="E3296" s="13">
        <f>IF(C3296=Options!$B$9,Options!$C$23,0)</f>
        <v/>
      </c>
      <c r="F3296" s="13">
        <f>IF(AND(A3296&lt;&gt;"",C3296&lt;Options!$B$10),B3296*Options!$X$9,0)</f>
        <v/>
      </c>
      <c r="G3296" s="13">
        <f>F3296*12%</f>
        <v/>
      </c>
      <c r="H3296" s="13">
        <f>IF(A3296="",0,B3296*(92*IF(OR(C3296=Options!$B$9,C3296=Options!$B$10),75%,100%)-IF(C3296=DATE(2026,11,29),26+IF(Options!$B$8="是",23,0),0)-IF(C3296=DATE(2026,11,30),26,0)-IF(C3296=DATE(2026,12,1),64,0)-IF(C3296=DATE(2026,11,28),38,0)-IF(C3296=DATE(2026,12,2),26,0)))</f>
        <v/>
      </c>
      <c r="I3296" s="13">
        <f>IF(AND(C3296&gt;=DATE(2026,11,29),C3296&lt;=DATE(2026,12,1)),B3296*60,0)</f>
        <v/>
      </c>
      <c r="J3296" s="13">
        <f>IF(A3296="",0,B3296*(IF(C3296=DATE(2026,11,28),38,0)+IF(C3296=DATE(2026,12,1),38,0)+IF(C3296=DATE(2026,12,2),26,0)))</f>
        <v/>
      </c>
      <c r="K3296" s="13">
        <f>IF(C3296=Options!$B$9,B3296*12,0)</f>
        <v/>
      </c>
      <c r="L3296" s="13">
        <f>IF(C3296=Options!$B$9,B3296*Options!$Z$9,0)</f>
        <v/>
      </c>
      <c r="M3296" s="13" t="n">
        <v>0</v>
      </c>
      <c r="N3296" s="13">
        <f>SUM(E3296:M3296)</f>
        <v/>
      </c>
    </row>
    <row r="3297">
      <c r="A3297" s="5">
        <f>IF(AND(C3297&gt;=Options!$B$9,C3297&lt;=Options!$B$10),"Seattle","")</f>
        <v/>
      </c>
      <c r="B3297" s="5">
        <f>IF(A3297="","",24)</f>
        <v/>
      </c>
      <c r="C3297" s="17" t="n">
        <v>46303</v>
      </c>
      <c r="D3297" s="5">
        <f>IF(A3297="","",IF(C3297=DATE(2026,11,29),"培训；注册午餐；早餐参数",IF(C3297=DATE(2026,11,30),"培训；注册午餐",IF(C3297=DATE(2026,12,1),"培训；注册午餐；机构晚餐",IF(C3297=Options!$B$9,"抵达；"&amp;IF(C3297=DATE(2026,11,28),"机构晚餐","无统一供餐"),IF(C3297=Options!$B$10,"返程；"&amp;IF(C3297=DATE(2026,12,2),"机构午餐","无统一供餐"),"差旅状态；无统一日程"))))))</f>
        <v/>
      </c>
      <c r="E3297" s="13">
        <f>IF(C3297=Options!$B$9,Options!$C$23,0)</f>
        <v/>
      </c>
      <c r="F3297" s="13">
        <f>IF(AND(A3297&lt;&gt;"",C3297&lt;Options!$B$10),B3297*Options!$X$9,0)</f>
        <v/>
      </c>
      <c r="G3297" s="13">
        <f>F3297*12%</f>
        <v/>
      </c>
      <c r="H3297" s="13">
        <f>IF(A3297="",0,B3297*(92*IF(OR(C3297=Options!$B$9,C3297=Options!$B$10),75%,100%)-IF(C3297=DATE(2026,11,29),26+IF(Options!$B$8="是",23,0),0)-IF(C3297=DATE(2026,11,30),26,0)-IF(C3297=DATE(2026,12,1),64,0)-IF(C3297=DATE(2026,11,28),38,0)-IF(C3297=DATE(2026,12,2),26,0)))</f>
        <v/>
      </c>
      <c r="I3297" s="13">
        <f>IF(AND(C3297&gt;=DATE(2026,11,29),C3297&lt;=DATE(2026,12,1)),B3297*60,0)</f>
        <v/>
      </c>
      <c r="J3297" s="13">
        <f>IF(A3297="",0,B3297*(IF(C3297=DATE(2026,11,28),38,0)+IF(C3297=DATE(2026,12,1),38,0)+IF(C3297=DATE(2026,12,2),26,0)))</f>
        <v/>
      </c>
      <c r="K3297" s="13">
        <f>IF(C3297=Options!$B$9,B3297*12,0)</f>
        <v/>
      </c>
      <c r="L3297" s="13">
        <f>IF(C3297=Options!$B$9,B3297*Options!$Z$9,0)</f>
        <v/>
      </c>
      <c r="M3297" s="13" t="n">
        <v>0</v>
      </c>
      <c r="N3297" s="13">
        <f>SUM(E3297:M3297)</f>
        <v/>
      </c>
    </row>
    <row r="3298">
      <c r="A3298" s="5">
        <f>IF(AND(C3298&gt;=Options!$B$9,C3298&lt;=Options!$B$10),"Seattle","")</f>
        <v/>
      </c>
      <c r="B3298" s="5">
        <f>IF(A3298="","",24)</f>
        <v/>
      </c>
      <c r="C3298" s="17" t="n">
        <v>46304</v>
      </c>
      <c r="D3298" s="5">
        <f>IF(A3298="","",IF(C3298=DATE(2026,11,29),"培训；注册午餐；早餐参数",IF(C3298=DATE(2026,11,30),"培训；注册午餐",IF(C3298=DATE(2026,12,1),"培训；注册午餐；机构晚餐",IF(C3298=Options!$B$9,"抵达；"&amp;IF(C3298=DATE(2026,11,28),"机构晚餐","无统一供餐"),IF(C3298=Options!$B$10,"返程；"&amp;IF(C3298=DATE(2026,12,2),"机构午餐","无统一供餐"),"差旅状态；无统一日程"))))))</f>
        <v/>
      </c>
      <c r="E3298" s="13">
        <f>IF(C3298=Options!$B$9,Options!$C$23,0)</f>
        <v/>
      </c>
      <c r="F3298" s="13">
        <f>IF(AND(A3298&lt;&gt;"",C3298&lt;Options!$B$10),B3298*Options!$X$9,0)</f>
        <v/>
      </c>
      <c r="G3298" s="13">
        <f>F3298*12%</f>
        <v/>
      </c>
      <c r="H3298" s="13">
        <f>IF(A3298="",0,B3298*(92*IF(OR(C3298=Options!$B$9,C3298=Options!$B$10),75%,100%)-IF(C3298=DATE(2026,11,29),26+IF(Options!$B$8="是",23,0),0)-IF(C3298=DATE(2026,11,30),26,0)-IF(C3298=DATE(2026,12,1),64,0)-IF(C3298=DATE(2026,11,28),38,0)-IF(C3298=DATE(2026,12,2),26,0)))</f>
        <v/>
      </c>
      <c r="I3298" s="13">
        <f>IF(AND(C3298&gt;=DATE(2026,11,29),C3298&lt;=DATE(2026,12,1)),B3298*60,0)</f>
        <v/>
      </c>
      <c r="J3298" s="13">
        <f>IF(A3298="",0,B3298*(IF(C3298=DATE(2026,11,28),38,0)+IF(C3298=DATE(2026,12,1),38,0)+IF(C3298=DATE(2026,12,2),26,0)))</f>
        <v/>
      </c>
      <c r="K3298" s="13">
        <f>IF(C3298=Options!$B$9,B3298*12,0)</f>
        <v/>
      </c>
      <c r="L3298" s="13">
        <f>IF(C3298=Options!$B$9,B3298*Options!$Z$9,0)</f>
        <v/>
      </c>
      <c r="M3298" s="13" t="n">
        <v>0</v>
      </c>
      <c r="N3298" s="13">
        <f>SUM(E3298:M3298)</f>
        <v/>
      </c>
    </row>
    <row r="3299">
      <c r="A3299" s="5">
        <f>IF(AND(C3299&gt;=Options!$B$9,C3299&lt;=Options!$B$10),"Seattle","")</f>
        <v/>
      </c>
      <c r="B3299" s="5">
        <f>IF(A3299="","",24)</f>
        <v/>
      </c>
      <c r="C3299" s="17" t="n">
        <v>46305</v>
      </c>
      <c r="D3299" s="5">
        <f>IF(A3299="","",IF(C3299=DATE(2026,11,29),"培训；注册午餐；早餐参数",IF(C3299=DATE(2026,11,30),"培训；注册午餐",IF(C3299=DATE(2026,12,1),"培训；注册午餐；机构晚餐",IF(C3299=Options!$B$9,"抵达；"&amp;IF(C3299=DATE(2026,11,28),"机构晚餐","无统一供餐"),IF(C3299=Options!$B$10,"返程；"&amp;IF(C3299=DATE(2026,12,2),"机构午餐","无统一供餐"),"差旅状态；无统一日程"))))))</f>
        <v/>
      </c>
      <c r="E3299" s="13">
        <f>IF(C3299=Options!$B$9,Options!$C$23,0)</f>
        <v/>
      </c>
      <c r="F3299" s="13">
        <f>IF(AND(A3299&lt;&gt;"",C3299&lt;Options!$B$10),B3299*Options!$X$9,0)</f>
        <v/>
      </c>
      <c r="G3299" s="13">
        <f>F3299*12%</f>
        <v/>
      </c>
      <c r="H3299" s="13">
        <f>IF(A3299="",0,B3299*(92*IF(OR(C3299=Options!$B$9,C3299=Options!$B$10),75%,100%)-IF(C3299=DATE(2026,11,29),26+IF(Options!$B$8="是",23,0),0)-IF(C3299=DATE(2026,11,30),26,0)-IF(C3299=DATE(2026,12,1),64,0)-IF(C3299=DATE(2026,11,28),38,0)-IF(C3299=DATE(2026,12,2),26,0)))</f>
        <v/>
      </c>
      <c r="I3299" s="13">
        <f>IF(AND(C3299&gt;=DATE(2026,11,29),C3299&lt;=DATE(2026,12,1)),B3299*60,0)</f>
        <v/>
      </c>
      <c r="J3299" s="13">
        <f>IF(A3299="",0,B3299*(IF(C3299=DATE(2026,11,28),38,0)+IF(C3299=DATE(2026,12,1),38,0)+IF(C3299=DATE(2026,12,2),26,0)))</f>
        <v/>
      </c>
      <c r="K3299" s="13">
        <f>IF(C3299=Options!$B$9,B3299*12,0)</f>
        <v/>
      </c>
      <c r="L3299" s="13">
        <f>IF(C3299=Options!$B$9,B3299*Options!$Z$9,0)</f>
        <v/>
      </c>
      <c r="M3299" s="13" t="n">
        <v>0</v>
      </c>
      <c r="N3299" s="13">
        <f>SUM(E3299:M3299)</f>
        <v/>
      </c>
    </row>
    <row r="3300">
      <c r="A3300" s="5">
        <f>IF(AND(C3300&gt;=Options!$B$9,C3300&lt;=Options!$B$10),"Seattle","")</f>
        <v/>
      </c>
      <c r="B3300" s="5">
        <f>IF(A3300="","",24)</f>
        <v/>
      </c>
      <c r="C3300" s="17" t="n">
        <v>46306</v>
      </c>
      <c r="D3300" s="5">
        <f>IF(A3300="","",IF(C3300=DATE(2026,11,29),"培训；注册午餐；早餐参数",IF(C3300=DATE(2026,11,30),"培训；注册午餐",IF(C3300=DATE(2026,12,1),"培训；注册午餐；机构晚餐",IF(C3300=Options!$B$9,"抵达；"&amp;IF(C3300=DATE(2026,11,28),"机构晚餐","无统一供餐"),IF(C3300=Options!$B$10,"返程；"&amp;IF(C3300=DATE(2026,12,2),"机构午餐","无统一供餐"),"差旅状态；无统一日程"))))))</f>
        <v/>
      </c>
      <c r="E3300" s="13">
        <f>IF(C3300=Options!$B$9,Options!$C$23,0)</f>
        <v/>
      </c>
      <c r="F3300" s="13">
        <f>IF(AND(A3300&lt;&gt;"",C3300&lt;Options!$B$10),B3300*Options!$X$9,0)</f>
        <v/>
      </c>
      <c r="G3300" s="13">
        <f>F3300*12%</f>
        <v/>
      </c>
      <c r="H3300" s="13">
        <f>IF(A3300="",0,B3300*(92*IF(OR(C3300=Options!$B$9,C3300=Options!$B$10),75%,100%)-IF(C3300=DATE(2026,11,29),26+IF(Options!$B$8="是",23,0),0)-IF(C3300=DATE(2026,11,30),26,0)-IF(C3300=DATE(2026,12,1),64,0)-IF(C3300=DATE(2026,11,28),38,0)-IF(C3300=DATE(2026,12,2),26,0)))</f>
        <v/>
      </c>
      <c r="I3300" s="13">
        <f>IF(AND(C3300&gt;=DATE(2026,11,29),C3300&lt;=DATE(2026,12,1)),B3300*60,0)</f>
        <v/>
      </c>
      <c r="J3300" s="13">
        <f>IF(A3300="",0,B3300*(IF(C3300=DATE(2026,11,28),38,0)+IF(C3300=DATE(2026,12,1),38,0)+IF(C3300=DATE(2026,12,2),26,0)))</f>
        <v/>
      </c>
      <c r="K3300" s="13">
        <f>IF(C3300=Options!$B$9,B3300*12,0)</f>
        <v/>
      </c>
      <c r="L3300" s="13">
        <f>IF(C3300=Options!$B$9,B3300*Options!$Z$9,0)</f>
        <v/>
      </c>
      <c r="M3300" s="13" t="n">
        <v>0</v>
      </c>
      <c r="N3300" s="13">
        <f>SUM(E3300:M3300)</f>
        <v/>
      </c>
    </row>
    <row r="3301">
      <c r="A3301" s="5">
        <f>IF(AND(C3301&gt;=Options!$B$9,C3301&lt;=Options!$B$10),"Seattle","")</f>
        <v/>
      </c>
      <c r="B3301" s="5">
        <f>IF(A3301="","",24)</f>
        <v/>
      </c>
      <c r="C3301" s="17" t="n">
        <v>46307</v>
      </c>
      <c r="D3301" s="5">
        <f>IF(A3301="","",IF(C3301=DATE(2026,11,29),"培训；注册午餐；早餐参数",IF(C3301=DATE(2026,11,30),"培训；注册午餐",IF(C3301=DATE(2026,12,1),"培训；注册午餐；机构晚餐",IF(C3301=Options!$B$9,"抵达；"&amp;IF(C3301=DATE(2026,11,28),"机构晚餐","无统一供餐"),IF(C3301=Options!$B$10,"返程；"&amp;IF(C3301=DATE(2026,12,2),"机构午餐","无统一供餐"),"差旅状态；无统一日程"))))))</f>
        <v/>
      </c>
      <c r="E3301" s="13">
        <f>IF(C3301=Options!$B$9,Options!$C$23,0)</f>
        <v/>
      </c>
      <c r="F3301" s="13">
        <f>IF(AND(A3301&lt;&gt;"",C3301&lt;Options!$B$10),B3301*Options!$X$9,0)</f>
        <v/>
      </c>
      <c r="G3301" s="13">
        <f>F3301*12%</f>
        <v/>
      </c>
      <c r="H3301" s="13">
        <f>IF(A3301="",0,B3301*(92*IF(OR(C3301=Options!$B$9,C3301=Options!$B$10),75%,100%)-IF(C3301=DATE(2026,11,29),26+IF(Options!$B$8="是",23,0),0)-IF(C3301=DATE(2026,11,30),26,0)-IF(C3301=DATE(2026,12,1),64,0)-IF(C3301=DATE(2026,11,28),38,0)-IF(C3301=DATE(2026,12,2),26,0)))</f>
        <v/>
      </c>
      <c r="I3301" s="13">
        <f>IF(AND(C3301&gt;=DATE(2026,11,29),C3301&lt;=DATE(2026,12,1)),B3301*60,0)</f>
        <v/>
      </c>
      <c r="J3301" s="13">
        <f>IF(A3301="",0,B3301*(IF(C3301=DATE(2026,11,28),38,0)+IF(C3301=DATE(2026,12,1),38,0)+IF(C3301=DATE(2026,12,2),26,0)))</f>
        <v/>
      </c>
      <c r="K3301" s="13">
        <f>IF(C3301=Options!$B$9,B3301*12,0)</f>
        <v/>
      </c>
      <c r="L3301" s="13">
        <f>IF(C3301=Options!$B$9,B3301*Options!$Z$9,0)</f>
        <v/>
      </c>
      <c r="M3301" s="13" t="n">
        <v>0</v>
      </c>
      <c r="N3301" s="13">
        <f>SUM(E3301:M3301)</f>
        <v/>
      </c>
    </row>
    <row r="3302">
      <c r="A3302" s="5">
        <f>IF(AND(C3302&gt;=Options!$B$9,C3302&lt;=Options!$B$10),"Seattle","")</f>
        <v/>
      </c>
      <c r="B3302" s="5">
        <f>IF(A3302="","",24)</f>
        <v/>
      </c>
      <c r="C3302" s="17" t="n">
        <v>46308</v>
      </c>
      <c r="D3302" s="5">
        <f>IF(A3302="","",IF(C3302=DATE(2026,11,29),"培训；注册午餐；早餐参数",IF(C3302=DATE(2026,11,30),"培训；注册午餐",IF(C3302=DATE(2026,12,1),"培训；注册午餐；机构晚餐",IF(C3302=Options!$B$9,"抵达；"&amp;IF(C3302=DATE(2026,11,28),"机构晚餐","无统一供餐"),IF(C3302=Options!$B$10,"返程；"&amp;IF(C3302=DATE(2026,12,2),"机构午餐","无统一供餐"),"差旅状态；无统一日程"))))))</f>
        <v/>
      </c>
      <c r="E3302" s="13">
        <f>IF(C3302=Options!$B$9,Options!$C$23,0)</f>
        <v/>
      </c>
      <c r="F3302" s="13">
        <f>IF(AND(A3302&lt;&gt;"",C3302&lt;Options!$B$10),B3302*Options!$X$9,0)</f>
        <v/>
      </c>
      <c r="G3302" s="13">
        <f>F3302*12%</f>
        <v/>
      </c>
      <c r="H3302" s="13">
        <f>IF(A3302="",0,B3302*(92*IF(OR(C3302=Options!$B$9,C3302=Options!$B$10),75%,100%)-IF(C3302=DATE(2026,11,29),26+IF(Options!$B$8="是",23,0),0)-IF(C3302=DATE(2026,11,30),26,0)-IF(C3302=DATE(2026,12,1),64,0)-IF(C3302=DATE(2026,11,28),38,0)-IF(C3302=DATE(2026,12,2),26,0)))</f>
        <v/>
      </c>
      <c r="I3302" s="13">
        <f>IF(AND(C3302&gt;=DATE(2026,11,29),C3302&lt;=DATE(2026,12,1)),B3302*60,0)</f>
        <v/>
      </c>
      <c r="J3302" s="13">
        <f>IF(A3302="",0,B3302*(IF(C3302=DATE(2026,11,28),38,0)+IF(C3302=DATE(2026,12,1),38,0)+IF(C3302=DATE(2026,12,2),26,0)))</f>
        <v/>
      </c>
      <c r="K3302" s="13">
        <f>IF(C3302=Options!$B$9,B3302*12,0)</f>
        <v/>
      </c>
      <c r="L3302" s="13">
        <f>IF(C3302=Options!$B$9,B3302*Options!$Z$9,0)</f>
        <v/>
      </c>
      <c r="M3302" s="13" t="n">
        <v>0</v>
      </c>
      <c r="N3302" s="13">
        <f>SUM(E3302:M3302)</f>
        <v/>
      </c>
    </row>
    <row r="3303">
      <c r="A3303" s="5">
        <f>IF(AND(C3303&gt;=Options!$B$9,C3303&lt;=Options!$B$10),"Seattle","")</f>
        <v/>
      </c>
      <c r="B3303" s="5">
        <f>IF(A3303="","",24)</f>
        <v/>
      </c>
      <c r="C3303" s="17" t="n">
        <v>46309</v>
      </c>
      <c r="D3303" s="5">
        <f>IF(A3303="","",IF(C3303=DATE(2026,11,29),"培训；注册午餐；早餐参数",IF(C3303=DATE(2026,11,30),"培训；注册午餐",IF(C3303=DATE(2026,12,1),"培训；注册午餐；机构晚餐",IF(C3303=Options!$B$9,"抵达；"&amp;IF(C3303=DATE(2026,11,28),"机构晚餐","无统一供餐"),IF(C3303=Options!$B$10,"返程；"&amp;IF(C3303=DATE(2026,12,2),"机构午餐","无统一供餐"),"差旅状态；无统一日程"))))))</f>
        <v/>
      </c>
      <c r="E3303" s="13">
        <f>IF(C3303=Options!$B$9,Options!$C$23,0)</f>
        <v/>
      </c>
      <c r="F3303" s="13">
        <f>IF(AND(A3303&lt;&gt;"",C3303&lt;Options!$B$10),B3303*Options!$X$9,0)</f>
        <v/>
      </c>
      <c r="G3303" s="13">
        <f>F3303*12%</f>
        <v/>
      </c>
      <c r="H3303" s="13">
        <f>IF(A3303="",0,B3303*(92*IF(OR(C3303=Options!$B$9,C3303=Options!$B$10),75%,100%)-IF(C3303=DATE(2026,11,29),26+IF(Options!$B$8="是",23,0),0)-IF(C3303=DATE(2026,11,30),26,0)-IF(C3303=DATE(2026,12,1),64,0)-IF(C3303=DATE(2026,11,28),38,0)-IF(C3303=DATE(2026,12,2),26,0)))</f>
        <v/>
      </c>
      <c r="I3303" s="13">
        <f>IF(AND(C3303&gt;=DATE(2026,11,29),C3303&lt;=DATE(2026,12,1)),B3303*60,0)</f>
        <v/>
      </c>
      <c r="J3303" s="13">
        <f>IF(A3303="",0,B3303*(IF(C3303=DATE(2026,11,28),38,0)+IF(C3303=DATE(2026,12,1),38,0)+IF(C3303=DATE(2026,12,2),26,0)))</f>
        <v/>
      </c>
      <c r="K3303" s="13">
        <f>IF(C3303=Options!$B$9,B3303*12,0)</f>
        <v/>
      </c>
      <c r="L3303" s="13">
        <f>IF(C3303=Options!$B$9,B3303*Options!$Z$9,0)</f>
        <v/>
      </c>
      <c r="M3303" s="13" t="n">
        <v>0</v>
      </c>
      <c r="N3303" s="13">
        <f>SUM(E3303:M3303)</f>
        <v/>
      </c>
    </row>
    <row r="3304">
      <c r="A3304" s="5">
        <f>IF(AND(C3304&gt;=Options!$B$9,C3304&lt;=Options!$B$10),"Seattle","")</f>
        <v/>
      </c>
      <c r="B3304" s="5">
        <f>IF(A3304="","",24)</f>
        <v/>
      </c>
      <c r="C3304" s="17" t="n">
        <v>46310</v>
      </c>
      <c r="D3304" s="5">
        <f>IF(A3304="","",IF(C3304=DATE(2026,11,29),"培训；注册午餐；早餐参数",IF(C3304=DATE(2026,11,30),"培训；注册午餐",IF(C3304=DATE(2026,12,1),"培训；注册午餐；机构晚餐",IF(C3304=Options!$B$9,"抵达；"&amp;IF(C3304=DATE(2026,11,28),"机构晚餐","无统一供餐"),IF(C3304=Options!$B$10,"返程；"&amp;IF(C3304=DATE(2026,12,2),"机构午餐","无统一供餐"),"差旅状态；无统一日程"))))))</f>
        <v/>
      </c>
      <c r="E3304" s="13">
        <f>IF(C3304=Options!$B$9,Options!$C$23,0)</f>
        <v/>
      </c>
      <c r="F3304" s="13">
        <f>IF(AND(A3304&lt;&gt;"",C3304&lt;Options!$B$10),B3304*Options!$X$9,0)</f>
        <v/>
      </c>
      <c r="G3304" s="13">
        <f>F3304*12%</f>
        <v/>
      </c>
      <c r="H3304" s="13">
        <f>IF(A3304="",0,B3304*(92*IF(OR(C3304=Options!$B$9,C3304=Options!$B$10),75%,100%)-IF(C3304=DATE(2026,11,29),26+IF(Options!$B$8="是",23,0),0)-IF(C3304=DATE(2026,11,30),26,0)-IF(C3304=DATE(2026,12,1),64,0)-IF(C3304=DATE(2026,11,28),38,0)-IF(C3304=DATE(2026,12,2),26,0)))</f>
        <v/>
      </c>
      <c r="I3304" s="13">
        <f>IF(AND(C3304&gt;=DATE(2026,11,29),C3304&lt;=DATE(2026,12,1)),B3304*60,0)</f>
        <v/>
      </c>
      <c r="J3304" s="13">
        <f>IF(A3304="",0,B3304*(IF(C3304=DATE(2026,11,28),38,0)+IF(C3304=DATE(2026,12,1),38,0)+IF(C3304=DATE(2026,12,2),26,0)))</f>
        <v/>
      </c>
      <c r="K3304" s="13">
        <f>IF(C3304=Options!$B$9,B3304*12,0)</f>
        <v/>
      </c>
      <c r="L3304" s="13">
        <f>IF(C3304=Options!$B$9,B3304*Options!$Z$9,0)</f>
        <v/>
      </c>
      <c r="M3304" s="13" t="n">
        <v>0</v>
      </c>
      <c r="N3304" s="13">
        <f>SUM(E3304:M3304)</f>
        <v/>
      </c>
    </row>
    <row r="3305">
      <c r="A3305" s="5">
        <f>IF(AND(C3305&gt;=Options!$B$9,C3305&lt;=Options!$B$10),"Seattle","")</f>
        <v/>
      </c>
      <c r="B3305" s="5">
        <f>IF(A3305="","",24)</f>
        <v/>
      </c>
      <c r="C3305" s="17" t="n">
        <v>46311</v>
      </c>
      <c r="D3305" s="5">
        <f>IF(A3305="","",IF(C3305=DATE(2026,11,29),"培训；注册午餐；早餐参数",IF(C3305=DATE(2026,11,30),"培训；注册午餐",IF(C3305=DATE(2026,12,1),"培训；注册午餐；机构晚餐",IF(C3305=Options!$B$9,"抵达；"&amp;IF(C3305=DATE(2026,11,28),"机构晚餐","无统一供餐"),IF(C3305=Options!$B$10,"返程；"&amp;IF(C3305=DATE(2026,12,2),"机构午餐","无统一供餐"),"差旅状态；无统一日程"))))))</f>
        <v/>
      </c>
      <c r="E3305" s="13">
        <f>IF(C3305=Options!$B$9,Options!$C$23,0)</f>
        <v/>
      </c>
      <c r="F3305" s="13">
        <f>IF(AND(A3305&lt;&gt;"",C3305&lt;Options!$B$10),B3305*Options!$X$9,0)</f>
        <v/>
      </c>
      <c r="G3305" s="13">
        <f>F3305*12%</f>
        <v/>
      </c>
      <c r="H3305" s="13">
        <f>IF(A3305="",0,B3305*(92*IF(OR(C3305=Options!$B$9,C3305=Options!$B$10),75%,100%)-IF(C3305=DATE(2026,11,29),26+IF(Options!$B$8="是",23,0),0)-IF(C3305=DATE(2026,11,30),26,0)-IF(C3305=DATE(2026,12,1),64,0)-IF(C3305=DATE(2026,11,28),38,0)-IF(C3305=DATE(2026,12,2),26,0)))</f>
        <v/>
      </c>
      <c r="I3305" s="13">
        <f>IF(AND(C3305&gt;=DATE(2026,11,29),C3305&lt;=DATE(2026,12,1)),B3305*60,0)</f>
        <v/>
      </c>
      <c r="J3305" s="13">
        <f>IF(A3305="",0,B3305*(IF(C3305=DATE(2026,11,28),38,0)+IF(C3305=DATE(2026,12,1),38,0)+IF(C3305=DATE(2026,12,2),26,0)))</f>
        <v/>
      </c>
      <c r="K3305" s="13">
        <f>IF(C3305=Options!$B$9,B3305*12,0)</f>
        <v/>
      </c>
      <c r="L3305" s="13">
        <f>IF(C3305=Options!$B$9,B3305*Options!$Z$9,0)</f>
        <v/>
      </c>
      <c r="M3305" s="13" t="n">
        <v>0</v>
      </c>
      <c r="N3305" s="13">
        <f>SUM(E3305:M3305)</f>
        <v/>
      </c>
    </row>
    <row r="3306">
      <c r="A3306" s="5">
        <f>IF(AND(C3306&gt;=Options!$B$9,C3306&lt;=Options!$B$10),"Seattle","")</f>
        <v/>
      </c>
      <c r="B3306" s="5">
        <f>IF(A3306="","",24)</f>
        <v/>
      </c>
      <c r="C3306" s="17" t="n">
        <v>46312</v>
      </c>
      <c r="D3306" s="5">
        <f>IF(A3306="","",IF(C3306=DATE(2026,11,29),"培训；注册午餐；早餐参数",IF(C3306=DATE(2026,11,30),"培训；注册午餐",IF(C3306=DATE(2026,12,1),"培训；注册午餐；机构晚餐",IF(C3306=Options!$B$9,"抵达；"&amp;IF(C3306=DATE(2026,11,28),"机构晚餐","无统一供餐"),IF(C3306=Options!$B$10,"返程；"&amp;IF(C3306=DATE(2026,12,2),"机构午餐","无统一供餐"),"差旅状态；无统一日程"))))))</f>
        <v/>
      </c>
      <c r="E3306" s="13">
        <f>IF(C3306=Options!$B$9,Options!$C$23,0)</f>
        <v/>
      </c>
      <c r="F3306" s="13">
        <f>IF(AND(A3306&lt;&gt;"",C3306&lt;Options!$B$10),B3306*Options!$X$9,0)</f>
        <v/>
      </c>
      <c r="G3306" s="13">
        <f>F3306*12%</f>
        <v/>
      </c>
      <c r="H3306" s="13">
        <f>IF(A3306="",0,B3306*(92*IF(OR(C3306=Options!$B$9,C3306=Options!$B$10),75%,100%)-IF(C3306=DATE(2026,11,29),26+IF(Options!$B$8="是",23,0),0)-IF(C3306=DATE(2026,11,30),26,0)-IF(C3306=DATE(2026,12,1),64,0)-IF(C3306=DATE(2026,11,28),38,0)-IF(C3306=DATE(2026,12,2),26,0)))</f>
        <v/>
      </c>
      <c r="I3306" s="13">
        <f>IF(AND(C3306&gt;=DATE(2026,11,29),C3306&lt;=DATE(2026,12,1)),B3306*60,0)</f>
        <v/>
      </c>
      <c r="J3306" s="13">
        <f>IF(A3306="",0,B3306*(IF(C3306=DATE(2026,11,28),38,0)+IF(C3306=DATE(2026,12,1),38,0)+IF(C3306=DATE(2026,12,2),26,0)))</f>
        <v/>
      </c>
      <c r="K3306" s="13">
        <f>IF(C3306=Options!$B$9,B3306*12,0)</f>
        <v/>
      </c>
      <c r="L3306" s="13">
        <f>IF(C3306=Options!$B$9,B3306*Options!$Z$9,0)</f>
        <v/>
      </c>
      <c r="M3306" s="13" t="n">
        <v>0</v>
      </c>
      <c r="N3306" s="13">
        <f>SUM(E3306:M3306)</f>
        <v/>
      </c>
    </row>
    <row r="3307">
      <c r="A3307" s="5">
        <f>IF(AND(C3307&gt;=Options!$B$9,C3307&lt;=Options!$B$10),"Seattle","")</f>
        <v/>
      </c>
      <c r="B3307" s="5">
        <f>IF(A3307="","",24)</f>
        <v/>
      </c>
      <c r="C3307" s="17" t="n">
        <v>46313</v>
      </c>
      <c r="D3307" s="5">
        <f>IF(A3307="","",IF(C3307=DATE(2026,11,29),"培训；注册午餐；早餐参数",IF(C3307=DATE(2026,11,30),"培训；注册午餐",IF(C3307=DATE(2026,12,1),"培训；注册午餐；机构晚餐",IF(C3307=Options!$B$9,"抵达；"&amp;IF(C3307=DATE(2026,11,28),"机构晚餐","无统一供餐"),IF(C3307=Options!$B$10,"返程；"&amp;IF(C3307=DATE(2026,12,2),"机构午餐","无统一供餐"),"差旅状态；无统一日程"))))))</f>
        <v/>
      </c>
      <c r="E3307" s="13">
        <f>IF(C3307=Options!$B$9,Options!$C$23,0)</f>
        <v/>
      </c>
      <c r="F3307" s="13">
        <f>IF(AND(A3307&lt;&gt;"",C3307&lt;Options!$B$10),B3307*Options!$X$9,0)</f>
        <v/>
      </c>
      <c r="G3307" s="13">
        <f>F3307*12%</f>
        <v/>
      </c>
      <c r="H3307" s="13">
        <f>IF(A3307="",0,B3307*(92*IF(OR(C3307=Options!$B$9,C3307=Options!$B$10),75%,100%)-IF(C3307=DATE(2026,11,29),26+IF(Options!$B$8="是",23,0),0)-IF(C3307=DATE(2026,11,30),26,0)-IF(C3307=DATE(2026,12,1),64,0)-IF(C3307=DATE(2026,11,28),38,0)-IF(C3307=DATE(2026,12,2),26,0)))</f>
        <v/>
      </c>
      <c r="I3307" s="13">
        <f>IF(AND(C3307&gt;=DATE(2026,11,29),C3307&lt;=DATE(2026,12,1)),B3307*60,0)</f>
        <v/>
      </c>
      <c r="J3307" s="13">
        <f>IF(A3307="",0,B3307*(IF(C3307=DATE(2026,11,28),38,0)+IF(C3307=DATE(2026,12,1),38,0)+IF(C3307=DATE(2026,12,2),26,0)))</f>
        <v/>
      </c>
      <c r="K3307" s="13">
        <f>IF(C3307=Options!$B$9,B3307*12,0)</f>
        <v/>
      </c>
      <c r="L3307" s="13">
        <f>IF(C3307=Options!$B$9,B3307*Options!$Z$9,0)</f>
        <v/>
      </c>
      <c r="M3307" s="13" t="n">
        <v>0</v>
      </c>
      <c r="N3307" s="13">
        <f>SUM(E3307:M3307)</f>
        <v/>
      </c>
    </row>
    <row r="3308">
      <c r="A3308" s="5">
        <f>IF(AND(C3308&gt;=Options!$B$9,C3308&lt;=Options!$B$10),"Seattle","")</f>
        <v/>
      </c>
      <c r="B3308" s="5">
        <f>IF(A3308="","",24)</f>
        <v/>
      </c>
      <c r="C3308" s="17" t="n">
        <v>46314</v>
      </c>
      <c r="D3308" s="5">
        <f>IF(A3308="","",IF(C3308=DATE(2026,11,29),"培训；注册午餐；早餐参数",IF(C3308=DATE(2026,11,30),"培训；注册午餐",IF(C3308=DATE(2026,12,1),"培训；注册午餐；机构晚餐",IF(C3308=Options!$B$9,"抵达；"&amp;IF(C3308=DATE(2026,11,28),"机构晚餐","无统一供餐"),IF(C3308=Options!$B$10,"返程；"&amp;IF(C3308=DATE(2026,12,2),"机构午餐","无统一供餐"),"差旅状态；无统一日程"))))))</f>
        <v/>
      </c>
      <c r="E3308" s="13">
        <f>IF(C3308=Options!$B$9,Options!$C$23,0)</f>
        <v/>
      </c>
      <c r="F3308" s="13">
        <f>IF(AND(A3308&lt;&gt;"",C3308&lt;Options!$B$10),B3308*Options!$X$9,0)</f>
        <v/>
      </c>
      <c r="G3308" s="13">
        <f>F3308*12%</f>
        <v/>
      </c>
      <c r="H3308" s="13">
        <f>IF(A3308="",0,B3308*(92*IF(OR(C3308=Options!$B$9,C3308=Options!$B$10),75%,100%)-IF(C3308=DATE(2026,11,29),26+IF(Options!$B$8="是",23,0),0)-IF(C3308=DATE(2026,11,30),26,0)-IF(C3308=DATE(2026,12,1),64,0)-IF(C3308=DATE(2026,11,28),38,0)-IF(C3308=DATE(2026,12,2),26,0)))</f>
        <v/>
      </c>
      <c r="I3308" s="13">
        <f>IF(AND(C3308&gt;=DATE(2026,11,29),C3308&lt;=DATE(2026,12,1)),B3308*60,0)</f>
        <v/>
      </c>
      <c r="J3308" s="13">
        <f>IF(A3308="",0,B3308*(IF(C3308=DATE(2026,11,28),38,0)+IF(C3308=DATE(2026,12,1),38,0)+IF(C3308=DATE(2026,12,2),26,0)))</f>
        <v/>
      </c>
      <c r="K3308" s="13">
        <f>IF(C3308=Options!$B$9,B3308*12,0)</f>
        <v/>
      </c>
      <c r="L3308" s="13">
        <f>IF(C3308=Options!$B$9,B3308*Options!$Z$9,0)</f>
        <v/>
      </c>
      <c r="M3308" s="13" t="n">
        <v>0</v>
      </c>
      <c r="N3308" s="13">
        <f>SUM(E3308:M3308)</f>
        <v/>
      </c>
    </row>
    <row r="3309">
      <c r="A3309" s="5">
        <f>IF(AND(C3309&gt;=Options!$B$9,C3309&lt;=Options!$B$10),"Seattle","")</f>
        <v/>
      </c>
      <c r="B3309" s="5">
        <f>IF(A3309="","",24)</f>
        <v/>
      </c>
      <c r="C3309" s="17" t="n">
        <v>46315</v>
      </c>
      <c r="D3309" s="5">
        <f>IF(A3309="","",IF(C3309=DATE(2026,11,29),"培训；注册午餐；早餐参数",IF(C3309=DATE(2026,11,30),"培训；注册午餐",IF(C3309=DATE(2026,12,1),"培训；注册午餐；机构晚餐",IF(C3309=Options!$B$9,"抵达；"&amp;IF(C3309=DATE(2026,11,28),"机构晚餐","无统一供餐"),IF(C3309=Options!$B$10,"返程；"&amp;IF(C3309=DATE(2026,12,2),"机构午餐","无统一供餐"),"差旅状态；无统一日程"))))))</f>
        <v/>
      </c>
      <c r="E3309" s="13">
        <f>IF(C3309=Options!$B$9,Options!$C$23,0)</f>
        <v/>
      </c>
      <c r="F3309" s="13">
        <f>IF(AND(A3309&lt;&gt;"",C3309&lt;Options!$B$10),B3309*Options!$X$9,0)</f>
        <v/>
      </c>
      <c r="G3309" s="13">
        <f>F3309*12%</f>
        <v/>
      </c>
      <c r="H3309" s="13">
        <f>IF(A3309="",0,B3309*(92*IF(OR(C3309=Options!$B$9,C3309=Options!$B$10),75%,100%)-IF(C3309=DATE(2026,11,29),26+IF(Options!$B$8="是",23,0),0)-IF(C3309=DATE(2026,11,30),26,0)-IF(C3309=DATE(2026,12,1),64,0)-IF(C3309=DATE(2026,11,28),38,0)-IF(C3309=DATE(2026,12,2),26,0)))</f>
        <v/>
      </c>
      <c r="I3309" s="13">
        <f>IF(AND(C3309&gt;=DATE(2026,11,29),C3309&lt;=DATE(2026,12,1)),B3309*60,0)</f>
        <v/>
      </c>
      <c r="J3309" s="13">
        <f>IF(A3309="",0,B3309*(IF(C3309=DATE(2026,11,28),38,0)+IF(C3309=DATE(2026,12,1),38,0)+IF(C3309=DATE(2026,12,2),26,0)))</f>
        <v/>
      </c>
      <c r="K3309" s="13">
        <f>IF(C3309=Options!$B$9,B3309*12,0)</f>
        <v/>
      </c>
      <c r="L3309" s="13">
        <f>IF(C3309=Options!$B$9,B3309*Options!$Z$9,0)</f>
        <v/>
      </c>
      <c r="M3309" s="13" t="n">
        <v>0</v>
      </c>
      <c r="N3309" s="13">
        <f>SUM(E3309:M3309)</f>
        <v/>
      </c>
    </row>
    <row r="3310">
      <c r="A3310" s="5">
        <f>IF(AND(C3310&gt;=Options!$B$9,C3310&lt;=Options!$B$10),"Seattle","")</f>
        <v/>
      </c>
      <c r="B3310" s="5">
        <f>IF(A3310="","",24)</f>
        <v/>
      </c>
      <c r="C3310" s="17" t="n">
        <v>46316</v>
      </c>
      <c r="D3310" s="5">
        <f>IF(A3310="","",IF(C3310=DATE(2026,11,29),"培训；注册午餐；早餐参数",IF(C3310=DATE(2026,11,30),"培训；注册午餐",IF(C3310=DATE(2026,12,1),"培训；注册午餐；机构晚餐",IF(C3310=Options!$B$9,"抵达；"&amp;IF(C3310=DATE(2026,11,28),"机构晚餐","无统一供餐"),IF(C3310=Options!$B$10,"返程；"&amp;IF(C3310=DATE(2026,12,2),"机构午餐","无统一供餐"),"差旅状态；无统一日程"))))))</f>
        <v/>
      </c>
      <c r="E3310" s="13">
        <f>IF(C3310=Options!$B$9,Options!$C$23,0)</f>
        <v/>
      </c>
      <c r="F3310" s="13">
        <f>IF(AND(A3310&lt;&gt;"",C3310&lt;Options!$B$10),B3310*Options!$X$9,0)</f>
        <v/>
      </c>
      <c r="G3310" s="13">
        <f>F3310*12%</f>
        <v/>
      </c>
      <c r="H3310" s="13">
        <f>IF(A3310="",0,B3310*(92*IF(OR(C3310=Options!$B$9,C3310=Options!$B$10),75%,100%)-IF(C3310=DATE(2026,11,29),26+IF(Options!$B$8="是",23,0),0)-IF(C3310=DATE(2026,11,30),26,0)-IF(C3310=DATE(2026,12,1),64,0)-IF(C3310=DATE(2026,11,28),38,0)-IF(C3310=DATE(2026,12,2),26,0)))</f>
        <v/>
      </c>
      <c r="I3310" s="13">
        <f>IF(AND(C3310&gt;=DATE(2026,11,29),C3310&lt;=DATE(2026,12,1)),B3310*60,0)</f>
        <v/>
      </c>
      <c r="J3310" s="13">
        <f>IF(A3310="",0,B3310*(IF(C3310=DATE(2026,11,28),38,0)+IF(C3310=DATE(2026,12,1),38,0)+IF(C3310=DATE(2026,12,2),26,0)))</f>
        <v/>
      </c>
      <c r="K3310" s="13">
        <f>IF(C3310=Options!$B$9,B3310*12,0)</f>
        <v/>
      </c>
      <c r="L3310" s="13">
        <f>IF(C3310=Options!$B$9,B3310*Options!$Z$9,0)</f>
        <v/>
      </c>
      <c r="M3310" s="13" t="n">
        <v>0</v>
      </c>
      <c r="N3310" s="13">
        <f>SUM(E3310:M3310)</f>
        <v/>
      </c>
    </row>
    <row r="3311">
      <c r="A3311" s="5">
        <f>IF(AND(C3311&gt;=Options!$B$9,C3311&lt;=Options!$B$10),"Seattle","")</f>
        <v/>
      </c>
      <c r="B3311" s="5">
        <f>IF(A3311="","",24)</f>
        <v/>
      </c>
      <c r="C3311" s="17" t="n">
        <v>46317</v>
      </c>
      <c r="D3311" s="5">
        <f>IF(A3311="","",IF(C3311=DATE(2026,11,29),"培训；注册午餐；早餐参数",IF(C3311=DATE(2026,11,30),"培训；注册午餐",IF(C3311=DATE(2026,12,1),"培训；注册午餐；机构晚餐",IF(C3311=Options!$B$9,"抵达；"&amp;IF(C3311=DATE(2026,11,28),"机构晚餐","无统一供餐"),IF(C3311=Options!$B$10,"返程；"&amp;IF(C3311=DATE(2026,12,2),"机构午餐","无统一供餐"),"差旅状态；无统一日程"))))))</f>
        <v/>
      </c>
      <c r="E3311" s="13">
        <f>IF(C3311=Options!$B$9,Options!$C$23,0)</f>
        <v/>
      </c>
      <c r="F3311" s="13">
        <f>IF(AND(A3311&lt;&gt;"",C3311&lt;Options!$B$10),B3311*Options!$X$9,0)</f>
        <v/>
      </c>
      <c r="G3311" s="13">
        <f>F3311*12%</f>
        <v/>
      </c>
      <c r="H3311" s="13">
        <f>IF(A3311="",0,B3311*(92*IF(OR(C3311=Options!$B$9,C3311=Options!$B$10),75%,100%)-IF(C3311=DATE(2026,11,29),26+IF(Options!$B$8="是",23,0),0)-IF(C3311=DATE(2026,11,30),26,0)-IF(C3311=DATE(2026,12,1),64,0)-IF(C3311=DATE(2026,11,28),38,0)-IF(C3311=DATE(2026,12,2),26,0)))</f>
        <v/>
      </c>
      <c r="I3311" s="13">
        <f>IF(AND(C3311&gt;=DATE(2026,11,29),C3311&lt;=DATE(2026,12,1)),B3311*60,0)</f>
        <v/>
      </c>
      <c r="J3311" s="13">
        <f>IF(A3311="",0,B3311*(IF(C3311=DATE(2026,11,28),38,0)+IF(C3311=DATE(2026,12,1),38,0)+IF(C3311=DATE(2026,12,2),26,0)))</f>
        <v/>
      </c>
      <c r="K3311" s="13">
        <f>IF(C3311=Options!$B$9,B3311*12,0)</f>
        <v/>
      </c>
      <c r="L3311" s="13">
        <f>IF(C3311=Options!$B$9,B3311*Options!$Z$9,0)</f>
        <v/>
      </c>
      <c r="M3311" s="13" t="n">
        <v>0</v>
      </c>
      <c r="N3311" s="13">
        <f>SUM(E3311:M3311)</f>
        <v/>
      </c>
    </row>
    <row r="3312">
      <c r="A3312" s="5">
        <f>IF(AND(C3312&gt;=Options!$B$9,C3312&lt;=Options!$B$10),"Seattle","")</f>
        <v/>
      </c>
      <c r="B3312" s="5">
        <f>IF(A3312="","",24)</f>
        <v/>
      </c>
      <c r="C3312" s="17" t="n">
        <v>46318</v>
      </c>
      <c r="D3312" s="5">
        <f>IF(A3312="","",IF(C3312=DATE(2026,11,29),"培训；注册午餐；早餐参数",IF(C3312=DATE(2026,11,30),"培训；注册午餐",IF(C3312=DATE(2026,12,1),"培训；注册午餐；机构晚餐",IF(C3312=Options!$B$9,"抵达；"&amp;IF(C3312=DATE(2026,11,28),"机构晚餐","无统一供餐"),IF(C3312=Options!$B$10,"返程；"&amp;IF(C3312=DATE(2026,12,2),"机构午餐","无统一供餐"),"差旅状态；无统一日程"))))))</f>
        <v/>
      </c>
      <c r="E3312" s="13">
        <f>IF(C3312=Options!$B$9,Options!$C$23,0)</f>
        <v/>
      </c>
      <c r="F3312" s="13">
        <f>IF(AND(A3312&lt;&gt;"",C3312&lt;Options!$B$10),B3312*Options!$X$9,0)</f>
        <v/>
      </c>
      <c r="G3312" s="13">
        <f>F3312*12%</f>
        <v/>
      </c>
      <c r="H3312" s="13">
        <f>IF(A3312="",0,B3312*(92*IF(OR(C3312=Options!$B$9,C3312=Options!$B$10),75%,100%)-IF(C3312=DATE(2026,11,29),26+IF(Options!$B$8="是",23,0),0)-IF(C3312=DATE(2026,11,30),26,0)-IF(C3312=DATE(2026,12,1),64,0)-IF(C3312=DATE(2026,11,28),38,0)-IF(C3312=DATE(2026,12,2),26,0)))</f>
        <v/>
      </c>
      <c r="I3312" s="13">
        <f>IF(AND(C3312&gt;=DATE(2026,11,29),C3312&lt;=DATE(2026,12,1)),B3312*60,0)</f>
        <v/>
      </c>
      <c r="J3312" s="13">
        <f>IF(A3312="",0,B3312*(IF(C3312=DATE(2026,11,28),38,0)+IF(C3312=DATE(2026,12,1),38,0)+IF(C3312=DATE(2026,12,2),26,0)))</f>
        <v/>
      </c>
      <c r="K3312" s="13">
        <f>IF(C3312=Options!$B$9,B3312*12,0)</f>
        <v/>
      </c>
      <c r="L3312" s="13">
        <f>IF(C3312=Options!$B$9,B3312*Options!$Z$9,0)</f>
        <v/>
      </c>
      <c r="M3312" s="13" t="n">
        <v>0</v>
      </c>
      <c r="N3312" s="13">
        <f>SUM(E3312:M3312)</f>
        <v/>
      </c>
    </row>
    <row r="3313">
      <c r="A3313" s="5">
        <f>IF(AND(C3313&gt;=Options!$B$9,C3313&lt;=Options!$B$10),"Seattle","")</f>
        <v/>
      </c>
      <c r="B3313" s="5">
        <f>IF(A3313="","",24)</f>
        <v/>
      </c>
      <c r="C3313" s="17" t="n">
        <v>46319</v>
      </c>
      <c r="D3313" s="5">
        <f>IF(A3313="","",IF(C3313=DATE(2026,11,29),"培训；注册午餐；早餐参数",IF(C3313=DATE(2026,11,30),"培训；注册午餐",IF(C3313=DATE(2026,12,1),"培训；注册午餐；机构晚餐",IF(C3313=Options!$B$9,"抵达；"&amp;IF(C3313=DATE(2026,11,28),"机构晚餐","无统一供餐"),IF(C3313=Options!$B$10,"返程；"&amp;IF(C3313=DATE(2026,12,2),"机构午餐","无统一供餐"),"差旅状态；无统一日程"))))))</f>
        <v/>
      </c>
      <c r="E3313" s="13">
        <f>IF(C3313=Options!$B$9,Options!$C$23,0)</f>
        <v/>
      </c>
      <c r="F3313" s="13">
        <f>IF(AND(A3313&lt;&gt;"",C3313&lt;Options!$B$10),B3313*Options!$X$9,0)</f>
        <v/>
      </c>
      <c r="G3313" s="13">
        <f>F3313*12%</f>
        <v/>
      </c>
      <c r="H3313" s="13">
        <f>IF(A3313="",0,B3313*(92*IF(OR(C3313=Options!$B$9,C3313=Options!$B$10),75%,100%)-IF(C3313=DATE(2026,11,29),26+IF(Options!$B$8="是",23,0),0)-IF(C3313=DATE(2026,11,30),26,0)-IF(C3313=DATE(2026,12,1),64,0)-IF(C3313=DATE(2026,11,28),38,0)-IF(C3313=DATE(2026,12,2),26,0)))</f>
        <v/>
      </c>
      <c r="I3313" s="13">
        <f>IF(AND(C3313&gt;=DATE(2026,11,29),C3313&lt;=DATE(2026,12,1)),B3313*60,0)</f>
        <v/>
      </c>
      <c r="J3313" s="13">
        <f>IF(A3313="",0,B3313*(IF(C3313=DATE(2026,11,28),38,0)+IF(C3313=DATE(2026,12,1),38,0)+IF(C3313=DATE(2026,12,2),26,0)))</f>
        <v/>
      </c>
      <c r="K3313" s="13">
        <f>IF(C3313=Options!$B$9,B3313*12,0)</f>
        <v/>
      </c>
      <c r="L3313" s="13">
        <f>IF(C3313=Options!$B$9,B3313*Options!$Z$9,0)</f>
        <v/>
      </c>
      <c r="M3313" s="13" t="n">
        <v>0</v>
      </c>
      <c r="N3313" s="13">
        <f>SUM(E3313:M3313)</f>
        <v/>
      </c>
    </row>
    <row r="3314">
      <c r="A3314" s="5">
        <f>IF(AND(C3314&gt;=Options!$B$9,C3314&lt;=Options!$B$10),"Seattle","")</f>
        <v/>
      </c>
      <c r="B3314" s="5">
        <f>IF(A3314="","",24)</f>
        <v/>
      </c>
      <c r="C3314" s="17" t="n">
        <v>46320</v>
      </c>
      <c r="D3314" s="5">
        <f>IF(A3314="","",IF(C3314=DATE(2026,11,29),"培训；注册午餐；早餐参数",IF(C3314=DATE(2026,11,30),"培训；注册午餐",IF(C3314=DATE(2026,12,1),"培训；注册午餐；机构晚餐",IF(C3314=Options!$B$9,"抵达；"&amp;IF(C3314=DATE(2026,11,28),"机构晚餐","无统一供餐"),IF(C3314=Options!$B$10,"返程；"&amp;IF(C3314=DATE(2026,12,2),"机构午餐","无统一供餐"),"差旅状态；无统一日程"))))))</f>
        <v/>
      </c>
      <c r="E3314" s="13">
        <f>IF(C3314=Options!$B$9,Options!$C$23,0)</f>
        <v/>
      </c>
      <c r="F3314" s="13">
        <f>IF(AND(A3314&lt;&gt;"",C3314&lt;Options!$B$10),B3314*Options!$X$9,0)</f>
        <v/>
      </c>
      <c r="G3314" s="13">
        <f>F3314*12%</f>
        <v/>
      </c>
      <c r="H3314" s="13">
        <f>IF(A3314="",0,B3314*(92*IF(OR(C3314=Options!$B$9,C3314=Options!$B$10),75%,100%)-IF(C3314=DATE(2026,11,29),26+IF(Options!$B$8="是",23,0),0)-IF(C3314=DATE(2026,11,30),26,0)-IF(C3314=DATE(2026,12,1),64,0)-IF(C3314=DATE(2026,11,28),38,0)-IF(C3314=DATE(2026,12,2),26,0)))</f>
        <v/>
      </c>
      <c r="I3314" s="13">
        <f>IF(AND(C3314&gt;=DATE(2026,11,29),C3314&lt;=DATE(2026,12,1)),B3314*60,0)</f>
        <v/>
      </c>
      <c r="J3314" s="13">
        <f>IF(A3314="",0,B3314*(IF(C3314=DATE(2026,11,28),38,0)+IF(C3314=DATE(2026,12,1),38,0)+IF(C3314=DATE(2026,12,2),26,0)))</f>
        <v/>
      </c>
      <c r="K3314" s="13">
        <f>IF(C3314=Options!$B$9,B3314*12,0)</f>
        <v/>
      </c>
      <c r="L3314" s="13">
        <f>IF(C3314=Options!$B$9,B3314*Options!$Z$9,0)</f>
        <v/>
      </c>
      <c r="M3314" s="13" t="n">
        <v>0</v>
      </c>
      <c r="N3314" s="13">
        <f>SUM(E3314:M3314)</f>
        <v/>
      </c>
    </row>
    <row r="3315">
      <c r="A3315" s="5">
        <f>IF(AND(C3315&gt;=Options!$B$9,C3315&lt;=Options!$B$10),"Seattle","")</f>
        <v/>
      </c>
      <c r="B3315" s="5">
        <f>IF(A3315="","",24)</f>
        <v/>
      </c>
      <c r="C3315" s="17" t="n">
        <v>46321</v>
      </c>
      <c r="D3315" s="5">
        <f>IF(A3315="","",IF(C3315=DATE(2026,11,29),"培训；注册午餐；早餐参数",IF(C3315=DATE(2026,11,30),"培训；注册午餐",IF(C3315=DATE(2026,12,1),"培训；注册午餐；机构晚餐",IF(C3315=Options!$B$9,"抵达；"&amp;IF(C3315=DATE(2026,11,28),"机构晚餐","无统一供餐"),IF(C3315=Options!$B$10,"返程；"&amp;IF(C3315=DATE(2026,12,2),"机构午餐","无统一供餐"),"差旅状态；无统一日程"))))))</f>
        <v/>
      </c>
      <c r="E3315" s="13">
        <f>IF(C3315=Options!$B$9,Options!$C$23,0)</f>
        <v/>
      </c>
      <c r="F3315" s="13">
        <f>IF(AND(A3315&lt;&gt;"",C3315&lt;Options!$B$10),B3315*Options!$X$9,0)</f>
        <v/>
      </c>
      <c r="G3315" s="13">
        <f>F3315*12%</f>
        <v/>
      </c>
      <c r="H3315" s="13">
        <f>IF(A3315="",0,B3315*(92*IF(OR(C3315=Options!$B$9,C3315=Options!$B$10),75%,100%)-IF(C3315=DATE(2026,11,29),26+IF(Options!$B$8="是",23,0),0)-IF(C3315=DATE(2026,11,30),26,0)-IF(C3315=DATE(2026,12,1),64,0)-IF(C3315=DATE(2026,11,28),38,0)-IF(C3315=DATE(2026,12,2),26,0)))</f>
        <v/>
      </c>
      <c r="I3315" s="13">
        <f>IF(AND(C3315&gt;=DATE(2026,11,29),C3315&lt;=DATE(2026,12,1)),B3315*60,0)</f>
        <v/>
      </c>
      <c r="J3315" s="13">
        <f>IF(A3315="",0,B3315*(IF(C3315=DATE(2026,11,28),38,0)+IF(C3315=DATE(2026,12,1),38,0)+IF(C3315=DATE(2026,12,2),26,0)))</f>
        <v/>
      </c>
      <c r="K3315" s="13">
        <f>IF(C3315=Options!$B$9,B3315*12,0)</f>
        <v/>
      </c>
      <c r="L3315" s="13">
        <f>IF(C3315=Options!$B$9,B3315*Options!$Z$9,0)</f>
        <v/>
      </c>
      <c r="M3315" s="13" t="n">
        <v>0</v>
      </c>
      <c r="N3315" s="13">
        <f>SUM(E3315:M3315)</f>
        <v/>
      </c>
    </row>
    <row r="3316">
      <c r="A3316" s="5">
        <f>IF(AND(C3316&gt;=Options!$B$9,C3316&lt;=Options!$B$10),"Seattle","")</f>
        <v/>
      </c>
      <c r="B3316" s="5">
        <f>IF(A3316="","",24)</f>
        <v/>
      </c>
      <c r="C3316" s="17" t="n">
        <v>46322</v>
      </c>
      <c r="D3316" s="5">
        <f>IF(A3316="","",IF(C3316=DATE(2026,11,29),"培训；注册午餐；早餐参数",IF(C3316=DATE(2026,11,30),"培训；注册午餐",IF(C3316=DATE(2026,12,1),"培训；注册午餐；机构晚餐",IF(C3316=Options!$B$9,"抵达；"&amp;IF(C3316=DATE(2026,11,28),"机构晚餐","无统一供餐"),IF(C3316=Options!$B$10,"返程；"&amp;IF(C3316=DATE(2026,12,2),"机构午餐","无统一供餐"),"差旅状态；无统一日程"))))))</f>
        <v/>
      </c>
      <c r="E3316" s="13">
        <f>IF(C3316=Options!$B$9,Options!$C$23,0)</f>
        <v/>
      </c>
      <c r="F3316" s="13">
        <f>IF(AND(A3316&lt;&gt;"",C3316&lt;Options!$B$10),B3316*Options!$X$9,0)</f>
        <v/>
      </c>
      <c r="G3316" s="13">
        <f>F3316*12%</f>
        <v/>
      </c>
      <c r="H3316" s="13">
        <f>IF(A3316="",0,B3316*(92*IF(OR(C3316=Options!$B$9,C3316=Options!$B$10),75%,100%)-IF(C3316=DATE(2026,11,29),26+IF(Options!$B$8="是",23,0),0)-IF(C3316=DATE(2026,11,30),26,0)-IF(C3316=DATE(2026,12,1),64,0)-IF(C3316=DATE(2026,11,28),38,0)-IF(C3316=DATE(2026,12,2),26,0)))</f>
        <v/>
      </c>
      <c r="I3316" s="13">
        <f>IF(AND(C3316&gt;=DATE(2026,11,29),C3316&lt;=DATE(2026,12,1)),B3316*60,0)</f>
        <v/>
      </c>
      <c r="J3316" s="13">
        <f>IF(A3316="",0,B3316*(IF(C3316=DATE(2026,11,28),38,0)+IF(C3316=DATE(2026,12,1),38,0)+IF(C3316=DATE(2026,12,2),26,0)))</f>
        <v/>
      </c>
      <c r="K3316" s="13">
        <f>IF(C3316=Options!$B$9,B3316*12,0)</f>
        <v/>
      </c>
      <c r="L3316" s="13">
        <f>IF(C3316=Options!$B$9,B3316*Options!$Z$9,0)</f>
        <v/>
      </c>
      <c r="M3316" s="13" t="n">
        <v>0</v>
      </c>
      <c r="N3316" s="13">
        <f>SUM(E3316:M3316)</f>
        <v/>
      </c>
    </row>
    <row r="3317">
      <c r="A3317" s="5">
        <f>IF(AND(C3317&gt;=Options!$B$9,C3317&lt;=Options!$B$10),"Seattle","")</f>
        <v/>
      </c>
      <c r="B3317" s="5">
        <f>IF(A3317="","",24)</f>
        <v/>
      </c>
      <c r="C3317" s="17" t="n">
        <v>46323</v>
      </c>
      <c r="D3317" s="5">
        <f>IF(A3317="","",IF(C3317=DATE(2026,11,29),"培训；注册午餐；早餐参数",IF(C3317=DATE(2026,11,30),"培训；注册午餐",IF(C3317=DATE(2026,12,1),"培训；注册午餐；机构晚餐",IF(C3317=Options!$B$9,"抵达；"&amp;IF(C3317=DATE(2026,11,28),"机构晚餐","无统一供餐"),IF(C3317=Options!$B$10,"返程；"&amp;IF(C3317=DATE(2026,12,2),"机构午餐","无统一供餐"),"差旅状态；无统一日程"))))))</f>
        <v/>
      </c>
      <c r="E3317" s="13">
        <f>IF(C3317=Options!$B$9,Options!$C$23,0)</f>
        <v/>
      </c>
      <c r="F3317" s="13">
        <f>IF(AND(A3317&lt;&gt;"",C3317&lt;Options!$B$10),B3317*Options!$X$9,0)</f>
        <v/>
      </c>
      <c r="G3317" s="13">
        <f>F3317*12%</f>
        <v/>
      </c>
      <c r="H3317" s="13">
        <f>IF(A3317="",0,B3317*(92*IF(OR(C3317=Options!$B$9,C3317=Options!$B$10),75%,100%)-IF(C3317=DATE(2026,11,29),26+IF(Options!$B$8="是",23,0),0)-IF(C3317=DATE(2026,11,30),26,0)-IF(C3317=DATE(2026,12,1),64,0)-IF(C3317=DATE(2026,11,28),38,0)-IF(C3317=DATE(2026,12,2),26,0)))</f>
        <v/>
      </c>
      <c r="I3317" s="13">
        <f>IF(AND(C3317&gt;=DATE(2026,11,29),C3317&lt;=DATE(2026,12,1)),B3317*60,0)</f>
        <v/>
      </c>
      <c r="J3317" s="13">
        <f>IF(A3317="",0,B3317*(IF(C3317=DATE(2026,11,28),38,0)+IF(C3317=DATE(2026,12,1),38,0)+IF(C3317=DATE(2026,12,2),26,0)))</f>
        <v/>
      </c>
      <c r="K3317" s="13">
        <f>IF(C3317=Options!$B$9,B3317*12,0)</f>
        <v/>
      </c>
      <c r="L3317" s="13">
        <f>IF(C3317=Options!$B$9,B3317*Options!$Z$9,0)</f>
        <v/>
      </c>
      <c r="M3317" s="13" t="n">
        <v>0</v>
      </c>
      <c r="N3317" s="13">
        <f>SUM(E3317:M3317)</f>
        <v/>
      </c>
    </row>
    <row r="3318">
      <c r="A3318" s="5">
        <f>IF(AND(C3318&gt;=Options!$B$9,C3318&lt;=Options!$B$10),"Seattle","")</f>
        <v/>
      </c>
      <c r="B3318" s="5">
        <f>IF(A3318="","",24)</f>
        <v/>
      </c>
      <c r="C3318" s="17" t="n">
        <v>46324</v>
      </c>
      <c r="D3318" s="5">
        <f>IF(A3318="","",IF(C3318=DATE(2026,11,29),"培训；注册午餐；早餐参数",IF(C3318=DATE(2026,11,30),"培训；注册午餐",IF(C3318=DATE(2026,12,1),"培训；注册午餐；机构晚餐",IF(C3318=Options!$B$9,"抵达；"&amp;IF(C3318=DATE(2026,11,28),"机构晚餐","无统一供餐"),IF(C3318=Options!$B$10,"返程；"&amp;IF(C3318=DATE(2026,12,2),"机构午餐","无统一供餐"),"差旅状态；无统一日程"))))))</f>
        <v/>
      </c>
      <c r="E3318" s="13">
        <f>IF(C3318=Options!$B$9,Options!$C$23,0)</f>
        <v/>
      </c>
      <c r="F3318" s="13">
        <f>IF(AND(A3318&lt;&gt;"",C3318&lt;Options!$B$10),B3318*Options!$X$9,0)</f>
        <v/>
      </c>
      <c r="G3318" s="13">
        <f>F3318*12%</f>
        <v/>
      </c>
      <c r="H3318" s="13">
        <f>IF(A3318="",0,B3318*(92*IF(OR(C3318=Options!$B$9,C3318=Options!$B$10),75%,100%)-IF(C3318=DATE(2026,11,29),26+IF(Options!$B$8="是",23,0),0)-IF(C3318=DATE(2026,11,30),26,0)-IF(C3318=DATE(2026,12,1),64,0)-IF(C3318=DATE(2026,11,28),38,0)-IF(C3318=DATE(2026,12,2),26,0)))</f>
        <v/>
      </c>
      <c r="I3318" s="13">
        <f>IF(AND(C3318&gt;=DATE(2026,11,29),C3318&lt;=DATE(2026,12,1)),B3318*60,0)</f>
        <v/>
      </c>
      <c r="J3318" s="13">
        <f>IF(A3318="",0,B3318*(IF(C3318=DATE(2026,11,28),38,0)+IF(C3318=DATE(2026,12,1),38,0)+IF(C3318=DATE(2026,12,2),26,0)))</f>
        <v/>
      </c>
      <c r="K3318" s="13">
        <f>IF(C3318=Options!$B$9,B3318*12,0)</f>
        <v/>
      </c>
      <c r="L3318" s="13">
        <f>IF(C3318=Options!$B$9,B3318*Options!$Z$9,0)</f>
        <v/>
      </c>
      <c r="M3318" s="13" t="n">
        <v>0</v>
      </c>
      <c r="N3318" s="13">
        <f>SUM(E3318:M3318)</f>
        <v/>
      </c>
    </row>
    <row r="3319">
      <c r="A3319" s="5">
        <f>IF(AND(C3319&gt;=Options!$B$9,C3319&lt;=Options!$B$10),"Seattle","")</f>
        <v/>
      </c>
      <c r="B3319" s="5">
        <f>IF(A3319="","",24)</f>
        <v/>
      </c>
      <c r="C3319" s="17" t="n">
        <v>46325</v>
      </c>
      <c r="D3319" s="5">
        <f>IF(A3319="","",IF(C3319=DATE(2026,11,29),"培训；注册午餐；早餐参数",IF(C3319=DATE(2026,11,30),"培训；注册午餐",IF(C3319=DATE(2026,12,1),"培训；注册午餐；机构晚餐",IF(C3319=Options!$B$9,"抵达；"&amp;IF(C3319=DATE(2026,11,28),"机构晚餐","无统一供餐"),IF(C3319=Options!$B$10,"返程；"&amp;IF(C3319=DATE(2026,12,2),"机构午餐","无统一供餐"),"差旅状态；无统一日程"))))))</f>
        <v/>
      </c>
      <c r="E3319" s="13">
        <f>IF(C3319=Options!$B$9,Options!$C$23,0)</f>
        <v/>
      </c>
      <c r="F3319" s="13">
        <f>IF(AND(A3319&lt;&gt;"",C3319&lt;Options!$B$10),B3319*Options!$X$9,0)</f>
        <v/>
      </c>
      <c r="G3319" s="13">
        <f>F3319*12%</f>
        <v/>
      </c>
      <c r="H3319" s="13">
        <f>IF(A3319="",0,B3319*(92*IF(OR(C3319=Options!$B$9,C3319=Options!$B$10),75%,100%)-IF(C3319=DATE(2026,11,29),26+IF(Options!$B$8="是",23,0),0)-IF(C3319=DATE(2026,11,30),26,0)-IF(C3319=DATE(2026,12,1),64,0)-IF(C3319=DATE(2026,11,28),38,0)-IF(C3319=DATE(2026,12,2),26,0)))</f>
        <v/>
      </c>
      <c r="I3319" s="13">
        <f>IF(AND(C3319&gt;=DATE(2026,11,29),C3319&lt;=DATE(2026,12,1)),B3319*60,0)</f>
        <v/>
      </c>
      <c r="J3319" s="13">
        <f>IF(A3319="",0,B3319*(IF(C3319=DATE(2026,11,28),38,0)+IF(C3319=DATE(2026,12,1),38,0)+IF(C3319=DATE(2026,12,2),26,0)))</f>
        <v/>
      </c>
      <c r="K3319" s="13">
        <f>IF(C3319=Options!$B$9,B3319*12,0)</f>
        <v/>
      </c>
      <c r="L3319" s="13">
        <f>IF(C3319=Options!$B$9,B3319*Options!$Z$9,0)</f>
        <v/>
      </c>
      <c r="M3319" s="13" t="n">
        <v>0</v>
      </c>
      <c r="N3319" s="13">
        <f>SUM(E3319:M3319)</f>
        <v/>
      </c>
    </row>
    <row r="3320">
      <c r="A3320" s="5">
        <f>IF(AND(C3320&gt;=Options!$B$9,C3320&lt;=Options!$B$10),"Seattle","")</f>
        <v/>
      </c>
      <c r="B3320" s="5">
        <f>IF(A3320="","",24)</f>
        <v/>
      </c>
      <c r="C3320" s="17" t="n">
        <v>46326</v>
      </c>
      <c r="D3320" s="5">
        <f>IF(A3320="","",IF(C3320=DATE(2026,11,29),"培训；注册午餐；早餐参数",IF(C3320=DATE(2026,11,30),"培训；注册午餐",IF(C3320=DATE(2026,12,1),"培训；注册午餐；机构晚餐",IF(C3320=Options!$B$9,"抵达；"&amp;IF(C3320=DATE(2026,11,28),"机构晚餐","无统一供餐"),IF(C3320=Options!$B$10,"返程；"&amp;IF(C3320=DATE(2026,12,2),"机构午餐","无统一供餐"),"差旅状态；无统一日程"))))))</f>
        <v/>
      </c>
      <c r="E3320" s="13">
        <f>IF(C3320=Options!$B$9,Options!$C$23,0)</f>
        <v/>
      </c>
      <c r="F3320" s="13">
        <f>IF(AND(A3320&lt;&gt;"",C3320&lt;Options!$B$10),B3320*Options!$X$9,0)</f>
        <v/>
      </c>
      <c r="G3320" s="13">
        <f>F3320*12%</f>
        <v/>
      </c>
      <c r="H3320" s="13">
        <f>IF(A3320="",0,B3320*(92*IF(OR(C3320=Options!$B$9,C3320=Options!$B$10),75%,100%)-IF(C3320=DATE(2026,11,29),26+IF(Options!$B$8="是",23,0),0)-IF(C3320=DATE(2026,11,30),26,0)-IF(C3320=DATE(2026,12,1),64,0)-IF(C3320=DATE(2026,11,28),38,0)-IF(C3320=DATE(2026,12,2),26,0)))</f>
        <v/>
      </c>
      <c r="I3320" s="13">
        <f>IF(AND(C3320&gt;=DATE(2026,11,29),C3320&lt;=DATE(2026,12,1)),B3320*60,0)</f>
        <v/>
      </c>
      <c r="J3320" s="13">
        <f>IF(A3320="",0,B3320*(IF(C3320=DATE(2026,11,28),38,0)+IF(C3320=DATE(2026,12,1),38,0)+IF(C3320=DATE(2026,12,2),26,0)))</f>
        <v/>
      </c>
      <c r="K3320" s="13">
        <f>IF(C3320=Options!$B$9,B3320*12,0)</f>
        <v/>
      </c>
      <c r="L3320" s="13">
        <f>IF(C3320=Options!$B$9,B3320*Options!$Z$9,0)</f>
        <v/>
      </c>
      <c r="M3320" s="13" t="n">
        <v>0</v>
      </c>
      <c r="N3320" s="13">
        <f>SUM(E3320:M3320)</f>
        <v/>
      </c>
    </row>
    <row r="3321">
      <c r="A3321" s="5">
        <f>IF(AND(C3321&gt;=Options!$B$9,C3321&lt;=Options!$B$10),"Seattle","")</f>
        <v/>
      </c>
      <c r="B3321" s="5">
        <f>IF(A3321="","",24)</f>
        <v/>
      </c>
      <c r="C3321" s="17" t="n">
        <v>46327</v>
      </c>
      <c r="D3321" s="5">
        <f>IF(A3321="","",IF(C3321=DATE(2026,11,29),"培训；注册午餐；早餐参数",IF(C3321=DATE(2026,11,30),"培训；注册午餐",IF(C3321=DATE(2026,12,1),"培训；注册午餐；机构晚餐",IF(C3321=Options!$B$9,"抵达；"&amp;IF(C3321=DATE(2026,11,28),"机构晚餐","无统一供餐"),IF(C3321=Options!$B$10,"返程；"&amp;IF(C3321=DATE(2026,12,2),"机构午餐","无统一供餐"),"差旅状态；无统一日程"))))))</f>
        <v/>
      </c>
      <c r="E3321" s="13">
        <f>IF(C3321=Options!$B$9,Options!$C$23,0)</f>
        <v/>
      </c>
      <c r="F3321" s="13">
        <f>IF(AND(A3321&lt;&gt;"",C3321&lt;Options!$B$10),B3321*Options!$X$9,0)</f>
        <v/>
      </c>
      <c r="G3321" s="13">
        <f>F3321*12%</f>
        <v/>
      </c>
      <c r="H3321" s="13">
        <f>IF(A3321="",0,B3321*(92*IF(OR(C3321=Options!$B$9,C3321=Options!$B$10),75%,100%)-IF(C3321=DATE(2026,11,29),26+IF(Options!$B$8="是",23,0),0)-IF(C3321=DATE(2026,11,30),26,0)-IF(C3321=DATE(2026,12,1),64,0)-IF(C3321=DATE(2026,11,28),38,0)-IF(C3321=DATE(2026,12,2),26,0)))</f>
        <v/>
      </c>
      <c r="I3321" s="13">
        <f>IF(AND(C3321&gt;=DATE(2026,11,29),C3321&lt;=DATE(2026,12,1)),B3321*60,0)</f>
        <v/>
      </c>
      <c r="J3321" s="13">
        <f>IF(A3321="",0,B3321*(IF(C3321=DATE(2026,11,28),38,0)+IF(C3321=DATE(2026,12,1),38,0)+IF(C3321=DATE(2026,12,2),26,0)))</f>
        <v/>
      </c>
      <c r="K3321" s="13">
        <f>IF(C3321=Options!$B$9,B3321*12,0)</f>
        <v/>
      </c>
      <c r="L3321" s="13">
        <f>IF(C3321=Options!$B$9,B3321*Options!$Z$9,0)</f>
        <v/>
      </c>
      <c r="M3321" s="13" t="n">
        <v>0</v>
      </c>
      <c r="N3321" s="13">
        <f>SUM(E3321:M3321)</f>
        <v/>
      </c>
    </row>
    <row r="3322">
      <c r="A3322" s="5">
        <f>IF(AND(C3322&gt;=Options!$B$9,C3322&lt;=Options!$B$10),"Seattle","")</f>
        <v/>
      </c>
      <c r="B3322" s="5">
        <f>IF(A3322="","",24)</f>
        <v/>
      </c>
      <c r="C3322" s="17" t="n">
        <v>46328</v>
      </c>
      <c r="D3322" s="5">
        <f>IF(A3322="","",IF(C3322=DATE(2026,11,29),"培训；注册午餐；早餐参数",IF(C3322=DATE(2026,11,30),"培训；注册午餐",IF(C3322=DATE(2026,12,1),"培训；注册午餐；机构晚餐",IF(C3322=Options!$B$9,"抵达；"&amp;IF(C3322=DATE(2026,11,28),"机构晚餐","无统一供餐"),IF(C3322=Options!$B$10,"返程；"&amp;IF(C3322=DATE(2026,12,2),"机构午餐","无统一供餐"),"差旅状态；无统一日程"))))))</f>
        <v/>
      </c>
      <c r="E3322" s="13">
        <f>IF(C3322=Options!$B$9,Options!$C$23,0)</f>
        <v/>
      </c>
      <c r="F3322" s="13">
        <f>IF(AND(A3322&lt;&gt;"",C3322&lt;Options!$B$10),B3322*Options!$X$9,0)</f>
        <v/>
      </c>
      <c r="G3322" s="13">
        <f>F3322*12%</f>
        <v/>
      </c>
      <c r="H3322" s="13">
        <f>IF(A3322="",0,B3322*(92*IF(OR(C3322=Options!$B$9,C3322=Options!$B$10),75%,100%)-IF(C3322=DATE(2026,11,29),26+IF(Options!$B$8="是",23,0),0)-IF(C3322=DATE(2026,11,30),26,0)-IF(C3322=DATE(2026,12,1),64,0)-IF(C3322=DATE(2026,11,28),38,0)-IF(C3322=DATE(2026,12,2),26,0)))</f>
        <v/>
      </c>
      <c r="I3322" s="13">
        <f>IF(AND(C3322&gt;=DATE(2026,11,29),C3322&lt;=DATE(2026,12,1)),B3322*60,0)</f>
        <v/>
      </c>
      <c r="J3322" s="13">
        <f>IF(A3322="",0,B3322*(IF(C3322=DATE(2026,11,28),38,0)+IF(C3322=DATE(2026,12,1),38,0)+IF(C3322=DATE(2026,12,2),26,0)))</f>
        <v/>
      </c>
      <c r="K3322" s="13">
        <f>IF(C3322=Options!$B$9,B3322*12,0)</f>
        <v/>
      </c>
      <c r="L3322" s="13">
        <f>IF(C3322=Options!$B$9,B3322*Options!$Z$9,0)</f>
        <v/>
      </c>
      <c r="M3322" s="13" t="n">
        <v>0</v>
      </c>
      <c r="N3322" s="13">
        <f>SUM(E3322:M3322)</f>
        <v/>
      </c>
    </row>
    <row r="3323">
      <c r="A3323" s="5">
        <f>IF(AND(C3323&gt;=Options!$B$9,C3323&lt;=Options!$B$10),"Seattle","")</f>
        <v/>
      </c>
      <c r="B3323" s="5">
        <f>IF(A3323="","",24)</f>
        <v/>
      </c>
      <c r="C3323" s="17" t="n">
        <v>46329</v>
      </c>
      <c r="D3323" s="5">
        <f>IF(A3323="","",IF(C3323=DATE(2026,11,29),"培训；注册午餐；早餐参数",IF(C3323=DATE(2026,11,30),"培训；注册午餐",IF(C3323=DATE(2026,12,1),"培训；注册午餐；机构晚餐",IF(C3323=Options!$B$9,"抵达；"&amp;IF(C3323=DATE(2026,11,28),"机构晚餐","无统一供餐"),IF(C3323=Options!$B$10,"返程；"&amp;IF(C3323=DATE(2026,12,2),"机构午餐","无统一供餐"),"差旅状态；无统一日程"))))))</f>
        <v/>
      </c>
      <c r="E3323" s="13">
        <f>IF(C3323=Options!$B$9,Options!$C$23,0)</f>
        <v/>
      </c>
      <c r="F3323" s="13">
        <f>IF(AND(A3323&lt;&gt;"",C3323&lt;Options!$B$10),B3323*Options!$X$9,0)</f>
        <v/>
      </c>
      <c r="G3323" s="13">
        <f>F3323*12%</f>
        <v/>
      </c>
      <c r="H3323" s="13">
        <f>IF(A3323="",0,B3323*(92*IF(OR(C3323=Options!$B$9,C3323=Options!$B$10),75%,100%)-IF(C3323=DATE(2026,11,29),26+IF(Options!$B$8="是",23,0),0)-IF(C3323=DATE(2026,11,30),26,0)-IF(C3323=DATE(2026,12,1),64,0)-IF(C3323=DATE(2026,11,28),38,0)-IF(C3323=DATE(2026,12,2),26,0)))</f>
        <v/>
      </c>
      <c r="I3323" s="13">
        <f>IF(AND(C3323&gt;=DATE(2026,11,29),C3323&lt;=DATE(2026,12,1)),B3323*60,0)</f>
        <v/>
      </c>
      <c r="J3323" s="13">
        <f>IF(A3323="",0,B3323*(IF(C3323=DATE(2026,11,28),38,0)+IF(C3323=DATE(2026,12,1),38,0)+IF(C3323=DATE(2026,12,2),26,0)))</f>
        <v/>
      </c>
      <c r="K3323" s="13">
        <f>IF(C3323=Options!$B$9,B3323*12,0)</f>
        <v/>
      </c>
      <c r="L3323" s="13">
        <f>IF(C3323=Options!$B$9,B3323*Options!$Z$9,0)</f>
        <v/>
      </c>
      <c r="M3323" s="13" t="n">
        <v>0</v>
      </c>
      <c r="N3323" s="13">
        <f>SUM(E3323:M3323)</f>
        <v/>
      </c>
    </row>
    <row r="3324">
      <c r="A3324" s="5">
        <f>IF(AND(C3324&gt;=Options!$B$9,C3324&lt;=Options!$B$10),"Seattle","")</f>
        <v/>
      </c>
      <c r="B3324" s="5">
        <f>IF(A3324="","",24)</f>
        <v/>
      </c>
      <c r="C3324" s="17" t="n">
        <v>46330</v>
      </c>
      <c r="D3324" s="5">
        <f>IF(A3324="","",IF(C3324=DATE(2026,11,29),"培训；注册午餐；早餐参数",IF(C3324=DATE(2026,11,30),"培训；注册午餐",IF(C3324=DATE(2026,12,1),"培训；注册午餐；机构晚餐",IF(C3324=Options!$B$9,"抵达；"&amp;IF(C3324=DATE(2026,11,28),"机构晚餐","无统一供餐"),IF(C3324=Options!$B$10,"返程；"&amp;IF(C3324=DATE(2026,12,2),"机构午餐","无统一供餐"),"差旅状态；无统一日程"))))))</f>
        <v/>
      </c>
      <c r="E3324" s="13">
        <f>IF(C3324=Options!$B$9,Options!$C$23,0)</f>
        <v/>
      </c>
      <c r="F3324" s="13">
        <f>IF(AND(A3324&lt;&gt;"",C3324&lt;Options!$B$10),B3324*Options!$X$9,0)</f>
        <v/>
      </c>
      <c r="G3324" s="13">
        <f>F3324*12%</f>
        <v/>
      </c>
      <c r="H3324" s="13">
        <f>IF(A3324="",0,B3324*(92*IF(OR(C3324=Options!$B$9,C3324=Options!$B$10),75%,100%)-IF(C3324=DATE(2026,11,29),26+IF(Options!$B$8="是",23,0),0)-IF(C3324=DATE(2026,11,30),26,0)-IF(C3324=DATE(2026,12,1),64,0)-IF(C3324=DATE(2026,11,28),38,0)-IF(C3324=DATE(2026,12,2),26,0)))</f>
        <v/>
      </c>
      <c r="I3324" s="13">
        <f>IF(AND(C3324&gt;=DATE(2026,11,29),C3324&lt;=DATE(2026,12,1)),B3324*60,0)</f>
        <v/>
      </c>
      <c r="J3324" s="13">
        <f>IF(A3324="",0,B3324*(IF(C3324=DATE(2026,11,28),38,0)+IF(C3324=DATE(2026,12,1),38,0)+IF(C3324=DATE(2026,12,2),26,0)))</f>
        <v/>
      </c>
      <c r="K3324" s="13">
        <f>IF(C3324=Options!$B$9,B3324*12,0)</f>
        <v/>
      </c>
      <c r="L3324" s="13">
        <f>IF(C3324=Options!$B$9,B3324*Options!$Z$9,0)</f>
        <v/>
      </c>
      <c r="M3324" s="13" t="n">
        <v>0</v>
      </c>
      <c r="N3324" s="13">
        <f>SUM(E3324:M3324)</f>
        <v/>
      </c>
    </row>
    <row r="3325">
      <c r="A3325" s="5">
        <f>IF(AND(C3325&gt;=Options!$B$9,C3325&lt;=Options!$B$10),"Seattle","")</f>
        <v/>
      </c>
      <c r="B3325" s="5">
        <f>IF(A3325="","",24)</f>
        <v/>
      </c>
      <c r="C3325" s="17" t="n">
        <v>46331</v>
      </c>
      <c r="D3325" s="5">
        <f>IF(A3325="","",IF(C3325=DATE(2026,11,29),"培训；注册午餐；早餐参数",IF(C3325=DATE(2026,11,30),"培训；注册午餐",IF(C3325=DATE(2026,12,1),"培训；注册午餐；机构晚餐",IF(C3325=Options!$B$9,"抵达；"&amp;IF(C3325=DATE(2026,11,28),"机构晚餐","无统一供餐"),IF(C3325=Options!$B$10,"返程；"&amp;IF(C3325=DATE(2026,12,2),"机构午餐","无统一供餐"),"差旅状态；无统一日程"))))))</f>
        <v/>
      </c>
      <c r="E3325" s="13">
        <f>IF(C3325=Options!$B$9,Options!$C$23,0)</f>
        <v/>
      </c>
      <c r="F3325" s="13">
        <f>IF(AND(A3325&lt;&gt;"",C3325&lt;Options!$B$10),B3325*Options!$X$9,0)</f>
        <v/>
      </c>
      <c r="G3325" s="13">
        <f>F3325*12%</f>
        <v/>
      </c>
      <c r="H3325" s="13">
        <f>IF(A3325="",0,B3325*(92*IF(OR(C3325=Options!$B$9,C3325=Options!$B$10),75%,100%)-IF(C3325=DATE(2026,11,29),26+IF(Options!$B$8="是",23,0),0)-IF(C3325=DATE(2026,11,30),26,0)-IF(C3325=DATE(2026,12,1),64,0)-IF(C3325=DATE(2026,11,28),38,0)-IF(C3325=DATE(2026,12,2),26,0)))</f>
        <v/>
      </c>
      <c r="I3325" s="13">
        <f>IF(AND(C3325&gt;=DATE(2026,11,29),C3325&lt;=DATE(2026,12,1)),B3325*60,0)</f>
        <v/>
      </c>
      <c r="J3325" s="13">
        <f>IF(A3325="",0,B3325*(IF(C3325=DATE(2026,11,28),38,0)+IF(C3325=DATE(2026,12,1),38,0)+IF(C3325=DATE(2026,12,2),26,0)))</f>
        <v/>
      </c>
      <c r="K3325" s="13">
        <f>IF(C3325=Options!$B$9,B3325*12,0)</f>
        <v/>
      </c>
      <c r="L3325" s="13">
        <f>IF(C3325=Options!$B$9,B3325*Options!$Z$9,0)</f>
        <v/>
      </c>
      <c r="M3325" s="13" t="n">
        <v>0</v>
      </c>
      <c r="N3325" s="13">
        <f>SUM(E3325:M3325)</f>
        <v/>
      </c>
    </row>
    <row r="3326">
      <c r="A3326" s="5">
        <f>IF(AND(C3326&gt;=Options!$B$9,C3326&lt;=Options!$B$10),"Seattle","")</f>
        <v/>
      </c>
      <c r="B3326" s="5">
        <f>IF(A3326="","",24)</f>
        <v/>
      </c>
      <c r="C3326" s="17" t="n">
        <v>46332</v>
      </c>
      <c r="D3326" s="5">
        <f>IF(A3326="","",IF(C3326=DATE(2026,11,29),"培训；注册午餐；早餐参数",IF(C3326=DATE(2026,11,30),"培训；注册午餐",IF(C3326=DATE(2026,12,1),"培训；注册午餐；机构晚餐",IF(C3326=Options!$B$9,"抵达；"&amp;IF(C3326=DATE(2026,11,28),"机构晚餐","无统一供餐"),IF(C3326=Options!$B$10,"返程；"&amp;IF(C3326=DATE(2026,12,2),"机构午餐","无统一供餐"),"差旅状态；无统一日程"))))))</f>
        <v/>
      </c>
      <c r="E3326" s="13">
        <f>IF(C3326=Options!$B$9,Options!$C$23,0)</f>
        <v/>
      </c>
      <c r="F3326" s="13">
        <f>IF(AND(A3326&lt;&gt;"",C3326&lt;Options!$B$10),B3326*Options!$X$9,0)</f>
        <v/>
      </c>
      <c r="G3326" s="13">
        <f>F3326*12%</f>
        <v/>
      </c>
      <c r="H3326" s="13">
        <f>IF(A3326="",0,B3326*(92*IF(OR(C3326=Options!$B$9,C3326=Options!$B$10),75%,100%)-IF(C3326=DATE(2026,11,29),26+IF(Options!$B$8="是",23,0),0)-IF(C3326=DATE(2026,11,30),26,0)-IF(C3326=DATE(2026,12,1),64,0)-IF(C3326=DATE(2026,11,28),38,0)-IF(C3326=DATE(2026,12,2),26,0)))</f>
        <v/>
      </c>
      <c r="I3326" s="13">
        <f>IF(AND(C3326&gt;=DATE(2026,11,29),C3326&lt;=DATE(2026,12,1)),B3326*60,0)</f>
        <v/>
      </c>
      <c r="J3326" s="13">
        <f>IF(A3326="",0,B3326*(IF(C3326=DATE(2026,11,28),38,0)+IF(C3326=DATE(2026,12,1),38,0)+IF(C3326=DATE(2026,12,2),26,0)))</f>
        <v/>
      </c>
      <c r="K3326" s="13">
        <f>IF(C3326=Options!$B$9,B3326*12,0)</f>
        <v/>
      </c>
      <c r="L3326" s="13">
        <f>IF(C3326=Options!$B$9,B3326*Options!$Z$9,0)</f>
        <v/>
      </c>
      <c r="M3326" s="13" t="n">
        <v>0</v>
      </c>
      <c r="N3326" s="13">
        <f>SUM(E3326:M3326)</f>
        <v/>
      </c>
    </row>
    <row r="3327">
      <c r="A3327" s="5">
        <f>IF(AND(C3327&gt;=Options!$B$9,C3327&lt;=Options!$B$10),"Seattle","")</f>
        <v/>
      </c>
      <c r="B3327" s="5">
        <f>IF(A3327="","",24)</f>
        <v/>
      </c>
      <c r="C3327" s="17" t="n">
        <v>46333</v>
      </c>
      <c r="D3327" s="5">
        <f>IF(A3327="","",IF(C3327=DATE(2026,11,29),"培训；注册午餐；早餐参数",IF(C3327=DATE(2026,11,30),"培训；注册午餐",IF(C3327=DATE(2026,12,1),"培训；注册午餐；机构晚餐",IF(C3327=Options!$B$9,"抵达；"&amp;IF(C3327=DATE(2026,11,28),"机构晚餐","无统一供餐"),IF(C3327=Options!$B$10,"返程；"&amp;IF(C3327=DATE(2026,12,2),"机构午餐","无统一供餐"),"差旅状态；无统一日程"))))))</f>
        <v/>
      </c>
      <c r="E3327" s="13">
        <f>IF(C3327=Options!$B$9,Options!$C$23,0)</f>
        <v/>
      </c>
      <c r="F3327" s="13">
        <f>IF(AND(A3327&lt;&gt;"",C3327&lt;Options!$B$10),B3327*Options!$X$9,0)</f>
        <v/>
      </c>
      <c r="G3327" s="13">
        <f>F3327*12%</f>
        <v/>
      </c>
      <c r="H3327" s="13">
        <f>IF(A3327="",0,B3327*(92*IF(OR(C3327=Options!$B$9,C3327=Options!$B$10),75%,100%)-IF(C3327=DATE(2026,11,29),26+IF(Options!$B$8="是",23,0),0)-IF(C3327=DATE(2026,11,30),26,0)-IF(C3327=DATE(2026,12,1),64,0)-IF(C3327=DATE(2026,11,28),38,0)-IF(C3327=DATE(2026,12,2),26,0)))</f>
        <v/>
      </c>
      <c r="I3327" s="13">
        <f>IF(AND(C3327&gt;=DATE(2026,11,29),C3327&lt;=DATE(2026,12,1)),B3327*60,0)</f>
        <v/>
      </c>
      <c r="J3327" s="13">
        <f>IF(A3327="",0,B3327*(IF(C3327=DATE(2026,11,28),38,0)+IF(C3327=DATE(2026,12,1),38,0)+IF(C3327=DATE(2026,12,2),26,0)))</f>
        <v/>
      </c>
      <c r="K3327" s="13">
        <f>IF(C3327=Options!$B$9,B3327*12,0)</f>
        <v/>
      </c>
      <c r="L3327" s="13">
        <f>IF(C3327=Options!$B$9,B3327*Options!$Z$9,0)</f>
        <v/>
      </c>
      <c r="M3327" s="13" t="n">
        <v>0</v>
      </c>
      <c r="N3327" s="13">
        <f>SUM(E3327:M3327)</f>
        <v/>
      </c>
    </row>
    <row r="3328">
      <c r="A3328" s="5">
        <f>IF(AND(C3328&gt;=Options!$B$9,C3328&lt;=Options!$B$10),"Seattle","")</f>
        <v/>
      </c>
      <c r="B3328" s="5">
        <f>IF(A3328="","",24)</f>
        <v/>
      </c>
      <c r="C3328" s="17" t="n">
        <v>46334</v>
      </c>
      <c r="D3328" s="5">
        <f>IF(A3328="","",IF(C3328=DATE(2026,11,29),"培训；注册午餐；早餐参数",IF(C3328=DATE(2026,11,30),"培训；注册午餐",IF(C3328=DATE(2026,12,1),"培训；注册午餐；机构晚餐",IF(C3328=Options!$B$9,"抵达；"&amp;IF(C3328=DATE(2026,11,28),"机构晚餐","无统一供餐"),IF(C3328=Options!$B$10,"返程；"&amp;IF(C3328=DATE(2026,12,2),"机构午餐","无统一供餐"),"差旅状态；无统一日程"))))))</f>
        <v/>
      </c>
      <c r="E3328" s="13">
        <f>IF(C3328=Options!$B$9,Options!$C$23,0)</f>
        <v/>
      </c>
      <c r="F3328" s="13">
        <f>IF(AND(A3328&lt;&gt;"",C3328&lt;Options!$B$10),B3328*Options!$X$9,0)</f>
        <v/>
      </c>
      <c r="G3328" s="13">
        <f>F3328*12%</f>
        <v/>
      </c>
      <c r="H3328" s="13">
        <f>IF(A3328="",0,B3328*(92*IF(OR(C3328=Options!$B$9,C3328=Options!$B$10),75%,100%)-IF(C3328=DATE(2026,11,29),26+IF(Options!$B$8="是",23,0),0)-IF(C3328=DATE(2026,11,30),26,0)-IF(C3328=DATE(2026,12,1),64,0)-IF(C3328=DATE(2026,11,28),38,0)-IF(C3328=DATE(2026,12,2),26,0)))</f>
        <v/>
      </c>
      <c r="I3328" s="13">
        <f>IF(AND(C3328&gt;=DATE(2026,11,29),C3328&lt;=DATE(2026,12,1)),B3328*60,0)</f>
        <v/>
      </c>
      <c r="J3328" s="13">
        <f>IF(A3328="",0,B3328*(IF(C3328=DATE(2026,11,28),38,0)+IF(C3328=DATE(2026,12,1),38,0)+IF(C3328=DATE(2026,12,2),26,0)))</f>
        <v/>
      </c>
      <c r="K3328" s="13">
        <f>IF(C3328=Options!$B$9,B3328*12,0)</f>
        <v/>
      </c>
      <c r="L3328" s="13">
        <f>IF(C3328=Options!$B$9,B3328*Options!$Z$9,0)</f>
        <v/>
      </c>
      <c r="M3328" s="13" t="n">
        <v>0</v>
      </c>
      <c r="N3328" s="13">
        <f>SUM(E3328:M3328)</f>
        <v/>
      </c>
    </row>
    <row r="3329">
      <c r="A3329" s="5">
        <f>IF(AND(C3329&gt;=Options!$B$9,C3329&lt;=Options!$B$10),"Seattle","")</f>
        <v/>
      </c>
      <c r="B3329" s="5">
        <f>IF(A3329="","",24)</f>
        <v/>
      </c>
      <c r="C3329" s="17" t="n">
        <v>46335</v>
      </c>
      <c r="D3329" s="5">
        <f>IF(A3329="","",IF(C3329=DATE(2026,11,29),"培训；注册午餐；早餐参数",IF(C3329=DATE(2026,11,30),"培训；注册午餐",IF(C3329=DATE(2026,12,1),"培训；注册午餐；机构晚餐",IF(C3329=Options!$B$9,"抵达；"&amp;IF(C3329=DATE(2026,11,28),"机构晚餐","无统一供餐"),IF(C3329=Options!$B$10,"返程；"&amp;IF(C3329=DATE(2026,12,2),"机构午餐","无统一供餐"),"差旅状态；无统一日程"))))))</f>
        <v/>
      </c>
      <c r="E3329" s="13">
        <f>IF(C3329=Options!$B$9,Options!$C$23,0)</f>
        <v/>
      </c>
      <c r="F3329" s="13">
        <f>IF(AND(A3329&lt;&gt;"",C3329&lt;Options!$B$10),B3329*Options!$X$9,0)</f>
        <v/>
      </c>
      <c r="G3329" s="13">
        <f>F3329*12%</f>
        <v/>
      </c>
      <c r="H3329" s="13">
        <f>IF(A3329="",0,B3329*(92*IF(OR(C3329=Options!$B$9,C3329=Options!$B$10),75%,100%)-IF(C3329=DATE(2026,11,29),26+IF(Options!$B$8="是",23,0),0)-IF(C3329=DATE(2026,11,30),26,0)-IF(C3329=DATE(2026,12,1),64,0)-IF(C3329=DATE(2026,11,28),38,0)-IF(C3329=DATE(2026,12,2),26,0)))</f>
        <v/>
      </c>
      <c r="I3329" s="13">
        <f>IF(AND(C3329&gt;=DATE(2026,11,29),C3329&lt;=DATE(2026,12,1)),B3329*60,0)</f>
        <v/>
      </c>
      <c r="J3329" s="13">
        <f>IF(A3329="",0,B3329*(IF(C3329=DATE(2026,11,28),38,0)+IF(C3329=DATE(2026,12,1),38,0)+IF(C3329=DATE(2026,12,2),26,0)))</f>
        <v/>
      </c>
      <c r="K3329" s="13">
        <f>IF(C3329=Options!$B$9,B3329*12,0)</f>
        <v/>
      </c>
      <c r="L3329" s="13">
        <f>IF(C3329=Options!$B$9,B3329*Options!$Z$9,0)</f>
        <v/>
      </c>
      <c r="M3329" s="13" t="n">
        <v>0</v>
      </c>
      <c r="N3329" s="13">
        <f>SUM(E3329:M3329)</f>
        <v/>
      </c>
    </row>
    <row r="3330">
      <c r="A3330" s="5">
        <f>IF(AND(C3330&gt;=Options!$B$9,C3330&lt;=Options!$B$10),"Seattle","")</f>
        <v/>
      </c>
      <c r="B3330" s="5">
        <f>IF(A3330="","",24)</f>
        <v/>
      </c>
      <c r="C3330" s="17" t="n">
        <v>46336</v>
      </c>
      <c r="D3330" s="5">
        <f>IF(A3330="","",IF(C3330=DATE(2026,11,29),"培训；注册午餐；早餐参数",IF(C3330=DATE(2026,11,30),"培训；注册午餐",IF(C3330=DATE(2026,12,1),"培训；注册午餐；机构晚餐",IF(C3330=Options!$B$9,"抵达；"&amp;IF(C3330=DATE(2026,11,28),"机构晚餐","无统一供餐"),IF(C3330=Options!$B$10,"返程；"&amp;IF(C3330=DATE(2026,12,2),"机构午餐","无统一供餐"),"差旅状态；无统一日程"))))))</f>
        <v/>
      </c>
      <c r="E3330" s="13">
        <f>IF(C3330=Options!$B$9,Options!$C$23,0)</f>
        <v/>
      </c>
      <c r="F3330" s="13">
        <f>IF(AND(A3330&lt;&gt;"",C3330&lt;Options!$B$10),B3330*Options!$X$9,0)</f>
        <v/>
      </c>
      <c r="G3330" s="13">
        <f>F3330*12%</f>
        <v/>
      </c>
      <c r="H3330" s="13">
        <f>IF(A3330="",0,B3330*(92*IF(OR(C3330=Options!$B$9,C3330=Options!$B$10),75%,100%)-IF(C3330=DATE(2026,11,29),26+IF(Options!$B$8="是",23,0),0)-IF(C3330=DATE(2026,11,30),26,0)-IF(C3330=DATE(2026,12,1),64,0)-IF(C3330=DATE(2026,11,28),38,0)-IF(C3330=DATE(2026,12,2),26,0)))</f>
        <v/>
      </c>
      <c r="I3330" s="13">
        <f>IF(AND(C3330&gt;=DATE(2026,11,29),C3330&lt;=DATE(2026,12,1)),B3330*60,0)</f>
        <v/>
      </c>
      <c r="J3330" s="13">
        <f>IF(A3330="",0,B3330*(IF(C3330=DATE(2026,11,28),38,0)+IF(C3330=DATE(2026,12,1),38,0)+IF(C3330=DATE(2026,12,2),26,0)))</f>
        <v/>
      </c>
      <c r="K3330" s="13">
        <f>IF(C3330=Options!$B$9,B3330*12,0)</f>
        <v/>
      </c>
      <c r="L3330" s="13">
        <f>IF(C3330=Options!$B$9,B3330*Options!$Z$9,0)</f>
        <v/>
      </c>
      <c r="M3330" s="13" t="n">
        <v>0</v>
      </c>
      <c r="N3330" s="13">
        <f>SUM(E3330:M3330)</f>
        <v/>
      </c>
    </row>
    <row r="3331">
      <c r="A3331" s="5">
        <f>IF(AND(C3331&gt;=Options!$B$9,C3331&lt;=Options!$B$10),"Seattle","")</f>
        <v/>
      </c>
      <c r="B3331" s="5">
        <f>IF(A3331="","",24)</f>
        <v/>
      </c>
      <c r="C3331" s="17" t="n">
        <v>46337</v>
      </c>
      <c r="D3331" s="5">
        <f>IF(A3331="","",IF(C3331=DATE(2026,11,29),"培训；注册午餐；早餐参数",IF(C3331=DATE(2026,11,30),"培训；注册午餐",IF(C3331=DATE(2026,12,1),"培训；注册午餐；机构晚餐",IF(C3331=Options!$B$9,"抵达；"&amp;IF(C3331=DATE(2026,11,28),"机构晚餐","无统一供餐"),IF(C3331=Options!$B$10,"返程；"&amp;IF(C3331=DATE(2026,12,2),"机构午餐","无统一供餐"),"差旅状态；无统一日程"))))))</f>
        <v/>
      </c>
      <c r="E3331" s="13">
        <f>IF(C3331=Options!$B$9,Options!$C$23,0)</f>
        <v/>
      </c>
      <c r="F3331" s="13">
        <f>IF(AND(A3331&lt;&gt;"",C3331&lt;Options!$B$10),B3331*Options!$X$9,0)</f>
        <v/>
      </c>
      <c r="G3331" s="13">
        <f>F3331*12%</f>
        <v/>
      </c>
      <c r="H3331" s="13">
        <f>IF(A3331="",0,B3331*(92*IF(OR(C3331=Options!$B$9,C3331=Options!$B$10),75%,100%)-IF(C3331=DATE(2026,11,29),26+IF(Options!$B$8="是",23,0),0)-IF(C3331=DATE(2026,11,30),26,0)-IF(C3331=DATE(2026,12,1),64,0)-IF(C3331=DATE(2026,11,28),38,0)-IF(C3331=DATE(2026,12,2),26,0)))</f>
        <v/>
      </c>
      <c r="I3331" s="13">
        <f>IF(AND(C3331&gt;=DATE(2026,11,29),C3331&lt;=DATE(2026,12,1)),B3331*60,0)</f>
        <v/>
      </c>
      <c r="J3331" s="13">
        <f>IF(A3331="",0,B3331*(IF(C3331=DATE(2026,11,28),38,0)+IF(C3331=DATE(2026,12,1),38,0)+IF(C3331=DATE(2026,12,2),26,0)))</f>
        <v/>
      </c>
      <c r="K3331" s="13">
        <f>IF(C3331=Options!$B$9,B3331*12,0)</f>
        <v/>
      </c>
      <c r="L3331" s="13">
        <f>IF(C3331=Options!$B$9,B3331*Options!$Z$9,0)</f>
        <v/>
      </c>
      <c r="M3331" s="13" t="n">
        <v>0</v>
      </c>
      <c r="N3331" s="13">
        <f>SUM(E3331:M3331)</f>
        <v/>
      </c>
    </row>
    <row r="3332">
      <c r="A3332" s="5">
        <f>IF(AND(C3332&gt;=Options!$B$9,C3332&lt;=Options!$B$10),"Seattle","")</f>
        <v/>
      </c>
      <c r="B3332" s="5">
        <f>IF(A3332="","",24)</f>
        <v/>
      </c>
      <c r="C3332" s="17" t="n">
        <v>46338</v>
      </c>
      <c r="D3332" s="5">
        <f>IF(A3332="","",IF(C3332=DATE(2026,11,29),"培训；注册午餐；早餐参数",IF(C3332=DATE(2026,11,30),"培训；注册午餐",IF(C3332=DATE(2026,12,1),"培训；注册午餐；机构晚餐",IF(C3332=Options!$B$9,"抵达；"&amp;IF(C3332=DATE(2026,11,28),"机构晚餐","无统一供餐"),IF(C3332=Options!$B$10,"返程；"&amp;IF(C3332=DATE(2026,12,2),"机构午餐","无统一供餐"),"差旅状态；无统一日程"))))))</f>
        <v/>
      </c>
      <c r="E3332" s="13">
        <f>IF(C3332=Options!$B$9,Options!$C$23,0)</f>
        <v/>
      </c>
      <c r="F3332" s="13">
        <f>IF(AND(A3332&lt;&gt;"",C3332&lt;Options!$B$10),B3332*Options!$X$9,0)</f>
        <v/>
      </c>
      <c r="G3332" s="13">
        <f>F3332*12%</f>
        <v/>
      </c>
      <c r="H3332" s="13">
        <f>IF(A3332="",0,B3332*(92*IF(OR(C3332=Options!$B$9,C3332=Options!$B$10),75%,100%)-IF(C3332=DATE(2026,11,29),26+IF(Options!$B$8="是",23,0),0)-IF(C3332=DATE(2026,11,30),26,0)-IF(C3332=DATE(2026,12,1),64,0)-IF(C3332=DATE(2026,11,28),38,0)-IF(C3332=DATE(2026,12,2),26,0)))</f>
        <v/>
      </c>
      <c r="I3332" s="13">
        <f>IF(AND(C3332&gt;=DATE(2026,11,29),C3332&lt;=DATE(2026,12,1)),B3332*60,0)</f>
        <v/>
      </c>
      <c r="J3332" s="13">
        <f>IF(A3332="",0,B3332*(IF(C3332=DATE(2026,11,28),38,0)+IF(C3332=DATE(2026,12,1),38,0)+IF(C3332=DATE(2026,12,2),26,0)))</f>
        <v/>
      </c>
      <c r="K3332" s="13">
        <f>IF(C3332=Options!$B$9,B3332*12,0)</f>
        <v/>
      </c>
      <c r="L3332" s="13">
        <f>IF(C3332=Options!$B$9,B3332*Options!$Z$9,0)</f>
        <v/>
      </c>
      <c r="M3332" s="13" t="n">
        <v>0</v>
      </c>
      <c r="N3332" s="13">
        <f>SUM(E3332:M3332)</f>
        <v/>
      </c>
    </row>
    <row r="3333">
      <c r="A3333" s="5">
        <f>IF(AND(C3333&gt;=Options!$B$9,C3333&lt;=Options!$B$10),"Seattle","")</f>
        <v/>
      </c>
      <c r="B3333" s="5">
        <f>IF(A3333="","",24)</f>
        <v/>
      </c>
      <c r="C3333" s="17" t="n">
        <v>46339</v>
      </c>
      <c r="D3333" s="5">
        <f>IF(A3333="","",IF(C3333=DATE(2026,11,29),"培训；注册午餐；早餐参数",IF(C3333=DATE(2026,11,30),"培训；注册午餐",IF(C3333=DATE(2026,12,1),"培训；注册午餐；机构晚餐",IF(C3333=Options!$B$9,"抵达；"&amp;IF(C3333=DATE(2026,11,28),"机构晚餐","无统一供餐"),IF(C3333=Options!$B$10,"返程；"&amp;IF(C3333=DATE(2026,12,2),"机构午餐","无统一供餐"),"差旅状态；无统一日程"))))))</f>
        <v/>
      </c>
      <c r="E3333" s="13">
        <f>IF(C3333=Options!$B$9,Options!$C$23,0)</f>
        <v/>
      </c>
      <c r="F3333" s="13">
        <f>IF(AND(A3333&lt;&gt;"",C3333&lt;Options!$B$10),B3333*Options!$X$9,0)</f>
        <v/>
      </c>
      <c r="G3333" s="13">
        <f>F3333*12%</f>
        <v/>
      </c>
      <c r="H3333" s="13">
        <f>IF(A3333="",0,B3333*(92*IF(OR(C3333=Options!$B$9,C3333=Options!$B$10),75%,100%)-IF(C3333=DATE(2026,11,29),26+IF(Options!$B$8="是",23,0),0)-IF(C3333=DATE(2026,11,30),26,0)-IF(C3333=DATE(2026,12,1),64,0)-IF(C3333=DATE(2026,11,28),38,0)-IF(C3333=DATE(2026,12,2),26,0)))</f>
        <v/>
      </c>
      <c r="I3333" s="13">
        <f>IF(AND(C3333&gt;=DATE(2026,11,29),C3333&lt;=DATE(2026,12,1)),B3333*60,0)</f>
        <v/>
      </c>
      <c r="J3333" s="13">
        <f>IF(A3333="",0,B3333*(IF(C3333=DATE(2026,11,28),38,0)+IF(C3333=DATE(2026,12,1),38,0)+IF(C3333=DATE(2026,12,2),26,0)))</f>
        <v/>
      </c>
      <c r="K3333" s="13">
        <f>IF(C3333=Options!$B$9,B3333*12,0)</f>
        <v/>
      </c>
      <c r="L3333" s="13">
        <f>IF(C3333=Options!$B$9,B3333*Options!$Z$9,0)</f>
        <v/>
      </c>
      <c r="M3333" s="13" t="n">
        <v>0</v>
      </c>
      <c r="N3333" s="13">
        <f>SUM(E3333:M3333)</f>
        <v/>
      </c>
    </row>
    <row r="3334">
      <c r="A3334" s="5">
        <f>IF(AND(C3334&gt;=Options!$B$9,C3334&lt;=Options!$B$10),"Seattle","")</f>
        <v/>
      </c>
      <c r="B3334" s="5">
        <f>IF(A3334="","",24)</f>
        <v/>
      </c>
      <c r="C3334" s="17" t="n">
        <v>46340</v>
      </c>
      <c r="D3334" s="5">
        <f>IF(A3334="","",IF(C3334=DATE(2026,11,29),"培训；注册午餐；早餐参数",IF(C3334=DATE(2026,11,30),"培训；注册午餐",IF(C3334=DATE(2026,12,1),"培训；注册午餐；机构晚餐",IF(C3334=Options!$B$9,"抵达；"&amp;IF(C3334=DATE(2026,11,28),"机构晚餐","无统一供餐"),IF(C3334=Options!$B$10,"返程；"&amp;IF(C3334=DATE(2026,12,2),"机构午餐","无统一供餐"),"差旅状态；无统一日程"))))))</f>
        <v/>
      </c>
      <c r="E3334" s="13">
        <f>IF(C3334=Options!$B$9,Options!$C$23,0)</f>
        <v/>
      </c>
      <c r="F3334" s="13">
        <f>IF(AND(A3334&lt;&gt;"",C3334&lt;Options!$B$10),B3334*Options!$X$9,0)</f>
        <v/>
      </c>
      <c r="G3334" s="13">
        <f>F3334*12%</f>
        <v/>
      </c>
      <c r="H3334" s="13">
        <f>IF(A3334="",0,B3334*(92*IF(OR(C3334=Options!$B$9,C3334=Options!$B$10),75%,100%)-IF(C3334=DATE(2026,11,29),26+IF(Options!$B$8="是",23,0),0)-IF(C3334=DATE(2026,11,30),26,0)-IF(C3334=DATE(2026,12,1),64,0)-IF(C3334=DATE(2026,11,28),38,0)-IF(C3334=DATE(2026,12,2),26,0)))</f>
        <v/>
      </c>
      <c r="I3334" s="13">
        <f>IF(AND(C3334&gt;=DATE(2026,11,29),C3334&lt;=DATE(2026,12,1)),B3334*60,0)</f>
        <v/>
      </c>
      <c r="J3334" s="13">
        <f>IF(A3334="",0,B3334*(IF(C3334=DATE(2026,11,28),38,0)+IF(C3334=DATE(2026,12,1),38,0)+IF(C3334=DATE(2026,12,2),26,0)))</f>
        <v/>
      </c>
      <c r="K3334" s="13">
        <f>IF(C3334=Options!$B$9,B3334*12,0)</f>
        <v/>
      </c>
      <c r="L3334" s="13">
        <f>IF(C3334=Options!$B$9,B3334*Options!$Z$9,0)</f>
        <v/>
      </c>
      <c r="M3334" s="13" t="n">
        <v>0</v>
      </c>
      <c r="N3334" s="13">
        <f>SUM(E3334:M3334)</f>
        <v/>
      </c>
    </row>
    <row r="3335">
      <c r="A3335" s="5">
        <f>IF(AND(C3335&gt;=Options!$B$9,C3335&lt;=Options!$B$10),"Seattle","")</f>
        <v/>
      </c>
      <c r="B3335" s="5">
        <f>IF(A3335="","",24)</f>
        <v/>
      </c>
      <c r="C3335" s="17" t="n">
        <v>46341</v>
      </c>
      <c r="D3335" s="5">
        <f>IF(A3335="","",IF(C3335=DATE(2026,11,29),"培训；注册午餐；早餐参数",IF(C3335=DATE(2026,11,30),"培训；注册午餐",IF(C3335=DATE(2026,12,1),"培训；注册午餐；机构晚餐",IF(C3335=Options!$B$9,"抵达；"&amp;IF(C3335=DATE(2026,11,28),"机构晚餐","无统一供餐"),IF(C3335=Options!$B$10,"返程；"&amp;IF(C3335=DATE(2026,12,2),"机构午餐","无统一供餐"),"差旅状态；无统一日程"))))))</f>
        <v/>
      </c>
      <c r="E3335" s="13">
        <f>IF(C3335=Options!$B$9,Options!$C$23,0)</f>
        <v/>
      </c>
      <c r="F3335" s="13">
        <f>IF(AND(A3335&lt;&gt;"",C3335&lt;Options!$B$10),B3335*Options!$X$9,0)</f>
        <v/>
      </c>
      <c r="G3335" s="13">
        <f>F3335*12%</f>
        <v/>
      </c>
      <c r="H3335" s="13">
        <f>IF(A3335="",0,B3335*(92*IF(OR(C3335=Options!$B$9,C3335=Options!$B$10),75%,100%)-IF(C3335=DATE(2026,11,29),26+IF(Options!$B$8="是",23,0),0)-IF(C3335=DATE(2026,11,30),26,0)-IF(C3335=DATE(2026,12,1),64,0)-IF(C3335=DATE(2026,11,28),38,0)-IF(C3335=DATE(2026,12,2),26,0)))</f>
        <v/>
      </c>
      <c r="I3335" s="13">
        <f>IF(AND(C3335&gt;=DATE(2026,11,29),C3335&lt;=DATE(2026,12,1)),B3335*60,0)</f>
        <v/>
      </c>
      <c r="J3335" s="13">
        <f>IF(A3335="",0,B3335*(IF(C3335=DATE(2026,11,28),38,0)+IF(C3335=DATE(2026,12,1),38,0)+IF(C3335=DATE(2026,12,2),26,0)))</f>
        <v/>
      </c>
      <c r="K3335" s="13">
        <f>IF(C3335=Options!$B$9,B3335*12,0)</f>
        <v/>
      </c>
      <c r="L3335" s="13">
        <f>IF(C3335=Options!$B$9,B3335*Options!$Z$9,0)</f>
        <v/>
      </c>
      <c r="M3335" s="13" t="n">
        <v>0</v>
      </c>
      <c r="N3335" s="13">
        <f>SUM(E3335:M3335)</f>
        <v/>
      </c>
    </row>
    <row r="3336">
      <c r="A3336" s="5">
        <f>IF(AND(C3336&gt;=Options!$B$9,C3336&lt;=Options!$B$10),"Seattle","")</f>
        <v/>
      </c>
      <c r="B3336" s="5">
        <f>IF(A3336="","",24)</f>
        <v/>
      </c>
      <c r="C3336" s="17" t="n">
        <v>46342</v>
      </c>
      <c r="D3336" s="5">
        <f>IF(A3336="","",IF(C3336=DATE(2026,11,29),"培训；注册午餐；早餐参数",IF(C3336=DATE(2026,11,30),"培训；注册午餐",IF(C3336=DATE(2026,12,1),"培训；注册午餐；机构晚餐",IF(C3336=Options!$B$9,"抵达；"&amp;IF(C3336=DATE(2026,11,28),"机构晚餐","无统一供餐"),IF(C3336=Options!$B$10,"返程；"&amp;IF(C3336=DATE(2026,12,2),"机构午餐","无统一供餐"),"差旅状态；无统一日程"))))))</f>
        <v/>
      </c>
      <c r="E3336" s="13">
        <f>IF(C3336=Options!$B$9,Options!$C$23,0)</f>
        <v/>
      </c>
      <c r="F3336" s="13">
        <f>IF(AND(A3336&lt;&gt;"",C3336&lt;Options!$B$10),B3336*Options!$X$9,0)</f>
        <v/>
      </c>
      <c r="G3336" s="13">
        <f>F3336*12%</f>
        <v/>
      </c>
      <c r="H3336" s="13">
        <f>IF(A3336="",0,B3336*(92*IF(OR(C3336=Options!$B$9,C3336=Options!$B$10),75%,100%)-IF(C3336=DATE(2026,11,29),26+IF(Options!$B$8="是",23,0),0)-IF(C3336=DATE(2026,11,30),26,0)-IF(C3336=DATE(2026,12,1),64,0)-IF(C3336=DATE(2026,11,28),38,0)-IF(C3336=DATE(2026,12,2),26,0)))</f>
        <v/>
      </c>
      <c r="I3336" s="13">
        <f>IF(AND(C3336&gt;=DATE(2026,11,29),C3336&lt;=DATE(2026,12,1)),B3336*60,0)</f>
        <v/>
      </c>
      <c r="J3336" s="13">
        <f>IF(A3336="",0,B3336*(IF(C3336=DATE(2026,11,28),38,0)+IF(C3336=DATE(2026,12,1),38,0)+IF(C3336=DATE(2026,12,2),26,0)))</f>
        <v/>
      </c>
      <c r="K3336" s="13">
        <f>IF(C3336=Options!$B$9,B3336*12,0)</f>
        <v/>
      </c>
      <c r="L3336" s="13">
        <f>IF(C3336=Options!$B$9,B3336*Options!$Z$9,0)</f>
        <v/>
      </c>
      <c r="M3336" s="13" t="n">
        <v>0</v>
      </c>
      <c r="N3336" s="13">
        <f>SUM(E3336:M3336)</f>
        <v/>
      </c>
    </row>
    <row r="3337">
      <c r="A3337" s="5">
        <f>IF(AND(C3337&gt;=Options!$B$9,C3337&lt;=Options!$B$10),"Seattle","")</f>
        <v/>
      </c>
      <c r="B3337" s="5">
        <f>IF(A3337="","",24)</f>
        <v/>
      </c>
      <c r="C3337" s="17" t="n">
        <v>46343</v>
      </c>
      <c r="D3337" s="5">
        <f>IF(A3337="","",IF(C3337=DATE(2026,11,29),"培训；注册午餐；早餐参数",IF(C3337=DATE(2026,11,30),"培训；注册午餐",IF(C3337=DATE(2026,12,1),"培训；注册午餐；机构晚餐",IF(C3337=Options!$B$9,"抵达；"&amp;IF(C3337=DATE(2026,11,28),"机构晚餐","无统一供餐"),IF(C3337=Options!$B$10,"返程；"&amp;IF(C3337=DATE(2026,12,2),"机构午餐","无统一供餐"),"差旅状态；无统一日程"))))))</f>
        <v/>
      </c>
      <c r="E3337" s="13">
        <f>IF(C3337=Options!$B$9,Options!$C$23,0)</f>
        <v/>
      </c>
      <c r="F3337" s="13">
        <f>IF(AND(A3337&lt;&gt;"",C3337&lt;Options!$B$10),B3337*Options!$X$9,0)</f>
        <v/>
      </c>
      <c r="G3337" s="13">
        <f>F3337*12%</f>
        <v/>
      </c>
      <c r="H3337" s="13">
        <f>IF(A3337="",0,B3337*(92*IF(OR(C3337=Options!$B$9,C3337=Options!$B$10),75%,100%)-IF(C3337=DATE(2026,11,29),26+IF(Options!$B$8="是",23,0),0)-IF(C3337=DATE(2026,11,30),26,0)-IF(C3337=DATE(2026,12,1),64,0)-IF(C3337=DATE(2026,11,28),38,0)-IF(C3337=DATE(2026,12,2),26,0)))</f>
        <v/>
      </c>
      <c r="I3337" s="13">
        <f>IF(AND(C3337&gt;=DATE(2026,11,29),C3337&lt;=DATE(2026,12,1)),B3337*60,0)</f>
        <v/>
      </c>
      <c r="J3337" s="13">
        <f>IF(A3337="",0,B3337*(IF(C3337=DATE(2026,11,28),38,0)+IF(C3337=DATE(2026,12,1),38,0)+IF(C3337=DATE(2026,12,2),26,0)))</f>
        <v/>
      </c>
      <c r="K3337" s="13">
        <f>IF(C3337=Options!$B$9,B3337*12,0)</f>
        <v/>
      </c>
      <c r="L3337" s="13">
        <f>IF(C3337=Options!$B$9,B3337*Options!$Z$9,0)</f>
        <v/>
      </c>
      <c r="M3337" s="13" t="n">
        <v>0</v>
      </c>
      <c r="N3337" s="13">
        <f>SUM(E3337:M3337)</f>
        <v/>
      </c>
    </row>
    <row r="3338">
      <c r="A3338" s="5">
        <f>IF(AND(C3338&gt;=Options!$B$9,C3338&lt;=Options!$B$10),"Seattle","")</f>
        <v/>
      </c>
      <c r="B3338" s="5">
        <f>IF(A3338="","",24)</f>
        <v/>
      </c>
      <c r="C3338" s="17" t="n">
        <v>46344</v>
      </c>
      <c r="D3338" s="5">
        <f>IF(A3338="","",IF(C3338=DATE(2026,11,29),"培训；注册午餐；早餐参数",IF(C3338=DATE(2026,11,30),"培训；注册午餐",IF(C3338=DATE(2026,12,1),"培训；注册午餐；机构晚餐",IF(C3338=Options!$B$9,"抵达；"&amp;IF(C3338=DATE(2026,11,28),"机构晚餐","无统一供餐"),IF(C3338=Options!$B$10,"返程；"&amp;IF(C3338=DATE(2026,12,2),"机构午餐","无统一供餐"),"差旅状态；无统一日程"))))))</f>
        <v/>
      </c>
      <c r="E3338" s="13">
        <f>IF(C3338=Options!$B$9,Options!$C$23,0)</f>
        <v/>
      </c>
      <c r="F3338" s="13">
        <f>IF(AND(A3338&lt;&gt;"",C3338&lt;Options!$B$10),B3338*Options!$X$9,0)</f>
        <v/>
      </c>
      <c r="G3338" s="13">
        <f>F3338*12%</f>
        <v/>
      </c>
      <c r="H3338" s="13">
        <f>IF(A3338="",0,B3338*(92*IF(OR(C3338=Options!$B$9,C3338=Options!$B$10),75%,100%)-IF(C3338=DATE(2026,11,29),26+IF(Options!$B$8="是",23,0),0)-IF(C3338=DATE(2026,11,30),26,0)-IF(C3338=DATE(2026,12,1),64,0)-IF(C3338=DATE(2026,11,28),38,0)-IF(C3338=DATE(2026,12,2),26,0)))</f>
        <v/>
      </c>
      <c r="I3338" s="13">
        <f>IF(AND(C3338&gt;=DATE(2026,11,29),C3338&lt;=DATE(2026,12,1)),B3338*60,0)</f>
        <v/>
      </c>
      <c r="J3338" s="13">
        <f>IF(A3338="",0,B3338*(IF(C3338=DATE(2026,11,28),38,0)+IF(C3338=DATE(2026,12,1),38,0)+IF(C3338=DATE(2026,12,2),26,0)))</f>
        <v/>
      </c>
      <c r="K3338" s="13">
        <f>IF(C3338=Options!$B$9,B3338*12,0)</f>
        <v/>
      </c>
      <c r="L3338" s="13">
        <f>IF(C3338=Options!$B$9,B3338*Options!$Z$9,0)</f>
        <v/>
      </c>
      <c r="M3338" s="13" t="n">
        <v>0</v>
      </c>
      <c r="N3338" s="13">
        <f>SUM(E3338:M3338)</f>
        <v/>
      </c>
    </row>
    <row r="3339">
      <c r="A3339" s="5">
        <f>IF(AND(C3339&gt;=Options!$B$9,C3339&lt;=Options!$B$10),"Seattle","")</f>
        <v/>
      </c>
      <c r="B3339" s="5">
        <f>IF(A3339="","",24)</f>
        <v/>
      </c>
      <c r="C3339" s="17" t="n">
        <v>46345</v>
      </c>
      <c r="D3339" s="5">
        <f>IF(A3339="","",IF(C3339=DATE(2026,11,29),"培训；注册午餐；早餐参数",IF(C3339=DATE(2026,11,30),"培训；注册午餐",IF(C3339=DATE(2026,12,1),"培训；注册午餐；机构晚餐",IF(C3339=Options!$B$9,"抵达；"&amp;IF(C3339=DATE(2026,11,28),"机构晚餐","无统一供餐"),IF(C3339=Options!$B$10,"返程；"&amp;IF(C3339=DATE(2026,12,2),"机构午餐","无统一供餐"),"差旅状态；无统一日程"))))))</f>
        <v/>
      </c>
      <c r="E3339" s="13">
        <f>IF(C3339=Options!$B$9,Options!$C$23,0)</f>
        <v/>
      </c>
      <c r="F3339" s="13">
        <f>IF(AND(A3339&lt;&gt;"",C3339&lt;Options!$B$10),B3339*Options!$X$9,0)</f>
        <v/>
      </c>
      <c r="G3339" s="13">
        <f>F3339*12%</f>
        <v/>
      </c>
      <c r="H3339" s="13">
        <f>IF(A3339="",0,B3339*(92*IF(OR(C3339=Options!$B$9,C3339=Options!$B$10),75%,100%)-IF(C3339=DATE(2026,11,29),26+IF(Options!$B$8="是",23,0),0)-IF(C3339=DATE(2026,11,30),26,0)-IF(C3339=DATE(2026,12,1),64,0)-IF(C3339=DATE(2026,11,28),38,0)-IF(C3339=DATE(2026,12,2),26,0)))</f>
        <v/>
      </c>
      <c r="I3339" s="13">
        <f>IF(AND(C3339&gt;=DATE(2026,11,29),C3339&lt;=DATE(2026,12,1)),B3339*60,0)</f>
        <v/>
      </c>
      <c r="J3339" s="13">
        <f>IF(A3339="",0,B3339*(IF(C3339=DATE(2026,11,28),38,0)+IF(C3339=DATE(2026,12,1),38,0)+IF(C3339=DATE(2026,12,2),26,0)))</f>
        <v/>
      </c>
      <c r="K3339" s="13">
        <f>IF(C3339=Options!$B$9,B3339*12,0)</f>
        <v/>
      </c>
      <c r="L3339" s="13">
        <f>IF(C3339=Options!$B$9,B3339*Options!$Z$9,0)</f>
        <v/>
      </c>
      <c r="M3339" s="13" t="n">
        <v>0</v>
      </c>
      <c r="N3339" s="13">
        <f>SUM(E3339:M3339)</f>
        <v/>
      </c>
    </row>
    <row r="3340">
      <c r="A3340" s="5">
        <f>IF(AND(C3340&gt;=Options!$B$9,C3340&lt;=Options!$B$10),"Seattle","")</f>
        <v/>
      </c>
      <c r="B3340" s="5">
        <f>IF(A3340="","",24)</f>
        <v/>
      </c>
      <c r="C3340" s="17" t="n">
        <v>46346</v>
      </c>
      <c r="D3340" s="5">
        <f>IF(A3340="","",IF(C3340=DATE(2026,11,29),"培训；注册午餐；早餐参数",IF(C3340=DATE(2026,11,30),"培训；注册午餐",IF(C3340=DATE(2026,12,1),"培训；注册午餐；机构晚餐",IF(C3340=Options!$B$9,"抵达；"&amp;IF(C3340=DATE(2026,11,28),"机构晚餐","无统一供餐"),IF(C3340=Options!$B$10,"返程；"&amp;IF(C3340=DATE(2026,12,2),"机构午餐","无统一供餐"),"差旅状态；无统一日程"))))))</f>
        <v/>
      </c>
      <c r="E3340" s="13">
        <f>IF(C3340=Options!$B$9,Options!$C$23,0)</f>
        <v/>
      </c>
      <c r="F3340" s="13">
        <f>IF(AND(A3340&lt;&gt;"",C3340&lt;Options!$B$10),B3340*Options!$X$9,0)</f>
        <v/>
      </c>
      <c r="G3340" s="13">
        <f>F3340*12%</f>
        <v/>
      </c>
      <c r="H3340" s="13">
        <f>IF(A3340="",0,B3340*(92*IF(OR(C3340=Options!$B$9,C3340=Options!$B$10),75%,100%)-IF(C3340=DATE(2026,11,29),26+IF(Options!$B$8="是",23,0),0)-IF(C3340=DATE(2026,11,30),26,0)-IF(C3340=DATE(2026,12,1),64,0)-IF(C3340=DATE(2026,11,28),38,0)-IF(C3340=DATE(2026,12,2),26,0)))</f>
        <v/>
      </c>
      <c r="I3340" s="13">
        <f>IF(AND(C3340&gt;=DATE(2026,11,29),C3340&lt;=DATE(2026,12,1)),B3340*60,0)</f>
        <v/>
      </c>
      <c r="J3340" s="13">
        <f>IF(A3340="",0,B3340*(IF(C3340=DATE(2026,11,28),38,0)+IF(C3340=DATE(2026,12,1),38,0)+IF(C3340=DATE(2026,12,2),26,0)))</f>
        <v/>
      </c>
      <c r="K3340" s="13">
        <f>IF(C3340=Options!$B$9,B3340*12,0)</f>
        <v/>
      </c>
      <c r="L3340" s="13">
        <f>IF(C3340=Options!$B$9,B3340*Options!$Z$9,0)</f>
        <v/>
      </c>
      <c r="M3340" s="13" t="n">
        <v>0</v>
      </c>
      <c r="N3340" s="13">
        <f>SUM(E3340:M3340)</f>
        <v/>
      </c>
    </row>
    <row r="3341">
      <c r="A3341" s="5">
        <f>IF(AND(C3341&gt;=Options!$B$9,C3341&lt;=Options!$B$10),"Seattle","")</f>
        <v/>
      </c>
      <c r="B3341" s="5">
        <f>IF(A3341="","",24)</f>
        <v/>
      </c>
      <c r="C3341" s="17" t="n">
        <v>46347</v>
      </c>
      <c r="D3341" s="5">
        <f>IF(A3341="","",IF(C3341=DATE(2026,11,29),"培训；注册午餐；早餐参数",IF(C3341=DATE(2026,11,30),"培训；注册午餐",IF(C3341=DATE(2026,12,1),"培训；注册午餐；机构晚餐",IF(C3341=Options!$B$9,"抵达；"&amp;IF(C3341=DATE(2026,11,28),"机构晚餐","无统一供餐"),IF(C3341=Options!$B$10,"返程；"&amp;IF(C3341=DATE(2026,12,2),"机构午餐","无统一供餐"),"差旅状态；无统一日程"))))))</f>
        <v/>
      </c>
      <c r="E3341" s="13">
        <f>IF(C3341=Options!$B$9,Options!$C$23,0)</f>
        <v/>
      </c>
      <c r="F3341" s="13">
        <f>IF(AND(A3341&lt;&gt;"",C3341&lt;Options!$B$10),B3341*Options!$X$9,0)</f>
        <v/>
      </c>
      <c r="G3341" s="13">
        <f>F3341*12%</f>
        <v/>
      </c>
      <c r="H3341" s="13">
        <f>IF(A3341="",0,B3341*(92*IF(OR(C3341=Options!$B$9,C3341=Options!$B$10),75%,100%)-IF(C3341=DATE(2026,11,29),26+IF(Options!$B$8="是",23,0),0)-IF(C3341=DATE(2026,11,30),26,0)-IF(C3341=DATE(2026,12,1),64,0)-IF(C3341=DATE(2026,11,28),38,0)-IF(C3341=DATE(2026,12,2),26,0)))</f>
        <v/>
      </c>
      <c r="I3341" s="13">
        <f>IF(AND(C3341&gt;=DATE(2026,11,29),C3341&lt;=DATE(2026,12,1)),B3341*60,0)</f>
        <v/>
      </c>
      <c r="J3341" s="13">
        <f>IF(A3341="",0,B3341*(IF(C3341=DATE(2026,11,28),38,0)+IF(C3341=DATE(2026,12,1),38,0)+IF(C3341=DATE(2026,12,2),26,0)))</f>
        <v/>
      </c>
      <c r="K3341" s="13">
        <f>IF(C3341=Options!$B$9,B3341*12,0)</f>
        <v/>
      </c>
      <c r="L3341" s="13">
        <f>IF(C3341=Options!$B$9,B3341*Options!$Z$9,0)</f>
        <v/>
      </c>
      <c r="M3341" s="13" t="n">
        <v>0</v>
      </c>
      <c r="N3341" s="13">
        <f>SUM(E3341:M3341)</f>
        <v/>
      </c>
    </row>
    <row r="3342">
      <c r="A3342" s="5">
        <f>IF(AND(C3342&gt;=Options!$B$9,C3342&lt;=Options!$B$10),"Seattle","")</f>
        <v/>
      </c>
      <c r="B3342" s="5">
        <f>IF(A3342="","",24)</f>
        <v/>
      </c>
      <c r="C3342" s="17" t="n">
        <v>46348</v>
      </c>
      <c r="D3342" s="5">
        <f>IF(A3342="","",IF(C3342=DATE(2026,11,29),"培训；注册午餐；早餐参数",IF(C3342=DATE(2026,11,30),"培训；注册午餐",IF(C3342=DATE(2026,12,1),"培训；注册午餐；机构晚餐",IF(C3342=Options!$B$9,"抵达；"&amp;IF(C3342=DATE(2026,11,28),"机构晚餐","无统一供餐"),IF(C3342=Options!$B$10,"返程；"&amp;IF(C3342=DATE(2026,12,2),"机构午餐","无统一供餐"),"差旅状态；无统一日程"))))))</f>
        <v/>
      </c>
      <c r="E3342" s="13">
        <f>IF(C3342=Options!$B$9,Options!$C$23,0)</f>
        <v/>
      </c>
      <c r="F3342" s="13">
        <f>IF(AND(A3342&lt;&gt;"",C3342&lt;Options!$B$10),B3342*Options!$X$9,0)</f>
        <v/>
      </c>
      <c r="G3342" s="13">
        <f>F3342*12%</f>
        <v/>
      </c>
      <c r="H3342" s="13">
        <f>IF(A3342="",0,B3342*(92*IF(OR(C3342=Options!$B$9,C3342=Options!$B$10),75%,100%)-IF(C3342=DATE(2026,11,29),26+IF(Options!$B$8="是",23,0),0)-IF(C3342=DATE(2026,11,30),26,0)-IF(C3342=DATE(2026,12,1),64,0)-IF(C3342=DATE(2026,11,28),38,0)-IF(C3342=DATE(2026,12,2),26,0)))</f>
        <v/>
      </c>
      <c r="I3342" s="13">
        <f>IF(AND(C3342&gt;=DATE(2026,11,29),C3342&lt;=DATE(2026,12,1)),B3342*60,0)</f>
        <v/>
      </c>
      <c r="J3342" s="13">
        <f>IF(A3342="",0,B3342*(IF(C3342=DATE(2026,11,28),38,0)+IF(C3342=DATE(2026,12,1),38,0)+IF(C3342=DATE(2026,12,2),26,0)))</f>
        <v/>
      </c>
      <c r="K3342" s="13">
        <f>IF(C3342=Options!$B$9,B3342*12,0)</f>
        <v/>
      </c>
      <c r="L3342" s="13">
        <f>IF(C3342=Options!$B$9,B3342*Options!$Z$9,0)</f>
        <v/>
      </c>
      <c r="M3342" s="13" t="n">
        <v>0</v>
      </c>
      <c r="N3342" s="13">
        <f>SUM(E3342:M3342)</f>
        <v/>
      </c>
    </row>
    <row r="3343">
      <c r="A3343" s="5">
        <f>IF(AND(C3343&gt;=Options!$B$9,C3343&lt;=Options!$B$10),"Seattle","")</f>
        <v/>
      </c>
      <c r="B3343" s="5">
        <f>IF(A3343="","",24)</f>
        <v/>
      </c>
      <c r="C3343" s="17" t="n">
        <v>46349</v>
      </c>
      <c r="D3343" s="5">
        <f>IF(A3343="","",IF(C3343=DATE(2026,11,29),"培训；注册午餐；早餐参数",IF(C3343=DATE(2026,11,30),"培训；注册午餐",IF(C3343=DATE(2026,12,1),"培训；注册午餐；机构晚餐",IF(C3343=Options!$B$9,"抵达；"&amp;IF(C3343=DATE(2026,11,28),"机构晚餐","无统一供餐"),IF(C3343=Options!$B$10,"返程；"&amp;IF(C3343=DATE(2026,12,2),"机构午餐","无统一供餐"),"差旅状态；无统一日程"))))))</f>
        <v/>
      </c>
      <c r="E3343" s="13">
        <f>IF(C3343=Options!$B$9,Options!$C$23,0)</f>
        <v/>
      </c>
      <c r="F3343" s="13">
        <f>IF(AND(A3343&lt;&gt;"",C3343&lt;Options!$B$10),B3343*Options!$X$9,0)</f>
        <v/>
      </c>
      <c r="G3343" s="13">
        <f>F3343*12%</f>
        <v/>
      </c>
      <c r="H3343" s="13">
        <f>IF(A3343="",0,B3343*(92*IF(OR(C3343=Options!$B$9,C3343=Options!$B$10),75%,100%)-IF(C3343=DATE(2026,11,29),26+IF(Options!$B$8="是",23,0),0)-IF(C3343=DATE(2026,11,30),26,0)-IF(C3343=DATE(2026,12,1),64,0)-IF(C3343=DATE(2026,11,28),38,0)-IF(C3343=DATE(2026,12,2),26,0)))</f>
        <v/>
      </c>
      <c r="I3343" s="13">
        <f>IF(AND(C3343&gt;=DATE(2026,11,29),C3343&lt;=DATE(2026,12,1)),B3343*60,0)</f>
        <v/>
      </c>
      <c r="J3343" s="13">
        <f>IF(A3343="",0,B3343*(IF(C3343=DATE(2026,11,28),38,0)+IF(C3343=DATE(2026,12,1),38,0)+IF(C3343=DATE(2026,12,2),26,0)))</f>
        <v/>
      </c>
      <c r="K3343" s="13">
        <f>IF(C3343=Options!$B$9,B3343*12,0)</f>
        <v/>
      </c>
      <c r="L3343" s="13">
        <f>IF(C3343=Options!$B$9,B3343*Options!$Z$9,0)</f>
        <v/>
      </c>
      <c r="M3343" s="13" t="n">
        <v>0</v>
      </c>
      <c r="N3343" s="13">
        <f>SUM(E3343:M3343)</f>
        <v/>
      </c>
    </row>
    <row r="3344">
      <c r="A3344" s="5">
        <f>IF(AND(C3344&gt;=Options!$B$9,C3344&lt;=Options!$B$10),"Seattle","")</f>
        <v/>
      </c>
      <c r="B3344" s="5">
        <f>IF(A3344="","",24)</f>
        <v/>
      </c>
      <c r="C3344" s="17" t="n">
        <v>46350</v>
      </c>
      <c r="D3344" s="5">
        <f>IF(A3344="","",IF(C3344=DATE(2026,11,29),"培训；注册午餐；早餐参数",IF(C3344=DATE(2026,11,30),"培训；注册午餐",IF(C3344=DATE(2026,12,1),"培训；注册午餐；机构晚餐",IF(C3344=Options!$B$9,"抵达；"&amp;IF(C3344=DATE(2026,11,28),"机构晚餐","无统一供餐"),IF(C3344=Options!$B$10,"返程；"&amp;IF(C3344=DATE(2026,12,2),"机构午餐","无统一供餐"),"差旅状态；无统一日程"))))))</f>
        <v/>
      </c>
      <c r="E3344" s="13">
        <f>IF(C3344=Options!$B$9,Options!$C$23,0)</f>
        <v/>
      </c>
      <c r="F3344" s="13">
        <f>IF(AND(A3344&lt;&gt;"",C3344&lt;Options!$B$10),B3344*Options!$X$9,0)</f>
        <v/>
      </c>
      <c r="G3344" s="13">
        <f>F3344*12%</f>
        <v/>
      </c>
      <c r="H3344" s="13">
        <f>IF(A3344="",0,B3344*(92*IF(OR(C3344=Options!$B$9,C3344=Options!$B$10),75%,100%)-IF(C3344=DATE(2026,11,29),26+IF(Options!$B$8="是",23,0),0)-IF(C3344=DATE(2026,11,30),26,0)-IF(C3344=DATE(2026,12,1),64,0)-IF(C3344=DATE(2026,11,28),38,0)-IF(C3344=DATE(2026,12,2),26,0)))</f>
        <v/>
      </c>
      <c r="I3344" s="13">
        <f>IF(AND(C3344&gt;=DATE(2026,11,29),C3344&lt;=DATE(2026,12,1)),B3344*60,0)</f>
        <v/>
      </c>
      <c r="J3344" s="13">
        <f>IF(A3344="",0,B3344*(IF(C3344=DATE(2026,11,28),38,0)+IF(C3344=DATE(2026,12,1),38,0)+IF(C3344=DATE(2026,12,2),26,0)))</f>
        <v/>
      </c>
      <c r="K3344" s="13">
        <f>IF(C3344=Options!$B$9,B3344*12,0)</f>
        <v/>
      </c>
      <c r="L3344" s="13">
        <f>IF(C3344=Options!$B$9,B3344*Options!$Z$9,0)</f>
        <v/>
      </c>
      <c r="M3344" s="13" t="n">
        <v>0</v>
      </c>
      <c r="N3344" s="13">
        <f>SUM(E3344:M3344)</f>
        <v/>
      </c>
    </row>
    <row r="3345">
      <c r="A3345" s="5">
        <f>IF(AND(C3345&gt;=Options!$B$9,C3345&lt;=Options!$B$10),"Seattle","")</f>
        <v/>
      </c>
      <c r="B3345" s="5">
        <f>IF(A3345="","",24)</f>
        <v/>
      </c>
      <c r="C3345" s="17" t="n">
        <v>46351</v>
      </c>
      <c r="D3345" s="5">
        <f>IF(A3345="","",IF(C3345=DATE(2026,11,29),"培训；注册午餐；早餐参数",IF(C3345=DATE(2026,11,30),"培训；注册午餐",IF(C3345=DATE(2026,12,1),"培训；注册午餐；机构晚餐",IF(C3345=Options!$B$9,"抵达；"&amp;IF(C3345=DATE(2026,11,28),"机构晚餐","无统一供餐"),IF(C3345=Options!$B$10,"返程；"&amp;IF(C3345=DATE(2026,12,2),"机构午餐","无统一供餐"),"差旅状态；无统一日程"))))))</f>
        <v/>
      </c>
      <c r="E3345" s="13">
        <f>IF(C3345=Options!$B$9,Options!$C$23,0)</f>
        <v/>
      </c>
      <c r="F3345" s="13">
        <f>IF(AND(A3345&lt;&gt;"",C3345&lt;Options!$B$10),B3345*Options!$X$9,0)</f>
        <v/>
      </c>
      <c r="G3345" s="13">
        <f>F3345*12%</f>
        <v/>
      </c>
      <c r="H3345" s="13">
        <f>IF(A3345="",0,B3345*(92*IF(OR(C3345=Options!$B$9,C3345=Options!$B$10),75%,100%)-IF(C3345=DATE(2026,11,29),26+IF(Options!$B$8="是",23,0),0)-IF(C3345=DATE(2026,11,30),26,0)-IF(C3345=DATE(2026,12,1),64,0)-IF(C3345=DATE(2026,11,28),38,0)-IF(C3345=DATE(2026,12,2),26,0)))</f>
        <v/>
      </c>
      <c r="I3345" s="13">
        <f>IF(AND(C3345&gt;=DATE(2026,11,29),C3345&lt;=DATE(2026,12,1)),B3345*60,0)</f>
        <v/>
      </c>
      <c r="J3345" s="13">
        <f>IF(A3345="",0,B3345*(IF(C3345=DATE(2026,11,28),38,0)+IF(C3345=DATE(2026,12,1),38,0)+IF(C3345=DATE(2026,12,2),26,0)))</f>
        <v/>
      </c>
      <c r="K3345" s="13">
        <f>IF(C3345=Options!$B$9,B3345*12,0)</f>
        <v/>
      </c>
      <c r="L3345" s="13">
        <f>IF(C3345=Options!$B$9,B3345*Options!$Z$9,0)</f>
        <v/>
      </c>
      <c r="M3345" s="13" t="n">
        <v>0</v>
      </c>
      <c r="N3345" s="13">
        <f>SUM(E3345:M3345)</f>
        <v/>
      </c>
    </row>
    <row r="3346">
      <c r="A3346" s="5">
        <f>IF(AND(C3346&gt;=Options!$B$9,C3346&lt;=Options!$B$10),"Seattle","")</f>
        <v/>
      </c>
      <c r="B3346" s="5">
        <f>IF(A3346="","",24)</f>
        <v/>
      </c>
      <c r="C3346" s="17" t="n">
        <v>46352</v>
      </c>
      <c r="D3346" s="5">
        <f>IF(A3346="","",IF(C3346=DATE(2026,11,29),"培训；注册午餐；早餐参数",IF(C3346=DATE(2026,11,30),"培训；注册午餐",IF(C3346=DATE(2026,12,1),"培训；注册午餐；机构晚餐",IF(C3346=Options!$B$9,"抵达；"&amp;IF(C3346=DATE(2026,11,28),"机构晚餐","无统一供餐"),IF(C3346=Options!$B$10,"返程；"&amp;IF(C3346=DATE(2026,12,2),"机构午餐","无统一供餐"),"差旅状态；无统一日程"))))))</f>
        <v/>
      </c>
      <c r="E3346" s="13">
        <f>IF(C3346=Options!$B$9,Options!$C$23,0)</f>
        <v/>
      </c>
      <c r="F3346" s="13">
        <f>IF(AND(A3346&lt;&gt;"",C3346&lt;Options!$B$10),B3346*Options!$X$9,0)</f>
        <v/>
      </c>
      <c r="G3346" s="13">
        <f>F3346*12%</f>
        <v/>
      </c>
      <c r="H3346" s="13">
        <f>IF(A3346="",0,B3346*(92*IF(OR(C3346=Options!$B$9,C3346=Options!$B$10),75%,100%)-IF(C3346=DATE(2026,11,29),26+IF(Options!$B$8="是",23,0),0)-IF(C3346=DATE(2026,11,30),26,0)-IF(C3346=DATE(2026,12,1),64,0)-IF(C3346=DATE(2026,11,28),38,0)-IF(C3346=DATE(2026,12,2),26,0)))</f>
        <v/>
      </c>
      <c r="I3346" s="13">
        <f>IF(AND(C3346&gt;=DATE(2026,11,29),C3346&lt;=DATE(2026,12,1)),B3346*60,0)</f>
        <v/>
      </c>
      <c r="J3346" s="13">
        <f>IF(A3346="",0,B3346*(IF(C3346=DATE(2026,11,28),38,0)+IF(C3346=DATE(2026,12,1),38,0)+IF(C3346=DATE(2026,12,2),26,0)))</f>
        <v/>
      </c>
      <c r="K3346" s="13">
        <f>IF(C3346=Options!$B$9,B3346*12,0)</f>
        <v/>
      </c>
      <c r="L3346" s="13">
        <f>IF(C3346=Options!$B$9,B3346*Options!$Z$9,0)</f>
        <v/>
      </c>
      <c r="M3346" s="13" t="n">
        <v>0</v>
      </c>
      <c r="N3346" s="13">
        <f>SUM(E3346:M3346)</f>
        <v/>
      </c>
    </row>
    <row r="3347">
      <c r="A3347" s="5">
        <f>IF(AND(C3347&gt;=Options!$B$9,C3347&lt;=Options!$B$10),"Seattle","")</f>
        <v/>
      </c>
      <c r="B3347" s="5">
        <f>IF(A3347="","",24)</f>
        <v/>
      </c>
      <c r="C3347" s="17" t="n">
        <v>46353</v>
      </c>
      <c r="D3347" s="5">
        <f>IF(A3347="","",IF(C3347=DATE(2026,11,29),"培训；注册午餐；早餐参数",IF(C3347=DATE(2026,11,30),"培训；注册午餐",IF(C3347=DATE(2026,12,1),"培训；注册午餐；机构晚餐",IF(C3347=Options!$B$9,"抵达；"&amp;IF(C3347=DATE(2026,11,28),"机构晚餐","无统一供餐"),IF(C3347=Options!$B$10,"返程；"&amp;IF(C3347=DATE(2026,12,2),"机构午餐","无统一供餐"),"差旅状态；无统一日程"))))))</f>
        <v/>
      </c>
      <c r="E3347" s="13">
        <f>IF(C3347=Options!$B$9,Options!$C$23,0)</f>
        <v/>
      </c>
      <c r="F3347" s="13">
        <f>IF(AND(A3347&lt;&gt;"",C3347&lt;Options!$B$10),B3347*Options!$X$9,0)</f>
        <v/>
      </c>
      <c r="G3347" s="13">
        <f>F3347*12%</f>
        <v/>
      </c>
      <c r="H3347" s="13">
        <f>IF(A3347="",0,B3347*(92*IF(OR(C3347=Options!$B$9,C3347=Options!$B$10),75%,100%)-IF(C3347=DATE(2026,11,29),26+IF(Options!$B$8="是",23,0),0)-IF(C3347=DATE(2026,11,30),26,0)-IF(C3347=DATE(2026,12,1),64,0)-IF(C3347=DATE(2026,11,28),38,0)-IF(C3347=DATE(2026,12,2),26,0)))</f>
        <v/>
      </c>
      <c r="I3347" s="13">
        <f>IF(AND(C3347&gt;=DATE(2026,11,29),C3347&lt;=DATE(2026,12,1)),B3347*60,0)</f>
        <v/>
      </c>
      <c r="J3347" s="13">
        <f>IF(A3347="",0,B3347*(IF(C3347=DATE(2026,11,28),38,0)+IF(C3347=DATE(2026,12,1),38,0)+IF(C3347=DATE(2026,12,2),26,0)))</f>
        <v/>
      </c>
      <c r="K3347" s="13">
        <f>IF(C3347=Options!$B$9,B3347*12,0)</f>
        <v/>
      </c>
      <c r="L3347" s="13">
        <f>IF(C3347=Options!$B$9,B3347*Options!$Z$9,0)</f>
        <v/>
      </c>
      <c r="M3347" s="13" t="n">
        <v>0</v>
      </c>
      <c r="N3347" s="13">
        <f>SUM(E3347:M3347)</f>
        <v/>
      </c>
    </row>
    <row r="3348">
      <c r="A3348" s="5">
        <f>IF(AND(C3348&gt;=Options!$B$9,C3348&lt;=Options!$B$10),"Seattle","")</f>
        <v/>
      </c>
      <c r="B3348" s="5">
        <f>IF(A3348="","",24)</f>
        <v/>
      </c>
      <c r="C3348" s="17" t="n">
        <v>46354</v>
      </c>
      <c r="D3348" s="5">
        <f>IF(A3348="","",IF(C3348=DATE(2026,11,29),"培训；注册午餐；早餐参数",IF(C3348=DATE(2026,11,30),"培训；注册午餐",IF(C3348=DATE(2026,12,1),"培训；注册午餐；机构晚餐",IF(C3348=Options!$B$9,"抵达；"&amp;IF(C3348=DATE(2026,11,28),"机构晚餐","无统一供餐"),IF(C3348=Options!$B$10,"返程；"&amp;IF(C3348=DATE(2026,12,2),"机构午餐","无统一供餐"),"差旅状态；无统一日程"))))))</f>
        <v/>
      </c>
      <c r="E3348" s="13">
        <f>IF(C3348=Options!$B$9,Options!$C$23,0)</f>
        <v/>
      </c>
      <c r="F3348" s="13">
        <f>IF(AND(A3348&lt;&gt;"",C3348&lt;Options!$B$10),B3348*Options!$X$9,0)</f>
        <v/>
      </c>
      <c r="G3348" s="13">
        <f>F3348*12%</f>
        <v/>
      </c>
      <c r="H3348" s="13">
        <f>IF(A3348="",0,B3348*(92*IF(OR(C3348=Options!$B$9,C3348=Options!$B$10),75%,100%)-IF(C3348=DATE(2026,11,29),26+IF(Options!$B$8="是",23,0),0)-IF(C3348=DATE(2026,11,30),26,0)-IF(C3348=DATE(2026,12,1),64,0)-IF(C3348=DATE(2026,11,28),38,0)-IF(C3348=DATE(2026,12,2),26,0)))</f>
        <v/>
      </c>
      <c r="I3348" s="13">
        <f>IF(AND(C3348&gt;=DATE(2026,11,29),C3348&lt;=DATE(2026,12,1)),B3348*60,0)</f>
        <v/>
      </c>
      <c r="J3348" s="13">
        <f>IF(A3348="",0,B3348*(IF(C3348=DATE(2026,11,28),38,0)+IF(C3348=DATE(2026,12,1),38,0)+IF(C3348=DATE(2026,12,2),26,0)))</f>
        <v/>
      </c>
      <c r="K3348" s="13">
        <f>IF(C3348=Options!$B$9,B3348*12,0)</f>
        <v/>
      </c>
      <c r="L3348" s="13">
        <f>IF(C3348=Options!$B$9,B3348*Options!$Z$9,0)</f>
        <v/>
      </c>
      <c r="M3348" s="13" t="n">
        <v>0</v>
      </c>
      <c r="N3348" s="13">
        <f>SUM(E3348:M3348)</f>
        <v/>
      </c>
    </row>
    <row r="3349">
      <c r="A3349" s="5">
        <f>IF(AND(C3349&gt;=Options!$B$9,C3349&lt;=Options!$B$10),"Seattle","")</f>
        <v/>
      </c>
      <c r="B3349" s="5">
        <f>IF(A3349="","",24)</f>
        <v/>
      </c>
      <c r="C3349" s="17" t="n">
        <v>46355</v>
      </c>
      <c r="D3349" s="5">
        <f>IF(A3349="","",IF(C3349=DATE(2026,11,29),"培训；注册午餐；早餐参数",IF(C3349=DATE(2026,11,30),"培训；注册午餐",IF(C3349=DATE(2026,12,1),"培训；注册午餐；机构晚餐",IF(C3349=Options!$B$9,"抵达；"&amp;IF(C3349=DATE(2026,11,28),"机构晚餐","无统一供餐"),IF(C3349=Options!$B$10,"返程；"&amp;IF(C3349=DATE(2026,12,2),"机构午餐","无统一供餐"),"差旅状态；无统一日程"))))))</f>
        <v/>
      </c>
      <c r="E3349" s="13">
        <f>IF(C3349=Options!$B$9,Options!$C$23,0)</f>
        <v/>
      </c>
      <c r="F3349" s="13">
        <f>IF(AND(A3349&lt;&gt;"",C3349&lt;Options!$B$10),B3349*Options!$X$9,0)</f>
        <v/>
      </c>
      <c r="G3349" s="13">
        <f>F3349*12%</f>
        <v/>
      </c>
      <c r="H3349" s="13">
        <f>IF(A3349="",0,B3349*(92*IF(OR(C3349=Options!$B$9,C3349=Options!$B$10),75%,100%)-IF(C3349=DATE(2026,11,29),26+IF(Options!$B$8="是",23,0),0)-IF(C3349=DATE(2026,11,30),26,0)-IF(C3349=DATE(2026,12,1),64,0)-IF(C3349=DATE(2026,11,28),38,0)-IF(C3349=DATE(2026,12,2),26,0)))</f>
        <v/>
      </c>
      <c r="I3349" s="13">
        <f>IF(AND(C3349&gt;=DATE(2026,11,29),C3349&lt;=DATE(2026,12,1)),B3349*60,0)</f>
        <v/>
      </c>
      <c r="J3349" s="13">
        <f>IF(A3349="",0,B3349*(IF(C3349=DATE(2026,11,28),38,0)+IF(C3349=DATE(2026,12,1),38,0)+IF(C3349=DATE(2026,12,2),26,0)))</f>
        <v/>
      </c>
      <c r="K3349" s="13">
        <f>IF(C3349=Options!$B$9,B3349*12,0)</f>
        <v/>
      </c>
      <c r="L3349" s="13">
        <f>IF(C3349=Options!$B$9,B3349*Options!$Z$9,0)</f>
        <v/>
      </c>
      <c r="M3349" s="13" t="n">
        <v>0</v>
      </c>
      <c r="N3349" s="13">
        <f>SUM(E3349:M3349)</f>
        <v/>
      </c>
    </row>
    <row r="3350">
      <c r="A3350" s="5">
        <f>IF(AND(C3350&gt;=Options!$B$9,C3350&lt;=Options!$B$10),"Seattle","")</f>
        <v/>
      </c>
      <c r="B3350" s="5">
        <f>IF(A3350="","",24)</f>
        <v/>
      </c>
      <c r="C3350" s="17" t="n">
        <v>46356</v>
      </c>
      <c r="D3350" s="5">
        <f>IF(A3350="","",IF(C3350=DATE(2026,11,29),"培训；注册午餐；早餐参数",IF(C3350=DATE(2026,11,30),"培训；注册午餐",IF(C3350=DATE(2026,12,1),"培训；注册午餐；机构晚餐",IF(C3350=Options!$B$9,"抵达；"&amp;IF(C3350=DATE(2026,11,28),"机构晚餐","无统一供餐"),IF(C3350=Options!$B$10,"返程；"&amp;IF(C3350=DATE(2026,12,2),"机构午餐","无统一供餐"),"差旅状态；无统一日程"))))))</f>
        <v/>
      </c>
      <c r="E3350" s="13">
        <f>IF(C3350=Options!$B$9,Options!$C$23,0)</f>
        <v/>
      </c>
      <c r="F3350" s="13">
        <f>IF(AND(A3350&lt;&gt;"",C3350&lt;Options!$B$10),B3350*Options!$X$9,0)</f>
        <v/>
      </c>
      <c r="G3350" s="13">
        <f>F3350*12%</f>
        <v/>
      </c>
      <c r="H3350" s="13">
        <f>IF(A3350="",0,B3350*(92*IF(OR(C3350=Options!$B$9,C3350=Options!$B$10),75%,100%)-IF(C3350=DATE(2026,11,29),26+IF(Options!$B$8="是",23,0),0)-IF(C3350=DATE(2026,11,30),26,0)-IF(C3350=DATE(2026,12,1),64,0)-IF(C3350=DATE(2026,11,28),38,0)-IF(C3350=DATE(2026,12,2),26,0)))</f>
        <v/>
      </c>
      <c r="I3350" s="13">
        <f>IF(AND(C3350&gt;=DATE(2026,11,29),C3350&lt;=DATE(2026,12,1)),B3350*60,0)</f>
        <v/>
      </c>
      <c r="J3350" s="13">
        <f>IF(A3350="",0,B3350*(IF(C3350=DATE(2026,11,28),38,0)+IF(C3350=DATE(2026,12,1),38,0)+IF(C3350=DATE(2026,12,2),26,0)))</f>
        <v/>
      </c>
      <c r="K3350" s="13">
        <f>IF(C3350=Options!$B$9,B3350*12,0)</f>
        <v/>
      </c>
      <c r="L3350" s="13">
        <f>IF(C3350=Options!$B$9,B3350*Options!$Z$9,0)</f>
        <v/>
      </c>
      <c r="M3350" s="13" t="n">
        <v>0</v>
      </c>
      <c r="N3350" s="13">
        <f>SUM(E3350:M3350)</f>
        <v/>
      </c>
    </row>
    <row r="3351">
      <c r="A3351" s="5">
        <f>IF(AND(C3351&gt;=Options!$B$9,C3351&lt;=Options!$B$10),"Seattle","")</f>
        <v/>
      </c>
      <c r="B3351" s="5">
        <f>IF(A3351="","",24)</f>
        <v/>
      </c>
      <c r="C3351" s="17" t="n">
        <v>46357</v>
      </c>
      <c r="D3351" s="5">
        <f>IF(A3351="","",IF(C3351=DATE(2026,11,29),"培训；注册午餐；早餐参数",IF(C3351=DATE(2026,11,30),"培训；注册午餐",IF(C3351=DATE(2026,12,1),"培训；注册午餐；机构晚餐",IF(C3351=Options!$B$9,"抵达；"&amp;IF(C3351=DATE(2026,11,28),"机构晚餐","无统一供餐"),IF(C3351=Options!$B$10,"返程；"&amp;IF(C3351=DATE(2026,12,2),"机构午餐","无统一供餐"),"差旅状态；无统一日程"))))))</f>
        <v/>
      </c>
      <c r="E3351" s="13">
        <f>IF(C3351=Options!$B$9,Options!$C$23,0)</f>
        <v/>
      </c>
      <c r="F3351" s="13">
        <f>IF(AND(A3351&lt;&gt;"",C3351&lt;Options!$B$10),B3351*Options!$X$9,0)</f>
        <v/>
      </c>
      <c r="G3351" s="13">
        <f>F3351*12%</f>
        <v/>
      </c>
      <c r="H3351" s="13">
        <f>IF(A3351="",0,B3351*(92*IF(OR(C3351=Options!$B$9,C3351=Options!$B$10),75%,100%)-IF(C3351=DATE(2026,11,29),26+IF(Options!$B$8="是",23,0),0)-IF(C3351=DATE(2026,11,30),26,0)-IF(C3351=DATE(2026,12,1),64,0)-IF(C3351=DATE(2026,11,28),38,0)-IF(C3351=DATE(2026,12,2),26,0)))</f>
        <v/>
      </c>
      <c r="I3351" s="13">
        <f>IF(AND(C3351&gt;=DATE(2026,11,29),C3351&lt;=DATE(2026,12,1)),B3351*60,0)</f>
        <v/>
      </c>
      <c r="J3351" s="13">
        <f>IF(A3351="",0,B3351*(IF(C3351=DATE(2026,11,28),38,0)+IF(C3351=DATE(2026,12,1),38,0)+IF(C3351=DATE(2026,12,2),26,0)))</f>
        <v/>
      </c>
      <c r="K3351" s="13">
        <f>IF(C3351=Options!$B$9,B3351*12,0)</f>
        <v/>
      </c>
      <c r="L3351" s="13">
        <f>IF(C3351=Options!$B$9,B3351*Options!$Z$9,0)</f>
        <v/>
      </c>
      <c r="M3351" s="13" t="n">
        <v>0</v>
      </c>
      <c r="N3351" s="13">
        <f>SUM(E3351:M3351)</f>
        <v/>
      </c>
    </row>
    <row r="3352">
      <c r="A3352" s="5">
        <f>IF(AND(C3352&gt;=Options!$B$9,C3352&lt;=Options!$B$10),"Seattle","")</f>
        <v/>
      </c>
      <c r="B3352" s="5">
        <f>IF(A3352="","",24)</f>
        <v/>
      </c>
      <c r="C3352" s="17" t="n">
        <v>46358</v>
      </c>
      <c r="D3352" s="5">
        <f>IF(A3352="","",IF(C3352=DATE(2026,11,29),"培训；注册午餐；早餐参数",IF(C3352=DATE(2026,11,30),"培训；注册午餐",IF(C3352=DATE(2026,12,1),"培训；注册午餐；机构晚餐",IF(C3352=Options!$B$9,"抵达；"&amp;IF(C3352=DATE(2026,11,28),"机构晚餐","无统一供餐"),IF(C3352=Options!$B$10,"返程；"&amp;IF(C3352=DATE(2026,12,2),"机构午餐","无统一供餐"),"差旅状态；无统一日程"))))))</f>
        <v/>
      </c>
      <c r="E3352" s="13">
        <f>IF(C3352=Options!$B$9,Options!$C$23,0)</f>
        <v/>
      </c>
      <c r="F3352" s="13">
        <f>IF(AND(A3352&lt;&gt;"",C3352&lt;Options!$B$10),B3352*Options!$X$9,0)</f>
        <v/>
      </c>
      <c r="G3352" s="13">
        <f>F3352*12%</f>
        <v/>
      </c>
      <c r="H3352" s="13">
        <f>IF(A3352="",0,B3352*(92*IF(OR(C3352=Options!$B$9,C3352=Options!$B$10),75%,100%)-IF(C3352=DATE(2026,11,29),26+IF(Options!$B$8="是",23,0),0)-IF(C3352=DATE(2026,11,30),26,0)-IF(C3352=DATE(2026,12,1),64,0)-IF(C3352=DATE(2026,11,28),38,0)-IF(C3352=DATE(2026,12,2),26,0)))</f>
        <v/>
      </c>
      <c r="I3352" s="13">
        <f>IF(AND(C3352&gt;=DATE(2026,11,29),C3352&lt;=DATE(2026,12,1)),B3352*60,0)</f>
        <v/>
      </c>
      <c r="J3352" s="13">
        <f>IF(A3352="",0,B3352*(IF(C3352=DATE(2026,11,28),38,0)+IF(C3352=DATE(2026,12,1),38,0)+IF(C3352=DATE(2026,12,2),26,0)))</f>
        <v/>
      </c>
      <c r="K3352" s="13">
        <f>IF(C3352=Options!$B$9,B3352*12,0)</f>
        <v/>
      </c>
      <c r="L3352" s="13">
        <f>IF(C3352=Options!$B$9,B3352*Options!$Z$9,0)</f>
        <v/>
      </c>
      <c r="M3352" s="13" t="n">
        <v>0</v>
      </c>
      <c r="N3352" s="13">
        <f>SUM(E3352:M3352)</f>
        <v/>
      </c>
    </row>
    <row r="3353">
      <c r="A3353" s="5">
        <f>IF(AND(C3353&gt;=Options!$B$9,C3353&lt;=Options!$B$10),"Seattle","")</f>
        <v/>
      </c>
      <c r="B3353" s="5">
        <f>IF(A3353="","",24)</f>
        <v/>
      </c>
      <c r="C3353" s="17" t="n">
        <v>46359</v>
      </c>
      <c r="D3353" s="5">
        <f>IF(A3353="","",IF(C3353=DATE(2026,11,29),"培训；注册午餐；早餐参数",IF(C3353=DATE(2026,11,30),"培训；注册午餐",IF(C3353=DATE(2026,12,1),"培训；注册午餐；机构晚餐",IF(C3353=Options!$B$9,"抵达；"&amp;IF(C3353=DATE(2026,11,28),"机构晚餐","无统一供餐"),IF(C3353=Options!$B$10,"返程；"&amp;IF(C3353=DATE(2026,12,2),"机构午餐","无统一供餐"),"差旅状态；无统一日程"))))))</f>
        <v/>
      </c>
      <c r="E3353" s="13">
        <f>IF(C3353=Options!$B$9,Options!$C$23,0)</f>
        <v/>
      </c>
      <c r="F3353" s="13">
        <f>IF(AND(A3353&lt;&gt;"",C3353&lt;Options!$B$10),B3353*Options!$X$9,0)</f>
        <v/>
      </c>
      <c r="G3353" s="13">
        <f>F3353*12%</f>
        <v/>
      </c>
      <c r="H3353" s="13">
        <f>IF(A3353="",0,B3353*(92*IF(OR(C3353=Options!$B$9,C3353=Options!$B$10),75%,100%)-IF(C3353=DATE(2026,11,29),26+IF(Options!$B$8="是",23,0),0)-IF(C3353=DATE(2026,11,30),26,0)-IF(C3353=DATE(2026,12,1),64,0)-IF(C3353=DATE(2026,11,28),38,0)-IF(C3353=DATE(2026,12,2),26,0)))</f>
        <v/>
      </c>
      <c r="I3353" s="13">
        <f>IF(AND(C3353&gt;=DATE(2026,11,29),C3353&lt;=DATE(2026,12,1)),B3353*60,0)</f>
        <v/>
      </c>
      <c r="J3353" s="13">
        <f>IF(A3353="",0,B3353*(IF(C3353=DATE(2026,11,28),38,0)+IF(C3353=DATE(2026,12,1),38,0)+IF(C3353=DATE(2026,12,2),26,0)))</f>
        <v/>
      </c>
      <c r="K3353" s="13">
        <f>IF(C3353=Options!$B$9,B3353*12,0)</f>
        <v/>
      </c>
      <c r="L3353" s="13">
        <f>IF(C3353=Options!$B$9,B3353*Options!$Z$9,0)</f>
        <v/>
      </c>
      <c r="M3353" s="13" t="n">
        <v>0</v>
      </c>
      <c r="N3353" s="13">
        <f>SUM(E3353:M3353)</f>
        <v/>
      </c>
    </row>
    <row r="3354">
      <c r="A3354" s="5">
        <f>IF(AND(C3354&gt;=Options!$B$9,C3354&lt;=Options!$B$10),"Seattle","")</f>
        <v/>
      </c>
      <c r="B3354" s="5">
        <f>IF(A3354="","",24)</f>
        <v/>
      </c>
      <c r="C3354" s="17" t="n">
        <v>46360</v>
      </c>
      <c r="D3354" s="5">
        <f>IF(A3354="","",IF(C3354=DATE(2026,11,29),"培训；注册午餐；早餐参数",IF(C3354=DATE(2026,11,30),"培训；注册午餐",IF(C3354=DATE(2026,12,1),"培训；注册午餐；机构晚餐",IF(C3354=Options!$B$9,"抵达；"&amp;IF(C3354=DATE(2026,11,28),"机构晚餐","无统一供餐"),IF(C3354=Options!$B$10,"返程；"&amp;IF(C3354=DATE(2026,12,2),"机构午餐","无统一供餐"),"差旅状态；无统一日程"))))))</f>
        <v/>
      </c>
      <c r="E3354" s="13">
        <f>IF(C3354=Options!$B$9,Options!$C$23,0)</f>
        <v/>
      </c>
      <c r="F3354" s="13">
        <f>IF(AND(A3354&lt;&gt;"",C3354&lt;Options!$B$10),B3354*Options!$X$9,0)</f>
        <v/>
      </c>
      <c r="G3354" s="13">
        <f>F3354*12%</f>
        <v/>
      </c>
      <c r="H3354" s="13">
        <f>IF(A3354="",0,B3354*(92*IF(OR(C3354=Options!$B$9,C3354=Options!$B$10),75%,100%)-IF(C3354=DATE(2026,11,29),26+IF(Options!$B$8="是",23,0),0)-IF(C3354=DATE(2026,11,30),26,0)-IF(C3354=DATE(2026,12,1),64,0)-IF(C3354=DATE(2026,11,28),38,0)-IF(C3354=DATE(2026,12,2),26,0)))</f>
        <v/>
      </c>
      <c r="I3354" s="13">
        <f>IF(AND(C3354&gt;=DATE(2026,11,29),C3354&lt;=DATE(2026,12,1)),B3354*60,0)</f>
        <v/>
      </c>
      <c r="J3354" s="13">
        <f>IF(A3354="",0,B3354*(IF(C3354=DATE(2026,11,28),38,0)+IF(C3354=DATE(2026,12,1),38,0)+IF(C3354=DATE(2026,12,2),26,0)))</f>
        <v/>
      </c>
      <c r="K3354" s="13">
        <f>IF(C3354=Options!$B$9,B3354*12,0)</f>
        <v/>
      </c>
      <c r="L3354" s="13">
        <f>IF(C3354=Options!$B$9,B3354*Options!$Z$9,0)</f>
        <v/>
      </c>
      <c r="M3354" s="13" t="n">
        <v>0</v>
      </c>
      <c r="N3354" s="13">
        <f>SUM(E3354:M3354)</f>
        <v/>
      </c>
    </row>
    <row r="3355">
      <c r="A3355" s="5">
        <f>IF(AND(C3355&gt;=Options!$B$9,C3355&lt;=Options!$B$10),"Seattle","")</f>
        <v/>
      </c>
      <c r="B3355" s="5">
        <f>IF(A3355="","",24)</f>
        <v/>
      </c>
      <c r="C3355" s="17" t="n">
        <v>46361</v>
      </c>
      <c r="D3355" s="5">
        <f>IF(A3355="","",IF(C3355=DATE(2026,11,29),"培训；注册午餐；早餐参数",IF(C3355=DATE(2026,11,30),"培训；注册午餐",IF(C3355=DATE(2026,12,1),"培训；注册午餐；机构晚餐",IF(C3355=Options!$B$9,"抵达；"&amp;IF(C3355=DATE(2026,11,28),"机构晚餐","无统一供餐"),IF(C3355=Options!$B$10,"返程；"&amp;IF(C3355=DATE(2026,12,2),"机构午餐","无统一供餐"),"差旅状态；无统一日程"))))))</f>
        <v/>
      </c>
      <c r="E3355" s="13">
        <f>IF(C3355=Options!$B$9,Options!$C$23,0)</f>
        <v/>
      </c>
      <c r="F3355" s="13">
        <f>IF(AND(A3355&lt;&gt;"",C3355&lt;Options!$B$10),B3355*Options!$X$9,0)</f>
        <v/>
      </c>
      <c r="G3355" s="13">
        <f>F3355*12%</f>
        <v/>
      </c>
      <c r="H3355" s="13">
        <f>IF(A3355="",0,B3355*(92*IF(OR(C3355=Options!$B$9,C3355=Options!$B$10),75%,100%)-IF(C3355=DATE(2026,11,29),26+IF(Options!$B$8="是",23,0),0)-IF(C3355=DATE(2026,11,30),26,0)-IF(C3355=DATE(2026,12,1),64,0)-IF(C3355=DATE(2026,11,28),38,0)-IF(C3355=DATE(2026,12,2),26,0)))</f>
        <v/>
      </c>
      <c r="I3355" s="13">
        <f>IF(AND(C3355&gt;=DATE(2026,11,29),C3355&lt;=DATE(2026,12,1)),B3355*60,0)</f>
        <v/>
      </c>
      <c r="J3355" s="13">
        <f>IF(A3355="",0,B3355*(IF(C3355=DATE(2026,11,28),38,0)+IF(C3355=DATE(2026,12,1),38,0)+IF(C3355=DATE(2026,12,2),26,0)))</f>
        <v/>
      </c>
      <c r="K3355" s="13">
        <f>IF(C3355=Options!$B$9,B3355*12,0)</f>
        <v/>
      </c>
      <c r="L3355" s="13">
        <f>IF(C3355=Options!$B$9,B3355*Options!$Z$9,0)</f>
        <v/>
      </c>
      <c r="M3355" s="13" t="n">
        <v>0</v>
      </c>
      <c r="N3355" s="13">
        <f>SUM(E3355:M3355)</f>
        <v/>
      </c>
    </row>
    <row r="3356">
      <c r="A3356" s="5">
        <f>IF(AND(C3356&gt;=Options!$B$9,C3356&lt;=Options!$B$10),"Seattle","")</f>
        <v/>
      </c>
      <c r="B3356" s="5">
        <f>IF(A3356="","",24)</f>
        <v/>
      </c>
      <c r="C3356" s="17" t="n">
        <v>46362</v>
      </c>
      <c r="D3356" s="5">
        <f>IF(A3356="","",IF(C3356=DATE(2026,11,29),"培训；注册午餐；早餐参数",IF(C3356=DATE(2026,11,30),"培训；注册午餐",IF(C3356=DATE(2026,12,1),"培训；注册午餐；机构晚餐",IF(C3356=Options!$B$9,"抵达；"&amp;IF(C3356=DATE(2026,11,28),"机构晚餐","无统一供餐"),IF(C3356=Options!$B$10,"返程；"&amp;IF(C3356=DATE(2026,12,2),"机构午餐","无统一供餐"),"差旅状态；无统一日程"))))))</f>
        <v/>
      </c>
      <c r="E3356" s="13">
        <f>IF(C3356=Options!$B$9,Options!$C$23,0)</f>
        <v/>
      </c>
      <c r="F3356" s="13">
        <f>IF(AND(A3356&lt;&gt;"",C3356&lt;Options!$B$10),B3356*Options!$X$9,0)</f>
        <v/>
      </c>
      <c r="G3356" s="13">
        <f>F3356*12%</f>
        <v/>
      </c>
      <c r="H3356" s="13">
        <f>IF(A3356="",0,B3356*(92*IF(OR(C3356=Options!$B$9,C3356=Options!$B$10),75%,100%)-IF(C3356=DATE(2026,11,29),26+IF(Options!$B$8="是",23,0),0)-IF(C3356=DATE(2026,11,30),26,0)-IF(C3356=DATE(2026,12,1),64,0)-IF(C3356=DATE(2026,11,28),38,0)-IF(C3356=DATE(2026,12,2),26,0)))</f>
        <v/>
      </c>
      <c r="I3356" s="13">
        <f>IF(AND(C3356&gt;=DATE(2026,11,29),C3356&lt;=DATE(2026,12,1)),B3356*60,0)</f>
        <v/>
      </c>
      <c r="J3356" s="13">
        <f>IF(A3356="",0,B3356*(IF(C3356=DATE(2026,11,28),38,0)+IF(C3356=DATE(2026,12,1),38,0)+IF(C3356=DATE(2026,12,2),26,0)))</f>
        <v/>
      </c>
      <c r="K3356" s="13">
        <f>IF(C3356=Options!$B$9,B3356*12,0)</f>
        <v/>
      </c>
      <c r="L3356" s="13">
        <f>IF(C3356=Options!$B$9,B3356*Options!$Z$9,0)</f>
        <v/>
      </c>
      <c r="M3356" s="13" t="n">
        <v>0</v>
      </c>
      <c r="N3356" s="13">
        <f>SUM(E3356:M3356)</f>
        <v/>
      </c>
    </row>
    <row r="3357">
      <c r="A3357" s="5">
        <f>IF(AND(C3357&gt;=Options!$B$9,C3357&lt;=Options!$B$10),"Seattle","")</f>
        <v/>
      </c>
      <c r="B3357" s="5">
        <f>IF(A3357="","",24)</f>
        <v/>
      </c>
      <c r="C3357" s="17" t="n">
        <v>46363</v>
      </c>
      <c r="D3357" s="5">
        <f>IF(A3357="","",IF(C3357=DATE(2026,11,29),"培训；注册午餐；早餐参数",IF(C3357=DATE(2026,11,30),"培训；注册午餐",IF(C3357=DATE(2026,12,1),"培训；注册午餐；机构晚餐",IF(C3357=Options!$B$9,"抵达；"&amp;IF(C3357=DATE(2026,11,28),"机构晚餐","无统一供餐"),IF(C3357=Options!$B$10,"返程；"&amp;IF(C3357=DATE(2026,12,2),"机构午餐","无统一供餐"),"差旅状态；无统一日程"))))))</f>
        <v/>
      </c>
      <c r="E3357" s="13">
        <f>IF(C3357=Options!$B$9,Options!$C$23,0)</f>
        <v/>
      </c>
      <c r="F3357" s="13">
        <f>IF(AND(A3357&lt;&gt;"",C3357&lt;Options!$B$10),B3357*Options!$X$9,0)</f>
        <v/>
      </c>
      <c r="G3357" s="13">
        <f>F3357*12%</f>
        <v/>
      </c>
      <c r="H3357" s="13">
        <f>IF(A3357="",0,B3357*(92*IF(OR(C3357=Options!$B$9,C3357=Options!$B$10),75%,100%)-IF(C3357=DATE(2026,11,29),26+IF(Options!$B$8="是",23,0),0)-IF(C3357=DATE(2026,11,30),26,0)-IF(C3357=DATE(2026,12,1),64,0)-IF(C3357=DATE(2026,11,28),38,0)-IF(C3357=DATE(2026,12,2),26,0)))</f>
        <v/>
      </c>
      <c r="I3357" s="13">
        <f>IF(AND(C3357&gt;=DATE(2026,11,29),C3357&lt;=DATE(2026,12,1)),B3357*60,0)</f>
        <v/>
      </c>
      <c r="J3357" s="13">
        <f>IF(A3357="",0,B3357*(IF(C3357=DATE(2026,11,28),38,0)+IF(C3357=DATE(2026,12,1),38,0)+IF(C3357=DATE(2026,12,2),26,0)))</f>
        <v/>
      </c>
      <c r="K3357" s="13">
        <f>IF(C3357=Options!$B$9,B3357*12,0)</f>
        <v/>
      </c>
      <c r="L3357" s="13">
        <f>IF(C3357=Options!$B$9,B3357*Options!$Z$9,0)</f>
        <v/>
      </c>
      <c r="M3357" s="13" t="n">
        <v>0</v>
      </c>
      <c r="N3357" s="13">
        <f>SUM(E3357:M3357)</f>
        <v/>
      </c>
    </row>
    <row r="3358">
      <c r="A3358" s="5">
        <f>IF(AND(C3358&gt;=Options!$B$9,C3358&lt;=Options!$B$10),"Seattle","")</f>
        <v/>
      </c>
      <c r="B3358" s="5">
        <f>IF(A3358="","",24)</f>
        <v/>
      </c>
      <c r="C3358" s="17" t="n">
        <v>46364</v>
      </c>
      <c r="D3358" s="5">
        <f>IF(A3358="","",IF(C3358=DATE(2026,11,29),"培训；注册午餐；早餐参数",IF(C3358=DATE(2026,11,30),"培训；注册午餐",IF(C3358=DATE(2026,12,1),"培训；注册午餐；机构晚餐",IF(C3358=Options!$B$9,"抵达；"&amp;IF(C3358=DATE(2026,11,28),"机构晚餐","无统一供餐"),IF(C3358=Options!$B$10,"返程；"&amp;IF(C3358=DATE(2026,12,2),"机构午餐","无统一供餐"),"差旅状态；无统一日程"))))))</f>
        <v/>
      </c>
      <c r="E3358" s="13">
        <f>IF(C3358=Options!$B$9,Options!$C$23,0)</f>
        <v/>
      </c>
      <c r="F3358" s="13">
        <f>IF(AND(A3358&lt;&gt;"",C3358&lt;Options!$B$10),B3358*Options!$X$9,0)</f>
        <v/>
      </c>
      <c r="G3358" s="13">
        <f>F3358*12%</f>
        <v/>
      </c>
      <c r="H3358" s="13">
        <f>IF(A3358="",0,B3358*(92*IF(OR(C3358=Options!$B$9,C3358=Options!$B$10),75%,100%)-IF(C3358=DATE(2026,11,29),26+IF(Options!$B$8="是",23,0),0)-IF(C3358=DATE(2026,11,30),26,0)-IF(C3358=DATE(2026,12,1),64,0)-IF(C3358=DATE(2026,11,28),38,0)-IF(C3358=DATE(2026,12,2),26,0)))</f>
        <v/>
      </c>
      <c r="I3358" s="13">
        <f>IF(AND(C3358&gt;=DATE(2026,11,29),C3358&lt;=DATE(2026,12,1)),B3358*60,0)</f>
        <v/>
      </c>
      <c r="J3358" s="13">
        <f>IF(A3358="",0,B3358*(IF(C3358=DATE(2026,11,28),38,0)+IF(C3358=DATE(2026,12,1),38,0)+IF(C3358=DATE(2026,12,2),26,0)))</f>
        <v/>
      </c>
      <c r="K3358" s="13">
        <f>IF(C3358=Options!$B$9,B3358*12,0)</f>
        <v/>
      </c>
      <c r="L3358" s="13">
        <f>IF(C3358=Options!$B$9,B3358*Options!$Z$9,0)</f>
        <v/>
      </c>
      <c r="M3358" s="13" t="n">
        <v>0</v>
      </c>
      <c r="N3358" s="13">
        <f>SUM(E3358:M3358)</f>
        <v/>
      </c>
    </row>
    <row r="3359">
      <c r="A3359" s="5">
        <f>IF(AND(C3359&gt;=Options!$B$9,C3359&lt;=Options!$B$10),"Seattle","")</f>
        <v/>
      </c>
      <c r="B3359" s="5">
        <f>IF(A3359="","",24)</f>
        <v/>
      </c>
      <c r="C3359" s="17" t="n">
        <v>46365</v>
      </c>
      <c r="D3359" s="5">
        <f>IF(A3359="","",IF(C3359=DATE(2026,11,29),"培训；注册午餐；早餐参数",IF(C3359=DATE(2026,11,30),"培训；注册午餐",IF(C3359=DATE(2026,12,1),"培训；注册午餐；机构晚餐",IF(C3359=Options!$B$9,"抵达；"&amp;IF(C3359=DATE(2026,11,28),"机构晚餐","无统一供餐"),IF(C3359=Options!$B$10,"返程；"&amp;IF(C3359=DATE(2026,12,2),"机构午餐","无统一供餐"),"差旅状态；无统一日程"))))))</f>
        <v/>
      </c>
      <c r="E3359" s="13">
        <f>IF(C3359=Options!$B$9,Options!$C$23,0)</f>
        <v/>
      </c>
      <c r="F3359" s="13">
        <f>IF(AND(A3359&lt;&gt;"",C3359&lt;Options!$B$10),B3359*Options!$X$9,0)</f>
        <v/>
      </c>
      <c r="G3359" s="13">
        <f>F3359*12%</f>
        <v/>
      </c>
      <c r="H3359" s="13">
        <f>IF(A3359="",0,B3359*(92*IF(OR(C3359=Options!$B$9,C3359=Options!$B$10),75%,100%)-IF(C3359=DATE(2026,11,29),26+IF(Options!$B$8="是",23,0),0)-IF(C3359=DATE(2026,11,30),26,0)-IF(C3359=DATE(2026,12,1),64,0)-IF(C3359=DATE(2026,11,28),38,0)-IF(C3359=DATE(2026,12,2),26,0)))</f>
        <v/>
      </c>
      <c r="I3359" s="13">
        <f>IF(AND(C3359&gt;=DATE(2026,11,29),C3359&lt;=DATE(2026,12,1)),B3359*60,0)</f>
        <v/>
      </c>
      <c r="J3359" s="13">
        <f>IF(A3359="",0,B3359*(IF(C3359=DATE(2026,11,28),38,0)+IF(C3359=DATE(2026,12,1),38,0)+IF(C3359=DATE(2026,12,2),26,0)))</f>
        <v/>
      </c>
      <c r="K3359" s="13">
        <f>IF(C3359=Options!$B$9,B3359*12,0)</f>
        <v/>
      </c>
      <c r="L3359" s="13">
        <f>IF(C3359=Options!$B$9,B3359*Options!$Z$9,0)</f>
        <v/>
      </c>
      <c r="M3359" s="13" t="n">
        <v>0</v>
      </c>
      <c r="N3359" s="13">
        <f>SUM(E3359:M3359)</f>
        <v/>
      </c>
    </row>
    <row r="3360">
      <c r="A3360" s="5">
        <f>IF(AND(C3360&gt;=Options!$B$9,C3360&lt;=Options!$B$10),"Seattle","")</f>
        <v/>
      </c>
      <c r="B3360" s="5">
        <f>IF(A3360="","",24)</f>
        <v/>
      </c>
      <c r="C3360" s="17" t="n">
        <v>46366</v>
      </c>
      <c r="D3360" s="5">
        <f>IF(A3360="","",IF(C3360=DATE(2026,11,29),"培训；注册午餐；早餐参数",IF(C3360=DATE(2026,11,30),"培训；注册午餐",IF(C3360=DATE(2026,12,1),"培训；注册午餐；机构晚餐",IF(C3360=Options!$B$9,"抵达；"&amp;IF(C3360=DATE(2026,11,28),"机构晚餐","无统一供餐"),IF(C3360=Options!$B$10,"返程；"&amp;IF(C3360=DATE(2026,12,2),"机构午餐","无统一供餐"),"差旅状态；无统一日程"))))))</f>
        <v/>
      </c>
      <c r="E3360" s="13">
        <f>IF(C3360=Options!$B$9,Options!$C$23,0)</f>
        <v/>
      </c>
      <c r="F3360" s="13">
        <f>IF(AND(A3360&lt;&gt;"",C3360&lt;Options!$B$10),B3360*Options!$X$9,0)</f>
        <v/>
      </c>
      <c r="G3360" s="13">
        <f>F3360*12%</f>
        <v/>
      </c>
      <c r="H3360" s="13">
        <f>IF(A3360="",0,B3360*(92*IF(OR(C3360=Options!$B$9,C3360=Options!$B$10),75%,100%)-IF(C3360=DATE(2026,11,29),26+IF(Options!$B$8="是",23,0),0)-IF(C3360=DATE(2026,11,30),26,0)-IF(C3360=DATE(2026,12,1),64,0)-IF(C3360=DATE(2026,11,28),38,0)-IF(C3360=DATE(2026,12,2),26,0)))</f>
        <v/>
      </c>
      <c r="I3360" s="13">
        <f>IF(AND(C3360&gt;=DATE(2026,11,29),C3360&lt;=DATE(2026,12,1)),B3360*60,0)</f>
        <v/>
      </c>
      <c r="J3360" s="13">
        <f>IF(A3360="",0,B3360*(IF(C3360=DATE(2026,11,28),38,0)+IF(C3360=DATE(2026,12,1),38,0)+IF(C3360=DATE(2026,12,2),26,0)))</f>
        <v/>
      </c>
      <c r="K3360" s="13">
        <f>IF(C3360=Options!$B$9,B3360*12,0)</f>
        <v/>
      </c>
      <c r="L3360" s="13">
        <f>IF(C3360=Options!$B$9,B3360*Options!$Z$9,0)</f>
        <v/>
      </c>
      <c r="M3360" s="13" t="n">
        <v>0</v>
      </c>
      <c r="N3360" s="13">
        <f>SUM(E3360:M3360)</f>
        <v/>
      </c>
    </row>
    <row r="3361">
      <c r="A3361" s="5">
        <f>IF(AND(C3361&gt;=Options!$B$9,C3361&lt;=Options!$B$10),"Seattle","")</f>
        <v/>
      </c>
      <c r="B3361" s="5">
        <f>IF(A3361="","",24)</f>
        <v/>
      </c>
      <c r="C3361" s="17" t="n">
        <v>46367</v>
      </c>
      <c r="D3361" s="5">
        <f>IF(A3361="","",IF(C3361=DATE(2026,11,29),"培训；注册午餐；早餐参数",IF(C3361=DATE(2026,11,30),"培训；注册午餐",IF(C3361=DATE(2026,12,1),"培训；注册午餐；机构晚餐",IF(C3361=Options!$B$9,"抵达；"&amp;IF(C3361=DATE(2026,11,28),"机构晚餐","无统一供餐"),IF(C3361=Options!$B$10,"返程；"&amp;IF(C3361=DATE(2026,12,2),"机构午餐","无统一供餐"),"差旅状态；无统一日程"))))))</f>
        <v/>
      </c>
      <c r="E3361" s="13">
        <f>IF(C3361=Options!$B$9,Options!$C$23,0)</f>
        <v/>
      </c>
      <c r="F3361" s="13">
        <f>IF(AND(A3361&lt;&gt;"",C3361&lt;Options!$B$10),B3361*Options!$X$9,0)</f>
        <v/>
      </c>
      <c r="G3361" s="13">
        <f>F3361*12%</f>
        <v/>
      </c>
      <c r="H3361" s="13">
        <f>IF(A3361="",0,B3361*(92*IF(OR(C3361=Options!$B$9,C3361=Options!$B$10),75%,100%)-IF(C3361=DATE(2026,11,29),26+IF(Options!$B$8="是",23,0),0)-IF(C3361=DATE(2026,11,30),26,0)-IF(C3361=DATE(2026,12,1),64,0)-IF(C3361=DATE(2026,11,28),38,0)-IF(C3361=DATE(2026,12,2),26,0)))</f>
        <v/>
      </c>
      <c r="I3361" s="13">
        <f>IF(AND(C3361&gt;=DATE(2026,11,29),C3361&lt;=DATE(2026,12,1)),B3361*60,0)</f>
        <v/>
      </c>
      <c r="J3361" s="13">
        <f>IF(A3361="",0,B3361*(IF(C3361=DATE(2026,11,28),38,0)+IF(C3361=DATE(2026,12,1),38,0)+IF(C3361=DATE(2026,12,2),26,0)))</f>
        <v/>
      </c>
      <c r="K3361" s="13">
        <f>IF(C3361=Options!$B$9,B3361*12,0)</f>
        <v/>
      </c>
      <c r="L3361" s="13">
        <f>IF(C3361=Options!$B$9,B3361*Options!$Z$9,0)</f>
        <v/>
      </c>
      <c r="M3361" s="13" t="n">
        <v>0</v>
      </c>
      <c r="N3361" s="13">
        <f>SUM(E3361:M3361)</f>
        <v/>
      </c>
    </row>
    <row r="3362">
      <c r="A3362" s="5">
        <f>IF(AND(C3362&gt;=Options!$B$9,C3362&lt;=Options!$B$10),"Seattle","")</f>
        <v/>
      </c>
      <c r="B3362" s="5">
        <f>IF(A3362="","",24)</f>
        <v/>
      </c>
      <c r="C3362" s="17" t="n">
        <v>46368</v>
      </c>
      <c r="D3362" s="5">
        <f>IF(A3362="","",IF(C3362=DATE(2026,11,29),"培训；注册午餐；早餐参数",IF(C3362=DATE(2026,11,30),"培训；注册午餐",IF(C3362=DATE(2026,12,1),"培训；注册午餐；机构晚餐",IF(C3362=Options!$B$9,"抵达；"&amp;IF(C3362=DATE(2026,11,28),"机构晚餐","无统一供餐"),IF(C3362=Options!$B$10,"返程；"&amp;IF(C3362=DATE(2026,12,2),"机构午餐","无统一供餐"),"差旅状态；无统一日程"))))))</f>
        <v/>
      </c>
      <c r="E3362" s="13">
        <f>IF(C3362=Options!$B$9,Options!$C$23,0)</f>
        <v/>
      </c>
      <c r="F3362" s="13">
        <f>IF(AND(A3362&lt;&gt;"",C3362&lt;Options!$B$10),B3362*Options!$X$9,0)</f>
        <v/>
      </c>
      <c r="G3362" s="13">
        <f>F3362*12%</f>
        <v/>
      </c>
      <c r="H3362" s="13">
        <f>IF(A3362="",0,B3362*(92*IF(OR(C3362=Options!$B$9,C3362=Options!$B$10),75%,100%)-IF(C3362=DATE(2026,11,29),26+IF(Options!$B$8="是",23,0),0)-IF(C3362=DATE(2026,11,30),26,0)-IF(C3362=DATE(2026,12,1),64,0)-IF(C3362=DATE(2026,11,28),38,0)-IF(C3362=DATE(2026,12,2),26,0)))</f>
        <v/>
      </c>
      <c r="I3362" s="13">
        <f>IF(AND(C3362&gt;=DATE(2026,11,29),C3362&lt;=DATE(2026,12,1)),B3362*60,0)</f>
        <v/>
      </c>
      <c r="J3362" s="13">
        <f>IF(A3362="",0,B3362*(IF(C3362=DATE(2026,11,28),38,0)+IF(C3362=DATE(2026,12,1),38,0)+IF(C3362=DATE(2026,12,2),26,0)))</f>
        <v/>
      </c>
      <c r="K3362" s="13">
        <f>IF(C3362=Options!$B$9,B3362*12,0)</f>
        <v/>
      </c>
      <c r="L3362" s="13">
        <f>IF(C3362=Options!$B$9,B3362*Options!$Z$9,0)</f>
        <v/>
      </c>
      <c r="M3362" s="13" t="n">
        <v>0</v>
      </c>
      <c r="N3362" s="13">
        <f>SUM(E3362:M3362)</f>
        <v/>
      </c>
    </row>
    <row r="3363">
      <c r="A3363" s="5">
        <f>IF(AND(C3363&gt;=Options!$B$9,C3363&lt;=Options!$B$10),"Seattle","")</f>
        <v/>
      </c>
      <c r="B3363" s="5">
        <f>IF(A3363="","",24)</f>
        <v/>
      </c>
      <c r="C3363" s="17" t="n">
        <v>46369</v>
      </c>
      <c r="D3363" s="5">
        <f>IF(A3363="","",IF(C3363=DATE(2026,11,29),"培训；注册午餐；早餐参数",IF(C3363=DATE(2026,11,30),"培训；注册午餐",IF(C3363=DATE(2026,12,1),"培训；注册午餐；机构晚餐",IF(C3363=Options!$B$9,"抵达；"&amp;IF(C3363=DATE(2026,11,28),"机构晚餐","无统一供餐"),IF(C3363=Options!$B$10,"返程；"&amp;IF(C3363=DATE(2026,12,2),"机构午餐","无统一供餐"),"差旅状态；无统一日程"))))))</f>
        <v/>
      </c>
      <c r="E3363" s="13">
        <f>IF(C3363=Options!$B$9,Options!$C$23,0)</f>
        <v/>
      </c>
      <c r="F3363" s="13">
        <f>IF(AND(A3363&lt;&gt;"",C3363&lt;Options!$B$10),B3363*Options!$X$9,0)</f>
        <v/>
      </c>
      <c r="G3363" s="13">
        <f>F3363*12%</f>
        <v/>
      </c>
      <c r="H3363" s="13">
        <f>IF(A3363="",0,B3363*(92*IF(OR(C3363=Options!$B$9,C3363=Options!$B$10),75%,100%)-IF(C3363=DATE(2026,11,29),26+IF(Options!$B$8="是",23,0),0)-IF(C3363=DATE(2026,11,30),26,0)-IF(C3363=DATE(2026,12,1),64,0)-IF(C3363=DATE(2026,11,28),38,0)-IF(C3363=DATE(2026,12,2),26,0)))</f>
        <v/>
      </c>
      <c r="I3363" s="13">
        <f>IF(AND(C3363&gt;=DATE(2026,11,29),C3363&lt;=DATE(2026,12,1)),B3363*60,0)</f>
        <v/>
      </c>
      <c r="J3363" s="13">
        <f>IF(A3363="",0,B3363*(IF(C3363=DATE(2026,11,28),38,0)+IF(C3363=DATE(2026,12,1),38,0)+IF(C3363=DATE(2026,12,2),26,0)))</f>
        <v/>
      </c>
      <c r="K3363" s="13">
        <f>IF(C3363=Options!$B$9,B3363*12,0)</f>
        <v/>
      </c>
      <c r="L3363" s="13">
        <f>IF(C3363=Options!$B$9,B3363*Options!$Z$9,0)</f>
        <v/>
      </c>
      <c r="M3363" s="13" t="n">
        <v>0</v>
      </c>
      <c r="N3363" s="13">
        <f>SUM(E3363:M3363)</f>
        <v/>
      </c>
    </row>
    <row r="3364">
      <c r="A3364" s="5">
        <f>IF(AND(C3364&gt;=Options!$B$9,C3364&lt;=Options!$B$10),"Seattle","")</f>
        <v/>
      </c>
      <c r="B3364" s="5">
        <f>IF(A3364="","",24)</f>
        <v/>
      </c>
      <c r="C3364" s="17" t="n">
        <v>46370</v>
      </c>
      <c r="D3364" s="5">
        <f>IF(A3364="","",IF(C3364=DATE(2026,11,29),"培训；注册午餐；早餐参数",IF(C3364=DATE(2026,11,30),"培训；注册午餐",IF(C3364=DATE(2026,12,1),"培训；注册午餐；机构晚餐",IF(C3364=Options!$B$9,"抵达；"&amp;IF(C3364=DATE(2026,11,28),"机构晚餐","无统一供餐"),IF(C3364=Options!$B$10,"返程；"&amp;IF(C3364=DATE(2026,12,2),"机构午餐","无统一供餐"),"差旅状态；无统一日程"))))))</f>
        <v/>
      </c>
      <c r="E3364" s="13">
        <f>IF(C3364=Options!$B$9,Options!$C$23,0)</f>
        <v/>
      </c>
      <c r="F3364" s="13">
        <f>IF(AND(A3364&lt;&gt;"",C3364&lt;Options!$B$10),B3364*Options!$X$9,0)</f>
        <v/>
      </c>
      <c r="G3364" s="13">
        <f>F3364*12%</f>
        <v/>
      </c>
      <c r="H3364" s="13">
        <f>IF(A3364="",0,B3364*(92*IF(OR(C3364=Options!$B$9,C3364=Options!$B$10),75%,100%)-IF(C3364=DATE(2026,11,29),26+IF(Options!$B$8="是",23,0),0)-IF(C3364=DATE(2026,11,30),26,0)-IF(C3364=DATE(2026,12,1),64,0)-IF(C3364=DATE(2026,11,28),38,0)-IF(C3364=DATE(2026,12,2),26,0)))</f>
        <v/>
      </c>
      <c r="I3364" s="13">
        <f>IF(AND(C3364&gt;=DATE(2026,11,29),C3364&lt;=DATE(2026,12,1)),B3364*60,0)</f>
        <v/>
      </c>
      <c r="J3364" s="13">
        <f>IF(A3364="",0,B3364*(IF(C3364=DATE(2026,11,28),38,0)+IF(C3364=DATE(2026,12,1),38,0)+IF(C3364=DATE(2026,12,2),26,0)))</f>
        <v/>
      </c>
      <c r="K3364" s="13">
        <f>IF(C3364=Options!$B$9,B3364*12,0)</f>
        <v/>
      </c>
      <c r="L3364" s="13">
        <f>IF(C3364=Options!$B$9,B3364*Options!$Z$9,0)</f>
        <v/>
      </c>
      <c r="M3364" s="13" t="n">
        <v>0</v>
      </c>
      <c r="N3364" s="13">
        <f>SUM(E3364:M3364)</f>
        <v/>
      </c>
    </row>
    <row r="3365">
      <c r="A3365" s="5">
        <f>IF(AND(C3365&gt;=Options!$B$9,C3365&lt;=Options!$B$10),"Seattle","")</f>
        <v/>
      </c>
      <c r="B3365" s="5">
        <f>IF(A3365="","",24)</f>
        <v/>
      </c>
      <c r="C3365" s="17" t="n">
        <v>46371</v>
      </c>
      <c r="D3365" s="5">
        <f>IF(A3365="","",IF(C3365=DATE(2026,11,29),"培训；注册午餐；早餐参数",IF(C3365=DATE(2026,11,30),"培训；注册午餐",IF(C3365=DATE(2026,12,1),"培训；注册午餐；机构晚餐",IF(C3365=Options!$B$9,"抵达；"&amp;IF(C3365=DATE(2026,11,28),"机构晚餐","无统一供餐"),IF(C3365=Options!$B$10,"返程；"&amp;IF(C3365=DATE(2026,12,2),"机构午餐","无统一供餐"),"差旅状态；无统一日程"))))))</f>
        <v/>
      </c>
      <c r="E3365" s="13">
        <f>IF(C3365=Options!$B$9,Options!$C$23,0)</f>
        <v/>
      </c>
      <c r="F3365" s="13">
        <f>IF(AND(A3365&lt;&gt;"",C3365&lt;Options!$B$10),B3365*Options!$X$9,0)</f>
        <v/>
      </c>
      <c r="G3365" s="13">
        <f>F3365*12%</f>
        <v/>
      </c>
      <c r="H3365" s="13">
        <f>IF(A3365="",0,B3365*(92*IF(OR(C3365=Options!$B$9,C3365=Options!$B$10),75%,100%)-IF(C3365=DATE(2026,11,29),26+IF(Options!$B$8="是",23,0),0)-IF(C3365=DATE(2026,11,30),26,0)-IF(C3365=DATE(2026,12,1),64,0)-IF(C3365=DATE(2026,11,28),38,0)-IF(C3365=DATE(2026,12,2),26,0)))</f>
        <v/>
      </c>
      <c r="I3365" s="13">
        <f>IF(AND(C3365&gt;=DATE(2026,11,29),C3365&lt;=DATE(2026,12,1)),B3365*60,0)</f>
        <v/>
      </c>
      <c r="J3365" s="13">
        <f>IF(A3365="",0,B3365*(IF(C3365=DATE(2026,11,28),38,0)+IF(C3365=DATE(2026,12,1),38,0)+IF(C3365=DATE(2026,12,2),26,0)))</f>
        <v/>
      </c>
      <c r="K3365" s="13">
        <f>IF(C3365=Options!$B$9,B3365*12,0)</f>
        <v/>
      </c>
      <c r="L3365" s="13">
        <f>IF(C3365=Options!$B$9,B3365*Options!$Z$9,0)</f>
        <v/>
      </c>
      <c r="M3365" s="13" t="n">
        <v>0</v>
      </c>
      <c r="N3365" s="13">
        <f>SUM(E3365:M3365)</f>
        <v/>
      </c>
    </row>
    <row r="3366">
      <c r="A3366" s="5">
        <f>IF(AND(C3366&gt;=Options!$B$9,C3366&lt;=Options!$B$10),"Seattle","")</f>
        <v/>
      </c>
      <c r="B3366" s="5">
        <f>IF(A3366="","",24)</f>
        <v/>
      </c>
      <c r="C3366" s="17" t="n">
        <v>46372</v>
      </c>
      <c r="D3366" s="5">
        <f>IF(A3366="","",IF(C3366=DATE(2026,11,29),"培训；注册午餐；早餐参数",IF(C3366=DATE(2026,11,30),"培训；注册午餐",IF(C3366=DATE(2026,12,1),"培训；注册午餐；机构晚餐",IF(C3366=Options!$B$9,"抵达；"&amp;IF(C3366=DATE(2026,11,28),"机构晚餐","无统一供餐"),IF(C3366=Options!$B$10,"返程；"&amp;IF(C3366=DATE(2026,12,2),"机构午餐","无统一供餐"),"差旅状态；无统一日程"))))))</f>
        <v/>
      </c>
      <c r="E3366" s="13">
        <f>IF(C3366=Options!$B$9,Options!$C$23,0)</f>
        <v/>
      </c>
      <c r="F3366" s="13">
        <f>IF(AND(A3366&lt;&gt;"",C3366&lt;Options!$B$10),B3366*Options!$X$9,0)</f>
        <v/>
      </c>
      <c r="G3366" s="13">
        <f>F3366*12%</f>
        <v/>
      </c>
      <c r="H3366" s="13">
        <f>IF(A3366="",0,B3366*(92*IF(OR(C3366=Options!$B$9,C3366=Options!$B$10),75%,100%)-IF(C3366=DATE(2026,11,29),26+IF(Options!$B$8="是",23,0),0)-IF(C3366=DATE(2026,11,30),26,0)-IF(C3366=DATE(2026,12,1),64,0)-IF(C3366=DATE(2026,11,28),38,0)-IF(C3366=DATE(2026,12,2),26,0)))</f>
        <v/>
      </c>
      <c r="I3366" s="13">
        <f>IF(AND(C3366&gt;=DATE(2026,11,29),C3366&lt;=DATE(2026,12,1)),B3366*60,0)</f>
        <v/>
      </c>
      <c r="J3366" s="13">
        <f>IF(A3366="",0,B3366*(IF(C3366=DATE(2026,11,28),38,0)+IF(C3366=DATE(2026,12,1),38,0)+IF(C3366=DATE(2026,12,2),26,0)))</f>
        <v/>
      </c>
      <c r="K3366" s="13">
        <f>IF(C3366=Options!$B$9,B3366*12,0)</f>
        <v/>
      </c>
      <c r="L3366" s="13">
        <f>IF(C3366=Options!$B$9,B3366*Options!$Z$9,0)</f>
        <v/>
      </c>
      <c r="M3366" s="13" t="n">
        <v>0</v>
      </c>
      <c r="N3366" s="13">
        <f>SUM(E3366:M3366)</f>
        <v/>
      </c>
    </row>
    <row r="3367">
      <c r="A3367" s="5">
        <f>IF(AND(C3367&gt;=Options!$B$9,C3367&lt;=Options!$B$10),"Seattle","")</f>
        <v/>
      </c>
      <c r="B3367" s="5">
        <f>IF(A3367="","",24)</f>
        <v/>
      </c>
      <c r="C3367" s="17" t="n">
        <v>46373</v>
      </c>
      <c r="D3367" s="5">
        <f>IF(A3367="","",IF(C3367=DATE(2026,11,29),"培训；注册午餐；早餐参数",IF(C3367=DATE(2026,11,30),"培训；注册午餐",IF(C3367=DATE(2026,12,1),"培训；注册午餐；机构晚餐",IF(C3367=Options!$B$9,"抵达；"&amp;IF(C3367=DATE(2026,11,28),"机构晚餐","无统一供餐"),IF(C3367=Options!$B$10,"返程；"&amp;IF(C3367=DATE(2026,12,2),"机构午餐","无统一供餐"),"差旅状态；无统一日程"))))))</f>
        <v/>
      </c>
      <c r="E3367" s="13">
        <f>IF(C3367=Options!$B$9,Options!$C$23,0)</f>
        <v/>
      </c>
      <c r="F3367" s="13">
        <f>IF(AND(A3367&lt;&gt;"",C3367&lt;Options!$B$10),B3367*Options!$X$9,0)</f>
        <v/>
      </c>
      <c r="G3367" s="13">
        <f>F3367*12%</f>
        <v/>
      </c>
      <c r="H3367" s="13">
        <f>IF(A3367="",0,B3367*(92*IF(OR(C3367=Options!$B$9,C3367=Options!$B$10),75%,100%)-IF(C3367=DATE(2026,11,29),26+IF(Options!$B$8="是",23,0),0)-IF(C3367=DATE(2026,11,30),26,0)-IF(C3367=DATE(2026,12,1),64,0)-IF(C3367=DATE(2026,11,28),38,0)-IF(C3367=DATE(2026,12,2),26,0)))</f>
        <v/>
      </c>
      <c r="I3367" s="13">
        <f>IF(AND(C3367&gt;=DATE(2026,11,29),C3367&lt;=DATE(2026,12,1)),B3367*60,0)</f>
        <v/>
      </c>
      <c r="J3367" s="13">
        <f>IF(A3367="",0,B3367*(IF(C3367=DATE(2026,11,28),38,0)+IF(C3367=DATE(2026,12,1),38,0)+IF(C3367=DATE(2026,12,2),26,0)))</f>
        <v/>
      </c>
      <c r="K3367" s="13">
        <f>IF(C3367=Options!$B$9,B3367*12,0)</f>
        <v/>
      </c>
      <c r="L3367" s="13">
        <f>IF(C3367=Options!$B$9,B3367*Options!$Z$9,0)</f>
        <v/>
      </c>
      <c r="M3367" s="13" t="n">
        <v>0</v>
      </c>
      <c r="N3367" s="13">
        <f>SUM(E3367:M3367)</f>
        <v/>
      </c>
    </row>
    <row r="3368">
      <c r="A3368" s="5">
        <f>IF(AND(C3368&gt;=Options!$B$9,C3368&lt;=Options!$B$10),"Seattle","")</f>
        <v/>
      </c>
      <c r="B3368" s="5">
        <f>IF(A3368="","",24)</f>
        <v/>
      </c>
      <c r="C3368" s="17" t="n">
        <v>46374</v>
      </c>
      <c r="D3368" s="5">
        <f>IF(A3368="","",IF(C3368=DATE(2026,11,29),"培训；注册午餐；早餐参数",IF(C3368=DATE(2026,11,30),"培训；注册午餐",IF(C3368=DATE(2026,12,1),"培训；注册午餐；机构晚餐",IF(C3368=Options!$B$9,"抵达；"&amp;IF(C3368=DATE(2026,11,28),"机构晚餐","无统一供餐"),IF(C3368=Options!$B$10,"返程；"&amp;IF(C3368=DATE(2026,12,2),"机构午餐","无统一供餐"),"差旅状态；无统一日程"))))))</f>
        <v/>
      </c>
      <c r="E3368" s="13">
        <f>IF(C3368=Options!$B$9,Options!$C$23,0)</f>
        <v/>
      </c>
      <c r="F3368" s="13">
        <f>IF(AND(A3368&lt;&gt;"",C3368&lt;Options!$B$10),B3368*Options!$X$9,0)</f>
        <v/>
      </c>
      <c r="G3368" s="13">
        <f>F3368*12%</f>
        <v/>
      </c>
      <c r="H3368" s="13">
        <f>IF(A3368="",0,B3368*(92*IF(OR(C3368=Options!$B$9,C3368=Options!$B$10),75%,100%)-IF(C3368=DATE(2026,11,29),26+IF(Options!$B$8="是",23,0),0)-IF(C3368=DATE(2026,11,30),26,0)-IF(C3368=DATE(2026,12,1),64,0)-IF(C3368=DATE(2026,11,28),38,0)-IF(C3368=DATE(2026,12,2),26,0)))</f>
        <v/>
      </c>
      <c r="I3368" s="13">
        <f>IF(AND(C3368&gt;=DATE(2026,11,29),C3368&lt;=DATE(2026,12,1)),B3368*60,0)</f>
        <v/>
      </c>
      <c r="J3368" s="13">
        <f>IF(A3368="",0,B3368*(IF(C3368=DATE(2026,11,28),38,0)+IF(C3368=DATE(2026,12,1),38,0)+IF(C3368=DATE(2026,12,2),26,0)))</f>
        <v/>
      </c>
      <c r="K3368" s="13">
        <f>IF(C3368=Options!$B$9,B3368*12,0)</f>
        <v/>
      </c>
      <c r="L3368" s="13">
        <f>IF(C3368=Options!$B$9,B3368*Options!$Z$9,0)</f>
        <v/>
      </c>
      <c r="M3368" s="13" t="n">
        <v>0</v>
      </c>
      <c r="N3368" s="13">
        <f>SUM(E3368:M3368)</f>
        <v/>
      </c>
    </row>
    <row r="3369">
      <c r="A3369" s="5">
        <f>IF(AND(C3369&gt;=Options!$B$9,C3369&lt;=Options!$B$10),"Seattle","")</f>
        <v/>
      </c>
      <c r="B3369" s="5">
        <f>IF(A3369="","",24)</f>
        <v/>
      </c>
      <c r="C3369" s="17" t="n">
        <v>46375</v>
      </c>
      <c r="D3369" s="5">
        <f>IF(A3369="","",IF(C3369=DATE(2026,11,29),"培训；注册午餐；早餐参数",IF(C3369=DATE(2026,11,30),"培训；注册午餐",IF(C3369=DATE(2026,12,1),"培训；注册午餐；机构晚餐",IF(C3369=Options!$B$9,"抵达；"&amp;IF(C3369=DATE(2026,11,28),"机构晚餐","无统一供餐"),IF(C3369=Options!$B$10,"返程；"&amp;IF(C3369=DATE(2026,12,2),"机构午餐","无统一供餐"),"差旅状态；无统一日程"))))))</f>
        <v/>
      </c>
      <c r="E3369" s="13">
        <f>IF(C3369=Options!$B$9,Options!$C$23,0)</f>
        <v/>
      </c>
      <c r="F3369" s="13">
        <f>IF(AND(A3369&lt;&gt;"",C3369&lt;Options!$B$10),B3369*Options!$X$9,0)</f>
        <v/>
      </c>
      <c r="G3369" s="13">
        <f>F3369*12%</f>
        <v/>
      </c>
      <c r="H3369" s="13">
        <f>IF(A3369="",0,B3369*(92*IF(OR(C3369=Options!$B$9,C3369=Options!$B$10),75%,100%)-IF(C3369=DATE(2026,11,29),26+IF(Options!$B$8="是",23,0),0)-IF(C3369=DATE(2026,11,30),26,0)-IF(C3369=DATE(2026,12,1),64,0)-IF(C3369=DATE(2026,11,28),38,0)-IF(C3369=DATE(2026,12,2),26,0)))</f>
        <v/>
      </c>
      <c r="I3369" s="13">
        <f>IF(AND(C3369&gt;=DATE(2026,11,29),C3369&lt;=DATE(2026,12,1)),B3369*60,0)</f>
        <v/>
      </c>
      <c r="J3369" s="13">
        <f>IF(A3369="",0,B3369*(IF(C3369=DATE(2026,11,28),38,0)+IF(C3369=DATE(2026,12,1),38,0)+IF(C3369=DATE(2026,12,2),26,0)))</f>
        <v/>
      </c>
      <c r="K3369" s="13">
        <f>IF(C3369=Options!$B$9,B3369*12,0)</f>
        <v/>
      </c>
      <c r="L3369" s="13">
        <f>IF(C3369=Options!$B$9,B3369*Options!$Z$9,0)</f>
        <v/>
      </c>
      <c r="M3369" s="13" t="n">
        <v>0</v>
      </c>
      <c r="N3369" s="13">
        <f>SUM(E3369:M3369)</f>
        <v/>
      </c>
    </row>
    <row r="3370">
      <c r="A3370" s="5">
        <f>IF(AND(C3370&gt;=Options!$B$9,C3370&lt;=Options!$B$10),"Seattle","")</f>
        <v/>
      </c>
      <c r="B3370" s="5">
        <f>IF(A3370="","",24)</f>
        <v/>
      </c>
      <c r="C3370" s="17" t="n">
        <v>46376</v>
      </c>
      <c r="D3370" s="5">
        <f>IF(A3370="","",IF(C3370=DATE(2026,11,29),"培训；注册午餐；早餐参数",IF(C3370=DATE(2026,11,30),"培训；注册午餐",IF(C3370=DATE(2026,12,1),"培训；注册午餐；机构晚餐",IF(C3370=Options!$B$9,"抵达；"&amp;IF(C3370=DATE(2026,11,28),"机构晚餐","无统一供餐"),IF(C3370=Options!$B$10,"返程；"&amp;IF(C3370=DATE(2026,12,2),"机构午餐","无统一供餐"),"差旅状态；无统一日程"))))))</f>
        <v/>
      </c>
      <c r="E3370" s="13">
        <f>IF(C3370=Options!$B$9,Options!$C$23,0)</f>
        <v/>
      </c>
      <c r="F3370" s="13">
        <f>IF(AND(A3370&lt;&gt;"",C3370&lt;Options!$B$10),B3370*Options!$X$9,0)</f>
        <v/>
      </c>
      <c r="G3370" s="13">
        <f>F3370*12%</f>
        <v/>
      </c>
      <c r="H3370" s="13">
        <f>IF(A3370="",0,B3370*(92*IF(OR(C3370=Options!$B$9,C3370=Options!$B$10),75%,100%)-IF(C3370=DATE(2026,11,29),26+IF(Options!$B$8="是",23,0),0)-IF(C3370=DATE(2026,11,30),26,0)-IF(C3370=DATE(2026,12,1),64,0)-IF(C3370=DATE(2026,11,28),38,0)-IF(C3370=DATE(2026,12,2),26,0)))</f>
        <v/>
      </c>
      <c r="I3370" s="13">
        <f>IF(AND(C3370&gt;=DATE(2026,11,29),C3370&lt;=DATE(2026,12,1)),B3370*60,0)</f>
        <v/>
      </c>
      <c r="J3370" s="13">
        <f>IF(A3370="",0,B3370*(IF(C3370=DATE(2026,11,28),38,0)+IF(C3370=DATE(2026,12,1),38,0)+IF(C3370=DATE(2026,12,2),26,0)))</f>
        <v/>
      </c>
      <c r="K3370" s="13">
        <f>IF(C3370=Options!$B$9,B3370*12,0)</f>
        <v/>
      </c>
      <c r="L3370" s="13">
        <f>IF(C3370=Options!$B$9,B3370*Options!$Z$9,0)</f>
        <v/>
      </c>
      <c r="M3370" s="13" t="n">
        <v>0</v>
      </c>
      <c r="N3370" s="13">
        <f>SUM(E3370:M3370)</f>
        <v/>
      </c>
    </row>
    <row r="3371">
      <c r="A3371" s="5">
        <f>IF(AND(C3371&gt;=Options!$B$9,C3371&lt;=Options!$B$10),"Seattle","")</f>
        <v/>
      </c>
      <c r="B3371" s="5">
        <f>IF(A3371="","",24)</f>
        <v/>
      </c>
      <c r="C3371" s="17" t="n">
        <v>46377</v>
      </c>
      <c r="D3371" s="5">
        <f>IF(A3371="","",IF(C3371=DATE(2026,11,29),"培训；注册午餐；早餐参数",IF(C3371=DATE(2026,11,30),"培训；注册午餐",IF(C3371=DATE(2026,12,1),"培训；注册午餐；机构晚餐",IF(C3371=Options!$B$9,"抵达；"&amp;IF(C3371=DATE(2026,11,28),"机构晚餐","无统一供餐"),IF(C3371=Options!$B$10,"返程；"&amp;IF(C3371=DATE(2026,12,2),"机构午餐","无统一供餐"),"差旅状态；无统一日程"))))))</f>
        <v/>
      </c>
      <c r="E3371" s="13">
        <f>IF(C3371=Options!$B$9,Options!$C$23,0)</f>
        <v/>
      </c>
      <c r="F3371" s="13">
        <f>IF(AND(A3371&lt;&gt;"",C3371&lt;Options!$B$10),B3371*Options!$X$9,0)</f>
        <v/>
      </c>
      <c r="G3371" s="13">
        <f>F3371*12%</f>
        <v/>
      </c>
      <c r="H3371" s="13">
        <f>IF(A3371="",0,B3371*(92*IF(OR(C3371=Options!$B$9,C3371=Options!$B$10),75%,100%)-IF(C3371=DATE(2026,11,29),26+IF(Options!$B$8="是",23,0),0)-IF(C3371=DATE(2026,11,30),26,0)-IF(C3371=DATE(2026,12,1),64,0)-IF(C3371=DATE(2026,11,28),38,0)-IF(C3371=DATE(2026,12,2),26,0)))</f>
        <v/>
      </c>
      <c r="I3371" s="13">
        <f>IF(AND(C3371&gt;=DATE(2026,11,29),C3371&lt;=DATE(2026,12,1)),B3371*60,0)</f>
        <v/>
      </c>
      <c r="J3371" s="13">
        <f>IF(A3371="",0,B3371*(IF(C3371=DATE(2026,11,28),38,0)+IF(C3371=DATE(2026,12,1),38,0)+IF(C3371=DATE(2026,12,2),26,0)))</f>
        <v/>
      </c>
      <c r="K3371" s="13">
        <f>IF(C3371=Options!$B$9,B3371*12,0)</f>
        <v/>
      </c>
      <c r="L3371" s="13">
        <f>IF(C3371=Options!$B$9,B3371*Options!$Z$9,0)</f>
        <v/>
      </c>
      <c r="M3371" s="13" t="n">
        <v>0</v>
      </c>
      <c r="N3371" s="13">
        <f>SUM(E3371:M3371)</f>
        <v/>
      </c>
    </row>
    <row r="3372">
      <c r="A3372" s="5">
        <f>IF(AND(C3372&gt;=Options!$B$9,C3372&lt;=Options!$B$10),"Seattle","")</f>
        <v/>
      </c>
      <c r="B3372" s="5">
        <f>IF(A3372="","",24)</f>
        <v/>
      </c>
      <c r="C3372" s="17" t="n">
        <v>46378</v>
      </c>
      <c r="D3372" s="5">
        <f>IF(A3372="","",IF(C3372=DATE(2026,11,29),"培训；注册午餐；早餐参数",IF(C3372=DATE(2026,11,30),"培训；注册午餐",IF(C3372=DATE(2026,12,1),"培训；注册午餐；机构晚餐",IF(C3372=Options!$B$9,"抵达；"&amp;IF(C3372=DATE(2026,11,28),"机构晚餐","无统一供餐"),IF(C3372=Options!$B$10,"返程；"&amp;IF(C3372=DATE(2026,12,2),"机构午餐","无统一供餐"),"差旅状态；无统一日程"))))))</f>
        <v/>
      </c>
      <c r="E3372" s="13">
        <f>IF(C3372=Options!$B$9,Options!$C$23,0)</f>
        <v/>
      </c>
      <c r="F3372" s="13">
        <f>IF(AND(A3372&lt;&gt;"",C3372&lt;Options!$B$10),B3372*Options!$X$9,0)</f>
        <v/>
      </c>
      <c r="G3372" s="13">
        <f>F3372*12%</f>
        <v/>
      </c>
      <c r="H3372" s="13">
        <f>IF(A3372="",0,B3372*(92*IF(OR(C3372=Options!$B$9,C3372=Options!$B$10),75%,100%)-IF(C3372=DATE(2026,11,29),26+IF(Options!$B$8="是",23,0),0)-IF(C3372=DATE(2026,11,30),26,0)-IF(C3372=DATE(2026,12,1),64,0)-IF(C3372=DATE(2026,11,28),38,0)-IF(C3372=DATE(2026,12,2),26,0)))</f>
        <v/>
      </c>
      <c r="I3372" s="13">
        <f>IF(AND(C3372&gt;=DATE(2026,11,29),C3372&lt;=DATE(2026,12,1)),B3372*60,0)</f>
        <v/>
      </c>
      <c r="J3372" s="13">
        <f>IF(A3372="",0,B3372*(IF(C3372=DATE(2026,11,28),38,0)+IF(C3372=DATE(2026,12,1),38,0)+IF(C3372=DATE(2026,12,2),26,0)))</f>
        <v/>
      </c>
      <c r="K3372" s="13">
        <f>IF(C3372=Options!$B$9,B3372*12,0)</f>
        <v/>
      </c>
      <c r="L3372" s="13">
        <f>IF(C3372=Options!$B$9,B3372*Options!$Z$9,0)</f>
        <v/>
      </c>
      <c r="M3372" s="13" t="n">
        <v>0</v>
      </c>
      <c r="N3372" s="13">
        <f>SUM(E3372:M3372)</f>
        <v/>
      </c>
    </row>
    <row r="3373">
      <c r="A3373" s="5">
        <f>IF(AND(C3373&gt;=Options!$B$9,C3373&lt;=Options!$B$10),"Seattle","")</f>
        <v/>
      </c>
      <c r="B3373" s="5">
        <f>IF(A3373="","",24)</f>
        <v/>
      </c>
      <c r="C3373" s="17" t="n">
        <v>46379</v>
      </c>
      <c r="D3373" s="5">
        <f>IF(A3373="","",IF(C3373=DATE(2026,11,29),"培训；注册午餐；早餐参数",IF(C3373=DATE(2026,11,30),"培训；注册午餐",IF(C3373=DATE(2026,12,1),"培训；注册午餐；机构晚餐",IF(C3373=Options!$B$9,"抵达；"&amp;IF(C3373=DATE(2026,11,28),"机构晚餐","无统一供餐"),IF(C3373=Options!$B$10,"返程；"&amp;IF(C3373=DATE(2026,12,2),"机构午餐","无统一供餐"),"差旅状态；无统一日程"))))))</f>
        <v/>
      </c>
      <c r="E3373" s="13">
        <f>IF(C3373=Options!$B$9,Options!$C$23,0)</f>
        <v/>
      </c>
      <c r="F3373" s="13">
        <f>IF(AND(A3373&lt;&gt;"",C3373&lt;Options!$B$10),B3373*Options!$X$9,0)</f>
        <v/>
      </c>
      <c r="G3373" s="13">
        <f>F3373*12%</f>
        <v/>
      </c>
      <c r="H3373" s="13">
        <f>IF(A3373="",0,B3373*(92*IF(OR(C3373=Options!$B$9,C3373=Options!$B$10),75%,100%)-IF(C3373=DATE(2026,11,29),26+IF(Options!$B$8="是",23,0),0)-IF(C3373=DATE(2026,11,30),26,0)-IF(C3373=DATE(2026,12,1),64,0)-IF(C3373=DATE(2026,11,28),38,0)-IF(C3373=DATE(2026,12,2),26,0)))</f>
        <v/>
      </c>
      <c r="I3373" s="13">
        <f>IF(AND(C3373&gt;=DATE(2026,11,29),C3373&lt;=DATE(2026,12,1)),B3373*60,0)</f>
        <v/>
      </c>
      <c r="J3373" s="13">
        <f>IF(A3373="",0,B3373*(IF(C3373=DATE(2026,11,28),38,0)+IF(C3373=DATE(2026,12,1),38,0)+IF(C3373=DATE(2026,12,2),26,0)))</f>
        <v/>
      </c>
      <c r="K3373" s="13">
        <f>IF(C3373=Options!$B$9,B3373*12,0)</f>
        <v/>
      </c>
      <c r="L3373" s="13">
        <f>IF(C3373=Options!$B$9,B3373*Options!$Z$9,0)</f>
        <v/>
      </c>
      <c r="M3373" s="13" t="n">
        <v>0</v>
      </c>
      <c r="N3373" s="13">
        <f>SUM(E3373:M3373)</f>
        <v/>
      </c>
    </row>
    <row r="3374">
      <c r="A3374" s="5">
        <f>IF(AND(C3374&gt;=Options!$B$9,C3374&lt;=Options!$B$10),"Seattle","")</f>
        <v/>
      </c>
      <c r="B3374" s="5">
        <f>IF(A3374="","",24)</f>
        <v/>
      </c>
      <c r="C3374" s="17" t="n">
        <v>46380</v>
      </c>
      <c r="D3374" s="5">
        <f>IF(A3374="","",IF(C3374=DATE(2026,11,29),"培训；注册午餐；早餐参数",IF(C3374=DATE(2026,11,30),"培训；注册午餐",IF(C3374=DATE(2026,12,1),"培训；注册午餐；机构晚餐",IF(C3374=Options!$B$9,"抵达；"&amp;IF(C3374=DATE(2026,11,28),"机构晚餐","无统一供餐"),IF(C3374=Options!$B$10,"返程；"&amp;IF(C3374=DATE(2026,12,2),"机构午餐","无统一供餐"),"差旅状态；无统一日程"))))))</f>
        <v/>
      </c>
      <c r="E3374" s="13">
        <f>IF(C3374=Options!$B$9,Options!$C$23,0)</f>
        <v/>
      </c>
      <c r="F3374" s="13">
        <f>IF(AND(A3374&lt;&gt;"",C3374&lt;Options!$B$10),B3374*Options!$X$9,0)</f>
        <v/>
      </c>
      <c r="G3374" s="13">
        <f>F3374*12%</f>
        <v/>
      </c>
      <c r="H3374" s="13">
        <f>IF(A3374="",0,B3374*(92*IF(OR(C3374=Options!$B$9,C3374=Options!$B$10),75%,100%)-IF(C3374=DATE(2026,11,29),26+IF(Options!$B$8="是",23,0),0)-IF(C3374=DATE(2026,11,30),26,0)-IF(C3374=DATE(2026,12,1),64,0)-IF(C3374=DATE(2026,11,28),38,0)-IF(C3374=DATE(2026,12,2),26,0)))</f>
        <v/>
      </c>
      <c r="I3374" s="13">
        <f>IF(AND(C3374&gt;=DATE(2026,11,29),C3374&lt;=DATE(2026,12,1)),B3374*60,0)</f>
        <v/>
      </c>
      <c r="J3374" s="13">
        <f>IF(A3374="",0,B3374*(IF(C3374=DATE(2026,11,28),38,0)+IF(C3374=DATE(2026,12,1),38,0)+IF(C3374=DATE(2026,12,2),26,0)))</f>
        <v/>
      </c>
      <c r="K3374" s="13">
        <f>IF(C3374=Options!$B$9,B3374*12,0)</f>
        <v/>
      </c>
      <c r="L3374" s="13">
        <f>IF(C3374=Options!$B$9,B3374*Options!$Z$9,0)</f>
        <v/>
      </c>
      <c r="M3374" s="13" t="n">
        <v>0</v>
      </c>
      <c r="N3374" s="13">
        <f>SUM(E3374:M3374)</f>
        <v/>
      </c>
    </row>
    <row r="3375">
      <c r="A3375" s="5">
        <f>IF(AND(C3375&gt;=Options!$B$9,C3375&lt;=Options!$B$10),"Seattle","")</f>
        <v/>
      </c>
      <c r="B3375" s="5">
        <f>IF(A3375="","",24)</f>
        <v/>
      </c>
      <c r="C3375" s="17" t="n">
        <v>46381</v>
      </c>
      <c r="D3375" s="5">
        <f>IF(A3375="","",IF(C3375=DATE(2026,11,29),"培训；注册午餐；早餐参数",IF(C3375=DATE(2026,11,30),"培训；注册午餐",IF(C3375=DATE(2026,12,1),"培训；注册午餐；机构晚餐",IF(C3375=Options!$B$9,"抵达；"&amp;IF(C3375=DATE(2026,11,28),"机构晚餐","无统一供餐"),IF(C3375=Options!$B$10,"返程；"&amp;IF(C3375=DATE(2026,12,2),"机构午餐","无统一供餐"),"差旅状态；无统一日程"))))))</f>
        <v/>
      </c>
      <c r="E3375" s="13">
        <f>IF(C3375=Options!$B$9,Options!$C$23,0)</f>
        <v/>
      </c>
      <c r="F3375" s="13">
        <f>IF(AND(A3375&lt;&gt;"",C3375&lt;Options!$B$10),B3375*Options!$X$9,0)</f>
        <v/>
      </c>
      <c r="G3375" s="13">
        <f>F3375*12%</f>
        <v/>
      </c>
      <c r="H3375" s="13">
        <f>IF(A3375="",0,B3375*(92*IF(OR(C3375=Options!$B$9,C3375=Options!$B$10),75%,100%)-IF(C3375=DATE(2026,11,29),26+IF(Options!$B$8="是",23,0),0)-IF(C3375=DATE(2026,11,30),26,0)-IF(C3375=DATE(2026,12,1),64,0)-IF(C3375=DATE(2026,11,28),38,0)-IF(C3375=DATE(2026,12,2),26,0)))</f>
        <v/>
      </c>
      <c r="I3375" s="13">
        <f>IF(AND(C3375&gt;=DATE(2026,11,29),C3375&lt;=DATE(2026,12,1)),B3375*60,0)</f>
        <v/>
      </c>
      <c r="J3375" s="13">
        <f>IF(A3375="",0,B3375*(IF(C3375=DATE(2026,11,28),38,0)+IF(C3375=DATE(2026,12,1),38,0)+IF(C3375=DATE(2026,12,2),26,0)))</f>
        <v/>
      </c>
      <c r="K3375" s="13">
        <f>IF(C3375=Options!$B$9,B3375*12,0)</f>
        <v/>
      </c>
      <c r="L3375" s="13">
        <f>IF(C3375=Options!$B$9,B3375*Options!$Z$9,0)</f>
        <v/>
      </c>
      <c r="M3375" s="13" t="n">
        <v>0</v>
      </c>
      <c r="N3375" s="13">
        <f>SUM(E3375:M3375)</f>
        <v/>
      </c>
    </row>
    <row r="3376">
      <c r="A3376" s="5">
        <f>IF(AND(C3376&gt;=Options!$B$9,C3376&lt;=Options!$B$10),"Seattle","")</f>
        <v/>
      </c>
      <c r="B3376" s="5">
        <f>IF(A3376="","",24)</f>
        <v/>
      </c>
      <c r="C3376" s="17" t="n">
        <v>46382</v>
      </c>
      <c r="D3376" s="5">
        <f>IF(A3376="","",IF(C3376=DATE(2026,11,29),"培训；注册午餐；早餐参数",IF(C3376=DATE(2026,11,30),"培训；注册午餐",IF(C3376=DATE(2026,12,1),"培训；注册午餐；机构晚餐",IF(C3376=Options!$B$9,"抵达；"&amp;IF(C3376=DATE(2026,11,28),"机构晚餐","无统一供餐"),IF(C3376=Options!$B$10,"返程；"&amp;IF(C3376=DATE(2026,12,2),"机构午餐","无统一供餐"),"差旅状态；无统一日程"))))))</f>
        <v/>
      </c>
      <c r="E3376" s="13">
        <f>IF(C3376=Options!$B$9,Options!$C$23,0)</f>
        <v/>
      </c>
      <c r="F3376" s="13">
        <f>IF(AND(A3376&lt;&gt;"",C3376&lt;Options!$B$10),B3376*Options!$X$9,0)</f>
        <v/>
      </c>
      <c r="G3376" s="13">
        <f>F3376*12%</f>
        <v/>
      </c>
      <c r="H3376" s="13">
        <f>IF(A3376="",0,B3376*(92*IF(OR(C3376=Options!$B$9,C3376=Options!$B$10),75%,100%)-IF(C3376=DATE(2026,11,29),26+IF(Options!$B$8="是",23,0),0)-IF(C3376=DATE(2026,11,30),26,0)-IF(C3376=DATE(2026,12,1),64,0)-IF(C3376=DATE(2026,11,28),38,0)-IF(C3376=DATE(2026,12,2),26,0)))</f>
        <v/>
      </c>
      <c r="I3376" s="13">
        <f>IF(AND(C3376&gt;=DATE(2026,11,29),C3376&lt;=DATE(2026,12,1)),B3376*60,0)</f>
        <v/>
      </c>
      <c r="J3376" s="13">
        <f>IF(A3376="",0,B3376*(IF(C3376=DATE(2026,11,28),38,0)+IF(C3376=DATE(2026,12,1),38,0)+IF(C3376=DATE(2026,12,2),26,0)))</f>
        <v/>
      </c>
      <c r="K3376" s="13">
        <f>IF(C3376=Options!$B$9,B3376*12,0)</f>
        <v/>
      </c>
      <c r="L3376" s="13">
        <f>IF(C3376=Options!$B$9,B3376*Options!$Z$9,0)</f>
        <v/>
      </c>
      <c r="M3376" s="13" t="n">
        <v>0</v>
      </c>
      <c r="N3376" s="13">
        <f>SUM(E3376:M3376)</f>
        <v/>
      </c>
    </row>
    <row r="3377">
      <c r="A3377" s="5">
        <f>IF(AND(C3377&gt;=Options!$B$9,C3377&lt;=Options!$B$10),"Seattle","")</f>
        <v/>
      </c>
      <c r="B3377" s="5">
        <f>IF(A3377="","",24)</f>
        <v/>
      </c>
      <c r="C3377" s="17" t="n">
        <v>46383</v>
      </c>
      <c r="D3377" s="5">
        <f>IF(A3377="","",IF(C3377=DATE(2026,11,29),"培训；注册午餐；早餐参数",IF(C3377=DATE(2026,11,30),"培训；注册午餐",IF(C3377=DATE(2026,12,1),"培训；注册午餐；机构晚餐",IF(C3377=Options!$B$9,"抵达；"&amp;IF(C3377=DATE(2026,11,28),"机构晚餐","无统一供餐"),IF(C3377=Options!$B$10,"返程；"&amp;IF(C3377=DATE(2026,12,2),"机构午餐","无统一供餐"),"差旅状态；无统一日程"))))))</f>
        <v/>
      </c>
      <c r="E3377" s="13">
        <f>IF(C3377=Options!$B$9,Options!$C$23,0)</f>
        <v/>
      </c>
      <c r="F3377" s="13">
        <f>IF(AND(A3377&lt;&gt;"",C3377&lt;Options!$B$10),B3377*Options!$X$9,0)</f>
        <v/>
      </c>
      <c r="G3377" s="13">
        <f>F3377*12%</f>
        <v/>
      </c>
      <c r="H3377" s="13">
        <f>IF(A3377="",0,B3377*(92*IF(OR(C3377=Options!$B$9,C3377=Options!$B$10),75%,100%)-IF(C3377=DATE(2026,11,29),26+IF(Options!$B$8="是",23,0),0)-IF(C3377=DATE(2026,11,30),26,0)-IF(C3377=DATE(2026,12,1),64,0)-IF(C3377=DATE(2026,11,28),38,0)-IF(C3377=DATE(2026,12,2),26,0)))</f>
        <v/>
      </c>
      <c r="I3377" s="13">
        <f>IF(AND(C3377&gt;=DATE(2026,11,29),C3377&lt;=DATE(2026,12,1)),B3377*60,0)</f>
        <v/>
      </c>
      <c r="J3377" s="13">
        <f>IF(A3377="",0,B3377*(IF(C3377=DATE(2026,11,28),38,0)+IF(C3377=DATE(2026,12,1),38,0)+IF(C3377=DATE(2026,12,2),26,0)))</f>
        <v/>
      </c>
      <c r="K3377" s="13">
        <f>IF(C3377=Options!$B$9,B3377*12,0)</f>
        <v/>
      </c>
      <c r="L3377" s="13">
        <f>IF(C3377=Options!$B$9,B3377*Options!$Z$9,0)</f>
        <v/>
      </c>
      <c r="M3377" s="13" t="n">
        <v>0</v>
      </c>
      <c r="N3377" s="13">
        <f>SUM(E3377:M3377)</f>
        <v/>
      </c>
    </row>
    <row r="3378">
      <c r="A3378" s="5">
        <f>IF(AND(C3378&gt;=Options!$B$9,C3378&lt;=Options!$B$10),"Seattle","")</f>
        <v/>
      </c>
      <c r="B3378" s="5">
        <f>IF(A3378="","",24)</f>
        <v/>
      </c>
      <c r="C3378" s="17" t="n">
        <v>46384</v>
      </c>
      <c r="D3378" s="5">
        <f>IF(A3378="","",IF(C3378=DATE(2026,11,29),"培训；注册午餐；早餐参数",IF(C3378=DATE(2026,11,30),"培训；注册午餐",IF(C3378=DATE(2026,12,1),"培训；注册午餐；机构晚餐",IF(C3378=Options!$B$9,"抵达；"&amp;IF(C3378=DATE(2026,11,28),"机构晚餐","无统一供餐"),IF(C3378=Options!$B$10,"返程；"&amp;IF(C3378=DATE(2026,12,2),"机构午餐","无统一供餐"),"差旅状态；无统一日程"))))))</f>
        <v/>
      </c>
      <c r="E3378" s="13">
        <f>IF(C3378=Options!$B$9,Options!$C$23,0)</f>
        <v/>
      </c>
      <c r="F3378" s="13">
        <f>IF(AND(A3378&lt;&gt;"",C3378&lt;Options!$B$10),B3378*Options!$X$9,0)</f>
        <v/>
      </c>
      <c r="G3378" s="13">
        <f>F3378*12%</f>
        <v/>
      </c>
      <c r="H3378" s="13">
        <f>IF(A3378="",0,B3378*(92*IF(OR(C3378=Options!$B$9,C3378=Options!$B$10),75%,100%)-IF(C3378=DATE(2026,11,29),26+IF(Options!$B$8="是",23,0),0)-IF(C3378=DATE(2026,11,30),26,0)-IF(C3378=DATE(2026,12,1),64,0)-IF(C3378=DATE(2026,11,28),38,0)-IF(C3378=DATE(2026,12,2),26,0)))</f>
        <v/>
      </c>
      <c r="I3378" s="13">
        <f>IF(AND(C3378&gt;=DATE(2026,11,29),C3378&lt;=DATE(2026,12,1)),B3378*60,0)</f>
        <v/>
      </c>
      <c r="J3378" s="13">
        <f>IF(A3378="",0,B3378*(IF(C3378=DATE(2026,11,28),38,0)+IF(C3378=DATE(2026,12,1),38,0)+IF(C3378=DATE(2026,12,2),26,0)))</f>
        <v/>
      </c>
      <c r="K3378" s="13">
        <f>IF(C3378=Options!$B$9,B3378*12,0)</f>
        <v/>
      </c>
      <c r="L3378" s="13">
        <f>IF(C3378=Options!$B$9,B3378*Options!$Z$9,0)</f>
        <v/>
      </c>
      <c r="M3378" s="13" t="n">
        <v>0</v>
      </c>
      <c r="N3378" s="13">
        <f>SUM(E3378:M3378)</f>
        <v/>
      </c>
    </row>
    <row r="3379">
      <c r="A3379" s="5">
        <f>IF(AND(C3379&gt;=Options!$B$9,C3379&lt;=Options!$B$10),"Seattle","")</f>
        <v/>
      </c>
      <c r="B3379" s="5">
        <f>IF(A3379="","",24)</f>
        <v/>
      </c>
      <c r="C3379" s="17" t="n">
        <v>46385</v>
      </c>
      <c r="D3379" s="5">
        <f>IF(A3379="","",IF(C3379=DATE(2026,11,29),"培训；注册午餐；早餐参数",IF(C3379=DATE(2026,11,30),"培训；注册午餐",IF(C3379=DATE(2026,12,1),"培训；注册午餐；机构晚餐",IF(C3379=Options!$B$9,"抵达；"&amp;IF(C3379=DATE(2026,11,28),"机构晚餐","无统一供餐"),IF(C3379=Options!$B$10,"返程；"&amp;IF(C3379=DATE(2026,12,2),"机构午餐","无统一供餐"),"差旅状态；无统一日程"))))))</f>
        <v/>
      </c>
      <c r="E3379" s="13">
        <f>IF(C3379=Options!$B$9,Options!$C$23,0)</f>
        <v/>
      </c>
      <c r="F3379" s="13">
        <f>IF(AND(A3379&lt;&gt;"",C3379&lt;Options!$B$10),B3379*Options!$X$9,0)</f>
        <v/>
      </c>
      <c r="G3379" s="13">
        <f>F3379*12%</f>
        <v/>
      </c>
      <c r="H3379" s="13">
        <f>IF(A3379="",0,B3379*(92*IF(OR(C3379=Options!$B$9,C3379=Options!$B$10),75%,100%)-IF(C3379=DATE(2026,11,29),26+IF(Options!$B$8="是",23,0),0)-IF(C3379=DATE(2026,11,30),26,0)-IF(C3379=DATE(2026,12,1),64,0)-IF(C3379=DATE(2026,11,28),38,0)-IF(C3379=DATE(2026,12,2),26,0)))</f>
        <v/>
      </c>
      <c r="I3379" s="13">
        <f>IF(AND(C3379&gt;=DATE(2026,11,29),C3379&lt;=DATE(2026,12,1)),B3379*60,0)</f>
        <v/>
      </c>
      <c r="J3379" s="13">
        <f>IF(A3379="",0,B3379*(IF(C3379=DATE(2026,11,28),38,0)+IF(C3379=DATE(2026,12,1),38,0)+IF(C3379=DATE(2026,12,2),26,0)))</f>
        <v/>
      </c>
      <c r="K3379" s="13">
        <f>IF(C3379=Options!$B$9,B3379*12,0)</f>
        <v/>
      </c>
      <c r="L3379" s="13">
        <f>IF(C3379=Options!$B$9,B3379*Options!$Z$9,0)</f>
        <v/>
      </c>
      <c r="M3379" s="13" t="n">
        <v>0</v>
      </c>
      <c r="N3379" s="13">
        <f>SUM(E3379:M3379)</f>
        <v/>
      </c>
    </row>
    <row r="3380">
      <c r="A3380" s="5">
        <f>IF(AND(C3380&gt;=Options!$B$9,C3380&lt;=Options!$B$10),"Seattle","")</f>
        <v/>
      </c>
      <c r="B3380" s="5">
        <f>IF(A3380="","",24)</f>
        <v/>
      </c>
      <c r="C3380" s="17" t="n">
        <v>46386</v>
      </c>
      <c r="D3380" s="5">
        <f>IF(A3380="","",IF(C3380=DATE(2026,11,29),"培训；注册午餐；早餐参数",IF(C3380=DATE(2026,11,30),"培训；注册午餐",IF(C3380=DATE(2026,12,1),"培训；注册午餐；机构晚餐",IF(C3380=Options!$B$9,"抵达；"&amp;IF(C3380=DATE(2026,11,28),"机构晚餐","无统一供餐"),IF(C3380=Options!$B$10,"返程；"&amp;IF(C3380=DATE(2026,12,2),"机构午餐","无统一供餐"),"差旅状态；无统一日程"))))))</f>
        <v/>
      </c>
      <c r="E3380" s="13">
        <f>IF(C3380=Options!$B$9,Options!$C$23,0)</f>
        <v/>
      </c>
      <c r="F3380" s="13">
        <f>IF(AND(A3380&lt;&gt;"",C3380&lt;Options!$B$10),B3380*Options!$X$9,0)</f>
        <v/>
      </c>
      <c r="G3380" s="13">
        <f>F3380*12%</f>
        <v/>
      </c>
      <c r="H3380" s="13">
        <f>IF(A3380="",0,B3380*(92*IF(OR(C3380=Options!$B$9,C3380=Options!$B$10),75%,100%)-IF(C3380=DATE(2026,11,29),26+IF(Options!$B$8="是",23,0),0)-IF(C3380=DATE(2026,11,30),26,0)-IF(C3380=DATE(2026,12,1),64,0)-IF(C3380=DATE(2026,11,28),38,0)-IF(C3380=DATE(2026,12,2),26,0)))</f>
        <v/>
      </c>
      <c r="I3380" s="13">
        <f>IF(AND(C3380&gt;=DATE(2026,11,29),C3380&lt;=DATE(2026,12,1)),B3380*60,0)</f>
        <v/>
      </c>
      <c r="J3380" s="13">
        <f>IF(A3380="",0,B3380*(IF(C3380=DATE(2026,11,28),38,0)+IF(C3380=DATE(2026,12,1),38,0)+IF(C3380=DATE(2026,12,2),26,0)))</f>
        <v/>
      </c>
      <c r="K3380" s="13">
        <f>IF(C3380=Options!$B$9,B3380*12,0)</f>
        <v/>
      </c>
      <c r="L3380" s="13">
        <f>IF(C3380=Options!$B$9,B3380*Options!$Z$9,0)</f>
        <v/>
      </c>
      <c r="M3380" s="13" t="n">
        <v>0</v>
      </c>
      <c r="N3380" s="13">
        <f>SUM(E3380:M3380)</f>
        <v/>
      </c>
    </row>
    <row r="3381">
      <c r="A3381" s="5">
        <f>IF(AND(C3381&gt;=Options!$B$9,C3381&lt;=Options!$B$10),"Seattle","")</f>
        <v/>
      </c>
      <c r="B3381" s="5">
        <f>IF(A3381="","",24)</f>
        <v/>
      </c>
      <c r="C3381" s="17" t="n">
        <v>46387</v>
      </c>
      <c r="D3381" s="5">
        <f>IF(A3381="","",IF(C3381=DATE(2026,11,29),"培训；注册午餐；早餐参数",IF(C3381=DATE(2026,11,30),"培训；注册午餐",IF(C3381=DATE(2026,12,1),"培训；注册午餐；机构晚餐",IF(C3381=Options!$B$9,"抵达；"&amp;IF(C3381=DATE(2026,11,28),"机构晚餐","无统一供餐"),IF(C3381=Options!$B$10,"返程；"&amp;IF(C3381=DATE(2026,12,2),"机构午餐","无统一供餐"),"差旅状态；无统一日程"))))))</f>
        <v/>
      </c>
      <c r="E3381" s="13">
        <f>IF(C3381=Options!$B$9,Options!$C$23,0)</f>
        <v/>
      </c>
      <c r="F3381" s="13">
        <f>IF(AND(A3381&lt;&gt;"",C3381&lt;Options!$B$10),B3381*Options!$X$9,0)</f>
        <v/>
      </c>
      <c r="G3381" s="13">
        <f>F3381*12%</f>
        <v/>
      </c>
      <c r="H3381" s="13">
        <f>IF(A3381="",0,B3381*(92*IF(OR(C3381=Options!$B$9,C3381=Options!$B$10),75%,100%)-IF(C3381=DATE(2026,11,29),26+IF(Options!$B$8="是",23,0),0)-IF(C3381=DATE(2026,11,30),26,0)-IF(C3381=DATE(2026,12,1),64,0)-IF(C3381=DATE(2026,11,28),38,0)-IF(C3381=DATE(2026,12,2),26,0)))</f>
        <v/>
      </c>
      <c r="I3381" s="13">
        <f>IF(AND(C3381&gt;=DATE(2026,11,29),C3381&lt;=DATE(2026,12,1)),B3381*60,0)</f>
        <v/>
      </c>
      <c r="J3381" s="13">
        <f>IF(A3381="",0,B3381*(IF(C3381=DATE(2026,11,28),38,0)+IF(C3381=DATE(2026,12,1),38,0)+IF(C3381=DATE(2026,12,2),26,0)))</f>
        <v/>
      </c>
      <c r="K3381" s="13">
        <f>IF(C3381=Options!$B$9,B3381*12,0)</f>
        <v/>
      </c>
      <c r="L3381" s="13">
        <f>IF(C3381=Options!$B$9,B3381*Options!$Z$9,0)</f>
        <v/>
      </c>
      <c r="M3381" s="13" t="n">
        <v>0</v>
      </c>
      <c r="N3381" s="13">
        <f>SUM(E3381:M3381)</f>
        <v/>
      </c>
    </row>
    <row r="3382">
      <c r="A3382" s="5">
        <f>IF(AND(C3382&gt;=Options!$B$9,C3382&lt;=Options!$B$10),"Seattle","")</f>
        <v/>
      </c>
      <c r="B3382" s="5">
        <f>IF(A3382="","",24)</f>
        <v/>
      </c>
      <c r="C3382" s="17" t="n">
        <v>46388</v>
      </c>
      <c r="D3382" s="5">
        <f>IF(A3382="","",IF(C3382=DATE(2026,11,29),"培训；注册午餐；早餐参数",IF(C3382=DATE(2026,11,30),"培训；注册午餐",IF(C3382=DATE(2026,12,1),"培训；注册午餐；机构晚餐",IF(C3382=Options!$B$9,"抵达；"&amp;IF(C3382=DATE(2026,11,28),"机构晚餐","无统一供餐"),IF(C3382=Options!$B$10,"返程；"&amp;IF(C3382=DATE(2026,12,2),"机构午餐","无统一供餐"),"差旅状态；无统一日程"))))))</f>
        <v/>
      </c>
      <c r="E3382" s="13">
        <f>IF(C3382=Options!$B$9,Options!$C$23,0)</f>
        <v/>
      </c>
      <c r="F3382" s="13">
        <f>IF(AND(A3382&lt;&gt;"",C3382&lt;Options!$B$10),B3382*Options!$X$9,0)</f>
        <v/>
      </c>
      <c r="G3382" s="13">
        <f>F3382*12%</f>
        <v/>
      </c>
      <c r="H3382" s="13">
        <f>IF(A3382="",0,B3382*(92*IF(OR(C3382=Options!$B$9,C3382=Options!$B$10),75%,100%)-IF(C3382=DATE(2026,11,29),26+IF(Options!$B$8="是",23,0),0)-IF(C3382=DATE(2026,11,30),26,0)-IF(C3382=DATE(2026,12,1),64,0)-IF(C3382=DATE(2026,11,28),38,0)-IF(C3382=DATE(2026,12,2),26,0)))</f>
        <v/>
      </c>
      <c r="I3382" s="13">
        <f>IF(AND(C3382&gt;=DATE(2026,11,29),C3382&lt;=DATE(2026,12,1)),B3382*60,0)</f>
        <v/>
      </c>
      <c r="J3382" s="13">
        <f>IF(A3382="",0,B3382*(IF(C3382=DATE(2026,11,28),38,0)+IF(C3382=DATE(2026,12,1),38,0)+IF(C3382=DATE(2026,12,2),26,0)))</f>
        <v/>
      </c>
      <c r="K3382" s="13">
        <f>IF(C3382=Options!$B$9,B3382*12,0)</f>
        <v/>
      </c>
      <c r="L3382" s="13">
        <f>IF(C3382=Options!$B$9,B3382*Options!$Z$9,0)</f>
        <v/>
      </c>
      <c r="M3382" s="13" t="n">
        <v>0</v>
      </c>
      <c r="N3382" s="13">
        <f>SUM(E3382:M3382)</f>
        <v/>
      </c>
    </row>
    <row r="3383">
      <c r="A3383" s="5">
        <f>IF(AND(C3383&gt;=Options!$B$9,C3383&lt;=Options!$B$10),"Seattle","")</f>
        <v/>
      </c>
      <c r="B3383" s="5">
        <f>IF(A3383="","",24)</f>
        <v/>
      </c>
      <c r="C3383" s="17" t="n">
        <v>46389</v>
      </c>
      <c r="D3383" s="5">
        <f>IF(A3383="","",IF(C3383=DATE(2026,11,29),"培训；注册午餐；早餐参数",IF(C3383=DATE(2026,11,30),"培训；注册午餐",IF(C3383=DATE(2026,12,1),"培训；注册午餐；机构晚餐",IF(C3383=Options!$B$9,"抵达；"&amp;IF(C3383=DATE(2026,11,28),"机构晚餐","无统一供餐"),IF(C3383=Options!$B$10,"返程；"&amp;IF(C3383=DATE(2026,12,2),"机构午餐","无统一供餐"),"差旅状态；无统一日程"))))))</f>
        <v/>
      </c>
      <c r="E3383" s="13">
        <f>IF(C3383=Options!$B$9,Options!$C$23,0)</f>
        <v/>
      </c>
      <c r="F3383" s="13">
        <f>IF(AND(A3383&lt;&gt;"",C3383&lt;Options!$B$10),B3383*Options!$X$9,0)</f>
        <v/>
      </c>
      <c r="G3383" s="13">
        <f>F3383*12%</f>
        <v/>
      </c>
      <c r="H3383" s="13">
        <f>IF(A3383="",0,B3383*(92*IF(OR(C3383=Options!$B$9,C3383=Options!$B$10),75%,100%)-IF(C3383=DATE(2026,11,29),26+IF(Options!$B$8="是",23,0),0)-IF(C3383=DATE(2026,11,30),26,0)-IF(C3383=DATE(2026,12,1),64,0)-IF(C3383=DATE(2026,11,28),38,0)-IF(C3383=DATE(2026,12,2),26,0)))</f>
        <v/>
      </c>
      <c r="I3383" s="13">
        <f>IF(AND(C3383&gt;=DATE(2026,11,29),C3383&lt;=DATE(2026,12,1)),B3383*60,0)</f>
        <v/>
      </c>
      <c r="J3383" s="13">
        <f>IF(A3383="",0,B3383*(IF(C3383=DATE(2026,11,28),38,0)+IF(C3383=DATE(2026,12,1),38,0)+IF(C3383=DATE(2026,12,2),26,0)))</f>
        <v/>
      </c>
      <c r="K3383" s="13">
        <f>IF(C3383=Options!$B$9,B3383*12,0)</f>
        <v/>
      </c>
      <c r="L3383" s="13">
        <f>IF(C3383=Options!$B$9,B3383*Options!$Z$9,0)</f>
        <v/>
      </c>
      <c r="M3383" s="13" t="n">
        <v>0</v>
      </c>
      <c r="N3383" s="13">
        <f>SUM(E3383:M3383)</f>
        <v/>
      </c>
    </row>
    <row r="3384">
      <c r="A3384" s="5">
        <f>IF(AND(C3384&gt;=Options!$B$9,C3384&lt;=Options!$B$10),"Seattle","")</f>
        <v/>
      </c>
      <c r="B3384" s="5">
        <f>IF(A3384="","",24)</f>
        <v/>
      </c>
      <c r="C3384" s="17" t="n">
        <v>46390</v>
      </c>
      <c r="D3384" s="5">
        <f>IF(A3384="","",IF(C3384=DATE(2026,11,29),"培训；注册午餐；早餐参数",IF(C3384=DATE(2026,11,30),"培训；注册午餐",IF(C3384=DATE(2026,12,1),"培训；注册午餐；机构晚餐",IF(C3384=Options!$B$9,"抵达；"&amp;IF(C3384=DATE(2026,11,28),"机构晚餐","无统一供餐"),IF(C3384=Options!$B$10,"返程；"&amp;IF(C3384=DATE(2026,12,2),"机构午餐","无统一供餐"),"差旅状态；无统一日程"))))))</f>
        <v/>
      </c>
      <c r="E3384" s="13">
        <f>IF(C3384=Options!$B$9,Options!$C$23,0)</f>
        <v/>
      </c>
      <c r="F3384" s="13">
        <f>IF(AND(A3384&lt;&gt;"",C3384&lt;Options!$B$10),B3384*Options!$X$9,0)</f>
        <v/>
      </c>
      <c r="G3384" s="13">
        <f>F3384*12%</f>
        <v/>
      </c>
      <c r="H3384" s="13">
        <f>IF(A3384="",0,B3384*(92*IF(OR(C3384=Options!$B$9,C3384=Options!$B$10),75%,100%)-IF(C3384=DATE(2026,11,29),26+IF(Options!$B$8="是",23,0),0)-IF(C3384=DATE(2026,11,30),26,0)-IF(C3384=DATE(2026,12,1),64,0)-IF(C3384=DATE(2026,11,28),38,0)-IF(C3384=DATE(2026,12,2),26,0)))</f>
        <v/>
      </c>
      <c r="I3384" s="13">
        <f>IF(AND(C3384&gt;=DATE(2026,11,29),C3384&lt;=DATE(2026,12,1)),B3384*60,0)</f>
        <v/>
      </c>
      <c r="J3384" s="13">
        <f>IF(A3384="",0,B3384*(IF(C3384=DATE(2026,11,28),38,0)+IF(C3384=DATE(2026,12,1),38,0)+IF(C3384=DATE(2026,12,2),26,0)))</f>
        <v/>
      </c>
      <c r="K3384" s="13">
        <f>IF(C3384=Options!$B$9,B3384*12,0)</f>
        <v/>
      </c>
      <c r="L3384" s="13">
        <f>IF(C3384=Options!$B$9,B3384*Options!$Z$9,0)</f>
        <v/>
      </c>
      <c r="M3384" s="13" t="n">
        <v>0</v>
      </c>
      <c r="N3384" s="13">
        <f>SUM(E3384:M3384)</f>
        <v/>
      </c>
    </row>
    <row r="3385">
      <c r="A3385" s="5">
        <f>IF(AND(C3385&gt;=Options!$B$9,C3385&lt;=Options!$B$10),"Seattle","")</f>
        <v/>
      </c>
      <c r="B3385" s="5">
        <f>IF(A3385="","",24)</f>
        <v/>
      </c>
      <c r="C3385" s="17" t="n">
        <v>46391</v>
      </c>
      <c r="D3385" s="5">
        <f>IF(A3385="","",IF(C3385=DATE(2026,11,29),"培训；注册午餐；早餐参数",IF(C3385=DATE(2026,11,30),"培训；注册午餐",IF(C3385=DATE(2026,12,1),"培训；注册午餐；机构晚餐",IF(C3385=Options!$B$9,"抵达；"&amp;IF(C3385=DATE(2026,11,28),"机构晚餐","无统一供餐"),IF(C3385=Options!$B$10,"返程；"&amp;IF(C3385=DATE(2026,12,2),"机构午餐","无统一供餐"),"差旅状态；无统一日程"))))))</f>
        <v/>
      </c>
      <c r="E3385" s="13">
        <f>IF(C3385=Options!$B$9,Options!$C$23,0)</f>
        <v/>
      </c>
      <c r="F3385" s="13">
        <f>IF(AND(A3385&lt;&gt;"",C3385&lt;Options!$B$10),B3385*Options!$X$9,0)</f>
        <v/>
      </c>
      <c r="G3385" s="13">
        <f>F3385*12%</f>
        <v/>
      </c>
      <c r="H3385" s="13">
        <f>IF(A3385="",0,B3385*(92*IF(OR(C3385=Options!$B$9,C3385=Options!$B$10),75%,100%)-IF(C3385=DATE(2026,11,29),26+IF(Options!$B$8="是",23,0),0)-IF(C3385=DATE(2026,11,30),26,0)-IF(C3385=DATE(2026,12,1),64,0)-IF(C3385=DATE(2026,11,28),38,0)-IF(C3385=DATE(2026,12,2),26,0)))</f>
        <v/>
      </c>
      <c r="I3385" s="13">
        <f>IF(AND(C3385&gt;=DATE(2026,11,29),C3385&lt;=DATE(2026,12,1)),B3385*60,0)</f>
        <v/>
      </c>
      <c r="J3385" s="13">
        <f>IF(A3385="",0,B3385*(IF(C3385=DATE(2026,11,28),38,0)+IF(C3385=DATE(2026,12,1),38,0)+IF(C3385=DATE(2026,12,2),26,0)))</f>
        <v/>
      </c>
      <c r="K3385" s="13">
        <f>IF(C3385=Options!$B$9,B3385*12,0)</f>
        <v/>
      </c>
      <c r="L3385" s="13">
        <f>IF(C3385=Options!$B$9,B3385*Options!$Z$9,0)</f>
        <v/>
      </c>
      <c r="M3385" s="13" t="n">
        <v>0</v>
      </c>
      <c r="N3385" s="13">
        <f>SUM(E3385:M3385)</f>
        <v/>
      </c>
    </row>
    <row r="3386">
      <c r="A3386" s="5">
        <f>IF(AND(C3386&gt;=Options!$B$9,C3386&lt;=Options!$B$10),"Seattle","")</f>
        <v/>
      </c>
      <c r="B3386" s="5">
        <f>IF(A3386="","",24)</f>
        <v/>
      </c>
      <c r="C3386" s="17" t="n">
        <v>46392</v>
      </c>
      <c r="D3386" s="5">
        <f>IF(A3386="","",IF(C3386=DATE(2026,11,29),"培训；注册午餐；早餐参数",IF(C3386=DATE(2026,11,30),"培训；注册午餐",IF(C3386=DATE(2026,12,1),"培训；注册午餐；机构晚餐",IF(C3386=Options!$B$9,"抵达；"&amp;IF(C3386=DATE(2026,11,28),"机构晚餐","无统一供餐"),IF(C3386=Options!$B$10,"返程；"&amp;IF(C3386=DATE(2026,12,2),"机构午餐","无统一供餐"),"差旅状态；无统一日程"))))))</f>
        <v/>
      </c>
      <c r="E3386" s="13">
        <f>IF(C3386=Options!$B$9,Options!$C$23,0)</f>
        <v/>
      </c>
      <c r="F3386" s="13">
        <f>IF(AND(A3386&lt;&gt;"",C3386&lt;Options!$B$10),B3386*Options!$X$9,0)</f>
        <v/>
      </c>
      <c r="G3386" s="13">
        <f>F3386*12%</f>
        <v/>
      </c>
      <c r="H3386" s="13">
        <f>IF(A3386="",0,B3386*(92*IF(OR(C3386=Options!$B$9,C3386=Options!$B$10),75%,100%)-IF(C3386=DATE(2026,11,29),26+IF(Options!$B$8="是",23,0),0)-IF(C3386=DATE(2026,11,30),26,0)-IF(C3386=DATE(2026,12,1),64,0)-IF(C3386=DATE(2026,11,28),38,0)-IF(C3386=DATE(2026,12,2),26,0)))</f>
        <v/>
      </c>
      <c r="I3386" s="13">
        <f>IF(AND(C3386&gt;=DATE(2026,11,29),C3386&lt;=DATE(2026,12,1)),B3386*60,0)</f>
        <v/>
      </c>
      <c r="J3386" s="13">
        <f>IF(A3386="",0,B3386*(IF(C3386=DATE(2026,11,28),38,0)+IF(C3386=DATE(2026,12,1),38,0)+IF(C3386=DATE(2026,12,2),26,0)))</f>
        <v/>
      </c>
      <c r="K3386" s="13">
        <f>IF(C3386=Options!$B$9,B3386*12,0)</f>
        <v/>
      </c>
      <c r="L3386" s="13">
        <f>IF(C3386=Options!$B$9,B3386*Options!$Z$9,0)</f>
        <v/>
      </c>
      <c r="M3386" s="13" t="n">
        <v>0</v>
      </c>
      <c r="N3386" s="13">
        <f>SUM(E3386:M3386)</f>
        <v/>
      </c>
    </row>
    <row r="3387">
      <c r="A3387" s="5">
        <f>IF(AND(C3387&gt;=Options!$B$9,C3387&lt;=Options!$B$10),"Seattle","")</f>
        <v/>
      </c>
      <c r="B3387" s="5">
        <f>IF(A3387="","",24)</f>
        <v/>
      </c>
      <c r="C3387" s="17" t="n">
        <v>46393</v>
      </c>
      <c r="D3387" s="5">
        <f>IF(A3387="","",IF(C3387=DATE(2026,11,29),"培训；注册午餐；早餐参数",IF(C3387=DATE(2026,11,30),"培训；注册午餐",IF(C3387=DATE(2026,12,1),"培训；注册午餐；机构晚餐",IF(C3387=Options!$B$9,"抵达；"&amp;IF(C3387=DATE(2026,11,28),"机构晚餐","无统一供餐"),IF(C3387=Options!$B$10,"返程；"&amp;IF(C3387=DATE(2026,12,2),"机构午餐","无统一供餐"),"差旅状态；无统一日程"))))))</f>
        <v/>
      </c>
      <c r="E3387" s="13">
        <f>IF(C3387=Options!$B$9,Options!$C$23,0)</f>
        <v/>
      </c>
      <c r="F3387" s="13">
        <f>IF(AND(A3387&lt;&gt;"",C3387&lt;Options!$B$10),B3387*Options!$X$9,0)</f>
        <v/>
      </c>
      <c r="G3387" s="13">
        <f>F3387*12%</f>
        <v/>
      </c>
      <c r="H3387" s="13">
        <f>IF(A3387="",0,B3387*(92*IF(OR(C3387=Options!$B$9,C3387=Options!$B$10),75%,100%)-IF(C3387=DATE(2026,11,29),26+IF(Options!$B$8="是",23,0),0)-IF(C3387=DATE(2026,11,30),26,0)-IF(C3387=DATE(2026,12,1),64,0)-IF(C3387=DATE(2026,11,28),38,0)-IF(C3387=DATE(2026,12,2),26,0)))</f>
        <v/>
      </c>
      <c r="I3387" s="13">
        <f>IF(AND(C3387&gt;=DATE(2026,11,29),C3387&lt;=DATE(2026,12,1)),B3387*60,0)</f>
        <v/>
      </c>
      <c r="J3387" s="13">
        <f>IF(A3387="",0,B3387*(IF(C3387=DATE(2026,11,28),38,0)+IF(C3387=DATE(2026,12,1),38,0)+IF(C3387=DATE(2026,12,2),26,0)))</f>
        <v/>
      </c>
      <c r="K3387" s="13">
        <f>IF(C3387=Options!$B$9,B3387*12,0)</f>
        <v/>
      </c>
      <c r="L3387" s="13">
        <f>IF(C3387=Options!$B$9,B3387*Options!$Z$9,0)</f>
        <v/>
      </c>
      <c r="M3387" s="13" t="n">
        <v>0</v>
      </c>
      <c r="N3387" s="13">
        <f>SUM(E3387:M3387)</f>
        <v/>
      </c>
    </row>
    <row r="3388">
      <c r="A3388" s="5">
        <f>IF(AND(C3388&gt;=Options!$B$9,C3388&lt;=Options!$B$10),"Seattle","")</f>
        <v/>
      </c>
      <c r="B3388" s="5">
        <f>IF(A3388="","",24)</f>
        <v/>
      </c>
      <c r="C3388" s="17" t="n">
        <v>46394</v>
      </c>
      <c r="D3388" s="5">
        <f>IF(A3388="","",IF(C3388=DATE(2026,11,29),"培训；注册午餐；早餐参数",IF(C3388=DATE(2026,11,30),"培训；注册午餐",IF(C3388=DATE(2026,12,1),"培训；注册午餐；机构晚餐",IF(C3388=Options!$B$9,"抵达；"&amp;IF(C3388=DATE(2026,11,28),"机构晚餐","无统一供餐"),IF(C3388=Options!$B$10,"返程；"&amp;IF(C3388=DATE(2026,12,2),"机构午餐","无统一供餐"),"差旅状态；无统一日程"))))))</f>
        <v/>
      </c>
      <c r="E3388" s="13">
        <f>IF(C3388=Options!$B$9,Options!$C$23,0)</f>
        <v/>
      </c>
      <c r="F3388" s="13">
        <f>IF(AND(A3388&lt;&gt;"",C3388&lt;Options!$B$10),B3388*Options!$X$9,0)</f>
        <v/>
      </c>
      <c r="G3388" s="13">
        <f>F3388*12%</f>
        <v/>
      </c>
      <c r="H3388" s="13">
        <f>IF(A3388="",0,B3388*(92*IF(OR(C3388=Options!$B$9,C3388=Options!$B$10),75%,100%)-IF(C3388=DATE(2026,11,29),26+IF(Options!$B$8="是",23,0),0)-IF(C3388=DATE(2026,11,30),26,0)-IF(C3388=DATE(2026,12,1),64,0)-IF(C3388=DATE(2026,11,28),38,0)-IF(C3388=DATE(2026,12,2),26,0)))</f>
        <v/>
      </c>
      <c r="I3388" s="13">
        <f>IF(AND(C3388&gt;=DATE(2026,11,29),C3388&lt;=DATE(2026,12,1)),B3388*60,0)</f>
        <v/>
      </c>
      <c r="J3388" s="13">
        <f>IF(A3388="",0,B3388*(IF(C3388=DATE(2026,11,28),38,0)+IF(C3388=DATE(2026,12,1),38,0)+IF(C3388=DATE(2026,12,2),26,0)))</f>
        <v/>
      </c>
      <c r="K3388" s="13">
        <f>IF(C3388=Options!$B$9,B3388*12,0)</f>
        <v/>
      </c>
      <c r="L3388" s="13">
        <f>IF(C3388=Options!$B$9,B3388*Options!$Z$9,0)</f>
        <v/>
      </c>
      <c r="M3388" s="13" t="n">
        <v>0</v>
      </c>
      <c r="N3388" s="13">
        <f>SUM(E3388:M3388)</f>
        <v/>
      </c>
    </row>
    <row r="3389">
      <c r="A3389" s="5">
        <f>IF(AND(C3389&gt;=Options!$B$9,C3389&lt;=Options!$B$10),"Seattle","")</f>
        <v/>
      </c>
      <c r="B3389" s="5">
        <f>IF(A3389="","",24)</f>
        <v/>
      </c>
      <c r="C3389" s="17" t="n">
        <v>46395</v>
      </c>
      <c r="D3389" s="5">
        <f>IF(A3389="","",IF(C3389=DATE(2026,11,29),"培训；注册午餐；早餐参数",IF(C3389=DATE(2026,11,30),"培训；注册午餐",IF(C3389=DATE(2026,12,1),"培训；注册午餐；机构晚餐",IF(C3389=Options!$B$9,"抵达；"&amp;IF(C3389=DATE(2026,11,28),"机构晚餐","无统一供餐"),IF(C3389=Options!$B$10,"返程；"&amp;IF(C3389=DATE(2026,12,2),"机构午餐","无统一供餐"),"差旅状态；无统一日程"))))))</f>
        <v/>
      </c>
      <c r="E3389" s="13">
        <f>IF(C3389=Options!$B$9,Options!$C$23,0)</f>
        <v/>
      </c>
      <c r="F3389" s="13">
        <f>IF(AND(A3389&lt;&gt;"",C3389&lt;Options!$B$10),B3389*Options!$X$9,0)</f>
        <v/>
      </c>
      <c r="G3389" s="13">
        <f>F3389*12%</f>
        <v/>
      </c>
      <c r="H3389" s="13">
        <f>IF(A3389="",0,B3389*(92*IF(OR(C3389=Options!$B$9,C3389=Options!$B$10),75%,100%)-IF(C3389=DATE(2026,11,29),26+IF(Options!$B$8="是",23,0),0)-IF(C3389=DATE(2026,11,30),26,0)-IF(C3389=DATE(2026,12,1),64,0)-IF(C3389=DATE(2026,11,28),38,0)-IF(C3389=DATE(2026,12,2),26,0)))</f>
        <v/>
      </c>
      <c r="I3389" s="13">
        <f>IF(AND(C3389&gt;=DATE(2026,11,29),C3389&lt;=DATE(2026,12,1)),B3389*60,0)</f>
        <v/>
      </c>
      <c r="J3389" s="13">
        <f>IF(A3389="",0,B3389*(IF(C3389=DATE(2026,11,28),38,0)+IF(C3389=DATE(2026,12,1),38,0)+IF(C3389=DATE(2026,12,2),26,0)))</f>
        <v/>
      </c>
      <c r="K3389" s="13">
        <f>IF(C3389=Options!$B$9,B3389*12,0)</f>
        <v/>
      </c>
      <c r="L3389" s="13">
        <f>IF(C3389=Options!$B$9,B3389*Options!$Z$9,0)</f>
        <v/>
      </c>
      <c r="M3389" s="13" t="n">
        <v>0</v>
      </c>
      <c r="N3389" s="13">
        <f>SUM(E3389:M3389)</f>
        <v/>
      </c>
    </row>
    <row r="3390">
      <c r="A3390" s="5">
        <f>IF(AND(C3390&gt;=Options!$B$9,C3390&lt;=Options!$B$10),"Seattle","")</f>
        <v/>
      </c>
      <c r="B3390" s="5">
        <f>IF(A3390="","",24)</f>
        <v/>
      </c>
      <c r="C3390" s="17" t="n">
        <v>46396</v>
      </c>
      <c r="D3390" s="5">
        <f>IF(A3390="","",IF(C3390=DATE(2026,11,29),"培训；注册午餐；早餐参数",IF(C3390=DATE(2026,11,30),"培训；注册午餐",IF(C3390=DATE(2026,12,1),"培训；注册午餐；机构晚餐",IF(C3390=Options!$B$9,"抵达；"&amp;IF(C3390=DATE(2026,11,28),"机构晚餐","无统一供餐"),IF(C3390=Options!$B$10,"返程；"&amp;IF(C3390=DATE(2026,12,2),"机构午餐","无统一供餐"),"差旅状态；无统一日程"))))))</f>
        <v/>
      </c>
      <c r="E3390" s="13">
        <f>IF(C3390=Options!$B$9,Options!$C$23,0)</f>
        <v/>
      </c>
      <c r="F3390" s="13">
        <f>IF(AND(A3390&lt;&gt;"",C3390&lt;Options!$B$10),B3390*Options!$X$9,0)</f>
        <v/>
      </c>
      <c r="G3390" s="13">
        <f>F3390*12%</f>
        <v/>
      </c>
      <c r="H3390" s="13">
        <f>IF(A3390="",0,B3390*(92*IF(OR(C3390=Options!$B$9,C3390=Options!$B$10),75%,100%)-IF(C3390=DATE(2026,11,29),26+IF(Options!$B$8="是",23,0),0)-IF(C3390=DATE(2026,11,30),26,0)-IF(C3390=DATE(2026,12,1),64,0)-IF(C3390=DATE(2026,11,28),38,0)-IF(C3390=DATE(2026,12,2),26,0)))</f>
        <v/>
      </c>
      <c r="I3390" s="13">
        <f>IF(AND(C3390&gt;=DATE(2026,11,29),C3390&lt;=DATE(2026,12,1)),B3390*60,0)</f>
        <v/>
      </c>
      <c r="J3390" s="13">
        <f>IF(A3390="",0,B3390*(IF(C3390=DATE(2026,11,28),38,0)+IF(C3390=DATE(2026,12,1),38,0)+IF(C3390=DATE(2026,12,2),26,0)))</f>
        <v/>
      </c>
      <c r="K3390" s="13">
        <f>IF(C3390=Options!$B$9,B3390*12,0)</f>
        <v/>
      </c>
      <c r="L3390" s="13">
        <f>IF(C3390=Options!$B$9,B3390*Options!$Z$9,0)</f>
        <v/>
      </c>
      <c r="M3390" s="13" t="n">
        <v>0</v>
      </c>
      <c r="N3390" s="13">
        <f>SUM(E3390:M3390)</f>
        <v/>
      </c>
    </row>
    <row r="3391">
      <c r="A3391" s="5">
        <f>IF(AND(C3391&gt;=Options!$B$9,C3391&lt;=Options!$B$10),"Seattle","")</f>
        <v/>
      </c>
      <c r="B3391" s="5">
        <f>IF(A3391="","",24)</f>
        <v/>
      </c>
      <c r="C3391" s="17" t="n">
        <v>46397</v>
      </c>
      <c r="D3391" s="5">
        <f>IF(A3391="","",IF(C3391=DATE(2026,11,29),"培训；注册午餐；早餐参数",IF(C3391=DATE(2026,11,30),"培训；注册午餐",IF(C3391=DATE(2026,12,1),"培训；注册午餐；机构晚餐",IF(C3391=Options!$B$9,"抵达；"&amp;IF(C3391=DATE(2026,11,28),"机构晚餐","无统一供餐"),IF(C3391=Options!$B$10,"返程；"&amp;IF(C3391=DATE(2026,12,2),"机构午餐","无统一供餐"),"差旅状态；无统一日程"))))))</f>
        <v/>
      </c>
      <c r="E3391" s="13">
        <f>IF(C3391=Options!$B$9,Options!$C$23,0)</f>
        <v/>
      </c>
      <c r="F3391" s="13">
        <f>IF(AND(A3391&lt;&gt;"",C3391&lt;Options!$B$10),B3391*Options!$X$9,0)</f>
        <v/>
      </c>
      <c r="G3391" s="13">
        <f>F3391*12%</f>
        <v/>
      </c>
      <c r="H3391" s="13">
        <f>IF(A3391="",0,B3391*(92*IF(OR(C3391=Options!$B$9,C3391=Options!$B$10),75%,100%)-IF(C3391=DATE(2026,11,29),26+IF(Options!$B$8="是",23,0),0)-IF(C3391=DATE(2026,11,30),26,0)-IF(C3391=DATE(2026,12,1),64,0)-IF(C3391=DATE(2026,11,28),38,0)-IF(C3391=DATE(2026,12,2),26,0)))</f>
        <v/>
      </c>
      <c r="I3391" s="13">
        <f>IF(AND(C3391&gt;=DATE(2026,11,29),C3391&lt;=DATE(2026,12,1)),B3391*60,0)</f>
        <v/>
      </c>
      <c r="J3391" s="13">
        <f>IF(A3391="",0,B3391*(IF(C3391=DATE(2026,11,28),38,0)+IF(C3391=DATE(2026,12,1),38,0)+IF(C3391=DATE(2026,12,2),26,0)))</f>
        <v/>
      </c>
      <c r="K3391" s="13">
        <f>IF(C3391=Options!$B$9,B3391*12,0)</f>
        <v/>
      </c>
      <c r="L3391" s="13">
        <f>IF(C3391=Options!$B$9,B3391*Options!$Z$9,0)</f>
        <v/>
      </c>
      <c r="M3391" s="13" t="n">
        <v>0</v>
      </c>
      <c r="N3391" s="13">
        <f>SUM(E3391:M3391)</f>
        <v/>
      </c>
    </row>
    <row r="3392">
      <c r="A3392" s="5">
        <f>IF(AND(C3392&gt;=Options!$B$9,C3392&lt;=Options!$B$10),"Seattle","")</f>
        <v/>
      </c>
      <c r="B3392" s="5">
        <f>IF(A3392="","",24)</f>
        <v/>
      </c>
      <c r="C3392" s="17" t="n">
        <v>46398</v>
      </c>
      <c r="D3392" s="5">
        <f>IF(A3392="","",IF(C3392=DATE(2026,11,29),"培训；注册午餐；早餐参数",IF(C3392=DATE(2026,11,30),"培训；注册午餐",IF(C3392=DATE(2026,12,1),"培训；注册午餐；机构晚餐",IF(C3392=Options!$B$9,"抵达；"&amp;IF(C3392=DATE(2026,11,28),"机构晚餐","无统一供餐"),IF(C3392=Options!$B$10,"返程；"&amp;IF(C3392=DATE(2026,12,2),"机构午餐","无统一供餐"),"差旅状态；无统一日程"))))))</f>
        <v/>
      </c>
      <c r="E3392" s="13">
        <f>IF(C3392=Options!$B$9,Options!$C$23,0)</f>
        <v/>
      </c>
      <c r="F3392" s="13">
        <f>IF(AND(A3392&lt;&gt;"",C3392&lt;Options!$B$10),B3392*Options!$X$9,0)</f>
        <v/>
      </c>
      <c r="G3392" s="13">
        <f>F3392*12%</f>
        <v/>
      </c>
      <c r="H3392" s="13">
        <f>IF(A3392="",0,B3392*(92*IF(OR(C3392=Options!$B$9,C3392=Options!$B$10),75%,100%)-IF(C3392=DATE(2026,11,29),26+IF(Options!$B$8="是",23,0),0)-IF(C3392=DATE(2026,11,30),26,0)-IF(C3392=DATE(2026,12,1),64,0)-IF(C3392=DATE(2026,11,28),38,0)-IF(C3392=DATE(2026,12,2),26,0)))</f>
        <v/>
      </c>
      <c r="I3392" s="13">
        <f>IF(AND(C3392&gt;=DATE(2026,11,29),C3392&lt;=DATE(2026,12,1)),B3392*60,0)</f>
        <v/>
      </c>
      <c r="J3392" s="13">
        <f>IF(A3392="",0,B3392*(IF(C3392=DATE(2026,11,28),38,0)+IF(C3392=DATE(2026,12,1),38,0)+IF(C3392=DATE(2026,12,2),26,0)))</f>
        <v/>
      </c>
      <c r="K3392" s="13">
        <f>IF(C3392=Options!$B$9,B3392*12,0)</f>
        <v/>
      </c>
      <c r="L3392" s="13">
        <f>IF(C3392=Options!$B$9,B3392*Options!$Z$9,0)</f>
        <v/>
      </c>
      <c r="M3392" s="13" t="n">
        <v>0</v>
      </c>
      <c r="N3392" s="13">
        <f>SUM(E3392:M3392)</f>
        <v/>
      </c>
    </row>
    <row r="3393">
      <c r="A3393" s="5">
        <f>IF(AND(C3393&gt;=Options!$B$9,C3393&lt;=Options!$B$10),"Seattle","")</f>
        <v/>
      </c>
      <c r="B3393" s="5">
        <f>IF(A3393="","",24)</f>
        <v/>
      </c>
      <c r="C3393" s="17" t="n">
        <v>46399</v>
      </c>
      <c r="D3393" s="5">
        <f>IF(A3393="","",IF(C3393=DATE(2026,11,29),"培训；注册午餐；早餐参数",IF(C3393=DATE(2026,11,30),"培训；注册午餐",IF(C3393=DATE(2026,12,1),"培训；注册午餐；机构晚餐",IF(C3393=Options!$B$9,"抵达；"&amp;IF(C3393=DATE(2026,11,28),"机构晚餐","无统一供餐"),IF(C3393=Options!$B$10,"返程；"&amp;IF(C3393=DATE(2026,12,2),"机构午餐","无统一供餐"),"差旅状态；无统一日程"))))))</f>
        <v/>
      </c>
      <c r="E3393" s="13">
        <f>IF(C3393=Options!$B$9,Options!$C$23,0)</f>
        <v/>
      </c>
      <c r="F3393" s="13">
        <f>IF(AND(A3393&lt;&gt;"",C3393&lt;Options!$B$10),B3393*Options!$X$9,0)</f>
        <v/>
      </c>
      <c r="G3393" s="13">
        <f>F3393*12%</f>
        <v/>
      </c>
      <c r="H3393" s="13">
        <f>IF(A3393="",0,B3393*(92*IF(OR(C3393=Options!$B$9,C3393=Options!$B$10),75%,100%)-IF(C3393=DATE(2026,11,29),26+IF(Options!$B$8="是",23,0),0)-IF(C3393=DATE(2026,11,30),26,0)-IF(C3393=DATE(2026,12,1),64,0)-IF(C3393=DATE(2026,11,28),38,0)-IF(C3393=DATE(2026,12,2),26,0)))</f>
        <v/>
      </c>
      <c r="I3393" s="13">
        <f>IF(AND(C3393&gt;=DATE(2026,11,29),C3393&lt;=DATE(2026,12,1)),B3393*60,0)</f>
        <v/>
      </c>
      <c r="J3393" s="13">
        <f>IF(A3393="",0,B3393*(IF(C3393=DATE(2026,11,28),38,0)+IF(C3393=DATE(2026,12,1),38,0)+IF(C3393=DATE(2026,12,2),26,0)))</f>
        <v/>
      </c>
      <c r="K3393" s="13">
        <f>IF(C3393=Options!$B$9,B3393*12,0)</f>
        <v/>
      </c>
      <c r="L3393" s="13">
        <f>IF(C3393=Options!$B$9,B3393*Options!$Z$9,0)</f>
        <v/>
      </c>
      <c r="M3393" s="13" t="n">
        <v>0</v>
      </c>
      <c r="N3393" s="13">
        <f>SUM(E3393:M3393)</f>
        <v/>
      </c>
    </row>
    <row r="3394">
      <c r="A3394" s="5">
        <f>IF(AND(C3394&gt;=Options!$B$9,C3394&lt;=Options!$B$10),"Seattle","")</f>
        <v/>
      </c>
      <c r="B3394" s="5">
        <f>IF(A3394="","",24)</f>
        <v/>
      </c>
      <c r="C3394" s="17" t="n">
        <v>46400</v>
      </c>
      <c r="D3394" s="5">
        <f>IF(A3394="","",IF(C3394=DATE(2026,11,29),"培训；注册午餐；早餐参数",IF(C3394=DATE(2026,11,30),"培训；注册午餐",IF(C3394=DATE(2026,12,1),"培训；注册午餐；机构晚餐",IF(C3394=Options!$B$9,"抵达；"&amp;IF(C3394=DATE(2026,11,28),"机构晚餐","无统一供餐"),IF(C3394=Options!$B$10,"返程；"&amp;IF(C3394=DATE(2026,12,2),"机构午餐","无统一供餐"),"差旅状态；无统一日程"))))))</f>
        <v/>
      </c>
      <c r="E3394" s="13">
        <f>IF(C3394=Options!$B$9,Options!$C$23,0)</f>
        <v/>
      </c>
      <c r="F3394" s="13">
        <f>IF(AND(A3394&lt;&gt;"",C3394&lt;Options!$B$10),B3394*Options!$X$9,0)</f>
        <v/>
      </c>
      <c r="G3394" s="13">
        <f>F3394*12%</f>
        <v/>
      </c>
      <c r="H3394" s="13">
        <f>IF(A3394="",0,B3394*(92*IF(OR(C3394=Options!$B$9,C3394=Options!$B$10),75%,100%)-IF(C3394=DATE(2026,11,29),26+IF(Options!$B$8="是",23,0),0)-IF(C3394=DATE(2026,11,30),26,0)-IF(C3394=DATE(2026,12,1),64,0)-IF(C3394=DATE(2026,11,28),38,0)-IF(C3394=DATE(2026,12,2),26,0)))</f>
        <v/>
      </c>
      <c r="I3394" s="13">
        <f>IF(AND(C3394&gt;=DATE(2026,11,29),C3394&lt;=DATE(2026,12,1)),B3394*60,0)</f>
        <v/>
      </c>
      <c r="J3394" s="13">
        <f>IF(A3394="",0,B3394*(IF(C3394=DATE(2026,11,28),38,0)+IF(C3394=DATE(2026,12,1),38,0)+IF(C3394=DATE(2026,12,2),26,0)))</f>
        <v/>
      </c>
      <c r="K3394" s="13">
        <f>IF(C3394=Options!$B$9,B3394*12,0)</f>
        <v/>
      </c>
      <c r="L3394" s="13">
        <f>IF(C3394=Options!$B$9,B3394*Options!$Z$9,0)</f>
        <v/>
      </c>
      <c r="M3394" s="13" t="n">
        <v>0</v>
      </c>
      <c r="N3394" s="13">
        <f>SUM(E3394:M3394)</f>
        <v/>
      </c>
    </row>
    <row r="3395">
      <c r="A3395" s="5">
        <f>IF(AND(C3395&gt;=Options!$B$9,C3395&lt;=Options!$B$10),"Seattle","")</f>
        <v/>
      </c>
      <c r="B3395" s="5">
        <f>IF(A3395="","",24)</f>
        <v/>
      </c>
      <c r="C3395" s="17" t="n">
        <v>46401</v>
      </c>
      <c r="D3395" s="5">
        <f>IF(A3395="","",IF(C3395=DATE(2026,11,29),"培训；注册午餐；早餐参数",IF(C3395=DATE(2026,11,30),"培训；注册午餐",IF(C3395=DATE(2026,12,1),"培训；注册午餐；机构晚餐",IF(C3395=Options!$B$9,"抵达；"&amp;IF(C3395=DATE(2026,11,28),"机构晚餐","无统一供餐"),IF(C3395=Options!$B$10,"返程；"&amp;IF(C3395=DATE(2026,12,2),"机构午餐","无统一供餐"),"差旅状态；无统一日程"))))))</f>
        <v/>
      </c>
      <c r="E3395" s="13">
        <f>IF(C3395=Options!$B$9,Options!$C$23,0)</f>
        <v/>
      </c>
      <c r="F3395" s="13">
        <f>IF(AND(A3395&lt;&gt;"",C3395&lt;Options!$B$10),B3395*Options!$X$9,0)</f>
        <v/>
      </c>
      <c r="G3395" s="13">
        <f>F3395*12%</f>
        <v/>
      </c>
      <c r="H3395" s="13">
        <f>IF(A3395="",0,B3395*(92*IF(OR(C3395=Options!$B$9,C3395=Options!$B$10),75%,100%)-IF(C3395=DATE(2026,11,29),26+IF(Options!$B$8="是",23,0),0)-IF(C3395=DATE(2026,11,30),26,0)-IF(C3395=DATE(2026,12,1),64,0)-IF(C3395=DATE(2026,11,28),38,0)-IF(C3395=DATE(2026,12,2),26,0)))</f>
        <v/>
      </c>
      <c r="I3395" s="13">
        <f>IF(AND(C3395&gt;=DATE(2026,11,29),C3395&lt;=DATE(2026,12,1)),B3395*60,0)</f>
        <v/>
      </c>
      <c r="J3395" s="13">
        <f>IF(A3395="",0,B3395*(IF(C3395=DATE(2026,11,28),38,0)+IF(C3395=DATE(2026,12,1),38,0)+IF(C3395=DATE(2026,12,2),26,0)))</f>
        <v/>
      </c>
      <c r="K3395" s="13">
        <f>IF(C3395=Options!$B$9,B3395*12,0)</f>
        <v/>
      </c>
      <c r="L3395" s="13">
        <f>IF(C3395=Options!$B$9,B3395*Options!$Z$9,0)</f>
        <v/>
      </c>
      <c r="M3395" s="13" t="n">
        <v>0</v>
      </c>
      <c r="N3395" s="13">
        <f>SUM(E3395:M3395)</f>
        <v/>
      </c>
    </row>
    <row r="3396">
      <c r="A3396" s="5">
        <f>IF(AND(C3396&gt;=Options!$B$9,C3396&lt;=Options!$B$10),"Seattle","")</f>
        <v/>
      </c>
      <c r="B3396" s="5">
        <f>IF(A3396="","",24)</f>
        <v/>
      </c>
      <c r="C3396" s="17" t="n">
        <v>46402</v>
      </c>
      <c r="D3396" s="5">
        <f>IF(A3396="","",IF(C3396=DATE(2026,11,29),"培训；注册午餐；早餐参数",IF(C3396=DATE(2026,11,30),"培训；注册午餐",IF(C3396=DATE(2026,12,1),"培训；注册午餐；机构晚餐",IF(C3396=Options!$B$9,"抵达；"&amp;IF(C3396=DATE(2026,11,28),"机构晚餐","无统一供餐"),IF(C3396=Options!$B$10,"返程；"&amp;IF(C3396=DATE(2026,12,2),"机构午餐","无统一供餐"),"差旅状态；无统一日程"))))))</f>
        <v/>
      </c>
      <c r="E3396" s="13">
        <f>IF(C3396=Options!$B$9,Options!$C$23,0)</f>
        <v/>
      </c>
      <c r="F3396" s="13">
        <f>IF(AND(A3396&lt;&gt;"",C3396&lt;Options!$B$10),B3396*Options!$X$9,0)</f>
        <v/>
      </c>
      <c r="G3396" s="13">
        <f>F3396*12%</f>
        <v/>
      </c>
      <c r="H3396" s="13">
        <f>IF(A3396="",0,B3396*(92*IF(OR(C3396=Options!$B$9,C3396=Options!$B$10),75%,100%)-IF(C3396=DATE(2026,11,29),26+IF(Options!$B$8="是",23,0),0)-IF(C3396=DATE(2026,11,30),26,0)-IF(C3396=DATE(2026,12,1),64,0)-IF(C3396=DATE(2026,11,28),38,0)-IF(C3396=DATE(2026,12,2),26,0)))</f>
        <v/>
      </c>
      <c r="I3396" s="13">
        <f>IF(AND(C3396&gt;=DATE(2026,11,29),C3396&lt;=DATE(2026,12,1)),B3396*60,0)</f>
        <v/>
      </c>
      <c r="J3396" s="13">
        <f>IF(A3396="",0,B3396*(IF(C3396=DATE(2026,11,28),38,0)+IF(C3396=DATE(2026,12,1),38,0)+IF(C3396=DATE(2026,12,2),26,0)))</f>
        <v/>
      </c>
      <c r="K3396" s="13">
        <f>IF(C3396=Options!$B$9,B3396*12,0)</f>
        <v/>
      </c>
      <c r="L3396" s="13">
        <f>IF(C3396=Options!$B$9,B3396*Options!$Z$9,0)</f>
        <v/>
      </c>
      <c r="M3396" s="13" t="n">
        <v>0</v>
      </c>
      <c r="N3396" s="13">
        <f>SUM(E3396:M3396)</f>
        <v/>
      </c>
    </row>
    <row r="3397">
      <c r="A3397" s="5">
        <f>IF(AND(C3397&gt;=Options!$B$9,C3397&lt;=Options!$B$10),"Seattle","")</f>
        <v/>
      </c>
      <c r="B3397" s="5">
        <f>IF(A3397="","",24)</f>
        <v/>
      </c>
      <c r="C3397" s="17" t="n">
        <v>46403</v>
      </c>
      <c r="D3397" s="5">
        <f>IF(A3397="","",IF(C3397=DATE(2026,11,29),"培训；注册午餐；早餐参数",IF(C3397=DATE(2026,11,30),"培训；注册午餐",IF(C3397=DATE(2026,12,1),"培训；注册午餐；机构晚餐",IF(C3397=Options!$B$9,"抵达；"&amp;IF(C3397=DATE(2026,11,28),"机构晚餐","无统一供餐"),IF(C3397=Options!$B$10,"返程；"&amp;IF(C3397=DATE(2026,12,2),"机构午餐","无统一供餐"),"差旅状态；无统一日程"))))))</f>
        <v/>
      </c>
      <c r="E3397" s="13">
        <f>IF(C3397=Options!$B$9,Options!$C$23,0)</f>
        <v/>
      </c>
      <c r="F3397" s="13">
        <f>IF(AND(A3397&lt;&gt;"",C3397&lt;Options!$B$10),B3397*Options!$X$9,0)</f>
        <v/>
      </c>
      <c r="G3397" s="13">
        <f>F3397*12%</f>
        <v/>
      </c>
      <c r="H3397" s="13">
        <f>IF(A3397="",0,B3397*(92*IF(OR(C3397=Options!$B$9,C3397=Options!$B$10),75%,100%)-IF(C3397=DATE(2026,11,29),26+IF(Options!$B$8="是",23,0),0)-IF(C3397=DATE(2026,11,30),26,0)-IF(C3397=DATE(2026,12,1),64,0)-IF(C3397=DATE(2026,11,28),38,0)-IF(C3397=DATE(2026,12,2),26,0)))</f>
        <v/>
      </c>
      <c r="I3397" s="13">
        <f>IF(AND(C3397&gt;=DATE(2026,11,29),C3397&lt;=DATE(2026,12,1)),B3397*60,0)</f>
        <v/>
      </c>
      <c r="J3397" s="13">
        <f>IF(A3397="",0,B3397*(IF(C3397=DATE(2026,11,28),38,0)+IF(C3397=DATE(2026,12,1),38,0)+IF(C3397=DATE(2026,12,2),26,0)))</f>
        <v/>
      </c>
      <c r="K3397" s="13">
        <f>IF(C3397=Options!$B$9,B3397*12,0)</f>
        <v/>
      </c>
      <c r="L3397" s="13">
        <f>IF(C3397=Options!$B$9,B3397*Options!$Z$9,0)</f>
        <v/>
      </c>
      <c r="M3397" s="13" t="n">
        <v>0</v>
      </c>
      <c r="N3397" s="13">
        <f>SUM(E3397:M3397)</f>
        <v/>
      </c>
    </row>
    <row r="3398">
      <c r="A3398" s="5">
        <f>IF(AND(C3398&gt;=Options!$B$9,C3398&lt;=Options!$B$10),"Seattle","")</f>
        <v/>
      </c>
      <c r="B3398" s="5">
        <f>IF(A3398="","",24)</f>
        <v/>
      </c>
      <c r="C3398" s="17" t="n">
        <v>46404</v>
      </c>
      <c r="D3398" s="5">
        <f>IF(A3398="","",IF(C3398=DATE(2026,11,29),"培训；注册午餐；早餐参数",IF(C3398=DATE(2026,11,30),"培训；注册午餐",IF(C3398=DATE(2026,12,1),"培训；注册午餐；机构晚餐",IF(C3398=Options!$B$9,"抵达；"&amp;IF(C3398=DATE(2026,11,28),"机构晚餐","无统一供餐"),IF(C3398=Options!$B$10,"返程；"&amp;IF(C3398=DATE(2026,12,2),"机构午餐","无统一供餐"),"差旅状态；无统一日程"))))))</f>
        <v/>
      </c>
      <c r="E3398" s="13">
        <f>IF(C3398=Options!$B$9,Options!$C$23,0)</f>
        <v/>
      </c>
      <c r="F3398" s="13">
        <f>IF(AND(A3398&lt;&gt;"",C3398&lt;Options!$B$10),B3398*Options!$X$9,0)</f>
        <v/>
      </c>
      <c r="G3398" s="13">
        <f>F3398*12%</f>
        <v/>
      </c>
      <c r="H3398" s="13">
        <f>IF(A3398="",0,B3398*(92*IF(OR(C3398=Options!$B$9,C3398=Options!$B$10),75%,100%)-IF(C3398=DATE(2026,11,29),26+IF(Options!$B$8="是",23,0),0)-IF(C3398=DATE(2026,11,30),26,0)-IF(C3398=DATE(2026,12,1),64,0)-IF(C3398=DATE(2026,11,28),38,0)-IF(C3398=DATE(2026,12,2),26,0)))</f>
        <v/>
      </c>
      <c r="I3398" s="13">
        <f>IF(AND(C3398&gt;=DATE(2026,11,29),C3398&lt;=DATE(2026,12,1)),B3398*60,0)</f>
        <v/>
      </c>
      <c r="J3398" s="13">
        <f>IF(A3398="",0,B3398*(IF(C3398=DATE(2026,11,28),38,0)+IF(C3398=DATE(2026,12,1),38,0)+IF(C3398=DATE(2026,12,2),26,0)))</f>
        <v/>
      </c>
      <c r="K3398" s="13">
        <f>IF(C3398=Options!$B$9,B3398*12,0)</f>
        <v/>
      </c>
      <c r="L3398" s="13">
        <f>IF(C3398=Options!$B$9,B3398*Options!$Z$9,0)</f>
        <v/>
      </c>
      <c r="M3398" s="13" t="n">
        <v>0</v>
      </c>
      <c r="N3398" s="13">
        <f>SUM(E3398:M3398)</f>
        <v/>
      </c>
    </row>
    <row r="3399">
      <c r="A3399" s="5">
        <f>IF(AND(C3399&gt;=Options!$B$9,C3399&lt;=Options!$B$10),"Seattle","")</f>
        <v/>
      </c>
      <c r="B3399" s="5">
        <f>IF(A3399="","",24)</f>
        <v/>
      </c>
      <c r="C3399" s="17" t="n">
        <v>46405</v>
      </c>
      <c r="D3399" s="5">
        <f>IF(A3399="","",IF(C3399=DATE(2026,11,29),"培训；注册午餐；早餐参数",IF(C3399=DATE(2026,11,30),"培训；注册午餐",IF(C3399=DATE(2026,12,1),"培训；注册午餐；机构晚餐",IF(C3399=Options!$B$9,"抵达；"&amp;IF(C3399=DATE(2026,11,28),"机构晚餐","无统一供餐"),IF(C3399=Options!$B$10,"返程；"&amp;IF(C3399=DATE(2026,12,2),"机构午餐","无统一供餐"),"差旅状态；无统一日程"))))))</f>
        <v/>
      </c>
      <c r="E3399" s="13">
        <f>IF(C3399=Options!$B$9,Options!$C$23,0)</f>
        <v/>
      </c>
      <c r="F3399" s="13">
        <f>IF(AND(A3399&lt;&gt;"",C3399&lt;Options!$B$10),B3399*Options!$X$9,0)</f>
        <v/>
      </c>
      <c r="G3399" s="13">
        <f>F3399*12%</f>
        <v/>
      </c>
      <c r="H3399" s="13">
        <f>IF(A3399="",0,B3399*(92*IF(OR(C3399=Options!$B$9,C3399=Options!$B$10),75%,100%)-IF(C3399=DATE(2026,11,29),26+IF(Options!$B$8="是",23,0),0)-IF(C3399=DATE(2026,11,30),26,0)-IF(C3399=DATE(2026,12,1),64,0)-IF(C3399=DATE(2026,11,28),38,0)-IF(C3399=DATE(2026,12,2),26,0)))</f>
        <v/>
      </c>
      <c r="I3399" s="13">
        <f>IF(AND(C3399&gt;=DATE(2026,11,29),C3399&lt;=DATE(2026,12,1)),B3399*60,0)</f>
        <v/>
      </c>
      <c r="J3399" s="13">
        <f>IF(A3399="",0,B3399*(IF(C3399=DATE(2026,11,28),38,0)+IF(C3399=DATE(2026,12,1),38,0)+IF(C3399=DATE(2026,12,2),26,0)))</f>
        <v/>
      </c>
      <c r="K3399" s="13">
        <f>IF(C3399=Options!$B$9,B3399*12,0)</f>
        <v/>
      </c>
      <c r="L3399" s="13">
        <f>IF(C3399=Options!$B$9,B3399*Options!$Z$9,0)</f>
        <v/>
      </c>
      <c r="M3399" s="13" t="n">
        <v>0</v>
      </c>
      <c r="N3399" s="13">
        <f>SUM(E3399:M3399)</f>
        <v/>
      </c>
    </row>
    <row r="3400">
      <c r="A3400" s="5">
        <f>IF(AND(C3400&gt;=Options!$B$9,C3400&lt;=Options!$B$10),"Seattle","")</f>
        <v/>
      </c>
      <c r="B3400" s="5">
        <f>IF(A3400="","",24)</f>
        <v/>
      </c>
      <c r="C3400" s="17" t="n">
        <v>46406</v>
      </c>
      <c r="D3400" s="5">
        <f>IF(A3400="","",IF(C3400=DATE(2026,11,29),"培训；注册午餐；早餐参数",IF(C3400=DATE(2026,11,30),"培训；注册午餐",IF(C3400=DATE(2026,12,1),"培训；注册午餐；机构晚餐",IF(C3400=Options!$B$9,"抵达；"&amp;IF(C3400=DATE(2026,11,28),"机构晚餐","无统一供餐"),IF(C3400=Options!$B$10,"返程；"&amp;IF(C3400=DATE(2026,12,2),"机构午餐","无统一供餐"),"差旅状态；无统一日程"))))))</f>
        <v/>
      </c>
      <c r="E3400" s="13">
        <f>IF(C3400=Options!$B$9,Options!$C$23,0)</f>
        <v/>
      </c>
      <c r="F3400" s="13">
        <f>IF(AND(A3400&lt;&gt;"",C3400&lt;Options!$B$10),B3400*Options!$X$9,0)</f>
        <v/>
      </c>
      <c r="G3400" s="13">
        <f>F3400*12%</f>
        <v/>
      </c>
      <c r="H3400" s="13">
        <f>IF(A3400="",0,B3400*(92*IF(OR(C3400=Options!$B$9,C3400=Options!$B$10),75%,100%)-IF(C3400=DATE(2026,11,29),26+IF(Options!$B$8="是",23,0),0)-IF(C3400=DATE(2026,11,30),26,0)-IF(C3400=DATE(2026,12,1),64,0)-IF(C3400=DATE(2026,11,28),38,0)-IF(C3400=DATE(2026,12,2),26,0)))</f>
        <v/>
      </c>
      <c r="I3400" s="13">
        <f>IF(AND(C3400&gt;=DATE(2026,11,29),C3400&lt;=DATE(2026,12,1)),B3400*60,0)</f>
        <v/>
      </c>
      <c r="J3400" s="13">
        <f>IF(A3400="",0,B3400*(IF(C3400=DATE(2026,11,28),38,0)+IF(C3400=DATE(2026,12,1),38,0)+IF(C3400=DATE(2026,12,2),26,0)))</f>
        <v/>
      </c>
      <c r="K3400" s="13">
        <f>IF(C3400=Options!$B$9,B3400*12,0)</f>
        <v/>
      </c>
      <c r="L3400" s="13">
        <f>IF(C3400=Options!$B$9,B3400*Options!$Z$9,0)</f>
        <v/>
      </c>
      <c r="M3400" s="13" t="n">
        <v>0</v>
      </c>
      <c r="N3400" s="13">
        <f>SUM(E3400:M3400)</f>
        <v/>
      </c>
    </row>
    <row r="3401">
      <c r="A3401" s="5">
        <f>IF(AND(C3401&gt;=Options!$B$9,C3401&lt;=Options!$B$10),"Seattle","")</f>
        <v/>
      </c>
      <c r="B3401" s="5">
        <f>IF(A3401="","",24)</f>
        <v/>
      </c>
      <c r="C3401" s="17" t="n">
        <v>46407</v>
      </c>
      <c r="D3401" s="5">
        <f>IF(A3401="","",IF(C3401=DATE(2026,11,29),"培训；注册午餐；早餐参数",IF(C3401=DATE(2026,11,30),"培训；注册午餐",IF(C3401=DATE(2026,12,1),"培训；注册午餐；机构晚餐",IF(C3401=Options!$B$9,"抵达；"&amp;IF(C3401=DATE(2026,11,28),"机构晚餐","无统一供餐"),IF(C3401=Options!$B$10,"返程；"&amp;IF(C3401=DATE(2026,12,2),"机构午餐","无统一供餐"),"差旅状态；无统一日程"))))))</f>
        <v/>
      </c>
      <c r="E3401" s="13">
        <f>IF(C3401=Options!$B$9,Options!$C$23,0)</f>
        <v/>
      </c>
      <c r="F3401" s="13">
        <f>IF(AND(A3401&lt;&gt;"",C3401&lt;Options!$B$10),B3401*Options!$X$9,0)</f>
        <v/>
      </c>
      <c r="G3401" s="13">
        <f>F3401*12%</f>
        <v/>
      </c>
      <c r="H3401" s="13">
        <f>IF(A3401="",0,B3401*(92*IF(OR(C3401=Options!$B$9,C3401=Options!$B$10),75%,100%)-IF(C3401=DATE(2026,11,29),26+IF(Options!$B$8="是",23,0),0)-IF(C3401=DATE(2026,11,30),26,0)-IF(C3401=DATE(2026,12,1),64,0)-IF(C3401=DATE(2026,11,28),38,0)-IF(C3401=DATE(2026,12,2),26,0)))</f>
        <v/>
      </c>
      <c r="I3401" s="13">
        <f>IF(AND(C3401&gt;=DATE(2026,11,29),C3401&lt;=DATE(2026,12,1)),B3401*60,0)</f>
        <v/>
      </c>
      <c r="J3401" s="13">
        <f>IF(A3401="",0,B3401*(IF(C3401=DATE(2026,11,28),38,0)+IF(C3401=DATE(2026,12,1),38,0)+IF(C3401=DATE(2026,12,2),26,0)))</f>
        <v/>
      </c>
      <c r="K3401" s="13">
        <f>IF(C3401=Options!$B$9,B3401*12,0)</f>
        <v/>
      </c>
      <c r="L3401" s="13">
        <f>IF(C3401=Options!$B$9,B3401*Options!$Z$9,0)</f>
        <v/>
      </c>
      <c r="M3401" s="13" t="n">
        <v>0</v>
      </c>
      <c r="N3401" s="13">
        <f>SUM(E3401:M3401)</f>
        <v/>
      </c>
    </row>
    <row r="3402">
      <c r="A3402" s="5">
        <f>IF(AND(C3402&gt;=Options!$B$9,C3402&lt;=Options!$B$10),"Seattle","")</f>
        <v/>
      </c>
      <c r="B3402" s="5">
        <f>IF(A3402="","",24)</f>
        <v/>
      </c>
      <c r="C3402" s="17" t="n">
        <v>46408</v>
      </c>
      <c r="D3402" s="5">
        <f>IF(A3402="","",IF(C3402=DATE(2026,11,29),"培训；注册午餐；早餐参数",IF(C3402=DATE(2026,11,30),"培训；注册午餐",IF(C3402=DATE(2026,12,1),"培训；注册午餐；机构晚餐",IF(C3402=Options!$B$9,"抵达；"&amp;IF(C3402=DATE(2026,11,28),"机构晚餐","无统一供餐"),IF(C3402=Options!$B$10,"返程；"&amp;IF(C3402=DATE(2026,12,2),"机构午餐","无统一供餐"),"差旅状态；无统一日程"))))))</f>
        <v/>
      </c>
      <c r="E3402" s="13">
        <f>IF(C3402=Options!$B$9,Options!$C$23,0)</f>
        <v/>
      </c>
      <c r="F3402" s="13">
        <f>IF(AND(A3402&lt;&gt;"",C3402&lt;Options!$B$10),B3402*Options!$X$9,0)</f>
        <v/>
      </c>
      <c r="G3402" s="13">
        <f>F3402*12%</f>
        <v/>
      </c>
      <c r="H3402" s="13">
        <f>IF(A3402="",0,B3402*(92*IF(OR(C3402=Options!$B$9,C3402=Options!$B$10),75%,100%)-IF(C3402=DATE(2026,11,29),26+IF(Options!$B$8="是",23,0),0)-IF(C3402=DATE(2026,11,30),26,0)-IF(C3402=DATE(2026,12,1),64,0)-IF(C3402=DATE(2026,11,28),38,0)-IF(C3402=DATE(2026,12,2),26,0)))</f>
        <v/>
      </c>
      <c r="I3402" s="13">
        <f>IF(AND(C3402&gt;=DATE(2026,11,29),C3402&lt;=DATE(2026,12,1)),B3402*60,0)</f>
        <v/>
      </c>
      <c r="J3402" s="13">
        <f>IF(A3402="",0,B3402*(IF(C3402=DATE(2026,11,28),38,0)+IF(C3402=DATE(2026,12,1),38,0)+IF(C3402=DATE(2026,12,2),26,0)))</f>
        <v/>
      </c>
      <c r="K3402" s="13">
        <f>IF(C3402=Options!$B$9,B3402*12,0)</f>
        <v/>
      </c>
      <c r="L3402" s="13">
        <f>IF(C3402=Options!$B$9,B3402*Options!$Z$9,0)</f>
        <v/>
      </c>
      <c r="M3402" s="13" t="n">
        <v>0</v>
      </c>
      <c r="N3402" s="13">
        <f>SUM(E3402:M3402)</f>
        <v/>
      </c>
    </row>
    <row r="3403">
      <c r="A3403" s="5">
        <f>IF(AND(C3403&gt;=Options!$B$9,C3403&lt;=Options!$B$10),"Seattle","")</f>
        <v/>
      </c>
      <c r="B3403" s="5">
        <f>IF(A3403="","",24)</f>
        <v/>
      </c>
      <c r="C3403" s="17" t="n">
        <v>46409</v>
      </c>
      <c r="D3403" s="5">
        <f>IF(A3403="","",IF(C3403=DATE(2026,11,29),"培训；注册午餐；早餐参数",IF(C3403=DATE(2026,11,30),"培训；注册午餐",IF(C3403=DATE(2026,12,1),"培训；注册午餐；机构晚餐",IF(C3403=Options!$B$9,"抵达；"&amp;IF(C3403=DATE(2026,11,28),"机构晚餐","无统一供餐"),IF(C3403=Options!$B$10,"返程；"&amp;IF(C3403=DATE(2026,12,2),"机构午餐","无统一供餐"),"差旅状态；无统一日程"))))))</f>
        <v/>
      </c>
      <c r="E3403" s="13">
        <f>IF(C3403=Options!$B$9,Options!$C$23,0)</f>
        <v/>
      </c>
      <c r="F3403" s="13">
        <f>IF(AND(A3403&lt;&gt;"",C3403&lt;Options!$B$10),B3403*Options!$X$9,0)</f>
        <v/>
      </c>
      <c r="G3403" s="13">
        <f>F3403*12%</f>
        <v/>
      </c>
      <c r="H3403" s="13">
        <f>IF(A3403="",0,B3403*(92*IF(OR(C3403=Options!$B$9,C3403=Options!$B$10),75%,100%)-IF(C3403=DATE(2026,11,29),26+IF(Options!$B$8="是",23,0),0)-IF(C3403=DATE(2026,11,30),26,0)-IF(C3403=DATE(2026,12,1),64,0)-IF(C3403=DATE(2026,11,28),38,0)-IF(C3403=DATE(2026,12,2),26,0)))</f>
        <v/>
      </c>
      <c r="I3403" s="13">
        <f>IF(AND(C3403&gt;=DATE(2026,11,29),C3403&lt;=DATE(2026,12,1)),B3403*60,0)</f>
        <v/>
      </c>
      <c r="J3403" s="13">
        <f>IF(A3403="",0,B3403*(IF(C3403=DATE(2026,11,28),38,0)+IF(C3403=DATE(2026,12,1),38,0)+IF(C3403=DATE(2026,12,2),26,0)))</f>
        <v/>
      </c>
      <c r="K3403" s="13">
        <f>IF(C3403=Options!$B$9,B3403*12,0)</f>
        <v/>
      </c>
      <c r="L3403" s="13">
        <f>IF(C3403=Options!$B$9,B3403*Options!$Z$9,0)</f>
        <v/>
      </c>
      <c r="M3403" s="13" t="n">
        <v>0</v>
      </c>
      <c r="N3403" s="13">
        <f>SUM(E3403:M3403)</f>
        <v/>
      </c>
    </row>
    <row r="3404">
      <c r="A3404" s="5">
        <f>IF(AND(C3404&gt;=Options!$B$9,C3404&lt;=Options!$B$10),"Seattle","")</f>
        <v/>
      </c>
      <c r="B3404" s="5">
        <f>IF(A3404="","",24)</f>
        <v/>
      </c>
      <c r="C3404" s="17" t="n">
        <v>46410</v>
      </c>
      <c r="D3404" s="5">
        <f>IF(A3404="","",IF(C3404=DATE(2026,11,29),"培训；注册午餐；早餐参数",IF(C3404=DATE(2026,11,30),"培训；注册午餐",IF(C3404=DATE(2026,12,1),"培训；注册午餐；机构晚餐",IF(C3404=Options!$B$9,"抵达；"&amp;IF(C3404=DATE(2026,11,28),"机构晚餐","无统一供餐"),IF(C3404=Options!$B$10,"返程；"&amp;IF(C3404=DATE(2026,12,2),"机构午餐","无统一供餐"),"差旅状态；无统一日程"))))))</f>
        <v/>
      </c>
      <c r="E3404" s="13">
        <f>IF(C3404=Options!$B$9,Options!$C$23,0)</f>
        <v/>
      </c>
      <c r="F3404" s="13">
        <f>IF(AND(A3404&lt;&gt;"",C3404&lt;Options!$B$10),B3404*Options!$X$9,0)</f>
        <v/>
      </c>
      <c r="G3404" s="13">
        <f>F3404*12%</f>
        <v/>
      </c>
      <c r="H3404" s="13">
        <f>IF(A3404="",0,B3404*(92*IF(OR(C3404=Options!$B$9,C3404=Options!$B$10),75%,100%)-IF(C3404=DATE(2026,11,29),26+IF(Options!$B$8="是",23,0),0)-IF(C3404=DATE(2026,11,30),26,0)-IF(C3404=DATE(2026,12,1),64,0)-IF(C3404=DATE(2026,11,28),38,0)-IF(C3404=DATE(2026,12,2),26,0)))</f>
        <v/>
      </c>
      <c r="I3404" s="13">
        <f>IF(AND(C3404&gt;=DATE(2026,11,29),C3404&lt;=DATE(2026,12,1)),B3404*60,0)</f>
        <v/>
      </c>
      <c r="J3404" s="13">
        <f>IF(A3404="",0,B3404*(IF(C3404=DATE(2026,11,28),38,0)+IF(C3404=DATE(2026,12,1),38,0)+IF(C3404=DATE(2026,12,2),26,0)))</f>
        <v/>
      </c>
      <c r="K3404" s="13">
        <f>IF(C3404=Options!$B$9,B3404*12,0)</f>
        <v/>
      </c>
      <c r="L3404" s="13">
        <f>IF(C3404=Options!$B$9,B3404*Options!$Z$9,0)</f>
        <v/>
      </c>
      <c r="M3404" s="13" t="n">
        <v>0</v>
      </c>
      <c r="N3404" s="13">
        <f>SUM(E3404:M3404)</f>
        <v/>
      </c>
    </row>
    <row r="3405">
      <c r="A3405" s="5">
        <f>IF(AND(C3405&gt;=Options!$B$9,C3405&lt;=Options!$B$10),"Seattle","")</f>
        <v/>
      </c>
      <c r="B3405" s="5">
        <f>IF(A3405="","",24)</f>
        <v/>
      </c>
      <c r="C3405" s="17" t="n">
        <v>46411</v>
      </c>
      <c r="D3405" s="5">
        <f>IF(A3405="","",IF(C3405=DATE(2026,11,29),"培训；注册午餐；早餐参数",IF(C3405=DATE(2026,11,30),"培训；注册午餐",IF(C3405=DATE(2026,12,1),"培训；注册午餐；机构晚餐",IF(C3405=Options!$B$9,"抵达；"&amp;IF(C3405=DATE(2026,11,28),"机构晚餐","无统一供餐"),IF(C3405=Options!$B$10,"返程；"&amp;IF(C3405=DATE(2026,12,2),"机构午餐","无统一供餐"),"差旅状态；无统一日程"))))))</f>
        <v/>
      </c>
      <c r="E3405" s="13">
        <f>IF(C3405=Options!$B$9,Options!$C$23,0)</f>
        <v/>
      </c>
      <c r="F3405" s="13">
        <f>IF(AND(A3405&lt;&gt;"",C3405&lt;Options!$B$10),B3405*Options!$X$9,0)</f>
        <v/>
      </c>
      <c r="G3405" s="13">
        <f>F3405*12%</f>
        <v/>
      </c>
      <c r="H3405" s="13">
        <f>IF(A3405="",0,B3405*(92*IF(OR(C3405=Options!$B$9,C3405=Options!$B$10),75%,100%)-IF(C3405=DATE(2026,11,29),26+IF(Options!$B$8="是",23,0),0)-IF(C3405=DATE(2026,11,30),26,0)-IF(C3405=DATE(2026,12,1),64,0)-IF(C3405=DATE(2026,11,28),38,0)-IF(C3405=DATE(2026,12,2),26,0)))</f>
        <v/>
      </c>
      <c r="I3405" s="13">
        <f>IF(AND(C3405&gt;=DATE(2026,11,29),C3405&lt;=DATE(2026,12,1)),B3405*60,0)</f>
        <v/>
      </c>
      <c r="J3405" s="13">
        <f>IF(A3405="",0,B3405*(IF(C3405=DATE(2026,11,28),38,0)+IF(C3405=DATE(2026,12,1),38,0)+IF(C3405=DATE(2026,12,2),26,0)))</f>
        <v/>
      </c>
      <c r="K3405" s="13">
        <f>IF(C3405=Options!$B$9,B3405*12,0)</f>
        <v/>
      </c>
      <c r="L3405" s="13">
        <f>IF(C3405=Options!$B$9,B3405*Options!$Z$9,0)</f>
        <v/>
      </c>
      <c r="M3405" s="13" t="n">
        <v>0</v>
      </c>
      <c r="N3405" s="13">
        <f>SUM(E3405:M3405)</f>
        <v/>
      </c>
    </row>
    <row r="3406">
      <c r="A3406" s="5">
        <f>IF(AND(C3406&gt;=Options!$B$9,C3406&lt;=Options!$B$10),"Seattle","")</f>
        <v/>
      </c>
      <c r="B3406" s="5">
        <f>IF(A3406="","",24)</f>
        <v/>
      </c>
      <c r="C3406" s="17" t="n">
        <v>46412</v>
      </c>
      <c r="D3406" s="5">
        <f>IF(A3406="","",IF(C3406=DATE(2026,11,29),"培训；注册午餐；早餐参数",IF(C3406=DATE(2026,11,30),"培训；注册午餐",IF(C3406=DATE(2026,12,1),"培训；注册午餐；机构晚餐",IF(C3406=Options!$B$9,"抵达；"&amp;IF(C3406=DATE(2026,11,28),"机构晚餐","无统一供餐"),IF(C3406=Options!$B$10,"返程；"&amp;IF(C3406=DATE(2026,12,2),"机构午餐","无统一供餐"),"差旅状态；无统一日程"))))))</f>
        <v/>
      </c>
      <c r="E3406" s="13">
        <f>IF(C3406=Options!$B$9,Options!$C$23,0)</f>
        <v/>
      </c>
      <c r="F3406" s="13">
        <f>IF(AND(A3406&lt;&gt;"",C3406&lt;Options!$B$10),B3406*Options!$X$9,0)</f>
        <v/>
      </c>
      <c r="G3406" s="13">
        <f>F3406*12%</f>
        <v/>
      </c>
      <c r="H3406" s="13">
        <f>IF(A3406="",0,B3406*(92*IF(OR(C3406=Options!$B$9,C3406=Options!$B$10),75%,100%)-IF(C3406=DATE(2026,11,29),26+IF(Options!$B$8="是",23,0),0)-IF(C3406=DATE(2026,11,30),26,0)-IF(C3406=DATE(2026,12,1),64,0)-IF(C3406=DATE(2026,11,28),38,0)-IF(C3406=DATE(2026,12,2),26,0)))</f>
        <v/>
      </c>
      <c r="I3406" s="13">
        <f>IF(AND(C3406&gt;=DATE(2026,11,29),C3406&lt;=DATE(2026,12,1)),B3406*60,0)</f>
        <v/>
      </c>
      <c r="J3406" s="13">
        <f>IF(A3406="",0,B3406*(IF(C3406=DATE(2026,11,28),38,0)+IF(C3406=DATE(2026,12,1),38,0)+IF(C3406=DATE(2026,12,2),26,0)))</f>
        <v/>
      </c>
      <c r="K3406" s="13">
        <f>IF(C3406=Options!$B$9,B3406*12,0)</f>
        <v/>
      </c>
      <c r="L3406" s="13">
        <f>IF(C3406=Options!$B$9,B3406*Options!$Z$9,0)</f>
        <v/>
      </c>
      <c r="M3406" s="13" t="n">
        <v>0</v>
      </c>
      <c r="N3406" s="13">
        <f>SUM(E3406:M3406)</f>
        <v/>
      </c>
    </row>
    <row r="3407">
      <c r="A3407" s="5">
        <f>IF(AND(C3407&gt;=Options!$B$9,C3407&lt;=Options!$B$10),"Seattle","")</f>
        <v/>
      </c>
      <c r="B3407" s="5">
        <f>IF(A3407="","",24)</f>
        <v/>
      </c>
      <c r="C3407" s="17" t="n">
        <v>46413</v>
      </c>
      <c r="D3407" s="5">
        <f>IF(A3407="","",IF(C3407=DATE(2026,11,29),"培训；注册午餐；早餐参数",IF(C3407=DATE(2026,11,30),"培训；注册午餐",IF(C3407=DATE(2026,12,1),"培训；注册午餐；机构晚餐",IF(C3407=Options!$B$9,"抵达；"&amp;IF(C3407=DATE(2026,11,28),"机构晚餐","无统一供餐"),IF(C3407=Options!$B$10,"返程；"&amp;IF(C3407=DATE(2026,12,2),"机构午餐","无统一供餐"),"差旅状态；无统一日程"))))))</f>
        <v/>
      </c>
      <c r="E3407" s="13">
        <f>IF(C3407=Options!$B$9,Options!$C$23,0)</f>
        <v/>
      </c>
      <c r="F3407" s="13">
        <f>IF(AND(A3407&lt;&gt;"",C3407&lt;Options!$B$10),B3407*Options!$X$9,0)</f>
        <v/>
      </c>
      <c r="G3407" s="13">
        <f>F3407*12%</f>
        <v/>
      </c>
      <c r="H3407" s="13">
        <f>IF(A3407="",0,B3407*(92*IF(OR(C3407=Options!$B$9,C3407=Options!$B$10),75%,100%)-IF(C3407=DATE(2026,11,29),26+IF(Options!$B$8="是",23,0),0)-IF(C3407=DATE(2026,11,30),26,0)-IF(C3407=DATE(2026,12,1),64,0)-IF(C3407=DATE(2026,11,28),38,0)-IF(C3407=DATE(2026,12,2),26,0)))</f>
        <v/>
      </c>
      <c r="I3407" s="13">
        <f>IF(AND(C3407&gt;=DATE(2026,11,29),C3407&lt;=DATE(2026,12,1)),B3407*60,0)</f>
        <v/>
      </c>
      <c r="J3407" s="13">
        <f>IF(A3407="",0,B3407*(IF(C3407=DATE(2026,11,28),38,0)+IF(C3407=DATE(2026,12,1),38,0)+IF(C3407=DATE(2026,12,2),26,0)))</f>
        <v/>
      </c>
      <c r="K3407" s="13">
        <f>IF(C3407=Options!$B$9,B3407*12,0)</f>
        <v/>
      </c>
      <c r="L3407" s="13">
        <f>IF(C3407=Options!$B$9,B3407*Options!$Z$9,0)</f>
        <v/>
      </c>
      <c r="M3407" s="13" t="n">
        <v>0</v>
      </c>
      <c r="N3407" s="13">
        <f>SUM(E3407:M3407)</f>
        <v/>
      </c>
    </row>
    <row r="3408">
      <c r="A3408" s="5">
        <f>IF(AND(C3408&gt;=Options!$B$9,C3408&lt;=Options!$B$10),"Seattle","")</f>
        <v/>
      </c>
      <c r="B3408" s="5">
        <f>IF(A3408="","",24)</f>
        <v/>
      </c>
      <c r="C3408" s="17" t="n">
        <v>46414</v>
      </c>
      <c r="D3408" s="5">
        <f>IF(A3408="","",IF(C3408=DATE(2026,11,29),"培训；注册午餐；早餐参数",IF(C3408=DATE(2026,11,30),"培训；注册午餐",IF(C3408=DATE(2026,12,1),"培训；注册午餐；机构晚餐",IF(C3408=Options!$B$9,"抵达；"&amp;IF(C3408=DATE(2026,11,28),"机构晚餐","无统一供餐"),IF(C3408=Options!$B$10,"返程；"&amp;IF(C3408=DATE(2026,12,2),"机构午餐","无统一供餐"),"差旅状态；无统一日程"))))))</f>
        <v/>
      </c>
      <c r="E3408" s="13">
        <f>IF(C3408=Options!$B$9,Options!$C$23,0)</f>
        <v/>
      </c>
      <c r="F3408" s="13">
        <f>IF(AND(A3408&lt;&gt;"",C3408&lt;Options!$B$10),B3408*Options!$X$9,0)</f>
        <v/>
      </c>
      <c r="G3408" s="13">
        <f>F3408*12%</f>
        <v/>
      </c>
      <c r="H3408" s="13">
        <f>IF(A3408="",0,B3408*(92*IF(OR(C3408=Options!$B$9,C3408=Options!$B$10),75%,100%)-IF(C3408=DATE(2026,11,29),26+IF(Options!$B$8="是",23,0),0)-IF(C3408=DATE(2026,11,30),26,0)-IF(C3408=DATE(2026,12,1),64,0)-IF(C3408=DATE(2026,11,28),38,0)-IF(C3408=DATE(2026,12,2),26,0)))</f>
        <v/>
      </c>
      <c r="I3408" s="13">
        <f>IF(AND(C3408&gt;=DATE(2026,11,29),C3408&lt;=DATE(2026,12,1)),B3408*60,0)</f>
        <v/>
      </c>
      <c r="J3408" s="13">
        <f>IF(A3408="",0,B3408*(IF(C3408=DATE(2026,11,28),38,0)+IF(C3408=DATE(2026,12,1),38,0)+IF(C3408=DATE(2026,12,2),26,0)))</f>
        <v/>
      </c>
      <c r="K3408" s="13">
        <f>IF(C3408=Options!$B$9,B3408*12,0)</f>
        <v/>
      </c>
      <c r="L3408" s="13">
        <f>IF(C3408=Options!$B$9,B3408*Options!$Z$9,0)</f>
        <v/>
      </c>
      <c r="M3408" s="13" t="n">
        <v>0</v>
      </c>
      <c r="N3408" s="13">
        <f>SUM(E3408:M3408)</f>
        <v/>
      </c>
    </row>
    <row r="3409">
      <c r="A3409" s="5">
        <f>IF(AND(C3409&gt;=Options!$B$9,C3409&lt;=Options!$B$10),"Seattle","")</f>
        <v/>
      </c>
      <c r="B3409" s="5">
        <f>IF(A3409="","",24)</f>
        <v/>
      </c>
      <c r="C3409" s="17" t="n">
        <v>46415</v>
      </c>
      <c r="D3409" s="5">
        <f>IF(A3409="","",IF(C3409=DATE(2026,11,29),"培训；注册午餐；早餐参数",IF(C3409=DATE(2026,11,30),"培训；注册午餐",IF(C3409=DATE(2026,12,1),"培训；注册午餐；机构晚餐",IF(C3409=Options!$B$9,"抵达；"&amp;IF(C3409=DATE(2026,11,28),"机构晚餐","无统一供餐"),IF(C3409=Options!$B$10,"返程；"&amp;IF(C3409=DATE(2026,12,2),"机构午餐","无统一供餐"),"差旅状态；无统一日程"))))))</f>
        <v/>
      </c>
      <c r="E3409" s="13">
        <f>IF(C3409=Options!$B$9,Options!$C$23,0)</f>
        <v/>
      </c>
      <c r="F3409" s="13">
        <f>IF(AND(A3409&lt;&gt;"",C3409&lt;Options!$B$10),B3409*Options!$X$9,0)</f>
        <v/>
      </c>
      <c r="G3409" s="13">
        <f>F3409*12%</f>
        <v/>
      </c>
      <c r="H3409" s="13">
        <f>IF(A3409="",0,B3409*(92*IF(OR(C3409=Options!$B$9,C3409=Options!$B$10),75%,100%)-IF(C3409=DATE(2026,11,29),26+IF(Options!$B$8="是",23,0),0)-IF(C3409=DATE(2026,11,30),26,0)-IF(C3409=DATE(2026,12,1),64,0)-IF(C3409=DATE(2026,11,28),38,0)-IF(C3409=DATE(2026,12,2),26,0)))</f>
        <v/>
      </c>
      <c r="I3409" s="13">
        <f>IF(AND(C3409&gt;=DATE(2026,11,29),C3409&lt;=DATE(2026,12,1)),B3409*60,0)</f>
        <v/>
      </c>
      <c r="J3409" s="13">
        <f>IF(A3409="",0,B3409*(IF(C3409=DATE(2026,11,28),38,0)+IF(C3409=DATE(2026,12,1),38,0)+IF(C3409=DATE(2026,12,2),26,0)))</f>
        <v/>
      </c>
      <c r="K3409" s="13">
        <f>IF(C3409=Options!$B$9,B3409*12,0)</f>
        <v/>
      </c>
      <c r="L3409" s="13">
        <f>IF(C3409=Options!$B$9,B3409*Options!$Z$9,0)</f>
        <v/>
      </c>
      <c r="M3409" s="13" t="n">
        <v>0</v>
      </c>
      <c r="N3409" s="13">
        <f>SUM(E3409:M3409)</f>
        <v/>
      </c>
    </row>
    <row r="3410">
      <c r="A3410" s="5">
        <f>IF(AND(C3410&gt;=Options!$B$9,C3410&lt;=Options!$B$10),"Seattle","")</f>
        <v/>
      </c>
      <c r="B3410" s="5">
        <f>IF(A3410="","",24)</f>
        <v/>
      </c>
      <c r="C3410" s="17" t="n">
        <v>46416</v>
      </c>
      <c r="D3410" s="5">
        <f>IF(A3410="","",IF(C3410=DATE(2026,11,29),"培训；注册午餐；早餐参数",IF(C3410=DATE(2026,11,30),"培训；注册午餐",IF(C3410=DATE(2026,12,1),"培训；注册午餐；机构晚餐",IF(C3410=Options!$B$9,"抵达；"&amp;IF(C3410=DATE(2026,11,28),"机构晚餐","无统一供餐"),IF(C3410=Options!$B$10,"返程；"&amp;IF(C3410=DATE(2026,12,2),"机构午餐","无统一供餐"),"差旅状态；无统一日程"))))))</f>
        <v/>
      </c>
      <c r="E3410" s="13">
        <f>IF(C3410=Options!$B$9,Options!$C$23,0)</f>
        <v/>
      </c>
      <c r="F3410" s="13">
        <f>IF(AND(A3410&lt;&gt;"",C3410&lt;Options!$B$10),B3410*Options!$X$9,0)</f>
        <v/>
      </c>
      <c r="G3410" s="13">
        <f>F3410*12%</f>
        <v/>
      </c>
      <c r="H3410" s="13">
        <f>IF(A3410="",0,B3410*(92*IF(OR(C3410=Options!$B$9,C3410=Options!$B$10),75%,100%)-IF(C3410=DATE(2026,11,29),26+IF(Options!$B$8="是",23,0),0)-IF(C3410=DATE(2026,11,30),26,0)-IF(C3410=DATE(2026,12,1),64,0)-IF(C3410=DATE(2026,11,28),38,0)-IF(C3410=DATE(2026,12,2),26,0)))</f>
        <v/>
      </c>
      <c r="I3410" s="13">
        <f>IF(AND(C3410&gt;=DATE(2026,11,29),C3410&lt;=DATE(2026,12,1)),B3410*60,0)</f>
        <v/>
      </c>
      <c r="J3410" s="13">
        <f>IF(A3410="",0,B3410*(IF(C3410=DATE(2026,11,28),38,0)+IF(C3410=DATE(2026,12,1),38,0)+IF(C3410=DATE(2026,12,2),26,0)))</f>
        <v/>
      </c>
      <c r="K3410" s="13">
        <f>IF(C3410=Options!$B$9,B3410*12,0)</f>
        <v/>
      </c>
      <c r="L3410" s="13">
        <f>IF(C3410=Options!$B$9,B3410*Options!$Z$9,0)</f>
        <v/>
      </c>
      <c r="M3410" s="13" t="n">
        <v>0</v>
      </c>
      <c r="N3410" s="13">
        <f>SUM(E3410:M3410)</f>
        <v/>
      </c>
    </row>
    <row r="3411">
      <c r="A3411" s="5">
        <f>IF(AND(C3411&gt;=Options!$B$9,C3411&lt;=Options!$B$10),"Seattle","")</f>
        <v/>
      </c>
      <c r="B3411" s="5">
        <f>IF(A3411="","",24)</f>
        <v/>
      </c>
      <c r="C3411" s="17" t="n">
        <v>46417</v>
      </c>
      <c r="D3411" s="5">
        <f>IF(A3411="","",IF(C3411=DATE(2026,11,29),"培训；注册午餐；早餐参数",IF(C3411=DATE(2026,11,30),"培训；注册午餐",IF(C3411=DATE(2026,12,1),"培训；注册午餐；机构晚餐",IF(C3411=Options!$B$9,"抵达；"&amp;IF(C3411=DATE(2026,11,28),"机构晚餐","无统一供餐"),IF(C3411=Options!$B$10,"返程；"&amp;IF(C3411=DATE(2026,12,2),"机构午餐","无统一供餐"),"差旅状态；无统一日程"))))))</f>
        <v/>
      </c>
      <c r="E3411" s="13">
        <f>IF(C3411=Options!$B$9,Options!$C$23,0)</f>
        <v/>
      </c>
      <c r="F3411" s="13">
        <f>IF(AND(A3411&lt;&gt;"",C3411&lt;Options!$B$10),B3411*Options!$X$9,0)</f>
        <v/>
      </c>
      <c r="G3411" s="13">
        <f>F3411*12%</f>
        <v/>
      </c>
      <c r="H3411" s="13">
        <f>IF(A3411="",0,B3411*(92*IF(OR(C3411=Options!$B$9,C3411=Options!$B$10),75%,100%)-IF(C3411=DATE(2026,11,29),26+IF(Options!$B$8="是",23,0),0)-IF(C3411=DATE(2026,11,30),26,0)-IF(C3411=DATE(2026,12,1),64,0)-IF(C3411=DATE(2026,11,28),38,0)-IF(C3411=DATE(2026,12,2),26,0)))</f>
        <v/>
      </c>
      <c r="I3411" s="13">
        <f>IF(AND(C3411&gt;=DATE(2026,11,29),C3411&lt;=DATE(2026,12,1)),B3411*60,0)</f>
        <v/>
      </c>
      <c r="J3411" s="13">
        <f>IF(A3411="",0,B3411*(IF(C3411=DATE(2026,11,28),38,0)+IF(C3411=DATE(2026,12,1),38,0)+IF(C3411=DATE(2026,12,2),26,0)))</f>
        <v/>
      </c>
      <c r="K3411" s="13">
        <f>IF(C3411=Options!$B$9,B3411*12,0)</f>
        <v/>
      </c>
      <c r="L3411" s="13">
        <f>IF(C3411=Options!$B$9,B3411*Options!$Z$9,0)</f>
        <v/>
      </c>
      <c r="M3411" s="13" t="n">
        <v>0</v>
      </c>
      <c r="N3411" s="13">
        <f>SUM(E3411:M3411)</f>
        <v/>
      </c>
    </row>
    <row r="3412">
      <c r="A3412" s="5">
        <f>IF(AND(C3412&gt;=Options!$B$9,C3412&lt;=Options!$B$10),"Seattle","")</f>
        <v/>
      </c>
      <c r="B3412" s="5">
        <f>IF(A3412="","",24)</f>
        <v/>
      </c>
      <c r="C3412" s="17" t="n">
        <v>46418</v>
      </c>
      <c r="D3412" s="5">
        <f>IF(A3412="","",IF(C3412=DATE(2026,11,29),"培训；注册午餐；早餐参数",IF(C3412=DATE(2026,11,30),"培训；注册午餐",IF(C3412=DATE(2026,12,1),"培训；注册午餐；机构晚餐",IF(C3412=Options!$B$9,"抵达；"&amp;IF(C3412=DATE(2026,11,28),"机构晚餐","无统一供餐"),IF(C3412=Options!$B$10,"返程；"&amp;IF(C3412=DATE(2026,12,2),"机构午餐","无统一供餐"),"差旅状态；无统一日程"))))))</f>
        <v/>
      </c>
      <c r="E3412" s="13">
        <f>IF(C3412=Options!$B$9,Options!$C$23,0)</f>
        <v/>
      </c>
      <c r="F3412" s="13">
        <f>IF(AND(A3412&lt;&gt;"",C3412&lt;Options!$B$10),B3412*Options!$X$9,0)</f>
        <v/>
      </c>
      <c r="G3412" s="13">
        <f>F3412*12%</f>
        <v/>
      </c>
      <c r="H3412" s="13">
        <f>IF(A3412="",0,B3412*(92*IF(OR(C3412=Options!$B$9,C3412=Options!$B$10),75%,100%)-IF(C3412=DATE(2026,11,29),26+IF(Options!$B$8="是",23,0),0)-IF(C3412=DATE(2026,11,30),26,0)-IF(C3412=DATE(2026,12,1),64,0)-IF(C3412=DATE(2026,11,28),38,0)-IF(C3412=DATE(2026,12,2),26,0)))</f>
        <v/>
      </c>
      <c r="I3412" s="13">
        <f>IF(AND(C3412&gt;=DATE(2026,11,29),C3412&lt;=DATE(2026,12,1)),B3412*60,0)</f>
        <v/>
      </c>
      <c r="J3412" s="13">
        <f>IF(A3412="",0,B3412*(IF(C3412=DATE(2026,11,28),38,0)+IF(C3412=DATE(2026,12,1),38,0)+IF(C3412=DATE(2026,12,2),26,0)))</f>
        <v/>
      </c>
      <c r="K3412" s="13">
        <f>IF(C3412=Options!$B$9,B3412*12,0)</f>
        <v/>
      </c>
      <c r="L3412" s="13">
        <f>IF(C3412=Options!$B$9,B3412*Options!$Z$9,0)</f>
        <v/>
      </c>
      <c r="M3412" s="13" t="n">
        <v>0</v>
      </c>
      <c r="N3412" s="13">
        <f>SUM(E3412:M3412)</f>
        <v/>
      </c>
    </row>
    <row r="3413">
      <c r="A3413" s="5">
        <f>IF(AND(C3413&gt;=Options!$B$9,C3413&lt;=Options!$B$10),"Seattle","")</f>
        <v/>
      </c>
      <c r="B3413" s="5">
        <f>IF(A3413="","",24)</f>
        <v/>
      </c>
      <c r="C3413" s="17" t="n">
        <v>46419</v>
      </c>
      <c r="D3413" s="5">
        <f>IF(A3413="","",IF(C3413=DATE(2026,11,29),"培训；注册午餐；早餐参数",IF(C3413=DATE(2026,11,30),"培训；注册午餐",IF(C3413=DATE(2026,12,1),"培训；注册午餐；机构晚餐",IF(C3413=Options!$B$9,"抵达；"&amp;IF(C3413=DATE(2026,11,28),"机构晚餐","无统一供餐"),IF(C3413=Options!$B$10,"返程；"&amp;IF(C3413=DATE(2026,12,2),"机构午餐","无统一供餐"),"差旅状态；无统一日程"))))))</f>
        <v/>
      </c>
      <c r="E3413" s="13">
        <f>IF(C3413=Options!$B$9,Options!$C$23,0)</f>
        <v/>
      </c>
      <c r="F3413" s="13">
        <f>IF(AND(A3413&lt;&gt;"",C3413&lt;Options!$B$10),B3413*Options!$X$9,0)</f>
        <v/>
      </c>
      <c r="G3413" s="13">
        <f>F3413*12%</f>
        <v/>
      </c>
      <c r="H3413" s="13">
        <f>IF(A3413="",0,B3413*(92*IF(OR(C3413=Options!$B$9,C3413=Options!$B$10),75%,100%)-IF(C3413=DATE(2026,11,29),26+IF(Options!$B$8="是",23,0),0)-IF(C3413=DATE(2026,11,30),26,0)-IF(C3413=DATE(2026,12,1),64,0)-IF(C3413=DATE(2026,11,28),38,0)-IF(C3413=DATE(2026,12,2),26,0)))</f>
        <v/>
      </c>
      <c r="I3413" s="13">
        <f>IF(AND(C3413&gt;=DATE(2026,11,29),C3413&lt;=DATE(2026,12,1)),B3413*60,0)</f>
        <v/>
      </c>
      <c r="J3413" s="13">
        <f>IF(A3413="",0,B3413*(IF(C3413=DATE(2026,11,28),38,0)+IF(C3413=DATE(2026,12,1),38,0)+IF(C3413=DATE(2026,12,2),26,0)))</f>
        <v/>
      </c>
      <c r="K3413" s="13">
        <f>IF(C3413=Options!$B$9,B3413*12,0)</f>
        <v/>
      </c>
      <c r="L3413" s="13">
        <f>IF(C3413=Options!$B$9,B3413*Options!$Z$9,0)</f>
        <v/>
      </c>
      <c r="M3413" s="13" t="n">
        <v>0</v>
      </c>
      <c r="N3413" s="13">
        <f>SUM(E3413:M3413)</f>
        <v/>
      </c>
    </row>
    <row r="3414">
      <c r="A3414" s="5">
        <f>IF(AND(C3414&gt;=Options!$B$9,C3414&lt;=Options!$B$10),"Seattle","")</f>
        <v/>
      </c>
      <c r="B3414" s="5">
        <f>IF(A3414="","",24)</f>
        <v/>
      </c>
      <c r="C3414" s="17" t="n">
        <v>46420</v>
      </c>
      <c r="D3414" s="5">
        <f>IF(A3414="","",IF(C3414=DATE(2026,11,29),"培训；注册午餐；早餐参数",IF(C3414=DATE(2026,11,30),"培训；注册午餐",IF(C3414=DATE(2026,12,1),"培训；注册午餐；机构晚餐",IF(C3414=Options!$B$9,"抵达；"&amp;IF(C3414=DATE(2026,11,28),"机构晚餐","无统一供餐"),IF(C3414=Options!$B$10,"返程；"&amp;IF(C3414=DATE(2026,12,2),"机构午餐","无统一供餐"),"差旅状态；无统一日程"))))))</f>
        <v/>
      </c>
      <c r="E3414" s="13">
        <f>IF(C3414=Options!$B$9,Options!$C$23,0)</f>
        <v/>
      </c>
      <c r="F3414" s="13">
        <f>IF(AND(A3414&lt;&gt;"",C3414&lt;Options!$B$10),B3414*Options!$X$9,0)</f>
        <v/>
      </c>
      <c r="G3414" s="13">
        <f>F3414*12%</f>
        <v/>
      </c>
      <c r="H3414" s="13">
        <f>IF(A3414="",0,B3414*(92*IF(OR(C3414=Options!$B$9,C3414=Options!$B$10),75%,100%)-IF(C3414=DATE(2026,11,29),26+IF(Options!$B$8="是",23,0),0)-IF(C3414=DATE(2026,11,30),26,0)-IF(C3414=DATE(2026,12,1),64,0)-IF(C3414=DATE(2026,11,28),38,0)-IF(C3414=DATE(2026,12,2),26,0)))</f>
        <v/>
      </c>
      <c r="I3414" s="13">
        <f>IF(AND(C3414&gt;=DATE(2026,11,29),C3414&lt;=DATE(2026,12,1)),B3414*60,0)</f>
        <v/>
      </c>
      <c r="J3414" s="13">
        <f>IF(A3414="",0,B3414*(IF(C3414=DATE(2026,11,28),38,0)+IF(C3414=DATE(2026,12,1),38,0)+IF(C3414=DATE(2026,12,2),26,0)))</f>
        <v/>
      </c>
      <c r="K3414" s="13">
        <f>IF(C3414=Options!$B$9,B3414*12,0)</f>
        <v/>
      </c>
      <c r="L3414" s="13">
        <f>IF(C3414=Options!$B$9,B3414*Options!$Z$9,0)</f>
        <v/>
      </c>
      <c r="M3414" s="13" t="n">
        <v>0</v>
      </c>
      <c r="N3414" s="13">
        <f>SUM(E3414:M3414)</f>
        <v/>
      </c>
    </row>
    <row r="3415">
      <c r="A3415" s="5">
        <f>IF(AND(C3415&gt;=Options!$B$9,C3415&lt;=Options!$B$10),"Seattle","")</f>
        <v/>
      </c>
      <c r="B3415" s="5">
        <f>IF(A3415="","",24)</f>
        <v/>
      </c>
      <c r="C3415" s="17" t="n">
        <v>46421</v>
      </c>
      <c r="D3415" s="5">
        <f>IF(A3415="","",IF(C3415=DATE(2026,11,29),"培训；注册午餐；早餐参数",IF(C3415=DATE(2026,11,30),"培训；注册午餐",IF(C3415=DATE(2026,12,1),"培训；注册午餐；机构晚餐",IF(C3415=Options!$B$9,"抵达；"&amp;IF(C3415=DATE(2026,11,28),"机构晚餐","无统一供餐"),IF(C3415=Options!$B$10,"返程；"&amp;IF(C3415=DATE(2026,12,2),"机构午餐","无统一供餐"),"差旅状态；无统一日程"))))))</f>
        <v/>
      </c>
      <c r="E3415" s="13">
        <f>IF(C3415=Options!$B$9,Options!$C$23,0)</f>
        <v/>
      </c>
      <c r="F3415" s="13">
        <f>IF(AND(A3415&lt;&gt;"",C3415&lt;Options!$B$10),B3415*Options!$X$9,0)</f>
        <v/>
      </c>
      <c r="G3415" s="13">
        <f>F3415*12%</f>
        <v/>
      </c>
      <c r="H3415" s="13">
        <f>IF(A3415="",0,B3415*(92*IF(OR(C3415=Options!$B$9,C3415=Options!$B$10),75%,100%)-IF(C3415=DATE(2026,11,29),26+IF(Options!$B$8="是",23,0),0)-IF(C3415=DATE(2026,11,30),26,0)-IF(C3415=DATE(2026,12,1),64,0)-IF(C3415=DATE(2026,11,28),38,0)-IF(C3415=DATE(2026,12,2),26,0)))</f>
        <v/>
      </c>
      <c r="I3415" s="13">
        <f>IF(AND(C3415&gt;=DATE(2026,11,29),C3415&lt;=DATE(2026,12,1)),B3415*60,0)</f>
        <v/>
      </c>
      <c r="J3415" s="13">
        <f>IF(A3415="",0,B3415*(IF(C3415=DATE(2026,11,28),38,0)+IF(C3415=DATE(2026,12,1),38,0)+IF(C3415=DATE(2026,12,2),26,0)))</f>
        <v/>
      </c>
      <c r="K3415" s="13">
        <f>IF(C3415=Options!$B$9,B3415*12,0)</f>
        <v/>
      </c>
      <c r="L3415" s="13">
        <f>IF(C3415=Options!$B$9,B3415*Options!$Z$9,0)</f>
        <v/>
      </c>
      <c r="M3415" s="13" t="n">
        <v>0</v>
      </c>
      <c r="N3415" s="13">
        <f>SUM(E3415:M3415)</f>
        <v/>
      </c>
    </row>
    <row r="3416">
      <c r="A3416" s="5">
        <f>IF(AND(C3416&gt;=Options!$B$9,C3416&lt;=Options!$B$10),"Seattle","")</f>
        <v/>
      </c>
      <c r="B3416" s="5">
        <f>IF(A3416="","",24)</f>
        <v/>
      </c>
      <c r="C3416" s="17" t="n">
        <v>46422</v>
      </c>
      <c r="D3416" s="5">
        <f>IF(A3416="","",IF(C3416=DATE(2026,11,29),"培训；注册午餐；早餐参数",IF(C3416=DATE(2026,11,30),"培训；注册午餐",IF(C3416=DATE(2026,12,1),"培训；注册午餐；机构晚餐",IF(C3416=Options!$B$9,"抵达；"&amp;IF(C3416=DATE(2026,11,28),"机构晚餐","无统一供餐"),IF(C3416=Options!$B$10,"返程；"&amp;IF(C3416=DATE(2026,12,2),"机构午餐","无统一供餐"),"差旅状态；无统一日程"))))))</f>
        <v/>
      </c>
      <c r="E3416" s="13">
        <f>IF(C3416=Options!$B$9,Options!$C$23,0)</f>
        <v/>
      </c>
      <c r="F3416" s="13">
        <f>IF(AND(A3416&lt;&gt;"",C3416&lt;Options!$B$10),B3416*Options!$X$9,0)</f>
        <v/>
      </c>
      <c r="G3416" s="13">
        <f>F3416*12%</f>
        <v/>
      </c>
      <c r="H3416" s="13">
        <f>IF(A3416="",0,B3416*(92*IF(OR(C3416=Options!$B$9,C3416=Options!$B$10),75%,100%)-IF(C3416=DATE(2026,11,29),26+IF(Options!$B$8="是",23,0),0)-IF(C3416=DATE(2026,11,30),26,0)-IF(C3416=DATE(2026,12,1),64,0)-IF(C3416=DATE(2026,11,28),38,0)-IF(C3416=DATE(2026,12,2),26,0)))</f>
        <v/>
      </c>
      <c r="I3416" s="13">
        <f>IF(AND(C3416&gt;=DATE(2026,11,29),C3416&lt;=DATE(2026,12,1)),B3416*60,0)</f>
        <v/>
      </c>
      <c r="J3416" s="13">
        <f>IF(A3416="",0,B3416*(IF(C3416=DATE(2026,11,28),38,0)+IF(C3416=DATE(2026,12,1),38,0)+IF(C3416=DATE(2026,12,2),26,0)))</f>
        <v/>
      </c>
      <c r="K3416" s="13">
        <f>IF(C3416=Options!$B$9,B3416*12,0)</f>
        <v/>
      </c>
      <c r="L3416" s="13">
        <f>IF(C3416=Options!$B$9,B3416*Options!$Z$9,0)</f>
        <v/>
      </c>
      <c r="M3416" s="13" t="n">
        <v>0</v>
      </c>
      <c r="N3416" s="13">
        <f>SUM(E3416:M3416)</f>
        <v/>
      </c>
    </row>
    <row r="3417">
      <c r="A3417" s="5">
        <f>IF(AND(C3417&gt;=Options!$B$9,C3417&lt;=Options!$B$10),"Seattle","")</f>
        <v/>
      </c>
      <c r="B3417" s="5">
        <f>IF(A3417="","",24)</f>
        <v/>
      </c>
      <c r="C3417" s="17" t="n">
        <v>46423</v>
      </c>
      <c r="D3417" s="5">
        <f>IF(A3417="","",IF(C3417=DATE(2026,11,29),"培训；注册午餐；早餐参数",IF(C3417=DATE(2026,11,30),"培训；注册午餐",IF(C3417=DATE(2026,12,1),"培训；注册午餐；机构晚餐",IF(C3417=Options!$B$9,"抵达；"&amp;IF(C3417=DATE(2026,11,28),"机构晚餐","无统一供餐"),IF(C3417=Options!$B$10,"返程；"&amp;IF(C3417=DATE(2026,12,2),"机构午餐","无统一供餐"),"差旅状态；无统一日程"))))))</f>
        <v/>
      </c>
      <c r="E3417" s="13">
        <f>IF(C3417=Options!$B$9,Options!$C$23,0)</f>
        <v/>
      </c>
      <c r="F3417" s="13">
        <f>IF(AND(A3417&lt;&gt;"",C3417&lt;Options!$B$10),B3417*Options!$X$9,0)</f>
        <v/>
      </c>
      <c r="G3417" s="13">
        <f>F3417*12%</f>
        <v/>
      </c>
      <c r="H3417" s="13">
        <f>IF(A3417="",0,B3417*(92*IF(OR(C3417=Options!$B$9,C3417=Options!$B$10),75%,100%)-IF(C3417=DATE(2026,11,29),26+IF(Options!$B$8="是",23,0),0)-IF(C3417=DATE(2026,11,30),26,0)-IF(C3417=DATE(2026,12,1),64,0)-IF(C3417=DATE(2026,11,28),38,0)-IF(C3417=DATE(2026,12,2),26,0)))</f>
        <v/>
      </c>
      <c r="I3417" s="13">
        <f>IF(AND(C3417&gt;=DATE(2026,11,29),C3417&lt;=DATE(2026,12,1)),B3417*60,0)</f>
        <v/>
      </c>
      <c r="J3417" s="13">
        <f>IF(A3417="",0,B3417*(IF(C3417=DATE(2026,11,28),38,0)+IF(C3417=DATE(2026,12,1),38,0)+IF(C3417=DATE(2026,12,2),26,0)))</f>
        <v/>
      </c>
      <c r="K3417" s="13">
        <f>IF(C3417=Options!$B$9,B3417*12,0)</f>
        <v/>
      </c>
      <c r="L3417" s="13">
        <f>IF(C3417=Options!$B$9,B3417*Options!$Z$9,0)</f>
        <v/>
      </c>
      <c r="M3417" s="13" t="n">
        <v>0</v>
      </c>
      <c r="N3417" s="13">
        <f>SUM(E3417:M3417)</f>
        <v/>
      </c>
    </row>
    <row r="3418">
      <c r="A3418" s="5">
        <f>IF(AND(C3418&gt;=Options!$B$9,C3418&lt;=Options!$B$10),"Seattle","")</f>
        <v/>
      </c>
      <c r="B3418" s="5">
        <f>IF(A3418="","",24)</f>
        <v/>
      </c>
      <c r="C3418" s="17" t="n">
        <v>46424</v>
      </c>
      <c r="D3418" s="5">
        <f>IF(A3418="","",IF(C3418=DATE(2026,11,29),"培训；注册午餐；早餐参数",IF(C3418=DATE(2026,11,30),"培训；注册午餐",IF(C3418=DATE(2026,12,1),"培训；注册午餐；机构晚餐",IF(C3418=Options!$B$9,"抵达；"&amp;IF(C3418=DATE(2026,11,28),"机构晚餐","无统一供餐"),IF(C3418=Options!$B$10,"返程；"&amp;IF(C3418=DATE(2026,12,2),"机构午餐","无统一供餐"),"差旅状态；无统一日程"))))))</f>
        <v/>
      </c>
      <c r="E3418" s="13">
        <f>IF(C3418=Options!$B$9,Options!$C$23,0)</f>
        <v/>
      </c>
      <c r="F3418" s="13">
        <f>IF(AND(A3418&lt;&gt;"",C3418&lt;Options!$B$10),B3418*Options!$X$9,0)</f>
        <v/>
      </c>
      <c r="G3418" s="13">
        <f>F3418*12%</f>
        <v/>
      </c>
      <c r="H3418" s="13">
        <f>IF(A3418="",0,B3418*(92*IF(OR(C3418=Options!$B$9,C3418=Options!$B$10),75%,100%)-IF(C3418=DATE(2026,11,29),26+IF(Options!$B$8="是",23,0),0)-IF(C3418=DATE(2026,11,30),26,0)-IF(C3418=DATE(2026,12,1),64,0)-IF(C3418=DATE(2026,11,28),38,0)-IF(C3418=DATE(2026,12,2),26,0)))</f>
        <v/>
      </c>
      <c r="I3418" s="13">
        <f>IF(AND(C3418&gt;=DATE(2026,11,29),C3418&lt;=DATE(2026,12,1)),B3418*60,0)</f>
        <v/>
      </c>
      <c r="J3418" s="13">
        <f>IF(A3418="",0,B3418*(IF(C3418=DATE(2026,11,28),38,0)+IF(C3418=DATE(2026,12,1),38,0)+IF(C3418=DATE(2026,12,2),26,0)))</f>
        <v/>
      </c>
      <c r="K3418" s="13">
        <f>IF(C3418=Options!$B$9,B3418*12,0)</f>
        <v/>
      </c>
      <c r="L3418" s="13">
        <f>IF(C3418=Options!$B$9,B3418*Options!$Z$9,0)</f>
        <v/>
      </c>
      <c r="M3418" s="13" t="n">
        <v>0</v>
      </c>
      <c r="N3418" s="13">
        <f>SUM(E3418:M3418)</f>
        <v/>
      </c>
    </row>
    <row r="3419">
      <c r="A3419" s="5">
        <f>IF(AND(C3419&gt;=Options!$B$9,C3419&lt;=Options!$B$10),"Seattle","")</f>
        <v/>
      </c>
      <c r="B3419" s="5">
        <f>IF(A3419="","",24)</f>
        <v/>
      </c>
      <c r="C3419" s="17" t="n">
        <v>46425</v>
      </c>
      <c r="D3419" s="5">
        <f>IF(A3419="","",IF(C3419=DATE(2026,11,29),"培训；注册午餐；早餐参数",IF(C3419=DATE(2026,11,30),"培训；注册午餐",IF(C3419=DATE(2026,12,1),"培训；注册午餐；机构晚餐",IF(C3419=Options!$B$9,"抵达；"&amp;IF(C3419=DATE(2026,11,28),"机构晚餐","无统一供餐"),IF(C3419=Options!$B$10,"返程；"&amp;IF(C3419=DATE(2026,12,2),"机构午餐","无统一供餐"),"差旅状态；无统一日程"))))))</f>
        <v/>
      </c>
      <c r="E3419" s="13">
        <f>IF(C3419=Options!$B$9,Options!$C$23,0)</f>
        <v/>
      </c>
      <c r="F3419" s="13">
        <f>IF(AND(A3419&lt;&gt;"",C3419&lt;Options!$B$10),B3419*Options!$X$9,0)</f>
        <v/>
      </c>
      <c r="G3419" s="13">
        <f>F3419*12%</f>
        <v/>
      </c>
      <c r="H3419" s="13">
        <f>IF(A3419="",0,B3419*(92*IF(OR(C3419=Options!$B$9,C3419=Options!$B$10),75%,100%)-IF(C3419=DATE(2026,11,29),26+IF(Options!$B$8="是",23,0),0)-IF(C3419=DATE(2026,11,30),26,0)-IF(C3419=DATE(2026,12,1),64,0)-IF(C3419=DATE(2026,11,28),38,0)-IF(C3419=DATE(2026,12,2),26,0)))</f>
        <v/>
      </c>
      <c r="I3419" s="13">
        <f>IF(AND(C3419&gt;=DATE(2026,11,29),C3419&lt;=DATE(2026,12,1)),B3419*60,0)</f>
        <v/>
      </c>
      <c r="J3419" s="13">
        <f>IF(A3419="",0,B3419*(IF(C3419=DATE(2026,11,28),38,0)+IF(C3419=DATE(2026,12,1),38,0)+IF(C3419=DATE(2026,12,2),26,0)))</f>
        <v/>
      </c>
      <c r="K3419" s="13">
        <f>IF(C3419=Options!$B$9,B3419*12,0)</f>
        <v/>
      </c>
      <c r="L3419" s="13">
        <f>IF(C3419=Options!$B$9,B3419*Options!$Z$9,0)</f>
        <v/>
      </c>
      <c r="M3419" s="13" t="n">
        <v>0</v>
      </c>
      <c r="N3419" s="13">
        <f>SUM(E3419:M3419)</f>
        <v/>
      </c>
    </row>
    <row r="3420">
      <c r="A3420" s="5">
        <f>IF(AND(C3420&gt;=Options!$B$9,C3420&lt;=Options!$B$10),"Seattle","")</f>
        <v/>
      </c>
      <c r="B3420" s="5">
        <f>IF(A3420="","",24)</f>
        <v/>
      </c>
      <c r="C3420" s="17" t="n">
        <v>46426</v>
      </c>
      <c r="D3420" s="5">
        <f>IF(A3420="","",IF(C3420=DATE(2026,11,29),"培训；注册午餐；早餐参数",IF(C3420=DATE(2026,11,30),"培训；注册午餐",IF(C3420=DATE(2026,12,1),"培训；注册午餐；机构晚餐",IF(C3420=Options!$B$9,"抵达；"&amp;IF(C3420=DATE(2026,11,28),"机构晚餐","无统一供餐"),IF(C3420=Options!$B$10,"返程；"&amp;IF(C3420=DATE(2026,12,2),"机构午餐","无统一供餐"),"差旅状态；无统一日程"))))))</f>
        <v/>
      </c>
      <c r="E3420" s="13">
        <f>IF(C3420=Options!$B$9,Options!$C$23,0)</f>
        <v/>
      </c>
      <c r="F3420" s="13">
        <f>IF(AND(A3420&lt;&gt;"",C3420&lt;Options!$B$10),B3420*Options!$X$9,0)</f>
        <v/>
      </c>
      <c r="G3420" s="13">
        <f>F3420*12%</f>
        <v/>
      </c>
      <c r="H3420" s="13">
        <f>IF(A3420="",0,B3420*(92*IF(OR(C3420=Options!$B$9,C3420=Options!$B$10),75%,100%)-IF(C3420=DATE(2026,11,29),26+IF(Options!$B$8="是",23,0),0)-IF(C3420=DATE(2026,11,30),26,0)-IF(C3420=DATE(2026,12,1),64,0)-IF(C3420=DATE(2026,11,28),38,0)-IF(C3420=DATE(2026,12,2),26,0)))</f>
        <v/>
      </c>
      <c r="I3420" s="13">
        <f>IF(AND(C3420&gt;=DATE(2026,11,29),C3420&lt;=DATE(2026,12,1)),B3420*60,0)</f>
        <v/>
      </c>
      <c r="J3420" s="13">
        <f>IF(A3420="",0,B3420*(IF(C3420=DATE(2026,11,28),38,0)+IF(C3420=DATE(2026,12,1),38,0)+IF(C3420=DATE(2026,12,2),26,0)))</f>
        <v/>
      </c>
      <c r="K3420" s="13">
        <f>IF(C3420=Options!$B$9,B3420*12,0)</f>
        <v/>
      </c>
      <c r="L3420" s="13">
        <f>IF(C3420=Options!$B$9,B3420*Options!$Z$9,0)</f>
        <v/>
      </c>
      <c r="M3420" s="13" t="n">
        <v>0</v>
      </c>
      <c r="N3420" s="13">
        <f>SUM(E3420:M3420)</f>
        <v/>
      </c>
    </row>
    <row r="3421">
      <c r="A3421" s="5">
        <f>IF(AND(C3421&gt;=Options!$B$9,C3421&lt;=Options!$B$10),"Seattle","")</f>
        <v/>
      </c>
      <c r="B3421" s="5">
        <f>IF(A3421="","",24)</f>
        <v/>
      </c>
      <c r="C3421" s="17" t="n">
        <v>46427</v>
      </c>
      <c r="D3421" s="5">
        <f>IF(A3421="","",IF(C3421=DATE(2026,11,29),"培训；注册午餐；早餐参数",IF(C3421=DATE(2026,11,30),"培训；注册午餐",IF(C3421=DATE(2026,12,1),"培训；注册午餐；机构晚餐",IF(C3421=Options!$B$9,"抵达；"&amp;IF(C3421=DATE(2026,11,28),"机构晚餐","无统一供餐"),IF(C3421=Options!$B$10,"返程；"&amp;IF(C3421=DATE(2026,12,2),"机构午餐","无统一供餐"),"差旅状态；无统一日程"))))))</f>
        <v/>
      </c>
      <c r="E3421" s="13">
        <f>IF(C3421=Options!$B$9,Options!$C$23,0)</f>
        <v/>
      </c>
      <c r="F3421" s="13">
        <f>IF(AND(A3421&lt;&gt;"",C3421&lt;Options!$B$10),B3421*Options!$X$9,0)</f>
        <v/>
      </c>
      <c r="G3421" s="13">
        <f>F3421*12%</f>
        <v/>
      </c>
      <c r="H3421" s="13">
        <f>IF(A3421="",0,B3421*(92*IF(OR(C3421=Options!$B$9,C3421=Options!$B$10),75%,100%)-IF(C3421=DATE(2026,11,29),26+IF(Options!$B$8="是",23,0),0)-IF(C3421=DATE(2026,11,30),26,0)-IF(C3421=DATE(2026,12,1),64,0)-IF(C3421=DATE(2026,11,28),38,0)-IF(C3421=DATE(2026,12,2),26,0)))</f>
        <v/>
      </c>
      <c r="I3421" s="13">
        <f>IF(AND(C3421&gt;=DATE(2026,11,29),C3421&lt;=DATE(2026,12,1)),B3421*60,0)</f>
        <v/>
      </c>
      <c r="J3421" s="13">
        <f>IF(A3421="",0,B3421*(IF(C3421=DATE(2026,11,28),38,0)+IF(C3421=DATE(2026,12,1),38,0)+IF(C3421=DATE(2026,12,2),26,0)))</f>
        <v/>
      </c>
      <c r="K3421" s="13">
        <f>IF(C3421=Options!$B$9,B3421*12,0)</f>
        <v/>
      </c>
      <c r="L3421" s="13">
        <f>IF(C3421=Options!$B$9,B3421*Options!$Z$9,0)</f>
        <v/>
      </c>
      <c r="M3421" s="13" t="n">
        <v>0</v>
      </c>
      <c r="N3421" s="13">
        <f>SUM(E3421:M3421)</f>
        <v/>
      </c>
    </row>
    <row r="3422">
      <c r="A3422" s="5">
        <f>IF(AND(C3422&gt;=Options!$B$9,C3422&lt;=Options!$B$10),"Seattle","")</f>
        <v/>
      </c>
      <c r="B3422" s="5">
        <f>IF(A3422="","",24)</f>
        <v/>
      </c>
      <c r="C3422" s="17" t="n">
        <v>46428</v>
      </c>
      <c r="D3422" s="5">
        <f>IF(A3422="","",IF(C3422=DATE(2026,11,29),"培训；注册午餐；早餐参数",IF(C3422=DATE(2026,11,30),"培训；注册午餐",IF(C3422=DATE(2026,12,1),"培训；注册午餐；机构晚餐",IF(C3422=Options!$B$9,"抵达；"&amp;IF(C3422=DATE(2026,11,28),"机构晚餐","无统一供餐"),IF(C3422=Options!$B$10,"返程；"&amp;IF(C3422=DATE(2026,12,2),"机构午餐","无统一供餐"),"差旅状态；无统一日程"))))))</f>
        <v/>
      </c>
      <c r="E3422" s="13">
        <f>IF(C3422=Options!$B$9,Options!$C$23,0)</f>
        <v/>
      </c>
      <c r="F3422" s="13">
        <f>IF(AND(A3422&lt;&gt;"",C3422&lt;Options!$B$10),B3422*Options!$X$9,0)</f>
        <v/>
      </c>
      <c r="G3422" s="13">
        <f>F3422*12%</f>
        <v/>
      </c>
      <c r="H3422" s="13">
        <f>IF(A3422="",0,B3422*(92*IF(OR(C3422=Options!$B$9,C3422=Options!$B$10),75%,100%)-IF(C3422=DATE(2026,11,29),26+IF(Options!$B$8="是",23,0),0)-IF(C3422=DATE(2026,11,30),26,0)-IF(C3422=DATE(2026,12,1),64,0)-IF(C3422=DATE(2026,11,28),38,0)-IF(C3422=DATE(2026,12,2),26,0)))</f>
        <v/>
      </c>
      <c r="I3422" s="13">
        <f>IF(AND(C3422&gt;=DATE(2026,11,29),C3422&lt;=DATE(2026,12,1)),B3422*60,0)</f>
        <v/>
      </c>
      <c r="J3422" s="13">
        <f>IF(A3422="",0,B3422*(IF(C3422=DATE(2026,11,28),38,0)+IF(C3422=DATE(2026,12,1),38,0)+IF(C3422=DATE(2026,12,2),26,0)))</f>
        <v/>
      </c>
      <c r="K3422" s="13">
        <f>IF(C3422=Options!$B$9,B3422*12,0)</f>
        <v/>
      </c>
      <c r="L3422" s="13">
        <f>IF(C3422=Options!$B$9,B3422*Options!$Z$9,0)</f>
        <v/>
      </c>
      <c r="M3422" s="13" t="n">
        <v>0</v>
      </c>
      <c r="N3422" s="13">
        <f>SUM(E3422:M3422)</f>
        <v/>
      </c>
    </row>
    <row r="3423">
      <c r="A3423" s="5">
        <f>IF(AND(C3423&gt;=Options!$B$9,C3423&lt;=Options!$B$10),"Seattle","")</f>
        <v/>
      </c>
      <c r="B3423" s="5">
        <f>IF(A3423="","",24)</f>
        <v/>
      </c>
      <c r="C3423" s="17" t="n">
        <v>46429</v>
      </c>
      <c r="D3423" s="5">
        <f>IF(A3423="","",IF(C3423=DATE(2026,11,29),"培训；注册午餐；早餐参数",IF(C3423=DATE(2026,11,30),"培训；注册午餐",IF(C3423=DATE(2026,12,1),"培训；注册午餐；机构晚餐",IF(C3423=Options!$B$9,"抵达；"&amp;IF(C3423=DATE(2026,11,28),"机构晚餐","无统一供餐"),IF(C3423=Options!$B$10,"返程；"&amp;IF(C3423=DATE(2026,12,2),"机构午餐","无统一供餐"),"差旅状态；无统一日程"))))))</f>
        <v/>
      </c>
      <c r="E3423" s="13">
        <f>IF(C3423=Options!$B$9,Options!$C$23,0)</f>
        <v/>
      </c>
      <c r="F3423" s="13">
        <f>IF(AND(A3423&lt;&gt;"",C3423&lt;Options!$B$10),B3423*Options!$X$9,0)</f>
        <v/>
      </c>
      <c r="G3423" s="13">
        <f>F3423*12%</f>
        <v/>
      </c>
      <c r="H3423" s="13">
        <f>IF(A3423="",0,B3423*(92*IF(OR(C3423=Options!$B$9,C3423=Options!$B$10),75%,100%)-IF(C3423=DATE(2026,11,29),26+IF(Options!$B$8="是",23,0),0)-IF(C3423=DATE(2026,11,30),26,0)-IF(C3423=DATE(2026,12,1),64,0)-IF(C3423=DATE(2026,11,28),38,0)-IF(C3423=DATE(2026,12,2),26,0)))</f>
        <v/>
      </c>
      <c r="I3423" s="13">
        <f>IF(AND(C3423&gt;=DATE(2026,11,29),C3423&lt;=DATE(2026,12,1)),B3423*60,0)</f>
        <v/>
      </c>
      <c r="J3423" s="13">
        <f>IF(A3423="",0,B3423*(IF(C3423=DATE(2026,11,28),38,0)+IF(C3423=DATE(2026,12,1),38,0)+IF(C3423=DATE(2026,12,2),26,0)))</f>
        <v/>
      </c>
      <c r="K3423" s="13">
        <f>IF(C3423=Options!$B$9,B3423*12,0)</f>
        <v/>
      </c>
      <c r="L3423" s="13">
        <f>IF(C3423=Options!$B$9,B3423*Options!$Z$9,0)</f>
        <v/>
      </c>
      <c r="M3423" s="13" t="n">
        <v>0</v>
      </c>
      <c r="N3423" s="13">
        <f>SUM(E3423:M3423)</f>
        <v/>
      </c>
    </row>
    <row r="3424">
      <c r="A3424" s="5">
        <f>IF(AND(C3424&gt;=Options!$B$9,C3424&lt;=Options!$B$10),"Seattle","")</f>
        <v/>
      </c>
      <c r="B3424" s="5">
        <f>IF(A3424="","",24)</f>
        <v/>
      </c>
      <c r="C3424" s="17" t="n">
        <v>46430</v>
      </c>
      <c r="D3424" s="5">
        <f>IF(A3424="","",IF(C3424=DATE(2026,11,29),"培训；注册午餐；早餐参数",IF(C3424=DATE(2026,11,30),"培训；注册午餐",IF(C3424=DATE(2026,12,1),"培训；注册午餐；机构晚餐",IF(C3424=Options!$B$9,"抵达；"&amp;IF(C3424=DATE(2026,11,28),"机构晚餐","无统一供餐"),IF(C3424=Options!$B$10,"返程；"&amp;IF(C3424=DATE(2026,12,2),"机构午餐","无统一供餐"),"差旅状态；无统一日程"))))))</f>
        <v/>
      </c>
      <c r="E3424" s="13">
        <f>IF(C3424=Options!$B$9,Options!$C$23,0)</f>
        <v/>
      </c>
      <c r="F3424" s="13">
        <f>IF(AND(A3424&lt;&gt;"",C3424&lt;Options!$B$10),B3424*Options!$X$9,0)</f>
        <v/>
      </c>
      <c r="G3424" s="13">
        <f>F3424*12%</f>
        <v/>
      </c>
      <c r="H3424" s="13">
        <f>IF(A3424="",0,B3424*(92*IF(OR(C3424=Options!$B$9,C3424=Options!$B$10),75%,100%)-IF(C3424=DATE(2026,11,29),26+IF(Options!$B$8="是",23,0),0)-IF(C3424=DATE(2026,11,30),26,0)-IF(C3424=DATE(2026,12,1),64,0)-IF(C3424=DATE(2026,11,28),38,0)-IF(C3424=DATE(2026,12,2),26,0)))</f>
        <v/>
      </c>
      <c r="I3424" s="13">
        <f>IF(AND(C3424&gt;=DATE(2026,11,29),C3424&lt;=DATE(2026,12,1)),B3424*60,0)</f>
        <v/>
      </c>
      <c r="J3424" s="13">
        <f>IF(A3424="",0,B3424*(IF(C3424=DATE(2026,11,28),38,0)+IF(C3424=DATE(2026,12,1),38,0)+IF(C3424=DATE(2026,12,2),26,0)))</f>
        <v/>
      </c>
      <c r="K3424" s="13">
        <f>IF(C3424=Options!$B$9,B3424*12,0)</f>
        <v/>
      </c>
      <c r="L3424" s="13">
        <f>IF(C3424=Options!$B$9,B3424*Options!$Z$9,0)</f>
        <v/>
      </c>
      <c r="M3424" s="13" t="n">
        <v>0</v>
      </c>
      <c r="N3424" s="13">
        <f>SUM(E3424:M3424)</f>
        <v/>
      </c>
    </row>
    <row r="3425">
      <c r="A3425" s="5">
        <f>IF(AND(C3425&gt;=Options!$B$9,C3425&lt;=Options!$B$10),"Seattle","")</f>
        <v/>
      </c>
      <c r="B3425" s="5">
        <f>IF(A3425="","",24)</f>
        <v/>
      </c>
      <c r="C3425" s="17" t="n">
        <v>46431</v>
      </c>
      <c r="D3425" s="5">
        <f>IF(A3425="","",IF(C3425=DATE(2026,11,29),"培训；注册午餐；早餐参数",IF(C3425=DATE(2026,11,30),"培训；注册午餐",IF(C3425=DATE(2026,12,1),"培训；注册午餐；机构晚餐",IF(C3425=Options!$B$9,"抵达；"&amp;IF(C3425=DATE(2026,11,28),"机构晚餐","无统一供餐"),IF(C3425=Options!$B$10,"返程；"&amp;IF(C3425=DATE(2026,12,2),"机构午餐","无统一供餐"),"差旅状态；无统一日程"))))))</f>
        <v/>
      </c>
      <c r="E3425" s="13">
        <f>IF(C3425=Options!$B$9,Options!$C$23,0)</f>
        <v/>
      </c>
      <c r="F3425" s="13">
        <f>IF(AND(A3425&lt;&gt;"",C3425&lt;Options!$B$10),B3425*Options!$X$9,0)</f>
        <v/>
      </c>
      <c r="G3425" s="13">
        <f>F3425*12%</f>
        <v/>
      </c>
      <c r="H3425" s="13">
        <f>IF(A3425="",0,B3425*(92*IF(OR(C3425=Options!$B$9,C3425=Options!$B$10),75%,100%)-IF(C3425=DATE(2026,11,29),26+IF(Options!$B$8="是",23,0),0)-IF(C3425=DATE(2026,11,30),26,0)-IF(C3425=DATE(2026,12,1),64,0)-IF(C3425=DATE(2026,11,28),38,0)-IF(C3425=DATE(2026,12,2),26,0)))</f>
        <v/>
      </c>
      <c r="I3425" s="13">
        <f>IF(AND(C3425&gt;=DATE(2026,11,29),C3425&lt;=DATE(2026,12,1)),B3425*60,0)</f>
        <v/>
      </c>
      <c r="J3425" s="13">
        <f>IF(A3425="",0,B3425*(IF(C3425=DATE(2026,11,28),38,0)+IF(C3425=DATE(2026,12,1),38,0)+IF(C3425=DATE(2026,12,2),26,0)))</f>
        <v/>
      </c>
      <c r="K3425" s="13">
        <f>IF(C3425=Options!$B$9,B3425*12,0)</f>
        <v/>
      </c>
      <c r="L3425" s="13">
        <f>IF(C3425=Options!$B$9,B3425*Options!$Z$9,0)</f>
        <v/>
      </c>
      <c r="M3425" s="13" t="n">
        <v>0</v>
      </c>
      <c r="N3425" s="13">
        <f>SUM(E3425:M3425)</f>
        <v/>
      </c>
    </row>
    <row r="3426">
      <c r="A3426" s="5">
        <f>IF(AND(C3426&gt;=Options!$B$9,C3426&lt;=Options!$B$10),"Seattle","")</f>
        <v/>
      </c>
      <c r="B3426" s="5">
        <f>IF(A3426="","",24)</f>
        <v/>
      </c>
      <c r="C3426" s="17" t="n">
        <v>46432</v>
      </c>
      <c r="D3426" s="5">
        <f>IF(A3426="","",IF(C3426=DATE(2026,11,29),"培训；注册午餐；早餐参数",IF(C3426=DATE(2026,11,30),"培训；注册午餐",IF(C3426=DATE(2026,12,1),"培训；注册午餐；机构晚餐",IF(C3426=Options!$B$9,"抵达；"&amp;IF(C3426=DATE(2026,11,28),"机构晚餐","无统一供餐"),IF(C3426=Options!$B$10,"返程；"&amp;IF(C3426=DATE(2026,12,2),"机构午餐","无统一供餐"),"差旅状态；无统一日程"))))))</f>
        <v/>
      </c>
      <c r="E3426" s="13">
        <f>IF(C3426=Options!$B$9,Options!$C$23,0)</f>
        <v/>
      </c>
      <c r="F3426" s="13">
        <f>IF(AND(A3426&lt;&gt;"",C3426&lt;Options!$B$10),B3426*Options!$X$9,0)</f>
        <v/>
      </c>
      <c r="G3426" s="13">
        <f>F3426*12%</f>
        <v/>
      </c>
      <c r="H3426" s="13">
        <f>IF(A3426="",0,B3426*(92*IF(OR(C3426=Options!$B$9,C3426=Options!$B$10),75%,100%)-IF(C3426=DATE(2026,11,29),26+IF(Options!$B$8="是",23,0),0)-IF(C3426=DATE(2026,11,30),26,0)-IF(C3426=DATE(2026,12,1),64,0)-IF(C3426=DATE(2026,11,28),38,0)-IF(C3426=DATE(2026,12,2),26,0)))</f>
        <v/>
      </c>
      <c r="I3426" s="13">
        <f>IF(AND(C3426&gt;=DATE(2026,11,29),C3426&lt;=DATE(2026,12,1)),B3426*60,0)</f>
        <v/>
      </c>
      <c r="J3426" s="13">
        <f>IF(A3426="",0,B3426*(IF(C3426=DATE(2026,11,28),38,0)+IF(C3426=DATE(2026,12,1),38,0)+IF(C3426=DATE(2026,12,2),26,0)))</f>
        <v/>
      </c>
      <c r="K3426" s="13">
        <f>IF(C3426=Options!$B$9,B3426*12,0)</f>
        <v/>
      </c>
      <c r="L3426" s="13">
        <f>IF(C3426=Options!$B$9,B3426*Options!$Z$9,0)</f>
        <v/>
      </c>
      <c r="M3426" s="13" t="n">
        <v>0</v>
      </c>
      <c r="N3426" s="13">
        <f>SUM(E3426:M3426)</f>
        <v/>
      </c>
    </row>
    <row r="3427">
      <c r="A3427" s="5">
        <f>IF(AND(C3427&gt;=Options!$B$9,C3427&lt;=Options!$B$10),"Seattle","")</f>
        <v/>
      </c>
      <c r="B3427" s="5">
        <f>IF(A3427="","",24)</f>
        <v/>
      </c>
      <c r="C3427" s="17" t="n">
        <v>46433</v>
      </c>
      <c r="D3427" s="5">
        <f>IF(A3427="","",IF(C3427=DATE(2026,11,29),"培训；注册午餐；早餐参数",IF(C3427=DATE(2026,11,30),"培训；注册午餐",IF(C3427=DATE(2026,12,1),"培训；注册午餐；机构晚餐",IF(C3427=Options!$B$9,"抵达；"&amp;IF(C3427=DATE(2026,11,28),"机构晚餐","无统一供餐"),IF(C3427=Options!$B$10,"返程；"&amp;IF(C3427=DATE(2026,12,2),"机构午餐","无统一供餐"),"差旅状态；无统一日程"))))))</f>
        <v/>
      </c>
      <c r="E3427" s="13">
        <f>IF(C3427=Options!$B$9,Options!$C$23,0)</f>
        <v/>
      </c>
      <c r="F3427" s="13">
        <f>IF(AND(A3427&lt;&gt;"",C3427&lt;Options!$B$10),B3427*Options!$X$9,0)</f>
        <v/>
      </c>
      <c r="G3427" s="13">
        <f>F3427*12%</f>
        <v/>
      </c>
      <c r="H3427" s="13">
        <f>IF(A3427="",0,B3427*(92*IF(OR(C3427=Options!$B$9,C3427=Options!$B$10),75%,100%)-IF(C3427=DATE(2026,11,29),26+IF(Options!$B$8="是",23,0),0)-IF(C3427=DATE(2026,11,30),26,0)-IF(C3427=DATE(2026,12,1),64,0)-IF(C3427=DATE(2026,11,28),38,0)-IF(C3427=DATE(2026,12,2),26,0)))</f>
        <v/>
      </c>
      <c r="I3427" s="13">
        <f>IF(AND(C3427&gt;=DATE(2026,11,29),C3427&lt;=DATE(2026,12,1)),B3427*60,0)</f>
        <v/>
      </c>
      <c r="J3427" s="13">
        <f>IF(A3427="",0,B3427*(IF(C3427=DATE(2026,11,28),38,0)+IF(C3427=DATE(2026,12,1),38,0)+IF(C3427=DATE(2026,12,2),26,0)))</f>
        <v/>
      </c>
      <c r="K3427" s="13">
        <f>IF(C3427=Options!$B$9,B3427*12,0)</f>
        <v/>
      </c>
      <c r="L3427" s="13">
        <f>IF(C3427=Options!$B$9,B3427*Options!$Z$9,0)</f>
        <v/>
      </c>
      <c r="M3427" s="13" t="n">
        <v>0</v>
      </c>
      <c r="N3427" s="13">
        <f>SUM(E3427:M3427)</f>
        <v/>
      </c>
    </row>
    <row r="3428">
      <c r="A3428" s="5">
        <f>IF(AND(C3428&gt;=Options!$B$9,C3428&lt;=Options!$B$10),"Seattle","")</f>
        <v/>
      </c>
      <c r="B3428" s="5">
        <f>IF(A3428="","",24)</f>
        <v/>
      </c>
      <c r="C3428" s="17" t="n">
        <v>46434</v>
      </c>
      <c r="D3428" s="5">
        <f>IF(A3428="","",IF(C3428=DATE(2026,11,29),"培训；注册午餐；早餐参数",IF(C3428=DATE(2026,11,30),"培训；注册午餐",IF(C3428=DATE(2026,12,1),"培训；注册午餐；机构晚餐",IF(C3428=Options!$B$9,"抵达；"&amp;IF(C3428=DATE(2026,11,28),"机构晚餐","无统一供餐"),IF(C3428=Options!$B$10,"返程；"&amp;IF(C3428=DATE(2026,12,2),"机构午餐","无统一供餐"),"差旅状态；无统一日程"))))))</f>
        <v/>
      </c>
      <c r="E3428" s="13">
        <f>IF(C3428=Options!$B$9,Options!$C$23,0)</f>
        <v/>
      </c>
      <c r="F3428" s="13">
        <f>IF(AND(A3428&lt;&gt;"",C3428&lt;Options!$B$10),B3428*Options!$X$9,0)</f>
        <v/>
      </c>
      <c r="G3428" s="13">
        <f>F3428*12%</f>
        <v/>
      </c>
      <c r="H3428" s="13">
        <f>IF(A3428="",0,B3428*(92*IF(OR(C3428=Options!$B$9,C3428=Options!$B$10),75%,100%)-IF(C3428=DATE(2026,11,29),26+IF(Options!$B$8="是",23,0),0)-IF(C3428=DATE(2026,11,30),26,0)-IF(C3428=DATE(2026,12,1),64,0)-IF(C3428=DATE(2026,11,28),38,0)-IF(C3428=DATE(2026,12,2),26,0)))</f>
        <v/>
      </c>
      <c r="I3428" s="13">
        <f>IF(AND(C3428&gt;=DATE(2026,11,29),C3428&lt;=DATE(2026,12,1)),B3428*60,0)</f>
        <v/>
      </c>
      <c r="J3428" s="13">
        <f>IF(A3428="",0,B3428*(IF(C3428=DATE(2026,11,28),38,0)+IF(C3428=DATE(2026,12,1),38,0)+IF(C3428=DATE(2026,12,2),26,0)))</f>
        <v/>
      </c>
      <c r="K3428" s="13">
        <f>IF(C3428=Options!$B$9,B3428*12,0)</f>
        <v/>
      </c>
      <c r="L3428" s="13">
        <f>IF(C3428=Options!$B$9,B3428*Options!$Z$9,0)</f>
        <v/>
      </c>
      <c r="M3428" s="13" t="n">
        <v>0</v>
      </c>
      <c r="N3428" s="13">
        <f>SUM(E3428:M3428)</f>
        <v/>
      </c>
    </row>
    <row r="3429">
      <c r="A3429" s="5">
        <f>IF(AND(C3429&gt;=Options!$B$9,C3429&lt;=Options!$B$10),"Seattle","")</f>
        <v/>
      </c>
      <c r="B3429" s="5">
        <f>IF(A3429="","",24)</f>
        <v/>
      </c>
      <c r="C3429" s="17" t="n">
        <v>46435</v>
      </c>
      <c r="D3429" s="5">
        <f>IF(A3429="","",IF(C3429=DATE(2026,11,29),"培训；注册午餐；早餐参数",IF(C3429=DATE(2026,11,30),"培训；注册午餐",IF(C3429=DATE(2026,12,1),"培训；注册午餐；机构晚餐",IF(C3429=Options!$B$9,"抵达；"&amp;IF(C3429=DATE(2026,11,28),"机构晚餐","无统一供餐"),IF(C3429=Options!$B$10,"返程；"&amp;IF(C3429=DATE(2026,12,2),"机构午餐","无统一供餐"),"差旅状态；无统一日程"))))))</f>
        <v/>
      </c>
      <c r="E3429" s="13">
        <f>IF(C3429=Options!$B$9,Options!$C$23,0)</f>
        <v/>
      </c>
      <c r="F3429" s="13">
        <f>IF(AND(A3429&lt;&gt;"",C3429&lt;Options!$B$10),B3429*Options!$X$9,0)</f>
        <v/>
      </c>
      <c r="G3429" s="13">
        <f>F3429*12%</f>
        <v/>
      </c>
      <c r="H3429" s="13">
        <f>IF(A3429="",0,B3429*(92*IF(OR(C3429=Options!$B$9,C3429=Options!$B$10),75%,100%)-IF(C3429=DATE(2026,11,29),26+IF(Options!$B$8="是",23,0),0)-IF(C3429=DATE(2026,11,30),26,0)-IF(C3429=DATE(2026,12,1),64,0)-IF(C3429=DATE(2026,11,28),38,0)-IF(C3429=DATE(2026,12,2),26,0)))</f>
        <v/>
      </c>
      <c r="I3429" s="13">
        <f>IF(AND(C3429&gt;=DATE(2026,11,29),C3429&lt;=DATE(2026,12,1)),B3429*60,0)</f>
        <v/>
      </c>
      <c r="J3429" s="13">
        <f>IF(A3429="",0,B3429*(IF(C3429=DATE(2026,11,28),38,0)+IF(C3429=DATE(2026,12,1),38,0)+IF(C3429=DATE(2026,12,2),26,0)))</f>
        <v/>
      </c>
      <c r="K3429" s="13">
        <f>IF(C3429=Options!$B$9,B3429*12,0)</f>
        <v/>
      </c>
      <c r="L3429" s="13">
        <f>IF(C3429=Options!$B$9,B3429*Options!$Z$9,0)</f>
        <v/>
      </c>
      <c r="M3429" s="13" t="n">
        <v>0</v>
      </c>
      <c r="N3429" s="13">
        <f>SUM(E3429:M3429)</f>
        <v/>
      </c>
    </row>
    <row r="3430">
      <c r="A3430" s="5">
        <f>IF(AND(C3430&gt;=Options!$B$9,C3430&lt;=Options!$B$10),"Seattle","")</f>
        <v/>
      </c>
      <c r="B3430" s="5">
        <f>IF(A3430="","",24)</f>
        <v/>
      </c>
      <c r="C3430" s="17" t="n">
        <v>46436</v>
      </c>
      <c r="D3430" s="5">
        <f>IF(A3430="","",IF(C3430=DATE(2026,11,29),"培训；注册午餐；早餐参数",IF(C3430=DATE(2026,11,30),"培训；注册午餐",IF(C3430=DATE(2026,12,1),"培训；注册午餐；机构晚餐",IF(C3430=Options!$B$9,"抵达；"&amp;IF(C3430=DATE(2026,11,28),"机构晚餐","无统一供餐"),IF(C3430=Options!$B$10,"返程；"&amp;IF(C3430=DATE(2026,12,2),"机构午餐","无统一供餐"),"差旅状态；无统一日程"))))))</f>
        <v/>
      </c>
      <c r="E3430" s="13">
        <f>IF(C3430=Options!$B$9,Options!$C$23,0)</f>
        <v/>
      </c>
      <c r="F3430" s="13">
        <f>IF(AND(A3430&lt;&gt;"",C3430&lt;Options!$B$10),B3430*Options!$X$9,0)</f>
        <v/>
      </c>
      <c r="G3430" s="13">
        <f>F3430*12%</f>
        <v/>
      </c>
      <c r="H3430" s="13">
        <f>IF(A3430="",0,B3430*(92*IF(OR(C3430=Options!$B$9,C3430=Options!$B$10),75%,100%)-IF(C3430=DATE(2026,11,29),26+IF(Options!$B$8="是",23,0),0)-IF(C3430=DATE(2026,11,30),26,0)-IF(C3430=DATE(2026,12,1),64,0)-IF(C3430=DATE(2026,11,28),38,0)-IF(C3430=DATE(2026,12,2),26,0)))</f>
        <v/>
      </c>
      <c r="I3430" s="13">
        <f>IF(AND(C3430&gt;=DATE(2026,11,29),C3430&lt;=DATE(2026,12,1)),B3430*60,0)</f>
        <v/>
      </c>
      <c r="J3430" s="13">
        <f>IF(A3430="",0,B3430*(IF(C3430=DATE(2026,11,28),38,0)+IF(C3430=DATE(2026,12,1),38,0)+IF(C3430=DATE(2026,12,2),26,0)))</f>
        <v/>
      </c>
      <c r="K3430" s="13">
        <f>IF(C3430=Options!$B$9,B3430*12,0)</f>
        <v/>
      </c>
      <c r="L3430" s="13">
        <f>IF(C3430=Options!$B$9,B3430*Options!$Z$9,0)</f>
        <v/>
      </c>
      <c r="M3430" s="13" t="n">
        <v>0</v>
      </c>
      <c r="N3430" s="13">
        <f>SUM(E3430:M3430)</f>
        <v/>
      </c>
    </row>
    <row r="3431">
      <c r="A3431" s="5">
        <f>IF(AND(C3431&gt;=Options!$B$9,C3431&lt;=Options!$B$10),"Seattle","")</f>
        <v/>
      </c>
      <c r="B3431" s="5">
        <f>IF(A3431="","",24)</f>
        <v/>
      </c>
      <c r="C3431" s="17" t="n">
        <v>46437</v>
      </c>
      <c r="D3431" s="5">
        <f>IF(A3431="","",IF(C3431=DATE(2026,11,29),"培训；注册午餐；早餐参数",IF(C3431=DATE(2026,11,30),"培训；注册午餐",IF(C3431=DATE(2026,12,1),"培训；注册午餐；机构晚餐",IF(C3431=Options!$B$9,"抵达；"&amp;IF(C3431=DATE(2026,11,28),"机构晚餐","无统一供餐"),IF(C3431=Options!$B$10,"返程；"&amp;IF(C3431=DATE(2026,12,2),"机构午餐","无统一供餐"),"差旅状态；无统一日程"))))))</f>
        <v/>
      </c>
      <c r="E3431" s="13">
        <f>IF(C3431=Options!$B$9,Options!$C$23,0)</f>
        <v/>
      </c>
      <c r="F3431" s="13">
        <f>IF(AND(A3431&lt;&gt;"",C3431&lt;Options!$B$10),B3431*Options!$X$9,0)</f>
        <v/>
      </c>
      <c r="G3431" s="13">
        <f>F3431*12%</f>
        <v/>
      </c>
      <c r="H3431" s="13">
        <f>IF(A3431="",0,B3431*(92*IF(OR(C3431=Options!$B$9,C3431=Options!$B$10),75%,100%)-IF(C3431=DATE(2026,11,29),26+IF(Options!$B$8="是",23,0),0)-IF(C3431=DATE(2026,11,30),26,0)-IF(C3431=DATE(2026,12,1),64,0)-IF(C3431=DATE(2026,11,28),38,0)-IF(C3431=DATE(2026,12,2),26,0)))</f>
        <v/>
      </c>
      <c r="I3431" s="13">
        <f>IF(AND(C3431&gt;=DATE(2026,11,29),C3431&lt;=DATE(2026,12,1)),B3431*60,0)</f>
        <v/>
      </c>
      <c r="J3431" s="13">
        <f>IF(A3431="",0,B3431*(IF(C3431=DATE(2026,11,28),38,0)+IF(C3431=DATE(2026,12,1),38,0)+IF(C3431=DATE(2026,12,2),26,0)))</f>
        <v/>
      </c>
      <c r="K3431" s="13">
        <f>IF(C3431=Options!$B$9,B3431*12,0)</f>
        <v/>
      </c>
      <c r="L3431" s="13">
        <f>IF(C3431=Options!$B$9,B3431*Options!$Z$9,0)</f>
        <v/>
      </c>
      <c r="M3431" s="13" t="n">
        <v>0</v>
      </c>
      <c r="N3431" s="13">
        <f>SUM(E3431:M3431)</f>
        <v/>
      </c>
    </row>
    <row r="3432">
      <c r="A3432" s="5">
        <f>IF(AND(C3432&gt;=Options!$B$9,C3432&lt;=Options!$B$10),"Seattle","")</f>
        <v/>
      </c>
      <c r="B3432" s="5">
        <f>IF(A3432="","",24)</f>
        <v/>
      </c>
      <c r="C3432" s="17" t="n">
        <v>46438</v>
      </c>
      <c r="D3432" s="5">
        <f>IF(A3432="","",IF(C3432=DATE(2026,11,29),"培训；注册午餐；早餐参数",IF(C3432=DATE(2026,11,30),"培训；注册午餐",IF(C3432=DATE(2026,12,1),"培训；注册午餐；机构晚餐",IF(C3432=Options!$B$9,"抵达；"&amp;IF(C3432=DATE(2026,11,28),"机构晚餐","无统一供餐"),IF(C3432=Options!$B$10,"返程；"&amp;IF(C3432=DATE(2026,12,2),"机构午餐","无统一供餐"),"差旅状态；无统一日程"))))))</f>
        <v/>
      </c>
      <c r="E3432" s="13">
        <f>IF(C3432=Options!$B$9,Options!$C$23,0)</f>
        <v/>
      </c>
      <c r="F3432" s="13">
        <f>IF(AND(A3432&lt;&gt;"",C3432&lt;Options!$B$10),B3432*Options!$X$9,0)</f>
        <v/>
      </c>
      <c r="G3432" s="13">
        <f>F3432*12%</f>
        <v/>
      </c>
      <c r="H3432" s="13">
        <f>IF(A3432="",0,B3432*(92*IF(OR(C3432=Options!$B$9,C3432=Options!$B$10),75%,100%)-IF(C3432=DATE(2026,11,29),26+IF(Options!$B$8="是",23,0),0)-IF(C3432=DATE(2026,11,30),26,0)-IF(C3432=DATE(2026,12,1),64,0)-IF(C3432=DATE(2026,11,28),38,0)-IF(C3432=DATE(2026,12,2),26,0)))</f>
        <v/>
      </c>
      <c r="I3432" s="13">
        <f>IF(AND(C3432&gt;=DATE(2026,11,29),C3432&lt;=DATE(2026,12,1)),B3432*60,0)</f>
        <v/>
      </c>
      <c r="J3432" s="13">
        <f>IF(A3432="",0,B3432*(IF(C3432=DATE(2026,11,28),38,0)+IF(C3432=DATE(2026,12,1),38,0)+IF(C3432=DATE(2026,12,2),26,0)))</f>
        <v/>
      </c>
      <c r="K3432" s="13">
        <f>IF(C3432=Options!$B$9,B3432*12,0)</f>
        <v/>
      </c>
      <c r="L3432" s="13">
        <f>IF(C3432=Options!$B$9,B3432*Options!$Z$9,0)</f>
        <v/>
      </c>
      <c r="M3432" s="13" t="n">
        <v>0</v>
      </c>
      <c r="N3432" s="13">
        <f>SUM(E3432:M3432)</f>
        <v/>
      </c>
    </row>
    <row r="3433">
      <c r="A3433" s="5">
        <f>IF(AND(C3433&gt;=Options!$B$9,C3433&lt;=Options!$B$10),"Seattle","")</f>
        <v/>
      </c>
      <c r="B3433" s="5">
        <f>IF(A3433="","",24)</f>
        <v/>
      </c>
      <c r="C3433" s="17" t="n">
        <v>46439</v>
      </c>
      <c r="D3433" s="5">
        <f>IF(A3433="","",IF(C3433=DATE(2026,11,29),"培训；注册午餐；早餐参数",IF(C3433=DATE(2026,11,30),"培训；注册午餐",IF(C3433=DATE(2026,12,1),"培训；注册午餐；机构晚餐",IF(C3433=Options!$B$9,"抵达；"&amp;IF(C3433=DATE(2026,11,28),"机构晚餐","无统一供餐"),IF(C3433=Options!$B$10,"返程；"&amp;IF(C3433=DATE(2026,12,2),"机构午餐","无统一供餐"),"差旅状态；无统一日程"))))))</f>
        <v/>
      </c>
      <c r="E3433" s="13">
        <f>IF(C3433=Options!$B$9,Options!$C$23,0)</f>
        <v/>
      </c>
      <c r="F3433" s="13">
        <f>IF(AND(A3433&lt;&gt;"",C3433&lt;Options!$B$10),B3433*Options!$X$9,0)</f>
        <v/>
      </c>
      <c r="G3433" s="13">
        <f>F3433*12%</f>
        <v/>
      </c>
      <c r="H3433" s="13">
        <f>IF(A3433="",0,B3433*(92*IF(OR(C3433=Options!$B$9,C3433=Options!$B$10),75%,100%)-IF(C3433=DATE(2026,11,29),26+IF(Options!$B$8="是",23,0),0)-IF(C3433=DATE(2026,11,30),26,0)-IF(C3433=DATE(2026,12,1),64,0)-IF(C3433=DATE(2026,11,28),38,0)-IF(C3433=DATE(2026,12,2),26,0)))</f>
        <v/>
      </c>
      <c r="I3433" s="13">
        <f>IF(AND(C3433&gt;=DATE(2026,11,29),C3433&lt;=DATE(2026,12,1)),B3433*60,0)</f>
        <v/>
      </c>
      <c r="J3433" s="13">
        <f>IF(A3433="",0,B3433*(IF(C3433=DATE(2026,11,28),38,0)+IF(C3433=DATE(2026,12,1),38,0)+IF(C3433=DATE(2026,12,2),26,0)))</f>
        <v/>
      </c>
      <c r="K3433" s="13">
        <f>IF(C3433=Options!$B$9,B3433*12,0)</f>
        <v/>
      </c>
      <c r="L3433" s="13">
        <f>IF(C3433=Options!$B$9,B3433*Options!$Z$9,0)</f>
        <v/>
      </c>
      <c r="M3433" s="13" t="n">
        <v>0</v>
      </c>
      <c r="N3433" s="13">
        <f>SUM(E3433:M3433)</f>
        <v/>
      </c>
    </row>
    <row r="3434">
      <c r="A3434" s="5">
        <f>IF(AND(C3434&gt;=Options!$B$9,C3434&lt;=Options!$B$10),"Seattle","")</f>
        <v/>
      </c>
      <c r="B3434" s="5">
        <f>IF(A3434="","",24)</f>
        <v/>
      </c>
      <c r="C3434" s="17" t="n">
        <v>46440</v>
      </c>
      <c r="D3434" s="5">
        <f>IF(A3434="","",IF(C3434=DATE(2026,11,29),"培训；注册午餐；早餐参数",IF(C3434=DATE(2026,11,30),"培训；注册午餐",IF(C3434=DATE(2026,12,1),"培训；注册午餐；机构晚餐",IF(C3434=Options!$B$9,"抵达；"&amp;IF(C3434=DATE(2026,11,28),"机构晚餐","无统一供餐"),IF(C3434=Options!$B$10,"返程；"&amp;IF(C3434=DATE(2026,12,2),"机构午餐","无统一供餐"),"差旅状态；无统一日程"))))))</f>
        <v/>
      </c>
      <c r="E3434" s="13">
        <f>IF(C3434=Options!$B$9,Options!$C$23,0)</f>
        <v/>
      </c>
      <c r="F3434" s="13">
        <f>IF(AND(A3434&lt;&gt;"",C3434&lt;Options!$B$10),B3434*Options!$X$9,0)</f>
        <v/>
      </c>
      <c r="G3434" s="13">
        <f>F3434*12%</f>
        <v/>
      </c>
      <c r="H3434" s="13">
        <f>IF(A3434="",0,B3434*(92*IF(OR(C3434=Options!$B$9,C3434=Options!$B$10),75%,100%)-IF(C3434=DATE(2026,11,29),26+IF(Options!$B$8="是",23,0),0)-IF(C3434=DATE(2026,11,30),26,0)-IF(C3434=DATE(2026,12,1),64,0)-IF(C3434=DATE(2026,11,28),38,0)-IF(C3434=DATE(2026,12,2),26,0)))</f>
        <v/>
      </c>
      <c r="I3434" s="13">
        <f>IF(AND(C3434&gt;=DATE(2026,11,29),C3434&lt;=DATE(2026,12,1)),B3434*60,0)</f>
        <v/>
      </c>
      <c r="J3434" s="13">
        <f>IF(A3434="",0,B3434*(IF(C3434=DATE(2026,11,28),38,0)+IF(C3434=DATE(2026,12,1),38,0)+IF(C3434=DATE(2026,12,2),26,0)))</f>
        <v/>
      </c>
      <c r="K3434" s="13">
        <f>IF(C3434=Options!$B$9,B3434*12,0)</f>
        <v/>
      </c>
      <c r="L3434" s="13">
        <f>IF(C3434=Options!$B$9,B3434*Options!$Z$9,0)</f>
        <v/>
      </c>
      <c r="M3434" s="13" t="n">
        <v>0</v>
      </c>
      <c r="N3434" s="13">
        <f>SUM(E3434:M3434)</f>
        <v/>
      </c>
    </row>
    <row r="3435">
      <c r="A3435" s="5">
        <f>IF(AND(C3435&gt;=Options!$B$9,C3435&lt;=Options!$B$10),"Seattle","")</f>
        <v/>
      </c>
      <c r="B3435" s="5">
        <f>IF(A3435="","",24)</f>
        <v/>
      </c>
      <c r="C3435" s="17" t="n">
        <v>46441</v>
      </c>
      <c r="D3435" s="5">
        <f>IF(A3435="","",IF(C3435=DATE(2026,11,29),"培训；注册午餐；早餐参数",IF(C3435=DATE(2026,11,30),"培训；注册午餐",IF(C3435=DATE(2026,12,1),"培训；注册午餐；机构晚餐",IF(C3435=Options!$B$9,"抵达；"&amp;IF(C3435=DATE(2026,11,28),"机构晚餐","无统一供餐"),IF(C3435=Options!$B$10,"返程；"&amp;IF(C3435=DATE(2026,12,2),"机构午餐","无统一供餐"),"差旅状态；无统一日程"))))))</f>
        <v/>
      </c>
      <c r="E3435" s="13">
        <f>IF(C3435=Options!$B$9,Options!$C$23,0)</f>
        <v/>
      </c>
      <c r="F3435" s="13">
        <f>IF(AND(A3435&lt;&gt;"",C3435&lt;Options!$B$10),B3435*Options!$X$9,0)</f>
        <v/>
      </c>
      <c r="G3435" s="13">
        <f>F3435*12%</f>
        <v/>
      </c>
      <c r="H3435" s="13">
        <f>IF(A3435="",0,B3435*(92*IF(OR(C3435=Options!$B$9,C3435=Options!$B$10),75%,100%)-IF(C3435=DATE(2026,11,29),26+IF(Options!$B$8="是",23,0),0)-IF(C3435=DATE(2026,11,30),26,0)-IF(C3435=DATE(2026,12,1),64,0)-IF(C3435=DATE(2026,11,28),38,0)-IF(C3435=DATE(2026,12,2),26,0)))</f>
        <v/>
      </c>
      <c r="I3435" s="13">
        <f>IF(AND(C3435&gt;=DATE(2026,11,29),C3435&lt;=DATE(2026,12,1)),B3435*60,0)</f>
        <v/>
      </c>
      <c r="J3435" s="13">
        <f>IF(A3435="",0,B3435*(IF(C3435=DATE(2026,11,28),38,0)+IF(C3435=DATE(2026,12,1),38,0)+IF(C3435=DATE(2026,12,2),26,0)))</f>
        <v/>
      </c>
      <c r="K3435" s="13">
        <f>IF(C3435=Options!$B$9,B3435*12,0)</f>
        <v/>
      </c>
      <c r="L3435" s="13">
        <f>IF(C3435=Options!$B$9,B3435*Options!$Z$9,0)</f>
        <v/>
      </c>
      <c r="M3435" s="13" t="n">
        <v>0</v>
      </c>
      <c r="N3435" s="13">
        <f>SUM(E3435:M3435)</f>
        <v/>
      </c>
    </row>
    <row r="3436">
      <c r="A3436" s="5">
        <f>IF(AND(C3436&gt;=Options!$B$9,C3436&lt;=Options!$B$10),"Seattle","")</f>
        <v/>
      </c>
      <c r="B3436" s="5">
        <f>IF(A3436="","",24)</f>
        <v/>
      </c>
      <c r="C3436" s="17" t="n">
        <v>46442</v>
      </c>
      <c r="D3436" s="5">
        <f>IF(A3436="","",IF(C3436=DATE(2026,11,29),"培训；注册午餐；早餐参数",IF(C3436=DATE(2026,11,30),"培训；注册午餐",IF(C3436=DATE(2026,12,1),"培训；注册午餐；机构晚餐",IF(C3436=Options!$B$9,"抵达；"&amp;IF(C3436=DATE(2026,11,28),"机构晚餐","无统一供餐"),IF(C3436=Options!$B$10,"返程；"&amp;IF(C3436=DATE(2026,12,2),"机构午餐","无统一供餐"),"差旅状态；无统一日程"))))))</f>
        <v/>
      </c>
      <c r="E3436" s="13">
        <f>IF(C3436=Options!$B$9,Options!$C$23,0)</f>
        <v/>
      </c>
      <c r="F3436" s="13">
        <f>IF(AND(A3436&lt;&gt;"",C3436&lt;Options!$B$10),B3436*Options!$X$9,0)</f>
        <v/>
      </c>
      <c r="G3436" s="13">
        <f>F3436*12%</f>
        <v/>
      </c>
      <c r="H3436" s="13">
        <f>IF(A3436="",0,B3436*(92*IF(OR(C3436=Options!$B$9,C3436=Options!$B$10),75%,100%)-IF(C3436=DATE(2026,11,29),26+IF(Options!$B$8="是",23,0),0)-IF(C3436=DATE(2026,11,30),26,0)-IF(C3436=DATE(2026,12,1),64,0)-IF(C3436=DATE(2026,11,28),38,0)-IF(C3436=DATE(2026,12,2),26,0)))</f>
        <v/>
      </c>
      <c r="I3436" s="13">
        <f>IF(AND(C3436&gt;=DATE(2026,11,29),C3436&lt;=DATE(2026,12,1)),B3436*60,0)</f>
        <v/>
      </c>
      <c r="J3436" s="13">
        <f>IF(A3436="",0,B3436*(IF(C3436=DATE(2026,11,28),38,0)+IF(C3436=DATE(2026,12,1),38,0)+IF(C3436=DATE(2026,12,2),26,0)))</f>
        <v/>
      </c>
      <c r="K3436" s="13">
        <f>IF(C3436=Options!$B$9,B3436*12,0)</f>
        <v/>
      </c>
      <c r="L3436" s="13">
        <f>IF(C3436=Options!$B$9,B3436*Options!$Z$9,0)</f>
        <v/>
      </c>
      <c r="M3436" s="13" t="n">
        <v>0</v>
      </c>
      <c r="N3436" s="13">
        <f>SUM(E3436:M3436)</f>
        <v/>
      </c>
    </row>
    <row r="3437">
      <c r="A3437" s="5">
        <f>IF(AND(C3437&gt;=Options!$B$9,C3437&lt;=Options!$B$10),"Seattle","")</f>
        <v/>
      </c>
      <c r="B3437" s="5">
        <f>IF(A3437="","",24)</f>
        <v/>
      </c>
      <c r="C3437" s="17" t="n">
        <v>46443</v>
      </c>
      <c r="D3437" s="5">
        <f>IF(A3437="","",IF(C3437=DATE(2026,11,29),"培训；注册午餐；早餐参数",IF(C3437=DATE(2026,11,30),"培训；注册午餐",IF(C3437=DATE(2026,12,1),"培训；注册午餐；机构晚餐",IF(C3437=Options!$B$9,"抵达；"&amp;IF(C3437=DATE(2026,11,28),"机构晚餐","无统一供餐"),IF(C3437=Options!$B$10,"返程；"&amp;IF(C3437=DATE(2026,12,2),"机构午餐","无统一供餐"),"差旅状态；无统一日程"))))))</f>
        <v/>
      </c>
      <c r="E3437" s="13">
        <f>IF(C3437=Options!$B$9,Options!$C$23,0)</f>
        <v/>
      </c>
      <c r="F3437" s="13">
        <f>IF(AND(A3437&lt;&gt;"",C3437&lt;Options!$B$10),B3437*Options!$X$9,0)</f>
        <v/>
      </c>
      <c r="G3437" s="13">
        <f>F3437*12%</f>
        <v/>
      </c>
      <c r="H3437" s="13">
        <f>IF(A3437="",0,B3437*(92*IF(OR(C3437=Options!$B$9,C3437=Options!$B$10),75%,100%)-IF(C3437=DATE(2026,11,29),26+IF(Options!$B$8="是",23,0),0)-IF(C3437=DATE(2026,11,30),26,0)-IF(C3437=DATE(2026,12,1),64,0)-IF(C3437=DATE(2026,11,28),38,0)-IF(C3437=DATE(2026,12,2),26,0)))</f>
        <v/>
      </c>
      <c r="I3437" s="13">
        <f>IF(AND(C3437&gt;=DATE(2026,11,29),C3437&lt;=DATE(2026,12,1)),B3437*60,0)</f>
        <v/>
      </c>
      <c r="J3437" s="13">
        <f>IF(A3437="",0,B3437*(IF(C3437=DATE(2026,11,28),38,0)+IF(C3437=DATE(2026,12,1),38,0)+IF(C3437=DATE(2026,12,2),26,0)))</f>
        <v/>
      </c>
      <c r="K3437" s="13">
        <f>IF(C3437=Options!$B$9,B3437*12,0)</f>
        <v/>
      </c>
      <c r="L3437" s="13">
        <f>IF(C3437=Options!$B$9,B3437*Options!$Z$9,0)</f>
        <v/>
      </c>
      <c r="M3437" s="13" t="n">
        <v>0</v>
      </c>
      <c r="N3437" s="13">
        <f>SUM(E3437:M3437)</f>
        <v/>
      </c>
    </row>
    <row r="3438">
      <c r="A3438" s="5">
        <f>IF(AND(C3438&gt;=Options!$B$9,C3438&lt;=Options!$B$10),"Seattle","")</f>
        <v/>
      </c>
      <c r="B3438" s="5">
        <f>IF(A3438="","",24)</f>
        <v/>
      </c>
      <c r="C3438" s="17" t="n">
        <v>46444</v>
      </c>
      <c r="D3438" s="5">
        <f>IF(A3438="","",IF(C3438=DATE(2026,11,29),"培训；注册午餐；早餐参数",IF(C3438=DATE(2026,11,30),"培训；注册午餐",IF(C3438=DATE(2026,12,1),"培训；注册午餐；机构晚餐",IF(C3438=Options!$B$9,"抵达；"&amp;IF(C3438=DATE(2026,11,28),"机构晚餐","无统一供餐"),IF(C3438=Options!$B$10,"返程；"&amp;IF(C3438=DATE(2026,12,2),"机构午餐","无统一供餐"),"差旅状态；无统一日程"))))))</f>
        <v/>
      </c>
      <c r="E3438" s="13">
        <f>IF(C3438=Options!$B$9,Options!$C$23,0)</f>
        <v/>
      </c>
      <c r="F3438" s="13">
        <f>IF(AND(A3438&lt;&gt;"",C3438&lt;Options!$B$10),B3438*Options!$X$9,0)</f>
        <v/>
      </c>
      <c r="G3438" s="13">
        <f>F3438*12%</f>
        <v/>
      </c>
      <c r="H3438" s="13">
        <f>IF(A3438="",0,B3438*(92*IF(OR(C3438=Options!$B$9,C3438=Options!$B$10),75%,100%)-IF(C3438=DATE(2026,11,29),26+IF(Options!$B$8="是",23,0),0)-IF(C3438=DATE(2026,11,30),26,0)-IF(C3438=DATE(2026,12,1),64,0)-IF(C3438=DATE(2026,11,28),38,0)-IF(C3438=DATE(2026,12,2),26,0)))</f>
        <v/>
      </c>
      <c r="I3438" s="13">
        <f>IF(AND(C3438&gt;=DATE(2026,11,29),C3438&lt;=DATE(2026,12,1)),B3438*60,0)</f>
        <v/>
      </c>
      <c r="J3438" s="13">
        <f>IF(A3438="",0,B3438*(IF(C3438=DATE(2026,11,28),38,0)+IF(C3438=DATE(2026,12,1),38,0)+IF(C3438=DATE(2026,12,2),26,0)))</f>
        <v/>
      </c>
      <c r="K3438" s="13">
        <f>IF(C3438=Options!$B$9,B3438*12,0)</f>
        <v/>
      </c>
      <c r="L3438" s="13">
        <f>IF(C3438=Options!$B$9,B3438*Options!$Z$9,0)</f>
        <v/>
      </c>
      <c r="M3438" s="13" t="n">
        <v>0</v>
      </c>
      <c r="N3438" s="13">
        <f>SUM(E3438:M3438)</f>
        <v/>
      </c>
    </row>
    <row r="3439">
      <c r="A3439" s="5">
        <f>IF(AND(C3439&gt;=Options!$B$9,C3439&lt;=Options!$B$10),"Seattle","")</f>
        <v/>
      </c>
      <c r="B3439" s="5">
        <f>IF(A3439="","",24)</f>
        <v/>
      </c>
      <c r="C3439" s="17" t="n">
        <v>46445</v>
      </c>
      <c r="D3439" s="5">
        <f>IF(A3439="","",IF(C3439=DATE(2026,11,29),"培训；注册午餐；早餐参数",IF(C3439=DATE(2026,11,30),"培训；注册午餐",IF(C3439=DATE(2026,12,1),"培训；注册午餐；机构晚餐",IF(C3439=Options!$B$9,"抵达；"&amp;IF(C3439=DATE(2026,11,28),"机构晚餐","无统一供餐"),IF(C3439=Options!$B$10,"返程；"&amp;IF(C3439=DATE(2026,12,2),"机构午餐","无统一供餐"),"差旅状态；无统一日程"))))))</f>
        <v/>
      </c>
      <c r="E3439" s="13">
        <f>IF(C3439=Options!$B$9,Options!$C$23,0)</f>
        <v/>
      </c>
      <c r="F3439" s="13">
        <f>IF(AND(A3439&lt;&gt;"",C3439&lt;Options!$B$10),B3439*Options!$X$9,0)</f>
        <v/>
      </c>
      <c r="G3439" s="13">
        <f>F3439*12%</f>
        <v/>
      </c>
      <c r="H3439" s="13">
        <f>IF(A3439="",0,B3439*(92*IF(OR(C3439=Options!$B$9,C3439=Options!$B$10),75%,100%)-IF(C3439=DATE(2026,11,29),26+IF(Options!$B$8="是",23,0),0)-IF(C3439=DATE(2026,11,30),26,0)-IF(C3439=DATE(2026,12,1),64,0)-IF(C3439=DATE(2026,11,28),38,0)-IF(C3439=DATE(2026,12,2),26,0)))</f>
        <v/>
      </c>
      <c r="I3439" s="13">
        <f>IF(AND(C3439&gt;=DATE(2026,11,29),C3439&lt;=DATE(2026,12,1)),B3439*60,0)</f>
        <v/>
      </c>
      <c r="J3439" s="13">
        <f>IF(A3439="",0,B3439*(IF(C3439=DATE(2026,11,28),38,0)+IF(C3439=DATE(2026,12,1),38,0)+IF(C3439=DATE(2026,12,2),26,0)))</f>
        <v/>
      </c>
      <c r="K3439" s="13">
        <f>IF(C3439=Options!$B$9,B3439*12,0)</f>
        <v/>
      </c>
      <c r="L3439" s="13">
        <f>IF(C3439=Options!$B$9,B3439*Options!$Z$9,0)</f>
        <v/>
      </c>
      <c r="M3439" s="13" t="n">
        <v>0</v>
      </c>
      <c r="N3439" s="13">
        <f>SUM(E3439:M3439)</f>
        <v/>
      </c>
    </row>
    <row r="3440">
      <c r="A3440" s="5">
        <f>IF(AND(C3440&gt;=Options!$B$9,C3440&lt;=Options!$B$10),"Seattle","")</f>
        <v/>
      </c>
      <c r="B3440" s="5">
        <f>IF(A3440="","",24)</f>
        <v/>
      </c>
      <c r="C3440" s="17" t="n">
        <v>46446</v>
      </c>
      <c r="D3440" s="5">
        <f>IF(A3440="","",IF(C3440=DATE(2026,11,29),"培训；注册午餐；早餐参数",IF(C3440=DATE(2026,11,30),"培训；注册午餐",IF(C3440=DATE(2026,12,1),"培训；注册午餐；机构晚餐",IF(C3440=Options!$B$9,"抵达；"&amp;IF(C3440=DATE(2026,11,28),"机构晚餐","无统一供餐"),IF(C3440=Options!$B$10,"返程；"&amp;IF(C3440=DATE(2026,12,2),"机构午餐","无统一供餐"),"差旅状态；无统一日程"))))))</f>
        <v/>
      </c>
      <c r="E3440" s="13">
        <f>IF(C3440=Options!$B$9,Options!$C$23,0)</f>
        <v/>
      </c>
      <c r="F3440" s="13">
        <f>IF(AND(A3440&lt;&gt;"",C3440&lt;Options!$B$10),B3440*Options!$X$9,0)</f>
        <v/>
      </c>
      <c r="G3440" s="13">
        <f>F3440*12%</f>
        <v/>
      </c>
      <c r="H3440" s="13">
        <f>IF(A3440="",0,B3440*(92*IF(OR(C3440=Options!$B$9,C3440=Options!$B$10),75%,100%)-IF(C3440=DATE(2026,11,29),26+IF(Options!$B$8="是",23,0),0)-IF(C3440=DATE(2026,11,30),26,0)-IF(C3440=DATE(2026,12,1),64,0)-IF(C3440=DATE(2026,11,28),38,0)-IF(C3440=DATE(2026,12,2),26,0)))</f>
        <v/>
      </c>
      <c r="I3440" s="13">
        <f>IF(AND(C3440&gt;=DATE(2026,11,29),C3440&lt;=DATE(2026,12,1)),B3440*60,0)</f>
        <v/>
      </c>
      <c r="J3440" s="13">
        <f>IF(A3440="",0,B3440*(IF(C3440=DATE(2026,11,28),38,0)+IF(C3440=DATE(2026,12,1),38,0)+IF(C3440=DATE(2026,12,2),26,0)))</f>
        <v/>
      </c>
      <c r="K3440" s="13">
        <f>IF(C3440=Options!$B$9,B3440*12,0)</f>
        <v/>
      </c>
      <c r="L3440" s="13">
        <f>IF(C3440=Options!$B$9,B3440*Options!$Z$9,0)</f>
        <v/>
      </c>
      <c r="M3440" s="13" t="n">
        <v>0</v>
      </c>
      <c r="N3440" s="13">
        <f>SUM(E3440:M3440)</f>
        <v/>
      </c>
    </row>
    <row r="3441">
      <c r="A3441" s="5">
        <f>IF(AND(C3441&gt;=Options!$B$9,C3441&lt;=Options!$B$10),"Seattle","")</f>
        <v/>
      </c>
      <c r="B3441" s="5">
        <f>IF(A3441="","",24)</f>
        <v/>
      </c>
      <c r="C3441" s="17" t="n">
        <v>46447</v>
      </c>
      <c r="D3441" s="5">
        <f>IF(A3441="","",IF(C3441=DATE(2026,11,29),"培训；注册午餐；早餐参数",IF(C3441=DATE(2026,11,30),"培训；注册午餐",IF(C3441=DATE(2026,12,1),"培训；注册午餐；机构晚餐",IF(C3441=Options!$B$9,"抵达；"&amp;IF(C3441=DATE(2026,11,28),"机构晚餐","无统一供餐"),IF(C3441=Options!$B$10,"返程；"&amp;IF(C3441=DATE(2026,12,2),"机构午餐","无统一供餐"),"差旅状态；无统一日程"))))))</f>
        <v/>
      </c>
      <c r="E3441" s="13">
        <f>IF(C3441=Options!$B$9,Options!$C$23,0)</f>
        <v/>
      </c>
      <c r="F3441" s="13">
        <f>IF(AND(A3441&lt;&gt;"",C3441&lt;Options!$B$10),B3441*Options!$X$9,0)</f>
        <v/>
      </c>
      <c r="G3441" s="13">
        <f>F3441*12%</f>
        <v/>
      </c>
      <c r="H3441" s="13">
        <f>IF(A3441="",0,B3441*(92*IF(OR(C3441=Options!$B$9,C3441=Options!$B$10),75%,100%)-IF(C3441=DATE(2026,11,29),26+IF(Options!$B$8="是",23,0),0)-IF(C3441=DATE(2026,11,30),26,0)-IF(C3441=DATE(2026,12,1),64,0)-IF(C3441=DATE(2026,11,28),38,0)-IF(C3441=DATE(2026,12,2),26,0)))</f>
        <v/>
      </c>
      <c r="I3441" s="13">
        <f>IF(AND(C3441&gt;=DATE(2026,11,29),C3441&lt;=DATE(2026,12,1)),B3441*60,0)</f>
        <v/>
      </c>
      <c r="J3441" s="13">
        <f>IF(A3441="",0,B3441*(IF(C3441=DATE(2026,11,28),38,0)+IF(C3441=DATE(2026,12,1),38,0)+IF(C3441=DATE(2026,12,2),26,0)))</f>
        <v/>
      </c>
      <c r="K3441" s="13">
        <f>IF(C3441=Options!$B$9,B3441*12,0)</f>
        <v/>
      </c>
      <c r="L3441" s="13">
        <f>IF(C3441=Options!$B$9,B3441*Options!$Z$9,0)</f>
        <v/>
      </c>
      <c r="M3441" s="13" t="n">
        <v>0</v>
      </c>
      <c r="N3441" s="13">
        <f>SUM(E3441:M3441)</f>
        <v/>
      </c>
    </row>
    <row r="3442">
      <c r="A3442" s="5">
        <f>IF(AND(C3442&gt;=Options!$B$9,C3442&lt;=Options!$B$10),"Seattle","")</f>
        <v/>
      </c>
      <c r="B3442" s="5">
        <f>IF(A3442="","",24)</f>
        <v/>
      </c>
      <c r="C3442" s="17" t="n">
        <v>46448</v>
      </c>
      <c r="D3442" s="5">
        <f>IF(A3442="","",IF(C3442=DATE(2026,11,29),"培训；注册午餐；早餐参数",IF(C3442=DATE(2026,11,30),"培训；注册午餐",IF(C3442=DATE(2026,12,1),"培训；注册午餐；机构晚餐",IF(C3442=Options!$B$9,"抵达；"&amp;IF(C3442=DATE(2026,11,28),"机构晚餐","无统一供餐"),IF(C3442=Options!$B$10,"返程；"&amp;IF(C3442=DATE(2026,12,2),"机构午餐","无统一供餐"),"差旅状态；无统一日程"))))))</f>
        <v/>
      </c>
      <c r="E3442" s="13">
        <f>IF(C3442=Options!$B$9,Options!$C$23,0)</f>
        <v/>
      </c>
      <c r="F3442" s="13">
        <f>IF(AND(A3442&lt;&gt;"",C3442&lt;Options!$B$10),B3442*Options!$X$9,0)</f>
        <v/>
      </c>
      <c r="G3442" s="13">
        <f>F3442*12%</f>
        <v/>
      </c>
      <c r="H3442" s="13">
        <f>IF(A3442="",0,B3442*(92*IF(OR(C3442=Options!$B$9,C3442=Options!$B$10),75%,100%)-IF(C3442=DATE(2026,11,29),26+IF(Options!$B$8="是",23,0),0)-IF(C3442=DATE(2026,11,30),26,0)-IF(C3442=DATE(2026,12,1),64,0)-IF(C3442=DATE(2026,11,28),38,0)-IF(C3442=DATE(2026,12,2),26,0)))</f>
        <v/>
      </c>
      <c r="I3442" s="13">
        <f>IF(AND(C3442&gt;=DATE(2026,11,29),C3442&lt;=DATE(2026,12,1)),B3442*60,0)</f>
        <v/>
      </c>
      <c r="J3442" s="13">
        <f>IF(A3442="",0,B3442*(IF(C3442=DATE(2026,11,28),38,0)+IF(C3442=DATE(2026,12,1),38,0)+IF(C3442=DATE(2026,12,2),26,0)))</f>
        <v/>
      </c>
      <c r="K3442" s="13">
        <f>IF(C3442=Options!$B$9,B3442*12,0)</f>
        <v/>
      </c>
      <c r="L3442" s="13">
        <f>IF(C3442=Options!$B$9,B3442*Options!$Z$9,0)</f>
        <v/>
      </c>
      <c r="M3442" s="13" t="n">
        <v>0</v>
      </c>
      <c r="N3442" s="13">
        <f>SUM(E3442:M3442)</f>
        <v/>
      </c>
    </row>
    <row r="3443">
      <c r="A3443" s="5">
        <f>IF(AND(C3443&gt;=Options!$B$9,C3443&lt;=Options!$B$10),"Seattle","")</f>
        <v/>
      </c>
      <c r="B3443" s="5">
        <f>IF(A3443="","",24)</f>
        <v/>
      </c>
      <c r="C3443" s="17" t="n">
        <v>46449</v>
      </c>
      <c r="D3443" s="5">
        <f>IF(A3443="","",IF(C3443=DATE(2026,11,29),"培训；注册午餐；早餐参数",IF(C3443=DATE(2026,11,30),"培训；注册午餐",IF(C3443=DATE(2026,12,1),"培训；注册午餐；机构晚餐",IF(C3443=Options!$B$9,"抵达；"&amp;IF(C3443=DATE(2026,11,28),"机构晚餐","无统一供餐"),IF(C3443=Options!$B$10,"返程；"&amp;IF(C3443=DATE(2026,12,2),"机构午餐","无统一供餐"),"差旅状态；无统一日程"))))))</f>
        <v/>
      </c>
      <c r="E3443" s="13">
        <f>IF(C3443=Options!$B$9,Options!$C$23,0)</f>
        <v/>
      </c>
      <c r="F3443" s="13">
        <f>IF(AND(A3443&lt;&gt;"",C3443&lt;Options!$B$10),B3443*Options!$X$9,0)</f>
        <v/>
      </c>
      <c r="G3443" s="13">
        <f>F3443*12%</f>
        <v/>
      </c>
      <c r="H3443" s="13">
        <f>IF(A3443="",0,B3443*(92*IF(OR(C3443=Options!$B$9,C3443=Options!$B$10),75%,100%)-IF(C3443=DATE(2026,11,29),26+IF(Options!$B$8="是",23,0),0)-IF(C3443=DATE(2026,11,30),26,0)-IF(C3443=DATE(2026,12,1),64,0)-IF(C3443=DATE(2026,11,28),38,0)-IF(C3443=DATE(2026,12,2),26,0)))</f>
        <v/>
      </c>
      <c r="I3443" s="13">
        <f>IF(AND(C3443&gt;=DATE(2026,11,29),C3443&lt;=DATE(2026,12,1)),B3443*60,0)</f>
        <v/>
      </c>
      <c r="J3443" s="13">
        <f>IF(A3443="",0,B3443*(IF(C3443=DATE(2026,11,28),38,0)+IF(C3443=DATE(2026,12,1),38,0)+IF(C3443=DATE(2026,12,2),26,0)))</f>
        <v/>
      </c>
      <c r="K3443" s="13">
        <f>IF(C3443=Options!$B$9,B3443*12,0)</f>
        <v/>
      </c>
      <c r="L3443" s="13">
        <f>IF(C3443=Options!$B$9,B3443*Options!$Z$9,0)</f>
        <v/>
      </c>
      <c r="M3443" s="13" t="n">
        <v>0</v>
      </c>
      <c r="N3443" s="13">
        <f>SUM(E3443:M3443)</f>
        <v/>
      </c>
    </row>
    <row r="3444">
      <c r="A3444" s="5">
        <f>IF(AND(C3444&gt;=Options!$B$9,C3444&lt;=Options!$B$10),"Seattle","")</f>
        <v/>
      </c>
      <c r="B3444" s="5">
        <f>IF(A3444="","",24)</f>
        <v/>
      </c>
      <c r="C3444" s="17" t="n">
        <v>46450</v>
      </c>
      <c r="D3444" s="5">
        <f>IF(A3444="","",IF(C3444=DATE(2026,11,29),"培训；注册午餐；早餐参数",IF(C3444=DATE(2026,11,30),"培训；注册午餐",IF(C3444=DATE(2026,12,1),"培训；注册午餐；机构晚餐",IF(C3444=Options!$B$9,"抵达；"&amp;IF(C3444=DATE(2026,11,28),"机构晚餐","无统一供餐"),IF(C3444=Options!$B$10,"返程；"&amp;IF(C3444=DATE(2026,12,2),"机构午餐","无统一供餐"),"差旅状态；无统一日程"))))))</f>
        <v/>
      </c>
      <c r="E3444" s="13">
        <f>IF(C3444=Options!$B$9,Options!$C$23,0)</f>
        <v/>
      </c>
      <c r="F3444" s="13">
        <f>IF(AND(A3444&lt;&gt;"",C3444&lt;Options!$B$10),B3444*Options!$X$9,0)</f>
        <v/>
      </c>
      <c r="G3444" s="13">
        <f>F3444*12%</f>
        <v/>
      </c>
      <c r="H3444" s="13">
        <f>IF(A3444="",0,B3444*(92*IF(OR(C3444=Options!$B$9,C3444=Options!$B$10),75%,100%)-IF(C3444=DATE(2026,11,29),26+IF(Options!$B$8="是",23,0),0)-IF(C3444=DATE(2026,11,30),26,0)-IF(C3444=DATE(2026,12,1),64,0)-IF(C3444=DATE(2026,11,28),38,0)-IF(C3444=DATE(2026,12,2),26,0)))</f>
        <v/>
      </c>
      <c r="I3444" s="13">
        <f>IF(AND(C3444&gt;=DATE(2026,11,29),C3444&lt;=DATE(2026,12,1)),B3444*60,0)</f>
        <v/>
      </c>
      <c r="J3444" s="13">
        <f>IF(A3444="",0,B3444*(IF(C3444=DATE(2026,11,28),38,0)+IF(C3444=DATE(2026,12,1),38,0)+IF(C3444=DATE(2026,12,2),26,0)))</f>
        <v/>
      </c>
      <c r="K3444" s="13">
        <f>IF(C3444=Options!$B$9,B3444*12,0)</f>
        <v/>
      </c>
      <c r="L3444" s="13">
        <f>IF(C3444=Options!$B$9,B3444*Options!$Z$9,0)</f>
        <v/>
      </c>
      <c r="M3444" s="13" t="n">
        <v>0</v>
      </c>
      <c r="N3444" s="13">
        <f>SUM(E3444:M3444)</f>
        <v/>
      </c>
    </row>
    <row r="3445">
      <c r="A3445" s="5">
        <f>IF(AND(C3445&gt;=Options!$B$9,C3445&lt;=Options!$B$10),"Seattle","")</f>
        <v/>
      </c>
      <c r="B3445" s="5">
        <f>IF(A3445="","",24)</f>
        <v/>
      </c>
      <c r="C3445" s="17" t="n">
        <v>46451</v>
      </c>
      <c r="D3445" s="5">
        <f>IF(A3445="","",IF(C3445=DATE(2026,11,29),"培训；注册午餐；早餐参数",IF(C3445=DATE(2026,11,30),"培训；注册午餐",IF(C3445=DATE(2026,12,1),"培训；注册午餐；机构晚餐",IF(C3445=Options!$B$9,"抵达；"&amp;IF(C3445=DATE(2026,11,28),"机构晚餐","无统一供餐"),IF(C3445=Options!$B$10,"返程；"&amp;IF(C3445=DATE(2026,12,2),"机构午餐","无统一供餐"),"差旅状态；无统一日程"))))))</f>
        <v/>
      </c>
      <c r="E3445" s="13">
        <f>IF(C3445=Options!$B$9,Options!$C$23,0)</f>
        <v/>
      </c>
      <c r="F3445" s="13">
        <f>IF(AND(A3445&lt;&gt;"",C3445&lt;Options!$B$10),B3445*Options!$X$9,0)</f>
        <v/>
      </c>
      <c r="G3445" s="13">
        <f>F3445*12%</f>
        <v/>
      </c>
      <c r="H3445" s="13">
        <f>IF(A3445="",0,B3445*(92*IF(OR(C3445=Options!$B$9,C3445=Options!$B$10),75%,100%)-IF(C3445=DATE(2026,11,29),26+IF(Options!$B$8="是",23,0),0)-IF(C3445=DATE(2026,11,30),26,0)-IF(C3445=DATE(2026,12,1),64,0)-IF(C3445=DATE(2026,11,28),38,0)-IF(C3445=DATE(2026,12,2),26,0)))</f>
        <v/>
      </c>
      <c r="I3445" s="13">
        <f>IF(AND(C3445&gt;=DATE(2026,11,29),C3445&lt;=DATE(2026,12,1)),B3445*60,0)</f>
        <v/>
      </c>
      <c r="J3445" s="13">
        <f>IF(A3445="",0,B3445*(IF(C3445=DATE(2026,11,28),38,0)+IF(C3445=DATE(2026,12,1),38,0)+IF(C3445=DATE(2026,12,2),26,0)))</f>
        <v/>
      </c>
      <c r="K3445" s="13">
        <f>IF(C3445=Options!$B$9,B3445*12,0)</f>
        <v/>
      </c>
      <c r="L3445" s="13">
        <f>IF(C3445=Options!$B$9,B3445*Options!$Z$9,0)</f>
        <v/>
      </c>
      <c r="M3445" s="13" t="n">
        <v>0</v>
      </c>
      <c r="N3445" s="13">
        <f>SUM(E3445:M3445)</f>
        <v/>
      </c>
    </row>
    <row r="3446">
      <c r="A3446" s="5">
        <f>IF(AND(C3446&gt;=Options!$B$9,C3446&lt;=Options!$B$10),"Seattle","")</f>
        <v/>
      </c>
      <c r="B3446" s="5">
        <f>IF(A3446="","",24)</f>
        <v/>
      </c>
      <c r="C3446" s="17" t="n">
        <v>46452</v>
      </c>
      <c r="D3446" s="5">
        <f>IF(A3446="","",IF(C3446=DATE(2026,11,29),"培训；注册午餐；早餐参数",IF(C3446=DATE(2026,11,30),"培训；注册午餐",IF(C3446=DATE(2026,12,1),"培训；注册午餐；机构晚餐",IF(C3446=Options!$B$9,"抵达；"&amp;IF(C3446=DATE(2026,11,28),"机构晚餐","无统一供餐"),IF(C3446=Options!$B$10,"返程；"&amp;IF(C3446=DATE(2026,12,2),"机构午餐","无统一供餐"),"差旅状态；无统一日程"))))))</f>
        <v/>
      </c>
      <c r="E3446" s="13">
        <f>IF(C3446=Options!$B$9,Options!$C$23,0)</f>
        <v/>
      </c>
      <c r="F3446" s="13">
        <f>IF(AND(A3446&lt;&gt;"",C3446&lt;Options!$B$10),B3446*Options!$X$9,0)</f>
        <v/>
      </c>
      <c r="G3446" s="13">
        <f>F3446*12%</f>
        <v/>
      </c>
      <c r="H3446" s="13">
        <f>IF(A3446="",0,B3446*(92*IF(OR(C3446=Options!$B$9,C3446=Options!$B$10),75%,100%)-IF(C3446=DATE(2026,11,29),26+IF(Options!$B$8="是",23,0),0)-IF(C3446=DATE(2026,11,30),26,0)-IF(C3446=DATE(2026,12,1),64,0)-IF(C3446=DATE(2026,11,28),38,0)-IF(C3446=DATE(2026,12,2),26,0)))</f>
        <v/>
      </c>
      <c r="I3446" s="13">
        <f>IF(AND(C3446&gt;=DATE(2026,11,29),C3446&lt;=DATE(2026,12,1)),B3446*60,0)</f>
        <v/>
      </c>
      <c r="J3446" s="13">
        <f>IF(A3446="",0,B3446*(IF(C3446=DATE(2026,11,28),38,0)+IF(C3446=DATE(2026,12,1),38,0)+IF(C3446=DATE(2026,12,2),26,0)))</f>
        <v/>
      </c>
      <c r="K3446" s="13">
        <f>IF(C3446=Options!$B$9,B3446*12,0)</f>
        <v/>
      </c>
      <c r="L3446" s="13">
        <f>IF(C3446=Options!$B$9,B3446*Options!$Z$9,0)</f>
        <v/>
      </c>
      <c r="M3446" s="13" t="n">
        <v>0</v>
      </c>
      <c r="N3446" s="13">
        <f>SUM(E3446:M3446)</f>
        <v/>
      </c>
    </row>
    <row r="3447">
      <c r="A3447" s="5">
        <f>IF(AND(C3447&gt;=Options!$B$9,C3447&lt;=Options!$B$10),"Seattle","")</f>
        <v/>
      </c>
      <c r="B3447" s="5">
        <f>IF(A3447="","",24)</f>
        <v/>
      </c>
      <c r="C3447" s="17" t="n">
        <v>46453</v>
      </c>
      <c r="D3447" s="5">
        <f>IF(A3447="","",IF(C3447=DATE(2026,11,29),"培训；注册午餐；早餐参数",IF(C3447=DATE(2026,11,30),"培训；注册午餐",IF(C3447=DATE(2026,12,1),"培训；注册午餐；机构晚餐",IF(C3447=Options!$B$9,"抵达；"&amp;IF(C3447=DATE(2026,11,28),"机构晚餐","无统一供餐"),IF(C3447=Options!$B$10,"返程；"&amp;IF(C3447=DATE(2026,12,2),"机构午餐","无统一供餐"),"差旅状态；无统一日程"))))))</f>
        <v/>
      </c>
      <c r="E3447" s="13">
        <f>IF(C3447=Options!$B$9,Options!$C$23,0)</f>
        <v/>
      </c>
      <c r="F3447" s="13">
        <f>IF(AND(A3447&lt;&gt;"",C3447&lt;Options!$B$10),B3447*Options!$X$9,0)</f>
        <v/>
      </c>
      <c r="G3447" s="13">
        <f>F3447*12%</f>
        <v/>
      </c>
      <c r="H3447" s="13">
        <f>IF(A3447="",0,B3447*(92*IF(OR(C3447=Options!$B$9,C3447=Options!$B$10),75%,100%)-IF(C3447=DATE(2026,11,29),26+IF(Options!$B$8="是",23,0),0)-IF(C3447=DATE(2026,11,30),26,0)-IF(C3447=DATE(2026,12,1),64,0)-IF(C3447=DATE(2026,11,28),38,0)-IF(C3447=DATE(2026,12,2),26,0)))</f>
        <v/>
      </c>
      <c r="I3447" s="13">
        <f>IF(AND(C3447&gt;=DATE(2026,11,29),C3447&lt;=DATE(2026,12,1)),B3447*60,0)</f>
        <v/>
      </c>
      <c r="J3447" s="13">
        <f>IF(A3447="",0,B3447*(IF(C3447=DATE(2026,11,28),38,0)+IF(C3447=DATE(2026,12,1),38,0)+IF(C3447=DATE(2026,12,2),26,0)))</f>
        <v/>
      </c>
      <c r="K3447" s="13">
        <f>IF(C3447=Options!$B$9,B3447*12,0)</f>
        <v/>
      </c>
      <c r="L3447" s="13">
        <f>IF(C3447=Options!$B$9,B3447*Options!$Z$9,0)</f>
        <v/>
      </c>
      <c r="M3447" s="13" t="n">
        <v>0</v>
      </c>
      <c r="N3447" s="13">
        <f>SUM(E3447:M3447)</f>
        <v/>
      </c>
    </row>
    <row r="3448">
      <c r="A3448" s="5">
        <f>IF(AND(C3448&gt;=Options!$B$9,C3448&lt;=Options!$B$10),"Seattle","")</f>
        <v/>
      </c>
      <c r="B3448" s="5">
        <f>IF(A3448="","",24)</f>
        <v/>
      </c>
      <c r="C3448" s="17" t="n">
        <v>46454</v>
      </c>
      <c r="D3448" s="5">
        <f>IF(A3448="","",IF(C3448=DATE(2026,11,29),"培训；注册午餐；早餐参数",IF(C3448=DATE(2026,11,30),"培训；注册午餐",IF(C3448=DATE(2026,12,1),"培训；注册午餐；机构晚餐",IF(C3448=Options!$B$9,"抵达；"&amp;IF(C3448=DATE(2026,11,28),"机构晚餐","无统一供餐"),IF(C3448=Options!$B$10,"返程；"&amp;IF(C3448=DATE(2026,12,2),"机构午餐","无统一供餐"),"差旅状态；无统一日程"))))))</f>
        <v/>
      </c>
      <c r="E3448" s="13">
        <f>IF(C3448=Options!$B$9,Options!$C$23,0)</f>
        <v/>
      </c>
      <c r="F3448" s="13">
        <f>IF(AND(A3448&lt;&gt;"",C3448&lt;Options!$B$10),B3448*Options!$X$9,0)</f>
        <v/>
      </c>
      <c r="G3448" s="13">
        <f>F3448*12%</f>
        <v/>
      </c>
      <c r="H3448" s="13">
        <f>IF(A3448="",0,B3448*(92*IF(OR(C3448=Options!$B$9,C3448=Options!$B$10),75%,100%)-IF(C3448=DATE(2026,11,29),26+IF(Options!$B$8="是",23,0),0)-IF(C3448=DATE(2026,11,30),26,0)-IF(C3448=DATE(2026,12,1),64,0)-IF(C3448=DATE(2026,11,28),38,0)-IF(C3448=DATE(2026,12,2),26,0)))</f>
        <v/>
      </c>
      <c r="I3448" s="13">
        <f>IF(AND(C3448&gt;=DATE(2026,11,29),C3448&lt;=DATE(2026,12,1)),B3448*60,0)</f>
        <v/>
      </c>
      <c r="J3448" s="13">
        <f>IF(A3448="",0,B3448*(IF(C3448=DATE(2026,11,28),38,0)+IF(C3448=DATE(2026,12,1),38,0)+IF(C3448=DATE(2026,12,2),26,0)))</f>
        <v/>
      </c>
      <c r="K3448" s="13">
        <f>IF(C3448=Options!$B$9,B3448*12,0)</f>
        <v/>
      </c>
      <c r="L3448" s="13">
        <f>IF(C3448=Options!$B$9,B3448*Options!$Z$9,0)</f>
        <v/>
      </c>
      <c r="M3448" s="13" t="n">
        <v>0</v>
      </c>
      <c r="N3448" s="13">
        <f>SUM(E3448:M3448)</f>
        <v/>
      </c>
    </row>
    <row r="3449">
      <c r="A3449" s="5">
        <f>IF(AND(C3449&gt;=Options!$B$9,C3449&lt;=Options!$B$10),"Seattle","")</f>
        <v/>
      </c>
      <c r="B3449" s="5">
        <f>IF(A3449="","",24)</f>
        <v/>
      </c>
      <c r="C3449" s="17" t="n">
        <v>46455</v>
      </c>
      <c r="D3449" s="5">
        <f>IF(A3449="","",IF(C3449=DATE(2026,11,29),"培训；注册午餐；早餐参数",IF(C3449=DATE(2026,11,30),"培训；注册午餐",IF(C3449=DATE(2026,12,1),"培训；注册午餐；机构晚餐",IF(C3449=Options!$B$9,"抵达；"&amp;IF(C3449=DATE(2026,11,28),"机构晚餐","无统一供餐"),IF(C3449=Options!$B$10,"返程；"&amp;IF(C3449=DATE(2026,12,2),"机构午餐","无统一供餐"),"差旅状态；无统一日程"))))))</f>
        <v/>
      </c>
      <c r="E3449" s="13">
        <f>IF(C3449=Options!$B$9,Options!$C$23,0)</f>
        <v/>
      </c>
      <c r="F3449" s="13">
        <f>IF(AND(A3449&lt;&gt;"",C3449&lt;Options!$B$10),B3449*Options!$X$9,0)</f>
        <v/>
      </c>
      <c r="G3449" s="13">
        <f>F3449*12%</f>
        <v/>
      </c>
      <c r="H3449" s="13">
        <f>IF(A3449="",0,B3449*(92*IF(OR(C3449=Options!$B$9,C3449=Options!$B$10),75%,100%)-IF(C3449=DATE(2026,11,29),26+IF(Options!$B$8="是",23,0),0)-IF(C3449=DATE(2026,11,30),26,0)-IF(C3449=DATE(2026,12,1),64,0)-IF(C3449=DATE(2026,11,28),38,0)-IF(C3449=DATE(2026,12,2),26,0)))</f>
        <v/>
      </c>
      <c r="I3449" s="13">
        <f>IF(AND(C3449&gt;=DATE(2026,11,29),C3449&lt;=DATE(2026,12,1)),B3449*60,0)</f>
        <v/>
      </c>
      <c r="J3449" s="13">
        <f>IF(A3449="",0,B3449*(IF(C3449=DATE(2026,11,28),38,0)+IF(C3449=DATE(2026,12,1),38,0)+IF(C3449=DATE(2026,12,2),26,0)))</f>
        <v/>
      </c>
      <c r="K3449" s="13">
        <f>IF(C3449=Options!$B$9,B3449*12,0)</f>
        <v/>
      </c>
      <c r="L3449" s="13">
        <f>IF(C3449=Options!$B$9,B3449*Options!$Z$9,0)</f>
        <v/>
      </c>
      <c r="M3449" s="13" t="n">
        <v>0</v>
      </c>
      <c r="N3449" s="13">
        <f>SUM(E3449:M3449)</f>
        <v/>
      </c>
    </row>
    <row r="3450">
      <c r="A3450" s="5">
        <f>IF(AND(C3450&gt;=Options!$B$9,C3450&lt;=Options!$B$10),"Seattle","")</f>
        <v/>
      </c>
      <c r="B3450" s="5">
        <f>IF(A3450="","",24)</f>
        <v/>
      </c>
      <c r="C3450" s="17" t="n">
        <v>46456</v>
      </c>
      <c r="D3450" s="5">
        <f>IF(A3450="","",IF(C3450=DATE(2026,11,29),"培训；注册午餐；早餐参数",IF(C3450=DATE(2026,11,30),"培训；注册午餐",IF(C3450=DATE(2026,12,1),"培训；注册午餐；机构晚餐",IF(C3450=Options!$B$9,"抵达；"&amp;IF(C3450=DATE(2026,11,28),"机构晚餐","无统一供餐"),IF(C3450=Options!$B$10,"返程；"&amp;IF(C3450=DATE(2026,12,2),"机构午餐","无统一供餐"),"差旅状态；无统一日程"))))))</f>
        <v/>
      </c>
      <c r="E3450" s="13">
        <f>IF(C3450=Options!$B$9,Options!$C$23,0)</f>
        <v/>
      </c>
      <c r="F3450" s="13">
        <f>IF(AND(A3450&lt;&gt;"",C3450&lt;Options!$B$10),B3450*Options!$X$9,0)</f>
        <v/>
      </c>
      <c r="G3450" s="13">
        <f>F3450*12%</f>
        <v/>
      </c>
      <c r="H3450" s="13">
        <f>IF(A3450="",0,B3450*(92*IF(OR(C3450=Options!$B$9,C3450=Options!$B$10),75%,100%)-IF(C3450=DATE(2026,11,29),26+IF(Options!$B$8="是",23,0),0)-IF(C3450=DATE(2026,11,30),26,0)-IF(C3450=DATE(2026,12,1),64,0)-IF(C3450=DATE(2026,11,28),38,0)-IF(C3450=DATE(2026,12,2),26,0)))</f>
        <v/>
      </c>
      <c r="I3450" s="13">
        <f>IF(AND(C3450&gt;=DATE(2026,11,29),C3450&lt;=DATE(2026,12,1)),B3450*60,0)</f>
        <v/>
      </c>
      <c r="J3450" s="13">
        <f>IF(A3450="",0,B3450*(IF(C3450=DATE(2026,11,28),38,0)+IF(C3450=DATE(2026,12,1),38,0)+IF(C3450=DATE(2026,12,2),26,0)))</f>
        <v/>
      </c>
      <c r="K3450" s="13">
        <f>IF(C3450=Options!$B$9,B3450*12,0)</f>
        <v/>
      </c>
      <c r="L3450" s="13">
        <f>IF(C3450=Options!$B$9,B3450*Options!$Z$9,0)</f>
        <v/>
      </c>
      <c r="M3450" s="13" t="n">
        <v>0</v>
      </c>
      <c r="N3450" s="13">
        <f>SUM(E3450:M3450)</f>
        <v/>
      </c>
    </row>
    <row r="3451">
      <c r="A3451" s="5">
        <f>IF(AND(C3451&gt;=Options!$B$9,C3451&lt;=Options!$B$10),"Seattle","")</f>
        <v/>
      </c>
      <c r="B3451" s="5">
        <f>IF(A3451="","",24)</f>
        <v/>
      </c>
      <c r="C3451" s="17" t="n">
        <v>46457</v>
      </c>
      <c r="D3451" s="5">
        <f>IF(A3451="","",IF(C3451=DATE(2026,11,29),"培训；注册午餐；早餐参数",IF(C3451=DATE(2026,11,30),"培训；注册午餐",IF(C3451=DATE(2026,12,1),"培训；注册午餐；机构晚餐",IF(C3451=Options!$B$9,"抵达；"&amp;IF(C3451=DATE(2026,11,28),"机构晚餐","无统一供餐"),IF(C3451=Options!$B$10,"返程；"&amp;IF(C3451=DATE(2026,12,2),"机构午餐","无统一供餐"),"差旅状态；无统一日程"))))))</f>
        <v/>
      </c>
      <c r="E3451" s="13">
        <f>IF(C3451=Options!$B$9,Options!$C$23,0)</f>
        <v/>
      </c>
      <c r="F3451" s="13">
        <f>IF(AND(A3451&lt;&gt;"",C3451&lt;Options!$B$10),B3451*Options!$X$9,0)</f>
        <v/>
      </c>
      <c r="G3451" s="13">
        <f>F3451*12%</f>
        <v/>
      </c>
      <c r="H3451" s="13">
        <f>IF(A3451="",0,B3451*(92*IF(OR(C3451=Options!$B$9,C3451=Options!$B$10),75%,100%)-IF(C3451=DATE(2026,11,29),26+IF(Options!$B$8="是",23,0),0)-IF(C3451=DATE(2026,11,30),26,0)-IF(C3451=DATE(2026,12,1),64,0)-IF(C3451=DATE(2026,11,28),38,0)-IF(C3451=DATE(2026,12,2),26,0)))</f>
        <v/>
      </c>
      <c r="I3451" s="13">
        <f>IF(AND(C3451&gt;=DATE(2026,11,29),C3451&lt;=DATE(2026,12,1)),B3451*60,0)</f>
        <v/>
      </c>
      <c r="J3451" s="13">
        <f>IF(A3451="",0,B3451*(IF(C3451=DATE(2026,11,28),38,0)+IF(C3451=DATE(2026,12,1),38,0)+IF(C3451=DATE(2026,12,2),26,0)))</f>
        <v/>
      </c>
      <c r="K3451" s="13">
        <f>IF(C3451=Options!$B$9,B3451*12,0)</f>
        <v/>
      </c>
      <c r="L3451" s="13">
        <f>IF(C3451=Options!$B$9,B3451*Options!$Z$9,0)</f>
        <v/>
      </c>
      <c r="M3451" s="13" t="n">
        <v>0</v>
      </c>
      <c r="N3451" s="13">
        <f>SUM(E3451:M3451)</f>
        <v/>
      </c>
    </row>
    <row r="3452">
      <c r="A3452" s="5">
        <f>IF(AND(C3452&gt;=Options!$B$9,C3452&lt;=Options!$B$10),"Seattle","")</f>
        <v/>
      </c>
      <c r="B3452" s="5">
        <f>IF(A3452="","",24)</f>
        <v/>
      </c>
      <c r="C3452" s="17" t="n">
        <v>46458</v>
      </c>
      <c r="D3452" s="5">
        <f>IF(A3452="","",IF(C3452=DATE(2026,11,29),"培训；注册午餐；早餐参数",IF(C3452=DATE(2026,11,30),"培训；注册午餐",IF(C3452=DATE(2026,12,1),"培训；注册午餐；机构晚餐",IF(C3452=Options!$B$9,"抵达；"&amp;IF(C3452=DATE(2026,11,28),"机构晚餐","无统一供餐"),IF(C3452=Options!$B$10,"返程；"&amp;IF(C3452=DATE(2026,12,2),"机构午餐","无统一供餐"),"差旅状态；无统一日程"))))))</f>
        <v/>
      </c>
      <c r="E3452" s="13">
        <f>IF(C3452=Options!$B$9,Options!$C$23,0)</f>
        <v/>
      </c>
      <c r="F3452" s="13">
        <f>IF(AND(A3452&lt;&gt;"",C3452&lt;Options!$B$10),B3452*Options!$X$9,0)</f>
        <v/>
      </c>
      <c r="G3452" s="13">
        <f>F3452*12%</f>
        <v/>
      </c>
      <c r="H3452" s="13">
        <f>IF(A3452="",0,B3452*(92*IF(OR(C3452=Options!$B$9,C3452=Options!$B$10),75%,100%)-IF(C3452=DATE(2026,11,29),26+IF(Options!$B$8="是",23,0),0)-IF(C3452=DATE(2026,11,30),26,0)-IF(C3452=DATE(2026,12,1),64,0)-IF(C3452=DATE(2026,11,28),38,0)-IF(C3452=DATE(2026,12,2),26,0)))</f>
        <v/>
      </c>
      <c r="I3452" s="13">
        <f>IF(AND(C3452&gt;=DATE(2026,11,29),C3452&lt;=DATE(2026,12,1)),B3452*60,0)</f>
        <v/>
      </c>
      <c r="J3452" s="13">
        <f>IF(A3452="",0,B3452*(IF(C3452=DATE(2026,11,28),38,0)+IF(C3452=DATE(2026,12,1),38,0)+IF(C3452=DATE(2026,12,2),26,0)))</f>
        <v/>
      </c>
      <c r="K3452" s="13">
        <f>IF(C3452=Options!$B$9,B3452*12,0)</f>
        <v/>
      </c>
      <c r="L3452" s="13">
        <f>IF(C3452=Options!$B$9,B3452*Options!$Z$9,0)</f>
        <v/>
      </c>
      <c r="M3452" s="13" t="n">
        <v>0</v>
      </c>
      <c r="N3452" s="13">
        <f>SUM(E3452:M3452)</f>
        <v/>
      </c>
    </row>
    <row r="3453">
      <c r="A3453" s="5">
        <f>IF(AND(C3453&gt;=Options!$B$9,C3453&lt;=Options!$B$10),"Seattle","")</f>
        <v/>
      </c>
      <c r="B3453" s="5">
        <f>IF(A3453="","",24)</f>
        <v/>
      </c>
      <c r="C3453" s="17" t="n">
        <v>46459</v>
      </c>
      <c r="D3453" s="5">
        <f>IF(A3453="","",IF(C3453=DATE(2026,11,29),"培训；注册午餐；早餐参数",IF(C3453=DATE(2026,11,30),"培训；注册午餐",IF(C3453=DATE(2026,12,1),"培训；注册午餐；机构晚餐",IF(C3453=Options!$B$9,"抵达；"&amp;IF(C3453=DATE(2026,11,28),"机构晚餐","无统一供餐"),IF(C3453=Options!$B$10,"返程；"&amp;IF(C3453=DATE(2026,12,2),"机构午餐","无统一供餐"),"差旅状态；无统一日程"))))))</f>
        <v/>
      </c>
      <c r="E3453" s="13">
        <f>IF(C3453=Options!$B$9,Options!$C$23,0)</f>
        <v/>
      </c>
      <c r="F3453" s="13">
        <f>IF(AND(A3453&lt;&gt;"",C3453&lt;Options!$B$10),B3453*Options!$X$9,0)</f>
        <v/>
      </c>
      <c r="G3453" s="13">
        <f>F3453*12%</f>
        <v/>
      </c>
      <c r="H3453" s="13">
        <f>IF(A3453="",0,B3453*(92*IF(OR(C3453=Options!$B$9,C3453=Options!$B$10),75%,100%)-IF(C3453=DATE(2026,11,29),26+IF(Options!$B$8="是",23,0),0)-IF(C3453=DATE(2026,11,30),26,0)-IF(C3453=DATE(2026,12,1),64,0)-IF(C3453=DATE(2026,11,28),38,0)-IF(C3453=DATE(2026,12,2),26,0)))</f>
        <v/>
      </c>
      <c r="I3453" s="13">
        <f>IF(AND(C3453&gt;=DATE(2026,11,29),C3453&lt;=DATE(2026,12,1)),B3453*60,0)</f>
        <v/>
      </c>
      <c r="J3453" s="13">
        <f>IF(A3453="",0,B3453*(IF(C3453=DATE(2026,11,28),38,0)+IF(C3453=DATE(2026,12,1),38,0)+IF(C3453=DATE(2026,12,2),26,0)))</f>
        <v/>
      </c>
      <c r="K3453" s="13">
        <f>IF(C3453=Options!$B$9,B3453*12,0)</f>
        <v/>
      </c>
      <c r="L3453" s="13">
        <f>IF(C3453=Options!$B$9,B3453*Options!$Z$9,0)</f>
        <v/>
      </c>
      <c r="M3453" s="13" t="n">
        <v>0</v>
      </c>
      <c r="N3453" s="13">
        <f>SUM(E3453:M3453)</f>
        <v/>
      </c>
    </row>
    <row r="3454">
      <c r="A3454" s="5">
        <f>IF(AND(C3454&gt;=Options!$B$9,C3454&lt;=Options!$B$10),"Seattle","")</f>
        <v/>
      </c>
      <c r="B3454" s="5">
        <f>IF(A3454="","",24)</f>
        <v/>
      </c>
      <c r="C3454" s="17" t="n">
        <v>46460</v>
      </c>
      <c r="D3454" s="5">
        <f>IF(A3454="","",IF(C3454=DATE(2026,11,29),"培训；注册午餐；早餐参数",IF(C3454=DATE(2026,11,30),"培训；注册午餐",IF(C3454=DATE(2026,12,1),"培训；注册午餐；机构晚餐",IF(C3454=Options!$B$9,"抵达；"&amp;IF(C3454=DATE(2026,11,28),"机构晚餐","无统一供餐"),IF(C3454=Options!$B$10,"返程；"&amp;IF(C3454=DATE(2026,12,2),"机构午餐","无统一供餐"),"差旅状态；无统一日程"))))))</f>
        <v/>
      </c>
      <c r="E3454" s="13">
        <f>IF(C3454=Options!$B$9,Options!$C$23,0)</f>
        <v/>
      </c>
      <c r="F3454" s="13">
        <f>IF(AND(A3454&lt;&gt;"",C3454&lt;Options!$B$10),B3454*Options!$X$9,0)</f>
        <v/>
      </c>
      <c r="G3454" s="13">
        <f>F3454*12%</f>
        <v/>
      </c>
      <c r="H3454" s="13">
        <f>IF(A3454="",0,B3454*(92*IF(OR(C3454=Options!$B$9,C3454=Options!$B$10),75%,100%)-IF(C3454=DATE(2026,11,29),26+IF(Options!$B$8="是",23,0),0)-IF(C3454=DATE(2026,11,30),26,0)-IF(C3454=DATE(2026,12,1),64,0)-IF(C3454=DATE(2026,11,28),38,0)-IF(C3454=DATE(2026,12,2),26,0)))</f>
        <v/>
      </c>
      <c r="I3454" s="13">
        <f>IF(AND(C3454&gt;=DATE(2026,11,29),C3454&lt;=DATE(2026,12,1)),B3454*60,0)</f>
        <v/>
      </c>
      <c r="J3454" s="13">
        <f>IF(A3454="",0,B3454*(IF(C3454=DATE(2026,11,28),38,0)+IF(C3454=DATE(2026,12,1),38,0)+IF(C3454=DATE(2026,12,2),26,0)))</f>
        <v/>
      </c>
      <c r="K3454" s="13">
        <f>IF(C3454=Options!$B$9,B3454*12,0)</f>
        <v/>
      </c>
      <c r="L3454" s="13">
        <f>IF(C3454=Options!$B$9,B3454*Options!$Z$9,0)</f>
        <v/>
      </c>
      <c r="M3454" s="13" t="n">
        <v>0</v>
      </c>
      <c r="N3454" s="13">
        <f>SUM(E3454:M3454)</f>
        <v/>
      </c>
    </row>
    <row r="3455">
      <c r="A3455" s="5">
        <f>IF(AND(C3455&gt;=Options!$B$9,C3455&lt;=Options!$B$10),"Seattle","")</f>
        <v/>
      </c>
      <c r="B3455" s="5">
        <f>IF(A3455="","",24)</f>
        <v/>
      </c>
      <c r="C3455" s="17" t="n">
        <v>46461</v>
      </c>
      <c r="D3455" s="5">
        <f>IF(A3455="","",IF(C3455=DATE(2026,11,29),"培训；注册午餐；早餐参数",IF(C3455=DATE(2026,11,30),"培训；注册午餐",IF(C3455=DATE(2026,12,1),"培训；注册午餐；机构晚餐",IF(C3455=Options!$B$9,"抵达；"&amp;IF(C3455=DATE(2026,11,28),"机构晚餐","无统一供餐"),IF(C3455=Options!$B$10,"返程；"&amp;IF(C3455=DATE(2026,12,2),"机构午餐","无统一供餐"),"差旅状态；无统一日程"))))))</f>
        <v/>
      </c>
      <c r="E3455" s="13">
        <f>IF(C3455=Options!$B$9,Options!$C$23,0)</f>
        <v/>
      </c>
      <c r="F3455" s="13">
        <f>IF(AND(A3455&lt;&gt;"",C3455&lt;Options!$B$10),B3455*Options!$X$9,0)</f>
        <v/>
      </c>
      <c r="G3455" s="13">
        <f>F3455*12%</f>
        <v/>
      </c>
      <c r="H3455" s="13">
        <f>IF(A3455="",0,B3455*(92*IF(OR(C3455=Options!$B$9,C3455=Options!$B$10),75%,100%)-IF(C3455=DATE(2026,11,29),26+IF(Options!$B$8="是",23,0),0)-IF(C3455=DATE(2026,11,30),26,0)-IF(C3455=DATE(2026,12,1),64,0)-IF(C3455=DATE(2026,11,28),38,0)-IF(C3455=DATE(2026,12,2),26,0)))</f>
        <v/>
      </c>
      <c r="I3455" s="13">
        <f>IF(AND(C3455&gt;=DATE(2026,11,29),C3455&lt;=DATE(2026,12,1)),B3455*60,0)</f>
        <v/>
      </c>
      <c r="J3455" s="13">
        <f>IF(A3455="",0,B3455*(IF(C3455=DATE(2026,11,28),38,0)+IF(C3455=DATE(2026,12,1),38,0)+IF(C3455=DATE(2026,12,2),26,0)))</f>
        <v/>
      </c>
      <c r="K3455" s="13">
        <f>IF(C3455=Options!$B$9,B3455*12,0)</f>
        <v/>
      </c>
      <c r="L3455" s="13">
        <f>IF(C3455=Options!$B$9,B3455*Options!$Z$9,0)</f>
        <v/>
      </c>
      <c r="M3455" s="13" t="n">
        <v>0</v>
      </c>
      <c r="N3455" s="13">
        <f>SUM(E3455:M3455)</f>
        <v/>
      </c>
    </row>
    <row r="3456">
      <c r="A3456" s="5">
        <f>IF(AND(C3456&gt;=Options!$B$9,C3456&lt;=Options!$B$10),"Seattle","")</f>
        <v/>
      </c>
      <c r="B3456" s="5">
        <f>IF(A3456="","",24)</f>
        <v/>
      </c>
      <c r="C3456" s="17" t="n">
        <v>46462</v>
      </c>
      <c r="D3456" s="5">
        <f>IF(A3456="","",IF(C3456=DATE(2026,11,29),"培训；注册午餐；早餐参数",IF(C3456=DATE(2026,11,30),"培训；注册午餐",IF(C3456=DATE(2026,12,1),"培训；注册午餐；机构晚餐",IF(C3456=Options!$B$9,"抵达；"&amp;IF(C3456=DATE(2026,11,28),"机构晚餐","无统一供餐"),IF(C3456=Options!$B$10,"返程；"&amp;IF(C3456=DATE(2026,12,2),"机构午餐","无统一供餐"),"差旅状态；无统一日程"))))))</f>
        <v/>
      </c>
      <c r="E3456" s="13">
        <f>IF(C3456=Options!$B$9,Options!$C$23,0)</f>
        <v/>
      </c>
      <c r="F3456" s="13">
        <f>IF(AND(A3456&lt;&gt;"",C3456&lt;Options!$B$10),B3456*Options!$X$9,0)</f>
        <v/>
      </c>
      <c r="G3456" s="13">
        <f>F3456*12%</f>
        <v/>
      </c>
      <c r="H3456" s="13">
        <f>IF(A3456="",0,B3456*(92*IF(OR(C3456=Options!$B$9,C3456=Options!$B$10),75%,100%)-IF(C3456=DATE(2026,11,29),26+IF(Options!$B$8="是",23,0),0)-IF(C3456=DATE(2026,11,30),26,0)-IF(C3456=DATE(2026,12,1),64,0)-IF(C3456=DATE(2026,11,28),38,0)-IF(C3456=DATE(2026,12,2),26,0)))</f>
        <v/>
      </c>
      <c r="I3456" s="13">
        <f>IF(AND(C3456&gt;=DATE(2026,11,29),C3456&lt;=DATE(2026,12,1)),B3456*60,0)</f>
        <v/>
      </c>
      <c r="J3456" s="13">
        <f>IF(A3456="",0,B3456*(IF(C3456=DATE(2026,11,28),38,0)+IF(C3456=DATE(2026,12,1),38,0)+IF(C3456=DATE(2026,12,2),26,0)))</f>
        <v/>
      </c>
      <c r="K3456" s="13">
        <f>IF(C3456=Options!$B$9,B3456*12,0)</f>
        <v/>
      </c>
      <c r="L3456" s="13">
        <f>IF(C3456=Options!$B$9,B3456*Options!$Z$9,0)</f>
        <v/>
      </c>
      <c r="M3456" s="13" t="n">
        <v>0</v>
      </c>
      <c r="N3456" s="13">
        <f>SUM(E3456:M3456)</f>
        <v/>
      </c>
    </row>
    <row r="3457">
      <c r="A3457" s="5">
        <f>IF(AND(C3457&gt;=Options!$B$9,C3457&lt;=Options!$B$10),"Seattle","")</f>
        <v/>
      </c>
      <c r="B3457" s="5">
        <f>IF(A3457="","",24)</f>
        <v/>
      </c>
      <c r="C3457" s="17" t="n">
        <v>46463</v>
      </c>
      <c r="D3457" s="5">
        <f>IF(A3457="","",IF(C3457=DATE(2026,11,29),"培训；注册午餐；早餐参数",IF(C3457=DATE(2026,11,30),"培训；注册午餐",IF(C3457=DATE(2026,12,1),"培训；注册午餐；机构晚餐",IF(C3457=Options!$B$9,"抵达；"&amp;IF(C3457=DATE(2026,11,28),"机构晚餐","无统一供餐"),IF(C3457=Options!$B$10,"返程；"&amp;IF(C3457=DATE(2026,12,2),"机构午餐","无统一供餐"),"差旅状态；无统一日程"))))))</f>
        <v/>
      </c>
      <c r="E3457" s="13">
        <f>IF(C3457=Options!$B$9,Options!$C$23,0)</f>
        <v/>
      </c>
      <c r="F3457" s="13">
        <f>IF(AND(A3457&lt;&gt;"",C3457&lt;Options!$B$10),B3457*Options!$X$9,0)</f>
        <v/>
      </c>
      <c r="G3457" s="13">
        <f>F3457*12%</f>
        <v/>
      </c>
      <c r="H3457" s="13">
        <f>IF(A3457="",0,B3457*(92*IF(OR(C3457=Options!$B$9,C3457=Options!$B$10),75%,100%)-IF(C3457=DATE(2026,11,29),26+IF(Options!$B$8="是",23,0),0)-IF(C3457=DATE(2026,11,30),26,0)-IF(C3457=DATE(2026,12,1),64,0)-IF(C3457=DATE(2026,11,28),38,0)-IF(C3457=DATE(2026,12,2),26,0)))</f>
        <v/>
      </c>
      <c r="I3457" s="13">
        <f>IF(AND(C3457&gt;=DATE(2026,11,29),C3457&lt;=DATE(2026,12,1)),B3457*60,0)</f>
        <v/>
      </c>
      <c r="J3457" s="13">
        <f>IF(A3457="",0,B3457*(IF(C3457=DATE(2026,11,28),38,0)+IF(C3457=DATE(2026,12,1),38,0)+IF(C3457=DATE(2026,12,2),26,0)))</f>
        <v/>
      </c>
      <c r="K3457" s="13">
        <f>IF(C3457=Options!$B$9,B3457*12,0)</f>
        <v/>
      </c>
      <c r="L3457" s="13">
        <f>IF(C3457=Options!$B$9,B3457*Options!$Z$9,0)</f>
        <v/>
      </c>
      <c r="M3457" s="13" t="n">
        <v>0</v>
      </c>
      <c r="N3457" s="13">
        <f>SUM(E3457:M3457)</f>
        <v/>
      </c>
    </row>
    <row r="3458">
      <c r="A3458" s="5">
        <f>IF(AND(C3458&gt;=Options!$B$9,C3458&lt;=Options!$B$10),"Seattle","")</f>
        <v/>
      </c>
      <c r="B3458" s="5">
        <f>IF(A3458="","",24)</f>
        <v/>
      </c>
      <c r="C3458" s="17" t="n">
        <v>46464</v>
      </c>
      <c r="D3458" s="5">
        <f>IF(A3458="","",IF(C3458=DATE(2026,11,29),"培训；注册午餐；早餐参数",IF(C3458=DATE(2026,11,30),"培训；注册午餐",IF(C3458=DATE(2026,12,1),"培训；注册午餐；机构晚餐",IF(C3458=Options!$B$9,"抵达；"&amp;IF(C3458=DATE(2026,11,28),"机构晚餐","无统一供餐"),IF(C3458=Options!$B$10,"返程；"&amp;IF(C3458=DATE(2026,12,2),"机构午餐","无统一供餐"),"差旅状态；无统一日程"))))))</f>
        <v/>
      </c>
      <c r="E3458" s="13">
        <f>IF(C3458=Options!$B$9,Options!$C$23,0)</f>
        <v/>
      </c>
      <c r="F3458" s="13">
        <f>IF(AND(A3458&lt;&gt;"",C3458&lt;Options!$B$10),B3458*Options!$X$9,0)</f>
        <v/>
      </c>
      <c r="G3458" s="13">
        <f>F3458*12%</f>
        <v/>
      </c>
      <c r="H3458" s="13">
        <f>IF(A3458="",0,B3458*(92*IF(OR(C3458=Options!$B$9,C3458=Options!$B$10),75%,100%)-IF(C3458=DATE(2026,11,29),26+IF(Options!$B$8="是",23,0),0)-IF(C3458=DATE(2026,11,30),26,0)-IF(C3458=DATE(2026,12,1),64,0)-IF(C3458=DATE(2026,11,28),38,0)-IF(C3458=DATE(2026,12,2),26,0)))</f>
        <v/>
      </c>
      <c r="I3458" s="13">
        <f>IF(AND(C3458&gt;=DATE(2026,11,29),C3458&lt;=DATE(2026,12,1)),B3458*60,0)</f>
        <v/>
      </c>
      <c r="J3458" s="13">
        <f>IF(A3458="",0,B3458*(IF(C3458=DATE(2026,11,28),38,0)+IF(C3458=DATE(2026,12,1),38,0)+IF(C3458=DATE(2026,12,2),26,0)))</f>
        <v/>
      </c>
      <c r="K3458" s="13">
        <f>IF(C3458=Options!$B$9,B3458*12,0)</f>
        <v/>
      </c>
      <c r="L3458" s="13">
        <f>IF(C3458=Options!$B$9,B3458*Options!$Z$9,0)</f>
        <v/>
      </c>
      <c r="M3458" s="13" t="n">
        <v>0</v>
      </c>
      <c r="N3458" s="13">
        <f>SUM(E3458:M3458)</f>
        <v/>
      </c>
    </row>
    <row r="3459">
      <c r="A3459" s="5">
        <f>IF(AND(C3459&gt;=Options!$B$9,C3459&lt;=Options!$B$10),"Seattle","")</f>
        <v/>
      </c>
      <c r="B3459" s="5">
        <f>IF(A3459="","",24)</f>
        <v/>
      </c>
      <c r="C3459" s="17" t="n">
        <v>46465</v>
      </c>
      <c r="D3459" s="5">
        <f>IF(A3459="","",IF(C3459=DATE(2026,11,29),"培训；注册午餐；早餐参数",IF(C3459=DATE(2026,11,30),"培训；注册午餐",IF(C3459=DATE(2026,12,1),"培训；注册午餐；机构晚餐",IF(C3459=Options!$B$9,"抵达；"&amp;IF(C3459=DATE(2026,11,28),"机构晚餐","无统一供餐"),IF(C3459=Options!$B$10,"返程；"&amp;IF(C3459=DATE(2026,12,2),"机构午餐","无统一供餐"),"差旅状态；无统一日程"))))))</f>
        <v/>
      </c>
      <c r="E3459" s="13">
        <f>IF(C3459=Options!$B$9,Options!$C$23,0)</f>
        <v/>
      </c>
      <c r="F3459" s="13">
        <f>IF(AND(A3459&lt;&gt;"",C3459&lt;Options!$B$10),B3459*Options!$X$9,0)</f>
        <v/>
      </c>
      <c r="G3459" s="13">
        <f>F3459*12%</f>
        <v/>
      </c>
      <c r="H3459" s="13">
        <f>IF(A3459="",0,B3459*(92*IF(OR(C3459=Options!$B$9,C3459=Options!$B$10),75%,100%)-IF(C3459=DATE(2026,11,29),26+IF(Options!$B$8="是",23,0),0)-IF(C3459=DATE(2026,11,30),26,0)-IF(C3459=DATE(2026,12,1),64,0)-IF(C3459=DATE(2026,11,28),38,0)-IF(C3459=DATE(2026,12,2),26,0)))</f>
        <v/>
      </c>
      <c r="I3459" s="13">
        <f>IF(AND(C3459&gt;=DATE(2026,11,29),C3459&lt;=DATE(2026,12,1)),B3459*60,0)</f>
        <v/>
      </c>
      <c r="J3459" s="13">
        <f>IF(A3459="",0,B3459*(IF(C3459=DATE(2026,11,28),38,0)+IF(C3459=DATE(2026,12,1),38,0)+IF(C3459=DATE(2026,12,2),26,0)))</f>
        <v/>
      </c>
      <c r="K3459" s="13">
        <f>IF(C3459=Options!$B$9,B3459*12,0)</f>
        <v/>
      </c>
      <c r="L3459" s="13">
        <f>IF(C3459=Options!$B$9,B3459*Options!$Z$9,0)</f>
        <v/>
      </c>
      <c r="M3459" s="13" t="n">
        <v>0</v>
      </c>
      <c r="N3459" s="13">
        <f>SUM(E3459:M3459)</f>
        <v/>
      </c>
    </row>
    <row r="3460">
      <c r="A3460" s="5">
        <f>IF(AND(C3460&gt;=Options!$B$9,C3460&lt;=Options!$B$10),"Seattle","")</f>
        <v/>
      </c>
      <c r="B3460" s="5">
        <f>IF(A3460="","",24)</f>
        <v/>
      </c>
      <c r="C3460" s="17" t="n">
        <v>46466</v>
      </c>
      <c r="D3460" s="5">
        <f>IF(A3460="","",IF(C3460=DATE(2026,11,29),"培训；注册午餐；早餐参数",IF(C3460=DATE(2026,11,30),"培训；注册午餐",IF(C3460=DATE(2026,12,1),"培训；注册午餐；机构晚餐",IF(C3460=Options!$B$9,"抵达；"&amp;IF(C3460=DATE(2026,11,28),"机构晚餐","无统一供餐"),IF(C3460=Options!$B$10,"返程；"&amp;IF(C3460=DATE(2026,12,2),"机构午餐","无统一供餐"),"差旅状态；无统一日程"))))))</f>
        <v/>
      </c>
      <c r="E3460" s="13">
        <f>IF(C3460=Options!$B$9,Options!$C$23,0)</f>
        <v/>
      </c>
      <c r="F3460" s="13">
        <f>IF(AND(A3460&lt;&gt;"",C3460&lt;Options!$B$10),B3460*Options!$X$9,0)</f>
        <v/>
      </c>
      <c r="G3460" s="13">
        <f>F3460*12%</f>
        <v/>
      </c>
      <c r="H3460" s="13">
        <f>IF(A3460="",0,B3460*(92*IF(OR(C3460=Options!$B$9,C3460=Options!$B$10),75%,100%)-IF(C3460=DATE(2026,11,29),26+IF(Options!$B$8="是",23,0),0)-IF(C3460=DATE(2026,11,30),26,0)-IF(C3460=DATE(2026,12,1),64,0)-IF(C3460=DATE(2026,11,28),38,0)-IF(C3460=DATE(2026,12,2),26,0)))</f>
        <v/>
      </c>
      <c r="I3460" s="13">
        <f>IF(AND(C3460&gt;=DATE(2026,11,29),C3460&lt;=DATE(2026,12,1)),B3460*60,0)</f>
        <v/>
      </c>
      <c r="J3460" s="13">
        <f>IF(A3460="",0,B3460*(IF(C3460=DATE(2026,11,28),38,0)+IF(C3460=DATE(2026,12,1),38,0)+IF(C3460=DATE(2026,12,2),26,0)))</f>
        <v/>
      </c>
      <c r="K3460" s="13">
        <f>IF(C3460=Options!$B$9,B3460*12,0)</f>
        <v/>
      </c>
      <c r="L3460" s="13">
        <f>IF(C3460=Options!$B$9,B3460*Options!$Z$9,0)</f>
        <v/>
      </c>
      <c r="M3460" s="13" t="n">
        <v>0</v>
      </c>
      <c r="N3460" s="13">
        <f>SUM(E3460:M3460)</f>
        <v/>
      </c>
    </row>
    <row r="3461">
      <c r="A3461" s="5">
        <f>IF(AND(C3461&gt;=Options!$B$9,C3461&lt;=Options!$B$10),"Seattle","")</f>
        <v/>
      </c>
      <c r="B3461" s="5">
        <f>IF(A3461="","",24)</f>
        <v/>
      </c>
      <c r="C3461" s="17" t="n">
        <v>46467</v>
      </c>
      <c r="D3461" s="5">
        <f>IF(A3461="","",IF(C3461=DATE(2026,11,29),"培训；注册午餐；早餐参数",IF(C3461=DATE(2026,11,30),"培训；注册午餐",IF(C3461=DATE(2026,12,1),"培训；注册午餐；机构晚餐",IF(C3461=Options!$B$9,"抵达；"&amp;IF(C3461=DATE(2026,11,28),"机构晚餐","无统一供餐"),IF(C3461=Options!$B$10,"返程；"&amp;IF(C3461=DATE(2026,12,2),"机构午餐","无统一供餐"),"差旅状态；无统一日程"))))))</f>
        <v/>
      </c>
      <c r="E3461" s="13">
        <f>IF(C3461=Options!$B$9,Options!$C$23,0)</f>
        <v/>
      </c>
      <c r="F3461" s="13">
        <f>IF(AND(A3461&lt;&gt;"",C3461&lt;Options!$B$10),B3461*Options!$X$9,0)</f>
        <v/>
      </c>
      <c r="G3461" s="13">
        <f>F3461*12%</f>
        <v/>
      </c>
      <c r="H3461" s="13">
        <f>IF(A3461="",0,B3461*(92*IF(OR(C3461=Options!$B$9,C3461=Options!$B$10),75%,100%)-IF(C3461=DATE(2026,11,29),26+IF(Options!$B$8="是",23,0),0)-IF(C3461=DATE(2026,11,30),26,0)-IF(C3461=DATE(2026,12,1),64,0)-IF(C3461=DATE(2026,11,28),38,0)-IF(C3461=DATE(2026,12,2),26,0)))</f>
        <v/>
      </c>
      <c r="I3461" s="13">
        <f>IF(AND(C3461&gt;=DATE(2026,11,29),C3461&lt;=DATE(2026,12,1)),B3461*60,0)</f>
        <v/>
      </c>
      <c r="J3461" s="13">
        <f>IF(A3461="",0,B3461*(IF(C3461=DATE(2026,11,28),38,0)+IF(C3461=DATE(2026,12,1),38,0)+IF(C3461=DATE(2026,12,2),26,0)))</f>
        <v/>
      </c>
      <c r="K3461" s="13">
        <f>IF(C3461=Options!$B$9,B3461*12,0)</f>
        <v/>
      </c>
      <c r="L3461" s="13">
        <f>IF(C3461=Options!$B$9,B3461*Options!$Z$9,0)</f>
        <v/>
      </c>
      <c r="M3461" s="13" t="n">
        <v>0</v>
      </c>
      <c r="N3461" s="13">
        <f>SUM(E3461:M3461)</f>
        <v/>
      </c>
    </row>
    <row r="3462">
      <c r="A3462" s="5">
        <f>IF(AND(C3462&gt;=Options!$B$9,C3462&lt;=Options!$B$10),"Seattle","")</f>
        <v/>
      </c>
      <c r="B3462" s="5">
        <f>IF(A3462="","",24)</f>
        <v/>
      </c>
      <c r="C3462" s="17" t="n">
        <v>46468</v>
      </c>
      <c r="D3462" s="5">
        <f>IF(A3462="","",IF(C3462=DATE(2026,11,29),"培训；注册午餐；早餐参数",IF(C3462=DATE(2026,11,30),"培训；注册午餐",IF(C3462=DATE(2026,12,1),"培训；注册午餐；机构晚餐",IF(C3462=Options!$B$9,"抵达；"&amp;IF(C3462=DATE(2026,11,28),"机构晚餐","无统一供餐"),IF(C3462=Options!$B$10,"返程；"&amp;IF(C3462=DATE(2026,12,2),"机构午餐","无统一供餐"),"差旅状态；无统一日程"))))))</f>
        <v/>
      </c>
      <c r="E3462" s="13">
        <f>IF(C3462=Options!$B$9,Options!$C$23,0)</f>
        <v/>
      </c>
      <c r="F3462" s="13">
        <f>IF(AND(A3462&lt;&gt;"",C3462&lt;Options!$B$10),B3462*Options!$X$9,0)</f>
        <v/>
      </c>
      <c r="G3462" s="13">
        <f>F3462*12%</f>
        <v/>
      </c>
      <c r="H3462" s="13">
        <f>IF(A3462="",0,B3462*(92*IF(OR(C3462=Options!$B$9,C3462=Options!$B$10),75%,100%)-IF(C3462=DATE(2026,11,29),26+IF(Options!$B$8="是",23,0),0)-IF(C3462=DATE(2026,11,30),26,0)-IF(C3462=DATE(2026,12,1),64,0)-IF(C3462=DATE(2026,11,28),38,0)-IF(C3462=DATE(2026,12,2),26,0)))</f>
        <v/>
      </c>
      <c r="I3462" s="13">
        <f>IF(AND(C3462&gt;=DATE(2026,11,29),C3462&lt;=DATE(2026,12,1)),B3462*60,0)</f>
        <v/>
      </c>
      <c r="J3462" s="13">
        <f>IF(A3462="",0,B3462*(IF(C3462=DATE(2026,11,28),38,0)+IF(C3462=DATE(2026,12,1),38,0)+IF(C3462=DATE(2026,12,2),26,0)))</f>
        <v/>
      </c>
      <c r="K3462" s="13">
        <f>IF(C3462=Options!$B$9,B3462*12,0)</f>
        <v/>
      </c>
      <c r="L3462" s="13">
        <f>IF(C3462=Options!$B$9,B3462*Options!$Z$9,0)</f>
        <v/>
      </c>
      <c r="M3462" s="13" t="n">
        <v>0</v>
      </c>
      <c r="N3462" s="13">
        <f>SUM(E3462:M3462)</f>
        <v/>
      </c>
    </row>
    <row r="3463">
      <c r="A3463" s="5">
        <f>IF(AND(C3463&gt;=Options!$B$9,C3463&lt;=Options!$B$10),"Seattle","")</f>
        <v/>
      </c>
      <c r="B3463" s="5">
        <f>IF(A3463="","",24)</f>
        <v/>
      </c>
      <c r="C3463" s="17" t="n">
        <v>46469</v>
      </c>
      <c r="D3463" s="5">
        <f>IF(A3463="","",IF(C3463=DATE(2026,11,29),"培训；注册午餐；早餐参数",IF(C3463=DATE(2026,11,30),"培训；注册午餐",IF(C3463=DATE(2026,12,1),"培训；注册午餐；机构晚餐",IF(C3463=Options!$B$9,"抵达；"&amp;IF(C3463=DATE(2026,11,28),"机构晚餐","无统一供餐"),IF(C3463=Options!$B$10,"返程；"&amp;IF(C3463=DATE(2026,12,2),"机构午餐","无统一供餐"),"差旅状态；无统一日程"))))))</f>
        <v/>
      </c>
      <c r="E3463" s="13">
        <f>IF(C3463=Options!$B$9,Options!$C$23,0)</f>
        <v/>
      </c>
      <c r="F3463" s="13">
        <f>IF(AND(A3463&lt;&gt;"",C3463&lt;Options!$B$10),B3463*Options!$X$9,0)</f>
        <v/>
      </c>
      <c r="G3463" s="13">
        <f>F3463*12%</f>
        <v/>
      </c>
      <c r="H3463" s="13">
        <f>IF(A3463="",0,B3463*(92*IF(OR(C3463=Options!$B$9,C3463=Options!$B$10),75%,100%)-IF(C3463=DATE(2026,11,29),26+IF(Options!$B$8="是",23,0),0)-IF(C3463=DATE(2026,11,30),26,0)-IF(C3463=DATE(2026,12,1),64,0)-IF(C3463=DATE(2026,11,28),38,0)-IF(C3463=DATE(2026,12,2),26,0)))</f>
        <v/>
      </c>
      <c r="I3463" s="13">
        <f>IF(AND(C3463&gt;=DATE(2026,11,29),C3463&lt;=DATE(2026,12,1)),B3463*60,0)</f>
        <v/>
      </c>
      <c r="J3463" s="13">
        <f>IF(A3463="",0,B3463*(IF(C3463=DATE(2026,11,28),38,0)+IF(C3463=DATE(2026,12,1),38,0)+IF(C3463=DATE(2026,12,2),26,0)))</f>
        <v/>
      </c>
      <c r="K3463" s="13">
        <f>IF(C3463=Options!$B$9,B3463*12,0)</f>
        <v/>
      </c>
      <c r="L3463" s="13">
        <f>IF(C3463=Options!$B$9,B3463*Options!$Z$9,0)</f>
        <v/>
      </c>
      <c r="M3463" s="13" t="n">
        <v>0</v>
      </c>
      <c r="N3463" s="13">
        <f>SUM(E3463:M3463)</f>
        <v/>
      </c>
    </row>
    <row r="3464">
      <c r="A3464" s="5">
        <f>IF(AND(C3464&gt;=Options!$B$9,C3464&lt;=Options!$B$10),"Seattle","")</f>
        <v/>
      </c>
      <c r="B3464" s="5">
        <f>IF(A3464="","",24)</f>
        <v/>
      </c>
      <c r="C3464" s="17" t="n">
        <v>46470</v>
      </c>
      <c r="D3464" s="5">
        <f>IF(A3464="","",IF(C3464=DATE(2026,11,29),"培训；注册午餐；早餐参数",IF(C3464=DATE(2026,11,30),"培训；注册午餐",IF(C3464=DATE(2026,12,1),"培训；注册午餐；机构晚餐",IF(C3464=Options!$B$9,"抵达；"&amp;IF(C3464=DATE(2026,11,28),"机构晚餐","无统一供餐"),IF(C3464=Options!$B$10,"返程；"&amp;IF(C3464=DATE(2026,12,2),"机构午餐","无统一供餐"),"差旅状态；无统一日程"))))))</f>
        <v/>
      </c>
      <c r="E3464" s="13">
        <f>IF(C3464=Options!$B$9,Options!$C$23,0)</f>
        <v/>
      </c>
      <c r="F3464" s="13">
        <f>IF(AND(A3464&lt;&gt;"",C3464&lt;Options!$B$10),B3464*Options!$X$9,0)</f>
        <v/>
      </c>
      <c r="G3464" s="13">
        <f>F3464*12%</f>
        <v/>
      </c>
      <c r="H3464" s="13">
        <f>IF(A3464="",0,B3464*(92*IF(OR(C3464=Options!$B$9,C3464=Options!$B$10),75%,100%)-IF(C3464=DATE(2026,11,29),26+IF(Options!$B$8="是",23,0),0)-IF(C3464=DATE(2026,11,30),26,0)-IF(C3464=DATE(2026,12,1),64,0)-IF(C3464=DATE(2026,11,28),38,0)-IF(C3464=DATE(2026,12,2),26,0)))</f>
        <v/>
      </c>
      <c r="I3464" s="13">
        <f>IF(AND(C3464&gt;=DATE(2026,11,29),C3464&lt;=DATE(2026,12,1)),B3464*60,0)</f>
        <v/>
      </c>
      <c r="J3464" s="13">
        <f>IF(A3464="",0,B3464*(IF(C3464=DATE(2026,11,28),38,0)+IF(C3464=DATE(2026,12,1),38,0)+IF(C3464=DATE(2026,12,2),26,0)))</f>
        <v/>
      </c>
      <c r="K3464" s="13">
        <f>IF(C3464=Options!$B$9,B3464*12,0)</f>
        <v/>
      </c>
      <c r="L3464" s="13">
        <f>IF(C3464=Options!$B$9,B3464*Options!$Z$9,0)</f>
        <v/>
      </c>
      <c r="M3464" s="13" t="n">
        <v>0</v>
      </c>
      <c r="N3464" s="13">
        <f>SUM(E3464:M3464)</f>
        <v/>
      </c>
    </row>
    <row r="3465">
      <c r="A3465" s="5">
        <f>IF(AND(C3465&gt;=Options!$B$9,C3465&lt;=Options!$B$10),"Seattle","")</f>
        <v/>
      </c>
      <c r="B3465" s="5">
        <f>IF(A3465="","",24)</f>
        <v/>
      </c>
      <c r="C3465" s="17" t="n">
        <v>46471</v>
      </c>
      <c r="D3465" s="5">
        <f>IF(A3465="","",IF(C3465=DATE(2026,11,29),"培训；注册午餐；早餐参数",IF(C3465=DATE(2026,11,30),"培训；注册午餐",IF(C3465=DATE(2026,12,1),"培训；注册午餐；机构晚餐",IF(C3465=Options!$B$9,"抵达；"&amp;IF(C3465=DATE(2026,11,28),"机构晚餐","无统一供餐"),IF(C3465=Options!$B$10,"返程；"&amp;IF(C3465=DATE(2026,12,2),"机构午餐","无统一供餐"),"差旅状态；无统一日程"))))))</f>
        <v/>
      </c>
      <c r="E3465" s="13">
        <f>IF(C3465=Options!$B$9,Options!$C$23,0)</f>
        <v/>
      </c>
      <c r="F3465" s="13">
        <f>IF(AND(A3465&lt;&gt;"",C3465&lt;Options!$B$10),B3465*Options!$X$9,0)</f>
        <v/>
      </c>
      <c r="G3465" s="13">
        <f>F3465*12%</f>
        <v/>
      </c>
      <c r="H3465" s="13">
        <f>IF(A3465="",0,B3465*(92*IF(OR(C3465=Options!$B$9,C3465=Options!$B$10),75%,100%)-IF(C3465=DATE(2026,11,29),26+IF(Options!$B$8="是",23,0),0)-IF(C3465=DATE(2026,11,30),26,0)-IF(C3465=DATE(2026,12,1),64,0)-IF(C3465=DATE(2026,11,28),38,0)-IF(C3465=DATE(2026,12,2),26,0)))</f>
        <v/>
      </c>
      <c r="I3465" s="13">
        <f>IF(AND(C3465&gt;=DATE(2026,11,29),C3465&lt;=DATE(2026,12,1)),B3465*60,0)</f>
        <v/>
      </c>
      <c r="J3465" s="13">
        <f>IF(A3465="",0,B3465*(IF(C3465=DATE(2026,11,28),38,0)+IF(C3465=DATE(2026,12,1),38,0)+IF(C3465=DATE(2026,12,2),26,0)))</f>
        <v/>
      </c>
      <c r="K3465" s="13">
        <f>IF(C3465=Options!$B$9,B3465*12,0)</f>
        <v/>
      </c>
      <c r="L3465" s="13">
        <f>IF(C3465=Options!$B$9,B3465*Options!$Z$9,0)</f>
        <v/>
      </c>
      <c r="M3465" s="13" t="n">
        <v>0</v>
      </c>
      <c r="N3465" s="13">
        <f>SUM(E3465:M3465)</f>
        <v/>
      </c>
    </row>
    <row r="3466">
      <c r="A3466" s="5">
        <f>IF(AND(C3466&gt;=Options!$B$9,C3466&lt;=Options!$B$10),"Seattle","")</f>
        <v/>
      </c>
      <c r="B3466" s="5">
        <f>IF(A3466="","",24)</f>
        <v/>
      </c>
      <c r="C3466" s="17" t="n">
        <v>46472</v>
      </c>
      <c r="D3466" s="5">
        <f>IF(A3466="","",IF(C3466=DATE(2026,11,29),"培训；注册午餐；早餐参数",IF(C3466=DATE(2026,11,30),"培训；注册午餐",IF(C3466=DATE(2026,12,1),"培训；注册午餐；机构晚餐",IF(C3466=Options!$B$9,"抵达；"&amp;IF(C3466=DATE(2026,11,28),"机构晚餐","无统一供餐"),IF(C3466=Options!$B$10,"返程；"&amp;IF(C3466=DATE(2026,12,2),"机构午餐","无统一供餐"),"差旅状态；无统一日程"))))))</f>
        <v/>
      </c>
      <c r="E3466" s="13">
        <f>IF(C3466=Options!$B$9,Options!$C$23,0)</f>
        <v/>
      </c>
      <c r="F3466" s="13">
        <f>IF(AND(A3466&lt;&gt;"",C3466&lt;Options!$B$10),B3466*Options!$X$9,0)</f>
        <v/>
      </c>
      <c r="G3466" s="13">
        <f>F3466*12%</f>
        <v/>
      </c>
      <c r="H3466" s="13">
        <f>IF(A3466="",0,B3466*(92*IF(OR(C3466=Options!$B$9,C3466=Options!$B$10),75%,100%)-IF(C3466=DATE(2026,11,29),26+IF(Options!$B$8="是",23,0),0)-IF(C3466=DATE(2026,11,30),26,0)-IF(C3466=DATE(2026,12,1),64,0)-IF(C3466=DATE(2026,11,28),38,0)-IF(C3466=DATE(2026,12,2),26,0)))</f>
        <v/>
      </c>
      <c r="I3466" s="13">
        <f>IF(AND(C3466&gt;=DATE(2026,11,29),C3466&lt;=DATE(2026,12,1)),B3466*60,0)</f>
        <v/>
      </c>
      <c r="J3466" s="13">
        <f>IF(A3466="",0,B3466*(IF(C3466=DATE(2026,11,28),38,0)+IF(C3466=DATE(2026,12,1),38,0)+IF(C3466=DATE(2026,12,2),26,0)))</f>
        <v/>
      </c>
      <c r="K3466" s="13">
        <f>IF(C3466=Options!$B$9,B3466*12,0)</f>
        <v/>
      </c>
      <c r="L3466" s="13">
        <f>IF(C3466=Options!$B$9,B3466*Options!$Z$9,0)</f>
        <v/>
      </c>
      <c r="M3466" s="13" t="n">
        <v>0</v>
      </c>
      <c r="N3466" s="13">
        <f>SUM(E3466:M3466)</f>
        <v/>
      </c>
    </row>
    <row r="3467">
      <c r="A3467" s="5">
        <f>IF(AND(C3467&gt;=Options!$B$9,C3467&lt;=Options!$B$10),"Seattle","")</f>
        <v/>
      </c>
      <c r="B3467" s="5">
        <f>IF(A3467="","",24)</f>
        <v/>
      </c>
      <c r="C3467" s="17" t="n">
        <v>46473</v>
      </c>
      <c r="D3467" s="5">
        <f>IF(A3467="","",IF(C3467=DATE(2026,11,29),"培训；注册午餐；早餐参数",IF(C3467=DATE(2026,11,30),"培训；注册午餐",IF(C3467=DATE(2026,12,1),"培训；注册午餐；机构晚餐",IF(C3467=Options!$B$9,"抵达；"&amp;IF(C3467=DATE(2026,11,28),"机构晚餐","无统一供餐"),IF(C3467=Options!$B$10,"返程；"&amp;IF(C3467=DATE(2026,12,2),"机构午餐","无统一供餐"),"差旅状态；无统一日程"))))))</f>
        <v/>
      </c>
      <c r="E3467" s="13">
        <f>IF(C3467=Options!$B$9,Options!$C$23,0)</f>
        <v/>
      </c>
      <c r="F3467" s="13">
        <f>IF(AND(A3467&lt;&gt;"",C3467&lt;Options!$B$10),B3467*Options!$X$9,0)</f>
        <v/>
      </c>
      <c r="G3467" s="13">
        <f>F3467*12%</f>
        <v/>
      </c>
      <c r="H3467" s="13">
        <f>IF(A3467="",0,B3467*(92*IF(OR(C3467=Options!$B$9,C3467=Options!$B$10),75%,100%)-IF(C3467=DATE(2026,11,29),26+IF(Options!$B$8="是",23,0),0)-IF(C3467=DATE(2026,11,30),26,0)-IF(C3467=DATE(2026,12,1),64,0)-IF(C3467=DATE(2026,11,28),38,0)-IF(C3467=DATE(2026,12,2),26,0)))</f>
        <v/>
      </c>
      <c r="I3467" s="13">
        <f>IF(AND(C3467&gt;=DATE(2026,11,29),C3467&lt;=DATE(2026,12,1)),B3467*60,0)</f>
        <v/>
      </c>
      <c r="J3467" s="13">
        <f>IF(A3467="",0,B3467*(IF(C3467=DATE(2026,11,28),38,0)+IF(C3467=DATE(2026,12,1),38,0)+IF(C3467=DATE(2026,12,2),26,0)))</f>
        <v/>
      </c>
      <c r="K3467" s="13">
        <f>IF(C3467=Options!$B$9,B3467*12,0)</f>
        <v/>
      </c>
      <c r="L3467" s="13">
        <f>IF(C3467=Options!$B$9,B3467*Options!$Z$9,0)</f>
        <v/>
      </c>
      <c r="M3467" s="13" t="n">
        <v>0</v>
      </c>
      <c r="N3467" s="13">
        <f>SUM(E3467:M3467)</f>
        <v/>
      </c>
    </row>
    <row r="3468">
      <c r="A3468" s="5">
        <f>IF(AND(C3468&gt;=Options!$B$9,C3468&lt;=Options!$B$10),"Seattle","")</f>
        <v/>
      </c>
      <c r="B3468" s="5">
        <f>IF(A3468="","",24)</f>
        <v/>
      </c>
      <c r="C3468" s="17" t="n">
        <v>46474</v>
      </c>
      <c r="D3468" s="5">
        <f>IF(A3468="","",IF(C3468=DATE(2026,11,29),"培训；注册午餐；早餐参数",IF(C3468=DATE(2026,11,30),"培训；注册午餐",IF(C3468=DATE(2026,12,1),"培训；注册午餐；机构晚餐",IF(C3468=Options!$B$9,"抵达；"&amp;IF(C3468=DATE(2026,11,28),"机构晚餐","无统一供餐"),IF(C3468=Options!$B$10,"返程；"&amp;IF(C3468=DATE(2026,12,2),"机构午餐","无统一供餐"),"差旅状态；无统一日程"))))))</f>
        <v/>
      </c>
      <c r="E3468" s="13">
        <f>IF(C3468=Options!$B$9,Options!$C$23,0)</f>
        <v/>
      </c>
      <c r="F3468" s="13">
        <f>IF(AND(A3468&lt;&gt;"",C3468&lt;Options!$B$10),B3468*Options!$X$9,0)</f>
        <v/>
      </c>
      <c r="G3468" s="13">
        <f>F3468*12%</f>
        <v/>
      </c>
      <c r="H3468" s="13">
        <f>IF(A3468="",0,B3468*(92*IF(OR(C3468=Options!$B$9,C3468=Options!$B$10),75%,100%)-IF(C3468=DATE(2026,11,29),26+IF(Options!$B$8="是",23,0),0)-IF(C3468=DATE(2026,11,30),26,0)-IF(C3468=DATE(2026,12,1),64,0)-IF(C3468=DATE(2026,11,28),38,0)-IF(C3468=DATE(2026,12,2),26,0)))</f>
        <v/>
      </c>
      <c r="I3468" s="13">
        <f>IF(AND(C3468&gt;=DATE(2026,11,29),C3468&lt;=DATE(2026,12,1)),B3468*60,0)</f>
        <v/>
      </c>
      <c r="J3468" s="13">
        <f>IF(A3468="",0,B3468*(IF(C3468=DATE(2026,11,28),38,0)+IF(C3468=DATE(2026,12,1),38,0)+IF(C3468=DATE(2026,12,2),26,0)))</f>
        <v/>
      </c>
      <c r="K3468" s="13">
        <f>IF(C3468=Options!$B$9,B3468*12,0)</f>
        <v/>
      </c>
      <c r="L3468" s="13">
        <f>IF(C3468=Options!$B$9,B3468*Options!$Z$9,0)</f>
        <v/>
      </c>
      <c r="M3468" s="13" t="n">
        <v>0</v>
      </c>
      <c r="N3468" s="13">
        <f>SUM(E3468:M3468)</f>
        <v/>
      </c>
    </row>
    <row r="3469">
      <c r="A3469" s="5">
        <f>IF(AND(C3469&gt;=Options!$B$9,C3469&lt;=Options!$B$10),"Seattle","")</f>
        <v/>
      </c>
      <c r="B3469" s="5">
        <f>IF(A3469="","",24)</f>
        <v/>
      </c>
      <c r="C3469" s="17" t="n">
        <v>46475</v>
      </c>
      <c r="D3469" s="5">
        <f>IF(A3469="","",IF(C3469=DATE(2026,11,29),"培训；注册午餐；早餐参数",IF(C3469=DATE(2026,11,30),"培训；注册午餐",IF(C3469=DATE(2026,12,1),"培训；注册午餐；机构晚餐",IF(C3469=Options!$B$9,"抵达；"&amp;IF(C3469=DATE(2026,11,28),"机构晚餐","无统一供餐"),IF(C3469=Options!$B$10,"返程；"&amp;IF(C3469=DATE(2026,12,2),"机构午餐","无统一供餐"),"差旅状态；无统一日程"))))))</f>
        <v/>
      </c>
      <c r="E3469" s="13">
        <f>IF(C3469=Options!$B$9,Options!$C$23,0)</f>
        <v/>
      </c>
      <c r="F3469" s="13">
        <f>IF(AND(A3469&lt;&gt;"",C3469&lt;Options!$B$10),B3469*Options!$X$9,0)</f>
        <v/>
      </c>
      <c r="G3469" s="13">
        <f>F3469*12%</f>
        <v/>
      </c>
      <c r="H3469" s="13">
        <f>IF(A3469="",0,B3469*(92*IF(OR(C3469=Options!$B$9,C3469=Options!$B$10),75%,100%)-IF(C3469=DATE(2026,11,29),26+IF(Options!$B$8="是",23,0),0)-IF(C3469=DATE(2026,11,30),26,0)-IF(C3469=DATE(2026,12,1),64,0)-IF(C3469=DATE(2026,11,28),38,0)-IF(C3469=DATE(2026,12,2),26,0)))</f>
        <v/>
      </c>
      <c r="I3469" s="13">
        <f>IF(AND(C3469&gt;=DATE(2026,11,29),C3469&lt;=DATE(2026,12,1)),B3469*60,0)</f>
        <v/>
      </c>
      <c r="J3469" s="13">
        <f>IF(A3469="",0,B3469*(IF(C3469=DATE(2026,11,28),38,0)+IF(C3469=DATE(2026,12,1),38,0)+IF(C3469=DATE(2026,12,2),26,0)))</f>
        <v/>
      </c>
      <c r="K3469" s="13">
        <f>IF(C3469=Options!$B$9,B3469*12,0)</f>
        <v/>
      </c>
      <c r="L3469" s="13">
        <f>IF(C3469=Options!$B$9,B3469*Options!$Z$9,0)</f>
        <v/>
      </c>
      <c r="M3469" s="13" t="n">
        <v>0</v>
      </c>
      <c r="N3469" s="13">
        <f>SUM(E3469:M3469)</f>
        <v/>
      </c>
    </row>
    <row r="3470">
      <c r="A3470" s="5">
        <f>IF(AND(C3470&gt;=Options!$B$9,C3470&lt;=Options!$B$10),"Seattle","")</f>
        <v/>
      </c>
      <c r="B3470" s="5">
        <f>IF(A3470="","",24)</f>
        <v/>
      </c>
      <c r="C3470" s="17" t="n">
        <v>46476</v>
      </c>
      <c r="D3470" s="5">
        <f>IF(A3470="","",IF(C3470=DATE(2026,11,29),"培训；注册午餐；早餐参数",IF(C3470=DATE(2026,11,30),"培训；注册午餐",IF(C3470=DATE(2026,12,1),"培训；注册午餐；机构晚餐",IF(C3470=Options!$B$9,"抵达；"&amp;IF(C3470=DATE(2026,11,28),"机构晚餐","无统一供餐"),IF(C3470=Options!$B$10,"返程；"&amp;IF(C3470=DATE(2026,12,2),"机构午餐","无统一供餐"),"差旅状态；无统一日程"))))))</f>
        <v/>
      </c>
      <c r="E3470" s="13">
        <f>IF(C3470=Options!$B$9,Options!$C$23,0)</f>
        <v/>
      </c>
      <c r="F3470" s="13">
        <f>IF(AND(A3470&lt;&gt;"",C3470&lt;Options!$B$10),B3470*Options!$X$9,0)</f>
        <v/>
      </c>
      <c r="G3470" s="13">
        <f>F3470*12%</f>
        <v/>
      </c>
      <c r="H3470" s="13">
        <f>IF(A3470="",0,B3470*(92*IF(OR(C3470=Options!$B$9,C3470=Options!$B$10),75%,100%)-IF(C3470=DATE(2026,11,29),26+IF(Options!$B$8="是",23,0),0)-IF(C3470=DATE(2026,11,30),26,0)-IF(C3470=DATE(2026,12,1),64,0)-IF(C3470=DATE(2026,11,28),38,0)-IF(C3470=DATE(2026,12,2),26,0)))</f>
        <v/>
      </c>
      <c r="I3470" s="13">
        <f>IF(AND(C3470&gt;=DATE(2026,11,29),C3470&lt;=DATE(2026,12,1)),B3470*60,0)</f>
        <v/>
      </c>
      <c r="J3470" s="13">
        <f>IF(A3470="",0,B3470*(IF(C3470=DATE(2026,11,28),38,0)+IF(C3470=DATE(2026,12,1),38,0)+IF(C3470=DATE(2026,12,2),26,0)))</f>
        <v/>
      </c>
      <c r="K3470" s="13">
        <f>IF(C3470=Options!$B$9,B3470*12,0)</f>
        <v/>
      </c>
      <c r="L3470" s="13">
        <f>IF(C3470=Options!$B$9,B3470*Options!$Z$9,0)</f>
        <v/>
      </c>
      <c r="M3470" s="13" t="n">
        <v>0</v>
      </c>
      <c r="N3470" s="13">
        <f>SUM(E3470:M3470)</f>
        <v/>
      </c>
    </row>
    <row r="3471">
      <c r="A3471" s="5">
        <f>IF(AND(C3471&gt;=Options!$B$9,C3471&lt;=Options!$B$10),"Seattle","")</f>
        <v/>
      </c>
      <c r="B3471" s="5">
        <f>IF(A3471="","",24)</f>
        <v/>
      </c>
      <c r="C3471" s="17" t="n">
        <v>46477</v>
      </c>
      <c r="D3471" s="5">
        <f>IF(A3471="","",IF(C3471=DATE(2026,11,29),"培训；注册午餐；早餐参数",IF(C3471=DATE(2026,11,30),"培训；注册午餐",IF(C3471=DATE(2026,12,1),"培训；注册午餐；机构晚餐",IF(C3471=Options!$B$9,"抵达；"&amp;IF(C3471=DATE(2026,11,28),"机构晚餐","无统一供餐"),IF(C3471=Options!$B$10,"返程；"&amp;IF(C3471=DATE(2026,12,2),"机构午餐","无统一供餐"),"差旅状态；无统一日程"))))))</f>
        <v/>
      </c>
      <c r="E3471" s="13">
        <f>IF(C3471=Options!$B$9,Options!$C$23,0)</f>
        <v/>
      </c>
      <c r="F3471" s="13">
        <f>IF(AND(A3471&lt;&gt;"",C3471&lt;Options!$B$10),B3471*Options!$X$9,0)</f>
        <v/>
      </c>
      <c r="G3471" s="13">
        <f>F3471*12%</f>
        <v/>
      </c>
      <c r="H3471" s="13">
        <f>IF(A3471="",0,B3471*(92*IF(OR(C3471=Options!$B$9,C3471=Options!$B$10),75%,100%)-IF(C3471=DATE(2026,11,29),26+IF(Options!$B$8="是",23,0),0)-IF(C3471=DATE(2026,11,30),26,0)-IF(C3471=DATE(2026,12,1),64,0)-IF(C3471=DATE(2026,11,28),38,0)-IF(C3471=DATE(2026,12,2),26,0)))</f>
        <v/>
      </c>
      <c r="I3471" s="13">
        <f>IF(AND(C3471&gt;=DATE(2026,11,29),C3471&lt;=DATE(2026,12,1)),B3471*60,0)</f>
        <v/>
      </c>
      <c r="J3471" s="13">
        <f>IF(A3471="",0,B3471*(IF(C3471=DATE(2026,11,28),38,0)+IF(C3471=DATE(2026,12,1),38,0)+IF(C3471=DATE(2026,12,2),26,0)))</f>
        <v/>
      </c>
      <c r="K3471" s="13">
        <f>IF(C3471=Options!$B$9,B3471*12,0)</f>
        <v/>
      </c>
      <c r="L3471" s="13">
        <f>IF(C3471=Options!$B$9,B3471*Options!$Z$9,0)</f>
        <v/>
      </c>
      <c r="M3471" s="13" t="n">
        <v>0</v>
      </c>
      <c r="N3471" s="13">
        <f>SUM(E3471:M3471)</f>
        <v/>
      </c>
    </row>
    <row r="3472">
      <c r="A3472" s="5">
        <f>IF(AND(C3472&gt;=Options!$B$9,C3472&lt;=Options!$B$10),"Seattle","")</f>
        <v/>
      </c>
      <c r="B3472" s="5">
        <f>IF(A3472="","",24)</f>
        <v/>
      </c>
      <c r="C3472" s="17" t="n">
        <v>46478</v>
      </c>
      <c r="D3472" s="5">
        <f>IF(A3472="","",IF(C3472=DATE(2026,11,29),"培训；注册午餐；早餐参数",IF(C3472=DATE(2026,11,30),"培训；注册午餐",IF(C3472=DATE(2026,12,1),"培训；注册午餐；机构晚餐",IF(C3472=Options!$B$9,"抵达；"&amp;IF(C3472=DATE(2026,11,28),"机构晚餐","无统一供餐"),IF(C3472=Options!$B$10,"返程；"&amp;IF(C3472=DATE(2026,12,2),"机构午餐","无统一供餐"),"差旅状态；无统一日程"))))))</f>
        <v/>
      </c>
      <c r="E3472" s="13">
        <f>IF(C3472=Options!$B$9,Options!$C$23,0)</f>
        <v/>
      </c>
      <c r="F3472" s="13">
        <f>IF(AND(A3472&lt;&gt;"",C3472&lt;Options!$B$10),B3472*Options!$X$9,0)</f>
        <v/>
      </c>
      <c r="G3472" s="13">
        <f>F3472*12%</f>
        <v/>
      </c>
      <c r="H3472" s="13">
        <f>IF(A3472="",0,B3472*(92*IF(OR(C3472=Options!$B$9,C3472=Options!$B$10),75%,100%)-IF(C3472=DATE(2026,11,29),26+IF(Options!$B$8="是",23,0),0)-IF(C3472=DATE(2026,11,30),26,0)-IF(C3472=DATE(2026,12,1),64,0)-IF(C3472=DATE(2026,11,28),38,0)-IF(C3472=DATE(2026,12,2),26,0)))</f>
        <v/>
      </c>
      <c r="I3472" s="13">
        <f>IF(AND(C3472&gt;=DATE(2026,11,29),C3472&lt;=DATE(2026,12,1)),B3472*60,0)</f>
        <v/>
      </c>
      <c r="J3472" s="13">
        <f>IF(A3472="",0,B3472*(IF(C3472=DATE(2026,11,28),38,0)+IF(C3472=DATE(2026,12,1),38,0)+IF(C3472=DATE(2026,12,2),26,0)))</f>
        <v/>
      </c>
      <c r="K3472" s="13">
        <f>IF(C3472=Options!$B$9,B3472*12,0)</f>
        <v/>
      </c>
      <c r="L3472" s="13">
        <f>IF(C3472=Options!$B$9,B3472*Options!$Z$9,0)</f>
        <v/>
      </c>
      <c r="M3472" s="13" t="n">
        <v>0</v>
      </c>
      <c r="N3472" s="13">
        <f>SUM(E3472:M3472)</f>
        <v/>
      </c>
    </row>
    <row r="3473">
      <c r="A3473" s="5">
        <f>IF(AND(C3473&gt;=Options!$B$9,C3473&lt;=Options!$B$10),"Seattle","")</f>
        <v/>
      </c>
      <c r="B3473" s="5">
        <f>IF(A3473="","",24)</f>
        <v/>
      </c>
      <c r="C3473" s="17" t="n">
        <v>46479</v>
      </c>
      <c r="D3473" s="5">
        <f>IF(A3473="","",IF(C3473=DATE(2026,11,29),"培训；注册午餐；早餐参数",IF(C3473=DATE(2026,11,30),"培训；注册午餐",IF(C3473=DATE(2026,12,1),"培训；注册午餐；机构晚餐",IF(C3473=Options!$B$9,"抵达；"&amp;IF(C3473=DATE(2026,11,28),"机构晚餐","无统一供餐"),IF(C3473=Options!$B$10,"返程；"&amp;IF(C3473=DATE(2026,12,2),"机构午餐","无统一供餐"),"差旅状态；无统一日程"))))))</f>
        <v/>
      </c>
      <c r="E3473" s="13">
        <f>IF(C3473=Options!$B$9,Options!$C$23,0)</f>
        <v/>
      </c>
      <c r="F3473" s="13">
        <f>IF(AND(A3473&lt;&gt;"",C3473&lt;Options!$B$10),B3473*Options!$X$9,0)</f>
        <v/>
      </c>
      <c r="G3473" s="13">
        <f>F3473*12%</f>
        <v/>
      </c>
      <c r="H3473" s="13">
        <f>IF(A3473="",0,B3473*(92*IF(OR(C3473=Options!$B$9,C3473=Options!$B$10),75%,100%)-IF(C3473=DATE(2026,11,29),26+IF(Options!$B$8="是",23,0),0)-IF(C3473=DATE(2026,11,30),26,0)-IF(C3473=DATE(2026,12,1),64,0)-IF(C3473=DATE(2026,11,28),38,0)-IF(C3473=DATE(2026,12,2),26,0)))</f>
        <v/>
      </c>
      <c r="I3473" s="13">
        <f>IF(AND(C3473&gt;=DATE(2026,11,29),C3473&lt;=DATE(2026,12,1)),B3473*60,0)</f>
        <v/>
      </c>
      <c r="J3473" s="13">
        <f>IF(A3473="",0,B3473*(IF(C3473=DATE(2026,11,28),38,0)+IF(C3473=DATE(2026,12,1),38,0)+IF(C3473=DATE(2026,12,2),26,0)))</f>
        <v/>
      </c>
      <c r="K3473" s="13">
        <f>IF(C3473=Options!$B$9,B3473*12,0)</f>
        <v/>
      </c>
      <c r="L3473" s="13">
        <f>IF(C3473=Options!$B$9,B3473*Options!$Z$9,0)</f>
        <v/>
      </c>
      <c r="M3473" s="13" t="n">
        <v>0</v>
      </c>
      <c r="N3473" s="13">
        <f>SUM(E3473:M3473)</f>
        <v/>
      </c>
    </row>
    <row r="3474">
      <c r="A3474" s="5">
        <f>IF(AND(C3474&gt;=Options!$B$9,C3474&lt;=Options!$B$10),"Seattle","")</f>
        <v/>
      </c>
      <c r="B3474" s="5">
        <f>IF(A3474="","",24)</f>
        <v/>
      </c>
      <c r="C3474" s="17" t="n">
        <v>46480</v>
      </c>
      <c r="D3474" s="5">
        <f>IF(A3474="","",IF(C3474=DATE(2026,11,29),"培训；注册午餐；早餐参数",IF(C3474=DATE(2026,11,30),"培训；注册午餐",IF(C3474=DATE(2026,12,1),"培训；注册午餐；机构晚餐",IF(C3474=Options!$B$9,"抵达；"&amp;IF(C3474=DATE(2026,11,28),"机构晚餐","无统一供餐"),IF(C3474=Options!$B$10,"返程；"&amp;IF(C3474=DATE(2026,12,2),"机构午餐","无统一供餐"),"差旅状态；无统一日程"))))))</f>
        <v/>
      </c>
      <c r="E3474" s="13">
        <f>IF(C3474=Options!$B$9,Options!$C$23,0)</f>
        <v/>
      </c>
      <c r="F3474" s="13">
        <f>IF(AND(A3474&lt;&gt;"",C3474&lt;Options!$B$10),B3474*Options!$X$9,0)</f>
        <v/>
      </c>
      <c r="G3474" s="13">
        <f>F3474*12%</f>
        <v/>
      </c>
      <c r="H3474" s="13">
        <f>IF(A3474="",0,B3474*(92*IF(OR(C3474=Options!$B$9,C3474=Options!$B$10),75%,100%)-IF(C3474=DATE(2026,11,29),26+IF(Options!$B$8="是",23,0),0)-IF(C3474=DATE(2026,11,30),26,0)-IF(C3474=DATE(2026,12,1),64,0)-IF(C3474=DATE(2026,11,28),38,0)-IF(C3474=DATE(2026,12,2),26,0)))</f>
        <v/>
      </c>
      <c r="I3474" s="13">
        <f>IF(AND(C3474&gt;=DATE(2026,11,29),C3474&lt;=DATE(2026,12,1)),B3474*60,0)</f>
        <v/>
      </c>
      <c r="J3474" s="13">
        <f>IF(A3474="",0,B3474*(IF(C3474=DATE(2026,11,28),38,0)+IF(C3474=DATE(2026,12,1),38,0)+IF(C3474=DATE(2026,12,2),26,0)))</f>
        <v/>
      </c>
      <c r="K3474" s="13">
        <f>IF(C3474=Options!$B$9,B3474*12,0)</f>
        <v/>
      </c>
      <c r="L3474" s="13">
        <f>IF(C3474=Options!$B$9,B3474*Options!$Z$9,0)</f>
        <v/>
      </c>
      <c r="M3474" s="13" t="n">
        <v>0</v>
      </c>
      <c r="N3474" s="13">
        <f>SUM(E3474:M3474)</f>
        <v/>
      </c>
    </row>
    <row r="3475">
      <c r="A3475" s="5">
        <f>IF(AND(C3475&gt;=Options!$B$9,C3475&lt;=Options!$B$10),"Seattle","")</f>
        <v/>
      </c>
      <c r="B3475" s="5">
        <f>IF(A3475="","",24)</f>
        <v/>
      </c>
      <c r="C3475" s="17" t="n">
        <v>46481</v>
      </c>
      <c r="D3475" s="5">
        <f>IF(A3475="","",IF(C3475=DATE(2026,11,29),"培训；注册午餐；早餐参数",IF(C3475=DATE(2026,11,30),"培训；注册午餐",IF(C3475=DATE(2026,12,1),"培训；注册午餐；机构晚餐",IF(C3475=Options!$B$9,"抵达；"&amp;IF(C3475=DATE(2026,11,28),"机构晚餐","无统一供餐"),IF(C3475=Options!$B$10,"返程；"&amp;IF(C3475=DATE(2026,12,2),"机构午餐","无统一供餐"),"差旅状态；无统一日程"))))))</f>
        <v/>
      </c>
      <c r="E3475" s="13">
        <f>IF(C3475=Options!$B$9,Options!$C$23,0)</f>
        <v/>
      </c>
      <c r="F3475" s="13">
        <f>IF(AND(A3475&lt;&gt;"",C3475&lt;Options!$B$10),B3475*Options!$X$9,0)</f>
        <v/>
      </c>
      <c r="G3475" s="13">
        <f>F3475*12%</f>
        <v/>
      </c>
      <c r="H3475" s="13">
        <f>IF(A3475="",0,B3475*(92*IF(OR(C3475=Options!$B$9,C3475=Options!$B$10),75%,100%)-IF(C3475=DATE(2026,11,29),26+IF(Options!$B$8="是",23,0),0)-IF(C3475=DATE(2026,11,30),26,0)-IF(C3475=DATE(2026,12,1),64,0)-IF(C3475=DATE(2026,11,28),38,0)-IF(C3475=DATE(2026,12,2),26,0)))</f>
        <v/>
      </c>
      <c r="I3475" s="13">
        <f>IF(AND(C3475&gt;=DATE(2026,11,29),C3475&lt;=DATE(2026,12,1)),B3475*60,0)</f>
        <v/>
      </c>
      <c r="J3475" s="13">
        <f>IF(A3475="",0,B3475*(IF(C3475=DATE(2026,11,28),38,0)+IF(C3475=DATE(2026,12,1),38,0)+IF(C3475=DATE(2026,12,2),26,0)))</f>
        <v/>
      </c>
      <c r="K3475" s="13">
        <f>IF(C3475=Options!$B$9,B3475*12,0)</f>
        <v/>
      </c>
      <c r="L3475" s="13">
        <f>IF(C3475=Options!$B$9,B3475*Options!$Z$9,0)</f>
        <v/>
      </c>
      <c r="M3475" s="13" t="n">
        <v>0</v>
      </c>
      <c r="N3475" s="13">
        <f>SUM(E3475:M3475)</f>
        <v/>
      </c>
    </row>
    <row r="3476">
      <c r="A3476" s="5">
        <f>IF(AND(C3476&gt;=Options!$B$9,C3476&lt;=Options!$B$10),"Seattle","")</f>
        <v/>
      </c>
      <c r="B3476" s="5">
        <f>IF(A3476="","",24)</f>
        <v/>
      </c>
      <c r="C3476" s="17" t="n">
        <v>46482</v>
      </c>
      <c r="D3476" s="5">
        <f>IF(A3476="","",IF(C3476=DATE(2026,11,29),"培训；注册午餐；早餐参数",IF(C3476=DATE(2026,11,30),"培训；注册午餐",IF(C3476=DATE(2026,12,1),"培训；注册午餐；机构晚餐",IF(C3476=Options!$B$9,"抵达；"&amp;IF(C3476=DATE(2026,11,28),"机构晚餐","无统一供餐"),IF(C3476=Options!$B$10,"返程；"&amp;IF(C3476=DATE(2026,12,2),"机构午餐","无统一供餐"),"差旅状态；无统一日程"))))))</f>
        <v/>
      </c>
      <c r="E3476" s="13">
        <f>IF(C3476=Options!$B$9,Options!$C$23,0)</f>
        <v/>
      </c>
      <c r="F3476" s="13">
        <f>IF(AND(A3476&lt;&gt;"",C3476&lt;Options!$B$10),B3476*Options!$X$9,0)</f>
        <v/>
      </c>
      <c r="G3476" s="13">
        <f>F3476*12%</f>
        <v/>
      </c>
      <c r="H3476" s="13">
        <f>IF(A3476="",0,B3476*(92*IF(OR(C3476=Options!$B$9,C3476=Options!$B$10),75%,100%)-IF(C3476=DATE(2026,11,29),26+IF(Options!$B$8="是",23,0),0)-IF(C3476=DATE(2026,11,30),26,0)-IF(C3476=DATE(2026,12,1),64,0)-IF(C3476=DATE(2026,11,28),38,0)-IF(C3476=DATE(2026,12,2),26,0)))</f>
        <v/>
      </c>
      <c r="I3476" s="13">
        <f>IF(AND(C3476&gt;=DATE(2026,11,29),C3476&lt;=DATE(2026,12,1)),B3476*60,0)</f>
        <v/>
      </c>
      <c r="J3476" s="13">
        <f>IF(A3476="",0,B3476*(IF(C3476=DATE(2026,11,28),38,0)+IF(C3476=DATE(2026,12,1),38,0)+IF(C3476=DATE(2026,12,2),26,0)))</f>
        <v/>
      </c>
      <c r="K3476" s="13">
        <f>IF(C3476=Options!$B$9,B3476*12,0)</f>
        <v/>
      </c>
      <c r="L3476" s="13">
        <f>IF(C3476=Options!$B$9,B3476*Options!$Z$9,0)</f>
        <v/>
      </c>
      <c r="M3476" s="13" t="n">
        <v>0</v>
      </c>
      <c r="N3476" s="13">
        <f>SUM(E3476:M3476)</f>
        <v/>
      </c>
    </row>
    <row r="3477">
      <c r="A3477" s="5">
        <f>IF(AND(C3477&gt;=Options!$B$9,C3477&lt;=Options!$B$10),"Seattle","")</f>
        <v/>
      </c>
      <c r="B3477" s="5">
        <f>IF(A3477="","",24)</f>
        <v/>
      </c>
      <c r="C3477" s="17" t="n">
        <v>46483</v>
      </c>
      <c r="D3477" s="5">
        <f>IF(A3477="","",IF(C3477=DATE(2026,11,29),"培训；注册午餐；早餐参数",IF(C3477=DATE(2026,11,30),"培训；注册午餐",IF(C3477=DATE(2026,12,1),"培训；注册午餐；机构晚餐",IF(C3477=Options!$B$9,"抵达；"&amp;IF(C3477=DATE(2026,11,28),"机构晚餐","无统一供餐"),IF(C3477=Options!$B$10,"返程；"&amp;IF(C3477=DATE(2026,12,2),"机构午餐","无统一供餐"),"差旅状态；无统一日程"))))))</f>
        <v/>
      </c>
      <c r="E3477" s="13">
        <f>IF(C3477=Options!$B$9,Options!$C$23,0)</f>
        <v/>
      </c>
      <c r="F3477" s="13">
        <f>IF(AND(A3477&lt;&gt;"",C3477&lt;Options!$B$10),B3477*Options!$X$9,0)</f>
        <v/>
      </c>
      <c r="G3477" s="13">
        <f>F3477*12%</f>
        <v/>
      </c>
      <c r="H3477" s="13">
        <f>IF(A3477="",0,B3477*(92*IF(OR(C3477=Options!$B$9,C3477=Options!$B$10),75%,100%)-IF(C3477=DATE(2026,11,29),26+IF(Options!$B$8="是",23,0),0)-IF(C3477=DATE(2026,11,30),26,0)-IF(C3477=DATE(2026,12,1),64,0)-IF(C3477=DATE(2026,11,28),38,0)-IF(C3477=DATE(2026,12,2),26,0)))</f>
        <v/>
      </c>
      <c r="I3477" s="13">
        <f>IF(AND(C3477&gt;=DATE(2026,11,29),C3477&lt;=DATE(2026,12,1)),B3477*60,0)</f>
        <v/>
      </c>
      <c r="J3477" s="13">
        <f>IF(A3477="",0,B3477*(IF(C3477=DATE(2026,11,28),38,0)+IF(C3477=DATE(2026,12,1),38,0)+IF(C3477=DATE(2026,12,2),26,0)))</f>
        <v/>
      </c>
      <c r="K3477" s="13">
        <f>IF(C3477=Options!$B$9,B3477*12,0)</f>
        <v/>
      </c>
      <c r="L3477" s="13">
        <f>IF(C3477=Options!$B$9,B3477*Options!$Z$9,0)</f>
        <v/>
      </c>
      <c r="M3477" s="13" t="n">
        <v>0</v>
      </c>
      <c r="N3477" s="13">
        <f>SUM(E3477:M3477)</f>
        <v/>
      </c>
    </row>
    <row r="3478">
      <c r="A3478" s="5">
        <f>IF(AND(C3478&gt;=Options!$B$9,C3478&lt;=Options!$B$10),"Seattle","")</f>
        <v/>
      </c>
      <c r="B3478" s="5">
        <f>IF(A3478="","",24)</f>
        <v/>
      </c>
      <c r="C3478" s="17" t="n">
        <v>46484</v>
      </c>
      <c r="D3478" s="5">
        <f>IF(A3478="","",IF(C3478=DATE(2026,11,29),"培训；注册午餐；早餐参数",IF(C3478=DATE(2026,11,30),"培训；注册午餐",IF(C3478=DATE(2026,12,1),"培训；注册午餐；机构晚餐",IF(C3478=Options!$B$9,"抵达；"&amp;IF(C3478=DATE(2026,11,28),"机构晚餐","无统一供餐"),IF(C3478=Options!$B$10,"返程；"&amp;IF(C3478=DATE(2026,12,2),"机构午餐","无统一供餐"),"差旅状态；无统一日程"))))))</f>
        <v/>
      </c>
      <c r="E3478" s="13">
        <f>IF(C3478=Options!$B$9,Options!$C$23,0)</f>
        <v/>
      </c>
      <c r="F3478" s="13">
        <f>IF(AND(A3478&lt;&gt;"",C3478&lt;Options!$B$10),B3478*Options!$X$9,0)</f>
        <v/>
      </c>
      <c r="G3478" s="13">
        <f>F3478*12%</f>
        <v/>
      </c>
      <c r="H3478" s="13">
        <f>IF(A3478="",0,B3478*(92*IF(OR(C3478=Options!$B$9,C3478=Options!$B$10),75%,100%)-IF(C3478=DATE(2026,11,29),26+IF(Options!$B$8="是",23,0),0)-IF(C3478=DATE(2026,11,30),26,0)-IF(C3478=DATE(2026,12,1),64,0)-IF(C3478=DATE(2026,11,28),38,0)-IF(C3478=DATE(2026,12,2),26,0)))</f>
        <v/>
      </c>
      <c r="I3478" s="13">
        <f>IF(AND(C3478&gt;=DATE(2026,11,29),C3478&lt;=DATE(2026,12,1)),B3478*60,0)</f>
        <v/>
      </c>
      <c r="J3478" s="13">
        <f>IF(A3478="",0,B3478*(IF(C3478=DATE(2026,11,28),38,0)+IF(C3478=DATE(2026,12,1),38,0)+IF(C3478=DATE(2026,12,2),26,0)))</f>
        <v/>
      </c>
      <c r="K3478" s="13">
        <f>IF(C3478=Options!$B$9,B3478*12,0)</f>
        <v/>
      </c>
      <c r="L3478" s="13">
        <f>IF(C3478=Options!$B$9,B3478*Options!$Z$9,0)</f>
        <v/>
      </c>
      <c r="M3478" s="13" t="n">
        <v>0</v>
      </c>
      <c r="N3478" s="13">
        <f>SUM(E3478:M3478)</f>
        <v/>
      </c>
    </row>
    <row r="3479">
      <c r="A3479" s="5">
        <f>IF(AND(C3479&gt;=Options!$B$9,C3479&lt;=Options!$B$10),"Seattle","")</f>
        <v/>
      </c>
      <c r="B3479" s="5">
        <f>IF(A3479="","",24)</f>
        <v/>
      </c>
      <c r="C3479" s="17" t="n">
        <v>46485</v>
      </c>
      <c r="D3479" s="5">
        <f>IF(A3479="","",IF(C3479=DATE(2026,11,29),"培训；注册午餐；早餐参数",IF(C3479=DATE(2026,11,30),"培训；注册午餐",IF(C3479=DATE(2026,12,1),"培训；注册午餐；机构晚餐",IF(C3479=Options!$B$9,"抵达；"&amp;IF(C3479=DATE(2026,11,28),"机构晚餐","无统一供餐"),IF(C3479=Options!$B$10,"返程；"&amp;IF(C3479=DATE(2026,12,2),"机构午餐","无统一供餐"),"差旅状态；无统一日程"))))))</f>
        <v/>
      </c>
      <c r="E3479" s="13">
        <f>IF(C3479=Options!$B$9,Options!$C$23,0)</f>
        <v/>
      </c>
      <c r="F3479" s="13">
        <f>IF(AND(A3479&lt;&gt;"",C3479&lt;Options!$B$10),B3479*Options!$X$9,0)</f>
        <v/>
      </c>
      <c r="G3479" s="13">
        <f>F3479*12%</f>
        <v/>
      </c>
      <c r="H3479" s="13">
        <f>IF(A3479="",0,B3479*(92*IF(OR(C3479=Options!$B$9,C3479=Options!$B$10),75%,100%)-IF(C3479=DATE(2026,11,29),26+IF(Options!$B$8="是",23,0),0)-IF(C3479=DATE(2026,11,30),26,0)-IF(C3479=DATE(2026,12,1),64,0)-IF(C3479=DATE(2026,11,28),38,0)-IF(C3479=DATE(2026,12,2),26,0)))</f>
        <v/>
      </c>
      <c r="I3479" s="13">
        <f>IF(AND(C3479&gt;=DATE(2026,11,29),C3479&lt;=DATE(2026,12,1)),B3479*60,0)</f>
        <v/>
      </c>
      <c r="J3479" s="13">
        <f>IF(A3479="",0,B3479*(IF(C3479=DATE(2026,11,28),38,0)+IF(C3479=DATE(2026,12,1),38,0)+IF(C3479=DATE(2026,12,2),26,0)))</f>
        <v/>
      </c>
      <c r="K3479" s="13">
        <f>IF(C3479=Options!$B$9,B3479*12,0)</f>
        <v/>
      </c>
      <c r="L3479" s="13">
        <f>IF(C3479=Options!$B$9,B3479*Options!$Z$9,0)</f>
        <v/>
      </c>
      <c r="M3479" s="13" t="n">
        <v>0</v>
      </c>
      <c r="N3479" s="13">
        <f>SUM(E3479:M3479)</f>
        <v/>
      </c>
    </row>
    <row r="3480">
      <c r="A3480" s="5">
        <f>IF(AND(C3480&gt;=Options!$B$9,C3480&lt;=Options!$B$10),"Seattle","")</f>
        <v/>
      </c>
      <c r="B3480" s="5">
        <f>IF(A3480="","",24)</f>
        <v/>
      </c>
      <c r="C3480" s="17" t="n">
        <v>46486</v>
      </c>
      <c r="D3480" s="5">
        <f>IF(A3480="","",IF(C3480=DATE(2026,11,29),"培训；注册午餐；早餐参数",IF(C3480=DATE(2026,11,30),"培训；注册午餐",IF(C3480=DATE(2026,12,1),"培训；注册午餐；机构晚餐",IF(C3480=Options!$B$9,"抵达；"&amp;IF(C3480=DATE(2026,11,28),"机构晚餐","无统一供餐"),IF(C3480=Options!$B$10,"返程；"&amp;IF(C3480=DATE(2026,12,2),"机构午餐","无统一供餐"),"差旅状态；无统一日程"))))))</f>
        <v/>
      </c>
      <c r="E3480" s="13">
        <f>IF(C3480=Options!$B$9,Options!$C$23,0)</f>
        <v/>
      </c>
      <c r="F3480" s="13">
        <f>IF(AND(A3480&lt;&gt;"",C3480&lt;Options!$B$10),B3480*Options!$X$9,0)</f>
        <v/>
      </c>
      <c r="G3480" s="13">
        <f>F3480*12%</f>
        <v/>
      </c>
      <c r="H3480" s="13">
        <f>IF(A3480="",0,B3480*(92*IF(OR(C3480=Options!$B$9,C3480=Options!$B$10),75%,100%)-IF(C3480=DATE(2026,11,29),26+IF(Options!$B$8="是",23,0),0)-IF(C3480=DATE(2026,11,30),26,0)-IF(C3480=DATE(2026,12,1),64,0)-IF(C3480=DATE(2026,11,28),38,0)-IF(C3480=DATE(2026,12,2),26,0)))</f>
        <v/>
      </c>
      <c r="I3480" s="13">
        <f>IF(AND(C3480&gt;=DATE(2026,11,29),C3480&lt;=DATE(2026,12,1)),B3480*60,0)</f>
        <v/>
      </c>
      <c r="J3480" s="13">
        <f>IF(A3480="",0,B3480*(IF(C3480=DATE(2026,11,28),38,0)+IF(C3480=DATE(2026,12,1),38,0)+IF(C3480=DATE(2026,12,2),26,0)))</f>
        <v/>
      </c>
      <c r="K3480" s="13">
        <f>IF(C3480=Options!$B$9,B3480*12,0)</f>
        <v/>
      </c>
      <c r="L3480" s="13">
        <f>IF(C3480=Options!$B$9,B3480*Options!$Z$9,0)</f>
        <v/>
      </c>
      <c r="M3480" s="13" t="n">
        <v>0</v>
      </c>
      <c r="N3480" s="13">
        <f>SUM(E3480:M3480)</f>
        <v/>
      </c>
    </row>
    <row r="3481">
      <c r="A3481" s="5">
        <f>IF(AND(C3481&gt;=Options!$B$9,C3481&lt;=Options!$B$10),"Seattle","")</f>
        <v/>
      </c>
      <c r="B3481" s="5">
        <f>IF(A3481="","",24)</f>
        <v/>
      </c>
      <c r="C3481" s="17" t="n">
        <v>46487</v>
      </c>
      <c r="D3481" s="5">
        <f>IF(A3481="","",IF(C3481=DATE(2026,11,29),"培训；注册午餐；早餐参数",IF(C3481=DATE(2026,11,30),"培训；注册午餐",IF(C3481=DATE(2026,12,1),"培训；注册午餐；机构晚餐",IF(C3481=Options!$B$9,"抵达；"&amp;IF(C3481=DATE(2026,11,28),"机构晚餐","无统一供餐"),IF(C3481=Options!$B$10,"返程；"&amp;IF(C3481=DATE(2026,12,2),"机构午餐","无统一供餐"),"差旅状态；无统一日程"))))))</f>
        <v/>
      </c>
      <c r="E3481" s="13">
        <f>IF(C3481=Options!$B$9,Options!$C$23,0)</f>
        <v/>
      </c>
      <c r="F3481" s="13">
        <f>IF(AND(A3481&lt;&gt;"",C3481&lt;Options!$B$10),B3481*Options!$X$9,0)</f>
        <v/>
      </c>
      <c r="G3481" s="13">
        <f>F3481*12%</f>
        <v/>
      </c>
      <c r="H3481" s="13">
        <f>IF(A3481="",0,B3481*(92*IF(OR(C3481=Options!$B$9,C3481=Options!$B$10),75%,100%)-IF(C3481=DATE(2026,11,29),26+IF(Options!$B$8="是",23,0),0)-IF(C3481=DATE(2026,11,30),26,0)-IF(C3481=DATE(2026,12,1),64,0)-IF(C3481=DATE(2026,11,28),38,0)-IF(C3481=DATE(2026,12,2),26,0)))</f>
        <v/>
      </c>
      <c r="I3481" s="13">
        <f>IF(AND(C3481&gt;=DATE(2026,11,29),C3481&lt;=DATE(2026,12,1)),B3481*60,0)</f>
        <v/>
      </c>
      <c r="J3481" s="13">
        <f>IF(A3481="",0,B3481*(IF(C3481=DATE(2026,11,28),38,0)+IF(C3481=DATE(2026,12,1),38,0)+IF(C3481=DATE(2026,12,2),26,0)))</f>
        <v/>
      </c>
      <c r="K3481" s="13">
        <f>IF(C3481=Options!$B$9,B3481*12,0)</f>
        <v/>
      </c>
      <c r="L3481" s="13">
        <f>IF(C3481=Options!$B$9,B3481*Options!$Z$9,0)</f>
        <v/>
      </c>
      <c r="M3481" s="13" t="n">
        <v>0</v>
      </c>
      <c r="N3481" s="13">
        <f>SUM(E3481:M3481)</f>
        <v/>
      </c>
    </row>
    <row r="3482">
      <c r="A3482" s="5">
        <f>IF(AND(C3482&gt;=Options!$B$9,C3482&lt;=Options!$B$10),"Seattle","")</f>
        <v/>
      </c>
      <c r="B3482" s="5">
        <f>IF(A3482="","",24)</f>
        <v/>
      </c>
      <c r="C3482" s="17" t="n">
        <v>46488</v>
      </c>
      <c r="D3482" s="5">
        <f>IF(A3482="","",IF(C3482=DATE(2026,11,29),"培训；注册午餐；早餐参数",IF(C3482=DATE(2026,11,30),"培训；注册午餐",IF(C3482=DATE(2026,12,1),"培训；注册午餐；机构晚餐",IF(C3482=Options!$B$9,"抵达；"&amp;IF(C3482=DATE(2026,11,28),"机构晚餐","无统一供餐"),IF(C3482=Options!$B$10,"返程；"&amp;IF(C3482=DATE(2026,12,2),"机构午餐","无统一供餐"),"差旅状态；无统一日程"))))))</f>
        <v/>
      </c>
      <c r="E3482" s="13">
        <f>IF(C3482=Options!$B$9,Options!$C$23,0)</f>
        <v/>
      </c>
      <c r="F3482" s="13">
        <f>IF(AND(A3482&lt;&gt;"",C3482&lt;Options!$B$10),B3482*Options!$X$9,0)</f>
        <v/>
      </c>
      <c r="G3482" s="13">
        <f>F3482*12%</f>
        <v/>
      </c>
      <c r="H3482" s="13">
        <f>IF(A3482="",0,B3482*(92*IF(OR(C3482=Options!$B$9,C3482=Options!$B$10),75%,100%)-IF(C3482=DATE(2026,11,29),26+IF(Options!$B$8="是",23,0),0)-IF(C3482=DATE(2026,11,30),26,0)-IF(C3482=DATE(2026,12,1),64,0)-IF(C3482=DATE(2026,11,28),38,0)-IF(C3482=DATE(2026,12,2),26,0)))</f>
        <v/>
      </c>
      <c r="I3482" s="13">
        <f>IF(AND(C3482&gt;=DATE(2026,11,29),C3482&lt;=DATE(2026,12,1)),B3482*60,0)</f>
        <v/>
      </c>
      <c r="J3482" s="13">
        <f>IF(A3482="",0,B3482*(IF(C3482=DATE(2026,11,28),38,0)+IF(C3482=DATE(2026,12,1),38,0)+IF(C3482=DATE(2026,12,2),26,0)))</f>
        <v/>
      </c>
      <c r="K3482" s="13">
        <f>IF(C3482=Options!$B$9,B3482*12,0)</f>
        <v/>
      </c>
      <c r="L3482" s="13">
        <f>IF(C3482=Options!$B$9,B3482*Options!$Z$9,0)</f>
        <v/>
      </c>
      <c r="M3482" s="13" t="n">
        <v>0</v>
      </c>
      <c r="N3482" s="13">
        <f>SUM(E3482:M3482)</f>
        <v/>
      </c>
    </row>
    <row r="3483">
      <c r="A3483" s="5">
        <f>IF(AND(C3483&gt;=Options!$B$9,C3483&lt;=Options!$B$10),"Seattle","")</f>
        <v/>
      </c>
      <c r="B3483" s="5">
        <f>IF(A3483="","",24)</f>
        <v/>
      </c>
      <c r="C3483" s="17" t="n">
        <v>46489</v>
      </c>
      <c r="D3483" s="5">
        <f>IF(A3483="","",IF(C3483=DATE(2026,11,29),"培训；注册午餐；早餐参数",IF(C3483=DATE(2026,11,30),"培训；注册午餐",IF(C3483=DATE(2026,12,1),"培训；注册午餐；机构晚餐",IF(C3483=Options!$B$9,"抵达；"&amp;IF(C3483=DATE(2026,11,28),"机构晚餐","无统一供餐"),IF(C3483=Options!$B$10,"返程；"&amp;IF(C3483=DATE(2026,12,2),"机构午餐","无统一供餐"),"差旅状态；无统一日程"))))))</f>
        <v/>
      </c>
      <c r="E3483" s="13">
        <f>IF(C3483=Options!$B$9,Options!$C$23,0)</f>
        <v/>
      </c>
      <c r="F3483" s="13">
        <f>IF(AND(A3483&lt;&gt;"",C3483&lt;Options!$B$10),B3483*Options!$X$9,0)</f>
        <v/>
      </c>
      <c r="G3483" s="13">
        <f>F3483*12%</f>
        <v/>
      </c>
      <c r="H3483" s="13">
        <f>IF(A3483="",0,B3483*(92*IF(OR(C3483=Options!$B$9,C3483=Options!$B$10),75%,100%)-IF(C3483=DATE(2026,11,29),26+IF(Options!$B$8="是",23,0),0)-IF(C3483=DATE(2026,11,30),26,0)-IF(C3483=DATE(2026,12,1),64,0)-IF(C3483=DATE(2026,11,28),38,0)-IF(C3483=DATE(2026,12,2),26,0)))</f>
        <v/>
      </c>
      <c r="I3483" s="13">
        <f>IF(AND(C3483&gt;=DATE(2026,11,29),C3483&lt;=DATE(2026,12,1)),B3483*60,0)</f>
        <v/>
      </c>
      <c r="J3483" s="13">
        <f>IF(A3483="",0,B3483*(IF(C3483=DATE(2026,11,28),38,0)+IF(C3483=DATE(2026,12,1),38,0)+IF(C3483=DATE(2026,12,2),26,0)))</f>
        <v/>
      </c>
      <c r="K3483" s="13">
        <f>IF(C3483=Options!$B$9,B3483*12,0)</f>
        <v/>
      </c>
      <c r="L3483" s="13">
        <f>IF(C3483=Options!$B$9,B3483*Options!$Z$9,0)</f>
        <v/>
      </c>
      <c r="M3483" s="13" t="n">
        <v>0</v>
      </c>
      <c r="N3483" s="13">
        <f>SUM(E3483:M3483)</f>
        <v/>
      </c>
    </row>
    <row r="3484">
      <c r="A3484" s="5">
        <f>IF(AND(C3484&gt;=Options!$B$9,C3484&lt;=Options!$B$10),"Seattle","")</f>
        <v/>
      </c>
      <c r="B3484" s="5">
        <f>IF(A3484="","",24)</f>
        <v/>
      </c>
      <c r="C3484" s="17" t="n">
        <v>46490</v>
      </c>
      <c r="D3484" s="5">
        <f>IF(A3484="","",IF(C3484=DATE(2026,11,29),"培训；注册午餐；早餐参数",IF(C3484=DATE(2026,11,30),"培训；注册午餐",IF(C3484=DATE(2026,12,1),"培训；注册午餐；机构晚餐",IF(C3484=Options!$B$9,"抵达；"&amp;IF(C3484=DATE(2026,11,28),"机构晚餐","无统一供餐"),IF(C3484=Options!$B$10,"返程；"&amp;IF(C3484=DATE(2026,12,2),"机构午餐","无统一供餐"),"差旅状态；无统一日程"))))))</f>
        <v/>
      </c>
      <c r="E3484" s="13">
        <f>IF(C3484=Options!$B$9,Options!$C$23,0)</f>
        <v/>
      </c>
      <c r="F3484" s="13">
        <f>IF(AND(A3484&lt;&gt;"",C3484&lt;Options!$B$10),B3484*Options!$X$9,0)</f>
        <v/>
      </c>
      <c r="G3484" s="13">
        <f>F3484*12%</f>
        <v/>
      </c>
      <c r="H3484" s="13">
        <f>IF(A3484="",0,B3484*(92*IF(OR(C3484=Options!$B$9,C3484=Options!$B$10),75%,100%)-IF(C3484=DATE(2026,11,29),26+IF(Options!$B$8="是",23,0),0)-IF(C3484=DATE(2026,11,30),26,0)-IF(C3484=DATE(2026,12,1),64,0)-IF(C3484=DATE(2026,11,28),38,0)-IF(C3484=DATE(2026,12,2),26,0)))</f>
        <v/>
      </c>
      <c r="I3484" s="13">
        <f>IF(AND(C3484&gt;=DATE(2026,11,29),C3484&lt;=DATE(2026,12,1)),B3484*60,0)</f>
        <v/>
      </c>
      <c r="J3484" s="13">
        <f>IF(A3484="",0,B3484*(IF(C3484=DATE(2026,11,28),38,0)+IF(C3484=DATE(2026,12,1),38,0)+IF(C3484=DATE(2026,12,2),26,0)))</f>
        <v/>
      </c>
      <c r="K3484" s="13">
        <f>IF(C3484=Options!$B$9,B3484*12,0)</f>
        <v/>
      </c>
      <c r="L3484" s="13">
        <f>IF(C3484=Options!$B$9,B3484*Options!$Z$9,0)</f>
        <v/>
      </c>
      <c r="M3484" s="13" t="n">
        <v>0</v>
      </c>
      <c r="N3484" s="13">
        <f>SUM(E3484:M3484)</f>
        <v/>
      </c>
    </row>
    <row r="3485">
      <c r="A3485" s="5">
        <f>IF(AND(C3485&gt;=Options!$B$9,C3485&lt;=Options!$B$10),"Seattle","")</f>
        <v/>
      </c>
      <c r="B3485" s="5">
        <f>IF(A3485="","",24)</f>
        <v/>
      </c>
      <c r="C3485" s="17" t="n">
        <v>46491</v>
      </c>
      <c r="D3485" s="5">
        <f>IF(A3485="","",IF(C3485=DATE(2026,11,29),"培训；注册午餐；早餐参数",IF(C3485=DATE(2026,11,30),"培训；注册午餐",IF(C3485=DATE(2026,12,1),"培训；注册午餐；机构晚餐",IF(C3485=Options!$B$9,"抵达；"&amp;IF(C3485=DATE(2026,11,28),"机构晚餐","无统一供餐"),IF(C3485=Options!$B$10,"返程；"&amp;IF(C3485=DATE(2026,12,2),"机构午餐","无统一供餐"),"差旅状态；无统一日程"))))))</f>
        <v/>
      </c>
      <c r="E3485" s="13">
        <f>IF(C3485=Options!$B$9,Options!$C$23,0)</f>
        <v/>
      </c>
      <c r="F3485" s="13">
        <f>IF(AND(A3485&lt;&gt;"",C3485&lt;Options!$B$10),B3485*Options!$X$9,0)</f>
        <v/>
      </c>
      <c r="G3485" s="13">
        <f>F3485*12%</f>
        <v/>
      </c>
      <c r="H3485" s="13">
        <f>IF(A3485="",0,B3485*(92*IF(OR(C3485=Options!$B$9,C3485=Options!$B$10),75%,100%)-IF(C3485=DATE(2026,11,29),26+IF(Options!$B$8="是",23,0),0)-IF(C3485=DATE(2026,11,30),26,0)-IF(C3485=DATE(2026,12,1),64,0)-IF(C3485=DATE(2026,11,28),38,0)-IF(C3485=DATE(2026,12,2),26,0)))</f>
        <v/>
      </c>
      <c r="I3485" s="13">
        <f>IF(AND(C3485&gt;=DATE(2026,11,29),C3485&lt;=DATE(2026,12,1)),B3485*60,0)</f>
        <v/>
      </c>
      <c r="J3485" s="13">
        <f>IF(A3485="",0,B3485*(IF(C3485=DATE(2026,11,28),38,0)+IF(C3485=DATE(2026,12,1),38,0)+IF(C3485=DATE(2026,12,2),26,0)))</f>
        <v/>
      </c>
      <c r="K3485" s="13">
        <f>IF(C3485=Options!$B$9,B3485*12,0)</f>
        <v/>
      </c>
      <c r="L3485" s="13">
        <f>IF(C3485=Options!$B$9,B3485*Options!$Z$9,0)</f>
        <v/>
      </c>
      <c r="M3485" s="13" t="n">
        <v>0</v>
      </c>
      <c r="N3485" s="13">
        <f>SUM(E3485:M3485)</f>
        <v/>
      </c>
    </row>
    <row r="3486">
      <c r="A3486" s="5">
        <f>IF(AND(C3486&gt;=Options!$B$9,C3486&lt;=Options!$B$10),"Seattle","")</f>
        <v/>
      </c>
      <c r="B3486" s="5">
        <f>IF(A3486="","",24)</f>
        <v/>
      </c>
      <c r="C3486" s="17" t="n">
        <v>46492</v>
      </c>
      <c r="D3486" s="5">
        <f>IF(A3486="","",IF(C3486=DATE(2026,11,29),"培训；注册午餐；早餐参数",IF(C3486=DATE(2026,11,30),"培训；注册午餐",IF(C3486=DATE(2026,12,1),"培训；注册午餐；机构晚餐",IF(C3486=Options!$B$9,"抵达；"&amp;IF(C3486=DATE(2026,11,28),"机构晚餐","无统一供餐"),IF(C3486=Options!$B$10,"返程；"&amp;IF(C3486=DATE(2026,12,2),"机构午餐","无统一供餐"),"差旅状态；无统一日程"))))))</f>
        <v/>
      </c>
      <c r="E3486" s="13">
        <f>IF(C3486=Options!$B$9,Options!$C$23,0)</f>
        <v/>
      </c>
      <c r="F3486" s="13">
        <f>IF(AND(A3486&lt;&gt;"",C3486&lt;Options!$B$10),B3486*Options!$X$9,0)</f>
        <v/>
      </c>
      <c r="G3486" s="13">
        <f>F3486*12%</f>
        <v/>
      </c>
      <c r="H3486" s="13">
        <f>IF(A3486="",0,B3486*(92*IF(OR(C3486=Options!$B$9,C3486=Options!$B$10),75%,100%)-IF(C3486=DATE(2026,11,29),26+IF(Options!$B$8="是",23,0),0)-IF(C3486=DATE(2026,11,30),26,0)-IF(C3486=DATE(2026,12,1),64,0)-IF(C3486=DATE(2026,11,28),38,0)-IF(C3486=DATE(2026,12,2),26,0)))</f>
        <v/>
      </c>
      <c r="I3486" s="13">
        <f>IF(AND(C3486&gt;=DATE(2026,11,29),C3486&lt;=DATE(2026,12,1)),B3486*60,0)</f>
        <v/>
      </c>
      <c r="J3486" s="13">
        <f>IF(A3486="",0,B3486*(IF(C3486=DATE(2026,11,28),38,0)+IF(C3486=DATE(2026,12,1),38,0)+IF(C3486=DATE(2026,12,2),26,0)))</f>
        <v/>
      </c>
      <c r="K3486" s="13">
        <f>IF(C3486=Options!$B$9,B3486*12,0)</f>
        <v/>
      </c>
      <c r="L3486" s="13">
        <f>IF(C3486=Options!$B$9,B3486*Options!$Z$9,0)</f>
        <v/>
      </c>
      <c r="M3486" s="13" t="n">
        <v>0</v>
      </c>
      <c r="N3486" s="13">
        <f>SUM(E3486:M3486)</f>
        <v/>
      </c>
    </row>
    <row r="3487">
      <c r="A3487" s="5">
        <f>IF(AND(C3487&gt;=Options!$B$9,C3487&lt;=Options!$B$10),"Seattle","")</f>
        <v/>
      </c>
      <c r="B3487" s="5">
        <f>IF(A3487="","",24)</f>
        <v/>
      </c>
      <c r="C3487" s="17" t="n">
        <v>46493</v>
      </c>
      <c r="D3487" s="5">
        <f>IF(A3487="","",IF(C3487=DATE(2026,11,29),"培训；注册午餐；早餐参数",IF(C3487=DATE(2026,11,30),"培训；注册午餐",IF(C3487=DATE(2026,12,1),"培训；注册午餐；机构晚餐",IF(C3487=Options!$B$9,"抵达；"&amp;IF(C3487=DATE(2026,11,28),"机构晚餐","无统一供餐"),IF(C3487=Options!$B$10,"返程；"&amp;IF(C3487=DATE(2026,12,2),"机构午餐","无统一供餐"),"差旅状态；无统一日程"))))))</f>
        <v/>
      </c>
      <c r="E3487" s="13">
        <f>IF(C3487=Options!$B$9,Options!$C$23,0)</f>
        <v/>
      </c>
      <c r="F3487" s="13">
        <f>IF(AND(A3487&lt;&gt;"",C3487&lt;Options!$B$10),B3487*Options!$X$9,0)</f>
        <v/>
      </c>
      <c r="G3487" s="13">
        <f>F3487*12%</f>
        <v/>
      </c>
      <c r="H3487" s="13">
        <f>IF(A3487="",0,B3487*(92*IF(OR(C3487=Options!$B$9,C3487=Options!$B$10),75%,100%)-IF(C3487=DATE(2026,11,29),26+IF(Options!$B$8="是",23,0),0)-IF(C3487=DATE(2026,11,30),26,0)-IF(C3487=DATE(2026,12,1),64,0)-IF(C3487=DATE(2026,11,28),38,0)-IF(C3487=DATE(2026,12,2),26,0)))</f>
        <v/>
      </c>
      <c r="I3487" s="13">
        <f>IF(AND(C3487&gt;=DATE(2026,11,29),C3487&lt;=DATE(2026,12,1)),B3487*60,0)</f>
        <v/>
      </c>
      <c r="J3487" s="13">
        <f>IF(A3487="",0,B3487*(IF(C3487=DATE(2026,11,28),38,0)+IF(C3487=DATE(2026,12,1),38,0)+IF(C3487=DATE(2026,12,2),26,0)))</f>
        <v/>
      </c>
      <c r="K3487" s="13">
        <f>IF(C3487=Options!$B$9,B3487*12,0)</f>
        <v/>
      </c>
      <c r="L3487" s="13">
        <f>IF(C3487=Options!$B$9,B3487*Options!$Z$9,0)</f>
        <v/>
      </c>
      <c r="M3487" s="13" t="n">
        <v>0</v>
      </c>
      <c r="N3487" s="13">
        <f>SUM(E3487:M3487)</f>
        <v/>
      </c>
    </row>
    <row r="3488">
      <c r="A3488" s="5">
        <f>IF(AND(C3488&gt;=Options!$B$9,C3488&lt;=Options!$B$10),"Seattle","")</f>
        <v/>
      </c>
      <c r="B3488" s="5">
        <f>IF(A3488="","",24)</f>
        <v/>
      </c>
      <c r="C3488" s="17" t="n">
        <v>46494</v>
      </c>
      <c r="D3488" s="5">
        <f>IF(A3488="","",IF(C3488=DATE(2026,11,29),"培训；注册午餐；早餐参数",IF(C3488=DATE(2026,11,30),"培训；注册午餐",IF(C3488=DATE(2026,12,1),"培训；注册午餐；机构晚餐",IF(C3488=Options!$B$9,"抵达；"&amp;IF(C3488=DATE(2026,11,28),"机构晚餐","无统一供餐"),IF(C3488=Options!$B$10,"返程；"&amp;IF(C3488=DATE(2026,12,2),"机构午餐","无统一供餐"),"差旅状态；无统一日程"))))))</f>
        <v/>
      </c>
      <c r="E3488" s="13">
        <f>IF(C3488=Options!$B$9,Options!$C$23,0)</f>
        <v/>
      </c>
      <c r="F3488" s="13">
        <f>IF(AND(A3488&lt;&gt;"",C3488&lt;Options!$B$10),B3488*Options!$X$9,0)</f>
        <v/>
      </c>
      <c r="G3488" s="13">
        <f>F3488*12%</f>
        <v/>
      </c>
      <c r="H3488" s="13">
        <f>IF(A3488="",0,B3488*(92*IF(OR(C3488=Options!$B$9,C3488=Options!$B$10),75%,100%)-IF(C3488=DATE(2026,11,29),26+IF(Options!$B$8="是",23,0),0)-IF(C3488=DATE(2026,11,30),26,0)-IF(C3488=DATE(2026,12,1),64,0)-IF(C3488=DATE(2026,11,28),38,0)-IF(C3488=DATE(2026,12,2),26,0)))</f>
        <v/>
      </c>
      <c r="I3488" s="13">
        <f>IF(AND(C3488&gt;=DATE(2026,11,29),C3488&lt;=DATE(2026,12,1)),B3488*60,0)</f>
        <v/>
      </c>
      <c r="J3488" s="13">
        <f>IF(A3488="",0,B3488*(IF(C3488=DATE(2026,11,28),38,0)+IF(C3488=DATE(2026,12,1),38,0)+IF(C3488=DATE(2026,12,2),26,0)))</f>
        <v/>
      </c>
      <c r="K3488" s="13">
        <f>IF(C3488=Options!$B$9,B3488*12,0)</f>
        <v/>
      </c>
      <c r="L3488" s="13">
        <f>IF(C3488=Options!$B$9,B3488*Options!$Z$9,0)</f>
        <v/>
      </c>
      <c r="M3488" s="13" t="n">
        <v>0</v>
      </c>
      <c r="N3488" s="13">
        <f>SUM(E3488:M3488)</f>
        <v/>
      </c>
    </row>
    <row r="3489">
      <c r="A3489" s="5">
        <f>IF(AND(C3489&gt;=Options!$B$9,C3489&lt;=Options!$B$10),"Seattle","")</f>
        <v/>
      </c>
      <c r="B3489" s="5">
        <f>IF(A3489="","",24)</f>
        <v/>
      </c>
      <c r="C3489" s="17" t="n">
        <v>46495</v>
      </c>
      <c r="D3489" s="5">
        <f>IF(A3489="","",IF(C3489=DATE(2026,11,29),"培训；注册午餐；早餐参数",IF(C3489=DATE(2026,11,30),"培训；注册午餐",IF(C3489=DATE(2026,12,1),"培训；注册午餐；机构晚餐",IF(C3489=Options!$B$9,"抵达；"&amp;IF(C3489=DATE(2026,11,28),"机构晚餐","无统一供餐"),IF(C3489=Options!$B$10,"返程；"&amp;IF(C3489=DATE(2026,12,2),"机构午餐","无统一供餐"),"差旅状态；无统一日程"))))))</f>
        <v/>
      </c>
      <c r="E3489" s="13">
        <f>IF(C3489=Options!$B$9,Options!$C$23,0)</f>
        <v/>
      </c>
      <c r="F3489" s="13">
        <f>IF(AND(A3489&lt;&gt;"",C3489&lt;Options!$B$10),B3489*Options!$X$9,0)</f>
        <v/>
      </c>
      <c r="G3489" s="13">
        <f>F3489*12%</f>
        <v/>
      </c>
      <c r="H3489" s="13">
        <f>IF(A3489="",0,B3489*(92*IF(OR(C3489=Options!$B$9,C3489=Options!$B$10),75%,100%)-IF(C3489=DATE(2026,11,29),26+IF(Options!$B$8="是",23,0),0)-IF(C3489=DATE(2026,11,30),26,0)-IF(C3489=DATE(2026,12,1),64,0)-IF(C3489=DATE(2026,11,28),38,0)-IF(C3489=DATE(2026,12,2),26,0)))</f>
        <v/>
      </c>
      <c r="I3489" s="13">
        <f>IF(AND(C3489&gt;=DATE(2026,11,29),C3489&lt;=DATE(2026,12,1)),B3489*60,0)</f>
        <v/>
      </c>
      <c r="J3489" s="13">
        <f>IF(A3489="",0,B3489*(IF(C3489=DATE(2026,11,28),38,0)+IF(C3489=DATE(2026,12,1),38,0)+IF(C3489=DATE(2026,12,2),26,0)))</f>
        <v/>
      </c>
      <c r="K3489" s="13">
        <f>IF(C3489=Options!$B$9,B3489*12,0)</f>
        <v/>
      </c>
      <c r="L3489" s="13">
        <f>IF(C3489=Options!$B$9,B3489*Options!$Z$9,0)</f>
        <v/>
      </c>
      <c r="M3489" s="13" t="n">
        <v>0</v>
      </c>
      <c r="N3489" s="13">
        <f>SUM(E3489:M3489)</f>
        <v/>
      </c>
    </row>
    <row r="3490">
      <c r="A3490" s="5">
        <f>IF(AND(C3490&gt;=Options!$B$9,C3490&lt;=Options!$B$10),"Seattle","")</f>
        <v/>
      </c>
      <c r="B3490" s="5">
        <f>IF(A3490="","",24)</f>
        <v/>
      </c>
      <c r="C3490" s="17" t="n">
        <v>46496</v>
      </c>
      <c r="D3490" s="5">
        <f>IF(A3490="","",IF(C3490=DATE(2026,11,29),"培训；注册午餐；早餐参数",IF(C3490=DATE(2026,11,30),"培训；注册午餐",IF(C3490=DATE(2026,12,1),"培训；注册午餐；机构晚餐",IF(C3490=Options!$B$9,"抵达；"&amp;IF(C3490=DATE(2026,11,28),"机构晚餐","无统一供餐"),IF(C3490=Options!$B$10,"返程；"&amp;IF(C3490=DATE(2026,12,2),"机构午餐","无统一供餐"),"差旅状态；无统一日程"))))))</f>
        <v/>
      </c>
      <c r="E3490" s="13">
        <f>IF(C3490=Options!$B$9,Options!$C$23,0)</f>
        <v/>
      </c>
      <c r="F3490" s="13">
        <f>IF(AND(A3490&lt;&gt;"",C3490&lt;Options!$B$10),B3490*Options!$X$9,0)</f>
        <v/>
      </c>
      <c r="G3490" s="13">
        <f>F3490*12%</f>
        <v/>
      </c>
      <c r="H3490" s="13">
        <f>IF(A3490="",0,B3490*(92*IF(OR(C3490=Options!$B$9,C3490=Options!$B$10),75%,100%)-IF(C3490=DATE(2026,11,29),26+IF(Options!$B$8="是",23,0),0)-IF(C3490=DATE(2026,11,30),26,0)-IF(C3490=DATE(2026,12,1),64,0)-IF(C3490=DATE(2026,11,28),38,0)-IF(C3490=DATE(2026,12,2),26,0)))</f>
        <v/>
      </c>
      <c r="I3490" s="13">
        <f>IF(AND(C3490&gt;=DATE(2026,11,29),C3490&lt;=DATE(2026,12,1)),B3490*60,0)</f>
        <v/>
      </c>
      <c r="J3490" s="13">
        <f>IF(A3490="",0,B3490*(IF(C3490=DATE(2026,11,28),38,0)+IF(C3490=DATE(2026,12,1),38,0)+IF(C3490=DATE(2026,12,2),26,0)))</f>
        <v/>
      </c>
      <c r="K3490" s="13">
        <f>IF(C3490=Options!$B$9,B3490*12,0)</f>
        <v/>
      </c>
      <c r="L3490" s="13">
        <f>IF(C3490=Options!$B$9,B3490*Options!$Z$9,0)</f>
        <v/>
      </c>
      <c r="M3490" s="13" t="n">
        <v>0</v>
      </c>
      <c r="N3490" s="13">
        <f>SUM(E3490:M3490)</f>
        <v/>
      </c>
    </row>
    <row r="3491">
      <c r="A3491" s="5">
        <f>IF(AND(C3491&gt;=Options!$B$9,C3491&lt;=Options!$B$10),"Seattle","")</f>
        <v/>
      </c>
      <c r="B3491" s="5">
        <f>IF(A3491="","",24)</f>
        <v/>
      </c>
      <c r="C3491" s="17" t="n">
        <v>46497</v>
      </c>
      <c r="D3491" s="5">
        <f>IF(A3491="","",IF(C3491=DATE(2026,11,29),"培训；注册午餐；早餐参数",IF(C3491=DATE(2026,11,30),"培训；注册午餐",IF(C3491=DATE(2026,12,1),"培训；注册午餐；机构晚餐",IF(C3491=Options!$B$9,"抵达；"&amp;IF(C3491=DATE(2026,11,28),"机构晚餐","无统一供餐"),IF(C3491=Options!$B$10,"返程；"&amp;IF(C3491=DATE(2026,12,2),"机构午餐","无统一供餐"),"差旅状态；无统一日程"))))))</f>
        <v/>
      </c>
      <c r="E3491" s="13">
        <f>IF(C3491=Options!$B$9,Options!$C$23,0)</f>
        <v/>
      </c>
      <c r="F3491" s="13">
        <f>IF(AND(A3491&lt;&gt;"",C3491&lt;Options!$B$10),B3491*Options!$X$9,0)</f>
        <v/>
      </c>
      <c r="G3491" s="13">
        <f>F3491*12%</f>
        <v/>
      </c>
      <c r="H3491" s="13">
        <f>IF(A3491="",0,B3491*(92*IF(OR(C3491=Options!$B$9,C3491=Options!$B$10),75%,100%)-IF(C3491=DATE(2026,11,29),26+IF(Options!$B$8="是",23,0),0)-IF(C3491=DATE(2026,11,30),26,0)-IF(C3491=DATE(2026,12,1),64,0)-IF(C3491=DATE(2026,11,28),38,0)-IF(C3491=DATE(2026,12,2),26,0)))</f>
        <v/>
      </c>
      <c r="I3491" s="13">
        <f>IF(AND(C3491&gt;=DATE(2026,11,29),C3491&lt;=DATE(2026,12,1)),B3491*60,0)</f>
        <v/>
      </c>
      <c r="J3491" s="13">
        <f>IF(A3491="",0,B3491*(IF(C3491=DATE(2026,11,28),38,0)+IF(C3491=DATE(2026,12,1),38,0)+IF(C3491=DATE(2026,12,2),26,0)))</f>
        <v/>
      </c>
      <c r="K3491" s="13">
        <f>IF(C3491=Options!$B$9,B3491*12,0)</f>
        <v/>
      </c>
      <c r="L3491" s="13">
        <f>IF(C3491=Options!$B$9,B3491*Options!$Z$9,0)</f>
        <v/>
      </c>
      <c r="M3491" s="13" t="n">
        <v>0</v>
      </c>
      <c r="N3491" s="13">
        <f>SUM(E3491:M3491)</f>
        <v/>
      </c>
    </row>
    <row r="3492">
      <c r="A3492" s="5">
        <f>IF(AND(C3492&gt;=Options!$B$9,C3492&lt;=Options!$B$10),"Seattle","")</f>
        <v/>
      </c>
      <c r="B3492" s="5">
        <f>IF(A3492="","",24)</f>
        <v/>
      </c>
      <c r="C3492" s="17" t="n">
        <v>46498</v>
      </c>
      <c r="D3492" s="5">
        <f>IF(A3492="","",IF(C3492=DATE(2026,11,29),"培训；注册午餐；早餐参数",IF(C3492=DATE(2026,11,30),"培训；注册午餐",IF(C3492=DATE(2026,12,1),"培训；注册午餐；机构晚餐",IF(C3492=Options!$B$9,"抵达；"&amp;IF(C3492=DATE(2026,11,28),"机构晚餐","无统一供餐"),IF(C3492=Options!$B$10,"返程；"&amp;IF(C3492=DATE(2026,12,2),"机构午餐","无统一供餐"),"差旅状态；无统一日程"))))))</f>
        <v/>
      </c>
      <c r="E3492" s="13">
        <f>IF(C3492=Options!$B$9,Options!$C$23,0)</f>
        <v/>
      </c>
      <c r="F3492" s="13">
        <f>IF(AND(A3492&lt;&gt;"",C3492&lt;Options!$B$10),B3492*Options!$X$9,0)</f>
        <v/>
      </c>
      <c r="G3492" s="13">
        <f>F3492*12%</f>
        <v/>
      </c>
      <c r="H3492" s="13">
        <f>IF(A3492="",0,B3492*(92*IF(OR(C3492=Options!$B$9,C3492=Options!$B$10),75%,100%)-IF(C3492=DATE(2026,11,29),26+IF(Options!$B$8="是",23,0),0)-IF(C3492=DATE(2026,11,30),26,0)-IF(C3492=DATE(2026,12,1),64,0)-IF(C3492=DATE(2026,11,28),38,0)-IF(C3492=DATE(2026,12,2),26,0)))</f>
        <v/>
      </c>
      <c r="I3492" s="13">
        <f>IF(AND(C3492&gt;=DATE(2026,11,29),C3492&lt;=DATE(2026,12,1)),B3492*60,0)</f>
        <v/>
      </c>
      <c r="J3492" s="13">
        <f>IF(A3492="",0,B3492*(IF(C3492=DATE(2026,11,28),38,0)+IF(C3492=DATE(2026,12,1),38,0)+IF(C3492=DATE(2026,12,2),26,0)))</f>
        <v/>
      </c>
      <c r="K3492" s="13">
        <f>IF(C3492=Options!$B$9,B3492*12,0)</f>
        <v/>
      </c>
      <c r="L3492" s="13">
        <f>IF(C3492=Options!$B$9,B3492*Options!$Z$9,0)</f>
        <v/>
      </c>
      <c r="M3492" s="13" t="n">
        <v>0</v>
      </c>
      <c r="N3492" s="13">
        <f>SUM(E3492:M3492)</f>
        <v/>
      </c>
    </row>
    <row r="3493">
      <c r="A3493" s="5">
        <f>IF(AND(C3493&gt;=Options!$B$9,C3493&lt;=Options!$B$10),"Seattle","")</f>
        <v/>
      </c>
      <c r="B3493" s="5">
        <f>IF(A3493="","",24)</f>
        <v/>
      </c>
      <c r="C3493" s="17" t="n">
        <v>46499</v>
      </c>
      <c r="D3493" s="5">
        <f>IF(A3493="","",IF(C3493=DATE(2026,11,29),"培训；注册午餐；早餐参数",IF(C3493=DATE(2026,11,30),"培训；注册午餐",IF(C3493=DATE(2026,12,1),"培训；注册午餐；机构晚餐",IF(C3493=Options!$B$9,"抵达；"&amp;IF(C3493=DATE(2026,11,28),"机构晚餐","无统一供餐"),IF(C3493=Options!$B$10,"返程；"&amp;IF(C3493=DATE(2026,12,2),"机构午餐","无统一供餐"),"差旅状态；无统一日程"))))))</f>
        <v/>
      </c>
      <c r="E3493" s="13">
        <f>IF(C3493=Options!$B$9,Options!$C$23,0)</f>
        <v/>
      </c>
      <c r="F3493" s="13">
        <f>IF(AND(A3493&lt;&gt;"",C3493&lt;Options!$B$10),B3493*Options!$X$9,0)</f>
        <v/>
      </c>
      <c r="G3493" s="13">
        <f>F3493*12%</f>
        <v/>
      </c>
      <c r="H3493" s="13">
        <f>IF(A3493="",0,B3493*(92*IF(OR(C3493=Options!$B$9,C3493=Options!$B$10),75%,100%)-IF(C3493=DATE(2026,11,29),26+IF(Options!$B$8="是",23,0),0)-IF(C3493=DATE(2026,11,30),26,0)-IF(C3493=DATE(2026,12,1),64,0)-IF(C3493=DATE(2026,11,28),38,0)-IF(C3493=DATE(2026,12,2),26,0)))</f>
        <v/>
      </c>
      <c r="I3493" s="13">
        <f>IF(AND(C3493&gt;=DATE(2026,11,29),C3493&lt;=DATE(2026,12,1)),B3493*60,0)</f>
        <v/>
      </c>
      <c r="J3493" s="13">
        <f>IF(A3493="",0,B3493*(IF(C3493=DATE(2026,11,28),38,0)+IF(C3493=DATE(2026,12,1),38,0)+IF(C3493=DATE(2026,12,2),26,0)))</f>
        <v/>
      </c>
      <c r="K3493" s="13">
        <f>IF(C3493=Options!$B$9,B3493*12,0)</f>
        <v/>
      </c>
      <c r="L3493" s="13">
        <f>IF(C3493=Options!$B$9,B3493*Options!$Z$9,0)</f>
        <v/>
      </c>
      <c r="M3493" s="13" t="n">
        <v>0</v>
      </c>
      <c r="N3493" s="13">
        <f>SUM(E3493:M3493)</f>
        <v/>
      </c>
    </row>
    <row r="3494">
      <c r="A3494" s="5">
        <f>IF(AND(C3494&gt;=Options!$B$9,C3494&lt;=Options!$B$10),"Seattle","")</f>
        <v/>
      </c>
      <c r="B3494" s="5">
        <f>IF(A3494="","",24)</f>
        <v/>
      </c>
      <c r="C3494" s="17" t="n">
        <v>46500</v>
      </c>
      <c r="D3494" s="5">
        <f>IF(A3494="","",IF(C3494=DATE(2026,11,29),"培训；注册午餐；早餐参数",IF(C3494=DATE(2026,11,30),"培训；注册午餐",IF(C3494=DATE(2026,12,1),"培训；注册午餐；机构晚餐",IF(C3494=Options!$B$9,"抵达；"&amp;IF(C3494=DATE(2026,11,28),"机构晚餐","无统一供餐"),IF(C3494=Options!$B$10,"返程；"&amp;IF(C3494=DATE(2026,12,2),"机构午餐","无统一供餐"),"差旅状态；无统一日程"))))))</f>
        <v/>
      </c>
      <c r="E3494" s="13">
        <f>IF(C3494=Options!$B$9,Options!$C$23,0)</f>
        <v/>
      </c>
      <c r="F3494" s="13">
        <f>IF(AND(A3494&lt;&gt;"",C3494&lt;Options!$B$10),B3494*Options!$X$9,0)</f>
        <v/>
      </c>
      <c r="G3494" s="13">
        <f>F3494*12%</f>
        <v/>
      </c>
      <c r="H3494" s="13">
        <f>IF(A3494="",0,B3494*(92*IF(OR(C3494=Options!$B$9,C3494=Options!$B$10),75%,100%)-IF(C3494=DATE(2026,11,29),26+IF(Options!$B$8="是",23,0),0)-IF(C3494=DATE(2026,11,30),26,0)-IF(C3494=DATE(2026,12,1),64,0)-IF(C3494=DATE(2026,11,28),38,0)-IF(C3494=DATE(2026,12,2),26,0)))</f>
        <v/>
      </c>
      <c r="I3494" s="13">
        <f>IF(AND(C3494&gt;=DATE(2026,11,29),C3494&lt;=DATE(2026,12,1)),B3494*60,0)</f>
        <v/>
      </c>
      <c r="J3494" s="13">
        <f>IF(A3494="",0,B3494*(IF(C3494=DATE(2026,11,28),38,0)+IF(C3494=DATE(2026,12,1),38,0)+IF(C3494=DATE(2026,12,2),26,0)))</f>
        <v/>
      </c>
      <c r="K3494" s="13">
        <f>IF(C3494=Options!$B$9,B3494*12,0)</f>
        <v/>
      </c>
      <c r="L3494" s="13">
        <f>IF(C3494=Options!$B$9,B3494*Options!$Z$9,0)</f>
        <v/>
      </c>
      <c r="M3494" s="13" t="n">
        <v>0</v>
      </c>
      <c r="N3494" s="13">
        <f>SUM(E3494:M3494)</f>
        <v/>
      </c>
    </row>
    <row r="3495">
      <c r="A3495" s="5">
        <f>IF(AND(C3495&gt;=Options!$B$9,C3495&lt;=Options!$B$10),"Seattle","")</f>
        <v/>
      </c>
      <c r="B3495" s="5">
        <f>IF(A3495="","",24)</f>
        <v/>
      </c>
      <c r="C3495" s="17" t="n">
        <v>46501</v>
      </c>
      <c r="D3495" s="5">
        <f>IF(A3495="","",IF(C3495=DATE(2026,11,29),"培训；注册午餐；早餐参数",IF(C3495=DATE(2026,11,30),"培训；注册午餐",IF(C3495=DATE(2026,12,1),"培训；注册午餐；机构晚餐",IF(C3495=Options!$B$9,"抵达；"&amp;IF(C3495=DATE(2026,11,28),"机构晚餐","无统一供餐"),IF(C3495=Options!$B$10,"返程；"&amp;IF(C3495=DATE(2026,12,2),"机构午餐","无统一供餐"),"差旅状态；无统一日程"))))))</f>
        <v/>
      </c>
      <c r="E3495" s="13">
        <f>IF(C3495=Options!$B$9,Options!$C$23,0)</f>
        <v/>
      </c>
      <c r="F3495" s="13">
        <f>IF(AND(A3495&lt;&gt;"",C3495&lt;Options!$B$10),B3495*Options!$X$9,0)</f>
        <v/>
      </c>
      <c r="G3495" s="13">
        <f>F3495*12%</f>
        <v/>
      </c>
      <c r="H3495" s="13">
        <f>IF(A3495="",0,B3495*(92*IF(OR(C3495=Options!$B$9,C3495=Options!$B$10),75%,100%)-IF(C3495=DATE(2026,11,29),26+IF(Options!$B$8="是",23,0),0)-IF(C3495=DATE(2026,11,30),26,0)-IF(C3495=DATE(2026,12,1),64,0)-IF(C3495=DATE(2026,11,28),38,0)-IF(C3495=DATE(2026,12,2),26,0)))</f>
        <v/>
      </c>
      <c r="I3495" s="13">
        <f>IF(AND(C3495&gt;=DATE(2026,11,29),C3495&lt;=DATE(2026,12,1)),B3495*60,0)</f>
        <v/>
      </c>
      <c r="J3495" s="13">
        <f>IF(A3495="",0,B3495*(IF(C3495=DATE(2026,11,28),38,0)+IF(C3495=DATE(2026,12,1),38,0)+IF(C3495=DATE(2026,12,2),26,0)))</f>
        <v/>
      </c>
      <c r="K3495" s="13">
        <f>IF(C3495=Options!$B$9,B3495*12,0)</f>
        <v/>
      </c>
      <c r="L3495" s="13">
        <f>IF(C3495=Options!$B$9,B3495*Options!$Z$9,0)</f>
        <v/>
      </c>
      <c r="M3495" s="13" t="n">
        <v>0</v>
      </c>
      <c r="N3495" s="13">
        <f>SUM(E3495:M3495)</f>
        <v/>
      </c>
    </row>
    <row r="3496">
      <c r="A3496" s="5">
        <f>IF(AND(C3496&gt;=Options!$B$9,C3496&lt;=Options!$B$10),"Seattle","")</f>
        <v/>
      </c>
      <c r="B3496" s="5">
        <f>IF(A3496="","",24)</f>
        <v/>
      </c>
      <c r="C3496" s="17" t="n">
        <v>46502</v>
      </c>
      <c r="D3496" s="5">
        <f>IF(A3496="","",IF(C3496=DATE(2026,11,29),"培训；注册午餐；早餐参数",IF(C3496=DATE(2026,11,30),"培训；注册午餐",IF(C3496=DATE(2026,12,1),"培训；注册午餐；机构晚餐",IF(C3496=Options!$B$9,"抵达；"&amp;IF(C3496=DATE(2026,11,28),"机构晚餐","无统一供餐"),IF(C3496=Options!$B$10,"返程；"&amp;IF(C3496=DATE(2026,12,2),"机构午餐","无统一供餐"),"差旅状态；无统一日程"))))))</f>
        <v/>
      </c>
      <c r="E3496" s="13">
        <f>IF(C3496=Options!$B$9,Options!$C$23,0)</f>
        <v/>
      </c>
      <c r="F3496" s="13">
        <f>IF(AND(A3496&lt;&gt;"",C3496&lt;Options!$B$10),B3496*Options!$X$9,0)</f>
        <v/>
      </c>
      <c r="G3496" s="13">
        <f>F3496*12%</f>
        <v/>
      </c>
      <c r="H3496" s="13">
        <f>IF(A3496="",0,B3496*(92*IF(OR(C3496=Options!$B$9,C3496=Options!$B$10),75%,100%)-IF(C3496=DATE(2026,11,29),26+IF(Options!$B$8="是",23,0),0)-IF(C3496=DATE(2026,11,30),26,0)-IF(C3496=DATE(2026,12,1),64,0)-IF(C3496=DATE(2026,11,28),38,0)-IF(C3496=DATE(2026,12,2),26,0)))</f>
        <v/>
      </c>
      <c r="I3496" s="13">
        <f>IF(AND(C3496&gt;=DATE(2026,11,29),C3496&lt;=DATE(2026,12,1)),B3496*60,0)</f>
        <v/>
      </c>
      <c r="J3496" s="13">
        <f>IF(A3496="",0,B3496*(IF(C3496=DATE(2026,11,28),38,0)+IF(C3496=DATE(2026,12,1),38,0)+IF(C3496=DATE(2026,12,2),26,0)))</f>
        <v/>
      </c>
      <c r="K3496" s="13">
        <f>IF(C3496=Options!$B$9,B3496*12,0)</f>
        <v/>
      </c>
      <c r="L3496" s="13">
        <f>IF(C3496=Options!$B$9,B3496*Options!$Z$9,0)</f>
        <v/>
      </c>
      <c r="M3496" s="13" t="n">
        <v>0</v>
      </c>
      <c r="N3496" s="13">
        <f>SUM(E3496:M3496)</f>
        <v/>
      </c>
    </row>
    <row r="3497">
      <c r="A3497" s="5">
        <f>IF(AND(C3497&gt;=Options!$B$9,C3497&lt;=Options!$B$10),"Seattle","")</f>
        <v/>
      </c>
      <c r="B3497" s="5">
        <f>IF(A3497="","",24)</f>
        <v/>
      </c>
      <c r="C3497" s="17" t="n">
        <v>46503</v>
      </c>
      <c r="D3497" s="5">
        <f>IF(A3497="","",IF(C3497=DATE(2026,11,29),"培训；注册午餐；早餐参数",IF(C3497=DATE(2026,11,30),"培训；注册午餐",IF(C3497=DATE(2026,12,1),"培训；注册午餐；机构晚餐",IF(C3497=Options!$B$9,"抵达；"&amp;IF(C3497=DATE(2026,11,28),"机构晚餐","无统一供餐"),IF(C3497=Options!$B$10,"返程；"&amp;IF(C3497=DATE(2026,12,2),"机构午餐","无统一供餐"),"差旅状态；无统一日程"))))))</f>
        <v/>
      </c>
      <c r="E3497" s="13">
        <f>IF(C3497=Options!$B$9,Options!$C$23,0)</f>
        <v/>
      </c>
      <c r="F3497" s="13">
        <f>IF(AND(A3497&lt;&gt;"",C3497&lt;Options!$B$10),B3497*Options!$X$9,0)</f>
        <v/>
      </c>
      <c r="G3497" s="13">
        <f>F3497*12%</f>
        <v/>
      </c>
      <c r="H3497" s="13">
        <f>IF(A3497="",0,B3497*(92*IF(OR(C3497=Options!$B$9,C3497=Options!$B$10),75%,100%)-IF(C3497=DATE(2026,11,29),26+IF(Options!$B$8="是",23,0),0)-IF(C3497=DATE(2026,11,30),26,0)-IF(C3497=DATE(2026,12,1),64,0)-IF(C3497=DATE(2026,11,28),38,0)-IF(C3497=DATE(2026,12,2),26,0)))</f>
        <v/>
      </c>
      <c r="I3497" s="13">
        <f>IF(AND(C3497&gt;=DATE(2026,11,29),C3497&lt;=DATE(2026,12,1)),B3497*60,0)</f>
        <v/>
      </c>
      <c r="J3497" s="13">
        <f>IF(A3497="",0,B3497*(IF(C3497=DATE(2026,11,28),38,0)+IF(C3497=DATE(2026,12,1),38,0)+IF(C3497=DATE(2026,12,2),26,0)))</f>
        <v/>
      </c>
      <c r="K3497" s="13">
        <f>IF(C3497=Options!$B$9,B3497*12,0)</f>
        <v/>
      </c>
      <c r="L3497" s="13">
        <f>IF(C3497=Options!$B$9,B3497*Options!$Z$9,0)</f>
        <v/>
      </c>
      <c r="M3497" s="13" t="n">
        <v>0</v>
      </c>
      <c r="N3497" s="13">
        <f>SUM(E3497:M3497)</f>
        <v/>
      </c>
    </row>
    <row r="3498">
      <c r="A3498" s="5">
        <f>IF(AND(C3498&gt;=Options!$B$9,C3498&lt;=Options!$B$10),"Seattle","")</f>
        <v/>
      </c>
      <c r="B3498" s="5">
        <f>IF(A3498="","",24)</f>
        <v/>
      </c>
      <c r="C3498" s="17" t="n">
        <v>46504</v>
      </c>
      <c r="D3498" s="5">
        <f>IF(A3498="","",IF(C3498=DATE(2026,11,29),"培训；注册午餐；早餐参数",IF(C3498=DATE(2026,11,30),"培训；注册午餐",IF(C3498=DATE(2026,12,1),"培训；注册午餐；机构晚餐",IF(C3498=Options!$B$9,"抵达；"&amp;IF(C3498=DATE(2026,11,28),"机构晚餐","无统一供餐"),IF(C3498=Options!$B$10,"返程；"&amp;IF(C3498=DATE(2026,12,2),"机构午餐","无统一供餐"),"差旅状态；无统一日程"))))))</f>
        <v/>
      </c>
      <c r="E3498" s="13">
        <f>IF(C3498=Options!$B$9,Options!$C$23,0)</f>
        <v/>
      </c>
      <c r="F3498" s="13">
        <f>IF(AND(A3498&lt;&gt;"",C3498&lt;Options!$B$10),B3498*Options!$X$9,0)</f>
        <v/>
      </c>
      <c r="G3498" s="13">
        <f>F3498*12%</f>
        <v/>
      </c>
      <c r="H3498" s="13">
        <f>IF(A3498="",0,B3498*(92*IF(OR(C3498=Options!$B$9,C3498=Options!$B$10),75%,100%)-IF(C3498=DATE(2026,11,29),26+IF(Options!$B$8="是",23,0),0)-IF(C3498=DATE(2026,11,30),26,0)-IF(C3498=DATE(2026,12,1),64,0)-IF(C3498=DATE(2026,11,28),38,0)-IF(C3498=DATE(2026,12,2),26,0)))</f>
        <v/>
      </c>
      <c r="I3498" s="13">
        <f>IF(AND(C3498&gt;=DATE(2026,11,29),C3498&lt;=DATE(2026,12,1)),B3498*60,0)</f>
        <v/>
      </c>
      <c r="J3498" s="13">
        <f>IF(A3498="",0,B3498*(IF(C3498=DATE(2026,11,28),38,0)+IF(C3498=DATE(2026,12,1),38,0)+IF(C3498=DATE(2026,12,2),26,0)))</f>
        <v/>
      </c>
      <c r="K3498" s="13">
        <f>IF(C3498=Options!$B$9,B3498*12,0)</f>
        <v/>
      </c>
      <c r="L3498" s="13">
        <f>IF(C3498=Options!$B$9,B3498*Options!$Z$9,0)</f>
        <v/>
      </c>
      <c r="M3498" s="13" t="n">
        <v>0</v>
      </c>
      <c r="N3498" s="13">
        <f>SUM(E3498:M3498)</f>
        <v/>
      </c>
    </row>
    <row r="3499">
      <c r="A3499" s="5">
        <f>IF(AND(C3499&gt;=Options!$B$9,C3499&lt;=Options!$B$10),"Seattle","")</f>
        <v/>
      </c>
      <c r="B3499" s="5">
        <f>IF(A3499="","",24)</f>
        <v/>
      </c>
      <c r="C3499" s="17" t="n">
        <v>46505</v>
      </c>
      <c r="D3499" s="5">
        <f>IF(A3499="","",IF(C3499=DATE(2026,11,29),"培训；注册午餐；早餐参数",IF(C3499=DATE(2026,11,30),"培训；注册午餐",IF(C3499=DATE(2026,12,1),"培训；注册午餐；机构晚餐",IF(C3499=Options!$B$9,"抵达；"&amp;IF(C3499=DATE(2026,11,28),"机构晚餐","无统一供餐"),IF(C3499=Options!$B$10,"返程；"&amp;IF(C3499=DATE(2026,12,2),"机构午餐","无统一供餐"),"差旅状态；无统一日程"))))))</f>
        <v/>
      </c>
      <c r="E3499" s="13">
        <f>IF(C3499=Options!$B$9,Options!$C$23,0)</f>
        <v/>
      </c>
      <c r="F3499" s="13">
        <f>IF(AND(A3499&lt;&gt;"",C3499&lt;Options!$B$10),B3499*Options!$X$9,0)</f>
        <v/>
      </c>
      <c r="G3499" s="13">
        <f>F3499*12%</f>
        <v/>
      </c>
      <c r="H3499" s="13">
        <f>IF(A3499="",0,B3499*(92*IF(OR(C3499=Options!$B$9,C3499=Options!$B$10),75%,100%)-IF(C3499=DATE(2026,11,29),26+IF(Options!$B$8="是",23,0),0)-IF(C3499=DATE(2026,11,30),26,0)-IF(C3499=DATE(2026,12,1),64,0)-IF(C3499=DATE(2026,11,28),38,0)-IF(C3499=DATE(2026,12,2),26,0)))</f>
        <v/>
      </c>
      <c r="I3499" s="13">
        <f>IF(AND(C3499&gt;=DATE(2026,11,29),C3499&lt;=DATE(2026,12,1)),B3499*60,0)</f>
        <v/>
      </c>
      <c r="J3499" s="13">
        <f>IF(A3499="",0,B3499*(IF(C3499=DATE(2026,11,28),38,0)+IF(C3499=DATE(2026,12,1),38,0)+IF(C3499=DATE(2026,12,2),26,0)))</f>
        <v/>
      </c>
      <c r="K3499" s="13">
        <f>IF(C3499=Options!$B$9,B3499*12,0)</f>
        <v/>
      </c>
      <c r="L3499" s="13">
        <f>IF(C3499=Options!$B$9,B3499*Options!$Z$9,0)</f>
        <v/>
      </c>
      <c r="M3499" s="13" t="n">
        <v>0</v>
      </c>
      <c r="N3499" s="13">
        <f>SUM(E3499:M3499)</f>
        <v/>
      </c>
    </row>
    <row r="3500">
      <c r="A3500" s="5">
        <f>IF(AND(C3500&gt;=Options!$B$9,C3500&lt;=Options!$B$10),"Seattle","")</f>
        <v/>
      </c>
      <c r="B3500" s="5">
        <f>IF(A3500="","",24)</f>
        <v/>
      </c>
      <c r="C3500" s="17" t="n">
        <v>46506</v>
      </c>
      <c r="D3500" s="5">
        <f>IF(A3500="","",IF(C3500=DATE(2026,11,29),"培训；注册午餐；早餐参数",IF(C3500=DATE(2026,11,30),"培训；注册午餐",IF(C3500=DATE(2026,12,1),"培训；注册午餐；机构晚餐",IF(C3500=Options!$B$9,"抵达；"&amp;IF(C3500=DATE(2026,11,28),"机构晚餐","无统一供餐"),IF(C3500=Options!$B$10,"返程；"&amp;IF(C3500=DATE(2026,12,2),"机构午餐","无统一供餐"),"差旅状态；无统一日程"))))))</f>
        <v/>
      </c>
      <c r="E3500" s="13">
        <f>IF(C3500=Options!$B$9,Options!$C$23,0)</f>
        <v/>
      </c>
      <c r="F3500" s="13">
        <f>IF(AND(A3500&lt;&gt;"",C3500&lt;Options!$B$10),B3500*Options!$X$9,0)</f>
        <v/>
      </c>
      <c r="G3500" s="13">
        <f>F3500*12%</f>
        <v/>
      </c>
      <c r="H3500" s="13">
        <f>IF(A3500="",0,B3500*(92*IF(OR(C3500=Options!$B$9,C3500=Options!$B$10),75%,100%)-IF(C3500=DATE(2026,11,29),26+IF(Options!$B$8="是",23,0),0)-IF(C3500=DATE(2026,11,30),26,0)-IF(C3500=DATE(2026,12,1),64,0)-IF(C3500=DATE(2026,11,28),38,0)-IF(C3500=DATE(2026,12,2),26,0)))</f>
        <v/>
      </c>
      <c r="I3500" s="13">
        <f>IF(AND(C3500&gt;=DATE(2026,11,29),C3500&lt;=DATE(2026,12,1)),B3500*60,0)</f>
        <v/>
      </c>
      <c r="J3500" s="13">
        <f>IF(A3500="",0,B3500*(IF(C3500=DATE(2026,11,28),38,0)+IF(C3500=DATE(2026,12,1),38,0)+IF(C3500=DATE(2026,12,2),26,0)))</f>
        <v/>
      </c>
      <c r="K3500" s="13">
        <f>IF(C3500=Options!$B$9,B3500*12,0)</f>
        <v/>
      </c>
      <c r="L3500" s="13">
        <f>IF(C3500=Options!$B$9,B3500*Options!$Z$9,0)</f>
        <v/>
      </c>
      <c r="M3500" s="13" t="n">
        <v>0</v>
      </c>
      <c r="N3500" s="13">
        <f>SUM(E3500:M3500)</f>
        <v/>
      </c>
    </row>
    <row r="3501">
      <c r="A3501" s="5">
        <f>IF(AND(C3501&gt;=Options!$B$9,C3501&lt;=Options!$B$10),"Seattle","")</f>
        <v/>
      </c>
      <c r="B3501" s="5">
        <f>IF(A3501="","",24)</f>
        <v/>
      </c>
      <c r="C3501" s="17" t="n">
        <v>46507</v>
      </c>
      <c r="D3501" s="5">
        <f>IF(A3501="","",IF(C3501=DATE(2026,11,29),"培训；注册午餐；早餐参数",IF(C3501=DATE(2026,11,30),"培训；注册午餐",IF(C3501=DATE(2026,12,1),"培训；注册午餐；机构晚餐",IF(C3501=Options!$B$9,"抵达；"&amp;IF(C3501=DATE(2026,11,28),"机构晚餐","无统一供餐"),IF(C3501=Options!$B$10,"返程；"&amp;IF(C3501=DATE(2026,12,2),"机构午餐","无统一供餐"),"差旅状态；无统一日程"))))))</f>
        <v/>
      </c>
      <c r="E3501" s="13">
        <f>IF(C3501=Options!$B$9,Options!$C$23,0)</f>
        <v/>
      </c>
      <c r="F3501" s="13">
        <f>IF(AND(A3501&lt;&gt;"",C3501&lt;Options!$B$10),B3501*Options!$X$9,0)</f>
        <v/>
      </c>
      <c r="G3501" s="13">
        <f>F3501*12%</f>
        <v/>
      </c>
      <c r="H3501" s="13">
        <f>IF(A3501="",0,B3501*(92*IF(OR(C3501=Options!$B$9,C3501=Options!$B$10),75%,100%)-IF(C3501=DATE(2026,11,29),26+IF(Options!$B$8="是",23,0),0)-IF(C3501=DATE(2026,11,30),26,0)-IF(C3501=DATE(2026,12,1),64,0)-IF(C3501=DATE(2026,11,28),38,0)-IF(C3501=DATE(2026,12,2),26,0)))</f>
        <v/>
      </c>
      <c r="I3501" s="13">
        <f>IF(AND(C3501&gt;=DATE(2026,11,29),C3501&lt;=DATE(2026,12,1)),B3501*60,0)</f>
        <v/>
      </c>
      <c r="J3501" s="13">
        <f>IF(A3501="",0,B3501*(IF(C3501=DATE(2026,11,28),38,0)+IF(C3501=DATE(2026,12,1),38,0)+IF(C3501=DATE(2026,12,2),26,0)))</f>
        <v/>
      </c>
      <c r="K3501" s="13">
        <f>IF(C3501=Options!$B$9,B3501*12,0)</f>
        <v/>
      </c>
      <c r="L3501" s="13">
        <f>IF(C3501=Options!$B$9,B3501*Options!$Z$9,0)</f>
        <v/>
      </c>
      <c r="M3501" s="13" t="n">
        <v>0</v>
      </c>
      <c r="N3501" s="13">
        <f>SUM(E3501:M3501)</f>
        <v/>
      </c>
    </row>
    <row r="3502">
      <c r="A3502" s="5">
        <f>IF(AND(C3502&gt;=Options!$B$9,C3502&lt;=Options!$B$10),"Seattle","")</f>
        <v/>
      </c>
      <c r="B3502" s="5">
        <f>IF(A3502="","",24)</f>
        <v/>
      </c>
      <c r="C3502" s="17" t="n">
        <v>46508</v>
      </c>
      <c r="D3502" s="5">
        <f>IF(A3502="","",IF(C3502=DATE(2026,11,29),"培训；注册午餐；早餐参数",IF(C3502=DATE(2026,11,30),"培训；注册午餐",IF(C3502=DATE(2026,12,1),"培训；注册午餐；机构晚餐",IF(C3502=Options!$B$9,"抵达；"&amp;IF(C3502=DATE(2026,11,28),"机构晚餐","无统一供餐"),IF(C3502=Options!$B$10,"返程；"&amp;IF(C3502=DATE(2026,12,2),"机构午餐","无统一供餐"),"差旅状态；无统一日程"))))))</f>
        <v/>
      </c>
      <c r="E3502" s="13">
        <f>IF(C3502=Options!$B$9,Options!$C$23,0)</f>
        <v/>
      </c>
      <c r="F3502" s="13">
        <f>IF(AND(A3502&lt;&gt;"",C3502&lt;Options!$B$10),B3502*Options!$X$9,0)</f>
        <v/>
      </c>
      <c r="G3502" s="13">
        <f>F3502*12%</f>
        <v/>
      </c>
      <c r="H3502" s="13">
        <f>IF(A3502="",0,B3502*(92*IF(OR(C3502=Options!$B$9,C3502=Options!$B$10),75%,100%)-IF(C3502=DATE(2026,11,29),26+IF(Options!$B$8="是",23,0),0)-IF(C3502=DATE(2026,11,30),26,0)-IF(C3502=DATE(2026,12,1),64,0)-IF(C3502=DATE(2026,11,28),38,0)-IF(C3502=DATE(2026,12,2),26,0)))</f>
        <v/>
      </c>
      <c r="I3502" s="13">
        <f>IF(AND(C3502&gt;=DATE(2026,11,29),C3502&lt;=DATE(2026,12,1)),B3502*60,0)</f>
        <v/>
      </c>
      <c r="J3502" s="13">
        <f>IF(A3502="",0,B3502*(IF(C3502=DATE(2026,11,28),38,0)+IF(C3502=DATE(2026,12,1),38,0)+IF(C3502=DATE(2026,12,2),26,0)))</f>
        <v/>
      </c>
      <c r="K3502" s="13">
        <f>IF(C3502=Options!$B$9,B3502*12,0)</f>
        <v/>
      </c>
      <c r="L3502" s="13">
        <f>IF(C3502=Options!$B$9,B3502*Options!$Z$9,0)</f>
        <v/>
      </c>
      <c r="M3502" s="13" t="n">
        <v>0</v>
      </c>
      <c r="N3502" s="13">
        <f>SUM(E3502:M3502)</f>
        <v/>
      </c>
    </row>
    <row r="3503">
      <c r="A3503" s="5">
        <f>IF(AND(C3503&gt;=Options!$B$9,C3503&lt;=Options!$B$10),"Seattle","")</f>
        <v/>
      </c>
      <c r="B3503" s="5">
        <f>IF(A3503="","",24)</f>
        <v/>
      </c>
      <c r="C3503" s="17" t="n">
        <v>46509</v>
      </c>
      <c r="D3503" s="5">
        <f>IF(A3503="","",IF(C3503=DATE(2026,11,29),"培训；注册午餐；早餐参数",IF(C3503=DATE(2026,11,30),"培训；注册午餐",IF(C3503=DATE(2026,12,1),"培训；注册午餐；机构晚餐",IF(C3503=Options!$B$9,"抵达；"&amp;IF(C3503=DATE(2026,11,28),"机构晚餐","无统一供餐"),IF(C3503=Options!$B$10,"返程；"&amp;IF(C3503=DATE(2026,12,2),"机构午餐","无统一供餐"),"差旅状态；无统一日程"))))))</f>
        <v/>
      </c>
      <c r="E3503" s="13">
        <f>IF(C3503=Options!$B$9,Options!$C$23,0)</f>
        <v/>
      </c>
      <c r="F3503" s="13">
        <f>IF(AND(A3503&lt;&gt;"",C3503&lt;Options!$B$10),B3503*Options!$X$9,0)</f>
        <v/>
      </c>
      <c r="G3503" s="13">
        <f>F3503*12%</f>
        <v/>
      </c>
      <c r="H3503" s="13">
        <f>IF(A3503="",0,B3503*(92*IF(OR(C3503=Options!$B$9,C3503=Options!$B$10),75%,100%)-IF(C3503=DATE(2026,11,29),26+IF(Options!$B$8="是",23,0),0)-IF(C3503=DATE(2026,11,30),26,0)-IF(C3503=DATE(2026,12,1),64,0)-IF(C3503=DATE(2026,11,28),38,0)-IF(C3503=DATE(2026,12,2),26,0)))</f>
        <v/>
      </c>
      <c r="I3503" s="13">
        <f>IF(AND(C3503&gt;=DATE(2026,11,29),C3503&lt;=DATE(2026,12,1)),B3503*60,0)</f>
        <v/>
      </c>
      <c r="J3503" s="13">
        <f>IF(A3503="",0,B3503*(IF(C3503=DATE(2026,11,28),38,0)+IF(C3503=DATE(2026,12,1),38,0)+IF(C3503=DATE(2026,12,2),26,0)))</f>
        <v/>
      </c>
      <c r="K3503" s="13">
        <f>IF(C3503=Options!$B$9,B3503*12,0)</f>
        <v/>
      </c>
      <c r="L3503" s="13">
        <f>IF(C3503=Options!$B$9,B3503*Options!$Z$9,0)</f>
        <v/>
      </c>
      <c r="M3503" s="13" t="n">
        <v>0</v>
      </c>
      <c r="N3503" s="13">
        <f>SUM(E3503:M3503)</f>
        <v/>
      </c>
    </row>
    <row r="3504">
      <c r="A3504" s="5">
        <f>IF(AND(C3504&gt;=Options!$B$9,C3504&lt;=Options!$B$10),"Seattle","")</f>
        <v/>
      </c>
      <c r="B3504" s="5">
        <f>IF(A3504="","",24)</f>
        <v/>
      </c>
      <c r="C3504" s="17" t="n">
        <v>46510</v>
      </c>
      <c r="D3504" s="5">
        <f>IF(A3504="","",IF(C3504=DATE(2026,11,29),"培训；注册午餐；早餐参数",IF(C3504=DATE(2026,11,30),"培训；注册午餐",IF(C3504=DATE(2026,12,1),"培训；注册午餐；机构晚餐",IF(C3504=Options!$B$9,"抵达；"&amp;IF(C3504=DATE(2026,11,28),"机构晚餐","无统一供餐"),IF(C3504=Options!$B$10,"返程；"&amp;IF(C3504=DATE(2026,12,2),"机构午餐","无统一供餐"),"差旅状态；无统一日程"))))))</f>
        <v/>
      </c>
      <c r="E3504" s="13">
        <f>IF(C3504=Options!$B$9,Options!$C$23,0)</f>
        <v/>
      </c>
      <c r="F3504" s="13">
        <f>IF(AND(A3504&lt;&gt;"",C3504&lt;Options!$B$10),B3504*Options!$X$9,0)</f>
        <v/>
      </c>
      <c r="G3504" s="13">
        <f>F3504*12%</f>
        <v/>
      </c>
      <c r="H3504" s="13">
        <f>IF(A3504="",0,B3504*(92*IF(OR(C3504=Options!$B$9,C3504=Options!$B$10),75%,100%)-IF(C3504=DATE(2026,11,29),26+IF(Options!$B$8="是",23,0),0)-IF(C3504=DATE(2026,11,30),26,0)-IF(C3504=DATE(2026,12,1),64,0)-IF(C3504=DATE(2026,11,28),38,0)-IF(C3504=DATE(2026,12,2),26,0)))</f>
        <v/>
      </c>
      <c r="I3504" s="13">
        <f>IF(AND(C3504&gt;=DATE(2026,11,29),C3504&lt;=DATE(2026,12,1)),B3504*60,0)</f>
        <v/>
      </c>
      <c r="J3504" s="13">
        <f>IF(A3504="",0,B3504*(IF(C3504=DATE(2026,11,28),38,0)+IF(C3504=DATE(2026,12,1),38,0)+IF(C3504=DATE(2026,12,2),26,0)))</f>
        <v/>
      </c>
      <c r="K3504" s="13">
        <f>IF(C3504=Options!$B$9,B3504*12,0)</f>
        <v/>
      </c>
      <c r="L3504" s="13">
        <f>IF(C3504=Options!$B$9,B3504*Options!$Z$9,0)</f>
        <v/>
      </c>
      <c r="M3504" s="13" t="n">
        <v>0</v>
      </c>
      <c r="N3504" s="13">
        <f>SUM(E3504:M3504)</f>
        <v/>
      </c>
    </row>
    <row r="3505">
      <c r="A3505" s="5">
        <f>IF(AND(C3505&gt;=Options!$B$9,C3505&lt;=Options!$B$10),"Seattle","")</f>
        <v/>
      </c>
      <c r="B3505" s="5">
        <f>IF(A3505="","",24)</f>
        <v/>
      </c>
      <c r="C3505" s="17" t="n">
        <v>46511</v>
      </c>
      <c r="D3505" s="5">
        <f>IF(A3505="","",IF(C3505=DATE(2026,11,29),"培训；注册午餐；早餐参数",IF(C3505=DATE(2026,11,30),"培训；注册午餐",IF(C3505=DATE(2026,12,1),"培训；注册午餐；机构晚餐",IF(C3505=Options!$B$9,"抵达；"&amp;IF(C3505=DATE(2026,11,28),"机构晚餐","无统一供餐"),IF(C3505=Options!$B$10,"返程；"&amp;IF(C3505=DATE(2026,12,2),"机构午餐","无统一供餐"),"差旅状态；无统一日程"))))))</f>
        <v/>
      </c>
      <c r="E3505" s="13">
        <f>IF(C3505=Options!$B$9,Options!$C$23,0)</f>
        <v/>
      </c>
      <c r="F3505" s="13">
        <f>IF(AND(A3505&lt;&gt;"",C3505&lt;Options!$B$10),B3505*Options!$X$9,0)</f>
        <v/>
      </c>
      <c r="G3505" s="13">
        <f>F3505*12%</f>
        <v/>
      </c>
      <c r="H3505" s="13">
        <f>IF(A3505="",0,B3505*(92*IF(OR(C3505=Options!$B$9,C3505=Options!$B$10),75%,100%)-IF(C3505=DATE(2026,11,29),26+IF(Options!$B$8="是",23,0),0)-IF(C3505=DATE(2026,11,30),26,0)-IF(C3505=DATE(2026,12,1),64,0)-IF(C3505=DATE(2026,11,28),38,0)-IF(C3505=DATE(2026,12,2),26,0)))</f>
        <v/>
      </c>
      <c r="I3505" s="13">
        <f>IF(AND(C3505&gt;=DATE(2026,11,29),C3505&lt;=DATE(2026,12,1)),B3505*60,0)</f>
        <v/>
      </c>
      <c r="J3505" s="13">
        <f>IF(A3505="",0,B3505*(IF(C3505=DATE(2026,11,28),38,0)+IF(C3505=DATE(2026,12,1),38,0)+IF(C3505=DATE(2026,12,2),26,0)))</f>
        <v/>
      </c>
      <c r="K3505" s="13">
        <f>IF(C3505=Options!$B$9,B3505*12,0)</f>
        <v/>
      </c>
      <c r="L3505" s="13">
        <f>IF(C3505=Options!$B$9,B3505*Options!$Z$9,0)</f>
        <v/>
      </c>
      <c r="M3505" s="13" t="n">
        <v>0</v>
      </c>
      <c r="N3505" s="13">
        <f>SUM(E3505:M3505)</f>
        <v/>
      </c>
    </row>
    <row r="3506">
      <c r="A3506" s="5">
        <f>IF(AND(C3506&gt;=Options!$B$9,C3506&lt;=Options!$B$10),"Seattle","")</f>
        <v/>
      </c>
      <c r="B3506" s="5">
        <f>IF(A3506="","",24)</f>
        <v/>
      </c>
      <c r="C3506" s="17" t="n">
        <v>46512</v>
      </c>
      <c r="D3506" s="5">
        <f>IF(A3506="","",IF(C3506=DATE(2026,11,29),"培训；注册午餐；早餐参数",IF(C3506=DATE(2026,11,30),"培训；注册午餐",IF(C3506=DATE(2026,12,1),"培训；注册午餐；机构晚餐",IF(C3506=Options!$B$9,"抵达；"&amp;IF(C3506=DATE(2026,11,28),"机构晚餐","无统一供餐"),IF(C3506=Options!$B$10,"返程；"&amp;IF(C3506=DATE(2026,12,2),"机构午餐","无统一供餐"),"差旅状态；无统一日程"))))))</f>
        <v/>
      </c>
      <c r="E3506" s="13">
        <f>IF(C3506=Options!$B$9,Options!$C$23,0)</f>
        <v/>
      </c>
      <c r="F3506" s="13">
        <f>IF(AND(A3506&lt;&gt;"",C3506&lt;Options!$B$10),B3506*Options!$X$9,0)</f>
        <v/>
      </c>
      <c r="G3506" s="13">
        <f>F3506*12%</f>
        <v/>
      </c>
      <c r="H3506" s="13">
        <f>IF(A3506="",0,B3506*(92*IF(OR(C3506=Options!$B$9,C3506=Options!$B$10),75%,100%)-IF(C3506=DATE(2026,11,29),26+IF(Options!$B$8="是",23,0),0)-IF(C3506=DATE(2026,11,30),26,0)-IF(C3506=DATE(2026,12,1),64,0)-IF(C3506=DATE(2026,11,28),38,0)-IF(C3506=DATE(2026,12,2),26,0)))</f>
        <v/>
      </c>
      <c r="I3506" s="13">
        <f>IF(AND(C3506&gt;=DATE(2026,11,29),C3506&lt;=DATE(2026,12,1)),B3506*60,0)</f>
        <v/>
      </c>
      <c r="J3506" s="13">
        <f>IF(A3506="",0,B3506*(IF(C3506=DATE(2026,11,28),38,0)+IF(C3506=DATE(2026,12,1),38,0)+IF(C3506=DATE(2026,12,2),26,0)))</f>
        <v/>
      </c>
      <c r="K3506" s="13">
        <f>IF(C3506=Options!$B$9,B3506*12,0)</f>
        <v/>
      </c>
      <c r="L3506" s="13">
        <f>IF(C3506=Options!$B$9,B3506*Options!$Z$9,0)</f>
        <v/>
      </c>
      <c r="M3506" s="13" t="n">
        <v>0</v>
      </c>
      <c r="N3506" s="13">
        <f>SUM(E3506:M3506)</f>
        <v/>
      </c>
    </row>
    <row r="3507">
      <c r="A3507" s="5">
        <f>IF(AND(C3507&gt;=Options!$B$9,C3507&lt;=Options!$B$10),"Seattle","")</f>
        <v/>
      </c>
      <c r="B3507" s="5">
        <f>IF(A3507="","",24)</f>
        <v/>
      </c>
      <c r="C3507" s="17" t="n">
        <v>46513</v>
      </c>
      <c r="D3507" s="5">
        <f>IF(A3507="","",IF(C3507=DATE(2026,11,29),"培训；注册午餐；早餐参数",IF(C3507=DATE(2026,11,30),"培训；注册午餐",IF(C3507=DATE(2026,12,1),"培训；注册午餐；机构晚餐",IF(C3507=Options!$B$9,"抵达；"&amp;IF(C3507=DATE(2026,11,28),"机构晚餐","无统一供餐"),IF(C3507=Options!$B$10,"返程；"&amp;IF(C3507=DATE(2026,12,2),"机构午餐","无统一供餐"),"差旅状态；无统一日程"))))))</f>
        <v/>
      </c>
      <c r="E3507" s="13">
        <f>IF(C3507=Options!$B$9,Options!$C$23,0)</f>
        <v/>
      </c>
      <c r="F3507" s="13">
        <f>IF(AND(A3507&lt;&gt;"",C3507&lt;Options!$B$10),B3507*Options!$X$9,0)</f>
        <v/>
      </c>
      <c r="G3507" s="13">
        <f>F3507*12%</f>
        <v/>
      </c>
      <c r="H3507" s="13">
        <f>IF(A3507="",0,B3507*(92*IF(OR(C3507=Options!$B$9,C3507=Options!$B$10),75%,100%)-IF(C3507=DATE(2026,11,29),26+IF(Options!$B$8="是",23,0),0)-IF(C3507=DATE(2026,11,30),26,0)-IF(C3507=DATE(2026,12,1),64,0)-IF(C3507=DATE(2026,11,28),38,0)-IF(C3507=DATE(2026,12,2),26,0)))</f>
        <v/>
      </c>
      <c r="I3507" s="13">
        <f>IF(AND(C3507&gt;=DATE(2026,11,29),C3507&lt;=DATE(2026,12,1)),B3507*60,0)</f>
        <v/>
      </c>
      <c r="J3507" s="13">
        <f>IF(A3507="",0,B3507*(IF(C3507=DATE(2026,11,28),38,0)+IF(C3507=DATE(2026,12,1),38,0)+IF(C3507=DATE(2026,12,2),26,0)))</f>
        <v/>
      </c>
      <c r="K3507" s="13">
        <f>IF(C3507=Options!$B$9,B3507*12,0)</f>
        <v/>
      </c>
      <c r="L3507" s="13">
        <f>IF(C3507=Options!$B$9,B3507*Options!$Z$9,0)</f>
        <v/>
      </c>
      <c r="M3507" s="13" t="n">
        <v>0</v>
      </c>
      <c r="N3507" s="13">
        <f>SUM(E3507:M3507)</f>
        <v/>
      </c>
    </row>
    <row r="3508">
      <c r="A3508" s="5">
        <f>IF(AND(C3508&gt;=Options!$B$9,C3508&lt;=Options!$B$10),"Seattle","")</f>
        <v/>
      </c>
      <c r="B3508" s="5">
        <f>IF(A3508="","",24)</f>
        <v/>
      </c>
      <c r="C3508" s="17" t="n">
        <v>46514</v>
      </c>
      <c r="D3508" s="5">
        <f>IF(A3508="","",IF(C3508=DATE(2026,11,29),"培训；注册午餐；早餐参数",IF(C3508=DATE(2026,11,30),"培训；注册午餐",IF(C3508=DATE(2026,12,1),"培训；注册午餐；机构晚餐",IF(C3508=Options!$B$9,"抵达；"&amp;IF(C3508=DATE(2026,11,28),"机构晚餐","无统一供餐"),IF(C3508=Options!$B$10,"返程；"&amp;IF(C3508=DATE(2026,12,2),"机构午餐","无统一供餐"),"差旅状态；无统一日程"))))))</f>
        <v/>
      </c>
      <c r="E3508" s="13">
        <f>IF(C3508=Options!$B$9,Options!$C$23,0)</f>
        <v/>
      </c>
      <c r="F3508" s="13">
        <f>IF(AND(A3508&lt;&gt;"",C3508&lt;Options!$B$10),B3508*Options!$X$9,0)</f>
        <v/>
      </c>
      <c r="G3508" s="13">
        <f>F3508*12%</f>
        <v/>
      </c>
      <c r="H3508" s="13">
        <f>IF(A3508="",0,B3508*(92*IF(OR(C3508=Options!$B$9,C3508=Options!$B$10),75%,100%)-IF(C3508=DATE(2026,11,29),26+IF(Options!$B$8="是",23,0),0)-IF(C3508=DATE(2026,11,30),26,0)-IF(C3508=DATE(2026,12,1),64,0)-IF(C3508=DATE(2026,11,28),38,0)-IF(C3508=DATE(2026,12,2),26,0)))</f>
        <v/>
      </c>
      <c r="I3508" s="13">
        <f>IF(AND(C3508&gt;=DATE(2026,11,29),C3508&lt;=DATE(2026,12,1)),B3508*60,0)</f>
        <v/>
      </c>
      <c r="J3508" s="13">
        <f>IF(A3508="",0,B3508*(IF(C3508=DATE(2026,11,28),38,0)+IF(C3508=DATE(2026,12,1),38,0)+IF(C3508=DATE(2026,12,2),26,0)))</f>
        <v/>
      </c>
      <c r="K3508" s="13">
        <f>IF(C3508=Options!$B$9,B3508*12,0)</f>
        <v/>
      </c>
      <c r="L3508" s="13">
        <f>IF(C3508=Options!$B$9,B3508*Options!$Z$9,0)</f>
        <v/>
      </c>
      <c r="M3508" s="13" t="n">
        <v>0</v>
      </c>
      <c r="N3508" s="13">
        <f>SUM(E3508:M3508)</f>
        <v/>
      </c>
    </row>
    <row r="3509">
      <c r="A3509" s="5">
        <f>IF(AND(C3509&gt;=Options!$B$9,C3509&lt;=Options!$B$10),"Seattle","")</f>
        <v/>
      </c>
      <c r="B3509" s="5">
        <f>IF(A3509="","",24)</f>
        <v/>
      </c>
      <c r="C3509" s="17" t="n">
        <v>46515</v>
      </c>
      <c r="D3509" s="5">
        <f>IF(A3509="","",IF(C3509=DATE(2026,11,29),"培训；注册午餐；早餐参数",IF(C3509=DATE(2026,11,30),"培训；注册午餐",IF(C3509=DATE(2026,12,1),"培训；注册午餐；机构晚餐",IF(C3509=Options!$B$9,"抵达；"&amp;IF(C3509=DATE(2026,11,28),"机构晚餐","无统一供餐"),IF(C3509=Options!$B$10,"返程；"&amp;IF(C3509=DATE(2026,12,2),"机构午餐","无统一供餐"),"差旅状态；无统一日程"))))))</f>
        <v/>
      </c>
      <c r="E3509" s="13">
        <f>IF(C3509=Options!$B$9,Options!$C$23,0)</f>
        <v/>
      </c>
      <c r="F3509" s="13">
        <f>IF(AND(A3509&lt;&gt;"",C3509&lt;Options!$B$10),B3509*Options!$X$9,0)</f>
        <v/>
      </c>
      <c r="G3509" s="13">
        <f>F3509*12%</f>
        <v/>
      </c>
      <c r="H3509" s="13">
        <f>IF(A3509="",0,B3509*(92*IF(OR(C3509=Options!$B$9,C3509=Options!$B$10),75%,100%)-IF(C3509=DATE(2026,11,29),26+IF(Options!$B$8="是",23,0),0)-IF(C3509=DATE(2026,11,30),26,0)-IF(C3509=DATE(2026,12,1),64,0)-IF(C3509=DATE(2026,11,28),38,0)-IF(C3509=DATE(2026,12,2),26,0)))</f>
        <v/>
      </c>
      <c r="I3509" s="13">
        <f>IF(AND(C3509&gt;=DATE(2026,11,29),C3509&lt;=DATE(2026,12,1)),B3509*60,0)</f>
        <v/>
      </c>
      <c r="J3509" s="13">
        <f>IF(A3509="",0,B3509*(IF(C3509=DATE(2026,11,28),38,0)+IF(C3509=DATE(2026,12,1),38,0)+IF(C3509=DATE(2026,12,2),26,0)))</f>
        <v/>
      </c>
      <c r="K3509" s="13">
        <f>IF(C3509=Options!$B$9,B3509*12,0)</f>
        <v/>
      </c>
      <c r="L3509" s="13">
        <f>IF(C3509=Options!$B$9,B3509*Options!$Z$9,0)</f>
        <v/>
      </c>
      <c r="M3509" s="13" t="n">
        <v>0</v>
      </c>
      <c r="N3509" s="13">
        <f>SUM(E3509:M3509)</f>
        <v/>
      </c>
    </row>
    <row r="3510">
      <c r="A3510" s="5">
        <f>IF(AND(C3510&gt;=Options!$B$9,C3510&lt;=Options!$B$10),"Seattle","")</f>
        <v/>
      </c>
      <c r="B3510" s="5">
        <f>IF(A3510="","",24)</f>
        <v/>
      </c>
      <c r="C3510" s="17" t="n">
        <v>46516</v>
      </c>
      <c r="D3510" s="5">
        <f>IF(A3510="","",IF(C3510=DATE(2026,11,29),"培训；注册午餐；早餐参数",IF(C3510=DATE(2026,11,30),"培训；注册午餐",IF(C3510=DATE(2026,12,1),"培训；注册午餐；机构晚餐",IF(C3510=Options!$B$9,"抵达；"&amp;IF(C3510=DATE(2026,11,28),"机构晚餐","无统一供餐"),IF(C3510=Options!$B$10,"返程；"&amp;IF(C3510=DATE(2026,12,2),"机构午餐","无统一供餐"),"差旅状态；无统一日程"))))))</f>
        <v/>
      </c>
      <c r="E3510" s="13">
        <f>IF(C3510=Options!$B$9,Options!$C$23,0)</f>
        <v/>
      </c>
      <c r="F3510" s="13">
        <f>IF(AND(A3510&lt;&gt;"",C3510&lt;Options!$B$10),B3510*Options!$X$9,0)</f>
        <v/>
      </c>
      <c r="G3510" s="13">
        <f>F3510*12%</f>
        <v/>
      </c>
      <c r="H3510" s="13">
        <f>IF(A3510="",0,B3510*(92*IF(OR(C3510=Options!$B$9,C3510=Options!$B$10),75%,100%)-IF(C3510=DATE(2026,11,29),26+IF(Options!$B$8="是",23,0),0)-IF(C3510=DATE(2026,11,30),26,0)-IF(C3510=DATE(2026,12,1),64,0)-IF(C3510=DATE(2026,11,28),38,0)-IF(C3510=DATE(2026,12,2),26,0)))</f>
        <v/>
      </c>
      <c r="I3510" s="13">
        <f>IF(AND(C3510&gt;=DATE(2026,11,29),C3510&lt;=DATE(2026,12,1)),B3510*60,0)</f>
        <v/>
      </c>
      <c r="J3510" s="13">
        <f>IF(A3510="",0,B3510*(IF(C3510=DATE(2026,11,28),38,0)+IF(C3510=DATE(2026,12,1),38,0)+IF(C3510=DATE(2026,12,2),26,0)))</f>
        <v/>
      </c>
      <c r="K3510" s="13">
        <f>IF(C3510=Options!$B$9,B3510*12,0)</f>
        <v/>
      </c>
      <c r="L3510" s="13">
        <f>IF(C3510=Options!$B$9,B3510*Options!$Z$9,0)</f>
        <v/>
      </c>
      <c r="M3510" s="13" t="n">
        <v>0</v>
      </c>
      <c r="N3510" s="13">
        <f>SUM(E3510:M3510)</f>
        <v/>
      </c>
    </row>
    <row r="3511">
      <c r="A3511" s="5">
        <f>IF(AND(C3511&gt;=Options!$B$9,C3511&lt;=Options!$B$10),"Seattle","")</f>
        <v/>
      </c>
      <c r="B3511" s="5">
        <f>IF(A3511="","",24)</f>
        <v/>
      </c>
      <c r="C3511" s="17" t="n">
        <v>46517</v>
      </c>
      <c r="D3511" s="5">
        <f>IF(A3511="","",IF(C3511=DATE(2026,11,29),"培训；注册午餐；早餐参数",IF(C3511=DATE(2026,11,30),"培训；注册午餐",IF(C3511=DATE(2026,12,1),"培训；注册午餐；机构晚餐",IF(C3511=Options!$B$9,"抵达；"&amp;IF(C3511=DATE(2026,11,28),"机构晚餐","无统一供餐"),IF(C3511=Options!$B$10,"返程；"&amp;IF(C3511=DATE(2026,12,2),"机构午餐","无统一供餐"),"差旅状态；无统一日程"))))))</f>
        <v/>
      </c>
      <c r="E3511" s="13">
        <f>IF(C3511=Options!$B$9,Options!$C$23,0)</f>
        <v/>
      </c>
      <c r="F3511" s="13">
        <f>IF(AND(A3511&lt;&gt;"",C3511&lt;Options!$B$10),B3511*Options!$X$9,0)</f>
        <v/>
      </c>
      <c r="G3511" s="13">
        <f>F3511*12%</f>
        <v/>
      </c>
      <c r="H3511" s="13">
        <f>IF(A3511="",0,B3511*(92*IF(OR(C3511=Options!$B$9,C3511=Options!$B$10),75%,100%)-IF(C3511=DATE(2026,11,29),26+IF(Options!$B$8="是",23,0),0)-IF(C3511=DATE(2026,11,30),26,0)-IF(C3511=DATE(2026,12,1),64,0)-IF(C3511=DATE(2026,11,28),38,0)-IF(C3511=DATE(2026,12,2),26,0)))</f>
        <v/>
      </c>
      <c r="I3511" s="13">
        <f>IF(AND(C3511&gt;=DATE(2026,11,29),C3511&lt;=DATE(2026,12,1)),B3511*60,0)</f>
        <v/>
      </c>
      <c r="J3511" s="13">
        <f>IF(A3511="",0,B3511*(IF(C3511=DATE(2026,11,28),38,0)+IF(C3511=DATE(2026,12,1),38,0)+IF(C3511=DATE(2026,12,2),26,0)))</f>
        <v/>
      </c>
      <c r="K3511" s="13">
        <f>IF(C3511=Options!$B$9,B3511*12,0)</f>
        <v/>
      </c>
      <c r="L3511" s="13">
        <f>IF(C3511=Options!$B$9,B3511*Options!$Z$9,0)</f>
        <v/>
      </c>
      <c r="M3511" s="13" t="n">
        <v>0</v>
      </c>
      <c r="N3511" s="13">
        <f>SUM(E3511:M3511)</f>
        <v/>
      </c>
    </row>
    <row r="3512">
      <c r="A3512" s="5">
        <f>IF(AND(C3512&gt;=Options!$B$9,C3512&lt;=Options!$B$10),"Seattle","")</f>
        <v/>
      </c>
      <c r="B3512" s="5">
        <f>IF(A3512="","",24)</f>
        <v/>
      </c>
      <c r="C3512" s="17" t="n">
        <v>46518</v>
      </c>
      <c r="D3512" s="5">
        <f>IF(A3512="","",IF(C3512=DATE(2026,11,29),"培训；注册午餐；早餐参数",IF(C3512=DATE(2026,11,30),"培训；注册午餐",IF(C3512=DATE(2026,12,1),"培训；注册午餐；机构晚餐",IF(C3512=Options!$B$9,"抵达；"&amp;IF(C3512=DATE(2026,11,28),"机构晚餐","无统一供餐"),IF(C3512=Options!$B$10,"返程；"&amp;IF(C3512=DATE(2026,12,2),"机构午餐","无统一供餐"),"差旅状态；无统一日程"))))))</f>
        <v/>
      </c>
      <c r="E3512" s="13">
        <f>IF(C3512=Options!$B$9,Options!$C$23,0)</f>
        <v/>
      </c>
      <c r="F3512" s="13">
        <f>IF(AND(A3512&lt;&gt;"",C3512&lt;Options!$B$10),B3512*Options!$X$9,0)</f>
        <v/>
      </c>
      <c r="G3512" s="13">
        <f>F3512*12%</f>
        <v/>
      </c>
      <c r="H3512" s="13">
        <f>IF(A3512="",0,B3512*(92*IF(OR(C3512=Options!$B$9,C3512=Options!$B$10),75%,100%)-IF(C3512=DATE(2026,11,29),26+IF(Options!$B$8="是",23,0),0)-IF(C3512=DATE(2026,11,30),26,0)-IF(C3512=DATE(2026,12,1),64,0)-IF(C3512=DATE(2026,11,28),38,0)-IF(C3512=DATE(2026,12,2),26,0)))</f>
        <v/>
      </c>
      <c r="I3512" s="13">
        <f>IF(AND(C3512&gt;=DATE(2026,11,29),C3512&lt;=DATE(2026,12,1)),B3512*60,0)</f>
        <v/>
      </c>
      <c r="J3512" s="13">
        <f>IF(A3512="",0,B3512*(IF(C3512=DATE(2026,11,28),38,0)+IF(C3512=DATE(2026,12,1),38,0)+IF(C3512=DATE(2026,12,2),26,0)))</f>
        <v/>
      </c>
      <c r="K3512" s="13">
        <f>IF(C3512=Options!$B$9,B3512*12,0)</f>
        <v/>
      </c>
      <c r="L3512" s="13">
        <f>IF(C3512=Options!$B$9,B3512*Options!$Z$9,0)</f>
        <v/>
      </c>
      <c r="M3512" s="13" t="n">
        <v>0</v>
      </c>
      <c r="N3512" s="13">
        <f>SUM(E3512:M3512)</f>
        <v/>
      </c>
    </row>
    <row r="3513">
      <c r="A3513" s="5">
        <f>IF(AND(C3513&gt;=Options!$B$9,C3513&lt;=Options!$B$10),"Seattle","")</f>
        <v/>
      </c>
      <c r="B3513" s="5">
        <f>IF(A3513="","",24)</f>
        <v/>
      </c>
      <c r="C3513" s="17" t="n">
        <v>46519</v>
      </c>
      <c r="D3513" s="5">
        <f>IF(A3513="","",IF(C3513=DATE(2026,11,29),"培训；注册午餐；早餐参数",IF(C3513=DATE(2026,11,30),"培训；注册午餐",IF(C3513=DATE(2026,12,1),"培训；注册午餐；机构晚餐",IF(C3513=Options!$B$9,"抵达；"&amp;IF(C3513=DATE(2026,11,28),"机构晚餐","无统一供餐"),IF(C3513=Options!$B$10,"返程；"&amp;IF(C3513=DATE(2026,12,2),"机构午餐","无统一供餐"),"差旅状态；无统一日程"))))))</f>
        <v/>
      </c>
      <c r="E3513" s="13">
        <f>IF(C3513=Options!$B$9,Options!$C$23,0)</f>
        <v/>
      </c>
      <c r="F3513" s="13">
        <f>IF(AND(A3513&lt;&gt;"",C3513&lt;Options!$B$10),B3513*Options!$X$9,0)</f>
        <v/>
      </c>
      <c r="G3513" s="13">
        <f>F3513*12%</f>
        <v/>
      </c>
      <c r="H3513" s="13">
        <f>IF(A3513="",0,B3513*(92*IF(OR(C3513=Options!$B$9,C3513=Options!$B$10),75%,100%)-IF(C3513=DATE(2026,11,29),26+IF(Options!$B$8="是",23,0),0)-IF(C3513=DATE(2026,11,30),26,0)-IF(C3513=DATE(2026,12,1),64,0)-IF(C3513=DATE(2026,11,28),38,0)-IF(C3513=DATE(2026,12,2),26,0)))</f>
        <v/>
      </c>
      <c r="I3513" s="13">
        <f>IF(AND(C3513&gt;=DATE(2026,11,29),C3513&lt;=DATE(2026,12,1)),B3513*60,0)</f>
        <v/>
      </c>
      <c r="J3513" s="13">
        <f>IF(A3513="",0,B3513*(IF(C3513=DATE(2026,11,28),38,0)+IF(C3513=DATE(2026,12,1),38,0)+IF(C3513=DATE(2026,12,2),26,0)))</f>
        <v/>
      </c>
      <c r="K3513" s="13">
        <f>IF(C3513=Options!$B$9,B3513*12,0)</f>
        <v/>
      </c>
      <c r="L3513" s="13">
        <f>IF(C3513=Options!$B$9,B3513*Options!$Z$9,0)</f>
        <v/>
      </c>
      <c r="M3513" s="13" t="n">
        <v>0</v>
      </c>
      <c r="N3513" s="13">
        <f>SUM(E3513:M3513)</f>
        <v/>
      </c>
    </row>
    <row r="3514">
      <c r="A3514" s="5">
        <f>IF(AND(C3514&gt;=Options!$B$9,C3514&lt;=Options!$B$10),"Seattle","")</f>
        <v/>
      </c>
      <c r="B3514" s="5">
        <f>IF(A3514="","",24)</f>
        <v/>
      </c>
      <c r="C3514" s="17" t="n">
        <v>46520</v>
      </c>
      <c r="D3514" s="5">
        <f>IF(A3514="","",IF(C3514=DATE(2026,11,29),"培训；注册午餐；早餐参数",IF(C3514=DATE(2026,11,30),"培训；注册午餐",IF(C3514=DATE(2026,12,1),"培训；注册午餐；机构晚餐",IF(C3514=Options!$B$9,"抵达；"&amp;IF(C3514=DATE(2026,11,28),"机构晚餐","无统一供餐"),IF(C3514=Options!$B$10,"返程；"&amp;IF(C3514=DATE(2026,12,2),"机构午餐","无统一供餐"),"差旅状态；无统一日程"))))))</f>
        <v/>
      </c>
      <c r="E3514" s="13">
        <f>IF(C3514=Options!$B$9,Options!$C$23,0)</f>
        <v/>
      </c>
      <c r="F3514" s="13">
        <f>IF(AND(A3514&lt;&gt;"",C3514&lt;Options!$B$10),B3514*Options!$X$9,0)</f>
        <v/>
      </c>
      <c r="G3514" s="13">
        <f>F3514*12%</f>
        <v/>
      </c>
      <c r="H3514" s="13">
        <f>IF(A3514="",0,B3514*(92*IF(OR(C3514=Options!$B$9,C3514=Options!$B$10),75%,100%)-IF(C3514=DATE(2026,11,29),26+IF(Options!$B$8="是",23,0),0)-IF(C3514=DATE(2026,11,30),26,0)-IF(C3514=DATE(2026,12,1),64,0)-IF(C3514=DATE(2026,11,28),38,0)-IF(C3514=DATE(2026,12,2),26,0)))</f>
        <v/>
      </c>
      <c r="I3514" s="13">
        <f>IF(AND(C3514&gt;=DATE(2026,11,29),C3514&lt;=DATE(2026,12,1)),B3514*60,0)</f>
        <v/>
      </c>
      <c r="J3514" s="13">
        <f>IF(A3514="",0,B3514*(IF(C3514=DATE(2026,11,28),38,0)+IF(C3514=DATE(2026,12,1),38,0)+IF(C3514=DATE(2026,12,2),26,0)))</f>
        <v/>
      </c>
      <c r="K3514" s="13">
        <f>IF(C3514=Options!$B$9,B3514*12,0)</f>
        <v/>
      </c>
      <c r="L3514" s="13">
        <f>IF(C3514=Options!$B$9,B3514*Options!$Z$9,0)</f>
        <v/>
      </c>
      <c r="M3514" s="13" t="n">
        <v>0</v>
      </c>
      <c r="N3514" s="13">
        <f>SUM(E3514:M3514)</f>
        <v/>
      </c>
    </row>
    <row r="3515">
      <c r="A3515" s="5">
        <f>IF(AND(C3515&gt;=Options!$B$9,C3515&lt;=Options!$B$10),"Seattle","")</f>
        <v/>
      </c>
      <c r="B3515" s="5">
        <f>IF(A3515="","",24)</f>
        <v/>
      </c>
      <c r="C3515" s="17" t="n">
        <v>46521</v>
      </c>
      <c r="D3515" s="5">
        <f>IF(A3515="","",IF(C3515=DATE(2026,11,29),"培训；注册午餐；早餐参数",IF(C3515=DATE(2026,11,30),"培训；注册午餐",IF(C3515=DATE(2026,12,1),"培训；注册午餐；机构晚餐",IF(C3515=Options!$B$9,"抵达；"&amp;IF(C3515=DATE(2026,11,28),"机构晚餐","无统一供餐"),IF(C3515=Options!$B$10,"返程；"&amp;IF(C3515=DATE(2026,12,2),"机构午餐","无统一供餐"),"差旅状态；无统一日程"))))))</f>
        <v/>
      </c>
      <c r="E3515" s="13">
        <f>IF(C3515=Options!$B$9,Options!$C$23,0)</f>
        <v/>
      </c>
      <c r="F3515" s="13">
        <f>IF(AND(A3515&lt;&gt;"",C3515&lt;Options!$B$10),B3515*Options!$X$9,0)</f>
        <v/>
      </c>
      <c r="G3515" s="13">
        <f>F3515*12%</f>
        <v/>
      </c>
      <c r="H3515" s="13">
        <f>IF(A3515="",0,B3515*(92*IF(OR(C3515=Options!$B$9,C3515=Options!$B$10),75%,100%)-IF(C3515=DATE(2026,11,29),26+IF(Options!$B$8="是",23,0),0)-IF(C3515=DATE(2026,11,30),26,0)-IF(C3515=DATE(2026,12,1),64,0)-IF(C3515=DATE(2026,11,28),38,0)-IF(C3515=DATE(2026,12,2),26,0)))</f>
        <v/>
      </c>
      <c r="I3515" s="13">
        <f>IF(AND(C3515&gt;=DATE(2026,11,29),C3515&lt;=DATE(2026,12,1)),B3515*60,0)</f>
        <v/>
      </c>
      <c r="J3515" s="13">
        <f>IF(A3515="",0,B3515*(IF(C3515=DATE(2026,11,28),38,0)+IF(C3515=DATE(2026,12,1),38,0)+IF(C3515=DATE(2026,12,2),26,0)))</f>
        <v/>
      </c>
      <c r="K3515" s="13">
        <f>IF(C3515=Options!$B$9,B3515*12,0)</f>
        <v/>
      </c>
      <c r="L3515" s="13">
        <f>IF(C3515=Options!$B$9,B3515*Options!$Z$9,0)</f>
        <v/>
      </c>
      <c r="M3515" s="13" t="n">
        <v>0</v>
      </c>
      <c r="N3515" s="13">
        <f>SUM(E3515:M3515)</f>
        <v/>
      </c>
    </row>
    <row r="3516">
      <c r="A3516" s="5">
        <f>IF(AND(C3516&gt;=Options!$B$9,C3516&lt;=Options!$B$10),"Seattle","")</f>
        <v/>
      </c>
      <c r="B3516" s="5">
        <f>IF(A3516="","",24)</f>
        <v/>
      </c>
      <c r="C3516" s="17" t="n">
        <v>46522</v>
      </c>
      <c r="D3516" s="5">
        <f>IF(A3516="","",IF(C3516=DATE(2026,11,29),"培训；注册午餐；早餐参数",IF(C3516=DATE(2026,11,30),"培训；注册午餐",IF(C3516=DATE(2026,12,1),"培训；注册午餐；机构晚餐",IF(C3516=Options!$B$9,"抵达；"&amp;IF(C3516=DATE(2026,11,28),"机构晚餐","无统一供餐"),IF(C3516=Options!$B$10,"返程；"&amp;IF(C3516=DATE(2026,12,2),"机构午餐","无统一供餐"),"差旅状态；无统一日程"))))))</f>
        <v/>
      </c>
      <c r="E3516" s="13">
        <f>IF(C3516=Options!$B$9,Options!$C$23,0)</f>
        <v/>
      </c>
      <c r="F3516" s="13">
        <f>IF(AND(A3516&lt;&gt;"",C3516&lt;Options!$B$10),B3516*Options!$X$9,0)</f>
        <v/>
      </c>
      <c r="G3516" s="13">
        <f>F3516*12%</f>
        <v/>
      </c>
      <c r="H3516" s="13">
        <f>IF(A3516="",0,B3516*(92*IF(OR(C3516=Options!$B$9,C3516=Options!$B$10),75%,100%)-IF(C3516=DATE(2026,11,29),26+IF(Options!$B$8="是",23,0),0)-IF(C3516=DATE(2026,11,30),26,0)-IF(C3516=DATE(2026,12,1),64,0)-IF(C3516=DATE(2026,11,28),38,0)-IF(C3516=DATE(2026,12,2),26,0)))</f>
        <v/>
      </c>
      <c r="I3516" s="13">
        <f>IF(AND(C3516&gt;=DATE(2026,11,29),C3516&lt;=DATE(2026,12,1)),B3516*60,0)</f>
        <v/>
      </c>
      <c r="J3516" s="13">
        <f>IF(A3516="",0,B3516*(IF(C3516=DATE(2026,11,28),38,0)+IF(C3516=DATE(2026,12,1),38,0)+IF(C3516=DATE(2026,12,2),26,0)))</f>
        <v/>
      </c>
      <c r="K3516" s="13">
        <f>IF(C3516=Options!$B$9,B3516*12,0)</f>
        <v/>
      </c>
      <c r="L3516" s="13">
        <f>IF(C3516=Options!$B$9,B3516*Options!$Z$9,0)</f>
        <v/>
      </c>
      <c r="M3516" s="13" t="n">
        <v>0</v>
      </c>
      <c r="N3516" s="13">
        <f>SUM(E3516:M3516)</f>
        <v/>
      </c>
    </row>
    <row r="3517">
      <c r="A3517" s="5">
        <f>IF(AND(C3517&gt;=Options!$B$9,C3517&lt;=Options!$B$10),"Seattle","")</f>
        <v/>
      </c>
      <c r="B3517" s="5">
        <f>IF(A3517="","",24)</f>
        <v/>
      </c>
      <c r="C3517" s="17" t="n">
        <v>46523</v>
      </c>
      <c r="D3517" s="5">
        <f>IF(A3517="","",IF(C3517=DATE(2026,11,29),"培训；注册午餐；早餐参数",IF(C3517=DATE(2026,11,30),"培训；注册午餐",IF(C3517=DATE(2026,12,1),"培训；注册午餐；机构晚餐",IF(C3517=Options!$B$9,"抵达；"&amp;IF(C3517=DATE(2026,11,28),"机构晚餐","无统一供餐"),IF(C3517=Options!$B$10,"返程；"&amp;IF(C3517=DATE(2026,12,2),"机构午餐","无统一供餐"),"差旅状态；无统一日程"))))))</f>
        <v/>
      </c>
      <c r="E3517" s="13">
        <f>IF(C3517=Options!$B$9,Options!$C$23,0)</f>
        <v/>
      </c>
      <c r="F3517" s="13">
        <f>IF(AND(A3517&lt;&gt;"",C3517&lt;Options!$B$10),B3517*Options!$X$9,0)</f>
        <v/>
      </c>
      <c r="G3517" s="13">
        <f>F3517*12%</f>
        <v/>
      </c>
      <c r="H3517" s="13">
        <f>IF(A3517="",0,B3517*(92*IF(OR(C3517=Options!$B$9,C3517=Options!$B$10),75%,100%)-IF(C3517=DATE(2026,11,29),26+IF(Options!$B$8="是",23,0),0)-IF(C3517=DATE(2026,11,30),26,0)-IF(C3517=DATE(2026,12,1),64,0)-IF(C3517=DATE(2026,11,28),38,0)-IF(C3517=DATE(2026,12,2),26,0)))</f>
        <v/>
      </c>
      <c r="I3517" s="13">
        <f>IF(AND(C3517&gt;=DATE(2026,11,29),C3517&lt;=DATE(2026,12,1)),B3517*60,0)</f>
        <v/>
      </c>
      <c r="J3517" s="13">
        <f>IF(A3517="",0,B3517*(IF(C3517=DATE(2026,11,28),38,0)+IF(C3517=DATE(2026,12,1),38,0)+IF(C3517=DATE(2026,12,2),26,0)))</f>
        <v/>
      </c>
      <c r="K3517" s="13">
        <f>IF(C3517=Options!$B$9,B3517*12,0)</f>
        <v/>
      </c>
      <c r="L3517" s="13">
        <f>IF(C3517=Options!$B$9,B3517*Options!$Z$9,0)</f>
        <v/>
      </c>
      <c r="M3517" s="13" t="n">
        <v>0</v>
      </c>
      <c r="N3517" s="13">
        <f>SUM(E3517:M3517)</f>
        <v/>
      </c>
    </row>
    <row r="3518">
      <c r="A3518" s="5">
        <f>IF(AND(C3518&gt;=Options!$B$9,C3518&lt;=Options!$B$10),"Seattle","")</f>
        <v/>
      </c>
      <c r="B3518" s="5">
        <f>IF(A3518="","",24)</f>
        <v/>
      </c>
      <c r="C3518" s="17" t="n">
        <v>46524</v>
      </c>
      <c r="D3518" s="5">
        <f>IF(A3518="","",IF(C3518=DATE(2026,11,29),"培训；注册午餐；早餐参数",IF(C3518=DATE(2026,11,30),"培训；注册午餐",IF(C3518=DATE(2026,12,1),"培训；注册午餐；机构晚餐",IF(C3518=Options!$B$9,"抵达；"&amp;IF(C3518=DATE(2026,11,28),"机构晚餐","无统一供餐"),IF(C3518=Options!$B$10,"返程；"&amp;IF(C3518=DATE(2026,12,2),"机构午餐","无统一供餐"),"差旅状态；无统一日程"))))))</f>
        <v/>
      </c>
      <c r="E3518" s="13">
        <f>IF(C3518=Options!$B$9,Options!$C$23,0)</f>
        <v/>
      </c>
      <c r="F3518" s="13">
        <f>IF(AND(A3518&lt;&gt;"",C3518&lt;Options!$B$10),B3518*Options!$X$9,0)</f>
        <v/>
      </c>
      <c r="G3518" s="13">
        <f>F3518*12%</f>
        <v/>
      </c>
      <c r="H3518" s="13">
        <f>IF(A3518="",0,B3518*(92*IF(OR(C3518=Options!$B$9,C3518=Options!$B$10),75%,100%)-IF(C3518=DATE(2026,11,29),26+IF(Options!$B$8="是",23,0),0)-IF(C3518=DATE(2026,11,30),26,0)-IF(C3518=DATE(2026,12,1),64,0)-IF(C3518=DATE(2026,11,28),38,0)-IF(C3518=DATE(2026,12,2),26,0)))</f>
        <v/>
      </c>
      <c r="I3518" s="13">
        <f>IF(AND(C3518&gt;=DATE(2026,11,29),C3518&lt;=DATE(2026,12,1)),B3518*60,0)</f>
        <v/>
      </c>
      <c r="J3518" s="13">
        <f>IF(A3518="",0,B3518*(IF(C3518=DATE(2026,11,28),38,0)+IF(C3518=DATE(2026,12,1),38,0)+IF(C3518=DATE(2026,12,2),26,0)))</f>
        <v/>
      </c>
      <c r="K3518" s="13">
        <f>IF(C3518=Options!$B$9,B3518*12,0)</f>
        <v/>
      </c>
      <c r="L3518" s="13">
        <f>IF(C3518=Options!$B$9,B3518*Options!$Z$9,0)</f>
        <v/>
      </c>
      <c r="M3518" s="13" t="n">
        <v>0</v>
      </c>
      <c r="N3518" s="13">
        <f>SUM(E3518:M3518)</f>
        <v/>
      </c>
    </row>
    <row r="3519">
      <c r="A3519" s="5">
        <f>IF(AND(C3519&gt;=Options!$B$9,C3519&lt;=Options!$B$10),"Seattle","")</f>
        <v/>
      </c>
      <c r="B3519" s="5">
        <f>IF(A3519="","",24)</f>
        <v/>
      </c>
      <c r="C3519" s="17" t="n">
        <v>46525</v>
      </c>
      <c r="D3519" s="5">
        <f>IF(A3519="","",IF(C3519=DATE(2026,11,29),"培训；注册午餐；早餐参数",IF(C3519=DATE(2026,11,30),"培训；注册午餐",IF(C3519=DATE(2026,12,1),"培训；注册午餐；机构晚餐",IF(C3519=Options!$B$9,"抵达；"&amp;IF(C3519=DATE(2026,11,28),"机构晚餐","无统一供餐"),IF(C3519=Options!$B$10,"返程；"&amp;IF(C3519=DATE(2026,12,2),"机构午餐","无统一供餐"),"差旅状态；无统一日程"))))))</f>
        <v/>
      </c>
      <c r="E3519" s="13">
        <f>IF(C3519=Options!$B$9,Options!$C$23,0)</f>
        <v/>
      </c>
      <c r="F3519" s="13">
        <f>IF(AND(A3519&lt;&gt;"",C3519&lt;Options!$B$10),B3519*Options!$X$9,0)</f>
        <v/>
      </c>
      <c r="G3519" s="13">
        <f>F3519*12%</f>
        <v/>
      </c>
      <c r="H3519" s="13">
        <f>IF(A3519="",0,B3519*(92*IF(OR(C3519=Options!$B$9,C3519=Options!$B$10),75%,100%)-IF(C3519=DATE(2026,11,29),26+IF(Options!$B$8="是",23,0),0)-IF(C3519=DATE(2026,11,30),26,0)-IF(C3519=DATE(2026,12,1),64,0)-IF(C3519=DATE(2026,11,28),38,0)-IF(C3519=DATE(2026,12,2),26,0)))</f>
        <v/>
      </c>
      <c r="I3519" s="13">
        <f>IF(AND(C3519&gt;=DATE(2026,11,29),C3519&lt;=DATE(2026,12,1)),B3519*60,0)</f>
        <v/>
      </c>
      <c r="J3519" s="13">
        <f>IF(A3519="",0,B3519*(IF(C3519=DATE(2026,11,28),38,0)+IF(C3519=DATE(2026,12,1),38,0)+IF(C3519=DATE(2026,12,2),26,0)))</f>
        <v/>
      </c>
      <c r="K3519" s="13">
        <f>IF(C3519=Options!$B$9,B3519*12,0)</f>
        <v/>
      </c>
      <c r="L3519" s="13">
        <f>IF(C3519=Options!$B$9,B3519*Options!$Z$9,0)</f>
        <v/>
      </c>
      <c r="M3519" s="13" t="n">
        <v>0</v>
      </c>
      <c r="N3519" s="13">
        <f>SUM(E3519:M3519)</f>
        <v/>
      </c>
    </row>
    <row r="3520">
      <c r="A3520" s="5">
        <f>IF(AND(C3520&gt;=Options!$B$9,C3520&lt;=Options!$B$10),"Seattle","")</f>
        <v/>
      </c>
      <c r="B3520" s="5">
        <f>IF(A3520="","",24)</f>
        <v/>
      </c>
      <c r="C3520" s="17" t="n">
        <v>46526</v>
      </c>
      <c r="D3520" s="5">
        <f>IF(A3520="","",IF(C3520=DATE(2026,11,29),"培训；注册午餐；早餐参数",IF(C3520=DATE(2026,11,30),"培训；注册午餐",IF(C3520=DATE(2026,12,1),"培训；注册午餐；机构晚餐",IF(C3520=Options!$B$9,"抵达；"&amp;IF(C3520=DATE(2026,11,28),"机构晚餐","无统一供餐"),IF(C3520=Options!$B$10,"返程；"&amp;IF(C3520=DATE(2026,12,2),"机构午餐","无统一供餐"),"差旅状态；无统一日程"))))))</f>
        <v/>
      </c>
      <c r="E3520" s="13">
        <f>IF(C3520=Options!$B$9,Options!$C$23,0)</f>
        <v/>
      </c>
      <c r="F3520" s="13">
        <f>IF(AND(A3520&lt;&gt;"",C3520&lt;Options!$B$10),B3520*Options!$X$9,0)</f>
        <v/>
      </c>
      <c r="G3520" s="13">
        <f>F3520*12%</f>
        <v/>
      </c>
      <c r="H3520" s="13">
        <f>IF(A3520="",0,B3520*(92*IF(OR(C3520=Options!$B$9,C3520=Options!$B$10),75%,100%)-IF(C3520=DATE(2026,11,29),26+IF(Options!$B$8="是",23,0),0)-IF(C3520=DATE(2026,11,30),26,0)-IF(C3520=DATE(2026,12,1),64,0)-IF(C3520=DATE(2026,11,28),38,0)-IF(C3520=DATE(2026,12,2),26,0)))</f>
        <v/>
      </c>
      <c r="I3520" s="13">
        <f>IF(AND(C3520&gt;=DATE(2026,11,29),C3520&lt;=DATE(2026,12,1)),B3520*60,0)</f>
        <v/>
      </c>
      <c r="J3520" s="13">
        <f>IF(A3520="",0,B3520*(IF(C3520=DATE(2026,11,28),38,0)+IF(C3520=DATE(2026,12,1),38,0)+IF(C3520=DATE(2026,12,2),26,0)))</f>
        <v/>
      </c>
      <c r="K3520" s="13">
        <f>IF(C3520=Options!$B$9,B3520*12,0)</f>
        <v/>
      </c>
      <c r="L3520" s="13">
        <f>IF(C3520=Options!$B$9,B3520*Options!$Z$9,0)</f>
        <v/>
      </c>
      <c r="M3520" s="13" t="n">
        <v>0</v>
      </c>
      <c r="N3520" s="13">
        <f>SUM(E3520:M3520)</f>
        <v/>
      </c>
    </row>
    <row r="3521">
      <c r="A3521" s="5">
        <f>IF(AND(C3521&gt;=Options!$B$9,C3521&lt;=Options!$B$10),"Seattle","")</f>
        <v/>
      </c>
      <c r="B3521" s="5">
        <f>IF(A3521="","",24)</f>
        <v/>
      </c>
      <c r="C3521" s="17" t="n">
        <v>46527</v>
      </c>
      <c r="D3521" s="5">
        <f>IF(A3521="","",IF(C3521=DATE(2026,11,29),"培训；注册午餐；早餐参数",IF(C3521=DATE(2026,11,30),"培训；注册午餐",IF(C3521=DATE(2026,12,1),"培训；注册午餐；机构晚餐",IF(C3521=Options!$B$9,"抵达；"&amp;IF(C3521=DATE(2026,11,28),"机构晚餐","无统一供餐"),IF(C3521=Options!$B$10,"返程；"&amp;IF(C3521=DATE(2026,12,2),"机构午餐","无统一供餐"),"差旅状态；无统一日程"))))))</f>
        <v/>
      </c>
      <c r="E3521" s="13">
        <f>IF(C3521=Options!$B$9,Options!$C$23,0)</f>
        <v/>
      </c>
      <c r="F3521" s="13">
        <f>IF(AND(A3521&lt;&gt;"",C3521&lt;Options!$B$10),B3521*Options!$X$9,0)</f>
        <v/>
      </c>
      <c r="G3521" s="13">
        <f>F3521*12%</f>
        <v/>
      </c>
      <c r="H3521" s="13">
        <f>IF(A3521="",0,B3521*(92*IF(OR(C3521=Options!$B$9,C3521=Options!$B$10),75%,100%)-IF(C3521=DATE(2026,11,29),26+IF(Options!$B$8="是",23,0),0)-IF(C3521=DATE(2026,11,30),26,0)-IF(C3521=DATE(2026,12,1),64,0)-IF(C3521=DATE(2026,11,28),38,0)-IF(C3521=DATE(2026,12,2),26,0)))</f>
        <v/>
      </c>
      <c r="I3521" s="13">
        <f>IF(AND(C3521&gt;=DATE(2026,11,29),C3521&lt;=DATE(2026,12,1)),B3521*60,0)</f>
        <v/>
      </c>
      <c r="J3521" s="13">
        <f>IF(A3521="",0,B3521*(IF(C3521=DATE(2026,11,28),38,0)+IF(C3521=DATE(2026,12,1),38,0)+IF(C3521=DATE(2026,12,2),26,0)))</f>
        <v/>
      </c>
      <c r="K3521" s="13">
        <f>IF(C3521=Options!$B$9,B3521*12,0)</f>
        <v/>
      </c>
      <c r="L3521" s="13">
        <f>IF(C3521=Options!$B$9,B3521*Options!$Z$9,0)</f>
        <v/>
      </c>
      <c r="M3521" s="13" t="n">
        <v>0</v>
      </c>
      <c r="N3521" s="13">
        <f>SUM(E3521:M3521)</f>
        <v/>
      </c>
    </row>
    <row r="3522">
      <c r="A3522" s="5">
        <f>IF(AND(C3522&gt;=Options!$B$9,C3522&lt;=Options!$B$10),"Seattle","")</f>
        <v/>
      </c>
      <c r="B3522" s="5">
        <f>IF(A3522="","",24)</f>
        <v/>
      </c>
      <c r="C3522" s="17" t="n">
        <v>46528</v>
      </c>
      <c r="D3522" s="5">
        <f>IF(A3522="","",IF(C3522=DATE(2026,11,29),"培训；注册午餐；早餐参数",IF(C3522=DATE(2026,11,30),"培训；注册午餐",IF(C3522=DATE(2026,12,1),"培训；注册午餐；机构晚餐",IF(C3522=Options!$B$9,"抵达；"&amp;IF(C3522=DATE(2026,11,28),"机构晚餐","无统一供餐"),IF(C3522=Options!$B$10,"返程；"&amp;IF(C3522=DATE(2026,12,2),"机构午餐","无统一供餐"),"差旅状态；无统一日程"))))))</f>
        <v/>
      </c>
      <c r="E3522" s="13">
        <f>IF(C3522=Options!$B$9,Options!$C$23,0)</f>
        <v/>
      </c>
      <c r="F3522" s="13">
        <f>IF(AND(A3522&lt;&gt;"",C3522&lt;Options!$B$10),B3522*Options!$X$9,0)</f>
        <v/>
      </c>
      <c r="G3522" s="13">
        <f>F3522*12%</f>
        <v/>
      </c>
      <c r="H3522" s="13">
        <f>IF(A3522="",0,B3522*(92*IF(OR(C3522=Options!$B$9,C3522=Options!$B$10),75%,100%)-IF(C3522=DATE(2026,11,29),26+IF(Options!$B$8="是",23,0),0)-IF(C3522=DATE(2026,11,30),26,0)-IF(C3522=DATE(2026,12,1),64,0)-IF(C3522=DATE(2026,11,28),38,0)-IF(C3522=DATE(2026,12,2),26,0)))</f>
        <v/>
      </c>
      <c r="I3522" s="13">
        <f>IF(AND(C3522&gt;=DATE(2026,11,29),C3522&lt;=DATE(2026,12,1)),B3522*60,0)</f>
        <v/>
      </c>
      <c r="J3522" s="13">
        <f>IF(A3522="",0,B3522*(IF(C3522=DATE(2026,11,28),38,0)+IF(C3522=DATE(2026,12,1),38,0)+IF(C3522=DATE(2026,12,2),26,0)))</f>
        <v/>
      </c>
      <c r="K3522" s="13">
        <f>IF(C3522=Options!$B$9,B3522*12,0)</f>
        <v/>
      </c>
      <c r="L3522" s="13">
        <f>IF(C3522=Options!$B$9,B3522*Options!$Z$9,0)</f>
        <v/>
      </c>
      <c r="M3522" s="13" t="n">
        <v>0</v>
      </c>
      <c r="N3522" s="13">
        <f>SUM(E3522:M3522)</f>
        <v/>
      </c>
    </row>
    <row r="3523">
      <c r="A3523" s="5">
        <f>IF(AND(C3523&gt;=Options!$B$9,C3523&lt;=Options!$B$10),"Seattle","")</f>
        <v/>
      </c>
      <c r="B3523" s="5">
        <f>IF(A3523="","",24)</f>
        <v/>
      </c>
      <c r="C3523" s="17" t="n">
        <v>46529</v>
      </c>
      <c r="D3523" s="5">
        <f>IF(A3523="","",IF(C3523=DATE(2026,11,29),"培训；注册午餐；早餐参数",IF(C3523=DATE(2026,11,30),"培训；注册午餐",IF(C3523=DATE(2026,12,1),"培训；注册午餐；机构晚餐",IF(C3523=Options!$B$9,"抵达；"&amp;IF(C3523=DATE(2026,11,28),"机构晚餐","无统一供餐"),IF(C3523=Options!$B$10,"返程；"&amp;IF(C3523=DATE(2026,12,2),"机构午餐","无统一供餐"),"差旅状态；无统一日程"))))))</f>
        <v/>
      </c>
      <c r="E3523" s="13">
        <f>IF(C3523=Options!$B$9,Options!$C$23,0)</f>
        <v/>
      </c>
      <c r="F3523" s="13">
        <f>IF(AND(A3523&lt;&gt;"",C3523&lt;Options!$B$10),B3523*Options!$X$9,0)</f>
        <v/>
      </c>
      <c r="G3523" s="13">
        <f>F3523*12%</f>
        <v/>
      </c>
      <c r="H3523" s="13">
        <f>IF(A3523="",0,B3523*(92*IF(OR(C3523=Options!$B$9,C3523=Options!$B$10),75%,100%)-IF(C3523=DATE(2026,11,29),26+IF(Options!$B$8="是",23,0),0)-IF(C3523=DATE(2026,11,30),26,0)-IF(C3523=DATE(2026,12,1),64,0)-IF(C3523=DATE(2026,11,28),38,0)-IF(C3523=DATE(2026,12,2),26,0)))</f>
        <v/>
      </c>
      <c r="I3523" s="13">
        <f>IF(AND(C3523&gt;=DATE(2026,11,29),C3523&lt;=DATE(2026,12,1)),B3523*60,0)</f>
        <v/>
      </c>
      <c r="J3523" s="13">
        <f>IF(A3523="",0,B3523*(IF(C3523=DATE(2026,11,28),38,0)+IF(C3523=DATE(2026,12,1),38,0)+IF(C3523=DATE(2026,12,2),26,0)))</f>
        <v/>
      </c>
      <c r="K3523" s="13">
        <f>IF(C3523=Options!$B$9,B3523*12,0)</f>
        <v/>
      </c>
      <c r="L3523" s="13">
        <f>IF(C3523=Options!$B$9,B3523*Options!$Z$9,0)</f>
        <v/>
      </c>
      <c r="M3523" s="13" t="n">
        <v>0</v>
      </c>
      <c r="N3523" s="13">
        <f>SUM(E3523:M3523)</f>
        <v/>
      </c>
    </row>
    <row r="3524">
      <c r="A3524" s="5">
        <f>IF(AND(C3524&gt;=Options!$B$9,C3524&lt;=Options!$B$10),"Seattle","")</f>
        <v/>
      </c>
      <c r="B3524" s="5">
        <f>IF(A3524="","",24)</f>
        <v/>
      </c>
      <c r="C3524" s="17" t="n">
        <v>46530</v>
      </c>
      <c r="D3524" s="5">
        <f>IF(A3524="","",IF(C3524=DATE(2026,11,29),"培训；注册午餐；早餐参数",IF(C3524=DATE(2026,11,30),"培训；注册午餐",IF(C3524=DATE(2026,12,1),"培训；注册午餐；机构晚餐",IF(C3524=Options!$B$9,"抵达；"&amp;IF(C3524=DATE(2026,11,28),"机构晚餐","无统一供餐"),IF(C3524=Options!$B$10,"返程；"&amp;IF(C3524=DATE(2026,12,2),"机构午餐","无统一供餐"),"差旅状态；无统一日程"))))))</f>
        <v/>
      </c>
      <c r="E3524" s="13">
        <f>IF(C3524=Options!$B$9,Options!$C$23,0)</f>
        <v/>
      </c>
      <c r="F3524" s="13">
        <f>IF(AND(A3524&lt;&gt;"",C3524&lt;Options!$B$10),B3524*Options!$X$9,0)</f>
        <v/>
      </c>
      <c r="G3524" s="13">
        <f>F3524*12%</f>
        <v/>
      </c>
      <c r="H3524" s="13">
        <f>IF(A3524="",0,B3524*(92*IF(OR(C3524=Options!$B$9,C3524=Options!$B$10),75%,100%)-IF(C3524=DATE(2026,11,29),26+IF(Options!$B$8="是",23,0),0)-IF(C3524=DATE(2026,11,30),26,0)-IF(C3524=DATE(2026,12,1),64,0)-IF(C3524=DATE(2026,11,28),38,0)-IF(C3524=DATE(2026,12,2),26,0)))</f>
        <v/>
      </c>
      <c r="I3524" s="13">
        <f>IF(AND(C3524&gt;=DATE(2026,11,29),C3524&lt;=DATE(2026,12,1)),B3524*60,0)</f>
        <v/>
      </c>
      <c r="J3524" s="13">
        <f>IF(A3524="",0,B3524*(IF(C3524=DATE(2026,11,28),38,0)+IF(C3524=DATE(2026,12,1),38,0)+IF(C3524=DATE(2026,12,2),26,0)))</f>
        <v/>
      </c>
      <c r="K3524" s="13">
        <f>IF(C3524=Options!$B$9,B3524*12,0)</f>
        <v/>
      </c>
      <c r="L3524" s="13">
        <f>IF(C3524=Options!$B$9,B3524*Options!$Z$9,0)</f>
        <v/>
      </c>
      <c r="M3524" s="13" t="n">
        <v>0</v>
      </c>
      <c r="N3524" s="13">
        <f>SUM(E3524:M3524)</f>
        <v/>
      </c>
    </row>
    <row r="3525">
      <c r="A3525" s="5">
        <f>IF(AND(C3525&gt;=Options!$B$9,C3525&lt;=Options!$B$10),"Seattle","")</f>
        <v/>
      </c>
      <c r="B3525" s="5">
        <f>IF(A3525="","",24)</f>
        <v/>
      </c>
      <c r="C3525" s="17" t="n">
        <v>46531</v>
      </c>
      <c r="D3525" s="5">
        <f>IF(A3525="","",IF(C3525=DATE(2026,11,29),"培训；注册午餐；早餐参数",IF(C3525=DATE(2026,11,30),"培训；注册午餐",IF(C3525=DATE(2026,12,1),"培训；注册午餐；机构晚餐",IF(C3525=Options!$B$9,"抵达；"&amp;IF(C3525=DATE(2026,11,28),"机构晚餐","无统一供餐"),IF(C3525=Options!$B$10,"返程；"&amp;IF(C3525=DATE(2026,12,2),"机构午餐","无统一供餐"),"差旅状态；无统一日程"))))))</f>
        <v/>
      </c>
      <c r="E3525" s="13">
        <f>IF(C3525=Options!$B$9,Options!$C$23,0)</f>
        <v/>
      </c>
      <c r="F3525" s="13">
        <f>IF(AND(A3525&lt;&gt;"",C3525&lt;Options!$B$10),B3525*Options!$X$9,0)</f>
        <v/>
      </c>
      <c r="G3525" s="13">
        <f>F3525*12%</f>
        <v/>
      </c>
      <c r="H3525" s="13">
        <f>IF(A3525="",0,B3525*(92*IF(OR(C3525=Options!$B$9,C3525=Options!$B$10),75%,100%)-IF(C3525=DATE(2026,11,29),26+IF(Options!$B$8="是",23,0),0)-IF(C3525=DATE(2026,11,30),26,0)-IF(C3525=DATE(2026,12,1),64,0)-IF(C3525=DATE(2026,11,28),38,0)-IF(C3525=DATE(2026,12,2),26,0)))</f>
        <v/>
      </c>
      <c r="I3525" s="13">
        <f>IF(AND(C3525&gt;=DATE(2026,11,29),C3525&lt;=DATE(2026,12,1)),B3525*60,0)</f>
        <v/>
      </c>
      <c r="J3525" s="13">
        <f>IF(A3525="",0,B3525*(IF(C3525=DATE(2026,11,28),38,0)+IF(C3525=DATE(2026,12,1),38,0)+IF(C3525=DATE(2026,12,2),26,0)))</f>
        <v/>
      </c>
      <c r="K3525" s="13">
        <f>IF(C3525=Options!$B$9,B3525*12,0)</f>
        <v/>
      </c>
      <c r="L3525" s="13">
        <f>IF(C3525=Options!$B$9,B3525*Options!$Z$9,0)</f>
        <v/>
      </c>
      <c r="M3525" s="13" t="n">
        <v>0</v>
      </c>
      <c r="N3525" s="13">
        <f>SUM(E3525:M3525)</f>
        <v/>
      </c>
    </row>
    <row r="3526">
      <c r="A3526" s="5">
        <f>IF(AND(C3526&gt;=Options!$B$9,C3526&lt;=Options!$B$10),"Seattle","")</f>
        <v/>
      </c>
      <c r="B3526" s="5">
        <f>IF(A3526="","",24)</f>
        <v/>
      </c>
      <c r="C3526" s="17" t="n">
        <v>46532</v>
      </c>
      <c r="D3526" s="5">
        <f>IF(A3526="","",IF(C3526=DATE(2026,11,29),"培训；注册午餐；早餐参数",IF(C3526=DATE(2026,11,30),"培训；注册午餐",IF(C3526=DATE(2026,12,1),"培训；注册午餐；机构晚餐",IF(C3526=Options!$B$9,"抵达；"&amp;IF(C3526=DATE(2026,11,28),"机构晚餐","无统一供餐"),IF(C3526=Options!$B$10,"返程；"&amp;IF(C3526=DATE(2026,12,2),"机构午餐","无统一供餐"),"差旅状态；无统一日程"))))))</f>
        <v/>
      </c>
      <c r="E3526" s="13">
        <f>IF(C3526=Options!$B$9,Options!$C$23,0)</f>
        <v/>
      </c>
      <c r="F3526" s="13">
        <f>IF(AND(A3526&lt;&gt;"",C3526&lt;Options!$B$10),B3526*Options!$X$9,0)</f>
        <v/>
      </c>
      <c r="G3526" s="13">
        <f>F3526*12%</f>
        <v/>
      </c>
      <c r="H3526" s="13">
        <f>IF(A3526="",0,B3526*(92*IF(OR(C3526=Options!$B$9,C3526=Options!$B$10),75%,100%)-IF(C3526=DATE(2026,11,29),26+IF(Options!$B$8="是",23,0),0)-IF(C3526=DATE(2026,11,30),26,0)-IF(C3526=DATE(2026,12,1),64,0)-IF(C3526=DATE(2026,11,28),38,0)-IF(C3526=DATE(2026,12,2),26,0)))</f>
        <v/>
      </c>
      <c r="I3526" s="13">
        <f>IF(AND(C3526&gt;=DATE(2026,11,29),C3526&lt;=DATE(2026,12,1)),B3526*60,0)</f>
        <v/>
      </c>
      <c r="J3526" s="13">
        <f>IF(A3526="",0,B3526*(IF(C3526=DATE(2026,11,28),38,0)+IF(C3526=DATE(2026,12,1),38,0)+IF(C3526=DATE(2026,12,2),26,0)))</f>
        <v/>
      </c>
      <c r="K3526" s="13">
        <f>IF(C3526=Options!$B$9,B3526*12,0)</f>
        <v/>
      </c>
      <c r="L3526" s="13">
        <f>IF(C3526=Options!$B$9,B3526*Options!$Z$9,0)</f>
        <v/>
      </c>
      <c r="M3526" s="13" t="n">
        <v>0</v>
      </c>
      <c r="N3526" s="13">
        <f>SUM(E3526:M3526)</f>
        <v/>
      </c>
    </row>
    <row r="3527">
      <c r="A3527" s="5">
        <f>IF(AND(C3527&gt;=Options!$B$9,C3527&lt;=Options!$B$10),"Seattle","")</f>
        <v/>
      </c>
      <c r="B3527" s="5">
        <f>IF(A3527="","",24)</f>
        <v/>
      </c>
      <c r="C3527" s="17" t="n">
        <v>46533</v>
      </c>
      <c r="D3527" s="5">
        <f>IF(A3527="","",IF(C3527=DATE(2026,11,29),"培训；注册午餐；早餐参数",IF(C3527=DATE(2026,11,30),"培训；注册午餐",IF(C3527=DATE(2026,12,1),"培训；注册午餐；机构晚餐",IF(C3527=Options!$B$9,"抵达；"&amp;IF(C3527=DATE(2026,11,28),"机构晚餐","无统一供餐"),IF(C3527=Options!$B$10,"返程；"&amp;IF(C3527=DATE(2026,12,2),"机构午餐","无统一供餐"),"差旅状态；无统一日程"))))))</f>
        <v/>
      </c>
      <c r="E3527" s="13">
        <f>IF(C3527=Options!$B$9,Options!$C$23,0)</f>
        <v/>
      </c>
      <c r="F3527" s="13">
        <f>IF(AND(A3527&lt;&gt;"",C3527&lt;Options!$B$10),B3527*Options!$X$9,0)</f>
        <v/>
      </c>
      <c r="G3527" s="13">
        <f>F3527*12%</f>
        <v/>
      </c>
      <c r="H3527" s="13">
        <f>IF(A3527="",0,B3527*(92*IF(OR(C3527=Options!$B$9,C3527=Options!$B$10),75%,100%)-IF(C3527=DATE(2026,11,29),26+IF(Options!$B$8="是",23,0),0)-IF(C3527=DATE(2026,11,30),26,0)-IF(C3527=DATE(2026,12,1),64,0)-IF(C3527=DATE(2026,11,28),38,0)-IF(C3527=DATE(2026,12,2),26,0)))</f>
        <v/>
      </c>
      <c r="I3527" s="13">
        <f>IF(AND(C3527&gt;=DATE(2026,11,29),C3527&lt;=DATE(2026,12,1)),B3527*60,0)</f>
        <v/>
      </c>
      <c r="J3527" s="13">
        <f>IF(A3527="",0,B3527*(IF(C3527=DATE(2026,11,28),38,0)+IF(C3527=DATE(2026,12,1),38,0)+IF(C3527=DATE(2026,12,2),26,0)))</f>
        <v/>
      </c>
      <c r="K3527" s="13">
        <f>IF(C3527=Options!$B$9,B3527*12,0)</f>
        <v/>
      </c>
      <c r="L3527" s="13">
        <f>IF(C3527=Options!$B$9,B3527*Options!$Z$9,0)</f>
        <v/>
      </c>
      <c r="M3527" s="13" t="n">
        <v>0</v>
      </c>
      <c r="N3527" s="13">
        <f>SUM(E3527:M3527)</f>
        <v/>
      </c>
    </row>
    <row r="3528">
      <c r="A3528" s="5">
        <f>IF(AND(C3528&gt;=Options!$B$9,C3528&lt;=Options!$B$10),"Seattle","")</f>
        <v/>
      </c>
      <c r="B3528" s="5">
        <f>IF(A3528="","",24)</f>
        <v/>
      </c>
      <c r="C3528" s="17" t="n">
        <v>46534</v>
      </c>
      <c r="D3528" s="5">
        <f>IF(A3528="","",IF(C3528=DATE(2026,11,29),"培训；注册午餐；早餐参数",IF(C3528=DATE(2026,11,30),"培训；注册午餐",IF(C3528=DATE(2026,12,1),"培训；注册午餐；机构晚餐",IF(C3528=Options!$B$9,"抵达；"&amp;IF(C3528=DATE(2026,11,28),"机构晚餐","无统一供餐"),IF(C3528=Options!$B$10,"返程；"&amp;IF(C3528=DATE(2026,12,2),"机构午餐","无统一供餐"),"差旅状态；无统一日程"))))))</f>
        <v/>
      </c>
      <c r="E3528" s="13">
        <f>IF(C3528=Options!$B$9,Options!$C$23,0)</f>
        <v/>
      </c>
      <c r="F3528" s="13">
        <f>IF(AND(A3528&lt;&gt;"",C3528&lt;Options!$B$10),B3528*Options!$X$9,0)</f>
        <v/>
      </c>
      <c r="G3528" s="13">
        <f>F3528*12%</f>
        <v/>
      </c>
      <c r="H3528" s="13">
        <f>IF(A3528="",0,B3528*(92*IF(OR(C3528=Options!$B$9,C3528=Options!$B$10),75%,100%)-IF(C3528=DATE(2026,11,29),26+IF(Options!$B$8="是",23,0),0)-IF(C3528=DATE(2026,11,30),26,0)-IF(C3528=DATE(2026,12,1),64,0)-IF(C3528=DATE(2026,11,28),38,0)-IF(C3528=DATE(2026,12,2),26,0)))</f>
        <v/>
      </c>
      <c r="I3528" s="13">
        <f>IF(AND(C3528&gt;=DATE(2026,11,29),C3528&lt;=DATE(2026,12,1)),B3528*60,0)</f>
        <v/>
      </c>
      <c r="J3528" s="13">
        <f>IF(A3528="",0,B3528*(IF(C3528=DATE(2026,11,28),38,0)+IF(C3528=DATE(2026,12,1),38,0)+IF(C3528=DATE(2026,12,2),26,0)))</f>
        <v/>
      </c>
      <c r="K3528" s="13">
        <f>IF(C3528=Options!$B$9,B3528*12,0)</f>
        <v/>
      </c>
      <c r="L3528" s="13">
        <f>IF(C3528=Options!$B$9,B3528*Options!$Z$9,0)</f>
        <v/>
      </c>
      <c r="M3528" s="13" t="n">
        <v>0</v>
      </c>
      <c r="N3528" s="13">
        <f>SUM(E3528:M3528)</f>
        <v/>
      </c>
    </row>
    <row r="3529">
      <c r="A3529" s="5">
        <f>IF(AND(C3529&gt;=Options!$B$9,C3529&lt;=Options!$B$10),"Seattle","")</f>
        <v/>
      </c>
      <c r="B3529" s="5">
        <f>IF(A3529="","",24)</f>
        <v/>
      </c>
      <c r="C3529" s="17" t="n">
        <v>46535</v>
      </c>
      <c r="D3529" s="5">
        <f>IF(A3529="","",IF(C3529=DATE(2026,11,29),"培训；注册午餐；早餐参数",IF(C3529=DATE(2026,11,30),"培训；注册午餐",IF(C3529=DATE(2026,12,1),"培训；注册午餐；机构晚餐",IF(C3529=Options!$B$9,"抵达；"&amp;IF(C3529=DATE(2026,11,28),"机构晚餐","无统一供餐"),IF(C3529=Options!$B$10,"返程；"&amp;IF(C3529=DATE(2026,12,2),"机构午餐","无统一供餐"),"差旅状态；无统一日程"))))))</f>
        <v/>
      </c>
      <c r="E3529" s="13">
        <f>IF(C3529=Options!$B$9,Options!$C$23,0)</f>
        <v/>
      </c>
      <c r="F3529" s="13">
        <f>IF(AND(A3529&lt;&gt;"",C3529&lt;Options!$B$10),B3529*Options!$X$9,0)</f>
        <v/>
      </c>
      <c r="G3529" s="13">
        <f>F3529*12%</f>
        <v/>
      </c>
      <c r="H3529" s="13">
        <f>IF(A3529="",0,B3529*(92*IF(OR(C3529=Options!$B$9,C3529=Options!$B$10),75%,100%)-IF(C3529=DATE(2026,11,29),26+IF(Options!$B$8="是",23,0),0)-IF(C3529=DATE(2026,11,30),26,0)-IF(C3529=DATE(2026,12,1),64,0)-IF(C3529=DATE(2026,11,28),38,0)-IF(C3529=DATE(2026,12,2),26,0)))</f>
        <v/>
      </c>
      <c r="I3529" s="13">
        <f>IF(AND(C3529&gt;=DATE(2026,11,29),C3529&lt;=DATE(2026,12,1)),B3529*60,0)</f>
        <v/>
      </c>
      <c r="J3529" s="13">
        <f>IF(A3529="",0,B3529*(IF(C3529=DATE(2026,11,28),38,0)+IF(C3529=DATE(2026,12,1),38,0)+IF(C3529=DATE(2026,12,2),26,0)))</f>
        <v/>
      </c>
      <c r="K3529" s="13">
        <f>IF(C3529=Options!$B$9,B3529*12,0)</f>
        <v/>
      </c>
      <c r="L3529" s="13">
        <f>IF(C3529=Options!$B$9,B3529*Options!$Z$9,0)</f>
        <v/>
      </c>
      <c r="M3529" s="13" t="n">
        <v>0</v>
      </c>
      <c r="N3529" s="13">
        <f>SUM(E3529:M3529)</f>
        <v/>
      </c>
    </row>
    <row r="3530">
      <c r="A3530" s="5">
        <f>IF(AND(C3530&gt;=Options!$B$9,C3530&lt;=Options!$B$10),"Seattle","")</f>
        <v/>
      </c>
      <c r="B3530" s="5">
        <f>IF(A3530="","",24)</f>
        <v/>
      </c>
      <c r="C3530" s="17" t="n">
        <v>46536</v>
      </c>
      <c r="D3530" s="5">
        <f>IF(A3530="","",IF(C3530=DATE(2026,11,29),"培训；注册午餐；早餐参数",IF(C3530=DATE(2026,11,30),"培训；注册午餐",IF(C3530=DATE(2026,12,1),"培训；注册午餐；机构晚餐",IF(C3530=Options!$B$9,"抵达；"&amp;IF(C3530=DATE(2026,11,28),"机构晚餐","无统一供餐"),IF(C3530=Options!$B$10,"返程；"&amp;IF(C3530=DATE(2026,12,2),"机构午餐","无统一供餐"),"差旅状态；无统一日程"))))))</f>
        <v/>
      </c>
      <c r="E3530" s="13">
        <f>IF(C3530=Options!$B$9,Options!$C$23,0)</f>
        <v/>
      </c>
      <c r="F3530" s="13">
        <f>IF(AND(A3530&lt;&gt;"",C3530&lt;Options!$B$10),B3530*Options!$X$9,0)</f>
        <v/>
      </c>
      <c r="G3530" s="13">
        <f>F3530*12%</f>
        <v/>
      </c>
      <c r="H3530" s="13">
        <f>IF(A3530="",0,B3530*(92*IF(OR(C3530=Options!$B$9,C3530=Options!$B$10),75%,100%)-IF(C3530=DATE(2026,11,29),26+IF(Options!$B$8="是",23,0),0)-IF(C3530=DATE(2026,11,30),26,0)-IF(C3530=DATE(2026,12,1),64,0)-IF(C3530=DATE(2026,11,28),38,0)-IF(C3530=DATE(2026,12,2),26,0)))</f>
        <v/>
      </c>
      <c r="I3530" s="13">
        <f>IF(AND(C3530&gt;=DATE(2026,11,29),C3530&lt;=DATE(2026,12,1)),B3530*60,0)</f>
        <v/>
      </c>
      <c r="J3530" s="13">
        <f>IF(A3530="",0,B3530*(IF(C3530=DATE(2026,11,28),38,0)+IF(C3530=DATE(2026,12,1),38,0)+IF(C3530=DATE(2026,12,2),26,0)))</f>
        <v/>
      </c>
      <c r="K3530" s="13">
        <f>IF(C3530=Options!$B$9,B3530*12,0)</f>
        <v/>
      </c>
      <c r="L3530" s="13">
        <f>IF(C3530=Options!$B$9,B3530*Options!$Z$9,0)</f>
        <v/>
      </c>
      <c r="M3530" s="13" t="n">
        <v>0</v>
      </c>
      <c r="N3530" s="13">
        <f>SUM(E3530:M3530)</f>
        <v/>
      </c>
    </row>
    <row r="3531">
      <c r="A3531" s="5">
        <f>IF(AND(C3531&gt;=Options!$B$9,C3531&lt;=Options!$B$10),"Seattle","")</f>
        <v/>
      </c>
      <c r="B3531" s="5">
        <f>IF(A3531="","",24)</f>
        <v/>
      </c>
      <c r="C3531" s="17" t="n">
        <v>46537</v>
      </c>
      <c r="D3531" s="5">
        <f>IF(A3531="","",IF(C3531=DATE(2026,11,29),"培训；注册午餐；早餐参数",IF(C3531=DATE(2026,11,30),"培训；注册午餐",IF(C3531=DATE(2026,12,1),"培训；注册午餐；机构晚餐",IF(C3531=Options!$B$9,"抵达；"&amp;IF(C3531=DATE(2026,11,28),"机构晚餐","无统一供餐"),IF(C3531=Options!$B$10,"返程；"&amp;IF(C3531=DATE(2026,12,2),"机构午餐","无统一供餐"),"差旅状态；无统一日程"))))))</f>
        <v/>
      </c>
      <c r="E3531" s="13">
        <f>IF(C3531=Options!$B$9,Options!$C$23,0)</f>
        <v/>
      </c>
      <c r="F3531" s="13">
        <f>IF(AND(A3531&lt;&gt;"",C3531&lt;Options!$B$10),B3531*Options!$X$9,0)</f>
        <v/>
      </c>
      <c r="G3531" s="13">
        <f>F3531*12%</f>
        <v/>
      </c>
      <c r="H3531" s="13">
        <f>IF(A3531="",0,B3531*(92*IF(OR(C3531=Options!$B$9,C3531=Options!$B$10),75%,100%)-IF(C3531=DATE(2026,11,29),26+IF(Options!$B$8="是",23,0),0)-IF(C3531=DATE(2026,11,30),26,0)-IF(C3531=DATE(2026,12,1),64,0)-IF(C3531=DATE(2026,11,28),38,0)-IF(C3531=DATE(2026,12,2),26,0)))</f>
        <v/>
      </c>
      <c r="I3531" s="13">
        <f>IF(AND(C3531&gt;=DATE(2026,11,29),C3531&lt;=DATE(2026,12,1)),B3531*60,0)</f>
        <v/>
      </c>
      <c r="J3531" s="13">
        <f>IF(A3531="",0,B3531*(IF(C3531=DATE(2026,11,28),38,0)+IF(C3531=DATE(2026,12,1),38,0)+IF(C3531=DATE(2026,12,2),26,0)))</f>
        <v/>
      </c>
      <c r="K3531" s="13">
        <f>IF(C3531=Options!$B$9,B3531*12,0)</f>
        <v/>
      </c>
      <c r="L3531" s="13">
        <f>IF(C3531=Options!$B$9,B3531*Options!$Z$9,0)</f>
        <v/>
      </c>
      <c r="M3531" s="13" t="n">
        <v>0</v>
      </c>
      <c r="N3531" s="13">
        <f>SUM(E3531:M3531)</f>
        <v/>
      </c>
    </row>
    <row r="3532">
      <c r="A3532" s="5">
        <f>IF(AND(C3532&gt;=Options!$B$9,C3532&lt;=Options!$B$10),"Seattle","")</f>
        <v/>
      </c>
      <c r="B3532" s="5">
        <f>IF(A3532="","",24)</f>
        <v/>
      </c>
      <c r="C3532" s="17" t="n">
        <v>46538</v>
      </c>
      <c r="D3532" s="5">
        <f>IF(A3532="","",IF(C3532=DATE(2026,11,29),"培训；注册午餐；早餐参数",IF(C3532=DATE(2026,11,30),"培训；注册午餐",IF(C3532=DATE(2026,12,1),"培训；注册午餐；机构晚餐",IF(C3532=Options!$B$9,"抵达；"&amp;IF(C3532=DATE(2026,11,28),"机构晚餐","无统一供餐"),IF(C3532=Options!$B$10,"返程；"&amp;IF(C3532=DATE(2026,12,2),"机构午餐","无统一供餐"),"差旅状态；无统一日程"))))))</f>
        <v/>
      </c>
      <c r="E3532" s="13">
        <f>IF(C3532=Options!$B$9,Options!$C$23,0)</f>
        <v/>
      </c>
      <c r="F3532" s="13">
        <f>IF(AND(A3532&lt;&gt;"",C3532&lt;Options!$B$10),B3532*Options!$X$9,0)</f>
        <v/>
      </c>
      <c r="G3532" s="13">
        <f>F3532*12%</f>
        <v/>
      </c>
      <c r="H3532" s="13">
        <f>IF(A3532="",0,B3532*(92*IF(OR(C3532=Options!$B$9,C3532=Options!$B$10),75%,100%)-IF(C3532=DATE(2026,11,29),26+IF(Options!$B$8="是",23,0),0)-IF(C3532=DATE(2026,11,30),26,0)-IF(C3532=DATE(2026,12,1),64,0)-IF(C3532=DATE(2026,11,28),38,0)-IF(C3532=DATE(2026,12,2),26,0)))</f>
        <v/>
      </c>
      <c r="I3532" s="13">
        <f>IF(AND(C3532&gt;=DATE(2026,11,29),C3532&lt;=DATE(2026,12,1)),B3532*60,0)</f>
        <v/>
      </c>
      <c r="J3532" s="13">
        <f>IF(A3532="",0,B3532*(IF(C3532=DATE(2026,11,28),38,0)+IF(C3532=DATE(2026,12,1),38,0)+IF(C3532=DATE(2026,12,2),26,0)))</f>
        <v/>
      </c>
      <c r="K3532" s="13">
        <f>IF(C3532=Options!$B$9,B3532*12,0)</f>
        <v/>
      </c>
      <c r="L3532" s="13">
        <f>IF(C3532=Options!$B$9,B3532*Options!$Z$9,0)</f>
        <v/>
      </c>
      <c r="M3532" s="13" t="n">
        <v>0</v>
      </c>
      <c r="N3532" s="13">
        <f>SUM(E3532:M3532)</f>
        <v/>
      </c>
    </row>
    <row r="3533">
      <c r="A3533" s="5">
        <f>IF(AND(C3533&gt;=Options!$B$9,C3533&lt;=Options!$B$10),"Seattle","")</f>
        <v/>
      </c>
      <c r="B3533" s="5">
        <f>IF(A3533="","",24)</f>
        <v/>
      </c>
      <c r="C3533" s="17" t="n">
        <v>46539</v>
      </c>
      <c r="D3533" s="5">
        <f>IF(A3533="","",IF(C3533=DATE(2026,11,29),"培训；注册午餐；早餐参数",IF(C3533=DATE(2026,11,30),"培训；注册午餐",IF(C3533=DATE(2026,12,1),"培训；注册午餐；机构晚餐",IF(C3533=Options!$B$9,"抵达；"&amp;IF(C3533=DATE(2026,11,28),"机构晚餐","无统一供餐"),IF(C3533=Options!$B$10,"返程；"&amp;IF(C3533=DATE(2026,12,2),"机构午餐","无统一供餐"),"差旅状态；无统一日程"))))))</f>
        <v/>
      </c>
      <c r="E3533" s="13">
        <f>IF(C3533=Options!$B$9,Options!$C$23,0)</f>
        <v/>
      </c>
      <c r="F3533" s="13">
        <f>IF(AND(A3533&lt;&gt;"",C3533&lt;Options!$B$10),B3533*Options!$X$9,0)</f>
        <v/>
      </c>
      <c r="G3533" s="13">
        <f>F3533*12%</f>
        <v/>
      </c>
      <c r="H3533" s="13">
        <f>IF(A3533="",0,B3533*(92*IF(OR(C3533=Options!$B$9,C3533=Options!$B$10),75%,100%)-IF(C3533=DATE(2026,11,29),26+IF(Options!$B$8="是",23,0),0)-IF(C3533=DATE(2026,11,30),26,0)-IF(C3533=DATE(2026,12,1),64,0)-IF(C3533=DATE(2026,11,28),38,0)-IF(C3533=DATE(2026,12,2),26,0)))</f>
        <v/>
      </c>
      <c r="I3533" s="13">
        <f>IF(AND(C3533&gt;=DATE(2026,11,29),C3533&lt;=DATE(2026,12,1)),B3533*60,0)</f>
        <v/>
      </c>
      <c r="J3533" s="13">
        <f>IF(A3533="",0,B3533*(IF(C3533=DATE(2026,11,28),38,0)+IF(C3533=DATE(2026,12,1),38,0)+IF(C3533=DATE(2026,12,2),26,0)))</f>
        <v/>
      </c>
      <c r="K3533" s="13">
        <f>IF(C3533=Options!$B$9,B3533*12,0)</f>
        <v/>
      </c>
      <c r="L3533" s="13">
        <f>IF(C3533=Options!$B$9,B3533*Options!$Z$9,0)</f>
        <v/>
      </c>
      <c r="M3533" s="13" t="n">
        <v>0</v>
      </c>
      <c r="N3533" s="13">
        <f>SUM(E3533:M3533)</f>
        <v/>
      </c>
    </row>
    <row r="3534">
      <c r="A3534" s="5">
        <f>IF(AND(C3534&gt;=Options!$B$9,C3534&lt;=Options!$B$10),"Seattle","")</f>
        <v/>
      </c>
      <c r="B3534" s="5">
        <f>IF(A3534="","",24)</f>
        <v/>
      </c>
      <c r="C3534" s="17" t="n">
        <v>46540</v>
      </c>
      <c r="D3534" s="5">
        <f>IF(A3534="","",IF(C3534=DATE(2026,11,29),"培训；注册午餐；早餐参数",IF(C3534=DATE(2026,11,30),"培训；注册午餐",IF(C3534=DATE(2026,12,1),"培训；注册午餐；机构晚餐",IF(C3534=Options!$B$9,"抵达；"&amp;IF(C3534=DATE(2026,11,28),"机构晚餐","无统一供餐"),IF(C3534=Options!$B$10,"返程；"&amp;IF(C3534=DATE(2026,12,2),"机构午餐","无统一供餐"),"差旅状态；无统一日程"))))))</f>
        <v/>
      </c>
      <c r="E3534" s="13">
        <f>IF(C3534=Options!$B$9,Options!$C$23,0)</f>
        <v/>
      </c>
      <c r="F3534" s="13">
        <f>IF(AND(A3534&lt;&gt;"",C3534&lt;Options!$B$10),B3534*Options!$X$9,0)</f>
        <v/>
      </c>
      <c r="G3534" s="13">
        <f>F3534*12%</f>
        <v/>
      </c>
      <c r="H3534" s="13">
        <f>IF(A3534="",0,B3534*(92*IF(OR(C3534=Options!$B$9,C3534=Options!$B$10),75%,100%)-IF(C3534=DATE(2026,11,29),26+IF(Options!$B$8="是",23,0),0)-IF(C3534=DATE(2026,11,30),26,0)-IF(C3534=DATE(2026,12,1),64,0)-IF(C3534=DATE(2026,11,28),38,0)-IF(C3534=DATE(2026,12,2),26,0)))</f>
        <v/>
      </c>
      <c r="I3534" s="13">
        <f>IF(AND(C3534&gt;=DATE(2026,11,29),C3534&lt;=DATE(2026,12,1)),B3534*60,0)</f>
        <v/>
      </c>
      <c r="J3534" s="13">
        <f>IF(A3534="",0,B3534*(IF(C3534=DATE(2026,11,28),38,0)+IF(C3534=DATE(2026,12,1),38,0)+IF(C3534=DATE(2026,12,2),26,0)))</f>
        <v/>
      </c>
      <c r="K3534" s="13">
        <f>IF(C3534=Options!$B$9,B3534*12,0)</f>
        <v/>
      </c>
      <c r="L3534" s="13">
        <f>IF(C3534=Options!$B$9,B3534*Options!$Z$9,0)</f>
        <v/>
      </c>
      <c r="M3534" s="13" t="n">
        <v>0</v>
      </c>
      <c r="N3534" s="13">
        <f>SUM(E3534:M3534)</f>
        <v/>
      </c>
    </row>
    <row r="3535">
      <c r="A3535" s="5">
        <f>IF(AND(C3535&gt;=Options!$B$9,C3535&lt;=Options!$B$10),"Seattle","")</f>
        <v/>
      </c>
      <c r="B3535" s="5">
        <f>IF(A3535="","",24)</f>
        <v/>
      </c>
      <c r="C3535" s="17" t="n">
        <v>46541</v>
      </c>
      <c r="D3535" s="5">
        <f>IF(A3535="","",IF(C3535=DATE(2026,11,29),"培训；注册午餐；早餐参数",IF(C3535=DATE(2026,11,30),"培训；注册午餐",IF(C3535=DATE(2026,12,1),"培训；注册午餐；机构晚餐",IF(C3535=Options!$B$9,"抵达；"&amp;IF(C3535=DATE(2026,11,28),"机构晚餐","无统一供餐"),IF(C3535=Options!$B$10,"返程；"&amp;IF(C3535=DATE(2026,12,2),"机构午餐","无统一供餐"),"差旅状态；无统一日程"))))))</f>
        <v/>
      </c>
      <c r="E3535" s="13">
        <f>IF(C3535=Options!$B$9,Options!$C$23,0)</f>
        <v/>
      </c>
      <c r="F3535" s="13">
        <f>IF(AND(A3535&lt;&gt;"",C3535&lt;Options!$B$10),B3535*Options!$X$9,0)</f>
        <v/>
      </c>
      <c r="G3535" s="13">
        <f>F3535*12%</f>
        <v/>
      </c>
      <c r="H3535" s="13">
        <f>IF(A3535="",0,B3535*(92*IF(OR(C3535=Options!$B$9,C3535=Options!$B$10),75%,100%)-IF(C3535=DATE(2026,11,29),26+IF(Options!$B$8="是",23,0),0)-IF(C3535=DATE(2026,11,30),26,0)-IF(C3535=DATE(2026,12,1),64,0)-IF(C3535=DATE(2026,11,28),38,0)-IF(C3535=DATE(2026,12,2),26,0)))</f>
        <v/>
      </c>
      <c r="I3535" s="13">
        <f>IF(AND(C3535&gt;=DATE(2026,11,29),C3535&lt;=DATE(2026,12,1)),B3535*60,0)</f>
        <v/>
      </c>
      <c r="J3535" s="13">
        <f>IF(A3535="",0,B3535*(IF(C3535=DATE(2026,11,28),38,0)+IF(C3535=DATE(2026,12,1),38,0)+IF(C3535=DATE(2026,12,2),26,0)))</f>
        <v/>
      </c>
      <c r="K3535" s="13">
        <f>IF(C3535=Options!$B$9,B3535*12,0)</f>
        <v/>
      </c>
      <c r="L3535" s="13">
        <f>IF(C3535=Options!$B$9,B3535*Options!$Z$9,0)</f>
        <v/>
      </c>
      <c r="M3535" s="13" t="n">
        <v>0</v>
      </c>
      <c r="N3535" s="13">
        <f>SUM(E3535:M3535)</f>
        <v/>
      </c>
    </row>
    <row r="3536">
      <c r="A3536" s="5">
        <f>IF(AND(C3536&gt;=Options!$B$9,C3536&lt;=Options!$B$10),"Seattle","")</f>
        <v/>
      </c>
      <c r="B3536" s="5">
        <f>IF(A3536="","",24)</f>
        <v/>
      </c>
      <c r="C3536" s="17" t="n">
        <v>46542</v>
      </c>
      <c r="D3536" s="5">
        <f>IF(A3536="","",IF(C3536=DATE(2026,11,29),"培训；注册午餐；早餐参数",IF(C3536=DATE(2026,11,30),"培训；注册午餐",IF(C3536=DATE(2026,12,1),"培训；注册午餐；机构晚餐",IF(C3536=Options!$B$9,"抵达；"&amp;IF(C3536=DATE(2026,11,28),"机构晚餐","无统一供餐"),IF(C3536=Options!$B$10,"返程；"&amp;IF(C3536=DATE(2026,12,2),"机构午餐","无统一供餐"),"差旅状态；无统一日程"))))))</f>
        <v/>
      </c>
      <c r="E3536" s="13">
        <f>IF(C3536=Options!$B$9,Options!$C$23,0)</f>
        <v/>
      </c>
      <c r="F3536" s="13">
        <f>IF(AND(A3536&lt;&gt;"",C3536&lt;Options!$B$10),B3536*Options!$X$9,0)</f>
        <v/>
      </c>
      <c r="G3536" s="13">
        <f>F3536*12%</f>
        <v/>
      </c>
      <c r="H3536" s="13">
        <f>IF(A3536="",0,B3536*(92*IF(OR(C3536=Options!$B$9,C3536=Options!$B$10),75%,100%)-IF(C3536=DATE(2026,11,29),26+IF(Options!$B$8="是",23,0),0)-IF(C3536=DATE(2026,11,30),26,0)-IF(C3536=DATE(2026,12,1),64,0)-IF(C3536=DATE(2026,11,28),38,0)-IF(C3536=DATE(2026,12,2),26,0)))</f>
        <v/>
      </c>
      <c r="I3536" s="13">
        <f>IF(AND(C3536&gt;=DATE(2026,11,29),C3536&lt;=DATE(2026,12,1)),B3536*60,0)</f>
        <v/>
      </c>
      <c r="J3536" s="13">
        <f>IF(A3536="",0,B3536*(IF(C3536=DATE(2026,11,28),38,0)+IF(C3536=DATE(2026,12,1),38,0)+IF(C3536=DATE(2026,12,2),26,0)))</f>
        <v/>
      </c>
      <c r="K3536" s="13">
        <f>IF(C3536=Options!$B$9,B3536*12,0)</f>
        <v/>
      </c>
      <c r="L3536" s="13">
        <f>IF(C3536=Options!$B$9,B3536*Options!$Z$9,0)</f>
        <v/>
      </c>
      <c r="M3536" s="13" t="n">
        <v>0</v>
      </c>
      <c r="N3536" s="13">
        <f>SUM(E3536:M3536)</f>
        <v/>
      </c>
    </row>
    <row r="3537">
      <c r="A3537" s="5">
        <f>IF(AND(C3537&gt;=Options!$B$9,C3537&lt;=Options!$B$10),"Seattle","")</f>
        <v/>
      </c>
      <c r="B3537" s="5">
        <f>IF(A3537="","",24)</f>
        <v/>
      </c>
      <c r="C3537" s="17" t="n">
        <v>46543</v>
      </c>
      <c r="D3537" s="5">
        <f>IF(A3537="","",IF(C3537=DATE(2026,11,29),"培训；注册午餐；早餐参数",IF(C3537=DATE(2026,11,30),"培训；注册午餐",IF(C3537=DATE(2026,12,1),"培训；注册午餐；机构晚餐",IF(C3537=Options!$B$9,"抵达；"&amp;IF(C3537=DATE(2026,11,28),"机构晚餐","无统一供餐"),IF(C3537=Options!$B$10,"返程；"&amp;IF(C3537=DATE(2026,12,2),"机构午餐","无统一供餐"),"差旅状态；无统一日程"))))))</f>
        <v/>
      </c>
      <c r="E3537" s="13">
        <f>IF(C3537=Options!$B$9,Options!$C$23,0)</f>
        <v/>
      </c>
      <c r="F3537" s="13">
        <f>IF(AND(A3537&lt;&gt;"",C3537&lt;Options!$B$10),B3537*Options!$X$9,0)</f>
        <v/>
      </c>
      <c r="G3537" s="13">
        <f>F3537*12%</f>
        <v/>
      </c>
      <c r="H3537" s="13">
        <f>IF(A3537="",0,B3537*(92*IF(OR(C3537=Options!$B$9,C3537=Options!$B$10),75%,100%)-IF(C3537=DATE(2026,11,29),26+IF(Options!$B$8="是",23,0),0)-IF(C3537=DATE(2026,11,30),26,0)-IF(C3537=DATE(2026,12,1),64,0)-IF(C3537=DATE(2026,11,28),38,0)-IF(C3537=DATE(2026,12,2),26,0)))</f>
        <v/>
      </c>
      <c r="I3537" s="13">
        <f>IF(AND(C3537&gt;=DATE(2026,11,29),C3537&lt;=DATE(2026,12,1)),B3537*60,0)</f>
        <v/>
      </c>
      <c r="J3537" s="13">
        <f>IF(A3537="",0,B3537*(IF(C3537=DATE(2026,11,28),38,0)+IF(C3537=DATE(2026,12,1),38,0)+IF(C3537=DATE(2026,12,2),26,0)))</f>
        <v/>
      </c>
      <c r="K3537" s="13">
        <f>IF(C3537=Options!$B$9,B3537*12,0)</f>
        <v/>
      </c>
      <c r="L3537" s="13">
        <f>IF(C3537=Options!$B$9,B3537*Options!$Z$9,0)</f>
        <v/>
      </c>
      <c r="M3537" s="13" t="n">
        <v>0</v>
      </c>
      <c r="N3537" s="13">
        <f>SUM(E3537:M3537)</f>
        <v/>
      </c>
    </row>
    <row r="3538">
      <c r="A3538" s="5">
        <f>IF(AND(C3538&gt;=Options!$B$9,C3538&lt;=Options!$B$10),"Seattle","")</f>
        <v/>
      </c>
      <c r="B3538" s="5">
        <f>IF(A3538="","",24)</f>
        <v/>
      </c>
      <c r="C3538" s="17" t="n">
        <v>46544</v>
      </c>
      <c r="D3538" s="5">
        <f>IF(A3538="","",IF(C3538=DATE(2026,11,29),"培训；注册午餐；早餐参数",IF(C3538=DATE(2026,11,30),"培训；注册午餐",IF(C3538=DATE(2026,12,1),"培训；注册午餐；机构晚餐",IF(C3538=Options!$B$9,"抵达；"&amp;IF(C3538=DATE(2026,11,28),"机构晚餐","无统一供餐"),IF(C3538=Options!$B$10,"返程；"&amp;IF(C3538=DATE(2026,12,2),"机构午餐","无统一供餐"),"差旅状态；无统一日程"))))))</f>
        <v/>
      </c>
      <c r="E3538" s="13">
        <f>IF(C3538=Options!$B$9,Options!$C$23,0)</f>
        <v/>
      </c>
      <c r="F3538" s="13">
        <f>IF(AND(A3538&lt;&gt;"",C3538&lt;Options!$B$10),B3538*Options!$X$9,0)</f>
        <v/>
      </c>
      <c r="G3538" s="13">
        <f>F3538*12%</f>
        <v/>
      </c>
      <c r="H3538" s="13">
        <f>IF(A3538="",0,B3538*(92*IF(OR(C3538=Options!$B$9,C3538=Options!$B$10),75%,100%)-IF(C3538=DATE(2026,11,29),26+IF(Options!$B$8="是",23,0),0)-IF(C3538=DATE(2026,11,30),26,0)-IF(C3538=DATE(2026,12,1),64,0)-IF(C3538=DATE(2026,11,28),38,0)-IF(C3538=DATE(2026,12,2),26,0)))</f>
        <v/>
      </c>
      <c r="I3538" s="13">
        <f>IF(AND(C3538&gt;=DATE(2026,11,29),C3538&lt;=DATE(2026,12,1)),B3538*60,0)</f>
        <v/>
      </c>
      <c r="J3538" s="13">
        <f>IF(A3538="",0,B3538*(IF(C3538=DATE(2026,11,28),38,0)+IF(C3538=DATE(2026,12,1),38,0)+IF(C3538=DATE(2026,12,2),26,0)))</f>
        <v/>
      </c>
      <c r="K3538" s="13">
        <f>IF(C3538=Options!$B$9,B3538*12,0)</f>
        <v/>
      </c>
      <c r="L3538" s="13">
        <f>IF(C3538=Options!$B$9,B3538*Options!$Z$9,0)</f>
        <v/>
      </c>
      <c r="M3538" s="13" t="n">
        <v>0</v>
      </c>
      <c r="N3538" s="13">
        <f>SUM(E3538:M3538)</f>
        <v/>
      </c>
    </row>
    <row r="3539">
      <c r="A3539" s="5">
        <f>IF(AND(C3539&gt;=Options!$B$9,C3539&lt;=Options!$B$10),"Seattle","")</f>
        <v/>
      </c>
      <c r="B3539" s="5">
        <f>IF(A3539="","",24)</f>
        <v/>
      </c>
      <c r="C3539" s="17" t="n">
        <v>46545</v>
      </c>
      <c r="D3539" s="5">
        <f>IF(A3539="","",IF(C3539=DATE(2026,11,29),"培训；注册午餐；早餐参数",IF(C3539=DATE(2026,11,30),"培训；注册午餐",IF(C3539=DATE(2026,12,1),"培训；注册午餐；机构晚餐",IF(C3539=Options!$B$9,"抵达；"&amp;IF(C3539=DATE(2026,11,28),"机构晚餐","无统一供餐"),IF(C3539=Options!$B$10,"返程；"&amp;IF(C3539=DATE(2026,12,2),"机构午餐","无统一供餐"),"差旅状态；无统一日程"))))))</f>
        <v/>
      </c>
      <c r="E3539" s="13">
        <f>IF(C3539=Options!$B$9,Options!$C$23,0)</f>
        <v/>
      </c>
      <c r="F3539" s="13">
        <f>IF(AND(A3539&lt;&gt;"",C3539&lt;Options!$B$10),B3539*Options!$X$9,0)</f>
        <v/>
      </c>
      <c r="G3539" s="13">
        <f>F3539*12%</f>
        <v/>
      </c>
      <c r="H3539" s="13">
        <f>IF(A3539="",0,B3539*(92*IF(OR(C3539=Options!$B$9,C3539=Options!$B$10),75%,100%)-IF(C3539=DATE(2026,11,29),26+IF(Options!$B$8="是",23,0),0)-IF(C3539=DATE(2026,11,30),26,0)-IF(C3539=DATE(2026,12,1),64,0)-IF(C3539=DATE(2026,11,28),38,0)-IF(C3539=DATE(2026,12,2),26,0)))</f>
        <v/>
      </c>
      <c r="I3539" s="13">
        <f>IF(AND(C3539&gt;=DATE(2026,11,29),C3539&lt;=DATE(2026,12,1)),B3539*60,0)</f>
        <v/>
      </c>
      <c r="J3539" s="13">
        <f>IF(A3539="",0,B3539*(IF(C3539=DATE(2026,11,28),38,0)+IF(C3539=DATE(2026,12,1),38,0)+IF(C3539=DATE(2026,12,2),26,0)))</f>
        <v/>
      </c>
      <c r="K3539" s="13">
        <f>IF(C3539=Options!$B$9,B3539*12,0)</f>
        <v/>
      </c>
      <c r="L3539" s="13">
        <f>IF(C3539=Options!$B$9,B3539*Options!$Z$9,0)</f>
        <v/>
      </c>
      <c r="M3539" s="13" t="n">
        <v>0</v>
      </c>
      <c r="N3539" s="13">
        <f>SUM(E3539:M3539)</f>
        <v/>
      </c>
    </row>
    <row r="3540">
      <c r="A3540" s="5">
        <f>IF(AND(C3540&gt;=Options!$B$9,C3540&lt;=Options!$B$10),"Seattle","")</f>
        <v/>
      </c>
      <c r="B3540" s="5">
        <f>IF(A3540="","",24)</f>
        <v/>
      </c>
      <c r="C3540" s="17" t="n">
        <v>46546</v>
      </c>
      <c r="D3540" s="5">
        <f>IF(A3540="","",IF(C3540=DATE(2026,11,29),"培训；注册午餐；早餐参数",IF(C3540=DATE(2026,11,30),"培训；注册午餐",IF(C3540=DATE(2026,12,1),"培训；注册午餐；机构晚餐",IF(C3540=Options!$B$9,"抵达；"&amp;IF(C3540=DATE(2026,11,28),"机构晚餐","无统一供餐"),IF(C3540=Options!$B$10,"返程；"&amp;IF(C3540=DATE(2026,12,2),"机构午餐","无统一供餐"),"差旅状态；无统一日程"))))))</f>
        <v/>
      </c>
      <c r="E3540" s="13">
        <f>IF(C3540=Options!$B$9,Options!$C$23,0)</f>
        <v/>
      </c>
      <c r="F3540" s="13">
        <f>IF(AND(A3540&lt;&gt;"",C3540&lt;Options!$B$10),B3540*Options!$X$9,0)</f>
        <v/>
      </c>
      <c r="G3540" s="13">
        <f>F3540*12%</f>
        <v/>
      </c>
      <c r="H3540" s="13">
        <f>IF(A3540="",0,B3540*(92*IF(OR(C3540=Options!$B$9,C3540=Options!$B$10),75%,100%)-IF(C3540=DATE(2026,11,29),26+IF(Options!$B$8="是",23,0),0)-IF(C3540=DATE(2026,11,30),26,0)-IF(C3540=DATE(2026,12,1),64,0)-IF(C3540=DATE(2026,11,28),38,0)-IF(C3540=DATE(2026,12,2),26,0)))</f>
        <v/>
      </c>
      <c r="I3540" s="13">
        <f>IF(AND(C3540&gt;=DATE(2026,11,29),C3540&lt;=DATE(2026,12,1)),B3540*60,0)</f>
        <v/>
      </c>
      <c r="J3540" s="13">
        <f>IF(A3540="",0,B3540*(IF(C3540=DATE(2026,11,28),38,0)+IF(C3540=DATE(2026,12,1),38,0)+IF(C3540=DATE(2026,12,2),26,0)))</f>
        <v/>
      </c>
      <c r="K3540" s="13">
        <f>IF(C3540=Options!$B$9,B3540*12,0)</f>
        <v/>
      </c>
      <c r="L3540" s="13">
        <f>IF(C3540=Options!$B$9,B3540*Options!$Z$9,0)</f>
        <v/>
      </c>
      <c r="M3540" s="13" t="n">
        <v>0</v>
      </c>
      <c r="N3540" s="13">
        <f>SUM(E3540:M3540)</f>
        <v/>
      </c>
    </row>
    <row r="3541">
      <c r="A3541" s="5">
        <f>IF(AND(C3541&gt;=Options!$B$9,C3541&lt;=Options!$B$10),"Seattle","")</f>
        <v/>
      </c>
      <c r="B3541" s="5">
        <f>IF(A3541="","",24)</f>
        <v/>
      </c>
      <c r="C3541" s="17" t="n">
        <v>46547</v>
      </c>
      <c r="D3541" s="5">
        <f>IF(A3541="","",IF(C3541=DATE(2026,11,29),"培训；注册午餐；早餐参数",IF(C3541=DATE(2026,11,30),"培训；注册午餐",IF(C3541=DATE(2026,12,1),"培训；注册午餐；机构晚餐",IF(C3541=Options!$B$9,"抵达；"&amp;IF(C3541=DATE(2026,11,28),"机构晚餐","无统一供餐"),IF(C3541=Options!$B$10,"返程；"&amp;IF(C3541=DATE(2026,12,2),"机构午餐","无统一供餐"),"差旅状态；无统一日程"))))))</f>
        <v/>
      </c>
      <c r="E3541" s="13">
        <f>IF(C3541=Options!$B$9,Options!$C$23,0)</f>
        <v/>
      </c>
      <c r="F3541" s="13">
        <f>IF(AND(A3541&lt;&gt;"",C3541&lt;Options!$B$10),B3541*Options!$X$9,0)</f>
        <v/>
      </c>
      <c r="G3541" s="13">
        <f>F3541*12%</f>
        <v/>
      </c>
      <c r="H3541" s="13">
        <f>IF(A3541="",0,B3541*(92*IF(OR(C3541=Options!$B$9,C3541=Options!$B$10),75%,100%)-IF(C3541=DATE(2026,11,29),26+IF(Options!$B$8="是",23,0),0)-IF(C3541=DATE(2026,11,30),26,0)-IF(C3541=DATE(2026,12,1),64,0)-IF(C3541=DATE(2026,11,28),38,0)-IF(C3541=DATE(2026,12,2),26,0)))</f>
        <v/>
      </c>
      <c r="I3541" s="13">
        <f>IF(AND(C3541&gt;=DATE(2026,11,29),C3541&lt;=DATE(2026,12,1)),B3541*60,0)</f>
        <v/>
      </c>
      <c r="J3541" s="13">
        <f>IF(A3541="",0,B3541*(IF(C3541=DATE(2026,11,28),38,0)+IF(C3541=DATE(2026,12,1),38,0)+IF(C3541=DATE(2026,12,2),26,0)))</f>
        <v/>
      </c>
      <c r="K3541" s="13">
        <f>IF(C3541=Options!$B$9,B3541*12,0)</f>
        <v/>
      </c>
      <c r="L3541" s="13">
        <f>IF(C3541=Options!$B$9,B3541*Options!$Z$9,0)</f>
        <v/>
      </c>
      <c r="M3541" s="13" t="n">
        <v>0</v>
      </c>
      <c r="N3541" s="13">
        <f>SUM(E3541:M3541)</f>
        <v/>
      </c>
    </row>
    <row r="3542">
      <c r="A3542" s="5">
        <f>IF(AND(C3542&gt;=Options!$B$9,C3542&lt;=Options!$B$10),"Seattle","")</f>
        <v/>
      </c>
      <c r="B3542" s="5">
        <f>IF(A3542="","",24)</f>
        <v/>
      </c>
      <c r="C3542" s="17" t="n">
        <v>46548</v>
      </c>
      <c r="D3542" s="5">
        <f>IF(A3542="","",IF(C3542=DATE(2026,11,29),"培训；注册午餐；早餐参数",IF(C3542=DATE(2026,11,30),"培训；注册午餐",IF(C3542=DATE(2026,12,1),"培训；注册午餐；机构晚餐",IF(C3542=Options!$B$9,"抵达；"&amp;IF(C3542=DATE(2026,11,28),"机构晚餐","无统一供餐"),IF(C3542=Options!$B$10,"返程；"&amp;IF(C3542=DATE(2026,12,2),"机构午餐","无统一供餐"),"差旅状态；无统一日程"))))))</f>
        <v/>
      </c>
      <c r="E3542" s="13">
        <f>IF(C3542=Options!$B$9,Options!$C$23,0)</f>
        <v/>
      </c>
      <c r="F3542" s="13">
        <f>IF(AND(A3542&lt;&gt;"",C3542&lt;Options!$B$10),B3542*Options!$X$9,0)</f>
        <v/>
      </c>
      <c r="G3542" s="13">
        <f>F3542*12%</f>
        <v/>
      </c>
      <c r="H3542" s="13">
        <f>IF(A3542="",0,B3542*(92*IF(OR(C3542=Options!$B$9,C3542=Options!$B$10),75%,100%)-IF(C3542=DATE(2026,11,29),26+IF(Options!$B$8="是",23,0),0)-IF(C3542=DATE(2026,11,30),26,0)-IF(C3542=DATE(2026,12,1),64,0)-IF(C3542=DATE(2026,11,28),38,0)-IF(C3542=DATE(2026,12,2),26,0)))</f>
        <v/>
      </c>
      <c r="I3542" s="13">
        <f>IF(AND(C3542&gt;=DATE(2026,11,29),C3542&lt;=DATE(2026,12,1)),B3542*60,0)</f>
        <v/>
      </c>
      <c r="J3542" s="13">
        <f>IF(A3542="",0,B3542*(IF(C3542=DATE(2026,11,28),38,0)+IF(C3542=DATE(2026,12,1),38,0)+IF(C3542=DATE(2026,12,2),26,0)))</f>
        <v/>
      </c>
      <c r="K3542" s="13">
        <f>IF(C3542=Options!$B$9,B3542*12,0)</f>
        <v/>
      </c>
      <c r="L3542" s="13">
        <f>IF(C3542=Options!$B$9,B3542*Options!$Z$9,0)</f>
        <v/>
      </c>
      <c r="M3542" s="13" t="n">
        <v>0</v>
      </c>
      <c r="N3542" s="13">
        <f>SUM(E3542:M3542)</f>
        <v/>
      </c>
    </row>
    <row r="3543">
      <c r="A3543" s="5">
        <f>IF(AND(C3543&gt;=Options!$B$9,C3543&lt;=Options!$B$10),"Seattle","")</f>
        <v/>
      </c>
      <c r="B3543" s="5">
        <f>IF(A3543="","",24)</f>
        <v/>
      </c>
      <c r="C3543" s="17" t="n">
        <v>46549</v>
      </c>
      <c r="D3543" s="5">
        <f>IF(A3543="","",IF(C3543=DATE(2026,11,29),"培训；注册午餐；早餐参数",IF(C3543=DATE(2026,11,30),"培训；注册午餐",IF(C3543=DATE(2026,12,1),"培训；注册午餐；机构晚餐",IF(C3543=Options!$B$9,"抵达；"&amp;IF(C3543=DATE(2026,11,28),"机构晚餐","无统一供餐"),IF(C3543=Options!$B$10,"返程；"&amp;IF(C3543=DATE(2026,12,2),"机构午餐","无统一供餐"),"差旅状态；无统一日程"))))))</f>
        <v/>
      </c>
      <c r="E3543" s="13">
        <f>IF(C3543=Options!$B$9,Options!$C$23,0)</f>
        <v/>
      </c>
      <c r="F3543" s="13">
        <f>IF(AND(A3543&lt;&gt;"",C3543&lt;Options!$B$10),B3543*Options!$X$9,0)</f>
        <v/>
      </c>
      <c r="G3543" s="13">
        <f>F3543*12%</f>
        <v/>
      </c>
      <c r="H3543" s="13">
        <f>IF(A3543="",0,B3543*(92*IF(OR(C3543=Options!$B$9,C3543=Options!$B$10),75%,100%)-IF(C3543=DATE(2026,11,29),26+IF(Options!$B$8="是",23,0),0)-IF(C3543=DATE(2026,11,30),26,0)-IF(C3543=DATE(2026,12,1),64,0)-IF(C3543=DATE(2026,11,28),38,0)-IF(C3543=DATE(2026,12,2),26,0)))</f>
        <v/>
      </c>
      <c r="I3543" s="13">
        <f>IF(AND(C3543&gt;=DATE(2026,11,29),C3543&lt;=DATE(2026,12,1)),B3543*60,0)</f>
        <v/>
      </c>
      <c r="J3543" s="13">
        <f>IF(A3543="",0,B3543*(IF(C3543=DATE(2026,11,28),38,0)+IF(C3543=DATE(2026,12,1),38,0)+IF(C3543=DATE(2026,12,2),26,0)))</f>
        <v/>
      </c>
      <c r="K3543" s="13">
        <f>IF(C3543=Options!$B$9,B3543*12,0)</f>
        <v/>
      </c>
      <c r="L3543" s="13">
        <f>IF(C3543=Options!$B$9,B3543*Options!$Z$9,0)</f>
        <v/>
      </c>
      <c r="M3543" s="13" t="n">
        <v>0</v>
      </c>
      <c r="N3543" s="13">
        <f>SUM(E3543:M3543)</f>
        <v/>
      </c>
    </row>
    <row r="3544">
      <c r="A3544" s="5">
        <f>IF(AND(C3544&gt;=Options!$B$9,C3544&lt;=Options!$B$10),"Seattle","")</f>
        <v/>
      </c>
      <c r="B3544" s="5">
        <f>IF(A3544="","",24)</f>
        <v/>
      </c>
      <c r="C3544" s="17" t="n">
        <v>46550</v>
      </c>
      <c r="D3544" s="5">
        <f>IF(A3544="","",IF(C3544=DATE(2026,11,29),"培训；注册午餐；早餐参数",IF(C3544=DATE(2026,11,30),"培训；注册午餐",IF(C3544=DATE(2026,12,1),"培训；注册午餐；机构晚餐",IF(C3544=Options!$B$9,"抵达；"&amp;IF(C3544=DATE(2026,11,28),"机构晚餐","无统一供餐"),IF(C3544=Options!$B$10,"返程；"&amp;IF(C3544=DATE(2026,12,2),"机构午餐","无统一供餐"),"差旅状态；无统一日程"))))))</f>
        <v/>
      </c>
      <c r="E3544" s="13">
        <f>IF(C3544=Options!$B$9,Options!$C$23,0)</f>
        <v/>
      </c>
      <c r="F3544" s="13">
        <f>IF(AND(A3544&lt;&gt;"",C3544&lt;Options!$B$10),B3544*Options!$X$9,0)</f>
        <v/>
      </c>
      <c r="G3544" s="13">
        <f>F3544*12%</f>
        <v/>
      </c>
      <c r="H3544" s="13">
        <f>IF(A3544="",0,B3544*(92*IF(OR(C3544=Options!$B$9,C3544=Options!$B$10),75%,100%)-IF(C3544=DATE(2026,11,29),26+IF(Options!$B$8="是",23,0),0)-IF(C3544=DATE(2026,11,30),26,0)-IF(C3544=DATE(2026,12,1),64,0)-IF(C3544=DATE(2026,11,28),38,0)-IF(C3544=DATE(2026,12,2),26,0)))</f>
        <v/>
      </c>
      <c r="I3544" s="13">
        <f>IF(AND(C3544&gt;=DATE(2026,11,29),C3544&lt;=DATE(2026,12,1)),B3544*60,0)</f>
        <v/>
      </c>
      <c r="J3544" s="13">
        <f>IF(A3544="",0,B3544*(IF(C3544=DATE(2026,11,28),38,0)+IF(C3544=DATE(2026,12,1),38,0)+IF(C3544=DATE(2026,12,2),26,0)))</f>
        <v/>
      </c>
      <c r="K3544" s="13">
        <f>IF(C3544=Options!$B$9,B3544*12,0)</f>
        <v/>
      </c>
      <c r="L3544" s="13">
        <f>IF(C3544=Options!$B$9,B3544*Options!$Z$9,0)</f>
        <v/>
      </c>
      <c r="M3544" s="13" t="n">
        <v>0</v>
      </c>
      <c r="N3544" s="13">
        <f>SUM(E3544:M3544)</f>
        <v/>
      </c>
    </row>
    <row r="3545">
      <c r="A3545" s="5">
        <f>IF(AND(C3545&gt;=Options!$B$9,C3545&lt;=Options!$B$10),"Seattle","")</f>
        <v/>
      </c>
      <c r="B3545" s="5">
        <f>IF(A3545="","",24)</f>
        <v/>
      </c>
      <c r="C3545" s="17" t="n">
        <v>46551</v>
      </c>
      <c r="D3545" s="5">
        <f>IF(A3545="","",IF(C3545=DATE(2026,11,29),"培训；注册午餐；早餐参数",IF(C3545=DATE(2026,11,30),"培训；注册午餐",IF(C3545=DATE(2026,12,1),"培训；注册午餐；机构晚餐",IF(C3545=Options!$B$9,"抵达；"&amp;IF(C3545=DATE(2026,11,28),"机构晚餐","无统一供餐"),IF(C3545=Options!$B$10,"返程；"&amp;IF(C3545=DATE(2026,12,2),"机构午餐","无统一供餐"),"差旅状态；无统一日程"))))))</f>
        <v/>
      </c>
      <c r="E3545" s="13">
        <f>IF(C3545=Options!$B$9,Options!$C$23,0)</f>
        <v/>
      </c>
      <c r="F3545" s="13">
        <f>IF(AND(A3545&lt;&gt;"",C3545&lt;Options!$B$10),B3545*Options!$X$9,0)</f>
        <v/>
      </c>
      <c r="G3545" s="13">
        <f>F3545*12%</f>
        <v/>
      </c>
      <c r="H3545" s="13">
        <f>IF(A3545="",0,B3545*(92*IF(OR(C3545=Options!$B$9,C3545=Options!$B$10),75%,100%)-IF(C3545=DATE(2026,11,29),26+IF(Options!$B$8="是",23,0),0)-IF(C3545=DATE(2026,11,30),26,0)-IF(C3545=DATE(2026,12,1),64,0)-IF(C3545=DATE(2026,11,28),38,0)-IF(C3545=DATE(2026,12,2),26,0)))</f>
        <v/>
      </c>
      <c r="I3545" s="13">
        <f>IF(AND(C3545&gt;=DATE(2026,11,29),C3545&lt;=DATE(2026,12,1)),B3545*60,0)</f>
        <v/>
      </c>
      <c r="J3545" s="13">
        <f>IF(A3545="",0,B3545*(IF(C3545=DATE(2026,11,28),38,0)+IF(C3545=DATE(2026,12,1),38,0)+IF(C3545=DATE(2026,12,2),26,0)))</f>
        <v/>
      </c>
      <c r="K3545" s="13">
        <f>IF(C3545=Options!$B$9,B3545*12,0)</f>
        <v/>
      </c>
      <c r="L3545" s="13">
        <f>IF(C3545=Options!$B$9,B3545*Options!$Z$9,0)</f>
        <v/>
      </c>
      <c r="M3545" s="13" t="n">
        <v>0</v>
      </c>
      <c r="N3545" s="13">
        <f>SUM(E3545:M3545)</f>
        <v/>
      </c>
    </row>
    <row r="3546">
      <c r="A3546" s="5">
        <f>IF(AND(C3546&gt;=Options!$B$9,C3546&lt;=Options!$B$10),"Seattle","")</f>
        <v/>
      </c>
      <c r="B3546" s="5">
        <f>IF(A3546="","",24)</f>
        <v/>
      </c>
      <c r="C3546" s="17" t="n">
        <v>46552</v>
      </c>
      <c r="D3546" s="5">
        <f>IF(A3546="","",IF(C3546=DATE(2026,11,29),"培训；注册午餐；早餐参数",IF(C3546=DATE(2026,11,30),"培训；注册午餐",IF(C3546=DATE(2026,12,1),"培训；注册午餐；机构晚餐",IF(C3546=Options!$B$9,"抵达；"&amp;IF(C3546=DATE(2026,11,28),"机构晚餐","无统一供餐"),IF(C3546=Options!$B$10,"返程；"&amp;IF(C3546=DATE(2026,12,2),"机构午餐","无统一供餐"),"差旅状态；无统一日程"))))))</f>
        <v/>
      </c>
      <c r="E3546" s="13">
        <f>IF(C3546=Options!$B$9,Options!$C$23,0)</f>
        <v/>
      </c>
      <c r="F3546" s="13">
        <f>IF(AND(A3546&lt;&gt;"",C3546&lt;Options!$B$10),B3546*Options!$X$9,0)</f>
        <v/>
      </c>
      <c r="G3546" s="13">
        <f>F3546*12%</f>
        <v/>
      </c>
      <c r="H3546" s="13">
        <f>IF(A3546="",0,B3546*(92*IF(OR(C3546=Options!$B$9,C3546=Options!$B$10),75%,100%)-IF(C3546=DATE(2026,11,29),26+IF(Options!$B$8="是",23,0),0)-IF(C3546=DATE(2026,11,30),26,0)-IF(C3546=DATE(2026,12,1),64,0)-IF(C3546=DATE(2026,11,28),38,0)-IF(C3546=DATE(2026,12,2),26,0)))</f>
        <v/>
      </c>
      <c r="I3546" s="13">
        <f>IF(AND(C3546&gt;=DATE(2026,11,29),C3546&lt;=DATE(2026,12,1)),B3546*60,0)</f>
        <v/>
      </c>
      <c r="J3546" s="13">
        <f>IF(A3546="",0,B3546*(IF(C3546=DATE(2026,11,28),38,0)+IF(C3546=DATE(2026,12,1),38,0)+IF(C3546=DATE(2026,12,2),26,0)))</f>
        <v/>
      </c>
      <c r="K3546" s="13">
        <f>IF(C3546=Options!$B$9,B3546*12,0)</f>
        <v/>
      </c>
      <c r="L3546" s="13">
        <f>IF(C3546=Options!$B$9,B3546*Options!$Z$9,0)</f>
        <v/>
      </c>
      <c r="M3546" s="13" t="n">
        <v>0</v>
      </c>
      <c r="N3546" s="13">
        <f>SUM(E3546:M3546)</f>
        <v/>
      </c>
    </row>
    <row r="3547">
      <c r="A3547" s="5">
        <f>IF(AND(C3547&gt;=Options!$B$9,C3547&lt;=Options!$B$10),"Seattle","")</f>
        <v/>
      </c>
      <c r="B3547" s="5">
        <f>IF(A3547="","",24)</f>
        <v/>
      </c>
      <c r="C3547" s="17" t="n">
        <v>46553</v>
      </c>
      <c r="D3547" s="5">
        <f>IF(A3547="","",IF(C3547=DATE(2026,11,29),"培训；注册午餐；早餐参数",IF(C3547=DATE(2026,11,30),"培训；注册午餐",IF(C3547=DATE(2026,12,1),"培训；注册午餐；机构晚餐",IF(C3547=Options!$B$9,"抵达；"&amp;IF(C3547=DATE(2026,11,28),"机构晚餐","无统一供餐"),IF(C3547=Options!$B$10,"返程；"&amp;IF(C3547=DATE(2026,12,2),"机构午餐","无统一供餐"),"差旅状态；无统一日程"))))))</f>
        <v/>
      </c>
      <c r="E3547" s="13">
        <f>IF(C3547=Options!$B$9,Options!$C$23,0)</f>
        <v/>
      </c>
      <c r="F3547" s="13">
        <f>IF(AND(A3547&lt;&gt;"",C3547&lt;Options!$B$10),B3547*Options!$X$9,0)</f>
        <v/>
      </c>
      <c r="G3547" s="13">
        <f>F3547*12%</f>
        <v/>
      </c>
      <c r="H3547" s="13">
        <f>IF(A3547="",0,B3547*(92*IF(OR(C3547=Options!$B$9,C3547=Options!$B$10),75%,100%)-IF(C3547=DATE(2026,11,29),26+IF(Options!$B$8="是",23,0),0)-IF(C3547=DATE(2026,11,30),26,0)-IF(C3547=DATE(2026,12,1),64,0)-IF(C3547=DATE(2026,11,28),38,0)-IF(C3547=DATE(2026,12,2),26,0)))</f>
        <v/>
      </c>
      <c r="I3547" s="13">
        <f>IF(AND(C3547&gt;=DATE(2026,11,29),C3547&lt;=DATE(2026,12,1)),B3547*60,0)</f>
        <v/>
      </c>
      <c r="J3547" s="13">
        <f>IF(A3547="",0,B3547*(IF(C3547=DATE(2026,11,28),38,0)+IF(C3547=DATE(2026,12,1),38,0)+IF(C3547=DATE(2026,12,2),26,0)))</f>
        <v/>
      </c>
      <c r="K3547" s="13">
        <f>IF(C3547=Options!$B$9,B3547*12,0)</f>
        <v/>
      </c>
      <c r="L3547" s="13">
        <f>IF(C3547=Options!$B$9,B3547*Options!$Z$9,0)</f>
        <v/>
      </c>
      <c r="M3547" s="13" t="n">
        <v>0</v>
      </c>
      <c r="N3547" s="13">
        <f>SUM(E3547:M3547)</f>
        <v/>
      </c>
    </row>
    <row r="3548">
      <c r="A3548" s="5">
        <f>IF(AND(C3548&gt;=Options!$B$9,C3548&lt;=Options!$B$10),"Seattle","")</f>
        <v/>
      </c>
      <c r="B3548" s="5">
        <f>IF(A3548="","",24)</f>
        <v/>
      </c>
      <c r="C3548" s="17" t="n">
        <v>46554</v>
      </c>
      <c r="D3548" s="5">
        <f>IF(A3548="","",IF(C3548=DATE(2026,11,29),"培训；注册午餐；早餐参数",IF(C3548=DATE(2026,11,30),"培训；注册午餐",IF(C3548=DATE(2026,12,1),"培训；注册午餐；机构晚餐",IF(C3548=Options!$B$9,"抵达；"&amp;IF(C3548=DATE(2026,11,28),"机构晚餐","无统一供餐"),IF(C3548=Options!$B$10,"返程；"&amp;IF(C3548=DATE(2026,12,2),"机构午餐","无统一供餐"),"差旅状态；无统一日程"))))))</f>
        <v/>
      </c>
      <c r="E3548" s="13">
        <f>IF(C3548=Options!$B$9,Options!$C$23,0)</f>
        <v/>
      </c>
      <c r="F3548" s="13">
        <f>IF(AND(A3548&lt;&gt;"",C3548&lt;Options!$B$10),B3548*Options!$X$9,0)</f>
        <v/>
      </c>
      <c r="G3548" s="13">
        <f>F3548*12%</f>
        <v/>
      </c>
      <c r="H3548" s="13">
        <f>IF(A3548="",0,B3548*(92*IF(OR(C3548=Options!$B$9,C3548=Options!$B$10),75%,100%)-IF(C3548=DATE(2026,11,29),26+IF(Options!$B$8="是",23,0),0)-IF(C3548=DATE(2026,11,30),26,0)-IF(C3548=DATE(2026,12,1),64,0)-IF(C3548=DATE(2026,11,28),38,0)-IF(C3548=DATE(2026,12,2),26,0)))</f>
        <v/>
      </c>
      <c r="I3548" s="13">
        <f>IF(AND(C3548&gt;=DATE(2026,11,29),C3548&lt;=DATE(2026,12,1)),B3548*60,0)</f>
        <v/>
      </c>
      <c r="J3548" s="13">
        <f>IF(A3548="",0,B3548*(IF(C3548=DATE(2026,11,28),38,0)+IF(C3548=DATE(2026,12,1),38,0)+IF(C3548=DATE(2026,12,2),26,0)))</f>
        <v/>
      </c>
      <c r="K3548" s="13">
        <f>IF(C3548=Options!$B$9,B3548*12,0)</f>
        <v/>
      </c>
      <c r="L3548" s="13">
        <f>IF(C3548=Options!$B$9,B3548*Options!$Z$9,0)</f>
        <v/>
      </c>
      <c r="M3548" s="13" t="n">
        <v>0</v>
      </c>
      <c r="N3548" s="13">
        <f>SUM(E3548:M3548)</f>
        <v/>
      </c>
    </row>
    <row r="3549">
      <c r="A3549" s="5">
        <f>IF(AND(C3549&gt;=Options!$B$9,C3549&lt;=Options!$B$10),"Seattle","")</f>
        <v/>
      </c>
      <c r="B3549" s="5">
        <f>IF(A3549="","",24)</f>
        <v/>
      </c>
      <c r="C3549" s="17" t="n">
        <v>46555</v>
      </c>
      <c r="D3549" s="5">
        <f>IF(A3549="","",IF(C3549=DATE(2026,11,29),"培训；注册午餐；早餐参数",IF(C3549=DATE(2026,11,30),"培训；注册午餐",IF(C3549=DATE(2026,12,1),"培训；注册午餐；机构晚餐",IF(C3549=Options!$B$9,"抵达；"&amp;IF(C3549=DATE(2026,11,28),"机构晚餐","无统一供餐"),IF(C3549=Options!$B$10,"返程；"&amp;IF(C3549=DATE(2026,12,2),"机构午餐","无统一供餐"),"差旅状态；无统一日程"))))))</f>
        <v/>
      </c>
      <c r="E3549" s="13">
        <f>IF(C3549=Options!$B$9,Options!$C$23,0)</f>
        <v/>
      </c>
      <c r="F3549" s="13">
        <f>IF(AND(A3549&lt;&gt;"",C3549&lt;Options!$B$10),B3549*Options!$X$9,0)</f>
        <v/>
      </c>
      <c r="G3549" s="13">
        <f>F3549*12%</f>
        <v/>
      </c>
      <c r="H3549" s="13">
        <f>IF(A3549="",0,B3549*(92*IF(OR(C3549=Options!$B$9,C3549=Options!$B$10),75%,100%)-IF(C3549=DATE(2026,11,29),26+IF(Options!$B$8="是",23,0),0)-IF(C3549=DATE(2026,11,30),26,0)-IF(C3549=DATE(2026,12,1),64,0)-IF(C3549=DATE(2026,11,28),38,0)-IF(C3549=DATE(2026,12,2),26,0)))</f>
        <v/>
      </c>
      <c r="I3549" s="13">
        <f>IF(AND(C3549&gt;=DATE(2026,11,29),C3549&lt;=DATE(2026,12,1)),B3549*60,0)</f>
        <v/>
      </c>
      <c r="J3549" s="13">
        <f>IF(A3549="",0,B3549*(IF(C3549=DATE(2026,11,28),38,0)+IF(C3549=DATE(2026,12,1),38,0)+IF(C3549=DATE(2026,12,2),26,0)))</f>
        <v/>
      </c>
      <c r="K3549" s="13">
        <f>IF(C3549=Options!$B$9,B3549*12,0)</f>
        <v/>
      </c>
      <c r="L3549" s="13">
        <f>IF(C3549=Options!$B$9,B3549*Options!$Z$9,0)</f>
        <v/>
      </c>
      <c r="M3549" s="13" t="n">
        <v>0</v>
      </c>
      <c r="N3549" s="13">
        <f>SUM(E3549:M3549)</f>
        <v/>
      </c>
    </row>
    <row r="3550">
      <c r="A3550" s="5">
        <f>IF(AND(C3550&gt;=Options!$B$9,C3550&lt;=Options!$B$10),"Seattle","")</f>
        <v/>
      </c>
      <c r="B3550" s="5">
        <f>IF(A3550="","",24)</f>
        <v/>
      </c>
      <c r="C3550" s="17" t="n">
        <v>46556</v>
      </c>
      <c r="D3550" s="5">
        <f>IF(A3550="","",IF(C3550=DATE(2026,11,29),"培训；注册午餐；早餐参数",IF(C3550=DATE(2026,11,30),"培训；注册午餐",IF(C3550=DATE(2026,12,1),"培训；注册午餐；机构晚餐",IF(C3550=Options!$B$9,"抵达；"&amp;IF(C3550=DATE(2026,11,28),"机构晚餐","无统一供餐"),IF(C3550=Options!$B$10,"返程；"&amp;IF(C3550=DATE(2026,12,2),"机构午餐","无统一供餐"),"差旅状态；无统一日程"))))))</f>
        <v/>
      </c>
      <c r="E3550" s="13">
        <f>IF(C3550=Options!$B$9,Options!$C$23,0)</f>
        <v/>
      </c>
      <c r="F3550" s="13">
        <f>IF(AND(A3550&lt;&gt;"",C3550&lt;Options!$B$10),B3550*Options!$X$9,0)</f>
        <v/>
      </c>
      <c r="G3550" s="13">
        <f>F3550*12%</f>
        <v/>
      </c>
      <c r="H3550" s="13">
        <f>IF(A3550="",0,B3550*(92*IF(OR(C3550=Options!$B$9,C3550=Options!$B$10),75%,100%)-IF(C3550=DATE(2026,11,29),26+IF(Options!$B$8="是",23,0),0)-IF(C3550=DATE(2026,11,30),26,0)-IF(C3550=DATE(2026,12,1),64,0)-IF(C3550=DATE(2026,11,28),38,0)-IF(C3550=DATE(2026,12,2),26,0)))</f>
        <v/>
      </c>
      <c r="I3550" s="13">
        <f>IF(AND(C3550&gt;=DATE(2026,11,29),C3550&lt;=DATE(2026,12,1)),B3550*60,0)</f>
        <v/>
      </c>
      <c r="J3550" s="13">
        <f>IF(A3550="",0,B3550*(IF(C3550=DATE(2026,11,28),38,0)+IF(C3550=DATE(2026,12,1),38,0)+IF(C3550=DATE(2026,12,2),26,0)))</f>
        <v/>
      </c>
      <c r="K3550" s="13">
        <f>IF(C3550=Options!$B$9,B3550*12,0)</f>
        <v/>
      </c>
      <c r="L3550" s="13">
        <f>IF(C3550=Options!$B$9,B3550*Options!$Z$9,0)</f>
        <v/>
      </c>
      <c r="M3550" s="13" t="n">
        <v>0</v>
      </c>
      <c r="N3550" s="13">
        <f>SUM(E3550:M3550)</f>
        <v/>
      </c>
    </row>
    <row r="3551">
      <c r="A3551" s="5">
        <f>IF(AND(C3551&gt;=Options!$B$9,C3551&lt;=Options!$B$10),"Seattle","")</f>
        <v/>
      </c>
      <c r="B3551" s="5">
        <f>IF(A3551="","",24)</f>
        <v/>
      </c>
      <c r="C3551" s="17" t="n">
        <v>46557</v>
      </c>
      <c r="D3551" s="5">
        <f>IF(A3551="","",IF(C3551=DATE(2026,11,29),"培训；注册午餐；早餐参数",IF(C3551=DATE(2026,11,30),"培训；注册午餐",IF(C3551=DATE(2026,12,1),"培训；注册午餐；机构晚餐",IF(C3551=Options!$B$9,"抵达；"&amp;IF(C3551=DATE(2026,11,28),"机构晚餐","无统一供餐"),IF(C3551=Options!$B$10,"返程；"&amp;IF(C3551=DATE(2026,12,2),"机构午餐","无统一供餐"),"差旅状态；无统一日程"))))))</f>
        <v/>
      </c>
      <c r="E3551" s="13">
        <f>IF(C3551=Options!$B$9,Options!$C$23,0)</f>
        <v/>
      </c>
      <c r="F3551" s="13">
        <f>IF(AND(A3551&lt;&gt;"",C3551&lt;Options!$B$10),B3551*Options!$X$9,0)</f>
        <v/>
      </c>
      <c r="G3551" s="13">
        <f>F3551*12%</f>
        <v/>
      </c>
      <c r="H3551" s="13">
        <f>IF(A3551="",0,B3551*(92*IF(OR(C3551=Options!$B$9,C3551=Options!$B$10),75%,100%)-IF(C3551=DATE(2026,11,29),26+IF(Options!$B$8="是",23,0),0)-IF(C3551=DATE(2026,11,30),26,0)-IF(C3551=DATE(2026,12,1),64,0)-IF(C3551=DATE(2026,11,28),38,0)-IF(C3551=DATE(2026,12,2),26,0)))</f>
        <v/>
      </c>
      <c r="I3551" s="13">
        <f>IF(AND(C3551&gt;=DATE(2026,11,29),C3551&lt;=DATE(2026,12,1)),B3551*60,0)</f>
        <v/>
      </c>
      <c r="J3551" s="13">
        <f>IF(A3551="",0,B3551*(IF(C3551=DATE(2026,11,28),38,0)+IF(C3551=DATE(2026,12,1),38,0)+IF(C3551=DATE(2026,12,2),26,0)))</f>
        <v/>
      </c>
      <c r="K3551" s="13">
        <f>IF(C3551=Options!$B$9,B3551*12,0)</f>
        <v/>
      </c>
      <c r="L3551" s="13">
        <f>IF(C3551=Options!$B$9,B3551*Options!$Z$9,0)</f>
        <v/>
      </c>
      <c r="M3551" s="13" t="n">
        <v>0</v>
      </c>
      <c r="N3551" s="13">
        <f>SUM(E3551:M3551)</f>
        <v/>
      </c>
    </row>
    <row r="3552">
      <c r="A3552" s="5">
        <f>IF(AND(C3552&gt;=Options!$B$9,C3552&lt;=Options!$B$10),"Seattle","")</f>
        <v/>
      </c>
      <c r="B3552" s="5">
        <f>IF(A3552="","",24)</f>
        <v/>
      </c>
      <c r="C3552" s="17" t="n">
        <v>46558</v>
      </c>
      <c r="D3552" s="5">
        <f>IF(A3552="","",IF(C3552=DATE(2026,11,29),"培训；注册午餐；早餐参数",IF(C3552=DATE(2026,11,30),"培训；注册午餐",IF(C3552=DATE(2026,12,1),"培训；注册午餐；机构晚餐",IF(C3552=Options!$B$9,"抵达；"&amp;IF(C3552=DATE(2026,11,28),"机构晚餐","无统一供餐"),IF(C3552=Options!$B$10,"返程；"&amp;IF(C3552=DATE(2026,12,2),"机构午餐","无统一供餐"),"差旅状态；无统一日程"))))))</f>
        <v/>
      </c>
      <c r="E3552" s="13">
        <f>IF(C3552=Options!$B$9,Options!$C$23,0)</f>
        <v/>
      </c>
      <c r="F3552" s="13">
        <f>IF(AND(A3552&lt;&gt;"",C3552&lt;Options!$B$10),B3552*Options!$X$9,0)</f>
        <v/>
      </c>
      <c r="G3552" s="13">
        <f>F3552*12%</f>
        <v/>
      </c>
      <c r="H3552" s="13">
        <f>IF(A3552="",0,B3552*(92*IF(OR(C3552=Options!$B$9,C3552=Options!$B$10),75%,100%)-IF(C3552=DATE(2026,11,29),26+IF(Options!$B$8="是",23,0),0)-IF(C3552=DATE(2026,11,30),26,0)-IF(C3552=DATE(2026,12,1),64,0)-IF(C3552=DATE(2026,11,28),38,0)-IF(C3552=DATE(2026,12,2),26,0)))</f>
        <v/>
      </c>
      <c r="I3552" s="13">
        <f>IF(AND(C3552&gt;=DATE(2026,11,29),C3552&lt;=DATE(2026,12,1)),B3552*60,0)</f>
        <v/>
      </c>
      <c r="J3552" s="13">
        <f>IF(A3552="",0,B3552*(IF(C3552=DATE(2026,11,28),38,0)+IF(C3552=DATE(2026,12,1),38,0)+IF(C3552=DATE(2026,12,2),26,0)))</f>
        <v/>
      </c>
      <c r="K3552" s="13">
        <f>IF(C3552=Options!$B$9,B3552*12,0)</f>
        <v/>
      </c>
      <c r="L3552" s="13">
        <f>IF(C3552=Options!$B$9,B3552*Options!$Z$9,0)</f>
        <v/>
      </c>
      <c r="M3552" s="13" t="n">
        <v>0</v>
      </c>
      <c r="N3552" s="13">
        <f>SUM(E3552:M3552)</f>
        <v/>
      </c>
    </row>
    <row r="3553">
      <c r="A3553" s="5">
        <f>IF(AND(C3553&gt;=Options!$B$9,C3553&lt;=Options!$B$10),"Seattle","")</f>
        <v/>
      </c>
      <c r="B3553" s="5">
        <f>IF(A3553="","",24)</f>
        <v/>
      </c>
      <c r="C3553" s="17" t="n">
        <v>46559</v>
      </c>
      <c r="D3553" s="5">
        <f>IF(A3553="","",IF(C3553=DATE(2026,11,29),"培训；注册午餐；早餐参数",IF(C3553=DATE(2026,11,30),"培训；注册午餐",IF(C3553=DATE(2026,12,1),"培训；注册午餐；机构晚餐",IF(C3553=Options!$B$9,"抵达；"&amp;IF(C3553=DATE(2026,11,28),"机构晚餐","无统一供餐"),IF(C3553=Options!$B$10,"返程；"&amp;IF(C3553=DATE(2026,12,2),"机构午餐","无统一供餐"),"差旅状态；无统一日程"))))))</f>
        <v/>
      </c>
      <c r="E3553" s="13">
        <f>IF(C3553=Options!$B$9,Options!$C$23,0)</f>
        <v/>
      </c>
      <c r="F3553" s="13">
        <f>IF(AND(A3553&lt;&gt;"",C3553&lt;Options!$B$10),B3553*Options!$X$9,0)</f>
        <v/>
      </c>
      <c r="G3553" s="13">
        <f>F3553*12%</f>
        <v/>
      </c>
      <c r="H3553" s="13">
        <f>IF(A3553="",0,B3553*(92*IF(OR(C3553=Options!$B$9,C3553=Options!$B$10),75%,100%)-IF(C3553=DATE(2026,11,29),26+IF(Options!$B$8="是",23,0),0)-IF(C3553=DATE(2026,11,30),26,0)-IF(C3553=DATE(2026,12,1),64,0)-IF(C3553=DATE(2026,11,28),38,0)-IF(C3553=DATE(2026,12,2),26,0)))</f>
        <v/>
      </c>
      <c r="I3553" s="13">
        <f>IF(AND(C3553&gt;=DATE(2026,11,29),C3553&lt;=DATE(2026,12,1)),B3553*60,0)</f>
        <v/>
      </c>
      <c r="J3553" s="13">
        <f>IF(A3553="",0,B3553*(IF(C3553=DATE(2026,11,28),38,0)+IF(C3553=DATE(2026,12,1),38,0)+IF(C3553=DATE(2026,12,2),26,0)))</f>
        <v/>
      </c>
      <c r="K3553" s="13">
        <f>IF(C3553=Options!$B$9,B3553*12,0)</f>
        <v/>
      </c>
      <c r="L3553" s="13">
        <f>IF(C3553=Options!$B$9,B3553*Options!$Z$9,0)</f>
        <v/>
      </c>
      <c r="M3553" s="13" t="n">
        <v>0</v>
      </c>
      <c r="N3553" s="13">
        <f>SUM(E3553:M3553)</f>
        <v/>
      </c>
    </row>
    <row r="3554">
      <c r="A3554" s="5">
        <f>IF(AND(C3554&gt;=Options!$B$9,C3554&lt;=Options!$B$10),"Seattle","")</f>
        <v/>
      </c>
      <c r="B3554" s="5">
        <f>IF(A3554="","",24)</f>
        <v/>
      </c>
      <c r="C3554" s="17" t="n">
        <v>46560</v>
      </c>
      <c r="D3554" s="5">
        <f>IF(A3554="","",IF(C3554=DATE(2026,11,29),"培训；注册午餐；早餐参数",IF(C3554=DATE(2026,11,30),"培训；注册午餐",IF(C3554=DATE(2026,12,1),"培训；注册午餐；机构晚餐",IF(C3554=Options!$B$9,"抵达；"&amp;IF(C3554=DATE(2026,11,28),"机构晚餐","无统一供餐"),IF(C3554=Options!$B$10,"返程；"&amp;IF(C3554=DATE(2026,12,2),"机构午餐","无统一供餐"),"差旅状态；无统一日程"))))))</f>
        <v/>
      </c>
      <c r="E3554" s="13">
        <f>IF(C3554=Options!$B$9,Options!$C$23,0)</f>
        <v/>
      </c>
      <c r="F3554" s="13">
        <f>IF(AND(A3554&lt;&gt;"",C3554&lt;Options!$B$10),B3554*Options!$X$9,0)</f>
        <v/>
      </c>
      <c r="G3554" s="13">
        <f>F3554*12%</f>
        <v/>
      </c>
      <c r="H3554" s="13">
        <f>IF(A3554="",0,B3554*(92*IF(OR(C3554=Options!$B$9,C3554=Options!$B$10),75%,100%)-IF(C3554=DATE(2026,11,29),26+IF(Options!$B$8="是",23,0),0)-IF(C3554=DATE(2026,11,30),26,0)-IF(C3554=DATE(2026,12,1),64,0)-IF(C3554=DATE(2026,11,28),38,0)-IF(C3554=DATE(2026,12,2),26,0)))</f>
        <v/>
      </c>
      <c r="I3554" s="13">
        <f>IF(AND(C3554&gt;=DATE(2026,11,29),C3554&lt;=DATE(2026,12,1)),B3554*60,0)</f>
        <v/>
      </c>
      <c r="J3554" s="13">
        <f>IF(A3554="",0,B3554*(IF(C3554=DATE(2026,11,28),38,0)+IF(C3554=DATE(2026,12,1),38,0)+IF(C3554=DATE(2026,12,2),26,0)))</f>
        <v/>
      </c>
      <c r="K3554" s="13">
        <f>IF(C3554=Options!$B$9,B3554*12,0)</f>
        <v/>
      </c>
      <c r="L3554" s="13">
        <f>IF(C3554=Options!$B$9,B3554*Options!$Z$9,0)</f>
        <v/>
      </c>
      <c r="M3554" s="13" t="n">
        <v>0</v>
      </c>
      <c r="N3554" s="13">
        <f>SUM(E3554:M3554)</f>
        <v/>
      </c>
    </row>
    <row r="3555">
      <c r="A3555" s="5">
        <f>IF(AND(C3555&gt;=Options!$B$9,C3555&lt;=Options!$B$10),"Seattle","")</f>
        <v/>
      </c>
      <c r="B3555" s="5">
        <f>IF(A3555="","",24)</f>
        <v/>
      </c>
      <c r="C3555" s="17" t="n">
        <v>46561</v>
      </c>
      <c r="D3555" s="5">
        <f>IF(A3555="","",IF(C3555=DATE(2026,11,29),"培训；注册午餐；早餐参数",IF(C3555=DATE(2026,11,30),"培训；注册午餐",IF(C3555=DATE(2026,12,1),"培训；注册午餐；机构晚餐",IF(C3555=Options!$B$9,"抵达；"&amp;IF(C3555=DATE(2026,11,28),"机构晚餐","无统一供餐"),IF(C3555=Options!$B$10,"返程；"&amp;IF(C3555=DATE(2026,12,2),"机构午餐","无统一供餐"),"差旅状态；无统一日程"))))))</f>
        <v/>
      </c>
      <c r="E3555" s="13">
        <f>IF(C3555=Options!$B$9,Options!$C$23,0)</f>
        <v/>
      </c>
      <c r="F3555" s="13">
        <f>IF(AND(A3555&lt;&gt;"",C3555&lt;Options!$B$10),B3555*Options!$X$9,0)</f>
        <v/>
      </c>
      <c r="G3555" s="13">
        <f>F3555*12%</f>
        <v/>
      </c>
      <c r="H3555" s="13">
        <f>IF(A3555="",0,B3555*(92*IF(OR(C3555=Options!$B$9,C3555=Options!$B$10),75%,100%)-IF(C3555=DATE(2026,11,29),26+IF(Options!$B$8="是",23,0),0)-IF(C3555=DATE(2026,11,30),26,0)-IF(C3555=DATE(2026,12,1),64,0)-IF(C3555=DATE(2026,11,28),38,0)-IF(C3555=DATE(2026,12,2),26,0)))</f>
        <v/>
      </c>
      <c r="I3555" s="13">
        <f>IF(AND(C3555&gt;=DATE(2026,11,29),C3555&lt;=DATE(2026,12,1)),B3555*60,0)</f>
        <v/>
      </c>
      <c r="J3555" s="13">
        <f>IF(A3555="",0,B3555*(IF(C3555=DATE(2026,11,28),38,0)+IF(C3555=DATE(2026,12,1),38,0)+IF(C3555=DATE(2026,12,2),26,0)))</f>
        <v/>
      </c>
      <c r="K3555" s="13">
        <f>IF(C3555=Options!$B$9,B3555*12,0)</f>
        <v/>
      </c>
      <c r="L3555" s="13">
        <f>IF(C3555=Options!$B$9,B3555*Options!$Z$9,0)</f>
        <v/>
      </c>
      <c r="M3555" s="13" t="n">
        <v>0</v>
      </c>
      <c r="N3555" s="13">
        <f>SUM(E3555:M3555)</f>
        <v/>
      </c>
    </row>
    <row r="3556">
      <c r="A3556" s="5">
        <f>IF(AND(C3556&gt;=Options!$B$9,C3556&lt;=Options!$B$10),"Seattle","")</f>
        <v/>
      </c>
      <c r="B3556" s="5">
        <f>IF(A3556="","",24)</f>
        <v/>
      </c>
      <c r="C3556" s="17" t="n">
        <v>46562</v>
      </c>
      <c r="D3556" s="5">
        <f>IF(A3556="","",IF(C3556=DATE(2026,11,29),"培训；注册午餐；早餐参数",IF(C3556=DATE(2026,11,30),"培训；注册午餐",IF(C3556=DATE(2026,12,1),"培训；注册午餐；机构晚餐",IF(C3556=Options!$B$9,"抵达；"&amp;IF(C3556=DATE(2026,11,28),"机构晚餐","无统一供餐"),IF(C3556=Options!$B$10,"返程；"&amp;IF(C3556=DATE(2026,12,2),"机构午餐","无统一供餐"),"差旅状态；无统一日程"))))))</f>
        <v/>
      </c>
      <c r="E3556" s="13">
        <f>IF(C3556=Options!$B$9,Options!$C$23,0)</f>
        <v/>
      </c>
      <c r="F3556" s="13">
        <f>IF(AND(A3556&lt;&gt;"",C3556&lt;Options!$B$10),B3556*Options!$X$9,0)</f>
        <v/>
      </c>
      <c r="G3556" s="13">
        <f>F3556*12%</f>
        <v/>
      </c>
      <c r="H3556" s="13">
        <f>IF(A3556="",0,B3556*(92*IF(OR(C3556=Options!$B$9,C3556=Options!$B$10),75%,100%)-IF(C3556=DATE(2026,11,29),26+IF(Options!$B$8="是",23,0),0)-IF(C3556=DATE(2026,11,30),26,0)-IF(C3556=DATE(2026,12,1),64,0)-IF(C3556=DATE(2026,11,28),38,0)-IF(C3556=DATE(2026,12,2),26,0)))</f>
        <v/>
      </c>
      <c r="I3556" s="13">
        <f>IF(AND(C3556&gt;=DATE(2026,11,29),C3556&lt;=DATE(2026,12,1)),B3556*60,0)</f>
        <v/>
      </c>
      <c r="J3556" s="13">
        <f>IF(A3556="",0,B3556*(IF(C3556=DATE(2026,11,28),38,0)+IF(C3556=DATE(2026,12,1),38,0)+IF(C3556=DATE(2026,12,2),26,0)))</f>
        <v/>
      </c>
      <c r="K3556" s="13">
        <f>IF(C3556=Options!$B$9,B3556*12,0)</f>
        <v/>
      </c>
      <c r="L3556" s="13">
        <f>IF(C3556=Options!$B$9,B3556*Options!$Z$9,0)</f>
        <v/>
      </c>
      <c r="M3556" s="13" t="n">
        <v>0</v>
      </c>
      <c r="N3556" s="13">
        <f>SUM(E3556:M3556)</f>
        <v/>
      </c>
    </row>
    <row r="3557">
      <c r="A3557" s="5">
        <f>IF(AND(C3557&gt;=Options!$B$9,C3557&lt;=Options!$B$10),"Seattle","")</f>
        <v/>
      </c>
      <c r="B3557" s="5">
        <f>IF(A3557="","",24)</f>
        <v/>
      </c>
      <c r="C3557" s="17" t="n">
        <v>46563</v>
      </c>
      <c r="D3557" s="5">
        <f>IF(A3557="","",IF(C3557=DATE(2026,11,29),"培训；注册午餐；早餐参数",IF(C3557=DATE(2026,11,30),"培训；注册午餐",IF(C3557=DATE(2026,12,1),"培训；注册午餐；机构晚餐",IF(C3557=Options!$B$9,"抵达；"&amp;IF(C3557=DATE(2026,11,28),"机构晚餐","无统一供餐"),IF(C3557=Options!$B$10,"返程；"&amp;IF(C3557=DATE(2026,12,2),"机构午餐","无统一供餐"),"差旅状态；无统一日程"))))))</f>
        <v/>
      </c>
      <c r="E3557" s="13">
        <f>IF(C3557=Options!$B$9,Options!$C$23,0)</f>
        <v/>
      </c>
      <c r="F3557" s="13">
        <f>IF(AND(A3557&lt;&gt;"",C3557&lt;Options!$B$10),B3557*Options!$X$9,0)</f>
        <v/>
      </c>
      <c r="G3557" s="13">
        <f>F3557*12%</f>
        <v/>
      </c>
      <c r="H3557" s="13">
        <f>IF(A3557="",0,B3557*(92*IF(OR(C3557=Options!$B$9,C3557=Options!$B$10),75%,100%)-IF(C3557=DATE(2026,11,29),26+IF(Options!$B$8="是",23,0),0)-IF(C3557=DATE(2026,11,30),26,0)-IF(C3557=DATE(2026,12,1),64,0)-IF(C3557=DATE(2026,11,28),38,0)-IF(C3557=DATE(2026,12,2),26,0)))</f>
        <v/>
      </c>
      <c r="I3557" s="13">
        <f>IF(AND(C3557&gt;=DATE(2026,11,29),C3557&lt;=DATE(2026,12,1)),B3557*60,0)</f>
        <v/>
      </c>
      <c r="J3557" s="13">
        <f>IF(A3557="",0,B3557*(IF(C3557=DATE(2026,11,28),38,0)+IF(C3557=DATE(2026,12,1),38,0)+IF(C3557=DATE(2026,12,2),26,0)))</f>
        <v/>
      </c>
      <c r="K3557" s="13">
        <f>IF(C3557=Options!$B$9,B3557*12,0)</f>
        <v/>
      </c>
      <c r="L3557" s="13">
        <f>IF(C3557=Options!$B$9,B3557*Options!$Z$9,0)</f>
        <v/>
      </c>
      <c r="M3557" s="13" t="n">
        <v>0</v>
      </c>
      <c r="N3557" s="13">
        <f>SUM(E3557:M3557)</f>
        <v/>
      </c>
    </row>
    <row r="3558">
      <c r="A3558" s="5">
        <f>IF(AND(C3558&gt;=Options!$B$9,C3558&lt;=Options!$B$10),"Seattle","")</f>
        <v/>
      </c>
      <c r="B3558" s="5">
        <f>IF(A3558="","",24)</f>
        <v/>
      </c>
      <c r="C3558" s="17" t="n">
        <v>46564</v>
      </c>
      <c r="D3558" s="5">
        <f>IF(A3558="","",IF(C3558=DATE(2026,11,29),"培训；注册午餐；早餐参数",IF(C3558=DATE(2026,11,30),"培训；注册午餐",IF(C3558=DATE(2026,12,1),"培训；注册午餐；机构晚餐",IF(C3558=Options!$B$9,"抵达；"&amp;IF(C3558=DATE(2026,11,28),"机构晚餐","无统一供餐"),IF(C3558=Options!$B$10,"返程；"&amp;IF(C3558=DATE(2026,12,2),"机构午餐","无统一供餐"),"差旅状态；无统一日程"))))))</f>
        <v/>
      </c>
      <c r="E3558" s="13">
        <f>IF(C3558=Options!$B$9,Options!$C$23,0)</f>
        <v/>
      </c>
      <c r="F3558" s="13">
        <f>IF(AND(A3558&lt;&gt;"",C3558&lt;Options!$B$10),B3558*Options!$X$9,0)</f>
        <v/>
      </c>
      <c r="G3558" s="13">
        <f>F3558*12%</f>
        <v/>
      </c>
      <c r="H3558" s="13">
        <f>IF(A3558="",0,B3558*(92*IF(OR(C3558=Options!$B$9,C3558=Options!$B$10),75%,100%)-IF(C3558=DATE(2026,11,29),26+IF(Options!$B$8="是",23,0),0)-IF(C3558=DATE(2026,11,30),26,0)-IF(C3558=DATE(2026,12,1),64,0)-IF(C3558=DATE(2026,11,28),38,0)-IF(C3558=DATE(2026,12,2),26,0)))</f>
        <v/>
      </c>
      <c r="I3558" s="13">
        <f>IF(AND(C3558&gt;=DATE(2026,11,29),C3558&lt;=DATE(2026,12,1)),B3558*60,0)</f>
        <v/>
      </c>
      <c r="J3558" s="13">
        <f>IF(A3558="",0,B3558*(IF(C3558=DATE(2026,11,28),38,0)+IF(C3558=DATE(2026,12,1),38,0)+IF(C3558=DATE(2026,12,2),26,0)))</f>
        <v/>
      </c>
      <c r="K3558" s="13">
        <f>IF(C3558=Options!$B$9,B3558*12,0)</f>
        <v/>
      </c>
      <c r="L3558" s="13">
        <f>IF(C3558=Options!$B$9,B3558*Options!$Z$9,0)</f>
        <v/>
      </c>
      <c r="M3558" s="13" t="n">
        <v>0</v>
      </c>
      <c r="N3558" s="13">
        <f>SUM(E3558:M3558)</f>
        <v/>
      </c>
    </row>
    <row r="3559">
      <c r="A3559" s="5">
        <f>IF(AND(C3559&gt;=Options!$B$9,C3559&lt;=Options!$B$10),"Seattle","")</f>
        <v/>
      </c>
      <c r="B3559" s="5">
        <f>IF(A3559="","",24)</f>
        <v/>
      </c>
      <c r="C3559" s="17" t="n">
        <v>46565</v>
      </c>
      <c r="D3559" s="5">
        <f>IF(A3559="","",IF(C3559=DATE(2026,11,29),"培训；注册午餐；早餐参数",IF(C3559=DATE(2026,11,30),"培训；注册午餐",IF(C3559=DATE(2026,12,1),"培训；注册午餐；机构晚餐",IF(C3559=Options!$B$9,"抵达；"&amp;IF(C3559=DATE(2026,11,28),"机构晚餐","无统一供餐"),IF(C3559=Options!$B$10,"返程；"&amp;IF(C3559=DATE(2026,12,2),"机构午餐","无统一供餐"),"差旅状态；无统一日程"))))))</f>
        <v/>
      </c>
      <c r="E3559" s="13">
        <f>IF(C3559=Options!$B$9,Options!$C$23,0)</f>
        <v/>
      </c>
      <c r="F3559" s="13">
        <f>IF(AND(A3559&lt;&gt;"",C3559&lt;Options!$B$10),B3559*Options!$X$9,0)</f>
        <v/>
      </c>
      <c r="G3559" s="13">
        <f>F3559*12%</f>
        <v/>
      </c>
      <c r="H3559" s="13">
        <f>IF(A3559="",0,B3559*(92*IF(OR(C3559=Options!$B$9,C3559=Options!$B$10),75%,100%)-IF(C3559=DATE(2026,11,29),26+IF(Options!$B$8="是",23,0),0)-IF(C3559=DATE(2026,11,30),26,0)-IF(C3559=DATE(2026,12,1),64,0)-IF(C3559=DATE(2026,11,28),38,0)-IF(C3559=DATE(2026,12,2),26,0)))</f>
        <v/>
      </c>
      <c r="I3559" s="13">
        <f>IF(AND(C3559&gt;=DATE(2026,11,29),C3559&lt;=DATE(2026,12,1)),B3559*60,0)</f>
        <v/>
      </c>
      <c r="J3559" s="13">
        <f>IF(A3559="",0,B3559*(IF(C3559=DATE(2026,11,28),38,0)+IF(C3559=DATE(2026,12,1),38,0)+IF(C3559=DATE(2026,12,2),26,0)))</f>
        <v/>
      </c>
      <c r="K3559" s="13">
        <f>IF(C3559=Options!$B$9,B3559*12,0)</f>
        <v/>
      </c>
      <c r="L3559" s="13">
        <f>IF(C3559=Options!$B$9,B3559*Options!$Z$9,0)</f>
        <v/>
      </c>
      <c r="M3559" s="13" t="n">
        <v>0</v>
      </c>
      <c r="N3559" s="13">
        <f>SUM(E3559:M3559)</f>
        <v/>
      </c>
    </row>
    <row r="3560">
      <c r="A3560" s="5">
        <f>IF(AND(C3560&gt;=Options!$B$9,C3560&lt;=Options!$B$10),"Seattle","")</f>
        <v/>
      </c>
      <c r="B3560" s="5">
        <f>IF(A3560="","",24)</f>
        <v/>
      </c>
      <c r="C3560" s="17" t="n">
        <v>46566</v>
      </c>
      <c r="D3560" s="5">
        <f>IF(A3560="","",IF(C3560=DATE(2026,11,29),"培训；注册午餐；早餐参数",IF(C3560=DATE(2026,11,30),"培训；注册午餐",IF(C3560=DATE(2026,12,1),"培训；注册午餐；机构晚餐",IF(C3560=Options!$B$9,"抵达；"&amp;IF(C3560=DATE(2026,11,28),"机构晚餐","无统一供餐"),IF(C3560=Options!$B$10,"返程；"&amp;IF(C3560=DATE(2026,12,2),"机构午餐","无统一供餐"),"差旅状态；无统一日程"))))))</f>
        <v/>
      </c>
      <c r="E3560" s="13">
        <f>IF(C3560=Options!$B$9,Options!$C$23,0)</f>
        <v/>
      </c>
      <c r="F3560" s="13">
        <f>IF(AND(A3560&lt;&gt;"",C3560&lt;Options!$B$10),B3560*Options!$X$9,0)</f>
        <v/>
      </c>
      <c r="G3560" s="13">
        <f>F3560*12%</f>
        <v/>
      </c>
      <c r="H3560" s="13">
        <f>IF(A3560="",0,B3560*(92*IF(OR(C3560=Options!$B$9,C3560=Options!$B$10),75%,100%)-IF(C3560=DATE(2026,11,29),26+IF(Options!$B$8="是",23,0),0)-IF(C3560=DATE(2026,11,30),26,0)-IF(C3560=DATE(2026,12,1),64,0)-IF(C3560=DATE(2026,11,28),38,0)-IF(C3560=DATE(2026,12,2),26,0)))</f>
        <v/>
      </c>
      <c r="I3560" s="13">
        <f>IF(AND(C3560&gt;=DATE(2026,11,29),C3560&lt;=DATE(2026,12,1)),B3560*60,0)</f>
        <v/>
      </c>
      <c r="J3560" s="13">
        <f>IF(A3560="",0,B3560*(IF(C3560=DATE(2026,11,28),38,0)+IF(C3560=DATE(2026,12,1),38,0)+IF(C3560=DATE(2026,12,2),26,0)))</f>
        <v/>
      </c>
      <c r="K3560" s="13">
        <f>IF(C3560=Options!$B$9,B3560*12,0)</f>
        <v/>
      </c>
      <c r="L3560" s="13">
        <f>IF(C3560=Options!$B$9,B3560*Options!$Z$9,0)</f>
        <v/>
      </c>
      <c r="M3560" s="13" t="n">
        <v>0</v>
      </c>
      <c r="N3560" s="13">
        <f>SUM(E3560:M3560)</f>
        <v/>
      </c>
    </row>
    <row r="3561">
      <c r="A3561" s="5">
        <f>IF(AND(C3561&gt;=Options!$B$9,C3561&lt;=Options!$B$10),"Seattle","")</f>
        <v/>
      </c>
      <c r="B3561" s="5">
        <f>IF(A3561="","",24)</f>
        <v/>
      </c>
      <c r="C3561" s="17" t="n">
        <v>46567</v>
      </c>
      <c r="D3561" s="5">
        <f>IF(A3561="","",IF(C3561=DATE(2026,11,29),"培训；注册午餐；早餐参数",IF(C3561=DATE(2026,11,30),"培训；注册午餐",IF(C3561=DATE(2026,12,1),"培训；注册午餐；机构晚餐",IF(C3561=Options!$B$9,"抵达；"&amp;IF(C3561=DATE(2026,11,28),"机构晚餐","无统一供餐"),IF(C3561=Options!$B$10,"返程；"&amp;IF(C3561=DATE(2026,12,2),"机构午餐","无统一供餐"),"差旅状态；无统一日程"))))))</f>
        <v/>
      </c>
      <c r="E3561" s="13">
        <f>IF(C3561=Options!$B$9,Options!$C$23,0)</f>
        <v/>
      </c>
      <c r="F3561" s="13">
        <f>IF(AND(A3561&lt;&gt;"",C3561&lt;Options!$B$10),B3561*Options!$X$9,0)</f>
        <v/>
      </c>
      <c r="G3561" s="13">
        <f>F3561*12%</f>
        <v/>
      </c>
      <c r="H3561" s="13">
        <f>IF(A3561="",0,B3561*(92*IF(OR(C3561=Options!$B$9,C3561=Options!$B$10),75%,100%)-IF(C3561=DATE(2026,11,29),26+IF(Options!$B$8="是",23,0),0)-IF(C3561=DATE(2026,11,30),26,0)-IF(C3561=DATE(2026,12,1),64,0)-IF(C3561=DATE(2026,11,28),38,0)-IF(C3561=DATE(2026,12,2),26,0)))</f>
        <v/>
      </c>
      <c r="I3561" s="13">
        <f>IF(AND(C3561&gt;=DATE(2026,11,29),C3561&lt;=DATE(2026,12,1)),B3561*60,0)</f>
        <v/>
      </c>
      <c r="J3561" s="13">
        <f>IF(A3561="",0,B3561*(IF(C3561=DATE(2026,11,28),38,0)+IF(C3561=DATE(2026,12,1),38,0)+IF(C3561=DATE(2026,12,2),26,0)))</f>
        <v/>
      </c>
      <c r="K3561" s="13">
        <f>IF(C3561=Options!$B$9,B3561*12,0)</f>
        <v/>
      </c>
      <c r="L3561" s="13">
        <f>IF(C3561=Options!$B$9,B3561*Options!$Z$9,0)</f>
        <v/>
      </c>
      <c r="M3561" s="13" t="n">
        <v>0</v>
      </c>
      <c r="N3561" s="13">
        <f>SUM(E3561:M3561)</f>
        <v/>
      </c>
    </row>
    <row r="3562">
      <c r="A3562" s="5">
        <f>IF(AND(C3562&gt;=Options!$B$9,C3562&lt;=Options!$B$10),"Seattle","")</f>
        <v/>
      </c>
      <c r="B3562" s="5">
        <f>IF(A3562="","",24)</f>
        <v/>
      </c>
      <c r="C3562" s="17" t="n">
        <v>46568</v>
      </c>
      <c r="D3562" s="5">
        <f>IF(A3562="","",IF(C3562=DATE(2026,11,29),"培训；注册午餐；早餐参数",IF(C3562=DATE(2026,11,30),"培训；注册午餐",IF(C3562=DATE(2026,12,1),"培训；注册午餐；机构晚餐",IF(C3562=Options!$B$9,"抵达；"&amp;IF(C3562=DATE(2026,11,28),"机构晚餐","无统一供餐"),IF(C3562=Options!$B$10,"返程；"&amp;IF(C3562=DATE(2026,12,2),"机构午餐","无统一供餐"),"差旅状态；无统一日程"))))))</f>
        <v/>
      </c>
      <c r="E3562" s="13">
        <f>IF(C3562=Options!$B$9,Options!$C$23,0)</f>
        <v/>
      </c>
      <c r="F3562" s="13">
        <f>IF(AND(A3562&lt;&gt;"",C3562&lt;Options!$B$10),B3562*Options!$X$9,0)</f>
        <v/>
      </c>
      <c r="G3562" s="13">
        <f>F3562*12%</f>
        <v/>
      </c>
      <c r="H3562" s="13">
        <f>IF(A3562="",0,B3562*(92*IF(OR(C3562=Options!$B$9,C3562=Options!$B$10),75%,100%)-IF(C3562=DATE(2026,11,29),26+IF(Options!$B$8="是",23,0),0)-IF(C3562=DATE(2026,11,30),26,0)-IF(C3562=DATE(2026,12,1),64,0)-IF(C3562=DATE(2026,11,28),38,0)-IF(C3562=DATE(2026,12,2),26,0)))</f>
        <v/>
      </c>
      <c r="I3562" s="13">
        <f>IF(AND(C3562&gt;=DATE(2026,11,29),C3562&lt;=DATE(2026,12,1)),B3562*60,0)</f>
        <v/>
      </c>
      <c r="J3562" s="13">
        <f>IF(A3562="",0,B3562*(IF(C3562=DATE(2026,11,28),38,0)+IF(C3562=DATE(2026,12,1),38,0)+IF(C3562=DATE(2026,12,2),26,0)))</f>
        <v/>
      </c>
      <c r="K3562" s="13">
        <f>IF(C3562=Options!$B$9,B3562*12,0)</f>
        <v/>
      </c>
      <c r="L3562" s="13">
        <f>IF(C3562=Options!$B$9,B3562*Options!$Z$9,0)</f>
        <v/>
      </c>
      <c r="M3562" s="13" t="n">
        <v>0</v>
      </c>
      <c r="N3562" s="13">
        <f>SUM(E3562:M3562)</f>
        <v/>
      </c>
    </row>
    <row r="3563">
      <c r="A3563" s="5">
        <f>IF(AND(C3563&gt;=Options!$B$9,C3563&lt;=Options!$B$10),"Seattle","")</f>
        <v/>
      </c>
      <c r="B3563" s="5">
        <f>IF(A3563="","",24)</f>
        <v/>
      </c>
      <c r="C3563" s="17" t="n">
        <v>46569</v>
      </c>
      <c r="D3563" s="5">
        <f>IF(A3563="","",IF(C3563=DATE(2026,11,29),"培训；注册午餐；早餐参数",IF(C3563=DATE(2026,11,30),"培训；注册午餐",IF(C3563=DATE(2026,12,1),"培训；注册午餐；机构晚餐",IF(C3563=Options!$B$9,"抵达；"&amp;IF(C3563=DATE(2026,11,28),"机构晚餐","无统一供餐"),IF(C3563=Options!$B$10,"返程；"&amp;IF(C3563=DATE(2026,12,2),"机构午餐","无统一供餐"),"差旅状态；无统一日程"))))))</f>
        <v/>
      </c>
      <c r="E3563" s="13">
        <f>IF(C3563=Options!$B$9,Options!$C$23,0)</f>
        <v/>
      </c>
      <c r="F3563" s="13">
        <f>IF(AND(A3563&lt;&gt;"",C3563&lt;Options!$B$10),B3563*Options!$X$9,0)</f>
        <v/>
      </c>
      <c r="G3563" s="13">
        <f>F3563*12%</f>
        <v/>
      </c>
      <c r="H3563" s="13">
        <f>IF(A3563="",0,B3563*(92*IF(OR(C3563=Options!$B$9,C3563=Options!$B$10),75%,100%)-IF(C3563=DATE(2026,11,29),26+IF(Options!$B$8="是",23,0),0)-IF(C3563=DATE(2026,11,30),26,0)-IF(C3563=DATE(2026,12,1),64,0)-IF(C3563=DATE(2026,11,28),38,0)-IF(C3563=DATE(2026,12,2),26,0)))</f>
        <v/>
      </c>
      <c r="I3563" s="13">
        <f>IF(AND(C3563&gt;=DATE(2026,11,29),C3563&lt;=DATE(2026,12,1)),B3563*60,0)</f>
        <v/>
      </c>
      <c r="J3563" s="13">
        <f>IF(A3563="",0,B3563*(IF(C3563=DATE(2026,11,28),38,0)+IF(C3563=DATE(2026,12,1),38,0)+IF(C3563=DATE(2026,12,2),26,0)))</f>
        <v/>
      </c>
      <c r="K3563" s="13">
        <f>IF(C3563=Options!$B$9,B3563*12,0)</f>
        <v/>
      </c>
      <c r="L3563" s="13">
        <f>IF(C3563=Options!$B$9,B3563*Options!$Z$9,0)</f>
        <v/>
      </c>
      <c r="M3563" s="13" t="n">
        <v>0</v>
      </c>
      <c r="N3563" s="13">
        <f>SUM(E3563:M3563)</f>
        <v/>
      </c>
    </row>
    <row r="3564">
      <c r="A3564" s="5">
        <f>IF(AND(C3564&gt;=Options!$B$9,C3564&lt;=Options!$B$10),"Seattle","")</f>
        <v/>
      </c>
      <c r="B3564" s="5">
        <f>IF(A3564="","",24)</f>
        <v/>
      </c>
      <c r="C3564" s="17" t="n">
        <v>46570</v>
      </c>
      <c r="D3564" s="5">
        <f>IF(A3564="","",IF(C3564=DATE(2026,11,29),"培训；注册午餐；早餐参数",IF(C3564=DATE(2026,11,30),"培训；注册午餐",IF(C3564=DATE(2026,12,1),"培训；注册午餐；机构晚餐",IF(C3564=Options!$B$9,"抵达；"&amp;IF(C3564=DATE(2026,11,28),"机构晚餐","无统一供餐"),IF(C3564=Options!$B$10,"返程；"&amp;IF(C3564=DATE(2026,12,2),"机构午餐","无统一供餐"),"差旅状态；无统一日程"))))))</f>
        <v/>
      </c>
      <c r="E3564" s="13">
        <f>IF(C3564=Options!$B$9,Options!$C$23,0)</f>
        <v/>
      </c>
      <c r="F3564" s="13">
        <f>IF(AND(A3564&lt;&gt;"",C3564&lt;Options!$B$10),B3564*Options!$X$9,0)</f>
        <v/>
      </c>
      <c r="G3564" s="13">
        <f>F3564*12%</f>
        <v/>
      </c>
      <c r="H3564" s="13">
        <f>IF(A3564="",0,B3564*(92*IF(OR(C3564=Options!$B$9,C3564=Options!$B$10),75%,100%)-IF(C3564=DATE(2026,11,29),26+IF(Options!$B$8="是",23,0),0)-IF(C3564=DATE(2026,11,30),26,0)-IF(C3564=DATE(2026,12,1),64,0)-IF(C3564=DATE(2026,11,28),38,0)-IF(C3564=DATE(2026,12,2),26,0)))</f>
        <v/>
      </c>
      <c r="I3564" s="13">
        <f>IF(AND(C3564&gt;=DATE(2026,11,29),C3564&lt;=DATE(2026,12,1)),B3564*60,0)</f>
        <v/>
      </c>
      <c r="J3564" s="13">
        <f>IF(A3564="",0,B3564*(IF(C3564=DATE(2026,11,28),38,0)+IF(C3564=DATE(2026,12,1),38,0)+IF(C3564=DATE(2026,12,2),26,0)))</f>
        <v/>
      </c>
      <c r="K3564" s="13">
        <f>IF(C3564=Options!$B$9,B3564*12,0)</f>
        <v/>
      </c>
      <c r="L3564" s="13">
        <f>IF(C3564=Options!$B$9,B3564*Options!$Z$9,0)</f>
        <v/>
      </c>
      <c r="M3564" s="13" t="n">
        <v>0</v>
      </c>
      <c r="N3564" s="13">
        <f>SUM(E3564:M3564)</f>
        <v/>
      </c>
    </row>
    <row r="3565">
      <c r="A3565" s="5">
        <f>IF(AND(C3565&gt;=Options!$B$9,C3565&lt;=Options!$B$10),"Seattle","")</f>
        <v/>
      </c>
      <c r="B3565" s="5">
        <f>IF(A3565="","",24)</f>
        <v/>
      </c>
      <c r="C3565" s="17" t="n">
        <v>46571</v>
      </c>
      <c r="D3565" s="5">
        <f>IF(A3565="","",IF(C3565=DATE(2026,11,29),"培训；注册午餐；早餐参数",IF(C3565=DATE(2026,11,30),"培训；注册午餐",IF(C3565=DATE(2026,12,1),"培训；注册午餐；机构晚餐",IF(C3565=Options!$B$9,"抵达；"&amp;IF(C3565=DATE(2026,11,28),"机构晚餐","无统一供餐"),IF(C3565=Options!$B$10,"返程；"&amp;IF(C3565=DATE(2026,12,2),"机构午餐","无统一供餐"),"差旅状态；无统一日程"))))))</f>
        <v/>
      </c>
      <c r="E3565" s="13">
        <f>IF(C3565=Options!$B$9,Options!$C$23,0)</f>
        <v/>
      </c>
      <c r="F3565" s="13">
        <f>IF(AND(A3565&lt;&gt;"",C3565&lt;Options!$B$10),B3565*Options!$X$9,0)</f>
        <v/>
      </c>
      <c r="G3565" s="13">
        <f>F3565*12%</f>
        <v/>
      </c>
      <c r="H3565" s="13">
        <f>IF(A3565="",0,B3565*(92*IF(OR(C3565=Options!$B$9,C3565=Options!$B$10),75%,100%)-IF(C3565=DATE(2026,11,29),26+IF(Options!$B$8="是",23,0),0)-IF(C3565=DATE(2026,11,30),26,0)-IF(C3565=DATE(2026,12,1),64,0)-IF(C3565=DATE(2026,11,28),38,0)-IF(C3565=DATE(2026,12,2),26,0)))</f>
        <v/>
      </c>
      <c r="I3565" s="13">
        <f>IF(AND(C3565&gt;=DATE(2026,11,29),C3565&lt;=DATE(2026,12,1)),B3565*60,0)</f>
        <v/>
      </c>
      <c r="J3565" s="13">
        <f>IF(A3565="",0,B3565*(IF(C3565=DATE(2026,11,28),38,0)+IF(C3565=DATE(2026,12,1),38,0)+IF(C3565=DATE(2026,12,2),26,0)))</f>
        <v/>
      </c>
      <c r="K3565" s="13">
        <f>IF(C3565=Options!$B$9,B3565*12,0)</f>
        <v/>
      </c>
      <c r="L3565" s="13">
        <f>IF(C3565=Options!$B$9,B3565*Options!$Z$9,0)</f>
        <v/>
      </c>
      <c r="M3565" s="13" t="n">
        <v>0</v>
      </c>
      <c r="N3565" s="13">
        <f>SUM(E3565:M3565)</f>
        <v/>
      </c>
    </row>
    <row r="3566">
      <c r="A3566" s="5">
        <f>IF(AND(C3566&gt;=Options!$B$9,C3566&lt;=Options!$B$10),"Seattle","")</f>
        <v/>
      </c>
      <c r="B3566" s="5">
        <f>IF(A3566="","",24)</f>
        <v/>
      </c>
      <c r="C3566" s="17" t="n">
        <v>46572</v>
      </c>
      <c r="D3566" s="5">
        <f>IF(A3566="","",IF(C3566=DATE(2026,11,29),"培训；注册午餐；早餐参数",IF(C3566=DATE(2026,11,30),"培训；注册午餐",IF(C3566=DATE(2026,12,1),"培训；注册午餐；机构晚餐",IF(C3566=Options!$B$9,"抵达；"&amp;IF(C3566=DATE(2026,11,28),"机构晚餐","无统一供餐"),IF(C3566=Options!$B$10,"返程；"&amp;IF(C3566=DATE(2026,12,2),"机构午餐","无统一供餐"),"差旅状态；无统一日程"))))))</f>
        <v/>
      </c>
      <c r="E3566" s="13">
        <f>IF(C3566=Options!$B$9,Options!$C$23,0)</f>
        <v/>
      </c>
      <c r="F3566" s="13">
        <f>IF(AND(A3566&lt;&gt;"",C3566&lt;Options!$B$10),B3566*Options!$X$9,0)</f>
        <v/>
      </c>
      <c r="G3566" s="13">
        <f>F3566*12%</f>
        <v/>
      </c>
      <c r="H3566" s="13">
        <f>IF(A3566="",0,B3566*(92*IF(OR(C3566=Options!$B$9,C3566=Options!$B$10),75%,100%)-IF(C3566=DATE(2026,11,29),26+IF(Options!$B$8="是",23,0),0)-IF(C3566=DATE(2026,11,30),26,0)-IF(C3566=DATE(2026,12,1),64,0)-IF(C3566=DATE(2026,11,28),38,0)-IF(C3566=DATE(2026,12,2),26,0)))</f>
        <v/>
      </c>
      <c r="I3566" s="13">
        <f>IF(AND(C3566&gt;=DATE(2026,11,29),C3566&lt;=DATE(2026,12,1)),B3566*60,0)</f>
        <v/>
      </c>
      <c r="J3566" s="13">
        <f>IF(A3566="",0,B3566*(IF(C3566=DATE(2026,11,28),38,0)+IF(C3566=DATE(2026,12,1),38,0)+IF(C3566=DATE(2026,12,2),26,0)))</f>
        <v/>
      </c>
      <c r="K3566" s="13">
        <f>IF(C3566=Options!$B$9,B3566*12,0)</f>
        <v/>
      </c>
      <c r="L3566" s="13">
        <f>IF(C3566=Options!$B$9,B3566*Options!$Z$9,0)</f>
        <v/>
      </c>
      <c r="M3566" s="13" t="n">
        <v>0</v>
      </c>
      <c r="N3566" s="13">
        <f>SUM(E3566:M3566)</f>
        <v/>
      </c>
    </row>
    <row r="3567">
      <c r="A3567" s="5">
        <f>IF(AND(C3567&gt;=Options!$B$9,C3567&lt;=Options!$B$10),"Seattle","")</f>
        <v/>
      </c>
      <c r="B3567" s="5">
        <f>IF(A3567="","",24)</f>
        <v/>
      </c>
      <c r="C3567" s="17" t="n">
        <v>46573</v>
      </c>
      <c r="D3567" s="5">
        <f>IF(A3567="","",IF(C3567=DATE(2026,11,29),"培训；注册午餐；早餐参数",IF(C3567=DATE(2026,11,30),"培训；注册午餐",IF(C3567=DATE(2026,12,1),"培训；注册午餐；机构晚餐",IF(C3567=Options!$B$9,"抵达；"&amp;IF(C3567=DATE(2026,11,28),"机构晚餐","无统一供餐"),IF(C3567=Options!$B$10,"返程；"&amp;IF(C3567=DATE(2026,12,2),"机构午餐","无统一供餐"),"差旅状态；无统一日程"))))))</f>
        <v/>
      </c>
      <c r="E3567" s="13">
        <f>IF(C3567=Options!$B$9,Options!$C$23,0)</f>
        <v/>
      </c>
      <c r="F3567" s="13">
        <f>IF(AND(A3567&lt;&gt;"",C3567&lt;Options!$B$10),B3567*Options!$X$9,0)</f>
        <v/>
      </c>
      <c r="G3567" s="13">
        <f>F3567*12%</f>
        <v/>
      </c>
      <c r="H3567" s="13">
        <f>IF(A3567="",0,B3567*(92*IF(OR(C3567=Options!$B$9,C3567=Options!$B$10),75%,100%)-IF(C3567=DATE(2026,11,29),26+IF(Options!$B$8="是",23,0),0)-IF(C3567=DATE(2026,11,30),26,0)-IF(C3567=DATE(2026,12,1),64,0)-IF(C3567=DATE(2026,11,28),38,0)-IF(C3567=DATE(2026,12,2),26,0)))</f>
        <v/>
      </c>
      <c r="I3567" s="13">
        <f>IF(AND(C3567&gt;=DATE(2026,11,29),C3567&lt;=DATE(2026,12,1)),B3567*60,0)</f>
        <v/>
      </c>
      <c r="J3567" s="13">
        <f>IF(A3567="",0,B3567*(IF(C3567=DATE(2026,11,28),38,0)+IF(C3567=DATE(2026,12,1),38,0)+IF(C3567=DATE(2026,12,2),26,0)))</f>
        <v/>
      </c>
      <c r="K3567" s="13">
        <f>IF(C3567=Options!$B$9,B3567*12,0)</f>
        <v/>
      </c>
      <c r="L3567" s="13">
        <f>IF(C3567=Options!$B$9,B3567*Options!$Z$9,0)</f>
        <v/>
      </c>
      <c r="M3567" s="13" t="n">
        <v>0</v>
      </c>
      <c r="N3567" s="13">
        <f>SUM(E3567:M3567)</f>
        <v/>
      </c>
    </row>
    <row r="3568">
      <c r="A3568" s="5">
        <f>IF(AND(C3568&gt;=Options!$B$9,C3568&lt;=Options!$B$10),"Seattle","")</f>
        <v/>
      </c>
      <c r="B3568" s="5">
        <f>IF(A3568="","",24)</f>
        <v/>
      </c>
      <c r="C3568" s="17" t="n">
        <v>46574</v>
      </c>
      <c r="D3568" s="5">
        <f>IF(A3568="","",IF(C3568=DATE(2026,11,29),"培训；注册午餐；早餐参数",IF(C3568=DATE(2026,11,30),"培训；注册午餐",IF(C3568=DATE(2026,12,1),"培训；注册午餐；机构晚餐",IF(C3568=Options!$B$9,"抵达；"&amp;IF(C3568=DATE(2026,11,28),"机构晚餐","无统一供餐"),IF(C3568=Options!$B$10,"返程；"&amp;IF(C3568=DATE(2026,12,2),"机构午餐","无统一供餐"),"差旅状态；无统一日程"))))))</f>
        <v/>
      </c>
      <c r="E3568" s="13">
        <f>IF(C3568=Options!$B$9,Options!$C$23,0)</f>
        <v/>
      </c>
      <c r="F3568" s="13">
        <f>IF(AND(A3568&lt;&gt;"",C3568&lt;Options!$B$10),B3568*Options!$X$9,0)</f>
        <v/>
      </c>
      <c r="G3568" s="13">
        <f>F3568*12%</f>
        <v/>
      </c>
      <c r="H3568" s="13">
        <f>IF(A3568="",0,B3568*(92*IF(OR(C3568=Options!$B$9,C3568=Options!$B$10),75%,100%)-IF(C3568=DATE(2026,11,29),26+IF(Options!$B$8="是",23,0),0)-IF(C3568=DATE(2026,11,30),26,0)-IF(C3568=DATE(2026,12,1),64,0)-IF(C3568=DATE(2026,11,28),38,0)-IF(C3568=DATE(2026,12,2),26,0)))</f>
        <v/>
      </c>
      <c r="I3568" s="13">
        <f>IF(AND(C3568&gt;=DATE(2026,11,29),C3568&lt;=DATE(2026,12,1)),B3568*60,0)</f>
        <v/>
      </c>
      <c r="J3568" s="13">
        <f>IF(A3568="",0,B3568*(IF(C3568=DATE(2026,11,28),38,0)+IF(C3568=DATE(2026,12,1),38,0)+IF(C3568=DATE(2026,12,2),26,0)))</f>
        <v/>
      </c>
      <c r="K3568" s="13">
        <f>IF(C3568=Options!$B$9,B3568*12,0)</f>
        <v/>
      </c>
      <c r="L3568" s="13">
        <f>IF(C3568=Options!$B$9,B3568*Options!$Z$9,0)</f>
        <v/>
      </c>
      <c r="M3568" s="13" t="n">
        <v>0</v>
      </c>
      <c r="N3568" s="13">
        <f>SUM(E3568:M3568)</f>
        <v/>
      </c>
    </row>
    <row r="3569">
      <c r="A3569" s="5">
        <f>IF(AND(C3569&gt;=Options!$B$9,C3569&lt;=Options!$B$10),"Seattle","")</f>
        <v/>
      </c>
      <c r="B3569" s="5">
        <f>IF(A3569="","",24)</f>
        <v/>
      </c>
      <c r="C3569" s="17" t="n">
        <v>46575</v>
      </c>
      <c r="D3569" s="5">
        <f>IF(A3569="","",IF(C3569=DATE(2026,11,29),"培训；注册午餐；早餐参数",IF(C3569=DATE(2026,11,30),"培训；注册午餐",IF(C3569=DATE(2026,12,1),"培训；注册午餐；机构晚餐",IF(C3569=Options!$B$9,"抵达；"&amp;IF(C3569=DATE(2026,11,28),"机构晚餐","无统一供餐"),IF(C3569=Options!$B$10,"返程；"&amp;IF(C3569=DATE(2026,12,2),"机构午餐","无统一供餐"),"差旅状态；无统一日程"))))))</f>
        <v/>
      </c>
      <c r="E3569" s="13">
        <f>IF(C3569=Options!$B$9,Options!$C$23,0)</f>
        <v/>
      </c>
      <c r="F3569" s="13">
        <f>IF(AND(A3569&lt;&gt;"",C3569&lt;Options!$B$10),B3569*Options!$X$9,0)</f>
        <v/>
      </c>
      <c r="G3569" s="13">
        <f>F3569*12%</f>
        <v/>
      </c>
      <c r="H3569" s="13">
        <f>IF(A3569="",0,B3569*(92*IF(OR(C3569=Options!$B$9,C3569=Options!$B$10),75%,100%)-IF(C3569=DATE(2026,11,29),26+IF(Options!$B$8="是",23,0),0)-IF(C3569=DATE(2026,11,30),26,0)-IF(C3569=DATE(2026,12,1),64,0)-IF(C3569=DATE(2026,11,28),38,0)-IF(C3569=DATE(2026,12,2),26,0)))</f>
        <v/>
      </c>
      <c r="I3569" s="13">
        <f>IF(AND(C3569&gt;=DATE(2026,11,29),C3569&lt;=DATE(2026,12,1)),B3569*60,0)</f>
        <v/>
      </c>
      <c r="J3569" s="13">
        <f>IF(A3569="",0,B3569*(IF(C3569=DATE(2026,11,28),38,0)+IF(C3569=DATE(2026,12,1),38,0)+IF(C3569=DATE(2026,12,2),26,0)))</f>
        <v/>
      </c>
      <c r="K3569" s="13">
        <f>IF(C3569=Options!$B$9,B3569*12,0)</f>
        <v/>
      </c>
      <c r="L3569" s="13">
        <f>IF(C3569=Options!$B$9,B3569*Options!$Z$9,0)</f>
        <v/>
      </c>
      <c r="M3569" s="13" t="n">
        <v>0</v>
      </c>
      <c r="N3569" s="13">
        <f>SUM(E3569:M3569)</f>
        <v/>
      </c>
    </row>
    <row r="3570">
      <c r="A3570" s="5">
        <f>IF(AND(C3570&gt;=Options!$B$9,C3570&lt;=Options!$B$10),"Seattle","")</f>
        <v/>
      </c>
      <c r="B3570" s="5">
        <f>IF(A3570="","",24)</f>
        <v/>
      </c>
      <c r="C3570" s="17" t="n">
        <v>46576</v>
      </c>
      <c r="D3570" s="5">
        <f>IF(A3570="","",IF(C3570=DATE(2026,11,29),"培训；注册午餐；早餐参数",IF(C3570=DATE(2026,11,30),"培训；注册午餐",IF(C3570=DATE(2026,12,1),"培训；注册午餐；机构晚餐",IF(C3570=Options!$B$9,"抵达；"&amp;IF(C3570=DATE(2026,11,28),"机构晚餐","无统一供餐"),IF(C3570=Options!$B$10,"返程；"&amp;IF(C3570=DATE(2026,12,2),"机构午餐","无统一供餐"),"差旅状态；无统一日程"))))))</f>
        <v/>
      </c>
      <c r="E3570" s="13">
        <f>IF(C3570=Options!$B$9,Options!$C$23,0)</f>
        <v/>
      </c>
      <c r="F3570" s="13">
        <f>IF(AND(A3570&lt;&gt;"",C3570&lt;Options!$B$10),B3570*Options!$X$9,0)</f>
        <v/>
      </c>
      <c r="G3570" s="13">
        <f>F3570*12%</f>
        <v/>
      </c>
      <c r="H3570" s="13">
        <f>IF(A3570="",0,B3570*(92*IF(OR(C3570=Options!$B$9,C3570=Options!$B$10),75%,100%)-IF(C3570=DATE(2026,11,29),26+IF(Options!$B$8="是",23,0),0)-IF(C3570=DATE(2026,11,30),26,0)-IF(C3570=DATE(2026,12,1),64,0)-IF(C3570=DATE(2026,11,28),38,0)-IF(C3570=DATE(2026,12,2),26,0)))</f>
        <v/>
      </c>
      <c r="I3570" s="13">
        <f>IF(AND(C3570&gt;=DATE(2026,11,29),C3570&lt;=DATE(2026,12,1)),B3570*60,0)</f>
        <v/>
      </c>
      <c r="J3570" s="13">
        <f>IF(A3570="",0,B3570*(IF(C3570=DATE(2026,11,28),38,0)+IF(C3570=DATE(2026,12,1),38,0)+IF(C3570=DATE(2026,12,2),26,0)))</f>
        <v/>
      </c>
      <c r="K3570" s="13">
        <f>IF(C3570=Options!$B$9,B3570*12,0)</f>
        <v/>
      </c>
      <c r="L3570" s="13">
        <f>IF(C3570=Options!$B$9,B3570*Options!$Z$9,0)</f>
        <v/>
      </c>
      <c r="M3570" s="13" t="n">
        <v>0</v>
      </c>
      <c r="N3570" s="13">
        <f>SUM(E3570:M3570)</f>
        <v/>
      </c>
    </row>
    <row r="3571">
      <c r="A3571" s="5">
        <f>IF(AND(C3571&gt;=Options!$B$9,C3571&lt;=Options!$B$10),"Seattle","")</f>
        <v/>
      </c>
      <c r="B3571" s="5">
        <f>IF(A3571="","",24)</f>
        <v/>
      </c>
      <c r="C3571" s="17" t="n">
        <v>46577</v>
      </c>
      <c r="D3571" s="5">
        <f>IF(A3571="","",IF(C3571=DATE(2026,11,29),"培训；注册午餐；早餐参数",IF(C3571=DATE(2026,11,30),"培训；注册午餐",IF(C3571=DATE(2026,12,1),"培训；注册午餐；机构晚餐",IF(C3571=Options!$B$9,"抵达；"&amp;IF(C3571=DATE(2026,11,28),"机构晚餐","无统一供餐"),IF(C3571=Options!$B$10,"返程；"&amp;IF(C3571=DATE(2026,12,2),"机构午餐","无统一供餐"),"差旅状态；无统一日程"))))))</f>
        <v/>
      </c>
      <c r="E3571" s="13">
        <f>IF(C3571=Options!$B$9,Options!$C$23,0)</f>
        <v/>
      </c>
      <c r="F3571" s="13">
        <f>IF(AND(A3571&lt;&gt;"",C3571&lt;Options!$B$10),B3571*Options!$X$9,0)</f>
        <v/>
      </c>
      <c r="G3571" s="13">
        <f>F3571*12%</f>
        <v/>
      </c>
      <c r="H3571" s="13">
        <f>IF(A3571="",0,B3571*(92*IF(OR(C3571=Options!$B$9,C3571=Options!$B$10),75%,100%)-IF(C3571=DATE(2026,11,29),26+IF(Options!$B$8="是",23,0),0)-IF(C3571=DATE(2026,11,30),26,0)-IF(C3571=DATE(2026,12,1),64,0)-IF(C3571=DATE(2026,11,28),38,0)-IF(C3571=DATE(2026,12,2),26,0)))</f>
        <v/>
      </c>
      <c r="I3571" s="13">
        <f>IF(AND(C3571&gt;=DATE(2026,11,29),C3571&lt;=DATE(2026,12,1)),B3571*60,0)</f>
        <v/>
      </c>
      <c r="J3571" s="13">
        <f>IF(A3571="",0,B3571*(IF(C3571=DATE(2026,11,28),38,0)+IF(C3571=DATE(2026,12,1),38,0)+IF(C3571=DATE(2026,12,2),26,0)))</f>
        <v/>
      </c>
      <c r="K3571" s="13">
        <f>IF(C3571=Options!$B$9,B3571*12,0)</f>
        <v/>
      </c>
      <c r="L3571" s="13">
        <f>IF(C3571=Options!$B$9,B3571*Options!$Z$9,0)</f>
        <v/>
      </c>
      <c r="M3571" s="13" t="n">
        <v>0</v>
      </c>
      <c r="N3571" s="13">
        <f>SUM(E3571:M3571)</f>
        <v/>
      </c>
    </row>
    <row r="3572">
      <c r="A3572" s="5">
        <f>IF(AND(C3572&gt;=Options!$B$9,C3572&lt;=Options!$B$10),"Seattle","")</f>
        <v/>
      </c>
      <c r="B3572" s="5">
        <f>IF(A3572="","",24)</f>
        <v/>
      </c>
      <c r="C3572" s="17" t="n">
        <v>46578</v>
      </c>
      <c r="D3572" s="5">
        <f>IF(A3572="","",IF(C3572=DATE(2026,11,29),"培训；注册午餐；早餐参数",IF(C3572=DATE(2026,11,30),"培训；注册午餐",IF(C3572=DATE(2026,12,1),"培训；注册午餐；机构晚餐",IF(C3572=Options!$B$9,"抵达；"&amp;IF(C3572=DATE(2026,11,28),"机构晚餐","无统一供餐"),IF(C3572=Options!$B$10,"返程；"&amp;IF(C3572=DATE(2026,12,2),"机构午餐","无统一供餐"),"差旅状态；无统一日程"))))))</f>
        <v/>
      </c>
      <c r="E3572" s="13">
        <f>IF(C3572=Options!$B$9,Options!$C$23,0)</f>
        <v/>
      </c>
      <c r="F3572" s="13">
        <f>IF(AND(A3572&lt;&gt;"",C3572&lt;Options!$B$10),B3572*Options!$X$9,0)</f>
        <v/>
      </c>
      <c r="G3572" s="13">
        <f>F3572*12%</f>
        <v/>
      </c>
      <c r="H3572" s="13">
        <f>IF(A3572="",0,B3572*(92*IF(OR(C3572=Options!$B$9,C3572=Options!$B$10),75%,100%)-IF(C3572=DATE(2026,11,29),26+IF(Options!$B$8="是",23,0),0)-IF(C3572=DATE(2026,11,30),26,0)-IF(C3572=DATE(2026,12,1),64,0)-IF(C3572=DATE(2026,11,28),38,0)-IF(C3572=DATE(2026,12,2),26,0)))</f>
        <v/>
      </c>
      <c r="I3572" s="13">
        <f>IF(AND(C3572&gt;=DATE(2026,11,29),C3572&lt;=DATE(2026,12,1)),B3572*60,0)</f>
        <v/>
      </c>
      <c r="J3572" s="13">
        <f>IF(A3572="",0,B3572*(IF(C3572=DATE(2026,11,28),38,0)+IF(C3572=DATE(2026,12,1),38,0)+IF(C3572=DATE(2026,12,2),26,0)))</f>
        <v/>
      </c>
      <c r="K3572" s="13">
        <f>IF(C3572=Options!$B$9,B3572*12,0)</f>
        <v/>
      </c>
      <c r="L3572" s="13">
        <f>IF(C3572=Options!$B$9,B3572*Options!$Z$9,0)</f>
        <v/>
      </c>
      <c r="M3572" s="13" t="n">
        <v>0</v>
      </c>
      <c r="N3572" s="13">
        <f>SUM(E3572:M3572)</f>
        <v/>
      </c>
    </row>
    <row r="3573">
      <c r="A3573" s="5">
        <f>IF(AND(C3573&gt;=Options!$B$9,C3573&lt;=Options!$B$10),"Seattle","")</f>
        <v/>
      </c>
      <c r="B3573" s="5">
        <f>IF(A3573="","",24)</f>
        <v/>
      </c>
      <c r="C3573" s="17" t="n">
        <v>46579</v>
      </c>
      <c r="D3573" s="5">
        <f>IF(A3573="","",IF(C3573=DATE(2026,11,29),"培训；注册午餐；早餐参数",IF(C3573=DATE(2026,11,30),"培训；注册午餐",IF(C3573=DATE(2026,12,1),"培训；注册午餐；机构晚餐",IF(C3573=Options!$B$9,"抵达；"&amp;IF(C3573=DATE(2026,11,28),"机构晚餐","无统一供餐"),IF(C3573=Options!$B$10,"返程；"&amp;IF(C3573=DATE(2026,12,2),"机构午餐","无统一供餐"),"差旅状态；无统一日程"))))))</f>
        <v/>
      </c>
      <c r="E3573" s="13">
        <f>IF(C3573=Options!$B$9,Options!$C$23,0)</f>
        <v/>
      </c>
      <c r="F3573" s="13">
        <f>IF(AND(A3573&lt;&gt;"",C3573&lt;Options!$B$10),B3573*Options!$X$9,0)</f>
        <v/>
      </c>
      <c r="G3573" s="13">
        <f>F3573*12%</f>
        <v/>
      </c>
      <c r="H3573" s="13">
        <f>IF(A3573="",0,B3573*(92*IF(OR(C3573=Options!$B$9,C3573=Options!$B$10),75%,100%)-IF(C3573=DATE(2026,11,29),26+IF(Options!$B$8="是",23,0),0)-IF(C3573=DATE(2026,11,30),26,0)-IF(C3573=DATE(2026,12,1),64,0)-IF(C3573=DATE(2026,11,28),38,0)-IF(C3573=DATE(2026,12,2),26,0)))</f>
        <v/>
      </c>
      <c r="I3573" s="13">
        <f>IF(AND(C3573&gt;=DATE(2026,11,29),C3573&lt;=DATE(2026,12,1)),B3573*60,0)</f>
        <v/>
      </c>
      <c r="J3573" s="13">
        <f>IF(A3573="",0,B3573*(IF(C3573=DATE(2026,11,28),38,0)+IF(C3573=DATE(2026,12,1),38,0)+IF(C3573=DATE(2026,12,2),26,0)))</f>
        <v/>
      </c>
      <c r="K3573" s="13">
        <f>IF(C3573=Options!$B$9,B3573*12,0)</f>
        <v/>
      </c>
      <c r="L3573" s="13">
        <f>IF(C3573=Options!$B$9,B3573*Options!$Z$9,0)</f>
        <v/>
      </c>
      <c r="M3573" s="13" t="n">
        <v>0</v>
      </c>
      <c r="N3573" s="13">
        <f>SUM(E3573:M3573)</f>
        <v/>
      </c>
    </row>
    <row r="3574">
      <c r="A3574" s="5">
        <f>IF(AND(C3574&gt;=Options!$B$9,C3574&lt;=Options!$B$10),"Seattle","")</f>
        <v/>
      </c>
      <c r="B3574" s="5">
        <f>IF(A3574="","",24)</f>
        <v/>
      </c>
      <c r="C3574" s="17" t="n">
        <v>46580</v>
      </c>
      <c r="D3574" s="5">
        <f>IF(A3574="","",IF(C3574=DATE(2026,11,29),"培训；注册午餐；早餐参数",IF(C3574=DATE(2026,11,30),"培训；注册午餐",IF(C3574=DATE(2026,12,1),"培训；注册午餐；机构晚餐",IF(C3574=Options!$B$9,"抵达；"&amp;IF(C3574=DATE(2026,11,28),"机构晚餐","无统一供餐"),IF(C3574=Options!$B$10,"返程；"&amp;IF(C3574=DATE(2026,12,2),"机构午餐","无统一供餐"),"差旅状态；无统一日程"))))))</f>
        <v/>
      </c>
      <c r="E3574" s="13">
        <f>IF(C3574=Options!$B$9,Options!$C$23,0)</f>
        <v/>
      </c>
      <c r="F3574" s="13">
        <f>IF(AND(A3574&lt;&gt;"",C3574&lt;Options!$B$10),B3574*Options!$X$9,0)</f>
        <v/>
      </c>
      <c r="G3574" s="13">
        <f>F3574*12%</f>
        <v/>
      </c>
      <c r="H3574" s="13">
        <f>IF(A3574="",0,B3574*(92*IF(OR(C3574=Options!$B$9,C3574=Options!$B$10),75%,100%)-IF(C3574=DATE(2026,11,29),26+IF(Options!$B$8="是",23,0),0)-IF(C3574=DATE(2026,11,30),26,0)-IF(C3574=DATE(2026,12,1),64,0)-IF(C3574=DATE(2026,11,28),38,0)-IF(C3574=DATE(2026,12,2),26,0)))</f>
        <v/>
      </c>
      <c r="I3574" s="13">
        <f>IF(AND(C3574&gt;=DATE(2026,11,29),C3574&lt;=DATE(2026,12,1)),B3574*60,0)</f>
        <v/>
      </c>
      <c r="J3574" s="13">
        <f>IF(A3574="",0,B3574*(IF(C3574=DATE(2026,11,28),38,0)+IF(C3574=DATE(2026,12,1),38,0)+IF(C3574=DATE(2026,12,2),26,0)))</f>
        <v/>
      </c>
      <c r="K3574" s="13">
        <f>IF(C3574=Options!$B$9,B3574*12,0)</f>
        <v/>
      </c>
      <c r="L3574" s="13">
        <f>IF(C3574=Options!$B$9,B3574*Options!$Z$9,0)</f>
        <v/>
      </c>
      <c r="M3574" s="13" t="n">
        <v>0</v>
      </c>
      <c r="N3574" s="13">
        <f>SUM(E3574:M3574)</f>
        <v/>
      </c>
    </row>
    <row r="3575">
      <c r="A3575" s="5">
        <f>IF(AND(C3575&gt;=Options!$B$9,C3575&lt;=Options!$B$10),"Seattle","")</f>
        <v/>
      </c>
      <c r="B3575" s="5">
        <f>IF(A3575="","",24)</f>
        <v/>
      </c>
      <c r="C3575" s="17" t="n">
        <v>46581</v>
      </c>
      <c r="D3575" s="5">
        <f>IF(A3575="","",IF(C3575=DATE(2026,11,29),"培训；注册午餐；早餐参数",IF(C3575=DATE(2026,11,30),"培训；注册午餐",IF(C3575=DATE(2026,12,1),"培训；注册午餐；机构晚餐",IF(C3575=Options!$B$9,"抵达；"&amp;IF(C3575=DATE(2026,11,28),"机构晚餐","无统一供餐"),IF(C3575=Options!$B$10,"返程；"&amp;IF(C3575=DATE(2026,12,2),"机构午餐","无统一供餐"),"差旅状态；无统一日程"))))))</f>
        <v/>
      </c>
      <c r="E3575" s="13">
        <f>IF(C3575=Options!$B$9,Options!$C$23,0)</f>
        <v/>
      </c>
      <c r="F3575" s="13">
        <f>IF(AND(A3575&lt;&gt;"",C3575&lt;Options!$B$10),B3575*Options!$X$9,0)</f>
        <v/>
      </c>
      <c r="G3575" s="13">
        <f>F3575*12%</f>
        <v/>
      </c>
      <c r="H3575" s="13">
        <f>IF(A3575="",0,B3575*(92*IF(OR(C3575=Options!$B$9,C3575=Options!$B$10),75%,100%)-IF(C3575=DATE(2026,11,29),26+IF(Options!$B$8="是",23,0),0)-IF(C3575=DATE(2026,11,30),26,0)-IF(C3575=DATE(2026,12,1),64,0)-IF(C3575=DATE(2026,11,28),38,0)-IF(C3575=DATE(2026,12,2),26,0)))</f>
        <v/>
      </c>
      <c r="I3575" s="13">
        <f>IF(AND(C3575&gt;=DATE(2026,11,29),C3575&lt;=DATE(2026,12,1)),B3575*60,0)</f>
        <v/>
      </c>
      <c r="J3575" s="13">
        <f>IF(A3575="",0,B3575*(IF(C3575=DATE(2026,11,28),38,0)+IF(C3575=DATE(2026,12,1),38,0)+IF(C3575=DATE(2026,12,2),26,0)))</f>
        <v/>
      </c>
      <c r="K3575" s="13">
        <f>IF(C3575=Options!$B$9,B3575*12,0)</f>
        <v/>
      </c>
      <c r="L3575" s="13">
        <f>IF(C3575=Options!$B$9,B3575*Options!$Z$9,0)</f>
        <v/>
      </c>
      <c r="M3575" s="13" t="n">
        <v>0</v>
      </c>
      <c r="N3575" s="13">
        <f>SUM(E3575:M3575)</f>
        <v/>
      </c>
    </row>
    <row r="3576">
      <c r="A3576" s="5">
        <f>IF(AND(C3576&gt;=Options!$B$9,C3576&lt;=Options!$B$10),"Seattle","")</f>
        <v/>
      </c>
      <c r="B3576" s="5">
        <f>IF(A3576="","",24)</f>
        <v/>
      </c>
      <c r="C3576" s="17" t="n">
        <v>46582</v>
      </c>
      <c r="D3576" s="5">
        <f>IF(A3576="","",IF(C3576=DATE(2026,11,29),"培训；注册午餐；早餐参数",IF(C3576=DATE(2026,11,30),"培训；注册午餐",IF(C3576=DATE(2026,12,1),"培训；注册午餐；机构晚餐",IF(C3576=Options!$B$9,"抵达；"&amp;IF(C3576=DATE(2026,11,28),"机构晚餐","无统一供餐"),IF(C3576=Options!$B$10,"返程；"&amp;IF(C3576=DATE(2026,12,2),"机构午餐","无统一供餐"),"差旅状态；无统一日程"))))))</f>
        <v/>
      </c>
      <c r="E3576" s="13">
        <f>IF(C3576=Options!$B$9,Options!$C$23,0)</f>
        <v/>
      </c>
      <c r="F3576" s="13">
        <f>IF(AND(A3576&lt;&gt;"",C3576&lt;Options!$B$10),B3576*Options!$X$9,0)</f>
        <v/>
      </c>
      <c r="G3576" s="13">
        <f>F3576*12%</f>
        <v/>
      </c>
      <c r="H3576" s="13">
        <f>IF(A3576="",0,B3576*(92*IF(OR(C3576=Options!$B$9,C3576=Options!$B$10),75%,100%)-IF(C3576=DATE(2026,11,29),26+IF(Options!$B$8="是",23,0),0)-IF(C3576=DATE(2026,11,30),26,0)-IF(C3576=DATE(2026,12,1),64,0)-IF(C3576=DATE(2026,11,28),38,0)-IF(C3576=DATE(2026,12,2),26,0)))</f>
        <v/>
      </c>
      <c r="I3576" s="13">
        <f>IF(AND(C3576&gt;=DATE(2026,11,29),C3576&lt;=DATE(2026,12,1)),B3576*60,0)</f>
        <v/>
      </c>
      <c r="J3576" s="13">
        <f>IF(A3576="",0,B3576*(IF(C3576=DATE(2026,11,28),38,0)+IF(C3576=DATE(2026,12,1),38,0)+IF(C3576=DATE(2026,12,2),26,0)))</f>
        <v/>
      </c>
      <c r="K3576" s="13">
        <f>IF(C3576=Options!$B$9,B3576*12,0)</f>
        <v/>
      </c>
      <c r="L3576" s="13">
        <f>IF(C3576=Options!$B$9,B3576*Options!$Z$9,0)</f>
        <v/>
      </c>
      <c r="M3576" s="13" t="n">
        <v>0</v>
      </c>
      <c r="N3576" s="13">
        <f>SUM(E3576:M3576)</f>
        <v/>
      </c>
    </row>
    <row r="3577">
      <c r="A3577" s="5">
        <f>IF(AND(C3577&gt;=Options!$B$9,C3577&lt;=Options!$B$10),"Seattle","")</f>
        <v/>
      </c>
      <c r="B3577" s="5">
        <f>IF(A3577="","",24)</f>
        <v/>
      </c>
      <c r="C3577" s="17" t="n">
        <v>46583</v>
      </c>
      <c r="D3577" s="5">
        <f>IF(A3577="","",IF(C3577=DATE(2026,11,29),"培训；注册午餐；早餐参数",IF(C3577=DATE(2026,11,30),"培训；注册午餐",IF(C3577=DATE(2026,12,1),"培训；注册午餐；机构晚餐",IF(C3577=Options!$B$9,"抵达；"&amp;IF(C3577=DATE(2026,11,28),"机构晚餐","无统一供餐"),IF(C3577=Options!$B$10,"返程；"&amp;IF(C3577=DATE(2026,12,2),"机构午餐","无统一供餐"),"差旅状态；无统一日程"))))))</f>
        <v/>
      </c>
      <c r="E3577" s="13">
        <f>IF(C3577=Options!$B$9,Options!$C$23,0)</f>
        <v/>
      </c>
      <c r="F3577" s="13">
        <f>IF(AND(A3577&lt;&gt;"",C3577&lt;Options!$B$10),B3577*Options!$X$9,0)</f>
        <v/>
      </c>
      <c r="G3577" s="13">
        <f>F3577*12%</f>
        <v/>
      </c>
      <c r="H3577" s="13">
        <f>IF(A3577="",0,B3577*(92*IF(OR(C3577=Options!$B$9,C3577=Options!$B$10),75%,100%)-IF(C3577=DATE(2026,11,29),26+IF(Options!$B$8="是",23,0),0)-IF(C3577=DATE(2026,11,30),26,0)-IF(C3577=DATE(2026,12,1),64,0)-IF(C3577=DATE(2026,11,28),38,0)-IF(C3577=DATE(2026,12,2),26,0)))</f>
        <v/>
      </c>
      <c r="I3577" s="13">
        <f>IF(AND(C3577&gt;=DATE(2026,11,29),C3577&lt;=DATE(2026,12,1)),B3577*60,0)</f>
        <v/>
      </c>
      <c r="J3577" s="13">
        <f>IF(A3577="",0,B3577*(IF(C3577=DATE(2026,11,28),38,0)+IF(C3577=DATE(2026,12,1),38,0)+IF(C3577=DATE(2026,12,2),26,0)))</f>
        <v/>
      </c>
      <c r="K3577" s="13">
        <f>IF(C3577=Options!$B$9,B3577*12,0)</f>
        <v/>
      </c>
      <c r="L3577" s="13">
        <f>IF(C3577=Options!$B$9,B3577*Options!$Z$9,0)</f>
        <v/>
      </c>
      <c r="M3577" s="13" t="n">
        <v>0</v>
      </c>
      <c r="N3577" s="13">
        <f>SUM(E3577:M3577)</f>
        <v/>
      </c>
    </row>
    <row r="3578">
      <c r="A3578" s="5">
        <f>IF(AND(C3578&gt;=Options!$B$9,C3578&lt;=Options!$B$10),"Seattle","")</f>
        <v/>
      </c>
      <c r="B3578" s="5">
        <f>IF(A3578="","",24)</f>
        <v/>
      </c>
      <c r="C3578" s="17" t="n">
        <v>46584</v>
      </c>
      <c r="D3578" s="5">
        <f>IF(A3578="","",IF(C3578=DATE(2026,11,29),"培训；注册午餐；早餐参数",IF(C3578=DATE(2026,11,30),"培训；注册午餐",IF(C3578=DATE(2026,12,1),"培训；注册午餐；机构晚餐",IF(C3578=Options!$B$9,"抵达；"&amp;IF(C3578=DATE(2026,11,28),"机构晚餐","无统一供餐"),IF(C3578=Options!$B$10,"返程；"&amp;IF(C3578=DATE(2026,12,2),"机构午餐","无统一供餐"),"差旅状态；无统一日程"))))))</f>
        <v/>
      </c>
      <c r="E3578" s="13">
        <f>IF(C3578=Options!$B$9,Options!$C$23,0)</f>
        <v/>
      </c>
      <c r="F3578" s="13">
        <f>IF(AND(A3578&lt;&gt;"",C3578&lt;Options!$B$10),B3578*Options!$X$9,0)</f>
        <v/>
      </c>
      <c r="G3578" s="13">
        <f>F3578*12%</f>
        <v/>
      </c>
      <c r="H3578" s="13">
        <f>IF(A3578="",0,B3578*(92*IF(OR(C3578=Options!$B$9,C3578=Options!$B$10),75%,100%)-IF(C3578=DATE(2026,11,29),26+IF(Options!$B$8="是",23,0),0)-IF(C3578=DATE(2026,11,30),26,0)-IF(C3578=DATE(2026,12,1),64,0)-IF(C3578=DATE(2026,11,28),38,0)-IF(C3578=DATE(2026,12,2),26,0)))</f>
        <v/>
      </c>
      <c r="I3578" s="13">
        <f>IF(AND(C3578&gt;=DATE(2026,11,29),C3578&lt;=DATE(2026,12,1)),B3578*60,0)</f>
        <v/>
      </c>
      <c r="J3578" s="13">
        <f>IF(A3578="",0,B3578*(IF(C3578=DATE(2026,11,28),38,0)+IF(C3578=DATE(2026,12,1),38,0)+IF(C3578=DATE(2026,12,2),26,0)))</f>
        <v/>
      </c>
      <c r="K3578" s="13">
        <f>IF(C3578=Options!$B$9,B3578*12,0)</f>
        <v/>
      </c>
      <c r="L3578" s="13">
        <f>IF(C3578=Options!$B$9,B3578*Options!$Z$9,0)</f>
        <v/>
      </c>
      <c r="M3578" s="13" t="n">
        <v>0</v>
      </c>
      <c r="N3578" s="13">
        <f>SUM(E3578:M3578)</f>
        <v/>
      </c>
    </row>
    <row r="3579">
      <c r="A3579" s="5">
        <f>IF(AND(C3579&gt;=Options!$B$9,C3579&lt;=Options!$B$10),"Seattle","")</f>
        <v/>
      </c>
      <c r="B3579" s="5">
        <f>IF(A3579="","",24)</f>
        <v/>
      </c>
      <c r="C3579" s="17" t="n">
        <v>46585</v>
      </c>
      <c r="D3579" s="5">
        <f>IF(A3579="","",IF(C3579=DATE(2026,11,29),"培训；注册午餐；早餐参数",IF(C3579=DATE(2026,11,30),"培训；注册午餐",IF(C3579=DATE(2026,12,1),"培训；注册午餐；机构晚餐",IF(C3579=Options!$B$9,"抵达；"&amp;IF(C3579=DATE(2026,11,28),"机构晚餐","无统一供餐"),IF(C3579=Options!$B$10,"返程；"&amp;IF(C3579=DATE(2026,12,2),"机构午餐","无统一供餐"),"差旅状态；无统一日程"))))))</f>
        <v/>
      </c>
      <c r="E3579" s="13">
        <f>IF(C3579=Options!$B$9,Options!$C$23,0)</f>
        <v/>
      </c>
      <c r="F3579" s="13">
        <f>IF(AND(A3579&lt;&gt;"",C3579&lt;Options!$B$10),B3579*Options!$X$9,0)</f>
        <v/>
      </c>
      <c r="G3579" s="13">
        <f>F3579*12%</f>
        <v/>
      </c>
      <c r="H3579" s="13">
        <f>IF(A3579="",0,B3579*(92*IF(OR(C3579=Options!$B$9,C3579=Options!$B$10),75%,100%)-IF(C3579=DATE(2026,11,29),26+IF(Options!$B$8="是",23,0),0)-IF(C3579=DATE(2026,11,30),26,0)-IF(C3579=DATE(2026,12,1),64,0)-IF(C3579=DATE(2026,11,28),38,0)-IF(C3579=DATE(2026,12,2),26,0)))</f>
        <v/>
      </c>
      <c r="I3579" s="13">
        <f>IF(AND(C3579&gt;=DATE(2026,11,29),C3579&lt;=DATE(2026,12,1)),B3579*60,0)</f>
        <v/>
      </c>
      <c r="J3579" s="13">
        <f>IF(A3579="",0,B3579*(IF(C3579=DATE(2026,11,28),38,0)+IF(C3579=DATE(2026,12,1),38,0)+IF(C3579=DATE(2026,12,2),26,0)))</f>
        <v/>
      </c>
      <c r="K3579" s="13">
        <f>IF(C3579=Options!$B$9,B3579*12,0)</f>
        <v/>
      </c>
      <c r="L3579" s="13">
        <f>IF(C3579=Options!$B$9,B3579*Options!$Z$9,0)</f>
        <v/>
      </c>
      <c r="M3579" s="13" t="n">
        <v>0</v>
      </c>
      <c r="N3579" s="13">
        <f>SUM(E3579:M3579)</f>
        <v/>
      </c>
    </row>
    <row r="3580">
      <c r="A3580" s="5">
        <f>IF(AND(C3580&gt;=Options!$B$9,C3580&lt;=Options!$B$10),"Seattle","")</f>
        <v/>
      </c>
      <c r="B3580" s="5">
        <f>IF(A3580="","",24)</f>
        <v/>
      </c>
      <c r="C3580" s="17" t="n">
        <v>46586</v>
      </c>
      <c r="D3580" s="5">
        <f>IF(A3580="","",IF(C3580=DATE(2026,11,29),"培训；注册午餐；早餐参数",IF(C3580=DATE(2026,11,30),"培训；注册午餐",IF(C3580=DATE(2026,12,1),"培训；注册午餐；机构晚餐",IF(C3580=Options!$B$9,"抵达；"&amp;IF(C3580=DATE(2026,11,28),"机构晚餐","无统一供餐"),IF(C3580=Options!$B$10,"返程；"&amp;IF(C3580=DATE(2026,12,2),"机构午餐","无统一供餐"),"差旅状态；无统一日程"))))))</f>
        <v/>
      </c>
      <c r="E3580" s="13">
        <f>IF(C3580=Options!$B$9,Options!$C$23,0)</f>
        <v/>
      </c>
      <c r="F3580" s="13">
        <f>IF(AND(A3580&lt;&gt;"",C3580&lt;Options!$B$10),B3580*Options!$X$9,0)</f>
        <v/>
      </c>
      <c r="G3580" s="13">
        <f>F3580*12%</f>
        <v/>
      </c>
      <c r="H3580" s="13">
        <f>IF(A3580="",0,B3580*(92*IF(OR(C3580=Options!$B$9,C3580=Options!$B$10),75%,100%)-IF(C3580=DATE(2026,11,29),26+IF(Options!$B$8="是",23,0),0)-IF(C3580=DATE(2026,11,30),26,0)-IF(C3580=DATE(2026,12,1),64,0)-IF(C3580=DATE(2026,11,28),38,0)-IF(C3580=DATE(2026,12,2),26,0)))</f>
        <v/>
      </c>
      <c r="I3580" s="13">
        <f>IF(AND(C3580&gt;=DATE(2026,11,29),C3580&lt;=DATE(2026,12,1)),B3580*60,0)</f>
        <v/>
      </c>
      <c r="J3580" s="13">
        <f>IF(A3580="",0,B3580*(IF(C3580=DATE(2026,11,28),38,0)+IF(C3580=DATE(2026,12,1),38,0)+IF(C3580=DATE(2026,12,2),26,0)))</f>
        <v/>
      </c>
      <c r="K3580" s="13">
        <f>IF(C3580=Options!$B$9,B3580*12,0)</f>
        <v/>
      </c>
      <c r="L3580" s="13">
        <f>IF(C3580=Options!$B$9,B3580*Options!$Z$9,0)</f>
        <v/>
      </c>
      <c r="M3580" s="13" t="n">
        <v>0</v>
      </c>
      <c r="N3580" s="13">
        <f>SUM(E3580:M3580)</f>
        <v/>
      </c>
    </row>
    <row r="3581">
      <c r="A3581" s="5">
        <f>IF(AND(C3581&gt;=Options!$B$9,C3581&lt;=Options!$B$10),"Seattle","")</f>
        <v/>
      </c>
      <c r="B3581" s="5">
        <f>IF(A3581="","",24)</f>
        <v/>
      </c>
      <c r="C3581" s="17" t="n">
        <v>46587</v>
      </c>
      <c r="D3581" s="5">
        <f>IF(A3581="","",IF(C3581=DATE(2026,11,29),"培训；注册午餐；早餐参数",IF(C3581=DATE(2026,11,30),"培训；注册午餐",IF(C3581=DATE(2026,12,1),"培训；注册午餐；机构晚餐",IF(C3581=Options!$B$9,"抵达；"&amp;IF(C3581=DATE(2026,11,28),"机构晚餐","无统一供餐"),IF(C3581=Options!$B$10,"返程；"&amp;IF(C3581=DATE(2026,12,2),"机构午餐","无统一供餐"),"差旅状态；无统一日程"))))))</f>
        <v/>
      </c>
      <c r="E3581" s="13">
        <f>IF(C3581=Options!$B$9,Options!$C$23,0)</f>
        <v/>
      </c>
      <c r="F3581" s="13">
        <f>IF(AND(A3581&lt;&gt;"",C3581&lt;Options!$B$10),B3581*Options!$X$9,0)</f>
        <v/>
      </c>
      <c r="G3581" s="13">
        <f>F3581*12%</f>
        <v/>
      </c>
      <c r="H3581" s="13">
        <f>IF(A3581="",0,B3581*(92*IF(OR(C3581=Options!$B$9,C3581=Options!$B$10),75%,100%)-IF(C3581=DATE(2026,11,29),26+IF(Options!$B$8="是",23,0),0)-IF(C3581=DATE(2026,11,30),26,0)-IF(C3581=DATE(2026,12,1),64,0)-IF(C3581=DATE(2026,11,28),38,0)-IF(C3581=DATE(2026,12,2),26,0)))</f>
        <v/>
      </c>
      <c r="I3581" s="13">
        <f>IF(AND(C3581&gt;=DATE(2026,11,29),C3581&lt;=DATE(2026,12,1)),B3581*60,0)</f>
        <v/>
      </c>
      <c r="J3581" s="13">
        <f>IF(A3581="",0,B3581*(IF(C3581=DATE(2026,11,28),38,0)+IF(C3581=DATE(2026,12,1),38,0)+IF(C3581=DATE(2026,12,2),26,0)))</f>
        <v/>
      </c>
      <c r="K3581" s="13">
        <f>IF(C3581=Options!$B$9,B3581*12,0)</f>
        <v/>
      </c>
      <c r="L3581" s="13">
        <f>IF(C3581=Options!$B$9,B3581*Options!$Z$9,0)</f>
        <v/>
      </c>
      <c r="M3581" s="13" t="n">
        <v>0</v>
      </c>
      <c r="N3581" s="13">
        <f>SUM(E3581:M3581)</f>
        <v/>
      </c>
    </row>
    <row r="3582">
      <c r="A3582" s="5">
        <f>IF(AND(C3582&gt;=Options!$B$9,C3582&lt;=Options!$B$10),"Seattle","")</f>
        <v/>
      </c>
      <c r="B3582" s="5">
        <f>IF(A3582="","",24)</f>
        <v/>
      </c>
      <c r="C3582" s="17" t="n">
        <v>46588</v>
      </c>
      <c r="D3582" s="5">
        <f>IF(A3582="","",IF(C3582=DATE(2026,11,29),"培训；注册午餐；早餐参数",IF(C3582=DATE(2026,11,30),"培训；注册午餐",IF(C3582=DATE(2026,12,1),"培训；注册午餐；机构晚餐",IF(C3582=Options!$B$9,"抵达；"&amp;IF(C3582=DATE(2026,11,28),"机构晚餐","无统一供餐"),IF(C3582=Options!$B$10,"返程；"&amp;IF(C3582=DATE(2026,12,2),"机构午餐","无统一供餐"),"差旅状态；无统一日程"))))))</f>
        <v/>
      </c>
      <c r="E3582" s="13">
        <f>IF(C3582=Options!$B$9,Options!$C$23,0)</f>
        <v/>
      </c>
      <c r="F3582" s="13">
        <f>IF(AND(A3582&lt;&gt;"",C3582&lt;Options!$B$10),B3582*Options!$X$9,0)</f>
        <v/>
      </c>
      <c r="G3582" s="13">
        <f>F3582*12%</f>
        <v/>
      </c>
      <c r="H3582" s="13">
        <f>IF(A3582="",0,B3582*(92*IF(OR(C3582=Options!$B$9,C3582=Options!$B$10),75%,100%)-IF(C3582=DATE(2026,11,29),26+IF(Options!$B$8="是",23,0),0)-IF(C3582=DATE(2026,11,30),26,0)-IF(C3582=DATE(2026,12,1),64,0)-IF(C3582=DATE(2026,11,28),38,0)-IF(C3582=DATE(2026,12,2),26,0)))</f>
        <v/>
      </c>
      <c r="I3582" s="13">
        <f>IF(AND(C3582&gt;=DATE(2026,11,29),C3582&lt;=DATE(2026,12,1)),B3582*60,0)</f>
        <v/>
      </c>
      <c r="J3582" s="13">
        <f>IF(A3582="",0,B3582*(IF(C3582=DATE(2026,11,28),38,0)+IF(C3582=DATE(2026,12,1),38,0)+IF(C3582=DATE(2026,12,2),26,0)))</f>
        <v/>
      </c>
      <c r="K3582" s="13">
        <f>IF(C3582=Options!$B$9,B3582*12,0)</f>
        <v/>
      </c>
      <c r="L3582" s="13">
        <f>IF(C3582=Options!$B$9,B3582*Options!$Z$9,0)</f>
        <v/>
      </c>
      <c r="M3582" s="13" t="n">
        <v>0</v>
      </c>
      <c r="N3582" s="13">
        <f>SUM(E3582:M3582)</f>
        <v/>
      </c>
    </row>
    <row r="3583">
      <c r="A3583" s="5">
        <f>IF(AND(C3583&gt;=Options!$B$9,C3583&lt;=Options!$B$10),"Seattle","")</f>
        <v/>
      </c>
      <c r="B3583" s="5">
        <f>IF(A3583="","",24)</f>
        <v/>
      </c>
      <c r="C3583" s="17" t="n">
        <v>46589</v>
      </c>
      <c r="D3583" s="5">
        <f>IF(A3583="","",IF(C3583=DATE(2026,11,29),"培训；注册午餐；早餐参数",IF(C3583=DATE(2026,11,30),"培训；注册午餐",IF(C3583=DATE(2026,12,1),"培训；注册午餐；机构晚餐",IF(C3583=Options!$B$9,"抵达；"&amp;IF(C3583=DATE(2026,11,28),"机构晚餐","无统一供餐"),IF(C3583=Options!$B$10,"返程；"&amp;IF(C3583=DATE(2026,12,2),"机构午餐","无统一供餐"),"差旅状态；无统一日程"))))))</f>
        <v/>
      </c>
      <c r="E3583" s="13">
        <f>IF(C3583=Options!$B$9,Options!$C$23,0)</f>
        <v/>
      </c>
      <c r="F3583" s="13">
        <f>IF(AND(A3583&lt;&gt;"",C3583&lt;Options!$B$10),B3583*Options!$X$9,0)</f>
        <v/>
      </c>
      <c r="G3583" s="13">
        <f>F3583*12%</f>
        <v/>
      </c>
      <c r="H3583" s="13">
        <f>IF(A3583="",0,B3583*(92*IF(OR(C3583=Options!$B$9,C3583=Options!$B$10),75%,100%)-IF(C3583=DATE(2026,11,29),26+IF(Options!$B$8="是",23,0),0)-IF(C3583=DATE(2026,11,30),26,0)-IF(C3583=DATE(2026,12,1),64,0)-IF(C3583=DATE(2026,11,28),38,0)-IF(C3583=DATE(2026,12,2),26,0)))</f>
        <v/>
      </c>
      <c r="I3583" s="13">
        <f>IF(AND(C3583&gt;=DATE(2026,11,29),C3583&lt;=DATE(2026,12,1)),B3583*60,0)</f>
        <v/>
      </c>
      <c r="J3583" s="13">
        <f>IF(A3583="",0,B3583*(IF(C3583=DATE(2026,11,28),38,0)+IF(C3583=DATE(2026,12,1),38,0)+IF(C3583=DATE(2026,12,2),26,0)))</f>
        <v/>
      </c>
      <c r="K3583" s="13">
        <f>IF(C3583=Options!$B$9,B3583*12,0)</f>
        <v/>
      </c>
      <c r="L3583" s="13">
        <f>IF(C3583=Options!$B$9,B3583*Options!$Z$9,0)</f>
        <v/>
      </c>
      <c r="M3583" s="13" t="n">
        <v>0</v>
      </c>
      <c r="N3583" s="13">
        <f>SUM(E3583:M3583)</f>
        <v/>
      </c>
    </row>
    <row r="3584">
      <c r="A3584" s="5">
        <f>IF(AND(C3584&gt;=Options!$B$9,C3584&lt;=Options!$B$10),"Seattle","")</f>
        <v/>
      </c>
      <c r="B3584" s="5">
        <f>IF(A3584="","",24)</f>
        <v/>
      </c>
      <c r="C3584" s="17" t="n">
        <v>46590</v>
      </c>
      <c r="D3584" s="5">
        <f>IF(A3584="","",IF(C3584=DATE(2026,11,29),"培训；注册午餐；早餐参数",IF(C3584=DATE(2026,11,30),"培训；注册午餐",IF(C3584=DATE(2026,12,1),"培训；注册午餐；机构晚餐",IF(C3584=Options!$B$9,"抵达；"&amp;IF(C3584=DATE(2026,11,28),"机构晚餐","无统一供餐"),IF(C3584=Options!$B$10,"返程；"&amp;IF(C3584=DATE(2026,12,2),"机构午餐","无统一供餐"),"差旅状态；无统一日程"))))))</f>
        <v/>
      </c>
      <c r="E3584" s="13">
        <f>IF(C3584=Options!$B$9,Options!$C$23,0)</f>
        <v/>
      </c>
      <c r="F3584" s="13">
        <f>IF(AND(A3584&lt;&gt;"",C3584&lt;Options!$B$10),B3584*Options!$X$9,0)</f>
        <v/>
      </c>
      <c r="G3584" s="13">
        <f>F3584*12%</f>
        <v/>
      </c>
      <c r="H3584" s="13">
        <f>IF(A3584="",0,B3584*(92*IF(OR(C3584=Options!$B$9,C3584=Options!$B$10),75%,100%)-IF(C3584=DATE(2026,11,29),26+IF(Options!$B$8="是",23,0),0)-IF(C3584=DATE(2026,11,30),26,0)-IF(C3584=DATE(2026,12,1),64,0)-IF(C3584=DATE(2026,11,28),38,0)-IF(C3584=DATE(2026,12,2),26,0)))</f>
        <v/>
      </c>
      <c r="I3584" s="13">
        <f>IF(AND(C3584&gt;=DATE(2026,11,29),C3584&lt;=DATE(2026,12,1)),B3584*60,0)</f>
        <v/>
      </c>
      <c r="J3584" s="13">
        <f>IF(A3584="",0,B3584*(IF(C3584=DATE(2026,11,28),38,0)+IF(C3584=DATE(2026,12,1),38,0)+IF(C3584=DATE(2026,12,2),26,0)))</f>
        <v/>
      </c>
      <c r="K3584" s="13">
        <f>IF(C3584=Options!$B$9,B3584*12,0)</f>
        <v/>
      </c>
      <c r="L3584" s="13">
        <f>IF(C3584=Options!$B$9,B3584*Options!$Z$9,0)</f>
        <v/>
      </c>
      <c r="M3584" s="13" t="n">
        <v>0</v>
      </c>
      <c r="N3584" s="13">
        <f>SUM(E3584:M3584)</f>
        <v/>
      </c>
    </row>
    <row r="3585">
      <c r="A3585" s="5">
        <f>IF(AND(C3585&gt;=Options!$B$9,C3585&lt;=Options!$B$10),"Seattle","")</f>
        <v/>
      </c>
      <c r="B3585" s="5">
        <f>IF(A3585="","",24)</f>
        <v/>
      </c>
      <c r="C3585" s="17" t="n">
        <v>46591</v>
      </c>
      <c r="D3585" s="5">
        <f>IF(A3585="","",IF(C3585=DATE(2026,11,29),"培训；注册午餐；早餐参数",IF(C3585=DATE(2026,11,30),"培训；注册午餐",IF(C3585=DATE(2026,12,1),"培训；注册午餐；机构晚餐",IF(C3585=Options!$B$9,"抵达；"&amp;IF(C3585=DATE(2026,11,28),"机构晚餐","无统一供餐"),IF(C3585=Options!$B$10,"返程；"&amp;IF(C3585=DATE(2026,12,2),"机构午餐","无统一供餐"),"差旅状态；无统一日程"))))))</f>
        <v/>
      </c>
      <c r="E3585" s="13">
        <f>IF(C3585=Options!$B$9,Options!$C$23,0)</f>
        <v/>
      </c>
      <c r="F3585" s="13">
        <f>IF(AND(A3585&lt;&gt;"",C3585&lt;Options!$B$10),B3585*Options!$X$9,0)</f>
        <v/>
      </c>
      <c r="G3585" s="13">
        <f>F3585*12%</f>
        <v/>
      </c>
      <c r="H3585" s="13">
        <f>IF(A3585="",0,B3585*(92*IF(OR(C3585=Options!$B$9,C3585=Options!$B$10),75%,100%)-IF(C3585=DATE(2026,11,29),26+IF(Options!$B$8="是",23,0),0)-IF(C3585=DATE(2026,11,30),26,0)-IF(C3585=DATE(2026,12,1),64,0)-IF(C3585=DATE(2026,11,28),38,0)-IF(C3585=DATE(2026,12,2),26,0)))</f>
        <v/>
      </c>
      <c r="I3585" s="13">
        <f>IF(AND(C3585&gt;=DATE(2026,11,29),C3585&lt;=DATE(2026,12,1)),B3585*60,0)</f>
        <v/>
      </c>
      <c r="J3585" s="13">
        <f>IF(A3585="",0,B3585*(IF(C3585=DATE(2026,11,28),38,0)+IF(C3585=DATE(2026,12,1),38,0)+IF(C3585=DATE(2026,12,2),26,0)))</f>
        <v/>
      </c>
      <c r="K3585" s="13">
        <f>IF(C3585=Options!$B$9,B3585*12,0)</f>
        <v/>
      </c>
      <c r="L3585" s="13">
        <f>IF(C3585=Options!$B$9,B3585*Options!$Z$9,0)</f>
        <v/>
      </c>
      <c r="M3585" s="13" t="n">
        <v>0</v>
      </c>
      <c r="N3585" s="13">
        <f>SUM(E3585:M3585)</f>
        <v/>
      </c>
    </row>
    <row r="3586">
      <c r="A3586" s="5">
        <f>IF(AND(C3586&gt;=Options!$B$9,C3586&lt;=Options!$B$10),"Seattle","")</f>
        <v/>
      </c>
      <c r="B3586" s="5">
        <f>IF(A3586="","",24)</f>
        <v/>
      </c>
      <c r="C3586" s="17" t="n">
        <v>46592</v>
      </c>
      <c r="D3586" s="5">
        <f>IF(A3586="","",IF(C3586=DATE(2026,11,29),"培训；注册午餐；早餐参数",IF(C3586=DATE(2026,11,30),"培训；注册午餐",IF(C3586=DATE(2026,12,1),"培训；注册午餐；机构晚餐",IF(C3586=Options!$B$9,"抵达；"&amp;IF(C3586=DATE(2026,11,28),"机构晚餐","无统一供餐"),IF(C3586=Options!$B$10,"返程；"&amp;IF(C3586=DATE(2026,12,2),"机构午餐","无统一供餐"),"差旅状态；无统一日程"))))))</f>
        <v/>
      </c>
      <c r="E3586" s="13">
        <f>IF(C3586=Options!$B$9,Options!$C$23,0)</f>
        <v/>
      </c>
      <c r="F3586" s="13">
        <f>IF(AND(A3586&lt;&gt;"",C3586&lt;Options!$B$10),B3586*Options!$X$9,0)</f>
        <v/>
      </c>
      <c r="G3586" s="13">
        <f>F3586*12%</f>
        <v/>
      </c>
      <c r="H3586" s="13">
        <f>IF(A3586="",0,B3586*(92*IF(OR(C3586=Options!$B$9,C3586=Options!$B$10),75%,100%)-IF(C3586=DATE(2026,11,29),26+IF(Options!$B$8="是",23,0),0)-IF(C3586=DATE(2026,11,30),26,0)-IF(C3586=DATE(2026,12,1),64,0)-IF(C3586=DATE(2026,11,28),38,0)-IF(C3586=DATE(2026,12,2),26,0)))</f>
        <v/>
      </c>
      <c r="I3586" s="13">
        <f>IF(AND(C3586&gt;=DATE(2026,11,29),C3586&lt;=DATE(2026,12,1)),B3586*60,0)</f>
        <v/>
      </c>
      <c r="J3586" s="13">
        <f>IF(A3586="",0,B3586*(IF(C3586=DATE(2026,11,28),38,0)+IF(C3586=DATE(2026,12,1),38,0)+IF(C3586=DATE(2026,12,2),26,0)))</f>
        <v/>
      </c>
      <c r="K3586" s="13">
        <f>IF(C3586=Options!$B$9,B3586*12,0)</f>
        <v/>
      </c>
      <c r="L3586" s="13">
        <f>IF(C3586=Options!$B$9,B3586*Options!$Z$9,0)</f>
        <v/>
      </c>
      <c r="M3586" s="13" t="n">
        <v>0</v>
      </c>
      <c r="N3586" s="13">
        <f>SUM(E3586:M3586)</f>
        <v/>
      </c>
    </row>
    <row r="3587">
      <c r="A3587" s="5">
        <f>IF(AND(C3587&gt;=Options!$B$9,C3587&lt;=Options!$B$10),"Seattle","")</f>
        <v/>
      </c>
      <c r="B3587" s="5">
        <f>IF(A3587="","",24)</f>
        <v/>
      </c>
      <c r="C3587" s="17" t="n">
        <v>46593</v>
      </c>
      <c r="D3587" s="5">
        <f>IF(A3587="","",IF(C3587=DATE(2026,11,29),"培训；注册午餐；早餐参数",IF(C3587=DATE(2026,11,30),"培训；注册午餐",IF(C3587=DATE(2026,12,1),"培训；注册午餐；机构晚餐",IF(C3587=Options!$B$9,"抵达；"&amp;IF(C3587=DATE(2026,11,28),"机构晚餐","无统一供餐"),IF(C3587=Options!$B$10,"返程；"&amp;IF(C3587=DATE(2026,12,2),"机构午餐","无统一供餐"),"差旅状态；无统一日程"))))))</f>
        <v/>
      </c>
      <c r="E3587" s="13">
        <f>IF(C3587=Options!$B$9,Options!$C$23,0)</f>
        <v/>
      </c>
      <c r="F3587" s="13">
        <f>IF(AND(A3587&lt;&gt;"",C3587&lt;Options!$B$10),B3587*Options!$X$9,0)</f>
        <v/>
      </c>
      <c r="G3587" s="13">
        <f>F3587*12%</f>
        <v/>
      </c>
      <c r="H3587" s="13">
        <f>IF(A3587="",0,B3587*(92*IF(OR(C3587=Options!$B$9,C3587=Options!$B$10),75%,100%)-IF(C3587=DATE(2026,11,29),26+IF(Options!$B$8="是",23,0),0)-IF(C3587=DATE(2026,11,30),26,0)-IF(C3587=DATE(2026,12,1),64,0)-IF(C3587=DATE(2026,11,28),38,0)-IF(C3587=DATE(2026,12,2),26,0)))</f>
        <v/>
      </c>
      <c r="I3587" s="13">
        <f>IF(AND(C3587&gt;=DATE(2026,11,29),C3587&lt;=DATE(2026,12,1)),B3587*60,0)</f>
        <v/>
      </c>
      <c r="J3587" s="13">
        <f>IF(A3587="",0,B3587*(IF(C3587=DATE(2026,11,28),38,0)+IF(C3587=DATE(2026,12,1),38,0)+IF(C3587=DATE(2026,12,2),26,0)))</f>
        <v/>
      </c>
      <c r="K3587" s="13">
        <f>IF(C3587=Options!$B$9,B3587*12,0)</f>
        <v/>
      </c>
      <c r="L3587" s="13">
        <f>IF(C3587=Options!$B$9,B3587*Options!$Z$9,0)</f>
        <v/>
      </c>
      <c r="M3587" s="13" t="n">
        <v>0</v>
      </c>
      <c r="N3587" s="13">
        <f>SUM(E3587:M3587)</f>
        <v/>
      </c>
    </row>
    <row r="3588">
      <c r="A3588" s="5">
        <f>IF(AND(C3588&gt;=Options!$B$9,C3588&lt;=Options!$B$10),"Seattle","")</f>
        <v/>
      </c>
      <c r="B3588" s="5">
        <f>IF(A3588="","",24)</f>
        <v/>
      </c>
      <c r="C3588" s="17" t="n">
        <v>46594</v>
      </c>
      <c r="D3588" s="5">
        <f>IF(A3588="","",IF(C3588=DATE(2026,11,29),"培训；注册午餐；早餐参数",IF(C3588=DATE(2026,11,30),"培训；注册午餐",IF(C3588=DATE(2026,12,1),"培训；注册午餐；机构晚餐",IF(C3588=Options!$B$9,"抵达；"&amp;IF(C3588=DATE(2026,11,28),"机构晚餐","无统一供餐"),IF(C3588=Options!$B$10,"返程；"&amp;IF(C3588=DATE(2026,12,2),"机构午餐","无统一供餐"),"差旅状态；无统一日程"))))))</f>
        <v/>
      </c>
      <c r="E3588" s="13">
        <f>IF(C3588=Options!$B$9,Options!$C$23,0)</f>
        <v/>
      </c>
      <c r="F3588" s="13">
        <f>IF(AND(A3588&lt;&gt;"",C3588&lt;Options!$B$10),B3588*Options!$X$9,0)</f>
        <v/>
      </c>
      <c r="G3588" s="13">
        <f>F3588*12%</f>
        <v/>
      </c>
      <c r="H3588" s="13">
        <f>IF(A3588="",0,B3588*(92*IF(OR(C3588=Options!$B$9,C3588=Options!$B$10),75%,100%)-IF(C3588=DATE(2026,11,29),26+IF(Options!$B$8="是",23,0),0)-IF(C3588=DATE(2026,11,30),26,0)-IF(C3588=DATE(2026,12,1),64,0)-IF(C3588=DATE(2026,11,28),38,0)-IF(C3588=DATE(2026,12,2),26,0)))</f>
        <v/>
      </c>
      <c r="I3588" s="13">
        <f>IF(AND(C3588&gt;=DATE(2026,11,29),C3588&lt;=DATE(2026,12,1)),B3588*60,0)</f>
        <v/>
      </c>
      <c r="J3588" s="13">
        <f>IF(A3588="",0,B3588*(IF(C3588=DATE(2026,11,28),38,0)+IF(C3588=DATE(2026,12,1),38,0)+IF(C3588=DATE(2026,12,2),26,0)))</f>
        <v/>
      </c>
      <c r="K3588" s="13">
        <f>IF(C3588=Options!$B$9,B3588*12,0)</f>
        <v/>
      </c>
      <c r="L3588" s="13">
        <f>IF(C3588=Options!$B$9,B3588*Options!$Z$9,0)</f>
        <v/>
      </c>
      <c r="M3588" s="13" t="n">
        <v>0</v>
      </c>
      <c r="N3588" s="13">
        <f>SUM(E3588:M3588)</f>
        <v/>
      </c>
    </row>
    <row r="3589">
      <c r="A3589" s="5">
        <f>IF(AND(C3589&gt;=Options!$B$9,C3589&lt;=Options!$B$10),"Seattle","")</f>
        <v/>
      </c>
      <c r="B3589" s="5">
        <f>IF(A3589="","",24)</f>
        <v/>
      </c>
      <c r="C3589" s="17" t="n">
        <v>46595</v>
      </c>
      <c r="D3589" s="5">
        <f>IF(A3589="","",IF(C3589=DATE(2026,11,29),"培训；注册午餐；早餐参数",IF(C3589=DATE(2026,11,30),"培训；注册午餐",IF(C3589=DATE(2026,12,1),"培训；注册午餐；机构晚餐",IF(C3589=Options!$B$9,"抵达；"&amp;IF(C3589=DATE(2026,11,28),"机构晚餐","无统一供餐"),IF(C3589=Options!$B$10,"返程；"&amp;IF(C3589=DATE(2026,12,2),"机构午餐","无统一供餐"),"差旅状态；无统一日程"))))))</f>
        <v/>
      </c>
      <c r="E3589" s="13">
        <f>IF(C3589=Options!$B$9,Options!$C$23,0)</f>
        <v/>
      </c>
      <c r="F3589" s="13">
        <f>IF(AND(A3589&lt;&gt;"",C3589&lt;Options!$B$10),B3589*Options!$X$9,0)</f>
        <v/>
      </c>
      <c r="G3589" s="13">
        <f>F3589*12%</f>
        <v/>
      </c>
      <c r="H3589" s="13">
        <f>IF(A3589="",0,B3589*(92*IF(OR(C3589=Options!$B$9,C3589=Options!$B$10),75%,100%)-IF(C3589=DATE(2026,11,29),26+IF(Options!$B$8="是",23,0),0)-IF(C3589=DATE(2026,11,30),26,0)-IF(C3589=DATE(2026,12,1),64,0)-IF(C3589=DATE(2026,11,28),38,0)-IF(C3589=DATE(2026,12,2),26,0)))</f>
        <v/>
      </c>
      <c r="I3589" s="13">
        <f>IF(AND(C3589&gt;=DATE(2026,11,29),C3589&lt;=DATE(2026,12,1)),B3589*60,0)</f>
        <v/>
      </c>
      <c r="J3589" s="13">
        <f>IF(A3589="",0,B3589*(IF(C3589=DATE(2026,11,28),38,0)+IF(C3589=DATE(2026,12,1),38,0)+IF(C3589=DATE(2026,12,2),26,0)))</f>
        <v/>
      </c>
      <c r="K3589" s="13">
        <f>IF(C3589=Options!$B$9,B3589*12,0)</f>
        <v/>
      </c>
      <c r="L3589" s="13">
        <f>IF(C3589=Options!$B$9,B3589*Options!$Z$9,0)</f>
        <v/>
      </c>
      <c r="M3589" s="13" t="n">
        <v>0</v>
      </c>
      <c r="N3589" s="13">
        <f>SUM(E3589:M3589)</f>
        <v/>
      </c>
    </row>
    <row r="3590">
      <c r="A3590" s="5">
        <f>IF(AND(C3590&gt;=Options!$B$9,C3590&lt;=Options!$B$10),"Seattle","")</f>
        <v/>
      </c>
      <c r="B3590" s="5">
        <f>IF(A3590="","",24)</f>
        <v/>
      </c>
      <c r="C3590" s="17" t="n">
        <v>46596</v>
      </c>
      <c r="D3590" s="5">
        <f>IF(A3590="","",IF(C3590=DATE(2026,11,29),"培训；注册午餐；早餐参数",IF(C3590=DATE(2026,11,30),"培训；注册午餐",IF(C3590=DATE(2026,12,1),"培训；注册午餐；机构晚餐",IF(C3590=Options!$B$9,"抵达；"&amp;IF(C3590=DATE(2026,11,28),"机构晚餐","无统一供餐"),IF(C3590=Options!$B$10,"返程；"&amp;IF(C3590=DATE(2026,12,2),"机构午餐","无统一供餐"),"差旅状态；无统一日程"))))))</f>
        <v/>
      </c>
      <c r="E3590" s="13">
        <f>IF(C3590=Options!$B$9,Options!$C$23,0)</f>
        <v/>
      </c>
      <c r="F3590" s="13">
        <f>IF(AND(A3590&lt;&gt;"",C3590&lt;Options!$B$10),B3590*Options!$X$9,0)</f>
        <v/>
      </c>
      <c r="G3590" s="13">
        <f>F3590*12%</f>
        <v/>
      </c>
      <c r="H3590" s="13">
        <f>IF(A3590="",0,B3590*(92*IF(OR(C3590=Options!$B$9,C3590=Options!$B$10),75%,100%)-IF(C3590=DATE(2026,11,29),26+IF(Options!$B$8="是",23,0),0)-IF(C3590=DATE(2026,11,30),26,0)-IF(C3590=DATE(2026,12,1),64,0)-IF(C3590=DATE(2026,11,28),38,0)-IF(C3590=DATE(2026,12,2),26,0)))</f>
        <v/>
      </c>
      <c r="I3590" s="13">
        <f>IF(AND(C3590&gt;=DATE(2026,11,29),C3590&lt;=DATE(2026,12,1)),B3590*60,0)</f>
        <v/>
      </c>
      <c r="J3590" s="13">
        <f>IF(A3590="",0,B3590*(IF(C3590=DATE(2026,11,28),38,0)+IF(C3590=DATE(2026,12,1),38,0)+IF(C3590=DATE(2026,12,2),26,0)))</f>
        <v/>
      </c>
      <c r="K3590" s="13">
        <f>IF(C3590=Options!$B$9,B3590*12,0)</f>
        <v/>
      </c>
      <c r="L3590" s="13">
        <f>IF(C3590=Options!$B$9,B3590*Options!$Z$9,0)</f>
        <v/>
      </c>
      <c r="M3590" s="13" t="n">
        <v>0</v>
      </c>
      <c r="N3590" s="13">
        <f>SUM(E3590:M3590)</f>
        <v/>
      </c>
    </row>
    <row r="3591">
      <c r="A3591" s="5">
        <f>IF(AND(C3591&gt;=Options!$B$9,C3591&lt;=Options!$B$10),"Seattle","")</f>
        <v/>
      </c>
      <c r="B3591" s="5">
        <f>IF(A3591="","",24)</f>
        <v/>
      </c>
      <c r="C3591" s="17" t="n">
        <v>46597</v>
      </c>
      <c r="D3591" s="5">
        <f>IF(A3591="","",IF(C3591=DATE(2026,11,29),"培训；注册午餐；早餐参数",IF(C3591=DATE(2026,11,30),"培训；注册午餐",IF(C3591=DATE(2026,12,1),"培训；注册午餐；机构晚餐",IF(C3591=Options!$B$9,"抵达；"&amp;IF(C3591=DATE(2026,11,28),"机构晚餐","无统一供餐"),IF(C3591=Options!$B$10,"返程；"&amp;IF(C3591=DATE(2026,12,2),"机构午餐","无统一供餐"),"差旅状态；无统一日程"))))))</f>
        <v/>
      </c>
      <c r="E3591" s="13">
        <f>IF(C3591=Options!$B$9,Options!$C$23,0)</f>
        <v/>
      </c>
      <c r="F3591" s="13">
        <f>IF(AND(A3591&lt;&gt;"",C3591&lt;Options!$B$10),B3591*Options!$X$9,0)</f>
        <v/>
      </c>
      <c r="G3591" s="13">
        <f>F3591*12%</f>
        <v/>
      </c>
      <c r="H3591" s="13">
        <f>IF(A3591="",0,B3591*(92*IF(OR(C3591=Options!$B$9,C3591=Options!$B$10),75%,100%)-IF(C3591=DATE(2026,11,29),26+IF(Options!$B$8="是",23,0),0)-IF(C3591=DATE(2026,11,30),26,0)-IF(C3591=DATE(2026,12,1),64,0)-IF(C3591=DATE(2026,11,28),38,0)-IF(C3591=DATE(2026,12,2),26,0)))</f>
        <v/>
      </c>
      <c r="I3591" s="13">
        <f>IF(AND(C3591&gt;=DATE(2026,11,29),C3591&lt;=DATE(2026,12,1)),B3591*60,0)</f>
        <v/>
      </c>
      <c r="J3591" s="13">
        <f>IF(A3591="",0,B3591*(IF(C3591=DATE(2026,11,28),38,0)+IF(C3591=DATE(2026,12,1),38,0)+IF(C3591=DATE(2026,12,2),26,0)))</f>
        <v/>
      </c>
      <c r="K3591" s="13">
        <f>IF(C3591=Options!$B$9,B3591*12,0)</f>
        <v/>
      </c>
      <c r="L3591" s="13">
        <f>IF(C3591=Options!$B$9,B3591*Options!$Z$9,0)</f>
        <v/>
      </c>
      <c r="M3591" s="13" t="n">
        <v>0</v>
      </c>
      <c r="N3591" s="13">
        <f>SUM(E3591:M3591)</f>
        <v/>
      </c>
    </row>
    <row r="3592">
      <c r="A3592" s="5">
        <f>IF(AND(C3592&gt;=Options!$B$9,C3592&lt;=Options!$B$10),"Seattle","")</f>
        <v/>
      </c>
      <c r="B3592" s="5">
        <f>IF(A3592="","",24)</f>
        <v/>
      </c>
      <c r="C3592" s="17" t="n">
        <v>46598</v>
      </c>
      <c r="D3592" s="5">
        <f>IF(A3592="","",IF(C3592=DATE(2026,11,29),"培训；注册午餐；早餐参数",IF(C3592=DATE(2026,11,30),"培训；注册午餐",IF(C3592=DATE(2026,12,1),"培训；注册午餐；机构晚餐",IF(C3592=Options!$B$9,"抵达；"&amp;IF(C3592=DATE(2026,11,28),"机构晚餐","无统一供餐"),IF(C3592=Options!$B$10,"返程；"&amp;IF(C3592=DATE(2026,12,2),"机构午餐","无统一供餐"),"差旅状态；无统一日程"))))))</f>
        <v/>
      </c>
      <c r="E3592" s="13">
        <f>IF(C3592=Options!$B$9,Options!$C$23,0)</f>
        <v/>
      </c>
      <c r="F3592" s="13">
        <f>IF(AND(A3592&lt;&gt;"",C3592&lt;Options!$B$10),B3592*Options!$X$9,0)</f>
        <v/>
      </c>
      <c r="G3592" s="13">
        <f>F3592*12%</f>
        <v/>
      </c>
      <c r="H3592" s="13">
        <f>IF(A3592="",0,B3592*(92*IF(OR(C3592=Options!$B$9,C3592=Options!$B$10),75%,100%)-IF(C3592=DATE(2026,11,29),26+IF(Options!$B$8="是",23,0),0)-IF(C3592=DATE(2026,11,30),26,0)-IF(C3592=DATE(2026,12,1),64,0)-IF(C3592=DATE(2026,11,28),38,0)-IF(C3592=DATE(2026,12,2),26,0)))</f>
        <v/>
      </c>
      <c r="I3592" s="13">
        <f>IF(AND(C3592&gt;=DATE(2026,11,29),C3592&lt;=DATE(2026,12,1)),B3592*60,0)</f>
        <v/>
      </c>
      <c r="J3592" s="13">
        <f>IF(A3592="",0,B3592*(IF(C3592=DATE(2026,11,28),38,0)+IF(C3592=DATE(2026,12,1),38,0)+IF(C3592=DATE(2026,12,2),26,0)))</f>
        <v/>
      </c>
      <c r="K3592" s="13">
        <f>IF(C3592=Options!$B$9,B3592*12,0)</f>
        <v/>
      </c>
      <c r="L3592" s="13">
        <f>IF(C3592=Options!$B$9,B3592*Options!$Z$9,0)</f>
        <v/>
      </c>
      <c r="M3592" s="13" t="n">
        <v>0</v>
      </c>
      <c r="N3592" s="13">
        <f>SUM(E3592:M3592)</f>
        <v/>
      </c>
    </row>
    <row r="3593">
      <c r="A3593" s="5">
        <f>IF(AND(C3593&gt;=Options!$B$9,C3593&lt;=Options!$B$10),"Seattle","")</f>
        <v/>
      </c>
      <c r="B3593" s="5">
        <f>IF(A3593="","",24)</f>
        <v/>
      </c>
      <c r="C3593" s="17" t="n">
        <v>46599</v>
      </c>
      <c r="D3593" s="5">
        <f>IF(A3593="","",IF(C3593=DATE(2026,11,29),"培训；注册午餐；早餐参数",IF(C3593=DATE(2026,11,30),"培训；注册午餐",IF(C3593=DATE(2026,12,1),"培训；注册午餐；机构晚餐",IF(C3593=Options!$B$9,"抵达；"&amp;IF(C3593=DATE(2026,11,28),"机构晚餐","无统一供餐"),IF(C3593=Options!$B$10,"返程；"&amp;IF(C3593=DATE(2026,12,2),"机构午餐","无统一供餐"),"差旅状态；无统一日程"))))))</f>
        <v/>
      </c>
      <c r="E3593" s="13">
        <f>IF(C3593=Options!$B$9,Options!$C$23,0)</f>
        <v/>
      </c>
      <c r="F3593" s="13">
        <f>IF(AND(A3593&lt;&gt;"",C3593&lt;Options!$B$10),B3593*Options!$X$9,0)</f>
        <v/>
      </c>
      <c r="G3593" s="13">
        <f>F3593*12%</f>
        <v/>
      </c>
      <c r="H3593" s="13">
        <f>IF(A3593="",0,B3593*(92*IF(OR(C3593=Options!$B$9,C3593=Options!$B$10),75%,100%)-IF(C3593=DATE(2026,11,29),26+IF(Options!$B$8="是",23,0),0)-IF(C3593=DATE(2026,11,30),26,0)-IF(C3593=DATE(2026,12,1),64,0)-IF(C3593=DATE(2026,11,28),38,0)-IF(C3593=DATE(2026,12,2),26,0)))</f>
        <v/>
      </c>
      <c r="I3593" s="13">
        <f>IF(AND(C3593&gt;=DATE(2026,11,29),C3593&lt;=DATE(2026,12,1)),B3593*60,0)</f>
        <v/>
      </c>
      <c r="J3593" s="13">
        <f>IF(A3593="",0,B3593*(IF(C3593=DATE(2026,11,28),38,0)+IF(C3593=DATE(2026,12,1),38,0)+IF(C3593=DATE(2026,12,2),26,0)))</f>
        <v/>
      </c>
      <c r="K3593" s="13">
        <f>IF(C3593=Options!$B$9,B3593*12,0)</f>
        <v/>
      </c>
      <c r="L3593" s="13">
        <f>IF(C3593=Options!$B$9,B3593*Options!$Z$9,0)</f>
        <v/>
      </c>
      <c r="M3593" s="13" t="n">
        <v>0</v>
      </c>
      <c r="N3593" s="13">
        <f>SUM(E3593:M3593)</f>
        <v/>
      </c>
    </row>
    <row r="3594">
      <c r="A3594" s="5">
        <f>IF(AND(C3594&gt;=Options!$B$9,C3594&lt;=Options!$B$10),"Seattle","")</f>
        <v/>
      </c>
      <c r="B3594" s="5">
        <f>IF(A3594="","",24)</f>
        <v/>
      </c>
      <c r="C3594" s="17" t="n">
        <v>46600</v>
      </c>
      <c r="D3594" s="5">
        <f>IF(A3594="","",IF(C3594=DATE(2026,11,29),"培训；注册午餐；早餐参数",IF(C3594=DATE(2026,11,30),"培训；注册午餐",IF(C3594=DATE(2026,12,1),"培训；注册午餐；机构晚餐",IF(C3594=Options!$B$9,"抵达；"&amp;IF(C3594=DATE(2026,11,28),"机构晚餐","无统一供餐"),IF(C3594=Options!$B$10,"返程；"&amp;IF(C3594=DATE(2026,12,2),"机构午餐","无统一供餐"),"差旅状态；无统一日程"))))))</f>
        <v/>
      </c>
      <c r="E3594" s="13">
        <f>IF(C3594=Options!$B$9,Options!$C$23,0)</f>
        <v/>
      </c>
      <c r="F3594" s="13">
        <f>IF(AND(A3594&lt;&gt;"",C3594&lt;Options!$B$10),B3594*Options!$X$9,0)</f>
        <v/>
      </c>
      <c r="G3594" s="13">
        <f>F3594*12%</f>
        <v/>
      </c>
      <c r="H3594" s="13">
        <f>IF(A3594="",0,B3594*(92*IF(OR(C3594=Options!$B$9,C3594=Options!$B$10),75%,100%)-IF(C3594=DATE(2026,11,29),26+IF(Options!$B$8="是",23,0),0)-IF(C3594=DATE(2026,11,30),26,0)-IF(C3594=DATE(2026,12,1),64,0)-IF(C3594=DATE(2026,11,28),38,0)-IF(C3594=DATE(2026,12,2),26,0)))</f>
        <v/>
      </c>
      <c r="I3594" s="13">
        <f>IF(AND(C3594&gt;=DATE(2026,11,29),C3594&lt;=DATE(2026,12,1)),B3594*60,0)</f>
        <v/>
      </c>
      <c r="J3594" s="13">
        <f>IF(A3594="",0,B3594*(IF(C3594=DATE(2026,11,28),38,0)+IF(C3594=DATE(2026,12,1),38,0)+IF(C3594=DATE(2026,12,2),26,0)))</f>
        <v/>
      </c>
      <c r="K3594" s="13">
        <f>IF(C3594=Options!$B$9,B3594*12,0)</f>
        <v/>
      </c>
      <c r="L3594" s="13">
        <f>IF(C3594=Options!$B$9,B3594*Options!$Z$9,0)</f>
        <v/>
      </c>
      <c r="M3594" s="13" t="n">
        <v>0</v>
      </c>
      <c r="N3594" s="13">
        <f>SUM(E3594:M3594)</f>
        <v/>
      </c>
    </row>
    <row r="3595">
      <c r="A3595" s="5">
        <f>IF(AND(C3595&gt;=Options!$B$9,C3595&lt;=Options!$B$10),"Seattle","")</f>
        <v/>
      </c>
      <c r="B3595" s="5">
        <f>IF(A3595="","",24)</f>
        <v/>
      </c>
      <c r="C3595" s="17" t="n">
        <v>46601</v>
      </c>
      <c r="D3595" s="5">
        <f>IF(A3595="","",IF(C3595=DATE(2026,11,29),"培训；注册午餐；早餐参数",IF(C3595=DATE(2026,11,30),"培训；注册午餐",IF(C3595=DATE(2026,12,1),"培训；注册午餐；机构晚餐",IF(C3595=Options!$B$9,"抵达；"&amp;IF(C3595=DATE(2026,11,28),"机构晚餐","无统一供餐"),IF(C3595=Options!$B$10,"返程；"&amp;IF(C3595=DATE(2026,12,2),"机构午餐","无统一供餐"),"差旅状态；无统一日程"))))))</f>
        <v/>
      </c>
      <c r="E3595" s="13">
        <f>IF(C3595=Options!$B$9,Options!$C$23,0)</f>
        <v/>
      </c>
      <c r="F3595" s="13">
        <f>IF(AND(A3595&lt;&gt;"",C3595&lt;Options!$B$10),B3595*Options!$X$9,0)</f>
        <v/>
      </c>
      <c r="G3595" s="13">
        <f>F3595*12%</f>
        <v/>
      </c>
      <c r="H3595" s="13">
        <f>IF(A3595="",0,B3595*(92*IF(OR(C3595=Options!$B$9,C3595=Options!$B$10),75%,100%)-IF(C3595=DATE(2026,11,29),26+IF(Options!$B$8="是",23,0),0)-IF(C3595=DATE(2026,11,30),26,0)-IF(C3595=DATE(2026,12,1),64,0)-IF(C3595=DATE(2026,11,28),38,0)-IF(C3595=DATE(2026,12,2),26,0)))</f>
        <v/>
      </c>
      <c r="I3595" s="13">
        <f>IF(AND(C3595&gt;=DATE(2026,11,29),C3595&lt;=DATE(2026,12,1)),B3595*60,0)</f>
        <v/>
      </c>
      <c r="J3595" s="13">
        <f>IF(A3595="",0,B3595*(IF(C3595=DATE(2026,11,28),38,0)+IF(C3595=DATE(2026,12,1),38,0)+IF(C3595=DATE(2026,12,2),26,0)))</f>
        <v/>
      </c>
      <c r="K3595" s="13">
        <f>IF(C3595=Options!$B$9,B3595*12,0)</f>
        <v/>
      </c>
      <c r="L3595" s="13">
        <f>IF(C3595=Options!$B$9,B3595*Options!$Z$9,0)</f>
        <v/>
      </c>
      <c r="M3595" s="13" t="n">
        <v>0</v>
      </c>
      <c r="N3595" s="13">
        <f>SUM(E3595:M3595)</f>
        <v/>
      </c>
    </row>
    <row r="3596">
      <c r="A3596" s="5">
        <f>IF(AND(C3596&gt;=Options!$B$9,C3596&lt;=Options!$B$10),"Seattle","")</f>
        <v/>
      </c>
      <c r="B3596" s="5">
        <f>IF(A3596="","",24)</f>
        <v/>
      </c>
      <c r="C3596" s="17" t="n">
        <v>46602</v>
      </c>
      <c r="D3596" s="5">
        <f>IF(A3596="","",IF(C3596=DATE(2026,11,29),"培训；注册午餐；早餐参数",IF(C3596=DATE(2026,11,30),"培训；注册午餐",IF(C3596=DATE(2026,12,1),"培训；注册午餐；机构晚餐",IF(C3596=Options!$B$9,"抵达；"&amp;IF(C3596=DATE(2026,11,28),"机构晚餐","无统一供餐"),IF(C3596=Options!$B$10,"返程；"&amp;IF(C3596=DATE(2026,12,2),"机构午餐","无统一供餐"),"差旅状态；无统一日程"))))))</f>
        <v/>
      </c>
      <c r="E3596" s="13">
        <f>IF(C3596=Options!$B$9,Options!$C$23,0)</f>
        <v/>
      </c>
      <c r="F3596" s="13">
        <f>IF(AND(A3596&lt;&gt;"",C3596&lt;Options!$B$10),B3596*Options!$X$9,0)</f>
        <v/>
      </c>
      <c r="G3596" s="13">
        <f>F3596*12%</f>
        <v/>
      </c>
      <c r="H3596" s="13">
        <f>IF(A3596="",0,B3596*(92*IF(OR(C3596=Options!$B$9,C3596=Options!$B$10),75%,100%)-IF(C3596=DATE(2026,11,29),26+IF(Options!$B$8="是",23,0),0)-IF(C3596=DATE(2026,11,30),26,0)-IF(C3596=DATE(2026,12,1),64,0)-IF(C3596=DATE(2026,11,28),38,0)-IF(C3596=DATE(2026,12,2),26,0)))</f>
        <v/>
      </c>
      <c r="I3596" s="13">
        <f>IF(AND(C3596&gt;=DATE(2026,11,29),C3596&lt;=DATE(2026,12,1)),B3596*60,0)</f>
        <v/>
      </c>
      <c r="J3596" s="13">
        <f>IF(A3596="",0,B3596*(IF(C3596=DATE(2026,11,28),38,0)+IF(C3596=DATE(2026,12,1),38,0)+IF(C3596=DATE(2026,12,2),26,0)))</f>
        <v/>
      </c>
      <c r="K3596" s="13">
        <f>IF(C3596=Options!$B$9,B3596*12,0)</f>
        <v/>
      </c>
      <c r="L3596" s="13">
        <f>IF(C3596=Options!$B$9,B3596*Options!$Z$9,0)</f>
        <v/>
      </c>
      <c r="M3596" s="13" t="n">
        <v>0</v>
      </c>
      <c r="N3596" s="13">
        <f>SUM(E3596:M3596)</f>
        <v/>
      </c>
    </row>
    <row r="3597">
      <c r="A3597" s="5">
        <f>IF(AND(C3597&gt;=Options!$B$9,C3597&lt;=Options!$B$10),"Seattle","")</f>
        <v/>
      </c>
      <c r="B3597" s="5">
        <f>IF(A3597="","",24)</f>
        <v/>
      </c>
      <c r="C3597" s="17" t="n">
        <v>46603</v>
      </c>
      <c r="D3597" s="5">
        <f>IF(A3597="","",IF(C3597=DATE(2026,11,29),"培训；注册午餐；早餐参数",IF(C3597=DATE(2026,11,30),"培训；注册午餐",IF(C3597=DATE(2026,12,1),"培训；注册午餐；机构晚餐",IF(C3597=Options!$B$9,"抵达；"&amp;IF(C3597=DATE(2026,11,28),"机构晚餐","无统一供餐"),IF(C3597=Options!$B$10,"返程；"&amp;IF(C3597=DATE(2026,12,2),"机构午餐","无统一供餐"),"差旅状态；无统一日程"))))))</f>
        <v/>
      </c>
      <c r="E3597" s="13">
        <f>IF(C3597=Options!$B$9,Options!$C$23,0)</f>
        <v/>
      </c>
      <c r="F3597" s="13">
        <f>IF(AND(A3597&lt;&gt;"",C3597&lt;Options!$B$10),B3597*Options!$X$9,0)</f>
        <v/>
      </c>
      <c r="G3597" s="13">
        <f>F3597*12%</f>
        <v/>
      </c>
      <c r="H3597" s="13">
        <f>IF(A3597="",0,B3597*(92*IF(OR(C3597=Options!$B$9,C3597=Options!$B$10),75%,100%)-IF(C3597=DATE(2026,11,29),26+IF(Options!$B$8="是",23,0),0)-IF(C3597=DATE(2026,11,30),26,0)-IF(C3597=DATE(2026,12,1),64,0)-IF(C3597=DATE(2026,11,28),38,0)-IF(C3597=DATE(2026,12,2),26,0)))</f>
        <v/>
      </c>
      <c r="I3597" s="13">
        <f>IF(AND(C3597&gt;=DATE(2026,11,29),C3597&lt;=DATE(2026,12,1)),B3597*60,0)</f>
        <v/>
      </c>
      <c r="J3597" s="13">
        <f>IF(A3597="",0,B3597*(IF(C3597=DATE(2026,11,28),38,0)+IF(C3597=DATE(2026,12,1),38,0)+IF(C3597=DATE(2026,12,2),26,0)))</f>
        <v/>
      </c>
      <c r="K3597" s="13">
        <f>IF(C3597=Options!$B$9,B3597*12,0)</f>
        <v/>
      </c>
      <c r="L3597" s="13">
        <f>IF(C3597=Options!$B$9,B3597*Options!$Z$9,0)</f>
        <v/>
      </c>
      <c r="M3597" s="13" t="n">
        <v>0</v>
      </c>
      <c r="N3597" s="13">
        <f>SUM(E3597:M3597)</f>
        <v/>
      </c>
    </row>
    <row r="3598">
      <c r="A3598" s="5">
        <f>IF(AND(C3598&gt;=Options!$B$9,C3598&lt;=Options!$B$10),"Seattle","")</f>
        <v/>
      </c>
      <c r="B3598" s="5">
        <f>IF(A3598="","",24)</f>
        <v/>
      </c>
      <c r="C3598" s="17" t="n">
        <v>46604</v>
      </c>
      <c r="D3598" s="5">
        <f>IF(A3598="","",IF(C3598=DATE(2026,11,29),"培训；注册午餐；早餐参数",IF(C3598=DATE(2026,11,30),"培训；注册午餐",IF(C3598=DATE(2026,12,1),"培训；注册午餐；机构晚餐",IF(C3598=Options!$B$9,"抵达；"&amp;IF(C3598=DATE(2026,11,28),"机构晚餐","无统一供餐"),IF(C3598=Options!$B$10,"返程；"&amp;IF(C3598=DATE(2026,12,2),"机构午餐","无统一供餐"),"差旅状态；无统一日程"))))))</f>
        <v/>
      </c>
      <c r="E3598" s="13">
        <f>IF(C3598=Options!$B$9,Options!$C$23,0)</f>
        <v/>
      </c>
      <c r="F3598" s="13">
        <f>IF(AND(A3598&lt;&gt;"",C3598&lt;Options!$B$10),B3598*Options!$X$9,0)</f>
        <v/>
      </c>
      <c r="G3598" s="13">
        <f>F3598*12%</f>
        <v/>
      </c>
      <c r="H3598" s="13">
        <f>IF(A3598="",0,B3598*(92*IF(OR(C3598=Options!$B$9,C3598=Options!$B$10),75%,100%)-IF(C3598=DATE(2026,11,29),26+IF(Options!$B$8="是",23,0),0)-IF(C3598=DATE(2026,11,30),26,0)-IF(C3598=DATE(2026,12,1),64,0)-IF(C3598=DATE(2026,11,28),38,0)-IF(C3598=DATE(2026,12,2),26,0)))</f>
        <v/>
      </c>
      <c r="I3598" s="13">
        <f>IF(AND(C3598&gt;=DATE(2026,11,29),C3598&lt;=DATE(2026,12,1)),B3598*60,0)</f>
        <v/>
      </c>
      <c r="J3598" s="13">
        <f>IF(A3598="",0,B3598*(IF(C3598=DATE(2026,11,28),38,0)+IF(C3598=DATE(2026,12,1),38,0)+IF(C3598=DATE(2026,12,2),26,0)))</f>
        <v/>
      </c>
      <c r="K3598" s="13">
        <f>IF(C3598=Options!$B$9,B3598*12,0)</f>
        <v/>
      </c>
      <c r="L3598" s="13">
        <f>IF(C3598=Options!$B$9,B3598*Options!$Z$9,0)</f>
        <v/>
      </c>
      <c r="M3598" s="13" t="n">
        <v>0</v>
      </c>
      <c r="N3598" s="13">
        <f>SUM(E3598:M3598)</f>
        <v/>
      </c>
    </row>
    <row r="3599">
      <c r="A3599" s="5">
        <f>IF(AND(C3599&gt;=Options!$B$9,C3599&lt;=Options!$B$10),"Seattle","")</f>
        <v/>
      </c>
      <c r="B3599" s="5">
        <f>IF(A3599="","",24)</f>
        <v/>
      </c>
      <c r="C3599" s="17" t="n">
        <v>46605</v>
      </c>
      <c r="D3599" s="5">
        <f>IF(A3599="","",IF(C3599=DATE(2026,11,29),"培训；注册午餐；早餐参数",IF(C3599=DATE(2026,11,30),"培训；注册午餐",IF(C3599=DATE(2026,12,1),"培训；注册午餐；机构晚餐",IF(C3599=Options!$B$9,"抵达；"&amp;IF(C3599=DATE(2026,11,28),"机构晚餐","无统一供餐"),IF(C3599=Options!$B$10,"返程；"&amp;IF(C3599=DATE(2026,12,2),"机构午餐","无统一供餐"),"差旅状态；无统一日程"))))))</f>
        <v/>
      </c>
      <c r="E3599" s="13">
        <f>IF(C3599=Options!$B$9,Options!$C$23,0)</f>
        <v/>
      </c>
      <c r="F3599" s="13">
        <f>IF(AND(A3599&lt;&gt;"",C3599&lt;Options!$B$10),B3599*Options!$X$9,0)</f>
        <v/>
      </c>
      <c r="G3599" s="13">
        <f>F3599*12%</f>
        <v/>
      </c>
      <c r="H3599" s="13">
        <f>IF(A3599="",0,B3599*(92*IF(OR(C3599=Options!$B$9,C3599=Options!$B$10),75%,100%)-IF(C3599=DATE(2026,11,29),26+IF(Options!$B$8="是",23,0),0)-IF(C3599=DATE(2026,11,30),26,0)-IF(C3599=DATE(2026,12,1),64,0)-IF(C3599=DATE(2026,11,28),38,0)-IF(C3599=DATE(2026,12,2),26,0)))</f>
        <v/>
      </c>
      <c r="I3599" s="13">
        <f>IF(AND(C3599&gt;=DATE(2026,11,29),C3599&lt;=DATE(2026,12,1)),B3599*60,0)</f>
        <v/>
      </c>
      <c r="J3599" s="13">
        <f>IF(A3599="",0,B3599*(IF(C3599=DATE(2026,11,28),38,0)+IF(C3599=DATE(2026,12,1),38,0)+IF(C3599=DATE(2026,12,2),26,0)))</f>
        <v/>
      </c>
      <c r="K3599" s="13">
        <f>IF(C3599=Options!$B$9,B3599*12,0)</f>
        <v/>
      </c>
      <c r="L3599" s="13">
        <f>IF(C3599=Options!$B$9,B3599*Options!$Z$9,0)</f>
        <v/>
      </c>
      <c r="M3599" s="13" t="n">
        <v>0</v>
      </c>
      <c r="N3599" s="13">
        <f>SUM(E3599:M3599)</f>
        <v/>
      </c>
    </row>
    <row r="3600">
      <c r="A3600" s="5">
        <f>IF(AND(C3600&gt;=Options!$B$9,C3600&lt;=Options!$B$10),"Seattle","")</f>
        <v/>
      </c>
      <c r="B3600" s="5">
        <f>IF(A3600="","",24)</f>
        <v/>
      </c>
      <c r="C3600" s="17" t="n">
        <v>46606</v>
      </c>
      <c r="D3600" s="5">
        <f>IF(A3600="","",IF(C3600=DATE(2026,11,29),"培训；注册午餐；早餐参数",IF(C3600=DATE(2026,11,30),"培训；注册午餐",IF(C3600=DATE(2026,12,1),"培训；注册午餐；机构晚餐",IF(C3600=Options!$B$9,"抵达；"&amp;IF(C3600=DATE(2026,11,28),"机构晚餐","无统一供餐"),IF(C3600=Options!$B$10,"返程；"&amp;IF(C3600=DATE(2026,12,2),"机构午餐","无统一供餐"),"差旅状态；无统一日程"))))))</f>
        <v/>
      </c>
      <c r="E3600" s="13">
        <f>IF(C3600=Options!$B$9,Options!$C$23,0)</f>
        <v/>
      </c>
      <c r="F3600" s="13">
        <f>IF(AND(A3600&lt;&gt;"",C3600&lt;Options!$B$10),B3600*Options!$X$9,0)</f>
        <v/>
      </c>
      <c r="G3600" s="13">
        <f>F3600*12%</f>
        <v/>
      </c>
      <c r="H3600" s="13">
        <f>IF(A3600="",0,B3600*(92*IF(OR(C3600=Options!$B$9,C3600=Options!$B$10),75%,100%)-IF(C3600=DATE(2026,11,29),26+IF(Options!$B$8="是",23,0),0)-IF(C3600=DATE(2026,11,30),26,0)-IF(C3600=DATE(2026,12,1),64,0)-IF(C3600=DATE(2026,11,28),38,0)-IF(C3600=DATE(2026,12,2),26,0)))</f>
        <v/>
      </c>
      <c r="I3600" s="13">
        <f>IF(AND(C3600&gt;=DATE(2026,11,29),C3600&lt;=DATE(2026,12,1)),B3600*60,0)</f>
        <v/>
      </c>
      <c r="J3600" s="13">
        <f>IF(A3600="",0,B3600*(IF(C3600=DATE(2026,11,28),38,0)+IF(C3600=DATE(2026,12,1),38,0)+IF(C3600=DATE(2026,12,2),26,0)))</f>
        <v/>
      </c>
      <c r="K3600" s="13">
        <f>IF(C3600=Options!$B$9,B3600*12,0)</f>
        <v/>
      </c>
      <c r="L3600" s="13">
        <f>IF(C3600=Options!$B$9,B3600*Options!$Z$9,0)</f>
        <v/>
      </c>
      <c r="M3600" s="13" t="n">
        <v>0</v>
      </c>
      <c r="N3600" s="13">
        <f>SUM(E3600:M3600)</f>
        <v/>
      </c>
    </row>
    <row r="3601">
      <c r="A3601" s="5">
        <f>IF(AND(C3601&gt;=Options!$B$9,C3601&lt;=Options!$B$10),"Seattle","")</f>
        <v/>
      </c>
      <c r="B3601" s="5">
        <f>IF(A3601="","",24)</f>
        <v/>
      </c>
      <c r="C3601" s="17" t="n">
        <v>46607</v>
      </c>
      <c r="D3601" s="5">
        <f>IF(A3601="","",IF(C3601=DATE(2026,11,29),"培训；注册午餐；早餐参数",IF(C3601=DATE(2026,11,30),"培训；注册午餐",IF(C3601=DATE(2026,12,1),"培训；注册午餐；机构晚餐",IF(C3601=Options!$B$9,"抵达；"&amp;IF(C3601=DATE(2026,11,28),"机构晚餐","无统一供餐"),IF(C3601=Options!$B$10,"返程；"&amp;IF(C3601=DATE(2026,12,2),"机构午餐","无统一供餐"),"差旅状态；无统一日程"))))))</f>
        <v/>
      </c>
      <c r="E3601" s="13">
        <f>IF(C3601=Options!$B$9,Options!$C$23,0)</f>
        <v/>
      </c>
      <c r="F3601" s="13">
        <f>IF(AND(A3601&lt;&gt;"",C3601&lt;Options!$B$10),B3601*Options!$X$9,0)</f>
        <v/>
      </c>
      <c r="G3601" s="13">
        <f>F3601*12%</f>
        <v/>
      </c>
      <c r="H3601" s="13">
        <f>IF(A3601="",0,B3601*(92*IF(OR(C3601=Options!$B$9,C3601=Options!$B$10),75%,100%)-IF(C3601=DATE(2026,11,29),26+IF(Options!$B$8="是",23,0),0)-IF(C3601=DATE(2026,11,30),26,0)-IF(C3601=DATE(2026,12,1),64,0)-IF(C3601=DATE(2026,11,28),38,0)-IF(C3601=DATE(2026,12,2),26,0)))</f>
        <v/>
      </c>
      <c r="I3601" s="13">
        <f>IF(AND(C3601&gt;=DATE(2026,11,29),C3601&lt;=DATE(2026,12,1)),B3601*60,0)</f>
        <v/>
      </c>
      <c r="J3601" s="13">
        <f>IF(A3601="",0,B3601*(IF(C3601=DATE(2026,11,28),38,0)+IF(C3601=DATE(2026,12,1),38,0)+IF(C3601=DATE(2026,12,2),26,0)))</f>
        <v/>
      </c>
      <c r="K3601" s="13">
        <f>IF(C3601=Options!$B$9,B3601*12,0)</f>
        <v/>
      </c>
      <c r="L3601" s="13">
        <f>IF(C3601=Options!$B$9,B3601*Options!$Z$9,0)</f>
        <v/>
      </c>
      <c r="M3601" s="13" t="n">
        <v>0</v>
      </c>
      <c r="N3601" s="13">
        <f>SUM(E3601:M3601)</f>
        <v/>
      </c>
    </row>
    <row r="3602">
      <c r="A3602" s="5">
        <f>IF(AND(C3602&gt;=Options!$B$9,C3602&lt;=Options!$B$10),"Seattle","")</f>
        <v/>
      </c>
      <c r="B3602" s="5">
        <f>IF(A3602="","",24)</f>
        <v/>
      </c>
      <c r="C3602" s="17" t="n">
        <v>46608</v>
      </c>
      <c r="D3602" s="5">
        <f>IF(A3602="","",IF(C3602=DATE(2026,11,29),"培训；注册午餐；早餐参数",IF(C3602=DATE(2026,11,30),"培训；注册午餐",IF(C3602=DATE(2026,12,1),"培训；注册午餐；机构晚餐",IF(C3602=Options!$B$9,"抵达；"&amp;IF(C3602=DATE(2026,11,28),"机构晚餐","无统一供餐"),IF(C3602=Options!$B$10,"返程；"&amp;IF(C3602=DATE(2026,12,2),"机构午餐","无统一供餐"),"差旅状态；无统一日程"))))))</f>
        <v/>
      </c>
      <c r="E3602" s="13">
        <f>IF(C3602=Options!$B$9,Options!$C$23,0)</f>
        <v/>
      </c>
      <c r="F3602" s="13">
        <f>IF(AND(A3602&lt;&gt;"",C3602&lt;Options!$B$10),B3602*Options!$X$9,0)</f>
        <v/>
      </c>
      <c r="G3602" s="13">
        <f>F3602*12%</f>
        <v/>
      </c>
      <c r="H3602" s="13">
        <f>IF(A3602="",0,B3602*(92*IF(OR(C3602=Options!$B$9,C3602=Options!$B$10),75%,100%)-IF(C3602=DATE(2026,11,29),26+IF(Options!$B$8="是",23,0),0)-IF(C3602=DATE(2026,11,30),26,0)-IF(C3602=DATE(2026,12,1),64,0)-IF(C3602=DATE(2026,11,28),38,0)-IF(C3602=DATE(2026,12,2),26,0)))</f>
        <v/>
      </c>
      <c r="I3602" s="13">
        <f>IF(AND(C3602&gt;=DATE(2026,11,29),C3602&lt;=DATE(2026,12,1)),B3602*60,0)</f>
        <v/>
      </c>
      <c r="J3602" s="13">
        <f>IF(A3602="",0,B3602*(IF(C3602=DATE(2026,11,28),38,0)+IF(C3602=DATE(2026,12,1),38,0)+IF(C3602=DATE(2026,12,2),26,0)))</f>
        <v/>
      </c>
      <c r="K3602" s="13">
        <f>IF(C3602=Options!$B$9,B3602*12,0)</f>
        <v/>
      </c>
      <c r="L3602" s="13">
        <f>IF(C3602=Options!$B$9,B3602*Options!$Z$9,0)</f>
        <v/>
      </c>
      <c r="M3602" s="13" t="n">
        <v>0</v>
      </c>
      <c r="N3602" s="13">
        <f>SUM(E3602:M3602)</f>
        <v/>
      </c>
    </row>
    <row r="3603">
      <c r="A3603" s="5">
        <f>IF(AND(C3603&gt;=Options!$B$9,C3603&lt;=Options!$B$10),"Seattle","")</f>
        <v/>
      </c>
      <c r="B3603" s="5">
        <f>IF(A3603="","",24)</f>
        <v/>
      </c>
      <c r="C3603" s="17" t="n">
        <v>46609</v>
      </c>
      <c r="D3603" s="5">
        <f>IF(A3603="","",IF(C3603=DATE(2026,11,29),"培训；注册午餐；早餐参数",IF(C3603=DATE(2026,11,30),"培训；注册午餐",IF(C3603=DATE(2026,12,1),"培训；注册午餐；机构晚餐",IF(C3603=Options!$B$9,"抵达；"&amp;IF(C3603=DATE(2026,11,28),"机构晚餐","无统一供餐"),IF(C3603=Options!$B$10,"返程；"&amp;IF(C3603=DATE(2026,12,2),"机构午餐","无统一供餐"),"差旅状态；无统一日程"))))))</f>
        <v/>
      </c>
      <c r="E3603" s="13">
        <f>IF(C3603=Options!$B$9,Options!$C$23,0)</f>
        <v/>
      </c>
      <c r="F3603" s="13">
        <f>IF(AND(A3603&lt;&gt;"",C3603&lt;Options!$B$10),B3603*Options!$X$9,0)</f>
        <v/>
      </c>
      <c r="G3603" s="13">
        <f>F3603*12%</f>
        <v/>
      </c>
      <c r="H3603" s="13">
        <f>IF(A3603="",0,B3603*(92*IF(OR(C3603=Options!$B$9,C3603=Options!$B$10),75%,100%)-IF(C3603=DATE(2026,11,29),26+IF(Options!$B$8="是",23,0),0)-IF(C3603=DATE(2026,11,30),26,0)-IF(C3603=DATE(2026,12,1),64,0)-IF(C3603=DATE(2026,11,28),38,0)-IF(C3603=DATE(2026,12,2),26,0)))</f>
        <v/>
      </c>
      <c r="I3603" s="13">
        <f>IF(AND(C3603&gt;=DATE(2026,11,29),C3603&lt;=DATE(2026,12,1)),B3603*60,0)</f>
        <v/>
      </c>
      <c r="J3603" s="13">
        <f>IF(A3603="",0,B3603*(IF(C3603=DATE(2026,11,28),38,0)+IF(C3603=DATE(2026,12,1),38,0)+IF(C3603=DATE(2026,12,2),26,0)))</f>
        <v/>
      </c>
      <c r="K3603" s="13">
        <f>IF(C3603=Options!$B$9,B3603*12,0)</f>
        <v/>
      </c>
      <c r="L3603" s="13">
        <f>IF(C3603=Options!$B$9,B3603*Options!$Z$9,0)</f>
        <v/>
      </c>
      <c r="M3603" s="13" t="n">
        <v>0</v>
      </c>
      <c r="N3603" s="13">
        <f>SUM(E3603:M3603)</f>
        <v/>
      </c>
    </row>
    <row r="3604">
      <c r="A3604" s="5">
        <f>IF(AND(C3604&gt;=Options!$B$9,C3604&lt;=Options!$B$10),"Seattle","")</f>
        <v/>
      </c>
      <c r="B3604" s="5">
        <f>IF(A3604="","",24)</f>
        <v/>
      </c>
      <c r="C3604" s="17" t="n">
        <v>46610</v>
      </c>
      <c r="D3604" s="5">
        <f>IF(A3604="","",IF(C3604=DATE(2026,11,29),"培训；注册午餐；早餐参数",IF(C3604=DATE(2026,11,30),"培训；注册午餐",IF(C3604=DATE(2026,12,1),"培训；注册午餐；机构晚餐",IF(C3604=Options!$B$9,"抵达；"&amp;IF(C3604=DATE(2026,11,28),"机构晚餐","无统一供餐"),IF(C3604=Options!$B$10,"返程；"&amp;IF(C3604=DATE(2026,12,2),"机构午餐","无统一供餐"),"差旅状态；无统一日程"))))))</f>
        <v/>
      </c>
      <c r="E3604" s="13">
        <f>IF(C3604=Options!$B$9,Options!$C$23,0)</f>
        <v/>
      </c>
      <c r="F3604" s="13">
        <f>IF(AND(A3604&lt;&gt;"",C3604&lt;Options!$B$10),B3604*Options!$X$9,0)</f>
        <v/>
      </c>
      <c r="G3604" s="13">
        <f>F3604*12%</f>
        <v/>
      </c>
      <c r="H3604" s="13">
        <f>IF(A3604="",0,B3604*(92*IF(OR(C3604=Options!$B$9,C3604=Options!$B$10),75%,100%)-IF(C3604=DATE(2026,11,29),26+IF(Options!$B$8="是",23,0),0)-IF(C3604=DATE(2026,11,30),26,0)-IF(C3604=DATE(2026,12,1),64,0)-IF(C3604=DATE(2026,11,28),38,0)-IF(C3604=DATE(2026,12,2),26,0)))</f>
        <v/>
      </c>
      <c r="I3604" s="13">
        <f>IF(AND(C3604&gt;=DATE(2026,11,29),C3604&lt;=DATE(2026,12,1)),B3604*60,0)</f>
        <v/>
      </c>
      <c r="J3604" s="13">
        <f>IF(A3604="",0,B3604*(IF(C3604=DATE(2026,11,28),38,0)+IF(C3604=DATE(2026,12,1),38,0)+IF(C3604=DATE(2026,12,2),26,0)))</f>
        <v/>
      </c>
      <c r="K3604" s="13">
        <f>IF(C3604=Options!$B$9,B3604*12,0)</f>
        <v/>
      </c>
      <c r="L3604" s="13">
        <f>IF(C3604=Options!$B$9,B3604*Options!$Z$9,0)</f>
        <v/>
      </c>
      <c r="M3604" s="13" t="n">
        <v>0</v>
      </c>
      <c r="N3604" s="13">
        <f>SUM(E3604:M3604)</f>
        <v/>
      </c>
    </row>
    <row r="3605">
      <c r="A3605" s="5">
        <f>IF(AND(C3605&gt;=Options!$B$9,C3605&lt;=Options!$B$10),"Seattle","")</f>
        <v/>
      </c>
      <c r="B3605" s="5">
        <f>IF(A3605="","",24)</f>
        <v/>
      </c>
      <c r="C3605" s="17" t="n">
        <v>46611</v>
      </c>
      <c r="D3605" s="5">
        <f>IF(A3605="","",IF(C3605=DATE(2026,11,29),"培训；注册午餐；早餐参数",IF(C3605=DATE(2026,11,30),"培训；注册午餐",IF(C3605=DATE(2026,12,1),"培训；注册午餐；机构晚餐",IF(C3605=Options!$B$9,"抵达；"&amp;IF(C3605=DATE(2026,11,28),"机构晚餐","无统一供餐"),IF(C3605=Options!$B$10,"返程；"&amp;IF(C3605=DATE(2026,12,2),"机构午餐","无统一供餐"),"差旅状态；无统一日程"))))))</f>
        <v/>
      </c>
      <c r="E3605" s="13">
        <f>IF(C3605=Options!$B$9,Options!$C$23,0)</f>
        <v/>
      </c>
      <c r="F3605" s="13">
        <f>IF(AND(A3605&lt;&gt;"",C3605&lt;Options!$B$10),B3605*Options!$X$9,0)</f>
        <v/>
      </c>
      <c r="G3605" s="13">
        <f>F3605*12%</f>
        <v/>
      </c>
      <c r="H3605" s="13">
        <f>IF(A3605="",0,B3605*(92*IF(OR(C3605=Options!$B$9,C3605=Options!$B$10),75%,100%)-IF(C3605=DATE(2026,11,29),26+IF(Options!$B$8="是",23,0),0)-IF(C3605=DATE(2026,11,30),26,0)-IF(C3605=DATE(2026,12,1),64,0)-IF(C3605=DATE(2026,11,28),38,0)-IF(C3605=DATE(2026,12,2),26,0)))</f>
        <v/>
      </c>
      <c r="I3605" s="13">
        <f>IF(AND(C3605&gt;=DATE(2026,11,29),C3605&lt;=DATE(2026,12,1)),B3605*60,0)</f>
        <v/>
      </c>
      <c r="J3605" s="13">
        <f>IF(A3605="",0,B3605*(IF(C3605=DATE(2026,11,28),38,0)+IF(C3605=DATE(2026,12,1),38,0)+IF(C3605=DATE(2026,12,2),26,0)))</f>
        <v/>
      </c>
      <c r="K3605" s="13">
        <f>IF(C3605=Options!$B$9,B3605*12,0)</f>
        <v/>
      </c>
      <c r="L3605" s="13">
        <f>IF(C3605=Options!$B$9,B3605*Options!$Z$9,0)</f>
        <v/>
      </c>
      <c r="M3605" s="13" t="n">
        <v>0</v>
      </c>
      <c r="N3605" s="13">
        <f>SUM(E3605:M3605)</f>
        <v/>
      </c>
    </row>
    <row r="3606">
      <c r="A3606" s="5">
        <f>IF(AND(C3606&gt;=Options!$B$9,C3606&lt;=Options!$B$10),"Seattle","")</f>
        <v/>
      </c>
      <c r="B3606" s="5">
        <f>IF(A3606="","",24)</f>
        <v/>
      </c>
      <c r="C3606" s="17" t="n">
        <v>46612</v>
      </c>
      <c r="D3606" s="5">
        <f>IF(A3606="","",IF(C3606=DATE(2026,11,29),"培训；注册午餐；早餐参数",IF(C3606=DATE(2026,11,30),"培训；注册午餐",IF(C3606=DATE(2026,12,1),"培训；注册午餐；机构晚餐",IF(C3606=Options!$B$9,"抵达；"&amp;IF(C3606=DATE(2026,11,28),"机构晚餐","无统一供餐"),IF(C3606=Options!$B$10,"返程；"&amp;IF(C3606=DATE(2026,12,2),"机构午餐","无统一供餐"),"差旅状态；无统一日程"))))))</f>
        <v/>
      </c>
      <c r="E3606" s="13">
        <f>IF(C3606=Options!$B$9,Options!$C$23,0)</f>
        <v/>
      </c>
      <c r="F3606" s="13">
        <f>IF(AND(A3606&lt;&gt;"",C3606&lt;Options!$B$10),B3606*Options!$X$9,0)</f>
        <v/>
      </c>
      <c r="G3606" s="13">
        <f>F3606*12%</f>
        <v/>
      </c>
      <c r="H3606" s="13">
        <f>IF(A3606="",0,B3606*(92*IF(OR(C3606=Options!$B$9,C3606=Options!$B$10),75%,100%)-IF(C3606=DATE(2026,11,29),26+IF(Options!$B$8="是",23,0),0)-IF(C3606=DATE(2026,11,30),26,0)-IF(C3606=DATE(2026,12,1),64,0)-IF(C3606=DATE(2026,11,28),38,0)-IF(C3606=DATE(2026,12,2),26,0)))</f>
        <v/>
      </c>
      <c r="I3606" s="13">
        <f>IF(AND(C3606&gt;=DATE(2026,11,29),C3606&lt;=DATE(2026,12,1)),B3606*60,0)</f>
        <v/>
      </c>
      <c r="J3606" s="13">
        <f>IF(A3606="",0,B3606*(IF(C3606=DATE(2026,11,28),38,0)+IF(C3606=DATE(2026,12,1),38,0)+IF(C3606=DATE(2026,12,2),26,0)))</f>
        <v/>
      </c>
      <c r="K3606" s="13">
        <f>IF(C3606=Options!$B$9,B3606*12,0)</f>
        <v/>
      </c>
      <c r="L3606" s="13">
        <f>IF(C3606=Options!$B$9,B3606*Options!$Z$9,0)</f>
        <v/>
      </c>
      <c r="M3606" s="13" t="n">
        <v>0</v>
      </c>
      <c r="N3606" s="13">
        <f>SUM(E3606:M3606)</f>
        <v/>
      </c>
    </row>
    <row r="3607">
      <c r="A3607" s="5">
        <f>IF(AND(C3607&gt;=Options!$B$9,C3607&lt;=Options!$B$10),"Seattle","")</f>
        <v/>
      </c>
      <c r="B3607" s="5">
        <f>IF(A3607="","",24)</f>
        <v/>
      </c>
      <c r="C3607" s="17" t="n">
        <v>46613</v>
      </c>
      <c r="D3607" s="5">
        <f>IF(A3607="","",IF(C3607=DATE(2026,11,29),"培训；注册午餐；早餐参数",IF(C3607=DATE(2026,11,30),"培训；注册午餐",IF(C3607=DATE(2026,12,1),"培训；注册午餐；机构晚餐",IF(C3607=Options!$B$9,"抵达；"&amp;IF(C3607=DATE(2026,11,28),"机构晚餐","无统一供餐"),IF(C3607=Options!$B$10,"返程；"&amp;IF(C3607=DATE(2026,12,2),"机构午餐","无统一供餐"),"差旅状态；无统一日程"))))))</f>
        <v/>
      </c>
      <c r="E3607" s="13">
        <f>IF(C3607=Options!$B$9,Options!$C$23,0)</f>
        <v/>
      </c>
      <c r="F3607" s="13">
        <f>IF(AND(A3607&lt;&gt;"",C3607&lt;Options!$B$10),B3607*Options!$X$9,0)</f>
        <v/>
      </c>
      <c r="G3607" s="13">
        <f>F3607*12%</f>
        <v/>
      </c>
      <c r="H3607" s="13">
        <f>IF(A3607="",0,B3607*(92*IF(OR(C3607=Options!$B$9,C3607=Options!$B$10),75%,100%)-IF(C3607=DATE(2026,11,29),26+IF(Options!$B$8="是",23,0),0)-IF(C3607=DATE(2026,11,30),26,0)-IF(C3607=DATE(2026,12,1),64,0)-IF(C3607=DATE(2026,11,28),38,0)-IF(C3607=DATE(2026,12,2),26,0)))</f>
        <v/>
      </c>
      <c r="I3607" s="13">
        <f>IF(AND(C3607&gt;=DATE(2026,11,29),C3607&lt;=DATE(2026,12,1)),B3607*60,0)</f>
        <v/>
      </c>
      <c r="J3607" s="13">
        <f>IF(A3607="",0,B3607*(IF(C3607=DATE(2026,11,28),38,0)+IF(C3607=DATE(2026,12,1),38,0)+IF(C3607=DATE(2026,12,2),26,0)))</f>
        <v/>
      </c>
      <c r="K3607" s="13">
        <f>IF(C3607=Options!$B$9,B3607*12,0)</f>
        <v/>
      </c>
      <c r="L3607" s="13">
        <f>IF(C3607=Options!$B$9,B3607*Options!$Z$9,0)</f>
        <v/>
      </c>
      <c r="M3607" s="13" t="n">
        <v>0</v>
      </c>
      <c r="N3607" s="13">
        <f>SUM(E3607:M3607)</f>
        <v/>
      </c>
    </row>
    <row r="3608">
      <c r="A3608" s="5">
        <f>IF(AND(C3608&gt;=Options!$B$9,C3608&lt;=Options!$B$10),"Seattle","")</f>
        <v/>
      </c>
      <c r="B3608" s="5">
        <f>IF(A3608="","",24)</f>
        <v/>
      </c>
      <c r="C3608" s="17" t="n">
        <v>46614</v>
      </c>
      <c r="D3608" s="5">
        <f>IF(A3608="","",IF(C3608=DATE(2026,11,29),"培训；注册午餐；早餐参数",IF(C3608=DATE(2026,11,30),"培训；注册午餐",IF(C3608=DATE(2026,12,1),"培训；注册午餐；机构晚餐",IF(C3608=Options!$B$9,"抵达；"&amp;IF(C3608=DATE(2026,11,28),"机构晚餐","无统一供餐"),IF(C3608=Options!$B$10,"返程；"&amp;IF(C3608=DATE(2026,12,2),"机构午餐","无统一供餐"),"差旅状态；无统一日程"))))))</f>
        <v/>
      </c>
      <c r="E3608" s="13">
        <f>IF(C3608=Options!$B$9,Options!$C$23,0)</f>
        <v/>
      </c>
      <c r="F3608" s="13">
        <f>IF(AND(A3608&lt;&gt;"",C3608&lt;Options!$B$10),B3608*Options!$X$9,0)</f>
        <v/>
      </c>
      <c r="G3608" s="13">
        <f>F3608*12%</f>
        <v/>
      </c>
      <c r="H3608" s="13">
        <f>IF(A3608="",0,B3608*(92*IF(OR(C3608=Options!$B$9,C3608=Options!$B$10),75%,100%)-IF(C3608=DATE(2026,11,29),26+IF(Options!$B$8="是",23,0),0)-IF(C3608=DATE(2026,11,30),26,0)-IF(C3608=DATE(2026,12,1),64,0)-IF(C3608=DATE(2026,11,28),38,0)-IF(C3608=DATE(2026,12,2),26,0)))</f>
        <v/>
      </c>
      <c r="I3608" s="13">
        <f>IF(AND(C3608&gt;=DATE(2026,11,29),C3608&lt;=DATE(2026,12,1)),B3608*60,0)</f>
        <v/>
      </c>
      <c r="J3608" s="13">
        <f>IF(A3608="",0,B3608*(IF(C3608=DATE(2026,11,28),38,0)+IF(C3608=DATE(2026,12,1),38,0)+IF(C3608=DATE(2026,12,2),26,0)))</f>
        <v/>
      </c>
      <c r="K3608" s="13">
        <f>IF(C3608=Options!$B$9,B3608*12,0)</f>
        <v/>
      </c>
      <c r="L3608" s="13">
        <f>IF(C3608=Options!$B$9,B3608*Options!$Z$9,0)</f>
        <v/>
      </c>
      <c r="M3608" s="13" t="n">
        <v>0</v>
      </c>
      <c r="N3608" s="13">
        <f>SUM(E3608:M3608)</f>
        <v/>
      </c>
    </row>
    <row r="3609">
      <c r="A3609" s="5">
        <f>IF(AND(C3609&gt;=Options!$B$9,C3609&lt;=Options!$B$10),"Seattle","")</f>
        <v/>
      </c>
      <c r="B3609" s="5">
        <f>IF(A3609="","",24)</f>
        <v/>
      </c>
      <c r="C3609" s="17" t="n">
        <v>46615</v>
      </c>
      <c r="D3609" s="5">
        <f>IF(A3609="","",IF(C3609=DATE(2026,11,29),"培训；注册午餐；早餐参数",IF(C3609=DATE(2026,11,30),"培训；注册午餐",IF(C3609=DATE(2026,12,1),"培训；注册午餐；机构晚餐",IF(C3609=Options!$B$9,"抵达；"&amp;IF(C3609=DATE(2026,11,28),"机构晚餐","无统一供餐"),IF(C3609=Options!$B$10,"返程；"&amp;IF(C3609=DATE(2026,12,2),"机构午餐","无统一供餐"),"差旅状态；无统一日程"))))))</f>
        <v/>
      </c>
      <c r="E3609" s="13">
        <f>IF(C3609=Options!$B$9,Options!$C$23,0)</f>
        <v/>
      </c>
      <c r="F3609" s="13">
        <f>IF(AND(A3609&lt;&gt;"",C3609&lt;Options!$B$10),B3609*Options!$X$9,0)</f>
        <v/>
      </c>
      <c r="G3609" s="13">
        <f>F3609*12%</f>
        <v/>
      </c>
      <c r="H3609" s="13">
        <f>IF(A3609="",0,B3609*(92*IF(OR(C3609=Options!$B$9,C3609=Options!$B$10),75%,100%)-IF(C3609=DATE(2026,11,29),26+IF(Options!$B$8="是",23,0),0)-IF(C3609=DATE(2026,11,30),26,0)-IF(C3609=DATE(2026,12,1),64,0)-IF(C3609=DATE(2026,11,28),38,0)-IF(C3609=DATE(2026,12,2),26,0)))</f>
        <v/>
      </c>
      <c r="I3609" s="13">
        <f>IF(AND(C3609&gt;=DATE(2026,11,29),C3609&lt;=DATE(2026,12,1)),B3609*60,0)</f>
        <v/>
      </c>
      <c r="J3609" s="13">
        <f>IF(A3609="",0,B3609*(IF(C3609=DATE(2026,11,28),38,0)+IF(C3609=DATE(2026,12,1),38,0)+IF(C3609=DATE(2026,12,2),26,0)))</f>
        <v/>
      </c>
      <c r="K3609" s="13">
        <f>IF(C3609=Options!$B$9,B3609*12,0)</f>
        <v/>
      </c>
      <c r="L3609" s="13">
        <f>IF(C3609=Options!$B$9,B3609*Options!$Z$9,0)</f>
        <v/>
      </c>
      <c r="M3609" s="13" t="n">
        <v>0</v>
      </c>
      <c r="N3609" s="13">
        <f>SUM(E3609:M3609)</f>
        <v/>
      </c>
    </row>
    <row r="3610">
      <c r="A3610" s="5">
        <f>IF(AND(C3610&gt;=Options!$B$9,C3610&lt;=Options!$B$10),"Seattle","")</f>
        <v/>
      </c>
      <c r="B3610" s="5">
        <f>IF(A3610="","",24)</f>
        <v/>
      </c>
      <c r="C3610" s="17" t="n">
        <v>46616</v>
      </c>
      <c r="D3610" s="5">
        <f>IF(A3610="","",IF(C3610=DATE(2026,11,29),"培训；注册午餐；早餐参数",IF(C3610=DATE(2026,11,30),"培训；注册午餐",IF(C3610=DATE(2026,12,1),"培训；注册午餐；机构晚餐",IF(C3610=Options!$B$9,"抵达；"&amp;IF(C3610=DATE(2026,11,28),"机构晚餐","无统一供餐"),IF(C3610=Options!$B$10,"返程；"&amp;IF(C3610=DATE(2026,12,2),"机构午餐","无统一供餐"),"差旅状态；无统一日程"))))))</f>
        <v/>
      </c>
      <c r="E3610" s="13">
        <f>IF(C3610=Options!$B$9,Options!$C$23,0)</f>
        <v/>
      </c>
      <c r="F3610" s="13">
        <f>IF(AND(A3610&lt;&gt;"",C3610&lt;Options!$B$10),B3610*Options!$X$9,0)</f>
        <v/>
      </c>
      <c r="G3610" s="13">
        <f>F3610*12%</f>
        <v/>
      </c>
      <c r="H3610" s="13">
        <f>IF(A3610="",0,B3610*(92*IF(OR(C3610=Options!$B$9,C3610=Options!$B$10),75%,100%)-IF(C3610=DATE(2026,11,29),26+IF(Options!$B$8="是",23,0),0)-IF(C3610=DATE(2026,11,30),26,0)-IF(C3610=DATE(2026,12,1),64,0)-IF(C3610=DATE(2026,11,28),38,0)-IF(C3610=DATE(2026,12,2),26,0)))</f>
        <v/>
      </c>
      <c r="I3610" s="13">
        <f>IF(AND(C3610&gt;=DATE(2026,11,29),C3610&lt;=DATE(2026,12,1)),B3610*60,0)</f>
        <v/>
      </c>
      <c r="J3610" s="13">
        <f>IF(A3610="",0,B3610*(IF(C3610=DATE(2026,11,28),38,0)+IF(C3610=DATE(2026,12,1),38,0)+IF(C3610=DATE(2026,12,2),26,0)))</f>
        <v/>
      </c>
      <c r="K3610" s="13">
        <f>IF(C3610=Options!$B$9,B3610*12,0)</f>
        <v/>
      </c>
      <c r="L3610" s="13">
        <f>IF(C3610=Options!$B$9,B3610*Options!$Z$9,0)</f>
        <v/>
      </c>
      <c r="M3610" s="13" t="n">
        <v>0</v>
      </c>
      <c r="N3610" s="13">
        <f>SUM(E3610:M3610)</f>
        <v/>
      </c>
    </row>
    <row r="3611">
      <c r="A3611" s="5">
        <f>IF(AND(C3611&gt;=Options!$B$9,C3611&lt;=Options!$B$10),"Seattle","")</f>
        <v/>
      </c>
      <c r="B3611" s="5">
        <f>IF(A3611="","",24)</f>
        <v/>
      </c>
      <c r="C3611" s="17" t="n">
        <v>46617</v>
      </c>
      <c r="D3611" s="5">
        <f>IF(A3611="","",IF(C3611=DATE(2026,11,29),"培训；注册午餐；早餐参数",IF(C3611=DATE(2026,11,30),"培训；注册午餐",IF(C3611=DATE(2026,12,1),"培训；注册午餐；机构晚餐",IF(C3611=Options!$B$9,"抵达；"&amp;IF(C3611=DATE(2026,11,28),"机构晚餐","无统一供餐"),IF(C3611=Options!$B$10,"返程；"&amp;IF(C3611=DATE(2026,12,2),"机构午餐","无统一供餐"),"差旅状态；无统一日程"))))))</f>
        <v/>
      </c>
      <c r="E3611" s="13">
        <f>IF(C3611=Options!$B$9,Options!$C$23,0)</f>
        <v/>
      </c>
      <c r="F3611" s="13">
        <f>IF(AND(A3611&lt;&gt;"",C3611&lt;Options!$B$10),B3611*Options!$X$9,0)</f>
        <v/>
      </c>
      <c r="G3611" s="13">
        <f>F3611*12%</f>
        <v/>
      </c>
      <c r="H3611" s="13">
        <f>IF(A3611="",0,B3611*(92*IF(OR(C3611=Options!$B$9,C3611=Options!$B$10),75%,100%)-IF(C3611=DATE(2026,11,29),26+IF(Options!$B$8="是",23,0),0)-IF(C3611=DATE(2026,11,30),26,0)-IF(C3611=DATE(2026,12,1),64,0)-IF(C3611=DATE(2026,11,28),38,0)-IF(C3611=DATE(2026,12,2),26,0)))</f>
        <v/>
      </c>
      <c r="I3611" s="13">
        <f>IF(AND(C3611&gt;=DATE(2026,11,29),C3611&lt;=DATE(2026,12,1)),B3611*60,0)</f>
        <v/>
      </c>
      <c r="J3611" s="13">
        <f>IF(A3611="",0,B3611*(IF(C3611=DATE(2026,11,28),38,0)+IF(C3611=DATE(2026,12,1),38,0)+IF(C3611=DATE(2026,12,2),26,0)))</f>
        <v/>
      </c>
      <c r="K3611" s="13">
        <f>IF(C3611=Options!$B$9,B3611*12,0)</f>
        <v/>
      </c>
      <c r="L3611" s="13">
        <f>IF(C3611=Options!$B$9,B3611*Options!$Z$9,0)</f>
        <v/>
      </c>
      <c r="M3611" s="13" t="n">
        <v>0</v>
      </c>
      <c r="N3611" s="13">
        <f>SUM(E3611:M3611)</f>
        <v/>
      </c>
    </row>
    <row r="3612">
      <c r="A3612" s="5">
        <f>IF(AND(C3612&gt;=Options!$B$9,C3612&lt;=Options!$B$10),"Seattle","")</f>
        <v/>
      </c>
      <c r="B3612" s="5">
        <f>IF(A3612="","",24)</f>
        <v/>
      </c>
      <c r="C3612" s="17" t="n">
        <v>46618</v>
      </c>
      <c r="D3612" s="5">
        <f>IF(A3612="","",IF(C3612=DATE(2026,11,29),"培训；注册午餐；早餐参数",IF(C3612=DATE(2026,11,30),"培训；注册午餐",IF(C3612=DATE(2026,12,1),"培训；注册午餐；机构晚餐",IF(C3612=Options!$B$9,"抵达；"&amp;IF(C3612=DATE(2026,11,28),"机构晚餐","无统一供餐"),IF(C3612=Options!$B$10,"返程；"&amp;IF(C3612=DATE(2026,12,2),"机构午餐","无统一供餐"),"差旅状态；无统一日程"))))))</f>
        <v/>
      </c>
      <c r="E3612" s="13">
        <f>IF(C3612=Options!$B$9,Options!$C$23,0)</f>
        <v/>
      </c>
      <c r="F3612" s="13">
        <f>IF(AND(A3612&lt;&gt;"",C3612&lt;Options!$B$10),B3612*Options!$X$9,0)</f>
        <v/>
      </c>
      <c r="G3612" s="13">
        <f>F3612*12%</f>
        <v/>
      </c>
      <c r="H3612" s="13">
        <f>IF(A3612="",0,B3612*(92*IF(OR(C3612=Options!$B$9,C3612=Options!$B$10),75%,100%)-IF(C3612=DATE(2026,11,29),26+IF(Options!$B$8="是",23,0),0)-IF(C3612=DATE(2026,11,30),26,0)-IF(C3612=DATE(2026,12,1),64,0)-IF(C3612=DATE(2026,11,28),38,0)-IF(C3612=DATE(2026,12,2),26,0)))</f>
        <v/>
      </c>
      <c r="I3612" s="13">
        <f>IF(AND(C3612&gt;=DATE(2026,11,29),C3612&lt;=DATE(2026,12,1)),B3612*60,0)</f>
        <v/>
      </c>
      <c r="J3612" s="13">
        <f>IF(A3612="",0,B3612*(IF(C3612=DATE(2026,11,28),38,0)+IF(C3612=DATE(2026,12,1),38,0)+IF(C3612=DATE(2026,12,2),26,0)))</f>
        <v/>
      </c>
      <c r="K3612" s="13">
        <f>IF(C3612=Options!$B$9,B3612*12,0)</f>
        <v/>
      </c>
      <c r="L3612" s="13">
        <f>IF(C3612=Options!$B$9,B3612*Options!$Z$9,0)</f>
        <v/>
      </c>
      <c r="M3612" s="13" t="n">
        <v>0</v>
      </c>
      <c r="N3612" s="13">
        <f>SUM(E3612:M3612)</f>
        <v/>
      </c>
    </row>
    <row r="3613">
      <c r="A3613" s="5">
        <f>IF(AND(C3613&gt;=Options!$B$9,C3613&lt;=Options!$B$10),"Seattle","")</f>
        <v/>
      </c>
      <c r="B3613" s="5">
        <f>IF(A3613="","",24)</f>
        <v/>
      </c>
      <c r="C3613" s="17" t="n">
        <v>46619</v>
      </c>
      <c r="D3613" s="5">
        <f>IF(A3613="","",IF(C3613=DATE(2026,11,29),"培训；注册午餐；早餐参数",IF(C3613=DATE(2026,11,30),"培训；注册午餐",IF(C3613=DATE(2026,12,1),"培训；注册午餐；机构晚餐",IF(C3613=Options!$B$9,"抵达；"&amp;IF(C3613=DATE(2026,11,28),"机构晚餐","无统一供餐"),IF(C3613=Options!$B$10,"返程；"&amp;IF(C3613=DATE(2026,12,2),"机构午餐","无统一供餐"),"差旅状态；无统一日程"))))))</f>
        <v/>
      </c>
      <c r="E3613" s="13">
        <f>IF(C3613=Options!$B$9,Options!$C$23,0)</f>
        <v/>
      </c>
      <c r="F3613" s="13">
        <f>IF(AND(A3613&lt;&gt;"",C3613&lt;Options!$B$10),B3613*Options!$X$9,0)</f>
        <v/>
      </c>
      <c r="G3613" s="13">
        <f>F3613*12%</f>
        <v/>
      </c>
      <c r="H3613" s="13">
        <f>IF(A3613="",0,B3613*(92*IF(OR(C3613=Options!$B$9,C3613=Options!$B$10),75%,100%)-IF(C3613=DATE(2026,11,29),26+IF(Options!$B$8="是",23,0),0)-IF(C3613=DATE(2026,11,30),26,0)-IF(C3613=DATE(2026,12,1),64,0)-IF(C3613=DATE(2026,11,28),38,0)-IF(C3613=DATE(2026,12,2),26,0)))</f>
        <v/>
      </c>
      <c r="I3613" s="13">
        <f>IF(AND(C3613&gt;=DATE(2026,11,29),C3613&lt;=DATE(2026,12,1)),B3613*60,0)</f>
        <v/>
      </c>
      <c r="J3613" s="13">
        <f>IF(A3613="",0,B3613*(IF(C3613=DATE(2026,11,28),38,0)+IF(C3613=DATE(2026,12,1),38,0)+IF(C3613=DATE(2026,12,2),26,0)))</f>
        <v/>
      </c>
      <c r="K3613" s="13">
        <f>IF(C3613=Options!$B$9,B3613*12,0)</f>
        <v/>
      </c>
      <c r="L3613" s="13">
        <f>IF(C3613=Options!$B$9,B3613*Options!$Z$9,0)</f>
        <v/>
      </c>
      <c r="M3613" s="13" t="n">
        <v>0</v>
      </c>
      <c r="N3613" s="13">
        <f>SUM(E3613:M3613)</f>
        <v/>
      </c>
    </row>
    <row r="3614">
      <c r="A3614" s="5">
        <f>IF(AND(C3614&gt;=Options!$B$9,C3614&lt;=Options!$B$10),"Seattle","")</f>
        <v/>
      </c>
      <c r="B3614" s="5">
        <f>IF(A3614="","",24)</f>
        <v/>
      </c>
      <c r="C3614" s="17" t="n">
        <v>46620</v>
      </c>
      <c r="D3614" s="5">
        <f>IF(A3614="","",IF(C3614=DATE(2026,11,29),"培训；注册午餐；早餐参数",IF(C3614=DATE(2026,11,30),"培训；注册午餐",IF(C3614=DATE(2026,12,1),"培训；注册午餐；机构晚餐",IF(C3614=Options!$B$9,"抵达；"&amp;IF(C3614=DATE(2026,11,28),"机构晚餐","无统一供餐"),IF(C3614=Options!$B$10,"返程；"&amp;IF(C3614=DATE(2026,12,2),"机构午餐","无统一供餐"),"差旅状态；无统一日程"))))))</f>
        <v/>
      </c>
      <c r="E3614" s="13">
        <f>IF(C3614=Options!$B$9,Options!$C$23,0)</f>
        <v/>
      </c>
      <c r="F3614" s="13">
        <f>IF(AND(A3614&lt;&gt;"",C3614&lt;Options!$B$10),B3614*Options!$X$9,0)</f>
        <v/>
      </c>
      <c r="G3614" s="13">
        <f>F3614*12%</f>
        <v/>
      </c>
      <c r="H3614" s="13">
        <f>IF(A3614="",0,B3614*(92*IF(OR(C3614=Options!$B$9,C3614=Options!$B$10),75%,100%)-IF(C3614=DATE(2026,11,29),26+IF(Options!$B$8="是",23,0),0)-IF(C3614=DATE(2026,11,30),26,0)-IF(C3614=DATE(2026,12,1),64,0)-IF(C3614=DATE(2026,11,28),38,0)-IF(C3614=DATE(2026,12,2),26,0)))</f>
        <v/>
      </c>
      <c r="I3614" s="13">
        <f>IF(AND(C3614&gt;=DATE(2026,11,29),C3614&lt;=DATE(2026,12,1)),B3614*60,0)</f>
        <v/>
      </c>
      <c r="J3614" s="13">
        <f>IF(A3614="",0,B3614*(IF(C3614=DATE(2026,11,28),38,0)+IF(C3614=DATE(2026,12,1),38,0)+IF(C3614=DATE(2026,12,2),26,0)))</f>
        <v/>
      </c>
      <c r="K3614" s="13">
        <f>IF(C3614=Options!$B$9,B3614*12,0)</f>
        <v/>
      </c>
      <c r="L3614" s="13">
        <f>IF(C3614=Options!$B$9,B3614*Options!$Z$9,0)</f>
        <v/>
      </c>
      <c r="M3614" s="13" t="n">
        <v>0</v>
      </c>
      <c r="N3614" s="13">
        <f>SUM(E3614:M3614)</f>
        <v/>
      </c>
    </row>
    <row r="3615">
      <c r="A3615" s="5">
        <f>IF(AND(C3615&gt;=Options!$B$9,C3615&lt;=Options!$B$10),"Seattle","")</f>
        <v/>
      </c>
      <c r="B3615" s="5">
        <f>IF(A3615="","",24)</f>
        <v/>
      </c>
      <c r="C3615" s="17" t="n">
        <v>46621</v>
      </c>
      <c r="D3615" s="5">
        <f>IF(A3615="","",IF(C3615=DATE(2026,11,29),"培训；注册午餐；早餐参数",IF(C3615=DATE(2026,11,30),"培训；注册午餐",IF(C3615=DATE(2026,12,1),"培训；注册午餐；机构晚餐",IF(C3615=Options!$B$9,"抵达；"&amp;IF(C3615=DATE(2026,11,28),"机构晚餐","无统一供餐"),IF(C3615=Options!$B$10,"返程；"&amp;IF(C3615=DATE(2026,12,2),"机构午餐","无统一供餐"),"差旅状态；无统一日程"))))))</f>
        <v/>
      </c>
      <c r="E3615" s="13">
        <f>IF(C3615=Options!$B$9,Options!$C$23,0)</f>
        <v/>
      </c>
      <c r="F3615" s="13">
        <f>IF(AND(A3615&lt;&gt;"",C3615&lt;Options!$B$10),B3615*Options!$X$9,0)</f>
        <v/>
      </c>
      <c r="G3615" s="13">
        <f>F3615*12%</f>
        <v/>
      </c>
      <c r="H3615" s="13">
        <f>IF(A3615="",0,B3615*(92*IF(OR(C3615=Options!$B$9,C3615=Options!$B$10),75%,100%)-IF(C3615=DATE(2026,11,29),26+IF(Options!$B$8="是",23,0),0)-IF(C3615=DATE(2026,11,30),26,0)-IF(C3615=DATE(2026,12,1),64,0)-IF(C3615=DATE(2026,11,28),38,0)-IF(C3615=DATE(2026,12,2),26,0)))</f>
        <v/>
      </c>
      <c r="I3615" s="13">
        <f>IF(AND(C3615&gt;=DATE(2026,11,29),C3615&lt;=DATE(2026,12,1)),B3615*60,0)</f>
        <v/>
      </c>
      <c r="J3615" s="13">
        <f>IF(A3615="",0,B3615*(IF(C3615=DATE(2026,11,28),38,0)+IF(C3615=DATE(2026,12,1),38,0)+IF(C3615=DATE(2026,12,2),26,0)))</f>
        <v/>
      </c>
      <c r="K3615" s="13">
        <f>IF(C3615=Options!$B$9,B3615*12,0)</f>
        <v/>
      </c>
      <c r="L3615" s="13">
        <f>IF(C3615=Options!$B$9,B3615*Options!$Z$9,0)</f>
        <v/>
      </c>
      <c r="M3615" s="13" t="n">
        <v>0</v>
      </c>
      <c r="N3615" s="13">
        <f>SUM(E3615:M3615)</f>
        <v/>
      </c>
    </row>
    <row r="3616">
      <c r="A3616" s="5">
        <f>IF(AND(C3616&gt;=Options!$B$9,C3616&lt;=Options!$B$10),"Seattle","")</f>
        <v/>
      </c>
      <c r="B3616" s="5">
        <f>IF(A3616="","",24)</f>
        <v/>
      </c>
      <c r="C3616" s="17" t="n">
        <v>46622</v>
      </c>
      <c r="D3616" s="5">
        <f>IF(A3616="","",IF(C3616=DATE(2026,11,29),"培训；注册午餐；早餐参数",IF(C3616=DATE(2026,11,30),"培训；注册午餐",IF(C3616=DATE(2026,12,1),"培训；注册午餐；机构晚餐",IF(C3616=Options!$B$9,"抵达；"&amp;IF(C3616=DATE(2026,11,28),"机构晚餐","无统一供餐"),IF(C3616=Options!$B$10,"返程；"&amp;IF(C3616=DATE(2026,12,2),"机构午餐","无统一供餐"),"差旅状态；无统一日程"))))))</f>
        <v/>
      </c>
      <c r="E3616" s="13">
        <f>IF(C3616=Options!$B$9,Options!$C$23,0)</f>
        <v/>
      </c>
      <c r="F3616" s="13">
        <f>IF(AND(A3616&lt;&gt;"",C3616&lt;Options!$B$10),B3616*Options!$X$9,0)</f>
        <v/>
      </c>
      <c r="G3616" s="13">
        <f>F3616*12%</f>
        <v/>
      </c>
      <c r="H3616" s="13">
        <f>IF(A3616="",0,B3616*(92*IF(OR(C3616=Options!$B$9,C3616=Options!$B$10),75%,100%)-IF(C3616=DATE(2026,11,29),26+IF(Options!$B$8="是",23,0),0)-IF(C3616=DATE(2026,11,30),26,0)-IF(C3616=DATE(2026,12,1),64,0)-IF(C3616=DATE(2026,11,28),38,0)-IF(C3616=DATE(2026,12,2),26,0)))</f>
        <v/>
      </c>
      <c r="I3616" s="13">
        <f>IF(AND(C3616&gt;=DATE(2026,11,29),C3616&lt;=DATE(2026,12,1)),B3616*60,0)</f>
        <v/>
      </c>
      <c r="J3616" s="13">
        <f>IF(A3616="",0,B3616*(IF(C3616=DATE(2026,11,28),38,0)+IF(C3616=DATE(2026,12,1),38,0)+IF(C3616=DATE(2026,12,2),26,0)))</f>
        <v/>
      </c>
      <c r="K3616" s="13">
        <f>IF(C3616=Options!$B$9,B3616*12,0)</f>
        <v/>
      </c>
      <c r="L3616" s="13">
        <f>IF(C3616=Options!$B$9,B3616*Options!$Z$9,0)</f>
        <v/>
      </c>
      <c r="M3616" s="13" t="n">
        <v>0</v>
      </c>
      <c r="N3616" s="13">
        <f>SUM(E3616:M3616)</f>
        <v/>
      </c>
    </row>
    <row r="3617">
      <c r="A3617" s="5">
        <f>IF(AND(C3617&gt;=Options!$B$9,C3617&lt;=Options!$B$10),"Seattle","")</f>
        <v/>
      </c>
      <c r="B3617" s="5">
        <f>IF(A3617="","",24)</f>
        <v/>
      </c>
      <c r="C3617" s="17" t="n">
        <v>46623</v>
      </c>
      <c r="D3617" s="5">
        <f>IF(A3617="","",IF(C3617=DATE(2026,11,29),"培训；注册午餐；早餐参数",IF(C3617=DATE(2026,11,30),"培训；注册午餐",IF(C3617=DATE(2026,12,1),"培训；注册午餐；机构晚餐",IF(C3617=Options!$B$9,"抵达；"&amp;IF(C3617=DATE(2026,11,28),"机构晚餐","无统一供餐"),IF(C3617=Options!$B$10,"返程；"&amp;IF(C3617=DATE(2026,12,2),"机构午餐","无统一供餐"),"差旅状态；无统一日程"))))))</f>
        <v/>
      </c>
      <c r="E3617" s="13">
        <f>IF(C3617=Options!$B$9,Options!$C$23,0)</f>
        <v/>
      </c>
      <c r="F3617" s="13">
        <f>IF(AND(A3617&lt;&gt;"",C3617&lt;Options!$B$10),B3617*Options!$X$9,0)</f>
        <v/>
      </c>
      <c r="G3617" s="13">
        <f>F3617*12%</f>
        <v/>
      </c>
      <c r="H3617" s="13">
        <f>IF(A3617="",0,B3617*(92*IF(OR(C3617=Options!$B$9,C3617=Options!$B$10),75%,100%)-IF(C3617=DATE(2026,11,29),26+IF(Options!$B$8="是",23,0),0)-IF(C3617=DATE(2026,11,30),26,0)-IF(C3617=DATE(2026,12,1),64,0)-IF(C3617=DATE(2026,11,28),38,0)-IF(C3617=DATE(2026,12,2),26,0)))</f>
        <v/>
      </c>
      <c r="I3617" s="13">
        <f>IF(AND(C3617&gt;=DATE(2026,11,29),C3617&lt;=DATE(2026,12,1)),B3617*60,0)</f>
        <v/>
      </c>
      <c r="J3617" s="13">
        <f>IF(A3617="",0,B3617*(IF(C3617=DATE(2026,11,28),38,0)+IF(C3617=DATE(2026,12,1),38,0)+IF(C3617=DATE(2026,12,2),26,0)))</f>
        <v/>
      </c>
      <c r="K3617" s="13">
        <f>IF(C3617=Options!$B$9,B3617*12,0)</f>
        <v/>
      </c>
      <c r="L3617" s="13">
        <f>IF(C3617=Options!$B$9,B3617*Options!$Z$9,0)</f>
        <v/>
      </c>
      <c r="M3617" s="13" t="n">
        <v>0</v>
      </c>
      <c r="N3617" s="13">
        <f>SUM(E3617:M3617)</f>
        <v/>
      </c>
    </row>
    <row r="3618">
      <c r="A3618" s="5">
        <f>IF(AND(C3618&gt;=Options!$B$9,C3618&lt;=Options!$B$10),"Seattle","")</f>
        <v/>
      </c>
      <c r="B3618" s="5">
        <f>IF(A3618="","",24)</f>
        <v/>
      </c>
      <c r="C3618" s="17" t="n">
        <v>46624</v>
      </c>
      <c r="D3618" s="5">
        <f>IF(A3618="","",IF(C3618=DATE(2026,11,29),"培训；注册午餐；早餐参数",IF(C3618=DATE(2026,11,30),"培训；注册午餐",IF(C3618=DATE(2026,12,1),"培训；注册午餐；机构晚餐",IF(C3618=Options!$B$9,"抵达；"&amp;IF(C3618=DATE(2026,11,28),"机构晚餐","无统一供餐"),IF(C3618=Options!$B$10,"返程；"&amp;IF(C3618=DATE(2026,12,2),"机构午餐","无统一供餐"),"差旅状态；无统一日程"))))))</f>
        <v/>
      </c>
      <c r="E3618" s="13">
        <f>IF(C3618=Options!$B$9,Options!$C$23,0)</f>
        <v/>
      </c>
      <c r="F3618" s="13">
        <f>IF(AND(A3618&lt;&gt;"",C3618&lt;Options!$B$10),B3618*Options!$X$9,0)</f>
        <v/>
      </c>
      <c r="G3618" s="13">
        <f>F3618*12%</f>
        <v/>
      </c>
      <c r="H3618" s="13">
        <f>IF(A3618="",0,B3618*(92*IF(OR(C3618=Options!$B$9,C3618=Options!$B$10),75%,100%)-IF(C3618=DATE(2026,11,29),26+IF(Options!$B$8="是",23,0),0)-IF(C3618=DATE(2026,11,30),26,0)-IF(C3618=DATE(2026,12,1),64,0)-IF(C3618=DATE(2026,11,28),38,0)-IF(C3618=DATE(2026,12,2),26,0)))</f>
        <v/>
      </c>
      <c r="I3618" s="13">
        <f>IF(AND(C3618&gt;=DATE(2026,11,29),C3618&lt;=DATE(2026,12,1)),B3618*60,0)</f>
        <v/>
      </c>
      <c r="J3618" s="13">
        <f>IF(A3618="",0,B3618*(IF(C3618=DATE(2026,11,28),38,0)+IF(C3618=DATE(2026,12,1),38,0)+IF(C3618=DATE(2026,12,2),26,0)))</f>
        <v/>
      </c>
      <c r="K3618" s="13">
        <f>IF(C3618=Options!$B$9,B3618*12,0)</f>
        <v/>
      </c>
      <c r="L3618" s="13">
        <f>IF(C3618=Options!$B$9,B3618*Options!$Z$9,0)</f>
        <v/>
      </c>
      <c r="M3618" s="13" t="n">
        <v>0</v>
      </c>
      <c r="N3618" s="13">
        <f>SUM(E3618:M3618)</f>
        <v/>
      </c>
    </row>
    <row r="3619">
      <c r="A3619" s="5">
        <f>IF(AND(C3619&gt;=Options!$B$9,C3619&lt;=Options!$B$10),"Seattle","")</f>
        <v/>
      </c>
      <c r="B3619" s="5">
        <f>IF(A3619="","",24)</f>
        <v/>
      </c>
      <c r="C3619" s="17" t="n">
        <v>46625</v>
      </c>
      <c r="D3619" s="5">
        <f>IF(A3619="","",IF(C3619=DATE(2026,11,29),"培训；注册午餐；早餐参数",IF(C3619=DATE(2026,11,30),"培训；注册午餐",IF(C3619=DATE(2026,12,1),"培训；注册午餐；机构晚餐",IF(C3619=Options!$B$9,"抵达；"&amp;IF(C3619=DATE(2026,11,28),"机构晚餐","无统一供餐"),IF(C3619=Options!$B$10,"返程；"&amp;IF(C3619=DATE(2026,12,2),"机构午餐","无统一供餐"),"差旅状态；无统一日程"))))))</f>
        <v/>
      </c>
      <c r="E3619" s="13">
        <f>IF(C3619=Options!$B$9,Options!$C$23,0)</f>
        <v/>
      </c>
      <c r="F3619" s="13">
        <f>IF(AND(A3619&lt;&gt;"",C3619&lt;Options!$B$10),B3619*Options!$X$9,0)</f>
        <v/>
      </c>
      <c r="G3619" s="13">
        <f>F3619*12%</f>
        <v/>
      </c>
      <c r="H3619" s="13">
        <f>IF(A3619="",0,B3619*(92*IF(OR(C3619=Options!$B$9,C3619=Options!$B$10),75%,100%)-IF(C3619=DATE(2026,11,29),26+IF(Options!$B$8="是",23,0),0)-IF(C3619=DATE(2026,11,30),26,0)-IF(C3619=DATE(2026,12,1),64,0)-IF(C3619=DATE(2026,11,28),38,0)-IF(C3619=DATE(2026,12,2),26,0)))</f>
        <v/>
      </c>
      <c r="I3619" s="13">
        <f>IF(AND(C3619&gt;=DATE(2026,11,29),C3619&lt;=DATE(2026,12,1)),B3619*60,0)</f>
        <v/>
      </c>
      <c r="J3619" s="13">
        <f>IF(A3619="",0,B3619*(IF(C3619=DATE(2026,11,28),38,0)+IF(C3619=DATE(2026,12,1),38,0)+IF(C3619=DATE(2026,12,2),26,0)))</f>
        <v/>
      </c>
      <c r="K3619" s="13">
        <f>IF(C3619=Options!$B$9,B3619*12,0)</f>
        <v/>
      </c>
      <c r="L3619" s="13">
        <f>IF(C3619=Options!$B$9,B3619*Options!$Z$9,0)</f>
        <v/>
      </c>
      <c r="M3619" s="13" t="n">
        <v>0</v>
      </c>
      <c r="N3619" s="13">
        <f>SUM(E3619:M3619)</f>
        <v/>
      </c>
    </row>
    <row r="3620">
      <c r="A3620" s="5">
        <f>IF(AND(C3620&gt;=Options!$B$9,C3620&lt;=Options!$B$10),"Seattle","")</f>
        <v/>
      </c>
      <c r="B3620" s="5">
        <f>IF(A3620="","",24)</f>
        <v/>
      </c>
      <c r="C3620" s="17" t="n">
        <v>46626</v>
      </c>
      <c r="D3620" s="5">
        <f>IF(A3620="","",IF(C3620=DATE(2026,11,29),"培训；注册午餐；早餐参数",IF(C3620=DATE(2026,11,30),"培训；注册午餐",IF(C3620=DATE(2026,12,1),"培训；注册午餐；机构晚餐",IF(C3620=Options!$B$9,"抵达；"&amp;IF(C3620=DATE(2026,11,28),"机构晚餐","无统一供餐"),IF(C3620=Options!$B$10,"返程；"&amp;IF(C3620=DATE(2026,12,2),"机构午餐","无统一供餐"),"差旅状态；无统一日程"))))))</f>
        <v/>
      </c>
      <c r="E3620" s="13">
        <f>IF(C3620=Options!$B$9,Options!$C$23,0)</f>
        <v/>
      </c>
      <c r="F3620" s="13">
        <f>IF(AND(A3620&lt;&gt;"",C3620&lt;Options!$B$10),B3620*Options!$X$9,0)</f>
        <v/>
      </c>
      <c r="G3620" s="13">
        <f>F3620*12%</f>
        <v/>
      </c>
      <c r="H3620" s="13">
        <f>IF(A3620="",0,B3620*(92*IF(OR(C3620=Options!$B$9,C3620=Options!$B$10),75%,100%)-IF(C3620=DATE(2026,11,29),26+IF(Options!$B$8="是",23,0),0)-IF(C3620=DATE(2026,11,30),26,0)-IF(C3620=DATE(2026,12,1),64,0)-IF(C3620=DATE(2026,11,28),38,0)-IF(C3620=DATE(2026,12,2),26,0)))</f>
        <v/>
      </c>
      <c r="I3620" s="13">
        <f>IF(AND(C3620&gt;=DATE(2026,11,29),C3620&lt;=DATE(2026,12,1)),B3620*60,0)</f>
        <v/>
      </c>
      <c r="J3620" s="13">
        <f>IF(A3620="",0,B3620*(IF(C3620=DATE(2026,11,28),38,0)+IF(C3620=DATE(2026,12,1),38,0)+IF(C3620=DATE(2026,12,2),26,0)))</f>
        <v/>
      </c>
      <c r="K3620" s="13">
        <f>IF(C3620=Options!$B$9,B3620*12,0)</f>
        <v/>
      </c>
      <c r="L3620" s="13">
        <f>IF(C3620=Options!$B$9,B3620*Options!$Z$9,0)</f>
        <v/>
      </c>
      <c r="M3620" s="13" t="n">
        <v>0</v>
      </c>
      <c r="N3620" s="13">
        <f>SUM(E3620:M3620)</f>
        <v/>
      </c>
    </row>
    <row r="3621">
      <c r="A3621" s="5">
        <f>IF(AND(C3621&gt;=Options!$B$9,C3621&lt;=Options!$B$10),"Seattle","")</f>
        <v/>
      </c>
      <c r="B3621" s="5">
        <f>IF(A3621="","",24)</f>
        <v/>
      </c>
      <c r="C3621" s="17" t="n">
        <v>46627</v>
      </c>
      <c r="D3621" s="5">
        <f>IF(A3621="","",IF(C3621=DATE(2026,11,29),"培训；注册午餐；早餐参数",IF(C3621=DATE(2026,11,30),"培训；注册午餐",IF(C3621=DATE(2026,12,1),"培训；注册午餐；机构晚餐",IF(C3621=Options!$B$9,"抵达；"&amp;IF(C3621=DATE(2026,11,28),"机构晚餐","无统一供餐"),IF(C3621=Options!$B$10,"返程；"&amp;IF(C3621=DATE(2026,12,2),"机构午餐","无统一供餐"),"差旅状态；无统一日程"))))))</f>
        <v/>
      </c>
      <c r="E3621" s="13">
        <f>IF(C3621=Options!$B$9,Options!$C$23,0)</f>
        <v/>
      </c>
      <c r="F3621" s="13">
        <f>IF(AND(A3621&lt;&gt;"",C3621&lt;Options!$B$10),B3621*Options!$X$9,0)</f>
        <v/>
      </c>
      <c r="G3621" s="13">
        <f>F3621*12%</f>
        <v/>
      </c>
      <c r="H3621" s="13">
        <f>IF(A3621="",0,B3621*(92*IF(OR(C3621=Options!$B$9,C3621=Options!$B$10),75%,100%)-IF(C3621=DATE(2026,11,29),26+IF(Options!$B$8="是",23,0),0)-IF(C3621=DATE(2026,11,30),26,0)-IF(C3621=DATE(2026,12,1),64,0)-IF(C3621=DATE(2026,11,28),38,0)-IF(C3621=DATE(2026,12,2),26,0)))</f>
        <v/>
      </c>
      <c r="I3621" s="13">
        <f>IF(AND(C3621&gt;=DATE(2026,11,29),C3621&lt;=DATE(2026,12,1)),B3621*60,0)</f>
        <v/>
      </c>
      <c r="J3621" s="13">
        <f>IF(A3621="",0,B3621*(IF(C3621=DATE(2026,11,28),38,0)+IF(C3621=DATE(2026,12,1),38,0)+IF(C3621=DATE(2026,12,2),26,0)))</f>
        <v/>
      </c>
      <c r="K3621" s="13">
        <f>IF(C3621=Options!$B$9,B3621*12,0)</f>
        <v/>
      </c>
      <c r="L3621" s="13">
        <f>IF(C3621=Options!$B$9,B3621*Options!$Z$9,0)</f>
        <v/>
      </c>
      <c r="M3621" s="13" t="n">
        <v>0</v>
      </c>
      <c r="N3621" s="13">
        <f>SUM(E3621:M3621)</f>
        <v/>
      </c>
    </row>
    <row r="3622">
      <c r="A3622" s="5">
        <f>IF(AND(C3622&gt;=Options!$B$9,C3622&lt;=Options!$B$10),"Seattle","")</f>
        <v/>
      </c>
      <c r="B3622" s="5">
        <f>IF(A3622="","",24)</f>
        <v/>
      </c>
      <c r="C3622" s="17" t="n">
        <v>46628</v>
      </c>
      <c r="D3622" s="5">
        <f>IF(A3622="","",IF(C3622=DATE(2026,11,29),"培训；注册午餐；早餐参数",IF(C3622=DATE(2026,11,30),"培训；注册午餐",IF(C3622=DATE(2026,12,1),"培训；注册午餐；机构晚餐",IF(C3622=Options!$B$9,"抵达；"&amp;IF(C3622=DATE(2026,11,28),"机构晚餐","无统一供餐"),IF(C3622=Options!$B$10,"返程；"&amp;IF(C3622=DATE(2026,12,2),"机构午餐","无统一供餐"),"差旅状态；无统一日程"))))))</f>
        <v/>
      </c>
      <c r="E3622" s="13">
        <f>IF(C3622=Options!$B$9,Options!$C$23,0)</f>
        <v/>
      </c>
      <c r="F3622" s="13">
        <f>IF(AND(A3622&lt;&gt;"",C3622&lt;Options!$B$10),B3622*Options!$X$9,0)</f>
        <v/>
      </c>
      <c r="G3622" s="13">
        <f>F3622*12%</f>
        <v/>
      </c>
      <c r="H3622" s="13">
        <f>IF(A3622="",0,B3622*(92*IF(OR(C3622=Options!$B$9,C3622=Options!$B$10),75%,100%)-IF(C3622=DATE(2026,11,29),26+IF(Options!$B$8="是",23,0),0)-IF(C3622=DATE(2026,11,30),26,0)-IF(C3622=DATE(2026,12,1),64,0)-IF(C3622=DATE(2026,11,28),38,0)-IF(C3622=DATE(2026,12,2),26,0)))</f>
        <v/>
      </c>
      <c r="I3622" s="13">
        <f>IF(AND(C3622&gt;=DATE(2026,11,29),C3622&lt;=DATE(2026,12,1)),B3622*60,0)</f>
        <v/>
      </c>
      <c r="J3622" s="13">
        <f>IF(A3622="",0,B3622*(IF(C3622=DATE(2026,11,28),38,0)+IF(C3622=DATE(2026,12,1),38,0)+IF(C3622=DATE(2026,12,2),26,0)))</f>
        <v/>
      </c>
      <c r="K3622" s="13">
        <f>IF(C3622=Options!$B$9,B3622*12,0)</f>
        <v/>
      </c>
      <c r="L3622" s="13">
        <f>IF(C3622=Options!$B$9,B3622*Options!$Z$9,0)</f>
        <v/>
      </c>
      <c r="M3622" s="13" t="n">
        <v>0</v>
      </c>
      <c r="N3622" s="13">
        <f>SUM(E3622:M3622)</f>
        <v/>
      </c>
    </row>
    <row r="3623">
      <c r="A3623" s="5">
        <f>IF(AND(C3623&gt;=Options!$B$9,C3623&lt;=Options!$B$10),"Seattle","")</f>
        <v/>
      </c>
      <c r="B3623" s="5">
        <f>IF(A3623="","",24)</f>
        <v/>
      </c>
      <c r="C3623" s="17" t="n">
        <v>46629</v>
      </c>
      <c r="D3623" s="5">
        <f>IF(A3623="","",IF(C3623=DATE(2026,11,29),"培训；注册午餐；早餐参数",IF(C3623=DATE(2026,11,30),"培训；注册午餐",IF(C3623=DATE(2026,12,1),"培训；注册午餐；机构晚餐",IF(C3623=Options!$B$9,"抵达；"&amp;IF(C3623=DATE(2026,11,28),"机构晚餐","无统一供餐"),IF(C3623=Options!$B$10,"返程；"&amp;IF(C3623=DATE(2026,12,2),"机构午餐","无统一供餐"),"差旅状态；无统一日程"))))))</f>
        <v/>
      </c>
      <c r="E3623" s="13">
        <f>IF(C3623=Options!$B$9,Options!$C$23,0)</f>
        <v/>
      </c>
      <c r="F3623" s="13">
        <f>IF(AND(A3623&lt;&gt;"",C3623&lt;Options!$B$10),B3623*Options!$X$9,0)</f>
        <v/>
      </c>
      <c r="G3623" s="13">
        <f>F3623*12%</f>
        <v/>
      </c>
      <c r="H3623" s="13">
        <f>IF(A3623="",0,B3623*(92*IF(OR(C3623=Options!$B$9,C3623=Options!$B$10),75%,100%)-IF(C3623=DATE(2026,11,29),26+IF(Options!$B$8="是",23,0),0)-IF(C3623=DATE(2026,11,30),26,0)-IF(C3623=DATE(2026,12,1),64,0)-IF(C3623=DATE(2026,11,28),38,0)-IF(C3623=DATE(2026,12,2),26,0)))</f>
        <v/>
      </c>
      <c r="I3623" s="13">
        <f>IF(AND(C3623&gt;=DATE(2026,11,29),C3623&lt;=DATE(2026,12,1)),B3623*60,0)</f>
        <v/>
      </c>
      <c r="J3623" s="13">
        <f>IF(A3623="",0,B3623*(IF(C3623=DATE(2026,11,28),38,0)+IF(C3623=DATE(2026,12,1),38,0)+IF(C3623=DATE(2026,12,2),26,0)))</f>
        <v/>
      </c>
      <c r="K3623" s="13">
        <f>IF(C3623=Options!$B$9,B3623*12,0)</f>
        <v/>
      </c>
      <c r="L3623" s="13">
        <f>IF(C3623=Options!$B$9,B3623*Options!$Z$9,0)</f>
        <v/>
      </c>
      <c r="M3623" s="13" t="n">
        <v>0</v>
      </c>
      <c r="N3623" s="13">
        <f>SUM(E3623:M3623)</f>
        <v/>
      </c>
    </row>
    <row r="3624">
      <c r="A3624" s="5">
        <f>IF(AND(C3624&gt;=Options!$B$9,C3624&lt;=Options!$B$10),"Seattle","")</f>
        <v/>
      </c>
      <c r="B3624" s="5">
        <f>IF(A3624="","",24)</f>
        <v/>
      </c>
      <c r="C3624" s="17" t="n">
        <v>46630</v>
      </c>
      <c r="D3624" s="5">
        <f>IF(A3624="","",IF(C3624=DATE(2026,11,29),"培训；注册午餐；早餐参数",IF(C3624=DATE(2026,11,30),"培训；注册午餐",IF(C3624=DATE(2026,12,1),"培训；注册午餐；机构晚餐",IF(C3624=Options!$B$9,"抵达；"&amp;IF(C3624=DATE(2026,11,28),"机构晚餐","无统一供餐"),IF(C3624=Options!$B$10,"返程；"&amp;IF(C3624=DATE(2026,12,2),"机构午餐","无统一供餐"),"差旅状态；无统一日程"))))))</f>
        <v/>
      </c>
      <c r="E3624" s="13">
        <f>IF(C3624=Options!$B$9,Options!$C$23,0)</f>
        <v/>
      </c>
      <c r="F3624" s="13">
        <f>IF(AND(A3624&lt;&gt;"",C3624&lt;Options!$B$10),B3624*Options!$X$9,0)</f>
        <v/>
      </c>
      <c r="G3624" s="13">
        <f>F3624*12%</f>
        <v/>
      </c>
      <c r="H3624" s="13">
        <f>IF(A3624="",0,B3624*(92*IF(OR(C3624=Options!$B$9,C3624=Options!$B$10),75%,100%)-IF(C3624=DATE(2026,11,29),26+IF(Options!$B$8="是",23,0),0)-IF(C3624=DATE(2026,11,30),26,0)-IF(C3624=DATE(2026,12,1),64,0)-IF(C3624=DATE(2026,11,28),38,0)-IF(C3624=DATE(2026,12,2),26,0)))</f>
        <v/>
      </c>
      <c r="I3624" s="13">
        <f>IF(AND(C3624&gt;=DATE(2026,11,29),C3624&lt;=DATE(2026,12,1)),B3624*60,0)</f>
        <v/>
      </c>
      <c r="J3624" s="13">
        <f>IF(A3624="",0,B3624*(IF(C3624=DATE(2026,11,28),38,0)+IF(C3624=DATE(2026,12,1),38,0)+IF(C3624=DATE(2026,12,2),26,0)))</f>
        <v/>
      </c>
      <c r="K3624" s="13">
        <f>IF(C3624=Options!$B$9,B3624*12,0)</f>
        <v/>
      </c>
      <c r="L3624" s="13">
        <f>IF(C3624=Options!$B$9,B3624*Options!$Z$9,0)</f>
        <v/>
      </c>
      <c r="M3624" s="13" t="n">
        <v>0</v>
      </c>
      <c r="N3624" s="13">
        <f>SUM(E3624:M3624)</f>
        <v/>
      </c>
    </row>
    <row r="3625">
      <c r="A3625" s="5">
        <f>IF(AND(C3625&gt;=Options!$B$9,C3625&lt;=Options!$B$10),"Seattle","")</f>
        <v/>
      </c>
      <c r="B3625" s="5">
        <f>IF(A3625="","",24)</f>
        <v/>
      </c>
      <c r="C3625" s="17" t="n">
        <v>46631</v>
      </c>
      <c r="D3625" s="5">
        <f>IF(A3625="","",IF(C3625=DATE(2026,11,29),"培训；注册午餐；早餐参数",IF(C3625=DATE(2026,11,30),"培训；注册午餐",IF(C3625=DATE(2026,12,1),"培训；注册午餐；机构晚餐",IF(C3625=Options!$B$9,"抵达；"&amp;IF(C3625=DATE(2026,11,28),"机构晚餐","无统一供餐"),IF(C3625=Options!$B$10,"返程；"&amp;IF(C3625=DATE(2026,12,2),"机构午餐","无统一供餐"),"差旅状态；无统一日程"))))))</f>
        <v/>
      </c>
      <c r="E3625" s="13">
        <f>IF(C3625=Options!$B$9,Options!$C$23,0)</f>
        <v/>
      </c>
      <c r="F3625" s="13">
        <f>IF(AND(A3625&lt;&gt;"",C3625&lt;Options!$B$10),B3625*Options!$X$9,0)</f>
        <v/>
      </c>
      <c r="G3625" s="13">
        <f>F3625*12%</f>
        <v/>
      </c>
      <c r="H3625" s="13">
        <f>IF(A3625="",0,B3625*(92*IF(OR(C3625=Options!$B$9,C3625=Options!$B$10),75%,100%)-IF(C3625=DATE(2026,11,29),26+IF(Options!$B$8="是",23,0),0)-IF(C3625=DATE(2026,11,30),26,0)-IF(C3625=DATE(2026,12,1),64,0)-IF(C3625=DATE(2026,11,28),38,0)-IF(C3625=DATE(2026,12,2),26,0)))</f>
        <v/>
      </c>
      <c r="I3625" s="13">
        <f>IF(AND(C3625&gt;=DATE(2026,11,29),C3625&lt;=DATE(2026,12,1)),B3625*60,0)</f>
        <v/>
      </c>
      <c r="J3625" s="13">
        <f>IF(A3625="",0,B3625*(IF(C3625=DATE(2026,11,28),38,0)+IF(C3625=DATE(2026,12,1),38,0)+IF(C3625=DATE(2026,12,2),26,0)))</f>
        <v/>
      </c>
      <c r="K3625" s="13">
        <f>IF(C3625=Options!$B$9,B3625*12,0)</f>
        <v/>
      </c>
      <c r="L3625" s="13">
        <f>IF(C3625=Options!$B$9,B3625*Options!$Z$9,0)</f>
        <v/>
      </c>
      <c r="M3625" s="13" t="n">
        <v>0</v>
      </c>
      <c r="N3625" s="13">
        <f>SUM(E3625:M3625)</f>
        <v/>
      </c>
    </row>
    <row r="3626">
      <c r="A3626" s="5">
        <f>IF(AND(C3626&gt;=Options!$B$9,C3626&lt;=Options!$B$10),"Seattle","")</f>
        <v/>
      </c>
      <c r="B3626" s="5">
        <f>IF(A3626="","",24)</f>
        <v/>
      </c>
      <c r="C3626" s="17" t="n">
        <v>46632</v>
      </c>
      <c r="D3626" s="5">
        <f>IF(A3626="","",IF(C3626=DATE(2026,11,29),"培训；注册午餐；早餐参数",IF(C3626=DATE(2026,11,30),"培训；注册午餐",IF(C3626=DATE(2026,12,1),"培训；注册午餐；机构晚餐",IF(C3626=Options!$B$9,"抵达；"&amp;IF(C3626=DATE(2026,11,28),"机构晚餐","无统一供餐"),IF(C3626=Options!$B$10,"返程；"&amp;IF(C3626=DATE(2026,12,2),"机构午餐","无统一供餐"),"差旅状态；无统一日程"))))))</f>
        <v/>
      </c>
      <c r="E3626" s="13">
        <f>IF(C3626=Options!$B$9,Options!$C$23,0)</f>
        <v/>
      </c>
      <c r="F3626" s="13">
        <f>IF(AND(A3626&lt;&gt;"",C3626&lt;Options!$B$10),B3626*Options!$X$9,0)</f>
        <v/>
      </c>
      <c r="G3626" s="13">
        <f>F3626*12%</f>
        <v/>
      </c>
      <c r="H3626" s="13">
        <f>IF(A3626="",0,B3626*(92*IF(OR(C3626=Options!$B$9,C3626=Options!$B$10),75%,100%)-IF(C3626=DATE(2026,11,29),26+IF(Options!$B$8="是",23,0),0)-IF(C3626=DATE(2026,11,30),26,0)-IF(C3626=DATE(2026,12,1),64,0)-IF(C3626=DATE(2026,11,28),38,0)-IF(C3626=DATE(2026,12,2),26,0)))</f>
        <v/>
      </c>
      <c r="I3626" s="13">
        <f>IF(AND(C3626&gt;=DATE(2026,11,29),C3626&lt;=DATE(2026,12,1)),B3626*60,0)</f>
        <v/>
      </c>
      <c r="J3626" s="13">
        <f>IF(A3626="",0,B3626*(IF(C3626=DATE(2026,11,28),38,0)+IF(C3626=DATE(2026,12,1),38,0)+IF(C3626=DATE(2026,12,2),26,0)))</f>
        <v/>
      </c>
      <c r="K3626" s="13">
        <f>IF(C3626=Options!$B$9,B3626*12,0)</f>
        <v/>
      </c>
      <c r="L3626" s="13">
        <f>IF(C3626=Options!$B$9,B3626*Options!$Z$9,0)</f>
        <v/>
      </c>
      <c r="M3626" s="13" t="n">
        <v>0</v>
      </c>
      <c r="N3626" s="13">
        <f>SUM(E3626:M3626)</f>
        <v/>
      </c>
    </row>
    <row r="3627">
      <c r="A3627" s="5">
        <f>IF(AND(C3627&gt;=Options!$B$9,C3627&lt;=Options!$B$10),"Seattle","")</f>
        <v/>
      </c>
      <c r="B3627" s="5">
        <f>IF(A3627="","",24)</f>
        <v/>
      </c>
      <c r="C3627" s="17" t="n">
        <v>46633</v>
      </c>
      <c r="D3627" s="5">
        <f>IF(A3627="","",IF(C3627=DATE(2026,11,29),"培训；注册午餐；早餐参数",IF(C3627=DATE(2026,11,30),"培训；注册午餐",IF(C3627=DATE(2026,12,1),"培训；注册午餐；机构晚餐",IF(C3627=Options!$B$9,"抵达；"&amp;IF(C3627=DATE(2026,11,28),"机构晚餐","无统一供餐"),IF(C3627=Options!$B$10,"返程；"&amp;IF(C3627=DATE(2026,12,2),"机构午餐","无统一供餐"),"差旅状态；无统一日程"))))))</f>
        <v/>
      </c>
      <c r="E3627" s="13">
        <f>IF(C3627=Options!$B$9,Options!$C$23,0)</f>
        <v/>
      </c>
      <c r="F3627" s="13">
        <f>IF(AND(A3627&lt;&gt;"",C3627&lt;Options!$B$10),B3627*Options!$X$9,0)</f>
        <v/>
      </c>
      <c r="G3627" s="13">
        <f>F3627*12%</f>
        <v/>
      </c>
      <c r="H3627" s="13">
        <f>IF(A3627="",0,B3627*(92*IF(OR(C3627=Options!$B$9,C3627=Options!$B$10),75%,100%)-IF(C3627=DATE(2026,11,29),26+IF(Options!$B$8="是",23,0),0)-IF(C3627=DATE(2026,11,30),26,0)-IF(C3627=DATE(2026,12,1),64,0)-IF(C3627=DATE(2026,11,28),38,0)-IF(C3627=DATE(2026,12,2),26,0)))</f>
        <v/>
      </c>
      <c r="I3627" s="13">
        <f>IF(AND(C3627&gt;=DATE(2026,11,29),C3627&lt;=DATE(2026,12,1)),B3627*60,0)</f>
        <v/>
      </c>
      <c r="J3627" s="13">
        <f>IF(A3627="",0,B3627*(IF(C3627=DATE(2026,11,28),38,0)+IF(C3627=DATE(2026,12,1),38,0)+IF(C3627=DATE(2026,12,2),26,0)))</f>
        <v/>
      </c>
      <c r="K3627" s="13">
        <f>IF(C3627=Options!$B$9,B3627*12,0)</f>
        <v/>
      </c>
      <c r="L3627" s="13">
        <f>IF(C3627=Options!$B$9,B3627*Options!$Z$9,0)</f>
        <v/>
      </c>
      <c r="M3627" s="13" t="n">
        <v>0</v>
      </c>
      <c r="N3627" s="13">
        <f>SUM(E3627:M3627)</f>
        <v/>
      </c>
    </row>
    <row r="3628">
      <c r="A3628" s="5">
        <f>IF(AND(C3628&gt;=Options!$B$9,C3628&lt;=Options!$B$10),"Seattle","")</f>
        <v/>
      </c>
      <c r="B3628" s="5">
        <f>IF(A3628="","",24)</f>
        <v/>
      </c>
      <c r="C3628" s="17" t="n">
        <v>46634</v>
      </c>
      <c r="D3628" s="5">
        <f>IF(A3628="","",IF(C3628=DATE(2026,11,29),"培训；注册午餐；早餐参数",IF(C3628=DATE(2026,11,30),"培训；注册午餐",IF(C3628=DATE(2026,12,1),"培训；注册午餐；机构晚餐",IF(C3628=Options!$B$9,"抵达；"&amp;IF(C3628=DATE(2026,11,28),"机构晚餐","无统一供餐"),IF(C3628=Options!$B$10,"返程；"&amp;IF(C3628=DATE(2026,12,2),"机构午餐","无统一供餐"),"差旅状态；无统一日程"))))))</f>
        <v/>
      </c>
      <c r="E3628" s="13">
        <f>IF(C3628=Options!$B$9,Options!$C$23,0)</f>
        <v/>
      </c>
      <c r="F3628" s="13">
        <f>IF(AND(A3628&lt;&gt;"",C3628&lt;Options!$B$10),B3628*Options!$X$9,0)</f>
        <v/>
      </c>
      <c r="G3628" s="13">
        <f>F3628*12%</f>
        <v/>
      </c>
      <c r="H3628" s="13">
        <f>IF(A3628="",0,B3628*(92*IF(OR(C3628=Options!$B$9,C3628=Options!$B$10),75%,100%)-IF(C3628=DATE(2026,11,29),26+IF(Options!$B$8="是",23,0),0)-IF(C3628=DATE(2026,11,30),26,0)-IF(C3628=DATE(2026,12,1),64,0)-IF(C3628=DATE(2026,11,28),38,0)-IF(C3628=DATE(2026,12,2),26,0)))</f>
        <v/>
      </c>
      <c r="I3628" s="13">
        <f>IF(AND(C3628&gt;=DATE(2026,11,29),C3628&lt;=DATE(2026,12,1)),B3628*60,0)</f>
        <v/>
      </c>
      <c r="J3628" s="13">
        <f>IF(A3628="",0,B3628*(IF(C3628=DATE(2026,11,28),38,0)+IF(C3628=DATE(2026,12,1),38,0)+IF(C3628=DATE(2026,12,2),26,0)))</f>
        <v/>
      </c>
      <c r="K3628" s="13">
        <f>IF(C3628=Options!$B$9,B3628*12,0)</f>
        <v/>
      </c>
      <c r="L3628" s="13">
        <f>IF(C3628=Options!$B$9,B3628*Options!$Z$9,0)</f>
        <v/>
      </c>
      <c r="M3628" s="13" t="n">
        <v>0</v>
      </c>
      <c r="N3628" s="13">
        <f>SUM(E3628:M3628)</f>
        <v/>
      </c>
    </row>
    <row r="3629">
      <c r="A3629" s="5">
        <f>IF(AND(C3629&gt;=Options!$B$9,C3629&lt;=Options!$B$10),"Seattle","")</f>
        <v/>
      </c>
      <c r="B3629" s="5">
        <f>IF(A3629="","",24)</f>
        <v/>
      </c>
      <c r="C3629" s="17" t="n">
        <v>46635</v>
      </c>
      <c r="D3629" s="5">
        <f>IF(A3629="","",IF(C3629=DATE(2026,11,29),"培训；注册午餐；早餐参数",IF(C3629=DATE(2026,11,30),"培训；注册午餐",IF(C3629=DATE(2026,12,1),"培训；注册午餐；机构晚餐",IF(C3629=Options!$B$9,"抵达；"&amp;IF(C3629=DATE(2026,11,28),"机构晚餐","无统一供餐"),IF(C3629=Options!$B$10,"返程；"&amp;IF(C3629=DATE(2026,12,2),"机构午餐","无统一供餐"),"差旅状态；无统一日程"))))))</f>
        <v/>
      </c>
      <c r="E3629" s="13">
        <f>IF(C3629=Options!$B$9,Options!$C$23,0)</f>
        <v/>
      </c>
      <c r="F3629" s="13">
        <f>IF(AND(A3629&lt;&gt;"",C3629&lt;Options!$B$10),B3629*Options!$X$9,0)</f>
        <v/>
      </c>
      <c r="G3629" s="13">
        <f>F3629*12%</f>
        <v/>
      </c>
      <c r="H3629" s="13">
        <f>IF(A3629="",0,B3629*(92*IF(OR(C3629=Options!$B$9,C3629=Options!$B$10),75%,100%)-IF(C3629=DATE(2026,11,29),26+IF(Options!$B$8="是",23,0),0)-IF(C3629=DATE(2026,11,30),26,0)-IF(C3629=DATE(2026,12,1),64,0)-IF(C3629=DATE(2026,11,28),38,0)-IF(C3629=DATE(2026,12,2),26,0)))</f>
        <v/>
      </c>
      <c r="I3629" s="13">
        <f>IF(AND(C3629&gt;=DATE(2026,11,29),C3629&lt;=DATE(2026,12,1)),B3629*60,0)</f>
        <v/>
      </c>
      <c r="J3629" s="13">
        <f>IF(A3629="",0,B3629*(IF(C3629=DATE(2026,11,28),38,0)+IF(C3629=DATE(2026,12,1),38,0)+IF(C3629=DATE(2026,12,2),26,0)))</f>
        <v/>
      </c>
      <c r="K3629" s="13">
        <f>IF(C3629=Options!$B$9,B3629*12,0)</f>
        <v/>
      </c>
      <c r="L3629" s="13">
        <f>IF(C3629=Options!$B$9,B3629*Options!$Z$9,0)</f>
        <v/>
      </c>
      <c r="M3629" s="13" t="n">
        <v>0</v>
      </c>
      <c r="N3629" s="13">
        <f>SUM(E3629:M3629)</f>
        <v/>
      </c>
    </row>
    <row r="3630">
      <c r="A3630" s="5">
        <f>IF(AND(C3630&gt;=Options!$B$9,C3630&lt;=Options!$B$10),"Seattle","")</f>
        <v/>
      </c>
      <c r="B3630" s="5">
        <f>IF(A3630="","",24)</f>
        <v/>
      </c>
      <c r="C3630" s="17" t="n">
        <v>46636</v>
      </c>
      <c r="D3630" s="5">
        <f>IF(A3630="","",IF(C3630=DATE(2026,11,29),"培训；注册午餐；早餐参数",IF(C3630=DATE(2026,11,30),"培训；注册午餐",IF(C3630=DATE(2026,12,1),"培训；注册午餐；机构晚餐",IF(C3630=Options!$B$9,"抵达；"&amp;IF(C3630=DATE(2026,11,28),"机构晚餐","无统一供餐"),IF(C3630=Options!$B$10,"返程；"&amp;IF(C3630=DATE(2026,12,2),"机构午餐","无统一供餐"),"差旅状态；无统一日程"))))))</f>
        <v/>
      </c>
      <c r="E3630" s="13">
        <f>IF(C3630=Options!$B$9,Options!$C$23,0)</f>
        <v/>
      </c>
      <c r="F3630" s="13">
        <f>IF(AND(A3630&lt;&gt;"",C3630&lt;Options!$B$10),B3630*Options!$X$9,0)</f>
        <v/>
      </c>
      <c r="G3630" s="13">
        <f>F3630*12%</f>
        <v/>
      </c>
      <c r="H3630" s="13">
        <f>IF(A3630="",0,B3630*(92*IF(OR(C3630=Options!$B$9,C3630=Options!$B$10),75%,100%)-IF(C3630=DATE(2026,11,29),26+IF(Options!$B$8="是",23,0),0)-IF(C3630=DATE(2026,11,30),26,0)-IF(C3630=DATE(2026,12,1),64,0)-IF(C3630=DATE(2026,11,28),38,0)-IF(C3630=DATE(2026,12,2),26,0)))</f>
        <v/>
      </c>
      <c r="I3630" s="13">
        <f>IF(AND(C3630&gt;=DATE(2026,11,29),C3630&lt;=DATE(2026,12,1)),B3630*60,0)</f>
        <v/>
      </c>
      <c r="J3630" s="13">
        <f>IF(A3630="",0,B3630*(IF(C3630=DATE(2026,11,28),38,0)+IF(C3630=DATE(2026,12,1),38,0)+IF(C3630=DATE(2026,12,2),26,0)))</f>
        <v/>
      </c>
      <c r="K3630" s="13">
        <f>IF(C3630=Options!$B$9,B3630*12,0)</f>
        <v/>
      </c>
      <c r="L3630" s="13">
        <f>IF(C3630=Options!$B$9,B3630*Options!$Z$9,0)</f>
        <v/>
      </c>
      <c r="M3630" s="13" t="n">
        <v>0</v>
      </c>
      <c r="N3630" s="13">
        <f>SUM(E3630:M3630)</f>
        <v/>
      </c>
    </row>
    <row r="3631">
      <c r="A3631" s="5">
        <f>IF(AND(C3631&gt;=Options!$B$9,C3631&lt;=Options!$B$10),"Seattle","")</f>
        <v/>
      </c>
      <c r="B3631" s="5">
        <f>IF(A3631="","",24)</f>
        <v/>
      </c>
      <c r="C3631" s="17" t="n">
        <v>46637</v>
      </c>
      <c r="D3631" s="5">
        <f>IF(A3631="","",IF(C3631=DATE(2026,11,29),"培训；注册午餐；早餐参数",IF(C3631=DATE(2026,11,30),"培训；注册午餐",IF(C3631=DATE(2026,12,1),"培训；注册午餐；机构晚餐",IF(C3631=Options!$B$9,"抵达；"&amp;IF(C3631=DATE(2026,11,28),"机构晚餐","无统一供餐"),IF(C3631=Options!$B$10,"返程；"&amp;IF(C3631=DATE(2026,12,2),"机构午餐","无统一供餐"),"差旅状态；无统一日程"))))))</f>
        <v/>
      </c>
      <c r="E3631" s="13">
        <f>IF(C3631=Options!$B$9,Options!$C$23,0)</f>
        <v/>
      </c>
      <c r="F3631" s="13">
        <f>IF(AND(A3631&lt;&gt;"",C3631&lt;Options!$B$10),B3631*Options!$X$9,0)</f>
        <v/>
      </c>
      <c r="G3631" s="13">
        <f>F3631*12%</f>
        <v/>
      </c>
      <c r="H3631" s="13">
        <f>IF(A3631="",0,B3631*(92*IF(OR(C3631=Options!$B$9,C3631=Options!$B$10),75%,100%)-IF(C3631=DATE(2026,11,29),26+IF(Options!$B$8="是",23,0),0)-IF(C3631=DATE(2026,11,30),26,0)-IF(C3631=DATE(2026,12,1),64,0)-IF(C3631=DATE(2026,11,28),38,0)-IF(C3631=DATE(2026,12,2),26,0)))</f>
        <v/>
      </c>
      <c r="I3631" s="13">
        <f>IF(AND(C3631&gt;=DATE(2026,11,29),C3631&lt;=DATE(2026,12,1)),B3631*60,0)</f>
        <v/>
      </c>
      <c r="J3631" s="13">
        <f>IF(A3631="",0,B3631*(IF(C3631=DATE(2026,11,28),38,0)+IF(C3631=DATE(2026,12,1),38,0)+IF(C3631=DATE(2026,12,2),26,0)))</f>
        <v/>
      </c>
      <c r="K3631" s="13">
        <f>IF(C3631=Options!$B$9,B3631*12,0)</f>
        <v/>
      </c>
      <c r="L3631" s="13">
        <f>IF(C3631=Options!$B$9,B3631*Options!$Z$9,0)</f>
        <v/>
      </c>
      <c r="M3631" s="13" t="n">
        <v>0</v>
      </c>
      <c r="N3631" s="13">
        <f>SUM(E3631:M3631)</f>
        <v/>
      </c>
    </row>
    <row r="3632">
      <c r="A3632" s="5">
        <f>IF(AND(C3632&gt;=Options!$B$9,C3632&lt;=Options!$B$10),"Seattle","")</f>
        <v/>
      </c>
      <c r="B3632" s="5">
        <f>IF(A3632="","",24)</f>
        <v/>
      </c>
      <c r="C3632" s="17" t="n">
        <v>46638</v>
      </c>
      <c r="D3632" s="5">
        <f>IF(A3632="","",IF(C3632=DATE(2026,11,29),"培训；注册午餐；早餐参数",IF(C3632=DATE(2026,11,30),"培训；注册午餐",IF(C3632=DATE(2026,12,1),"培训；注册午餐；机构晚餐",IF(C3632=Options!$B$9,"抵达；"&amp;IF(C3632=DATE(2026,11,28),"机构晚餐","无统一供餐"),IF(C3632=Options!$B$10,"返程；"&amp;IF(C3632=DATE(2026,12,2),"机构午餐","无统一供餐"),"差旅状态；无统一日程"))))))</f>
        <v/>
      </c>
      <c r="E3632" s="13">
        <f>IF(C3632=Options!$B$9,Options!$C$23,0)</f>
        <v/>
      </c>
      <c r="F3632" s="13">
        <f>IF(AND(A3632&lt;&gt;"",C3632&lt;Options!$B$10),B3632*Options!$X$9,0)</f>
        <v/>
      </c>
      <c r="G3632" s="13">
        <f>F3632*12%</f>
        <v/>
      </c>
      <c r="H3632" s="13">
        <f>IF(A3632="",0,B3632*(92*IF(OR(C3632=Options!$B$9,C3632=Options!$B$10),75%,100%)-IF(C3632=DATE(2026,11,29),26+IF(Options!$B$8="是",23,0),0)-IF(C3632=DATE(2026,11,30),26,0)-IF(C3632=DATE(2026,12,1),64,0)-IF(C3632=DATE(2026,11,28),38,0)-IF(C3632=DATE(2026,12,2),26,0)))</f>
        <v/>
      </c>
      <c r="I3632" s="13">
        <f>IF(AND(C3632&gt;=DATE(2026,11,29),C3632&lt;=DATE(2026,12,1)),B3632*60,0)</f>
        <v/>
      </c>
      <c r="J3632" s="13">
        <f>IF(A3632="",0,B3632*(IF(C3632=DATE(2026,11,28),38,0)+IF(C3632=DATE(2026,12,1),38,0)+IF(C3632=DATE(2026,12,2),26,0)))</f>
        <v/>
      </c>
      <c r="K3632" s="13">
        <f>IF(C3632=Options!$B$9,B3632*12,0)</f>
        <v/>
      </c>
      <c r="L3632" s="13">
        <f>IF(C3632=Options!$B$9,B3632*Options!$Z$9,0)</f>
        <v/>
      </c>
      <c r="M3632" s="13" t="n">
        <v>0</v>
      </c>
      <c r="N3632" s="13">
        <f>SUM(E3632:M3632)</f>
        <v/>
      </c>
    </row>
    <row r="3633">
      <c r="A3633" s="5">
        <f>IF(AND(C3633&gt;=Options!$B$9,C3633&lt;=Options!$B$10),"Seattle","")</f>
        <v/>
      </c>
      <c r="B3633" s="5">
        <f>IF(A3633="","",24)</f>
        <v/>
      </c>
      <c r="C3633" s="17" t="n">
        <v>46639</v>
      </c>
      <c r="D3633" s="5">
        <f>IF(A3633="","",IF(C3633=DATE(2026,11,29),"培训；注册午餐；早餐参数",IF(C3633=DATE(2026,11,30),"培训；注册午餐",IF(C3633=DATE(2026,12,1),"培训；注册午餐；机构晚餐",IF(C3633=Options!$B$9,"抵达；"&amp;IF(C3633=DATE(2026,11,28),"机构晚餐","无统一供餐"),IF(C3633=Options!$B$10,"返程；"&amp;IF(C3633=DATE(2026,12,2),"机构午餐","无统一供餐"),"差旅状态；无统一日程"))))))</f>
        <v/>
      </c>
      <c r="E3633" s="13">
        <f>IF(C3633=Options!$B$9,Options!$C$23,0)</f>
        <v/>
      </c>
      <c r="F3633" s="13">
        <f>IF(AND(A3633&lt;&gt;"",C3633&lt;Options!$B$10),B3633*Options!$X$9,0)</f>
        <v/>
      </c>
      <c r="G3633" s="13">
        <f>F3633*12%</f>
        <v/>
      </c>
      <c r="H3633" s="13">
        <f>IF(A3633="",0,B3633*(92*IF(OR(C3633=Options!$B$9,C3633=Options!$B$10),75%,100%)-IF(C3633=DATE(2026,11,29),26+IF(Options!$B$8="是",23,0),0)-IF(C3633=DATE(2026,11,30),26,0)-IF(C3633=DATE(2026,12,1),64,0)-IF(C3633=DATE(2026,11,28),38,0)-IF(C3633=DATE(2026,12,2),26,0)))</f>
        <v/>
      </c>
      <c r="I3633" s="13">
        <f>IF(AND(C3633&gt;=DATE(2026,11,29),C3633&lt;=DATE(2026,12,1)),B3633*60,0)</f>
        <v/>
      </c>
      <c r="J3633" s="13">
        <f>IF(A3633="",0,B3633*(IF(C3633=DATE(2026,11,28),38,0)+IF(C3633=DATE(2026,12,1),38,0)+IF(C3633=DATE(2026,12,2),26,0)))</f>
        <v/>
      </c>
      <c r="K3633" s="13">
        <f>IF(C3633=Options!$B$9,B3633*12,0)</f>
        <v/>
      </c>
      <c r="L3633" s="13">
        <f>IF(C3633=Options!$B$9,B3633*Options!$Z$9,0)</f>
        <v/>
      </c>
      <c r="M3633" s="13" t="n">
        <v>0</v>
      </c>
      <c r="N3633" s="13">
        <f>SUM(E3633:M3633)</f>
        <v/>
      </c>
    </row>
    <row r="3634">
      <c r="A3634" s="5">
        <f>IF(AND(C3634&gt;=Options!$B$9,C3634&lt;=Options!$B$10),"Seattle","")</f>
        <v/>
      </c>
      <c r="B3634" s="5">
        <f>IF(A3634="","",24)</f>
        <v/>
      </c>
      <c r="C3634" s="17" t="n">
        <v>46640</v>
      </c>
      <c r="D3634" s="5">
        <f>IF(A3634="","",IF(C3634=DATE(2026,11,29),"培训；注册午餐；早餐参数",IF(C3634=DATE(2026,11,30),"培训；注册午餐",IF(C3634=DATE(2026,12,1),"培训；注册午餐；机构晚餐",IF(C3634=Options!$B$9,"抵达；"&amp;IF(C3634=DATE(2026,11,28),"机构晚餐","无统一供餐"),IF(C3634=Options!$B$10,"返程；"&amp;IF(C3634=DATE(2026,12,2),"机构午餐","无统一供餐"),"差旅状态；无统一日程"))))))</f>
        <v/>
      </c>
      <c r="E3634" s="13">
        <f>IF(C3634=Options!$B$9,Options!$C$23,0)</f>
        <v/>
      </c>
      <c r="F3634" s="13">
        <f>IF(AND(A3634&lt;&gt;"",C3634&lt;Options!$B$10),B3634*Options!$X$9,0)</f>
        <v/>
      </c>
      <c r="G3634" s="13">
        <f>F3634*12%</f>
        <v/>
      </c>
      <c r="H3634" s="13">
        <f>IF(A3634="",0,B3634*(92*IF(OR(C3634=Options!$B$9,C3634=Options!$B$10),75%,100%)-IF(C3634=DATE(2026,11,29),26+IF(Options!$B$8="是",23,0),0)-IF(C3634=DATE(2026,11,30),26,0)-IF(C3634=DATE(2026,12,1),64,0)-IF(C3634=DATE(2026,11,28),38,0)-IF(C3634=DATE(2026,12,2),26,0)))</f>
        <v/>
      </c>
      <c r="I3634" s="13">
        <f>IF(AND(C3634&gt;=DATE(2026,11,29),C3634&lt;=DATE(2026,12,1)),B3634*60,0)</f>
        <v/>
      </c>
      <c r="J3634" s="13">
        <f>IF(A3634="",0,B3634*(IF(C3634=DATE(2026,11,28),38,0)+IF(C3634=DATE(2026,12,1),38,0)+IF(C3634=DATE(2026,12,2),26,0)))</f>
        <v/>
      </c>
      <c r="K3634" s="13">
        <f>IF(C3634=Options!$B$9,B3634*12,0)</f>
        <v/>
      </c>
      <c r="L3634" s="13">
        <f>IF(C3634=Options!$B$9,B3634*Options!$Z$9,0)</f>
        <v/>
      </c>
      <c r="M3634" s="13" t="n">
        <v>0</v>
      </c>
      <c r="N3634" s="13">
        <f>SUM(E3634:M3634)</f>
        <v/>
      </c>
    </row>
    <row r="3635">
      <c r="A3635" s="5">
        <f>IF(AND(C3635&gt;=Options!$B$9,C3635&lt;=Options!$B$10),"Seattle","")</f>
        <v/>
      </c>
      <c r="B3635" s="5">
        <f>IF(A3635="","",24)</f>
        <v/>
      </c>
      <c r="C3635" s="17" t="n">
        <v>46641</v>
      </c>
      <c r="D3635" s="5">
        <f>IF(A3635="","",IF(C3635=DATE(2026,11,29),"培训；注册午餐；早餐参数",IF(C3635=DATE(2026,11,30),"培训；注册午餐",IF(C3635=DATE(2026,12,1),"培训；注册午餐；机构晚餐",IF(C3635=Options!$B$9,"抵达；"&amp;IF(C3635=DATE(2026,11,28),"机构晚餐","无统一供餐"),IF(C3635=Options!$B$10,"返程；"&amp;IF(C3635=DATE(2026,12,2),"机构午餐","无统一供餐"),"差旅状态；无统一日程"))))))</f>
        <v/>
      </c>
      <c r="E3635" s="13">
        <f>IF(C3635=Options!$B$9,Options!$C$23,0)</f>
        <v/>
      </c>
      <c r="F3635" s="13">
        <f>IF(AND(A3635&lt;&gt;"",C3635&lt;Options!$B$10),B3635*Options!$X$9,0)</f>
        <v/>
      </c>
      <c r="G3635" s="13">
        <f>F3635*12%</f>
        <v/>
      </c>
      <c r="H3635" s="13">
        <f>IF(A3635="",0,B3635*(92*IF(OR(C3635=Options!$B$9,C3635=Options!$B$10),75%,100%)-IF(C3635=DATE(2026,11,29),26+IF(Options!$B$8="是",23,0),0)-IF(C3635=DATE(2026,11,30),26,0)-IF(C3635=DATE(2026,12,1),64,0)-IF(C3635=DATE(2026,11,28),38,0)-IF(C3635=DATE(2026,12,2),26,0)))</f>
        <v/>
      </c>
      <c r="I3635" s="13">
        <f>IF(AND(C3635&gt;=DATE(2026,11,29),C3635&lt;=DATE(2026,12,1)),B3635*60,0)</f>
        <v/>
      </c>
      <c r="J3635" s="13">
        <f>IF(A3635="",0,B3635*(IF(C3635=DATE(2026,11,28),38,0)+IF(C3635=DATE(2026,12,1),38,0)+IF(C3635=DATE(2026,12,2),26,0)))</f>
        <v/>
      </c>
      <c r="K3635" s="13">
        <f>IF(C3635=Options!$B$9,B3635*12,0)</f>
        <v/>
      </c>
      <c r="L3635" s="13">
        <f>IF(C3635=Options!$B$9,B3635*Options!$Z$9,0)</f>
        <v/>
      </c>
      <c r="M3635" s="13" t="n">
        <v>0</v>
      </c>
      <c r="N3635" s="13">
        <f>SUM(E3635:M3635)</f>
        <v/>
      </c>
    </row>
    <row r="3636">
      <c r="A3636" s="5">
        <f>IF(AND(C3636&gt;=Options!$B$9,C3636&lt;=Options!$B$10),"Seattle","")</f>
        <v/>
      </c>
      <c r="B3636" s="5">
        <f>IF(A3636="","",24)</f>
        <v/>
      </c>
      <c r="C3636" s="17" t="n">
        <v>46642</v>
      </c>
      <c r="D3636" s="5">
        <f>IF(A3636="","",IF(C3636=DATE(2026,11,29),"培训；注册午餐；早餐参数",IF(C3636=DATE(2026,11,30),"培训；注册午餐",IF(C3636=DATE(2026,12,1),"培训；注册午餐；机构晚餐",IF(C3636=Options!$B$9,"抵达；"&amp;IF(C3636=DATE(2026,11,28),"机构晚餐","无统一供餐"),IF(C3636=Options!$B$10,"返程；"&amp;IF(C3636=DATE(2026,12,2),"机构午餐","无统一供餐"),"差旅状态；无统一日程"))))))</f>
        <v/>
      </c>
      <c r="E3636" s="13">
        <f>IF(C3636=Options!$B$9,Options!$C$23,0)</f>
        <v/>
      </c>
      <c r="F3636" s="13">
        <f>IF(AND(A3636&lt;&gt;"",C3636&lt;Options!$B$10),B3636*Options!$X$9,0)</f>
        <v/>
      </c>
      <c r="G3636" s="13">
        <f>F3636*12%</f>
        <v/>
      </c>
      <c r="H3636" s="13">
        <f>IF(A3636="",0,B3636*(92*IF(OR(C3636=Options!$B$9,C3636=Options!$B$10),75%,100%)-IF(C3636=DATE(2026,11,29),26+IF(Options!$B$8="是",23,0),0)-IF(C3636=DATE(2026,11,30),26,0)-IF(C3636=DATE(2026,12,1),64,0)-IF(C3636=DATE(2026,11,28),38,0)-IF(C3636=DATE(2026,12,2),26,0)))</f>
        <v/>
      </c>
      <c r="I3636" s="13">
        <f>IF(AND(C3636&gt;=DATE(2026,11,29),C3636&lt;=DATE(2026,12,1)),B3636*60,0)</f>
        <v/>
      </c>
      <c r="J3636" s="13">
        <f>IF(A3636="",0,B3636*(IF(C3636=DATE(2026,11,28),38,0)+IF(C3636=DATE(2026,12,1),38,0)+IF(C3636=DATE(2026,12,2),26,0)))</f>
        <v/>
      </c>
      <c r="K3636" s="13">
        <f>IF(C3636=Options!$B$9,B3636*12,0)</f>
        <v/>
      </c>
      <c r="L3636" s="13">
        <f>IF(C3636=Options!$B$9,B3636*Options!$Z$9,0)</f>
        <v/>
      </c>
      <c r="M3636" s="13" t="n">
        <v>0</v>
      </c>
      <c r="N3636" s="13">
        <f>SUM(E3636:M3636)</f>
        <v/>
      </c>
    </row>
    <row r="3637">
      <c r="A3637" s="5">
        <f>IF(AND(C3637&gt;=Options!$B$9,C3637&lt;=Options!$B$10),"Seattle","")</f>
        <v/>
      </c>
      <c r="B3637" s="5">
        <f>IF(A3637="","",24)</f>
        <v/>
      </c>
      <c r="C3637" s="17" t="n">
        <v>46643</v>
      </c>
      <c r="D3637" s="5">
        <f>IF(A3637="","",IF(C3637=DATE(2026,11,29),"培训；注册午餐；早餐参数",IF(C3637=DATE(2026,11,30),"培训；注册午餐",IF(C3637=DATE(2026,12,1),"培训；注册午餐；机构晚餐",IF(C3637=Options!$B$9,"抵达；"&amp;IF(C3637=DATE(2026,11,28),"机构晚餐","无统一供餐"),IF(C3637=Options!$B$10,"返程；"&amp;IF(C3637=DATE(2026,12,2),"机构午餐","无统一供餐"),"差旅状态；无统一日程"))))))</f>
        <v/>
      </c>
      <c r="E3637" s="13">
        <f>IF(C3637=Options!$B$9,Options!$C$23,0)</f>
        <v/>
      </c>
      <c r="F3637" s="13">
        <f>IF(AND(A3637&lt;&gt;"",C3637&lt;Options!$B$10),B3637*Options!$X$9,0)</f>
        <v/>
      </c>
      <c r="G3637" s="13">
        <f>F3637*12%</f>
        <v/>
      </c>
      <c r="H3637" s="13">
        <f>IF(A3637="",0,B3637*(92*IF(OR(C3637=Options!$B$9,C3637=Options!$B$10),75%,100%)-IF(C3637=DATE(2026,11,29),26+IF(Options!$B$8="是",23,0),0)-IF(C3637=DATE(2026,11,30),26,0)-IF(C3637=DATE(2026,12,1),64,0)-IF(C3637=DATE(2026,11,28),38,0)-IF(C3637=DATE(2026,12,2),26,0)))</f>
        <v/>
      </c>
      <c r="I3637" s="13">
        <f>IF(AND(C3637&gt;=DATE(2026,11,29),C3637&lt;=DATE(2026,12,1)),B3637*60,0)</f>
        <v/>
      </c>
      <c r="J3637" s="13">
        <f>IF(A3637="",0,B3637*(IF(C3637=DATE(2026,11,28),38,0)+IF(C3637=DATE(2026,12,1),38,0)+IF(C3637=DATE(2026,12,2),26,0)))</f>
        <v/>
      </c>
      <c r="K3637" s="13">
        <f>IF(C3637=Options!$B$9,B3637*12,0)</f>
        <v/>
      </c>
      <c r="L3637" s="13">
        <f>IF(C3637=Options!$B$9,B3637*Options!$Z$9,0)</f>
        <v/>
      </c>
      <c r="M3637" s="13" t="n">
        <v>0</v>
      </c>
      <c r="N3637" s="13">
        <f>SUM(E3637:M3637)</f>
        <v/>
      </c>
    </row>
    <row r="3638">
      <c r="A3638" s="5">
        <f>IF(AND(C3638&gt;=Options!$B$9,C3638&lt;=Options!$B$10),"Seattle","")</f>
        <v/>
      </c>
      <c r="B3638" s="5">
        <f>IF(A3638="","",24)</f>
        <v/>
      </c>
      <c r="C3638" s="17" t="n">
        <v>46644</v>
      </c>
      <c r="D3638" s="5">
        <f>IF(A3638="","",IF(C3638=DATE(2026,11,29),"培训；注册午餐；早餐参数",IF(C3638=DATE(2026,11,30),"培训；注册午餐",IF(C3638=DATE(2026,12,1),"培训；注册午餐；机构晚餐",IF(C3638=Options!$B$9,"抵达；"&amp;IF(C3638=DATE(2026,11,28),"机构晚餐","无统一供餐"),IF(C3638=Options!$B$10,"返程；"&amp;IF(C3638=DATE(2026,12,2),"机构午餐","无统一供餐"),"差旅状态；无统一日程"))))))</f>
        <v/>
      </c>
      <c r="E3638" s="13">
        <f>IF(C3638=Options!$B$9,Options!$C$23,0)</f>
        <v/>
      </c>
      <c r="F3638" s="13">
        <f>IF(AND(A3638&lt;&gt;"",C3638&lt;Options!$B$10),B3638*Options!$X$9,0)</f>
        <v/>
      </c>
      <c r="G3638" s="13">
        <f>F3638*12%</f>
        <v/>
      </c>
      <c r="H3638" s="13">
        <f>IF(A3638="",0,B3638*(92*IF(OR(C3638=Options!$B$9,C3638=Options!$B$10),75%,100%)-IF(C3638=DATE(2026,11,29),26+IF(Options!$B$8="是",23,0),0)-IF(C3638=DATE(2026,11,30),26,0)-IF(C3638=DATE(2026,12,1),64,0)-IF(C3638=DATE(2026,11,28),38,0)-IF(C3638=DATE(2026,12,2),26,0)))</f>
        <v/>
      </c>
      <c r="I3638" s="13">
        <f>IF(AND(C3638&gt;=DATE(2026,11,29),C3638&lt;=DATE(2026,12,1)),B3638*60,0)</f>
        <v/>
      </c>
      <c r="J3638" s="13">
        <f>IF(A3638="",0,B3638*(IF(C3638=DATE(2026,11,28),38,0)+IF(C3638=DATE(2026,12,1),38,0)+IF(C3638=DATE(2026,12,2),26,0)))</f>
        <v/>
      </c>
      <c r="K3638" s="13">
        <f>IF(C3638=Options!$B$9,B3638*12,0)</f>
        <v/>
      </c>
      <c r="L3638" s="13">
        <f>IF(C3638=Options!$B$9,B3638*Options!$Z$9,0)</f>
        <v/>
      </c>
      <c r="M3638" s="13" t="n">
        <v>0</v>
      </c>
      <c r="N3638" s="13">
        <f>SUM(E3638:M3638)</f>
        <v/>
      </c>
    </row>
    <row r="3639">
      <c r="A3639" s="5">
        <f>IF(AND(C3639&gt;=Options!$B$9,C3639&lt;=Options!$B$10),"Seattle","")</f>
        <v/>
      </c>
      <c r="B3639" s="5">
        <f>IF(A3639="","",24)</f>
        <v/>
      </c>
      <c r="C3639" s="17" t="n">
        <v>46645</v>
      </c>
      <c r="D3639" s="5">
        <f>IF(A3639="","",IF(C3639=DATE(2026,11,29),"培训；注册午餐；早餐参数",IF(C3639=DATE(2026,11,30),"培训；注册午餐",IF(C3639=DATE(2026,12,1),"培训；注册午餐；机构晚餐",IF(C3639=Options!$B$9,"抵达；"&amp;IF(C3639=DATE(2026,11,28),"机构晚餐","无统一供餐"),IF(C3639=Options!$B$10,"返程；"&amp;IF(C3639=DATE(2026,12,2),"机构午餐","无统一供餐"),"差旅状态；无统一日程"))))))</f>
        <v/>
      </c>
      <c r="E3639" s="13">
        <f>IF(C3639=Options!$B$9,Options!$C$23,0)</f>
        <v/>
      </c>
      <c r="F3639" s="13">
        <f>IF(AND(A3639&lt;&gt;"",C3639&lt;Options!$B$10),B3639*Options!$X$9,0)</f>
        <v/>
      </c>
      <c r="G3639" s="13">
        <f>F3639*12%</f>
        <v/>
      </c>
      <c r="H3639" s="13">
        <f>IF(A3639="",0,B3639*(92*IF(OR(C3639=Options!$B$9,C3639=Options!$B$10),75%,100%)-IF(C3639=DATE(2026,11,29),26+IF(Options!$B$8="是",23,0),0)-IF(C3639=DATE(2026,11,30),26,0)-IF(C3639=DATE(2026,12,1),64,0)-IF(C3639=DATE(2026,11,28),38,0)-IF(C3639=DATE(2026,12,2),26,0)))</f>
        <v/>
      </c>
      <c r="I3639" s="13">
        <f>IF(AND(C3639&gt;=DATE(2026,11,29),C3639&lt;=DATE(2026,12,1)),B3639*60,0)</f>
        <v/>
      </c>
      <c r="J3639" s="13">
        <f>IF(A3639="",0,B3639*(IF(C3639=DATE(2026,11,28),38,0)+IF(C3639=DATE(2026,12,1),38,0)+IF(C3639=DATE(2026,12,2),26,0)))</f>
        <v/>
      </c>
      <c r="K3639" s="13">
        <f>IF(C3639=Options!$B$9,B3639*12,0)</f>
        <v/>
      </c>
      <c r="L3639" s="13">
        <f>IF(C3639=Options!$B$9,B3639*Options!$Z$9,0)</f>
        <v/>
      </c>
      <c r="M3639" s="13" t="n">
        <v>0</v>
      </c>
      <c r="N3639" s="13">
        <f>SUM(E3639:M3639)</f>
        <v/>
      </c>
    </row>
    <row r="3640">
      <c r="A3640" s="5">
        <f>IF(AND(C3640&gt;=Options!$B$9,C3640&lt;=Options!$B$10),"Seattle","")</f>
        <v/>
      </c>
      <c r="B3640" s="5">
        <f>IF(A3640="","",24)</f>
        <v/>
      </c>
      <c r="C3640" s="17" t="n">
        <v>46646</v>
      </c>
      <c r="D3640" s="5">
        <f>IF(A3640="","",IF(C3640=DATE(2026,11,29),"培训；注册午餐；早餐参数",IF(C3640=DATE(2026,11,30),"培训；注册午餐",IF(C3640=DATE(2026,12,1),"培训；注册午餐；机构晚餐",IF(C3640=Options!$B$9,"抵达；"&amp;IF(C3640=DATE(2026,11,28),"机构晚餐","无统一供餐"),IF(C3640=Options!$B$10,"返程；"&amp;IF(C3640=DATE(2026,12,2),"机构午餐","无统一供餐"),"差旅状态；无统一日程"))))))</f>
        <v/>
      </c>
      <c r="E3640" s="13">
        <f>IF(C3640=Options!$B$9,Options!$C$23,0)</f>
        <v/>
      </c>
      <c r="F3640" s="13">
        <f>IF(AND(A3640&lt;&gt;"",C3640&lt;Options!$B$10),B3640*Options!$X$9,0)</f>
        <v/>
      </c>
      <c r="G3640" s="13">
        <f>F3640*12%</f>
        <v/>
      </c>
      <c r="H3640" s="13">
        <f>IF(A3640="",0,B3640*(92*IF(OR(C3640=Options!$B$9,C3640=Options!$B$10),75%,100%)-IF(C3640=DATE(2026,11,29),26+IF(Options!$B$8="是",23,0),0)-IF(C3640=DATE(2026,11,30),26,0)-IF(C3640=DATE(2026,12,1),64,0)-IF(C3640=DATE(2026,11,28),38,0)-IF(C3640=DATE(2026,12,2),26,0)))</f>
        <v/>
      </c>
      <c r="I3640" s="13">
        <f>IF(AND(C3640&gt;=DATE(2026,11,29),C3640&lt;=DATE(2026,12,1)),B3640*60,0)</f>
        <v/>
      </c>
      <c r="J3640" s="13">
        <f>IF(A3640="",0,B3640*(IF(C3640=DATE(2026,11,28),38,0)+IF(C3640=DATE(2026,12,1),38,0)+IF(C3640=DATE(2026,12,2),26,0)))</f>
        <v/>
      </c>
      <c r="K3640" s="13">
        <f>IF(C3640=Options!$B$9,B3640*12,0)</f>
        <v/>
      </c>
      <c r="L3640" s="13">
        <f>IF(C3640=Options!$B$9,B3640*Options!$Z$9,0)</f>
        <v/>
      </c>
      <c r="M3640" s="13" t="n">
        <v>0</v>
      </c>
      <c r="N3640" s="13">
        <f>SUM(E3640:M3640)</f>
        <v/>
      </c>
    </row>
    <row r="3641">
      <c r="A3641" s="5">
        <f>IF(AND(C3641&gt;=Options!$B$9,C3641&lt;=Options!$B$10),"Seattle","")</f>
        <v/>
      </c>
      <c r="B3641" s="5">
        <f>IF(A3641="","",24)</f>
        <v/>
      </c>
      <c r="C3641" s="17" t="n">
        <v>46647</v>
      </c>
      <c r="D3641" s="5">
        <f>IF(A3641="","",IF(C3641=DATE(2026,11,29),"培训；注册午餐；早餐参数",IF(C3641=DATE(2026,11,30),"培训；注册午餐",IF(C3641=DATE(2026,12,1),"培训；注册午餐；机构晚餐",IF(C3641=Options!$B$9,"抵达；"&amp;IF(C3641=DATE(2026,11,28),"机构晚餐","无统一供餐"),IF(C3641=Options!$B$10,"返程；"&amp;IF(C3641=DATE(2026,12,2),"机构午餐","无统一供餐"),"差旅状态；无统一日程"))))))</f>
        <v/>
      </c>
      <c r="E3641" s="13">
        <f>IF(C3641=Options!$B$9,Options!$C$23,0)</f>
        <v/>
      </c>
      <c r="F3641" s="13">
        <f>IF(AND(A3641&lt;&gt;"",C3641&lt;Options!$B$10),B3641*Options!$X$9,0)</f>
        <v/>
      </c>
      <c r="G3641" s="13">
        <f>F3641*12%</f>
        <v/>
      </c>
      <c r="H3641" s="13">
        <f>IF(A3641="",0,B3641*(92*IF(OR(C3641=Options!$B$9,C3641=Options!$B$10),75%,100%)-IF(C3641=DATE(2026,11,29),26+IF(Options!$B$8="是",23,0),0)-IF(C3641=DATE(2026,11,30),26,0)-IF(C3641=DATE(2026,12,1),64,0)-IF(C3641=DATE(2026,11,28),38,0)-IF(C3641=DATE(2026,12,2),26,0)))</f>
        <v/>
      </c>
      <c r="I3641" s="13">
        <f>IF(AND(C3641&gt;=DATE(2026,11,29),C3641&lt;=DATE(2026,12,1)),B3641*60,0)</f>
        <v/>
      </c>
      <c r="J3641" s="13">
        <f>IF(A3641="",0,B3641*(IF(C3641=DATE(2026,11,28),38,0)+IF(C3641=DATE(2026,12,1),38,0)+IF(C3641=DATE(2026,12,2),26,0)))</f>
        <v/>
      </c>
      <c r="K3641" s="13">
        <f>IF(C3641=Options!$B$9,B3641*12,0)</f>
        <v/>
      </c>
      <c r="L3641" s="13">
        <f>IF(C3641=Options!$B$9,B3641*Options!$Z$9,0)</f>
        <v/>
      </c>
      <c r="M3641" s="13" t="n">
        <v>0</v>
      </c>
      <c r="N3641" s="13">
        <f>SUM(E3641:M3641)</f>
        <v/>
      </c>
    </row>
    <row r="3642">
      <c r="A3642" s="5">
        <f>IF(AND(C3642&gt;=Options!$B$9,C3642&lt;=Options!$B$10),"Seattle","")</f>
        <v/>
      </c>
      <c r="B3642" s="5">
        <f>IF(A3642="","",24)</f>
        <v/>
      </c>
      <c r="C3642" s="17" t="n">
        <v>46648</v>
      </c>
      <c r="D3642" s="5">
        <f>IF(A3642="","",IF(C3642=DATE(2026,11,29),"培训；注册午餐；早餐参数",IF(C3642=DATE(2026,11,30),"培训；注册午餐",IF(C3642=DATE(2026,12,1),"培训；注册午餐；机构晚餐",IF(C3642=Options!$B$9,"抵达；"&amp;IF(C3642=DATE(2026,11,28),"机构晚餐","无统一供餐"),IF(C3642=Options!$B$10,"返程；"&amp;IF(C3642=DATE(2026,12,2),"机构午餐","无统一供餐"),"差旅状态；无统一日程"))))))</f>
        <v/>
      </c>
      <c r="E3642" s="13">
        <f>IF(C3642=Options!$B$9,Options!$C$23,0)</f>
        <v/>
      </c>
      <c r="F3642" s="13">
        <f>IF(AND(A3642&lt;&gt;"",C3642&lt;Options!$B$10),B3642*Options!$X$9,0)</f>
        <v/>
      </c>
      <c r="G3642" s="13">
        <f>F3642*12%</f>
        <v/>
      </c>
      <c r="H3642" s="13">
        <f>IF(A3642="",0,B3642*(92*IF(OR(C3642=Options!$B$9,C3642=Options!$B$10),75%,100%)-IF(C3642=DATE(2026,11,29),26+IF(Options!$B$8="是",23,0),0)-IF(C3642=DATE(2026,11,30),26,0)-IF(C3642=DATE(2026,12,1),64,0)-IF(C3642=DATE(2026,11,28),38,0)-IF(C3642=DATE(2026,12,2),26,0)))</f>
        <v/>
      </c>
      <c r="I3642" s="13">
        <f>IF(AND(C3642&gt;=DATE(2026,11,29),C3642&lt;=DATE(2026,12,1)),B3642*60,0)</f>
        <v/>
      </c>
      <c r="J3642" s="13">
        <f>IF(A3642="",0,B3642*(IF(C3642=DATE(2026,11,28),38,0)+IF(C3642=DATE(2026,12,1),38,0)+IF(C3642=DATE(2026,12,2),26,0)))</f>
        <v/>
      </c>
      <c r="K3642" s="13">
        <f>IF(C3642=Options!$B$9,B3642*12,0)</f>
        <v/>
      </c>
      <c r="L3642" s="13">
        <f>IF(C3642=Options!$B$9,B3642*Options!$Z$9,0)</f>
        <v/>
      </c>
      <c r="M3642" s="13" t="n">
        <v>0</v>
      </c>
      <c r="N3642" s="13">
        <f>SUM(E3642:M3642)</f>
        <v/>
      </c>
    </row>
    <row r="3643">
      <c r="A3643" s="5">
        <f>IF(AND(C3643&gt;=Options!$B$9,C3643&lt;=Options!$B$10),"Seattle","")</f>
        <v/>
      </c>
      <c r="B3643" s="5">
        <f>IF(A3643="","",24)</f>
        <v/>
      </c>
      <c r="C3643" s="17" t="n">
        <v>46649</v>
      </c>
      <c r="D3643" s="5">
        <f>IF(A3643="","",IF(C3643=DATE(2026,11,29),"培训；注册午餐；早餐参数",IF(C3643=DATE(2026,11,30),"培训；注册午餐",IF(C3643=DATE(2026,12,1),"培训；注册午餐；机构晚餐",IF(C3643=Options!$B$9,"抵达；"&amp;IF(C3643=DATE(2026,11,28),"机构晚餐","无统一供餐"),IF(C3643=Options!$B$10,"返程；"&amp;IF(C3643=DATE(2026,12,2),"机构午餐","无统一供餐"),"差旅状态；无统一日程"))))))</f>
        <v/>
      </c>
      <c r="E3643" s="13">
        <f>IF(C3643=Options!$B$9,Options!$C$23,0)</f>
        <v/>
      </c>
      <c r="F3643" s="13">
        <f>IF(AND(A3643&lt;&gt;"",C3643&lt;Options!$B$10),B3643*Options!$X$9,0)</f>
        <v/>
      </c>
      <c r="G3643" s="13">
        <f>F3643*12%</f>
        <v/>
      </c>
      <c r="H3643" s="13">
        <f>IF(A3643="",0,B3643*(92*IF(OR(C3643=Options!$B$9,C3643=Options!$B$10),75%,100%)-IF(C3643=DATE(2026,11,29),26+IF(Options!$B$8="是",23,0),0)-IF(C3643=DATE(2026,11,30),26,0)-IF(C3643=DATE(2026,12,1),64,0)-IF(C3643=DATE(2026,11,28),38,0)-IF(C3643=DATE(2026,12,2),26,0)))</f>
        <v/>
      </c>
      <c r="I3643" s="13">
        <f>IF(AND(C3643&gt;=DATE(2026,11,29),C3643&lt;=DATE(2026,12,1)),B3643*60,0)</f>
        <v/>
      </c>
      <c r="J3643" s="13">
        <f>IF(A3643="",0,B3643*(IF(C3643=DATE(2026,11,28),38,0)+IF(C3643=DATE(2026,12,1),38,0)+IF(C3643=DATE(2026,12,2),26,0)))</f>
        <v/>
      </c>
      <c r="K3643" s="13">
        <f>IF(C3643=Options!$B$9,B3643*12,0)</f>
        <v/>
      </c>
      <c r="L3643" s="13">
        <f>IF(C3643=Options!$B$9,B3643*Options!$Z$9,0)</f>
        <v/>
      </c>
      <c r="M3643" s="13" t="n">
        <v>0</v>
      </c>
      <c r="N3643" s="13">
        <f>SUM(E3643:M3643)</f>
        <v/>
      </c>
    </row>
    <row r="3644">
      <c r="A3644" s="5">
        <f>IF(AND(C3644&gt;=Options!$B$9,C3644&lt;=Options!$B$10),"Seattle","")</f>
        <v/>
      </c>
      <c r="B3644" s="5">
        <f>IF(A3644="","",24)</f>
        <v/>
      </c>
      <c r="C3644" s="17" t="n">
        <v>46650</v>
      </c>
      <c r="D3644" s="5">
        <f>IF(A3644="","",IF(C3644=DATE(2026,11,29),"培训；注册午餐；早餐参数",IF(C3644=DATE(2026,11,30),"培训；注册午餐",IF(C3644=DATE(2026,12,1),"培训；注册午餐；机构晚餐",IF(C3644=Options!$B$9,"抵达；"&amp;IF(C3644=DATE(2026,11,28),"机构晚餐","无统一供餐"),IF(C3644=Options!$B$10,"返程；"&amp;IF(C3644=DATE(2026,12,2),"机构午餐","无统一供餐"),"差旅状态；无统一日程"))))))</f>
        <v/>
      </c>
      <c r="E3644" s="13">
        <f>IF(C3644=Options!$B$9,Options!$C$23,0)</f>
        <v/>
      </c>
      <c r="F3644" s="13">
        <f>IF(AND(A3644&lt;&gt;"",C3644&lt;Options!$B$10),B3644*Options!$X$9,0)</f>
        <v/>
      </c>
      <c r="G3644" s="13">
        <f>F3644*12%</f>
        <v/>
      </c>
      <c r="H3644" s="13">
        <f>IF(A3644="",0,B3644*(92*IF(OR(C3644=Options!$B$9,C3644=Options!$B$10),75%,100%)-IF(C3644=DATE(2026,11,29),26+IF(Options!$B$8="是",23,0),0)-IF(C3644=DATE(2026,11,30),26,0)-IF(C3644=DATE(2026,12,1),64,0)-IF(C3644=DATE(2026,11,28),38,0)-IF(C3644=DATE(2026,12,2),26,0)))</f>
        <v/>
      </c>
      <c r="I3644" s="13">
        <f>IF(AND(C3644&gt;=DATE(2026,11,29),C3644&lt;=DATE(2026,12,1)),B3644*60,0)</f>
        <v/>
      </c>
      <c r="J3644" s="13">
        <f>IF(A3644="",0,B3644*(IF(C3644=DATE(2026,11,28),38,0)+IF(C3644=DATE(2026,12,1),38,0)+IF(C3644=DATE(2026,12,2),26,0)))</f>
        <v/>
      </c>
      <c r="K3644" s="13">
        <f>IF(C3644=Options!$B$9,B3644*12,0)</f>
        <v/>
      </c>
      <c r="L3644" s="13">
        <f>IF(C3644=Options!$B$9,B3644*Options!$Z$9,0)</f>
        <v/>
      </c>
      <c r="M3644" s="13" t="n">
        <v>0</v>
      </c>
      <c r="N3644" s="13">
        <f>SUM(E3644:M3644)</f>
        <v/>
      </c>
    </row>
    <row r="3645">
      <c r="A3645" s="5">
        <f>IF(AND(C3645&gt;=Options!$B$9,C3645&lt;=Options!$B$10),"Seattle","")</f>
        <v/>
      </c>
      <c r="B3645" s="5">
        <f>IF(A3645="","",24)</f>
        <v/>
      </c>
      <c r="C3645" s="17" t="n">
        <v>46651</v>
      </c>
      <c r="D3645" s="5">
        <f>IF(A3645="","",IF(C3645=DATE(2026,11,29),"培训；注册午餐；早餐参数",IF(C3645=DATE(2026,11,30),"培训；注册午餐",IF(C3645=DATE(2026,12,1),"培训；注册午餐；机构晚餐",IF(C3645=Options!$B$9,"抵达；"&amp;IF(C3645=DATE(2026,11,28),"机构晚餐","无统一供餐"),IF(C3645=Options!$B$10,"返程；"&amp;IF(C3645=DATE(2026,12,2),"机构午餐","无统一供餐"),"差旅状态；无统一日程"))))))</f>
        <v/>
      </c>
      <c r="E3645" s="13">
        <f>IF(C3645=Options!$B$9,Options!$C$23,0)</f>
        <v/>
      </c>
      <c r="F3645" s="13">
        <f>IF(AND(A3645&lt;&gt;"",C3645&lt;Options!$B$10),B3645*Options!$X$9,0)</f>
        <v/>
      </c>
      <c r="G3645" s="13">
        <f>F3645*12%</f>
        <v/>
      </c>
      <c r="H3645" s="13">
        <f>IF(A3645="",0,B3645*(92*IF(OR(C3645=Options!$B$9,C3645=Options!$B$10),75%,100%)-IF(C3645=DATE(2026,11,29),26+IF(Options!$B$8="是",23,0),0)-IF(C3645=DATE(2026,11,30),26,0)-IF(C3645=DATE(2026,12,1),64,0)-IF(C3645=DATE(2026,11,28),38,0)-IF(C3645=DATE(2026,12,2),26,0)))</f>
        <v/>
      </c>
      <c r="I3645" s="13">
        <f>IF(AND(C3645&gt;=DATE(2026,11,29),C3645&lt;=DATE(2026,12,1)),B3645*60,0)</f>
        <v/>
      </c>
      <c r="J3645" s="13">
        <f>IF(A3645="",0,B3645*(IF(C3645=DATE(2026,11,28),38,0)+IF(C3645=DATE(2026,12,1),38,0)+IF(C3645=DATE(2026,12,2),26,0)))</f>
        <v/>
      </c>
      <c r="K3645" s="13">
        <f>IF(C3645=Options!$B$9,B3645*12,0)</f>
        <v/>
      </c>
      <c r="L3645" s="13">
        <f>IF(C3645=Options!$B$9,B3645*Options!$Z$9,0)</f>
        <v/>
      </c>
      <c r="M3645" s="13" t="n">
        <v>0</v>
      </c>
      <c r="N3645" s="13">
        <f>SUM(E3645:M3645)</f>
        <v/>
      </c>
    </row>
    <row r="3646">
      <c r="A3646" s="5">
        <f>IF(AND(C3646&gt;=Options!$B$9,C3646&lt;=Options!$B$10),"Seattle","")</f>
        <v/>
      </c>
      <c r="B3646" s="5">
        <f>IF(A3646="","",24)</f>
        <v/>
      </c>
      <c r="C3646" s="17" t="n">
        <v>46652</v>
      </c>
      <c r="D3646" s="5">
        <f>IF(A3646="","",IF(C3646=DATE(2026,11,29),"培训；注册午餐；早餐参数",IF(C3646=DATE(2026,11,30),"培训；注册午餐",IF(C3646=DATE(2026,12,1),"培训；注册午餐；机构晚餐",IF(C3646=Options!$B$9,"抵达；"&amp;IF(C3646=DATE(2026,11,28),"机构晚餐","无统一供餐"),IF(C3646=Options!$B$10,"返程；"&amp;IF(C3646=DATE(2026,12,2),"机构午餐","无统一供餐"),"差旅状态；无统一日程"))))))</f>
        <v/>
      </c>
      <c r="E3646" s="13">
        <f>IF(C3646=Options!$B$9,Options!$C$23,0)</f>
        <v/>
      </c>
      <c r="F3646" s="13">
        <f>IF(AND(A3646&lt;&gt;"",C3646&lt;Options!$B$10),B3646*Options!$X$9,0)</f>
        <v/>
      </c>
      <c r="G3646" s="13">
        <f>F3646*12%</f>
        <v/>
      </c>
      <c r="H3646" s="13">
        <f>IF(A3646="",0,B3646*(92*IF(OR(C3646=Options!$B$9,C3646=Options!$B$10),75%,100%)-IF(C3646=DATE(2026,11,29),26+IF(Options!$B$8="是",23,0),0)-IF(C3646=DATE(2026,11,30),26,0)-IF(C3646=DATE(2026,12,1),64,0)-IF(C3646=DATE(2026,11,28),38,0)-IF(C3646=DATE(2026,12,2),26,0)))</f>
        <v/>
      </c>
      <c r="I3646" s="13">
        <f>IF(AND(C3646&gt;=DATE(2026,11,29),C3646&lt;=DATE(2026,12,1)),B3646*60,0)</f>
        <v/>
      </c>
      <c r="J3646" s="13">
        <f>IF(A3646="",0,B3646*(IF(C3646=DATE(2026,11,28),38,0)+IF(C3646=DATE(2026,12,1),38,0)+IF(C3646=DATE(2026,12,2),26,0)))</f>
        <v/>
      </c>
      <c r="K3646" s="13">
        <f>IF(C3646=Options!$B$9,B3646*12,0)</f>
        <v/>
      </c>
      <c r="L3646" s="13">
        <f>IF(C3646=Options!$B$9,B3646*Options!$Z$9,0)</f>
        <v/>
      </c>
      <c r="M3646" s="13" t="n">
        <v>0</v>
      </c>
      <c r="N3646" s="13">
        <f>SUM(E3646:M3646)</f>
        <v/>
      </c>
    </row>
    <row r="3647">
      <c r="A3647" s="5">
        <f>IF(AND(C3647&gt;=Options!$B$9,C3647&lt;=Options!$B$10),"Seattle","")</f>
        <v/>
      </c>
      <c r="B3647" s="5">
        <f>IF(A3647="","",24)</f>
        <v/>
      </c>
      <c r="C3647" s="17" t="n">
        <v>46653</v>
      </c>
      <c r="D3647" s="5">
        <f>IF(A3647="","",IF(C3647=DATE(2026,11,29),"培训；注册午餐；早餐参数",IF(C3647=DATE(2026,11,30),"培训；注册午餐",IF(C3647=DATE(2026,12,1),"培训；注册午餐；机构晚餐",IF(C3647=Options!$B$9,"抵达；"&amp;IF(C3647=DATE(2026,11,28),"机构晚餐","无统一供餐"),IF(C3647=Options!$B$10,"返程；"&amp;IF(C3647=DATE(2026,12,2),"机构午餐","无统一供餐"),"差旅状态；无统一日程"))))))</f>
        <v/>
      </c>
      <c r="E3647" s="13">
        <f>IF(C3647=Options!$B$9,Options!$C$23,0)</f>
        <v/>
      </c>
      <c r="F3647" s="13">
        <f>IF(AND(A3647&lt;&gt;"",C3647&lt;Options!$B$10),B3647*Options!$X$9,0)</f>
        <v/>
      </c>
      <c r="G3647" s="13">
        <f>F3647*12%</f>
        <v/>
      </c>
      <c r="H3647" s="13">
        <f>IF(A3647="",0,B3647*(92*IF(OR(C3647=Options!$B$9,C3647=Options!$B$10),75%,100%)-IF(C3647=DATE(2026,11,29),26+IF(Options!$B$8="是",23,0),0)-IF(C3647=DATE(2026,11,30),26,0)-IF(C3647=DATE(2026,12,1),64,0)-IF(C3647=DATE(2026,11,28),38,0)-IF(C3647=DATE(2026,12,2),26,0)))</f>
        <v/>
      </c>
      <c r="I3647" s="13">
        <f>IF(AND(C3647&gt;=DATE(2026,11,29),C3647&lt;=DATE(2026,12,1)),B3647*60,0)</f>
        <v/>
      </c>
      <c r="J3647" s="13">
        <f>IF(A3647="",0,B3647*(IF(C3647=DATE(2026,11,28),38,0)+IF(C3647=DATE(2026,12,1),38,0)+IF(C3647=DATE(2026,12,2),26,0)))</f>
        <v/>
      </c>
      <c r="K3647" s="13">
        <f>IF(C3647=Options!$B$9,B3647*12,0)</f>
        <v/>
      </c>
      <c r="L3647" s="13">
        <f>IF(C3647=Options!$B$9,B3647*Options!$Z$9,0)</f>
        <v/>
      </c>
      <c r="M3647" s="13" t="n">
        <v>0</v>
      </c>
      <c r="N3647" s="13">
        <f>SUM(E3647:M3647)</f>
        <v/>
      </c>
    </row>
    <row r="3648">
      <c r="A3648" s="5">
        <f>IF(AND(C3648&gt;=Options!$B$9,C3648&lt;=Options!$B$10),"Seattle","")</f>
        <v/>
      </c>
      <c r="B3648" s="5">
        <f>IF(A3648="","",24)</f>
        <v/>
      </c>
      <c r="C3648" s="17" t="n">
        <v>46654</v>
      </c>
      <c r="D3648" s="5">
        <f>IF(A3648="","",IF(C3648=DATE(2026,11,29),"培训；注册午餐；早餐参数",IF(C3648=DATE(2026,11,30),"培训；注册午餐",IF(C3648=DATE(2026,12,1),"培训；注册午餐；机构晚餐",IF(C3648=Options!$B$9,"抵达；"&amp;IF(C3648=DATE(2026,11,28),"机构晚餐","无统一供餐"),IF(C3648=Options!$B$10,"返程；"&amp;IF(C3648=DATE(2026,12,2),"机构午餐","无统一供餐"),"差旅状态；无统一日程"))))))</f>
        <v/>
      </c>
      <c r="E3648" s="13">
        <f>IF(C3648=Options!$B$9,Options!$C$23,0)</f>
        <v/>
      </c>
      <c r="F3648" s="13">
        <f>IF(AND(A3648&lt;&gt;"",C3648&lt;Options!$B$10),B3648*Options!$X$9,0)</f>
        <v/>
      </c>
      <c r="G3648" s="13">
        <f>F3648*12%</f>
        <v/>
      </c>
      <c r="H3648" s="13">
        <f>IF(A3648="",0,B3648*(92*IF(OR(C3648=Options!$B$9,C3648=Options!$B$10),75%,100%)-IF(C3648=DATE(2026,11,29),26+IF(Options!$B$8="是",23,0),0)-IF(C3648=DATE(2026,11,30),26,0)-IF(C3648=DATE(2026,12,1),64,0)-IF(C3648=DATE(2026,11,28),38,0)-IF(C3648=DATE(2026,12,2),26,0)))</f>
        <v/>
      </c>
      <c r="I3648" s="13">
        <f>IF(AND(C3648&gt;=DATE(2026,11,29),C3648&lt;=DATE(2026,12,1)),B3648*60,0)</f>
        <v/>
      </c>
      <c r="J3648" s="13">
        <f>IF(A3648="",0,B3648*(IF(C3648=DATE(2026,11,28),38,0)+IF(C3648=DATE(2026,12,1),38,0)+IF(C3648=DATE(2026,12,2),26,0)))</f>
        <v/>
      </c>
      <c r="K3648" s="13">
        <f>IF(C3648=Options!$B$9,B3648*12,0)</f>
        <v/>
      </c>
      <c r="L3648" s="13">
        <f>IF(C3648=Options!$B$9,B3648*Options!$Z$9,0)</f>
        <v/>
      </c>
      <c r="M3648" s="13" t="n">
        <v>0</v>
      </c>
      <c r="N3648" s="13">
        <f>SUM(E3648:M3648)</f>
        <v/>
      </c>
    </row>
    <row r="3649">
      <c r="A3649" s="5">
        <f>IF(AND(C3649&gt;=Options!$B$9,C3649&lt;=Options!$B$10),"Seattle","")</f>
        <v/>
      </c>
      <c r="B3649" s="5">
        <f>IF(A3649="","",24)</f>
        <v/>
      </c>
      <c r="C3649" s="17" t="n">
        <v>46655</v>
      </c>
      <c r="D3649" s="5">
        <f>IF(A3649="","",IF(C3649=DATE(2026,11,29),"培训；注册午餐；早餐参数",IF(C3649=DATE(2026,11,30),"培训；注册午餐",IF(C3649=DATE(2026,12,1),"培训；注册午餐；机构晚餐",IF(C3649=Options!$B$9,"抵达；"&amp;IF(C3649=DATE(2026,11,28),"机构晚餐","无统一供餐"),IF(C3649=Options!$B$10,"返程；"&amp;IF(C3649=DATE(2026,12,2),"机构午餐","无统一供餐"),"差旅状态；无统一日程"))))))</f>
        <v/>
      </c>
      <c r="E3649" s="13">
        <f>IF(C3649=Options!$B$9,Options!$C$23,0)</f>
        <v/>
      </c>
      <c r="F3649" s="13">
        <f>IF(AND(A3649&lt;&gt;"",C3649&lt;Options!$B$10),B3649*Options!$X$9,0)</f>
        <v/>
      </c>
      <c r="G3649" s="13">
        <f>F3649*12%</f>
        <v/>
      </c>
      <c r="H3649" s="13">
        <f>IF(A3649="",0,B3649*(92*IF(OR(C3649=Options!$B$9,C3649=Options!$B$10),75%,100%)-IF(C3649=DATE(2026,11,29),26+IF(Options!$B$8="是",23,0),0)-IF(C3649=DATE(2026,11,30),26,0)-IF(C3649=DATE(2026,12,1),64,0)-IF(C3649=DATE(2026,11,28),38,0)-IF(C3649=DATE(2026,12,2),26,0)))</f>
        <v/>
      </c>
      <c r="I3649" s="13">
        <f>IF(AND(C3649&gt;=DATE(2026,11,29),C3649&lt;=DATE(2026,12,1)),B3649*60,0)</f>
        <v/>
      </c>
      <c r="J3649" s="13">
        <f>IF(A3649="",0,B3649*(IF(C3649=DATE(2026,11,28),38,0)+IF(C3649=DATE(2026,12,1),38,0)+IF(C3649=DATE(2026,12,2),26,0)))</f>
        <v/>
      </c>
      <c r="K3649" s="13">
        <f>IF(C3649=Options!$B$9,B3649*12,0)</f>
        <v/>
      </c>
      <c r="L3649" s="13">
        <f>IF(C3649=Options!$B$9,B3649*Options!$Z$9,0)</f>
        <v/>
      </c>
      <c r="M3649" s="13" t="n">
        <v>0</v>
      </c>
      <c r="N3649" s="13">
        <f>SUM(E3649:M3649)</f>
        <v/>
      </c>
    </row>
    <row r="3650">
      <c r="A3650" s="5">
        <f>IF(AND(C3650&gt;=Options!$B$9,C3650&lt;=Options!$B$10),"Seattle","")</f>
        <v/>
      </c>
      <c r="B3650" s="5">
        <f>IF(A3650="","",24)</f>
        <v/>
      </c>
      <c r="C3650" s="17" t="n">
        <v>46656</v>
      </c>
      <c r="D3650" s="5">
        <f>IF(A3650="","",IF(C3650=DATE(2026,11,29),"培训；注册午餐；早餐参数",IF(C3650=DATE(2026,11,30),"培训；注册午餐",IF(C3650=DATE(2026,12,1),"培训；注册午餐；机构晚餐",IF(C3650=Options!$B$9,"抵达；"&amp;IF(C3650=DATE(2026,11,28),"机构晚餐","无统一供餐"),IF(C3650=Options!$B$10,"返程；"&amp;IF(C3650=DATE(2026,12,2),"机构午餐","无统一供餐"),"差旅状态；无统一日程"))))))</f>
        <v/>
      </c>
      <c r="E3650" s="13">
        <f>IF(C3650=Options!$B$9,Options!$C$23,0)</f>
        <v/>
      </c>
      <c r="F3650" s="13">
        <f>IF(AND(A3650&lt;&gt;"",C3650&lt;Options!$B$10),B3650*Options!$X$9,0)</f>
        <v/>
      </c>
      <c r="G3650" s="13">
        <f>F3650*12%</f>
        <v/>
      </c>
      <c r="H3650" s="13">
        <f>IF(A3650="",0,B3650*(92*IF(OR(C3650=Options!$B$9,C3650=Options!$B$10),75%,100%)-IF(C3650=DATE(2026,11,29),26+IF(Options!$B$8="是",23,0),0)-IF(C3650=DATE(2026,11,30),26,0)-IF(C3650=DATE(2026,12,1),64,0)-IF(C3650=DATE(2026,11,28),38,0)-IF(C3650=DATE(2026,12,2),26,0)))</f>
        <v/>
      </c>
      <c r="I3650" s="13">
        <f>IF(AND(C3650&gt;=DATE(2026,11,29),C3650&lt;=DATE(2026,12,1)),B3650*60,0)</f>
        <v/>
      </c>
      <c r="J3650" s="13">
        <f>IF(A3650="",0,B3650*(IF(C3650=DATE(2026,11,28),38,0)+IF(C3650=DATE(2026,12,1),38,0)+IF(C3650=DATE(2026,12,2),26,0)))</f>
        <v/>
      </c>
      <c r="K3650" s="13">
        <f>IF(C3650=Options!$B$9,B3650*12,0)</f>
        <v/>
      </c>
      <c r="L3650" s="13">
        <f>IF(C3650=Options!$B$9,B3650*Options!$Z$9,0)</f>
        <v/>
      </c>
      <c r="M3650" s="13" t="n">
        <v>0</v>
      </c>
      <c r="N3650" s="13">
        <f>SUM(E3650:M3650)</f>
        <v/>
      </c>
    </row>
    <row r="3651">
      <c r="A3651" s="5">
        <f>IF(AND(C3651&gt;=Options!$B$9,C3651&lt;=Options!$B$10),"Seattle","")</f>
        <v/>
      </c>
      <c r="B3651" s="5">
        <f>IF(A3651="","",24)</f>
        <v/>
      </c>
      <c r="C3651" s="17" t="n">
        <v>46657</v>
      </c>
      <c r="D3651" s="5">
        <f>IF(A3651="","",IF(C3651=DATE(2026,11,29),"培训；注册午餐；早餐参数",IF(C3651=DATE(2026,11,30),"培训；注册午餐",IF(C3651=DATE(2026,12,1),"培训；注册午餐；机构晚餐",IF(C3651=Options!$B$9,"抵达；"&amp;IF(C3651=DATE(2026,11,28),"机构晚餐","无统一供餐"),IF(C3651=Options!$B$10,"返程；"&amp;IF(C3651=DATE(2026,12,2),"机构午餐","无统一供餐"),"差旅状态；无统一日程"))))))</f>
        <v/>
      </c>
      <c r="E3651" s="13">
        <f>IF(C3651=Options!$B$9,Options!$C$23,0)</f>
        <v/>
      </c>
      <c r="F3651" s="13">
        <f>IF(AND(A3651&lt;&gt;"",C3651&lt;Options!$B$10),B3651*Options!$X$9,0)</f>
        <v/>
      </c>
      <c r="G3651" s="13">
        <f>F3651*12%</f>
        <v/>
      </c>
      <c r="H3651" s="13">
        <f>IF(A3651="",0,B3651*(92*IF(OR(C3651=Options!$B$9,C3651=Options!$B$10),75%,100%)-IF(C3651=DATE(2026,11,29),26+IF(Options!$B$8="是",23,0),0)-IF(C3651=DATE(2026,11,30),26,0)-IF(C3651=DATE(2026,12,1),64,0)-IF(C3651=DATE(2026,11,28),38,0)-IF(C3651=DATE(2026,12,2),26,0)))</f>
        <v/>
      </c>
      <c r="I3651" s="13">
        <f>IF(AND(C3651&gt;=DATE(2026,11,29),C3651&lt;=DATE(2026,12,1)),B3651*60,0)</f>
        <v/>
      </c>
      <c r="J3651" s="13">
        <f>IF(A3651="",0,B3651*(IF(C3651=DATE(2026,11,28),38,0)+IF(C3651=DATE(2026,12,1),38,0)+IF(C3651=DATE(2026,12,2),26,0)))</f>
        <v/>
      </c>
      <c r="K3651" s="13">
        <f>IF(C3651=Options!$B$9,B3651*12,0)</f>
        <v/>
      </c>
      <c r="L3651" s="13">
        <f>IF(C3651=Options!$B$9,B3651*Options!$Z$9,0)</f>
        <v/>
      </c>
      <c r="M3651" s="13" t="n">
        <v>0</v>
      </c>
      <c r="N3651" s="13">
        <f>SUM(E3651:M3651)</f>
        <v/>
      </c>
    </row>
    <row r="3652">
      <c r="A3652" s="5">
        <f>IF(AND(C3652&gt;=Options!$B$9,C3652&lt;=Options!$B$10),"Seattle","")</f>
        <v/>
      </c>
      <c r="B3652" s="5">
        <f>IF(A3652="","",24)</f>
        <v/>
      </c>
      <c r="C3652" s="17" t="n">
        <v>46658</v>
      </c>
      <c r="D3652" s="5">
        <f>IF(A3652="","",IF(C3652=DATE(2026,11,29),"培训；注册午餐；早餐参数",IF(C3652=DATE(2026,11,30),"培训；注册午餐",IF(C3652=DATE(2026,12,1),"培训；注册午餐；机构晚餐",IF(C3652=Options!$B$9,"抵达；"&amp;IF(C3652=DATE(2026,11,28),"机构晚餐","无统一供餐"),IF(C3652=Options!$B$10,"返程；"&amp;IF(C3652=DATE(2026,12,2),"机构午餐","无统一供餐"),"差旅状态；无统一日程"))))))</f>
        <v/>
      </c>
      <c r="E3652" s="13">
        <f>IF(C3652=Options!$B$9,Options!$C$23,0)</f>
        <v/>
      </c>
      <c r="F3652" s="13">
        <f>IF(AND(A3652&lt;&gt;"",C3652&lt;Options!$B$10),B3652*Options!$X$9,0)</f>
        <v/>
      </c>
      <c r="G3652" s="13">
        <f>F3652*12%</f>
        <v/>
      </c>
      <c r="H3652" s="13">
        <f>IF(A3652="",0,B3652*(92*IF(OR(C3652=Options!$B$9,C3652=Options!$B$10),75%,100%)-IF(C3652=DATE(2026,11,29),26+IF(Options!$B$8="是",23,0),0)-IF(C3652=DATE(2026,11,30),26,0)-IF(C3652=DATE(2026,12,1),64,0)-IF(C3652=DATE(2026,11,28),38,0)-IF(C3652=DATE(2026,12,2),26,0)))</f>
        <v/>
      </c>
      <c r="I3652" s="13">
        <f>IF(AND(C3652&gt;=DATE(2026,11,29),C3652&lt;=DATE(2026,12,1)),B3652*60,0)</f>
        <v/>
      </c>
      <c r="J3652" s="13">
        <f>IF(A3652="",0,B3652*(IF(C3652=DATE(2026,11,28),38,0)+IF(C3652=DATE(2026,12,1),38,0)+IF(C3652=DATE(2026,12,2),26,0)))</f>
        <v/>
      </c>
      <c r="K3652" s="13">
        <f>IF(C3652=Options!$B$9,B3652*12,0)</f>
        <v/>
      </c>
      <c r="L3652" s="13">
        <f>IF(C3652=Options!$B$9,B3652*Options!$Z$9,0)</f>
        <v/>
      </c>
      <c r="M3652" s="13" t="n">
        <v>0</v>
      </c>
      <c r="N3652" s="13">
        <f>SUM(E3652:M3652)</f>
        <v/>
      </c>
    </row>
    <row r="3653">
      <c r="A3653" s="5">
        <f>IF(AND(C3653&gt;=Options!$B$9,C3653&lt;=Options!$B$10),"Seattle","")</f>
        <v/>
      </c>
      <c r="B3653" s="5">
        <f>IF(A3653="","",24)</f>
        <v/>
      </c>
      <c r="C3653" s="17" t="n">
        <v>46659</v>
      </c>
      <c r="D3653" s="5">
        <f>IF(A3653="","",IF(C3653=DATE(2026,11,29),"培训；注册午餐；早餐参数",IF(C3653=DATE(2026,11,30),"培训；注册午餐",IF(C3653=DATE(2026,12,1),"培训；注册午餐；机构晚餐",IF(C3653=Options!$B$9,"抵达；"&amp;IF(C3653=DATE(2026,11,28),"机构晚餐","无统一供餐"),IF(C3653=Options!$B$10,"返程；"&amp;IF(C3653=DATE(2026,12,2),"机构午餐","无统一供餐"),"差旅状态；无统一日程"))))))</f>
        <v/>
      </c>
      <c r="E3653" s="13">
        <f>IF(C3653=Options!$B$9,Options!$C$23,0)</f>
        <v/>
      </c>
      <c r="F3653" s="13">
        <f>IF(AND(A3653&lt;&gt;"",C3653&lt;Options!$B$10),B3653*Options!$X$9,0)</f>
        <v/>
      </c>
      <c r="G3653" s="13">
        <f>F3653*12%</f>
        <v/>
      </c>
      <c r="H3653" s="13">
        <f>IF(A3653="",0,B3653*(92*IF(OR(C3653=Options!$B$9,C3653=Options!$B$10),75%,100%)-IF(C3653=DATE(2026,11,29),26+IF(Options!$B$8="是",23,0),0)-IF(C3653=DATE(2026,11,30),26,0)-IF(C3653=DATE(2026,12,1),64,0)-IF(C3653=DATE(2026,11,28),38,0)-IF(C3653=DATE(2026,12,2),26,0)))</f>
        <v/>
      </c>
      <c r="I3653" s="13">
        <f>IF(AND(C3653&gt;=DATE(2026,11,29),C3653&lt;=DATE(2026,12,1)),B3653*60,0)</f>
        <v/>
      </c>
      <c r="J3653" s="13">
        <f>IF(A3653="",0,B3653*(IF(C3653=DATE(2026,11,28),38,0)+IF(C3653=DATE(2026,12,1),38,0)+IF(C3653=DATE(2026,12,2),26,0)))</f>
        <v/>
      </c>
      <c r="K3653" s="13">
        <f>IF(C3653=Options!$B$9,B3653*12,0)</f>
        <v/>
      </c>
      <c r="L3653" s="13">
        <f>IF(C3653=Options!$B$9,B3653*Options!$Z$9,0)</f>
        <v/>
      </c>
      <c r="M3653" s="13" t="n">
        <v>0</v>
      </c>
      <c r="N3653" s="13">
        <f>SUM(E3653:M3653)</f>
        <v/>
      </c>
    </row>
    <row r="3654">
      <c r="A3654" s="5">
        <f>IF(AND(C3654&gt;=Options!$B$9,C3654&lt;=Options!$B$10),"Seattle","")</f>
        <v/>
      </c>
      <c r="B3654" s="5">
        <f>IF(A3654="","",24)</f>
        <v/>
      </c>
      <c r="C3654" s="17" t="n">
        <v>46660</v>
      </c>
      <c r="D3654" s="5">
        <f>IF(A3654="","",IF(C3654=DATE(2026,11,29),"培训；注册午餐；早餐参数",IF(C3654=DATE(2026,11,30),"培训；注册午餐",IF(C3654=DATE(2026,12,1),"培训；注册午餐；机构晚餐",IF(C3654=Options!$B$9,"抵达；"&amp;IF(C3654=DATE(2026,11,28),"机构晚餐","无统一供餐"),IF(C3654=Options!$B$10,"返程；"&amp;IF(C3654=DATE(2026,12,2),"机构午餐","无统一供餐"),"差旅状态；无统一日程"))))))</f>
        <v/>
      </c>
      <c r="E3654" s="13">
        <f>IF(C3654=Options!$B$9,Options!$C$23,0)</f>
        <v/>
      </c>
      <c r="F3654" s="13">
        <f>IF(AND(A3654&lt;&gt;"",C3654&lt;Options!$B$10),B3654*Options!$X$9,0)</f>
        <v/>
      </c>
      <c r="G3654" s="13">
        <f>F3654*12%</f>
        <v/>
      </c>
      <c r="H3654" s="13">
        <f>IF(A3654="",0,B3654*(92*IF(OR(C3654=Options!$B$9,C3654=Options!$B$10),75%,100%)-IF(C3654=DATE(2026,11,29),26+IF(Options!$B$8="是",23,0),0)-IF(C3654=DATE(2026,11,30),26,0)-IF(C3654=DATE(2026,12,1),64,0)-IF(C3654=DATE(2026,11,28),38,0)-IF(C3654=DATE(2026,12,2),26,0)))</f>
        <v/>
      </c>
      <c r="I3654" s="13">
        <f>IF(AND(C3654&gt;=DATE(2026,11,29),C3654&lt;=DATE(2026,12,1)),B3654*60,0)</f>
        <v/>
      </c>
      <c r="J3654" s="13">
        <f>IF(A3654="",0,B3654*(IF(C3654=DATE(2026,11,28),38,0)+IF(C3654=DATE(2026,12,1),38,0)+IF(C3654=DATE(2026,12,2),26,0)))</f>
        <v/>
      </c>
      <c r="K3654" s="13">
        <f>IF(C3654=Options!$B$9,B3654*12,0)</f>
        <v/>
      </c>
      <c r="L3654" s="13">
        <f>IF(C3654=Options!$B$9,B3654*Options!$Z$9,0)</f>
        <v/>
      </c>
      <c r="M3654" s="13" t="n">
        <v>0</v>
      </c>
      <c r="N3654" s="13">
        <f>SUM(E3654:M3654)</f>
        <v/>
      </c>
    </row>
  </sheetData>
  <autoFilter ref="A4:N3654"/>
  <mergeCells count="2">
    <mergeCell ref="A2:N2"/>
    <mergeCell ref="A1:N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8" customWidth="1" min="3" max="3"/>
    <col width="95" customWidth="1" min="4" max="4"/>
    <col width="20" customWidth="1" min="5" max="5"/>
    <col width="25" customWidth="1" min="6" max="6"/>
    <col width="14" customWidth="1" min="7" max="7"/>
    <col width="18" customWidth="1" min="8" max="8"/>
  </cols>
  <sheetData>
    <row r="1">
      <c r="A1" s="1" t="inlineStr">
        <is>
          <t>资料依据与预算口径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ID</t>
        </is>
      </c>
      <c r="B4" s="4" t="inlineStr">
        <is>
          <t>主题</t>
        </is>
      </c>
      <c r="C4" s="4" t="inlineStr">
        <is>
          <t>来源/文件</t>
        </is>
      </c>
      <c r="D4" s="4" t="inlineStr">
        <is>
          <t>条款/页/条件</t>
        </is>
      </c>
      <c r="E4" s="4" t="inlineStr">
        <is>
          <t>查询时间</t>
        </is>
      </c>
      <c r="F4" s="4" t="inlineStr">
        <is>
          <t>金额/口径</t>
        </is>
      </c>
      <c r="G4" s="4" t="inlineStr">
        <is>
          <t>适用方案</t>
        </is>
      </c>
      <c r="H4" s="4" t="inlineStr">
        <is>
          <t>状态</t>
        </is>
      </c>
    </row>
    <row r="5" ht="48" customHeight="1">
      <c r="A5" s="5" t="inlineStr">
        <is>
          <t>FL-ORD</t>
        </is>
      </c>
      <c r="B5" s="5" t="inlineStr">
        <is>
          <t>机票</t>
        </is>
      </c>
      <c r="C5" s="5" t="inlineStr">
        <is>
          <t>https://www.google.com/travel/flights?hl=en&amp;curr=USD</t>
        </is>
      </c>
      <c r="D5" s="18" t="inlineStr">
        <is>
          <t>DCA–ORD; 2026-11-28/12-02; 1 adult economy; American 6:00–7:32, nonstop; American 15:00–18:04, nonstop. Google称必需税费已含，行李等可另收。</t>
        </is>
      </c>
      <c r="E5" s="5" t="inlineStr">
        <is>
          <t>2026-10-23 14:00 UTC</t>
        </is>
      </c>
      <c r="F5" s="18" t="inlineStr">
        <is>
          <t>USD 271.00/人往返</t>
        </is>
      </c>
      <c r="G5" s="5" t="inlineStr">
        <is>
          <t>Chicago</t>
        </is>
      </c>
      <c r="H5" s="5" t="inlineStr">
        <is>
          <t>动态估算；未预订</t>
        </is>
      </c>
    </row>
    <row r="6" ht="48" customHeight="1">
      <c r="A6" s="5" t="inlineStr">
        <is>
          <t>HT-ORD</t>
        </is>
      </c>
      <c r="B6" s="5" t="inlineStr">
        <is>
          <t>住宿</t>
        </is>
      </c>
      <c r="C6" s="5" t="inlineStr">
        <is>
          <t>https://www.google.com/travel/search?hl=en&amp;gl=us&amp;curr=USD</t>
        </is>
      </c>
      <c r="D6" s="18" t="inlineStr">
        <is>
          <t>Embassy Suites by Hilton Chicago O'Hare Rosemont; 2026-11-28至12-02；页面默认2旅客/1房（作为每房起价代理，非单人已确认报价）；页面卡片标Free breakfast。税费、房型、单人入住价格、团体房量待酒店书面确认。</t>
        </is>
      </c>
      <c r="E6" s="5" t="inlineStr">
        <is>
          <t>2026-10-23 14:00 UTC</t>
        </is>
      </c>
      <c r="F6" s="18" t="inlineStr">
        <is>
          <t>USD 126.00/房夜起</t>
        </is>
      </c>
      <c r="G6" s="5" t="inlineStr">
        <is>
          <t>Chicago</t>
        </is>
      </c>
      <c r="H6" s="5" t="inlineStr">
        <is>
          <t>动态估算；未预订</t>
        </is>
      </c>
    </row>
    <row r="7" ht="48" customHeight="1">
      <c r="A7" s="5" t="inlineStr">
        <is>
          <t>FL-DEN</t>
        </is>
      </c>
      <c r="B7" s="5" t="inlineStr">
        <is>
          <t>机票</t>
        </is>
      </c>
      <c r="C7" s="5" t="inlineStr">
        <is>
          <t>https://www.google.com/travel/flights?hl=en&amp;curr=USD</t>
        </is>
      </c>
      <c r="D7" s="18" t="inlineStr">
        <is>
          <t>DCA–DEN; 2026-11-28/12-02; 1 adult economy; Frontier 7:00–9:16, nonstop; Frontier 7:30–12:48, nonstop. Google称必需税费已含，行李等可另收。</t>
        </is>
      </c>
      <c r="E7" s="5" t="inlineStr">
        <is>
          <t>2026-10-23 14:00 UTC</t>
        </is>
      </c>
      <c r="F7" s="18" t="inlineStr">
        <is>
          <t>USD 466.00/人往返</t>
        </is>
      </c>
      <c r="G7" s="5" t="inlineStr">
        <is>
          <t>Denver</t>
        </is>
      </c>
      <c r="H7" s="5" t="inlineStr">
        <is>
          <t>动态估算；未预订</t>
        </is>
      </c>
    </row>
    <row r="8" ht="48" customHeight="1">
      <c r="A8" s="5" t="inlineStr">
        <is>
          <t>HT-DEN</t>
        </is>
      </c>
      <c r="B8" s="5" t="inlineStr">
        <is>
          <t>住宿</t>
        </is>
      </c>
      <c r="C8" s="5" t="inlineStr">
        <is>
          <t>https://www.google.com/travel/search?hl=en&amp;gl=us&amp;curr=USD</t>
        </is>
      </c>
      <c r="D8" s="18" t="inlineStr">
        <is>
          <t>Holiday Inn Express Denver Downtown by IHG; 2026-11-28至12-02；页面默认2旅客/1房（作为每房起价代理，非单人已确认报价）；页面卡片标Free breakfast。税费、房型、单人入住价格、团体房量待酒店书面确认。</t>
        </is>
      </c>
      <c r="E8" s="5" t="inlineStr">
        <is>
          <t>2026-10-23 14:00 UTC</t>
        </is>
      </c>
      <c r="F8" s="18" t="inlineStr">
        <is>
          <t>USD 75.00/房夜起</t>
        </is>
      </c>
      <c r="G8" s="5" t="inlineStr">
        <is>
          <t>Denver</t>
        </is>
      </c>
      <c r="H8" s="5" t="inlineStr">
        <is>
          <t>动态估算；未预订</t>
        </is>
      </c>
    </row>
    <row r="9" ht="48" customHeight="1">
      <c r="A9" s="5" t="inlineStr">
        <is>
          <t>FL-PHX</t>
        </is>
      </c>
      <c r="B9" s="5" t="inlineStr">
        <is>
          <t>机票</t>
        </is>
      </c>
      <c r="C9" s="5" t="inlineStr">
        <is>
          <t>https://www.google.com/travel/flights?hl=en&amp;curr=USD</t>
        </is>
      </c>
      <c r="D9" s="18" t="inlineStr">
        <is>
          <t>DCA–PHX; 2026-11-28/12-02; 1 adult economy; American 10:32–13:51, nonstop; American 12:49–19:00, nonstop. Google称必需税费已含，行李等可另收。</t>
        </is>
      </c>
      <c r="E9" s="5" t="inlineStr">
        <is>
          <t>2026-10-23 14:00 UTC</t>
        </is>
      </c>
      <c r="F9" s="18" t="inlineStr">
        <is>
          <t>USD 581.00/人往返</t>
        </is>
      </c>
      <c r="G9" s="5" t="inlineStr">
        <is>
          <t>Phoenix</t>
        </is>
      </c>
      <c r="H9" s="5" t="inlineStr">
        <is>
          <t>动态估算；未预订</t>
        </is>
      </c>
    </row>
    <row r="10" ht="48" customHeight="1">
      <c r="A10" s="5" t="inlineStr">
        <is>
          <t>HT-PHX</t>
        </is>
      </c>
      <c r="B10" s="5" t="inlineStr">
        <is>
          <t>住宿</t>
        </is>
      </c>
      <c r="C10" s="5" t="inlineStr">
        <is>
          <t>https://www.google.com/travel/search?hl=en&amp;gl=us&amp;curr=USD</t>
        </is>
      </c>
      <c r="D10" s="18" t="inlineStr">
        <is>
          <t>SureStay InnSuites Phoenix Hotel &amp; Suites by Best Western; 2026-11-28至12-02；页面默认2旅客/1房（作为每房起价代理，非单人已确认报价）；页面卡片标Free breakfast。税费、房型、单人入住价格、团体房量待酒店书面确认。</t>
        </is>
      </c>
      <c r="E10" s="5" t="inlineStr">
        <is>
          <t>2026-10-23 14:00 UTC</t>
        </is>
      </c>
      <c r="F10" s="18" t="inlineStr">
        <is>
          <t>USD 93.00/房夜起</t>
        </is>
      </c>
      <c r="G10" s="5" t="inlineStr">
        <is>
          <t>Phoenix</t>
        </is>
      </c>
      <c r="H10" s="5" t="inlineStr">
        <is>
          <t>动态估算；未预订</t>
        </is>
      </c>
    </row>
    <row r="11" ht="48" customHeight="1">
      <c r="A11" s="5" t="inlineStr">
        <is>
          <t>FL-BOS</t>
        </is>
      </c>
      <c r="B11" s="5" t="inlineStr">
        <is>
          <t>机票</t>
        </is>
      </c>
      <c r="C11" s="5" t="inlineStr">
        <is>
          <t>https://www.google.com/travel/flights?hl=en&amp;curr=USD</t>
        </is>
      </c>
      <c r="D11" s="18" t="inlineStr">
        <is>
          <t>DCA–BOS; 2026-11-28/12-02; 1 adult economy; Delta 6:00–7:38, nonstop; Delta 16:00–17:59, nonstop. Google称必需税费已含，行李等可另收。</t>
        </is>
      </c>
      <c r="E11" s="5" t="inlineStr">
        <is>
          <t>2026-10-23 14:00 UTC</t>
        </is>
      </c>
      <c r="F11" s="18" t="inlineStr">
        <is>
          <t>USD 330.00/人往返</t>
        </is>
      </c>
      <c r="G11" s="5" t="inlineStr">
        <is>
          <t>Boston</t>
        </is>
      </c>
      <c r="H11" s="5" t="inlineStr">
        <is>
          <t>动态估算；未预订</t>
        </is>
      </c>
    </row>
    <row r="12" ht="48" customHeight="1">
      <c r="A12" s="5" t="inlineStr">
        <is>
          <t>HT-BOS</t>
        </is>
      </c>
      <c r="B12" s="5" t="inlineStr">
        <is>
          <t>住宿</t>
        </is>
      </c>
      <c r="C12" s="5" t="inlineStr">
        <is>
          <t>https://www.google.com/travel/search?hl=en&amp;gl=us&amp;curr=USD</t>
        </is>
      </c>
      <c r="D12" s="18" t="inlineStr">
        <is>
          <t>Hyatt Place Boston / Seaport District; 2026-11-28至12-02；页面默认2旅客/1房（作为每房起价代理，非单人已确认报价）；页面卡片标Free breakfast。税费、房型、单人入住价格、团体房量待酒店书面确认。</t>
        </is>
      </c>
      <c r="E12" s="5" t="inlineStr">
        <is>
          <t>2026-10-23 14:00 UTC</t>
        </is>
      </c>
      <c r="F12" s="18" t="inlineStr">
        <is>
          <t>USD 202.00/房夜起</t>
        </is>
      </c>
      <c r="G12" s="5" t="inlineStr">
        <is>
          <t>Boston</t>
        </is>
      </c>
      <c r="H12" s="5" t="inlineStr">
        <is>
          <t>动态估算；未预订</t>
        </is>
      </c>
    </row>
    <row r="13" ht="48" customHeight="1">
      <c r="A13" s="5" t="inlineStr">
        <is>
          <t>FL-SEA</t>
        </is>
      </c>
      <c r="B13" s="5" t="inlineStr">
        <is>
          <t>机票</t>
        </is>
      </c>
      <c r="C13" s="5" t="inlineStr">
        <is>
          <t>https://www.google.com/travel/flights?hl=en&amp;curr=USD</t>
        </is>
      </c>
      <c r="D13" s="18" t="inlineStr">
        <is>
          <t>DCA–SEA; 2026-11-28/12-02; 1 adult economy; Alaska 8:00–11:06, nonstop; Alaska 14:02–21:59, nonstop. Google称必需税费已含，行李等可另收。</t>
        </is>
      </c>
      <c r="E13" s="5" t="inlineStr">
        <is>
          <t>2026-10-23 14:00 UTC</t>
        </is>
      </c>
      <c r="F13" s="18" t="inlineStr">
        <is>
          <t>USD 977.00/人往返</t>
        </is>
      </c>
      <c r="G13" s="5" t="inlineStr">
        <is>
          <t>Seattle</t>
        </is>
      </c>
      <c r="H13" s="5" t="inlineStr">
        <is>
          <t>动态估算；未预订</t>
        </is>
      </c>
    </row>
    <row r="14" ht="48" customHeight="1">
      <c r="A14" s="5" t="inlineStr">
        <is>
          <t>HT-SEA</t>
        </is>
      </c>
      <c r="B14" s="5" t="inlineStr">
        <is>
          <t>住宿</t>
        </is>
      </c>
      <c r="C14" s="5" t="inlineStr">
        <is>
          <t>https://www.google.com/travel/search?hl=en&amp;gl=us&amp;curr=USD</t>
        </is>
      </c>
      <c r="D14" s="18" t="inlineStr">
        <is>
          <t>Hyatt House Seattle/Downtown; 2026-11-28至12-02；页面默认2旅客/1房（作为每房起价代理，非单人已确认报价）；页面卡片标Free breakfast。税费、房型、单人入住价格、团体房量待酒店书面确认。</t>
        </is>
      </c>
      <c r="E14" s="5" t="inlineStr">
        <is>
          <t>2026-10-23 14:00 UTC</t>
        </is>
      </c>
      <c r="F14" s="18" t="inlineStr">
        <is>
          <t>USD 170.00/房夜起</t>
        </is>
      </c>
      <c r="G14" s="5" t="inlineStr">
        <is>
          <t>Seattle</t>
        </is>
      </c>
      <c r="H14" s="5" t="inlineStr">
        <is>
          <t>动态估算；未预订</t>
        </is>
      </c>
    </row>
    <row r="15" ht="48" customHeight="1">
      <c r="A15" s="5" t="inlineStr">
        <is>
          <t>GSA27</t>
        </is>
      </c>
      <c r="B15" s="5" t="inlineStr">
        <is>
          <t>住宿/M&amp;IE</t>
        </is>
      </c>
      <c r="C15" s="5" t="inlineStr">
        <is>
          <t>FY2027_PerDiemRates_Validated090126.xlsx</t>
        </is>
      </c>
      <c r="D15" s="18" t="inlineStr">
        <is>
          <t>FY2027，生效2026-10-01；按县和季节。Chicago 11/28-30 $232、12/1 $148；Denver $170；Phoenix $165；Boston $213；Seattle $188。M&amp;IE：Phoenix $86，其余$92。</t>
        </is>
      </c>
      <c r="E15" s="5" t="inlineStr">
        <is>
          <t>附件版本</t>
        </is>
      </c>
      <c r="F15" s="18" t="inlineStr">
        <is>
          <t>住宿上限/房夜；M&amp;IE/日</t>
        </is>
      </c>
      <c r="G15" s="5" t="inlineStr">
        <is>
          <t>全部</t>
        </is>
      </c>
      <c r="H15" s="5" t="inlineStr">
        <is>
          <t>适用</t>
        </is>
      </c>
    </row>
    <row r="16" ht="48" customHeight="1">
      <c r="A16" s="5" t="inlineStr">
        <is>
          <t>MIE25</t>
        </is>
      </c>
      <c r="B16" s="5" t="inlineStr">
        <is>
          <t>餐费分项</t>
        </is>
      </c>
      <c r="C16" s="5" t="inlineStr">
        <is>
          <t>GSA_FY2025_MIE_Breakdown.docx</t>
        </is>
      </c>
      <c r="D16" s="18" t="inlineStr">
        <is>
          <t>FY2025分项；仅因FY2027所用$86/$92档位与表中同档，预算映射：$86=22/23/36/5；$92=23/26/38/5。执行前向GSA核对FY2027分项。</t>
        </is>
      </c>
      <c r="E16" s="5" t="inlineStr">
        <is>
          <t>附件版本</t>
        </is>
      </c>
      <c r="F16" s="18" t="inlineStr">
        <is>
          <t>早餐/午餐/晚餐/杂费</t>
        </is>
      </c>
      <c r="G16" s="5" t="inlineStr">
        <is>
          <t>全部</t>
        </is>
      </c>
      <c r="H16" s="5" t="inlineStr">
        <is>
          <t>需复核版本关系</t>
        </is>
      </c>
    </row>
    <row r="17" ht="48" customHeight="1">
      <c r="A17" s="5" t="inlineStr">
        <is>
          <t>FTR11.17</t>
        </is>
      </c>
      <c r="B17" s="5" t="inlineStr">
        <is>
          <t>酒店早餐</t>
        </is>
      </c>
      <c r="C17" s="5" t="inlineStr">
        <is>
          <t>eCFR_41_CFR_301-11.xml</t>
        </is>
      </c>
      <c r="D17" s="18" t="inlineStr">
        <is>
          <t>§301-11.17：酒店免费餐不影响per diem。</t>
        </is>
      </c>
      <c r="E17" s="5" t="inlineStr">
        <is>
          <t>冻结于2025-01-01</t>
        </is>
      </c>
      <c r="F17" s="18" t="inlineStr">
        <is>
          <t>不扣免费酒店早餐</t>
        </is>
      </c>
      <c r="G17" s="5" t="inlineStr">
        <is>
          <t>全部</t>
        </is>
      </c>
      <c r="H17" s="5" t="inlineStr">
        <is>
          <t>适用</t>
        </is>
      </c>
    </row>
    <row r="18" ht="48" customHeight="1">
      <c r="A18" s="5" t="inlineStr">
        <is>
          <t>FTR11.18</t>
        </is>
      </c>
      <c r="B18" s="5" t="inlineStr">
        <is>
          <t>政府/注册餐</t>
        </is>
      </c>
      <c r="C18" s="5" t="inlineStr">
        <is>
          <t>eCFR_41_CFR_301-11.xml</t>
        </is>
      </c>
      <c r="D18" s="18" t="inlineStr">
        <is>
          <t>§301-11.18：政府提供或注册费包含餐食须按GSA分项扣减。</t>
        </is>
      </c>
      <c r="E18" s="5" t="inlineStr">
        <is>
          <t>冻结于2025-01-01</t>
        </is>
      </c>
      <c r="F18" s="18" t="inlineStr">
        <is>
          <t>扣3午餐、2晚餐、返程午餐；早餐参数控制</t>
        </is>
      </c>
      <c r="G18" s="5" t="inlineStr">
        <is>
          <t>全部</t>
        </is>
      </c>
      <c r="H18" s="5" t="inlineStr">
        <is>
          <t>适用</t>
        </is>
      </c>
    </row>
    <row r="19" ht="48" customHeight="1">
      <c r="A19" s="5" t="inlineStr">
        <is>
          <t>FTR11.101</t>
        </is>
      </c>
      <c r="B19" s="5" t="inlineStr">
        <is>
          <t>首末日</t>
        </is>
      </c>
      <c r="C19" s="5" t="inlineStr">
        <is>
          <t>eCFR_41_CFR_301-11.xml</t>
        </is>
      </c>
      <c r="D19" s="18" t="inlineStr">
        <is>
          <t>§301-11.101：首末日为适用M&amp;IE的75%。</t>
        </is>
      </c>
      <c r="E19" s="5" t="inlineStr">
        <is>
          <t>冻结于2025-01-01</t>
        </is>
      </c>
      <c r="F19" s="18" t="inlineStr">
        <is>
          <t>75%</t>
        </is>
      </c>
      <c r="G19" s="5" t="inlineStr">
        <is>
          <t>全部</t>
        </is>
      </c>
      <c r="H19" s="5" t="inlineStr">
        <is>
          <t>适用</t>
        </is>
      </c>
    </row>
    <row r="20" ht="48" customHeight="1">
      <c r="A20" s="5" t="inlineStr">
        <is>
          <t>FTR11.27</t>
        </is>
      </c>
      <c r="B20" s="5" t="inlineStr">
        <is>
          <t>住宿税</t>
        </is>
      </c>
      <c r="C20" s="5" t="inlineStr">
        <is>
          <t>eCFR_41_CFR_301-11.xml</t>
        </is>
      </c>
      <c r="D20" s="18" t="inlineStr">
        <is>
          <t>§301-11.27：CONUS住宿税为杂项，限可报销住宿金额对应税。本题内部估算12%，非当地实际税率。</t>
        </is>
      </c>
      <c r="E20" s="5" t="inlineStr">
        <is>
          <t>冻结于2025-01-01</t>
        </is>
      </c>
      <c r="F20" s="18" t="inlineStr">
        <is>
          <t>12%内部预算</t>
        </is>
      </c>
      <c r="G20" s="5" t="inlineStr">
        <is>
          <t>全部</t>
        </is>
      </c>
      <c r="H20" s="5" t="inlineStr">
        <is>
          <t>适用</t>
        </is>
      </c>
    </row>
    <row r="21" ht="48" customHeight="1">
      <c r="A21" s="5" t="inlineStr">
        <is>
          <t>FTR74</t>
        </is>
      </c>
      <c r="B21" s="5" t="inlineStr">
        <is>
          <t>会议规划</t>
        </is>
      </c>
      <c r="C21" s="5" t="inlineStr">
        <is>
          <t>eCFR_41_CFR_301-74.xml</t>
        </is>
      </c>
      <c r="D21" s="18" t="inlineStr">
        <is>
          <t>§301-74.1/.3/.4/.5：降本、政府设施、地点/规模比较、书面理由；§301-74.7茶歇可提供；§301-74.21茶歇不扣M&amp;IE。</t>
        </is>
      </c>
      <c r="E21" s="5" t="inlineStr">
        <is>
          <t>冻结于2025-01-01</t>
        </is>
      </c>
      <c r="F21" s="18" t="inlineStr">
        <is>
          <t>合规判断</t>
        </is>
      </c>
      <c r="G21" s="5" t="inlineStr">
        <is>
          <t>全部</t>
        </is>
      </c>
      <c r="H21" s="5" t="inlineStr">
        <is>
          <t>适用</t>
        </is>
      </c>
    </row>
    <row r="22" ht="48" customHeight="1">
      <c r="A22" s="5" t="inlineStr">
        <is>
          <t>RD2036</t>
        </is>
      </c>
      <c r="B22" s="5" t="inlineStr">
        <is>
          <t>RD内部规则</t>
        </is>
      </c>
      <c r="C22" s="5" t="inlineStr">
        <is>
          <t>https://www.rd.usda.gov/resources/directives/instructions</t>
        </is>
      </c>
      <c r="D22" s="18" t="inlineStr">
        <is>
          <t>RD Instruction 2036-A (2024-07-19)官网本环境返回Access Denied；未能核对具体条款，不编造。须由RD Travel/Policy取得正式副本并完成逐条审查。</t>
        </is>
      </c>
      <c r="E22" s="5" t="inlineStr">
        <is>
          <t>2026-10-23 14:00 UTC</t>
        </is>
      </c>
      <c r="F22" s="18" t="inlineStr">
        <is>
          <t>无金额</t>
        </is>
      </c>
      <c r="G22" s="5" t="inlineStr">
        <is>
          <t>全部</t>
        </is>
      </c>
      <c r="H22" s="5" t="inlineStr">
        <is>
          <t>阻断批准</t>
        </is>
      </c>
    </row>
    <row r="23" ht="48" customHeight="1">
      <c r="A23" s="5" t="inlineStr">
        <is>
          <t>APT-DCA</t>
        </is>
      </c>
      <c r="B23" s="5" t="inlineStr">
        <is>
          <t>出发机场比较</t>
        </is>
      </c>
      <c r="C23" s="5" t="inlineStr">
        <is>
          <t>WMATA/机场公开交通页面；内部时间估计</t>
        </is>
      </c>
      <c r="D23" s="18" t="inlineStr">
        <is>
          <t>总部至DCA约20–30分钟，预算Metro/接驳$12/人往返；IAD约55–75分钟、约$24；BWI约60–90分钟、约$40。时间受交通影响；执行前重查。DCA有本方案所列直飞。</t>
        </is>
      </c>
      <c r="E23" s="5" t="inlineStr">
        <is>
          <t>2026-10-23 14:00 UTC</t>
        </is>
      </c>
      <c r="F23" s="18" t="inlineStr">
        <is>
          <t>DCA $12/人RT</t>
        </is>
      </c>
      <c r="G23" s="5" t="inlineStr">
        <is>
          <t>全部</t>
        </is>
      </c>
      <c r="H23" s="5" t="inlineStr">
        <is>
          <t>内部估算</t>
        </is>
      </c>
    </row>
    <row r="24" ht="48" customHeight="1">
      <c r="A24" s="5" t="inlineStr">
        <is>
          <t>LOCAL</t>
        </is>
      </c>
      <c r="B24" s="5" t="inlineStr">
        <is>
          <t>当地交通</t>
        </is>
      </c>
      <c r="C24" s="5" t="inlineStr">
        <is>
          <t>机场公共交通公开页面/内部估算</t>
        </is>
      </c>
      <c r="D24" s="18" t="inlineStr">
        <is>
          <t>往返/人：ORD $10、DEN $20、PHX $4、BOS $5、SEA $6；仅机场—酒店公共交通占位，集体接驳/无障碍需求待询价。</t>
        </is>
      </c>
      <c r="E24" s="5" t="inlineStr">
        <is>
          <t>2026-10-23 14:00 UTC</t>
        </is>
      </c>
      <c r="F24" s="18" t="inlineStr">
        <is>
          <t>按人往返</t>
        </is>
      </c>
      <c r="G24" s="5" t="inlineStr">
        <is>
          <t>全部</t>
        </is>
      </c>
      <c r="H24" s="5" t="inlineStr">
        <is>
          <t>需补证</t>
        </is>
      </c>
    </row>
    <row r="25" ht="48" customHeight="1">
      <c r="A25" s="5" t="inlineStr">
        <is>
          <t>TBD</t>
        </is>
      </c>
      <c r="B25" s="5" t="inlineStr">
        <is>
          <t>未报价项目</t>
        </is>
      </c>
      <c r="C25" s="5" t="inlineStr">
        <is>
          <t>待供应商询价</t>
        </is>
      </c>
      <c r="D25" s="18" t="inlineStr">
        <is>
          <t>场地、AV、茶歇、机构餐正式报价、服务费/实际税、团体房量与房型/早餐、取消条款均未取得；Options中$0仅为明确占位，不代表免费。</t>
        </is>
      </c>
      <c r="E25" s="5" t="inlineStr">
        <is>
          <t>2026-10-23</t>
        </is>
      </c>
      <c r="F25" s="18" t="inlineStr">
        <is>
          <t>$0未计入</t>
        </is>
      </c>
      <c r="G25" s="5" t="inlineStr">
        <is>
          <t>全部</t>
        </is>
      </c>
      <c r="H25" s="5" t="inlineStr">
        <is>
          <t>阻断批准</t>
        </is>
      </c>
    </row>
    <row r="26" ht="48" customHeight="1">
      <c r="A26" s="5" t="inlineStr">
        <is>
          <t>REG</t>
        </is>
      </c>
      <c r="B26" s="5" t="inlineStr">
        <is>
          <t>注册费</t>
        </is>
      </c>
      <c r="C26" s="5" t="inlineStr">
        <is>
          <t>题面</t>
        </is>
      </c>
      <c r="D26" s="18" t="inlineStr">
        <is>
          <t>每人$180，含11/29、11/30、12/1午餐。</t>
        </is>
      </c>
      <c r="E26" s="5" t="inlineStr">
        <is>
          <t>题面</t>
        </is>
      </c>
      <c r="F26" s="18" t="inlineStr">
        <is>
          <t>$180/人</t>
        </is>
      </c>
      <c r="G26" s="5" t="inlineStr">
        <is>
          <t>全部</t>
        </is>
      </c>
      <c r="H26" s="5" t="inlineStr">
        <is>
          <t>给定</t>
        </is>
      </c>
    </row>
    <row r="27" ht="48" customHeight="1">
      <c r="A27" s="5" t="inlineStr">
        <is>
          <t>APP</t>
        </is>
      </c>
      <c r="B27" s="5" t="inlineStr">
        <is>
          <t>审批字段</t>
        </is>
      </c>
      <c r="C27" s="5" t="inlineStr">
        <is>
          <t>Conference-Attendance-fillable-Approval-Template.pdf</t>
        </is>
      </c>
      <c r="D27" s="18" t="inlineStr">
        <is>
          <t>需事件目的、任务关联、人数理由、替代方式、议程、地点成本估算、参会者明细、财务/POC等；模板不替代批准。</t>
        </is>
      </c>
      <c r="E27" s="5" t="inlineStr">
        <is>
          <t>附件版本</t>
        </is>
      </c>
      <c r="F27" s="18" t="inlineStr">
        <is>
          <t>无金额</t>
        </is>
      </c>
      <c r="G27" s="5" t="inlineStr">
        <is>
          <t>全部</t>
        </is>
      </c>
      <c r="H27" s="5" t="inlineStr">
        <is>
          <t>需补证</t>
        </is>
      </c>
    </row>
  </sheetData>
  <autoFilter ref="A4:H27"/>
  <mergeCells count="1"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2026-10-23T14:44:31Z</dcterms:created>
  <dcterms:modified xmlns:dcterms="http://purl.org/dc/terms/" xmlns:xsi="http://www.w3.org/2001/XMLSchema-instance" xsi:type="dcterms:W3CDTF">2026-10-23T14:44:35Z</dcterms:modified>
</cp:coreProperties>
</file>