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ers" sheetId="1" state="visible" r:id="rId3"/>
    <sheet name="Daily" sheetId="2" state="visible" r:id="rId4"/>
    <sheet name="Options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<sst xmlns="http://schemas.openxmlformats.org/spreadsheetml/2006/main" count="268" uniqueCount="184">
  <si>
    <r>
      <rPr>
        <b val="true"/>
        <sz val="14"/>
        <rFont val="Noto Sans CJK SC"/>
        <family val="2"/>
      </rPr>
      <t xml:space="preserve">可调整预算参数 </t>
    </r>
    <r>
      <rPr>
        <b val="true"/>
        <sz val="14"/>
        <rFont val="Cambria"/>
        <family val="0"/>
        <charset val="1"/>
      </rPr>
      <t xml:space="preserve">/ Adjustable Budget Parameters</t>
    </r>
  </si>
  <si>
    <r>
      <rPr>
        <b val="true"/>
        <sz val="11"/>
        <color rgb="FFFFFFFF"/>
        <rFont val="Noto Sans CJK SC"/>
        <family val="2"/>
      </rPr>
      <t xml:space="preserve">参数 </t>
    </r>
    <r>
      <rPr>
        <b val="true"/>
        <sz val="11"/>
        <color rgb="FFFFFFFF"/>
        <rFont val="Cambria"/>
        <family val="0"/>
        <charset val="1"/>
      </rPr>
      <t xml:space="preserve">/ Parameter</t>
    </r>
  </si>
  <si>
    <r>
      <rPr>
        <b val="true"/>
        <sz val="11"/>
        <color rgb="FFFFFFFF"/>
        <rFont val="Noto Sans CJK SC"/>
        <family val="2"/>
      </rPr>
      <t xml:space="preserve">值 </t>
    </r>
    <r>
      <rPr>
        <b val="true"/>
        <sz val="11"/>
        <color rgb="FFFFFFFF"/>
        <rFont val="Cambria"/>
        <family val="0"/>
        <charset val="1"/>
      </rPr>
      <t xml:space="preserve">/ Value</t>
    </r>
  </si>
  <si>
    <t xml:space="preserve">单位</t>
  </si>
  <si>
    <r>
      <rPr>
        <b val="true"/>
        <sz val="11"/>
        <color rgb="FFFFFFFF"/>
        <rFont val="Noto Sans CJK SC"/>
        <family val="2"/>
      </rPr>
      <t xml:space="preserve">回算范围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说明</t>
    </r>
  </si>
  <si>
    <r>
      <rPr>
        <b val="true"/>
        <sz val="11"/>
        <rFont val="Noto Sans CJK SC"/>
        <family val="2"/>
      </rPr>
      <t xml:space="preserve">批准预算上限 </t>
    </r>
    <r>
      <rPr>
        <b val="true"/>
        <sz val="11"/>
        <rFont val="Cambria"/>
        <family val="0"/>
        <charset val="1"/>
      </rPr>
      <t xml:space="preserve">Budget cap (incl. reserve)</t>
    </r>
  </si>
  <si>
    <t xml:space="preserve">USD</t>
  </si>
  <si>
    <t xml:space="preserve">0 – 100,000</t>
  </si>
  <si>
    <r>
      <rPr>
        <b val="true"/>
        <sz val="11"/>
        <rFont val="Noto Sans CJK SC"/>
        <family val="2"/>
      </rPr>
      <t xml:space="preserve">票价调整系数 </t>
    </r>
    <r>
      <rPr>
        <b val="true"/>
        <sz val="11"/>
        <rFont val="Cambria"/>
        <family val="0"/>
        <charset val="1"/>
      </rPr>
      <t xml:space="preserve">Fare adjustment factor</t>
    </r>
  </si>
  <si>
    <t xml:space="preserve">×</t>
  </si>
  <si>
    <t xml:space="preserve">0.5 – 2.0</t>
  </si>
  <si>
    <r>
      <rPr>
        <b val="true"/>
        <sz val="11"/>
        <rFont val="Noto Sans CJK SC"/>
        <family val="2"/>
      </rPr>
      <t xml:space="preserve">应急储备比例 </t>
    </r>
    <r>
      <rPr>
        <b val="true"/>
        <sz val="11"/>
        <rFont val="Cambria"/>
        <family val="0"/>
        <charset val="1"/>
      </rPr>
      <t xml:space="preserve">Reserve ratio</t>
    </r>
  </si>
  <si>
    <t xml:space="preserve">%</t>
  </si>
  <si>
    <t xml:space="preserve">0 – 20% of base subtotal</t>
  </si>
  <si>
    <r>
      <rPr>
        <b val="true"/>
        <sz val="11"/>
        <rFont val="Noto Sans CJK SC"/>
        <family val="2"/>
      </rPr>
      <t xml:space="preserve">机票压力倍数 </t>
    </r>
    <r>
      <rPr>
        <b val="true"/>
        <sz val="11"/>
        <rFont val="Cambria"/>
        <family val="0"/>
        <charset val="1"/>
      </rPr>
      <t xml:space="preserve">Airfare stress multiplier</t>
    </r>
  </si>
  <si>
    <r>
      <rPr>
        <sz val="11"/>
        <color theme="1"/>
        <rFont val="Noto Sans CJK SC"/>
        <family val="2"/>
      </rPr>
      <t xml:space="preserve">题面固定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调整后票价 </t>
    </r>
    <r>
      <rPr>
        <sz val="11"/>
        <color theme="1"/>
        <rFont val="Calibri"/>
        <family val="2"/>
        <charset val="1"/>
      </rPr>
      <t xml:space="preserve">×1.2</t>
    </r>
  </si>
  <si>
    <r>
      <rPr>
        <b val="true"/>
        <sz val="11"/>
        <rFont val="Noto Sans CJK SC"/>
        <family val="2"/>
      </rPr>
      <t xml:space="preserve">住宿税率 </t>
    </r>
    <r>
      <rPr>
        <b val="true"/>
        <sz val="11"/>
        <rFont val="Cambria"/>
        <family val="0"/>
        <charset val="1"/>
      </rPr>
      <t xml:space="preserve">Lodging tax rate (internal est.)</t>
    </r>
  </si>
  <si>
    <r>
      <rPr>
        <sz val="11"/>
        <color theme="1"/>
        <rFont val="Noto Sans CJK SC"/>
        <family val="2"/>
      </rPr>
      <t xml:space="preserve">题面内部估算口径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非当地实际税率</t>
    </r>
  </si>
  <si>
    <r>
      <rPr>
        <b val="true"/>
        <sz val="11"/>
        <rFont val="Cambria"/>
        <family val="0"/>
        <charset val="1"/>
      </rPr>
      <t xml:space="preserve">11/29 </t>
    </r>
    <r>
      <rPr>
        <b val="true"/>
        <sz val="11"/>
        <rFont val="Noto Sans CJK SC"/>
        <family val="2"/>
      </rPr>
      <t xml:space="preserve">政府提供早餐 </t>
    </r>
    <r>
      <rPr>
        <b val="true"/>
        <sz val="11"/>
        <rFont val="Cambria"/>
        <family val="0"/>
        <charset val="1"/>
      </rPr>
      <t xml:space="preserve">Nov-29 govt breakfast (1=</t>
    </r>
    <r>
      <rPr>
        <b val="true"/>
        <sz val="11"/>
        <rFont val="Noto Sans CJK SC"/>
        <family val="2"/>
      </rPr>
      <t xml:space="preserve">是</t>
    </r>
    <r>
      <rPr>
        <b val="true"/>
        <sz val="11"/>
        <rFont val="Cambria"/>
        <family val="0"/>
        <charset val="1"/>
      </rPr>
      <t xml:space="preserve">/0=</t>
    </r>
    <r>
      <rPr>
        <b val="true"/>
        <sz val="11"/>
        <rFont val="Noto Sans CJK SC"/>
        <family val="2"/>
      </rPr>
      <t xml:space="preserve">否</t>
    </r>
    <r>
      <rPr>
        <b val="true"/>
        <sz val="11"/>
        <rFont val="Cambria"/>
        <family val="0"/>
        <charset val="1"/>
      </rPr>
      <t xml:space="preserve">)</t>
    </r>
  </si>
  <si>
    <t xml:space="preserve">1/0</t>
  </si>
  <si>
    <r>
      <rPr>
        <sz val="11"/>
        <color theme="1"/>
        <rFont val="Noto Sans CJK SC"/>
        <family val="2"/>
      </rPr>
      <t xml:space="preserve">改为</t>
    </r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Noto Sans CJK SC"/>
        <family val="2"/>
      </rPr>
      <t xml:space="preserve">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不新增采购费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触发</t>
    </r>
    <r>
      <rPr>
        <sz val="11"/>
        <color theme="1"/>
        <rFont val="Calibri"/>
        <family val="2"/>
        <charset val="1"/>
      </rPr>
      <t xml:space="preserve">M&amp;IE</t>
    </r>
    <r>
      <rPr>
        <sz val="11"/>
        <color theme="1"/>
        <rFont val="Noto Sans CJK SC"/>
        <family val="2"/>
      </rPr>
      <t xml:space="preserve">早餐扣减</t>
    </r>
  </si>
  <si>
    <r>
      <rPr>
        <b val="true"/>
        <sz val="11"/>
        <rFont val="Noto Sans CJK SC"/>
        <family val="2"/>
      </rPr>
      <t xml:space="preserve">抵达日期 </t>
    </r>
    <r>
      <rPr>
        <b val="true"/>
        <sz val="11"/>
        <rFont val="Cambria"/>
        <family val="0"/>
        <charset val="1"/>
      </rPr>
      <t xml:space="preserve">Arrival date</t>
    </r>
  </si>
  <si>
    <t xml:space="preserve">date</t>
  </si>
  <si>
    <r>
      <rPr>
        <sz val="11"/>
        <color theme="1"/>
        <rFont val="Noto Sans CJK SC"/>
        <family val="2"/>
      </rPr>
      <t xml:space="preserve">可调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须完整参训</t>
    </r>
  </si>
  <si>
    <r>
      <rPr>
        <b val="true"/>
        <sz val="11"/>
        <rFont val="Noto Sans CJK SC"/>
        <family val="2"/>
      </rPr>
      <t xml:space="preserve">返程日期 </t>
    </r>
    <r>
      <rPr>
        <b val="true"/>
        <sz val="11"/>
        <rFont val="Cambria"/>
        <family val="0"/>
        <charset val="1"/>
      </rPr>
      <t xml:space="preserve">Return date</t>
    </r>
  </si>
  <si>
    <r>
      <rPr>
        <b val="true"/>
        <sz val="11"/>
        <rFont val="Noto Sans CJK SC"/>
        <family val="2"/>
      </rPr>
      <t xml:space="preserve">注册费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人 </t>
    </r>
    <r>
      <rPr>
        <b val="true"/>
        <sz val="11"/>
        <rFont val="Cambria"/>
        <family val="0"/>
        <charset val="1"/>
      </rPr>
      <t xml:space="preserve">Registration per person</t>
    </r>
  </si>
  <si>
    <r>
      <rPr>
        <sz val="11"/>
        <color theme="1"/>
        <rFont val="Noto Sans CJK SC"/>
        <family val="2"/>
      </rPr>
      <t xml:space="preserve">含</t>
    </r>
    <r>
      <rPr>
        <sz val="11"/>
        <color theme="1"/>
        <rFont val="Calibri"/>
        <family val="2"/>
        <charset val="1"/>
      </rPr>
      <t xml:space="preserve">11/29,11/30,12/1</t>
    </r>
    <r>
      <rPr>
        <sz val="11"/>
        <color theme="1"/>
        <rFont val="Noto Sans CJK SC"/>
        <family val="2"/>
      </rPr>
      <t xml:space="preserve">午餐</t>
    </r>
  </si>
  <si>
    <r>
      <rPr>
        <b val="true"/>
        <sz val="11"/>
        <rFont val="Noto Sans CJK SC"/>
        <family val="2"/>
      </rPr>
      <t xml:space="preserve">参训人数方案</t>
    </r>
    <r>
      <rPr>
        <b val="true"/>
        <sz val="11"/>
        <rFont val="Cambria"/>
        <family val="0"/>
        <charset val="1"/>
      </rPr>
      <t xml:space="preserve">A Headcount option A</t>
    </r>
  </si>
  <si>
    <t xml:space="preserve">人</t>
  </si>
  <si>
    <t xml:space="preserve">固定候选</t>
  </si>
  <si>
    <r>
      <rPr>
        <b val="true"/>
        <sz val="11"/>
        <rFont val="Noto Sans CJK SC"/>
        <family val="2"/>
      </rPr>
      <t xml:space="preserve">参训人数方案</t>
    </r>
    <r>
      <rPr>
        <b val="true"/>
        <sz val="11"/>
        <rFont val="Cambria"/>
        <family val="0"/>
        <charset val="1"/>
      </rPr>
      <t xml:space="preserve">B Headcount option B</t>
    </r>
  </si>
  <si>
    <r>
      <rPr>
        <b val="true"/>
        <sz val="11"/>
        <rFont val="Cambria"/>
        <family val="0"/>
        <charset val="1"/>
      </rPr>
      <t xml:space="preserve">M&amp;IE </t>
    </r>
    <r>
      <rPr>
        <b val="true"/>
        <sz val="11"/>
        <rFont val="Noto Sans CJK SC"/>
        <family val="2"/>
      </rPr>
      <t xml:space="preserve">分项 </t>
    </r>
    <r>
      <rPr>
        <b val="true"/>
        <sz val="11"/>
        <rFont val="Cambria"/>
        <family val="0"/>
        <charset val="1"/>
      </rPr>
      <t xml:space="preserve">(GSA FY2025 M&amp;IE Breakdown, </t>
    </r>
    <r>
      <rPr>
        <b val="true"/>
        <sz val="11"/>
        <rFont val="Noto Sans CJK SC"/>
        <family val="2"/>
      </rPr>
      <t xml:space="preserve">适用 </t>
    </r>
    <r>
      <rPr>
        <b val="true"/>
        <sz val="11"/>
        <rFont val="Cambria"/>
        <family val="0"/>
        <charset val="1"/>
      </rPr>
      <t xml:space="preserve">$92 </t>
    </r>
    <r>
      <rPr>
        <b val="true"/>
        <sz val="11"/>
        <rFont val="Noto Sans CJK SC"/>
        <family val="2"/>
      </rPr>
      <t xml:space="preserve">档</t>
    </r>
    <r>
      <rPr>
        <b val="true"/>
        <sz val="11"/>
        <rFont val="Cambria"/>
        <family val="0"/>
        <charset val="1"/>
      </rPr>
      <t xml:space="preserve">; FY2027</t>
    </r>
    <r>
      <rPr>
        <b val="true"/>
        <sz val="11"/>
        <rFont val="Noto Sans CJK SC"/>
        <family val="2"/>
      </rPr>
      <t xml:space="preserve">分项待核对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</si>
  <si>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M&amp;IE </t>
    </r>
    <r>
      <rPr>
        <b val="true"/>
        <sz val="11"/>
        <rFont val="Noto Sans CJK SC"/>
        <family val="2"/>
      </rPr>
      <t xml:space="preserve">全日档 </t>
    </r>
    <r>
      <rPr>
        <b val="true"/>
        <sz val="11"/>
        <rFont val="Cambria"/>
        <family val="0"/>
        <charset val="1"/>
      </rPr>
      <t xml:space="preserve">M&amp;IE full-day tier</t>
    </r>
  </si>
  <si>
    <r>
      <rPr>
        <b val="true"/>
        <sz val="11"/>
        <rFont val="Noto Sans CJK SC"/>
        <family val="2"/>
      </rPr>
      <t xml:space="preserve">早餐扣减 </t>
    </r>
    <r>
      <rPr>
        <b val="true"/>
        <sz val="11"/>
        <rFont val="Cambria"/>
        <family val="0"/>
        <charset val="1"/>
      </rPr>
      <t xml:space="preserve">Breakfast deduction</t>
    </r>
  </si>
  <si>
    <r>
      <rPr>
        <b val="true"/>
        <sz val="11"/>
        <rFont val="Noto Sans CJK SC"/>
        <family val="2"/>
      </rPr>
      <t xml:space="preserve">午餐扣减 </t>
    </r>
    <r>
      <rPr>
        <b val="true"/>
        <sz val="11"/>
        <rFont val="Cambria"/>
        <family val="0"/>
        <charset val="1"/>
      </rPr>
      <t xml:space="preserve">Lunch deduction</t>
    </r>
  </si>
  <si>
    <r>
      <rPr>
        <b val="true"/>
        <sz val="11"/>
        <rFont val="Noto Sans CJK SC"/>
        <family val="2"/>
      </rPr>
      <t xml:space="preserve">晚餐扣减 </t>
    </r>
    <r>
      <rPr>
        <b val="true"/>
        <sz val="11"/>
        <rFont val="Cambria"/>
        <family val="0"/>
        <charset val="1"/>
      </rPr>
      <t xml:space="preserve">Dinner deduction</t>
    </r>
  </si>
  <si>
    <r>
      <rPr>
        <b val="true"/>
        <sz val="11"/>
        <rFont val="Noto Sans CJK SC"/>
        <family val="2"/>
      </rPr>
      <t xml:space="preserve">杂费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下限</t>
    </r>
    <r>
      <rPr>
        <b val="true"/>
        <sz val="11"/>
        <rFont val="Cambria"/>
        <family val="0"/>
        <charset val="1"/>
      </rPr>
      <t xml:space="preserve">) Incidental floor</t>
    </r>
  </si>
  <si>
    <r>
      <rPr>
        <b val="true"/>
        <sz val="11"/>
        <rFont val="Noto Sans CJK SC"/>
        <family val="2"/>
      </rPr>
      <t xml:space="preserve">首末日比例 </t>
    </r>
    <r>
      <rPr>
        <b val="true"/>
        <sz val="11"/>
        <rFont val="Cambria"/>
        <family val="0"/>
        <charset val="1"/>
      </rPr>
      <t xml:space="preserve">First/last-day factor</t>
    </r>
  </si>
  <si>
    <r>
      <rPr>
        <i val="true"/>
        <sz val="11"/>
        <color rgb="FFC00000"/>
        <rFont val="Noto Sans CJK SC"/>
        <family val="2"/>
      </rPr>
      <t xml:space="preserve">提示 </t>
    </r>
    <r>
      <rPr>
        <i val="true"/>
        <sz val="11"/>
        <color rgb="FFC00000"/>
        <rFont val="Cambria"/>
        <family val="0"/>
        <charset val="1"/>
      </rPr>
      <t xml:space="preserve">/ Reminder: </t>
    </r>
    <r>
      <rPr>
        <i val="true"/>
        <sz val="11"/>
        <color rgb="FFC00000"/>
        <rFont val="Noto Sans CJK SC"/>
        <family val="2"/>
      </rPr>
      <t xml:space="preserve">修改上述参数后</t>
    </r>
    <r>
      <rPr>
        <i val="true"/>
        <sz val="11"/>
        <color rgb="FFC00000"/>
        <rFont val="Cambria"/>
        <family val="0"/>
        <charset val="1"/>
      </rPr>
      <t xml:space="preserve">, Daily </t>
    </r>
    <r>
      <rPr>
        <i val="true"/>
        <sz val="11"/>
        <color rgb="FFC00000"/>
        <rFont val="Noto Sans CJK SC"/>
        <family val="2"/>
      </rPr>
      <t xml:space="preserve">与 </t>
    </r>
    <r>
      <rPr>
        <i val="true"/>
        <sz val="11"/>
        <color rgb="FFC00000"/>
        <rFont val="Cambria"/>
        <family val="0"/>
        <charset val="1"/>
      </rPr>
      <t xml:space="preserve">Options </t>
    </r>
    <r>
      <rPr>
        <i val="true"/>
        <sz val="11"/>
        <color rgb="FFC00000"/>
        <rFont val="Noto Sans CJK SC"/>
        <family val="2"/>
      </rPr>
      <t xml:space="preserve">自动更新</t>
    </r>
    <r>
      <rPr>
        <i val="true"/>
        <sz val="11"/>
        <color rgb="FFC00000"/>
        <rFont val="Cambria"/>
        <family val="0"/>
        <charset val="1"/>
      </rPr>
      <t xml:space="preserve">; </t>
    </r>
    <r>
      <rPr>
        <i val="true"/>
        <sz val="11"/>
        <color rgb="FFC00000"/>
        <rFont val="Noto Sans CJK SC"/>
        <family val="2"/>
      </rPr>
      <t xml:space="preserve">交付的 </t>
    </r>
    <r>
      <rPr>
        <i val="true"/>
        <sz val="11"/>
        <color rgb="FFC00000"/>
        <rFont val="Cambria"/>
        <family val="0"/>
        <charset val="1"/>
      </rPr>
      <t xml:space="preserve">Word / CSV / PPT </t>
    </r>
    <r>
      <rPr>
        <i val="true"/>
        <sz val="11"/>
        <color rgb="FFC00000"/>
        <rFont val="Noto Sans CJK SC"/>
        <family val="2"/>
      </rPr>
      <t xml:space="preserve">为当前参数快照</t>
    </r>
    <r>
      <rPr>
        <i val="true"/>
        <sz val="11"/>
        <color rgb="FFC00000"/>
        <rFont val="Cambria"/>
        <family val="0"/>
        <charset val="1"/>
      </rPr>
      <t xml:space="preserve">, </t>
    </r>
    <r>
      <rPr>
        <i val="true"/>
        <sz val="11"/>
        <color rgb="FFC00000"/>
        <rFont val="Noto Sans CJK SC"/>
        <family val="2"/>
      </rPr>
      <t xml:space="preserve">参数变更后须重新核对并重新导出相应文件</t>
    </r>
    <r>
      <rPr>
        <i val="true"/>
        <sz val="11"/>
        <color rgb="FFC00000"/>
        <rFont val="Cambria"/>
        <family val="0"/>
        <charset val="1"/>
      </rPr>
      <t xml:space="preserve">, </t>
    </r>
    <r>
      <rPr>
        <i val="true"/>
        <sz val="11"/>
        <color rgb="FFC00000"/>
        <rFont val="Noto Sans CJK SC"/>
        <family val="2"/>
      </rPr>
      <t xml:space="preserve">避免误用旧结论。</t>
    </r>
  </si>
  <si>
    <r>
      <rPr>
        <b val="true"/>
        <sz val="11"/>
        <rFont val="Noto Sans CJK SC"/>
        <family val="2"/>
      </rPr>
      <t xml:space="preserve">各候选地逐日预算明细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每人 </t>
    </r>
    <r>
      <rPr>
        <b val="true"/>
        <sz val="11"/>
        <rFont val="Cambria"/>
        <family val="0"/>
        <charset val="1"/>
      </rPr>
      <t xml:space="preserve">/ per person) — </t>
    </r>
    <r>
      <rPr>
        <b val="true"/>
        <sz val="11"/>
        <rFont val="Noto Sans CJK SC"/>
        <family val="2"/>
      </rPr>
      <t xml:space="preserve">住宿</t>
    </r>
    <r>
      <rPr>
        <b val="true"/>
        <sz val="11"/>
        <rFont val="Cambria"/>
        <family val="0"/>
        <charset val="1"/>
      </rPr>
      <t xml:space="preserve">=GSA FY2027 per diem </t>
    </r>
    <r>
      <rPr>
        <b val="true"/>
        <sz val="11"/>
        <rFont val="Noto Sans CJK SC"/>
        <family val="2"/>
      </rPr>
      <t xml:space="preserve">上限</t>
    </r>
    <r>
      <rPr>
        <b val="true"/>
        <sz val="11"/>
        <rFont val="Cambria"/>
        <family val="0"/>
        <charset val="1"/>
      </rPr>
      <t xml:space="preserve">; M&amp;IE </t>
    </r>
    <r>
      <rPr>
        <b val="true"/>
        <sz val="11"/>
        <rFont val="Noto Sans CJK SC"/>
        <family val="2"/>
      </rPr>
      <t xml:space="preserve">按 </t>
    </r>
    <r>
      <rPr>
        <b val="true"/>
        <sz val="11"/>
        <rFont val="Cambria"/>
        <family val="0"/>
        <charset val="1"/>
      </rPr>
      <t xml:space="preserve">FTR 301-11.18 </t>
    </r>
    <r>
      <rPr>
        <b val="true"/>
        <sz val="11"/>
        <rFont val="Noto Sans CJK SC"/>
        <family val="2"/>
      </rPr>
      <t xml:space="preserve">扣减政府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注册供餐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酒店免费早餐不扣减</t>
    </r>
    <r>
      <rPr>
        <b val="true"/>
        <sz val="11"/>
        <rFont val="Cambria"/>
        <family val="0"/>
        <charset val="1"/>
      </rPr>
      <t xml:space="preserve">(301-11.17)</t>
    </r>
  </si>
  <si>
    <r>
      <rPr>
        <b val="true"/>
        <sz val="11"/>
        <color rgb="FFFFFFFF"/>
        <rFont val="Noto Sans CJK SC"/>
        <family val="2"/>
      </rPr>
      <t xml:space="preserve">城市 </t>
    </r>
    <r>
      <rPr>
        <b val="true"/>
        <sz val="11"/>
        <color rgb="FFFFFFFF"/>
        <rFont val="Cambria"/>
        <family val="0"/>
        <charset val="1"/>
      </rPr>
      <t xml:space="preserve">City</t>
    </r>
  </si>
  <si>
    <r>
      <rPr>
        <b val="true"/>
        <sz val="11"/>
        <color rgb="FFFFFFFF"/>
        <rFont val="Noto Sans CJK SC"/>
        <family val="2"/>
      </rPr>
      <t xml:space="preserve">日期 </t>
    </r>
    <r>
      <rPr>
        <b val="true"/>
        <sz val="11"/>
        <color rgb="FFFFFFFF"/>
        <rFont val="Cambria"/>
        <family val="0"/>
        <charset val="1"/>
      </rPr>
      <t xml:space="preserve">Date</t>
    </r>
  </si>
  <si>
    <r>
      <rPr>
        <b val="true"/>
        <sz val="11"/>
        <color rgb="FFFFFFFF"/>
        <rFont val="Noto Sans CJK SC"/>
        <family val="2"/>
      </rPr>
      <t xml:space="preserve">住宿上限 </t>
    </r>
    <r>
      <rPr>
        <b val="true"/>
        <sz val="11"/>
        <color rgb="FFFFFFFF"/>
        <rFont val="Cambria"/>
        <family val="0"/>
        <charset val="1"/>
      </rPr>
      <t xml:space="preserve">Lodging cap</t>
    </r>
  </si>
  <si>
    <r>
      <rPr>
        <b val="true"/>
        <sz val="11"/>
        <color rgb="FFFFFFFF"/>
        <rFont val="Noto Sans CJK SC"/>
        <family val="2"/>
      </rPr>
      <t xml:space="preserve">住宿夜</t>
    </r>
    <r>
      <rPr>
        <b val="true"/>
        <sz val="11"/>
        <color rgb="FFFFFFFF"/>
        <rFont val="Cambria"/>
        <family val="0"/>
        <charset val="1"/>
      </rPr>
      <t xml:space="preserve">? Night</t>
    </r>
  </si>
  <si>
    <r>
      <rPr>
        <b val="true"/>
        <sz val="11"/>
        <color rgb="FFFFFFFF"/>
        <rFont val="Noto Sans CJK SC"/>
        <family val="2"/>
      </rPr>
      <t xml:space="preserve">住宿费 </t>
    </r>
    <r>
      <rPr>
        <b val="true"/>
        <sz val="11"/>
        <color rgb="FFFFFFFF"/>
        <rFont val="Cambria"/>
        <family val="0"/>
        <charset val="1"/>
      </rPr>
      <t xml:space="preserve">Lodging</t>
    </r>
  </si>
  <si>
    <r>
      <rPr>
        <b val="true"/>
        <sz val="11"/>
        <color rgb="FFFFFFFF"/>
        <rFont val="Cambria"/>
        <family val="0"/>
        <charset val="1"/>
      </rPr>
      <t xml:space="preserve">M&amp;IE</t>
    </r>
    <r>
      <rPr>
        <b val="true"/>
        <sz val="11"/>
        <color rgb="FFFFFFFF"/>
        <rFont val="Noto Sans CJK SC"/>
        <family val="2"/>
      </rPr>
      <t xml:space="preserve">档 </t>
    </r>
    <r>
      <rPr>
        <b val="true"/>
        <sz val="11"/>
        <color rgb="FFFFFFFF"/>
        <rFont val="Cambria"/>
        <family val="0"/>
        <charset val="1"/>
      </rPr>
      <t xml:space="preserve">tier</t>
    </r>
  </si>
  <si>
    <r>
      <rPr>
        <b val="true"/>
        <sz val="11"/>
        <color rgb="FFFFFFFF"/>
        <rFont val="Noto Sans CJK SC"/>
        <family val="2"/>
      </rPr>
      <t xml:space="preserve">行程日</t>
    </r>
    <r>
      <rPr>
        <b val="true"/>
        <sz val="11"/>
        <color rgb="FFFFFFFF"/>
        <rFont val="Cambria"/>
        <family val="0"/>
        <charset val="1"/>
      </rPr>
      <t xml:space="preserve">? Travel day</t>
    </r>
  </si>
  <si>
    <r>
      <rPr>
        <b val="true"/>
        <sz val="11"/>
        <color rgb="FFFFFFFF"/>
        <rFont val="Noto Sans CJK SC"/>
        <family val="2"/>
      </rPr>
      <t xml:space="preserve">首末日</t>
    </r>
    <r>
      <rPr>
        <b val="true"/>
        <sz val="11"/>
        <color rgb="FFFFFFFF"/>
        <rFont val="Cambria"/>
        <family val="0"/>
        <charset val="1"/>
      </rPr>
      <t xml:space="preserve">? First/Last</t>
    </r>
  </si>
  <si>
    <r>
      <rPr>
        <b val="true"/>
        <sz val="11"/>
        <color rgb="FFFFFFFF"/>
        <rFont val="Cambria"/>
        <family val="0"/>
        <charset val="1"/>
      </rPr>
      <t xml:space="preserve">M&amp;IE</t>
    </r>
    <r>
      <rPr>
        <b val="true"/>
        <sz val="11"/>
        <color rgb="FFFFFFFF"/>
        <rFont val="Noto Sans CJK SC"/>
        <family val="2"/>
      </rPr>
      <t xml:space="preserve">毛额 </t>
    </r>
    <r>
      <rPr>
        <b val="true"/>
        <sz val="11"/>
        <color rgb="FFFFFFFF"/>
        <rFont val="Cambria"/>
        <family val="0"/>
        <charset val="1"/>
      </rPr>
      <t xml:space="preserve">Gross</t>
    </r>
  </si>
  <si>
    <r>
      <rPr>
        <b val="true"/>
        <sz val="11"/>
        <color rgb="FFFFFFFF"/>
        <rFont val="Noto Sans CJK SC"/>
        <family val="2"/>
      </rPr>
      <t xml:space="preserve">早餐供 </t>
    </r>
    <r>
      <rPr>
        <b val="true"/>
        <sz val="11"/>
        <color rgb="FFFFFFFF"/>
        <rFont val="Cambria"/>
        <family val="0"/>
        <charset val="1"/>
      </rPr>
      <t xml:space="preserve">Bk</t>
    </r>
  </si>
  <si>
    <r>
      <rPr>
        <b val="true"/>
        <sz val="11"/>
        <color rgb="FFFFFFFF"/>
        <rFont val="Noto Sans CJK SC"/>
        <family val="2"/>
      </rPr>
      <t xml:space="preserve">午餐供 </t>
    </r>
    <r>
      <rPr>
        <b val="true"/>
        <sz val="11"/>
        <color rgb="FFFFFFFF"/>
        <rFont val="Cambria"/>
        <family val="0"/>
        <charset val="1"/>
      </rPr>
      <t xml:space="preserve">Ln</t>
    </r>
  </si>
  <si>
    <r>
      <rPr>
        <b val="true"/>
        <sz val="11"/>
        <color rgb="FFFFFFFF"/>
        <rFont val="Noto Sans CJK SC"/>
        <family val="2"/>
      </rPr>
      <t xml:space="preserve">晚餐供 </t>
    </r>
    <r>
      <rPr>
        <b val="true"/>
        <sz val="11"/>
        <color rgb="FFFFFFFF"/>
        <rFont val="Cambria"/>
        <family val="0"/>
        <charset val="1"/>
      </rPr>
      <t xml:space="preserve">Dn</t>
    </r>
  </si>
  <si>
    <r>
      <rPr>
        <b val="true"/>
        <sz val="11"/>
        <color rgb="FFFFFFFF"/>
        <rFont val="Noto Sans CJK SC"/>
        <family val="2"/>
      </rPr>
      <t xml:space="preserve">扣减 </t>
    </r>
    <r>
      <rPr>
        <b val="true"/>
        <sz val="11"/>
        <color rgb="FFFFFFFF"/>
        <rFont val="Cambria"/>
        <family val="0"/>
        <charset val="1"/>
      </rPr>
      <t xml:space="preserve">Deduct</t>
    </r>
  </si>
  <si>
    <r>
      <rPr>
        <b val="true"/>
        <sz val="11"/>
        <color rgb="FFFFFFFF"/>
        <rFont val="Cambria"/>
        <family val="0"/>
        <charset val="1"/>
      </rPr>
      <t xml:space="preserve">M&amp;IE</t>
    </r>
    <r>
      <rPr>
        <b val="true"/>
        <sz val="11"/>
        <color rgb="FFFFFFFF"/>
        <rFont val="Noto Sans CJK SC"/>
        <family val="2"/>
      </rPr>
      <t xml:space="preserve">净 </t>
    </r>
    <r>
      <rPr>
        <b val="true"/>
        <sz val="11"/>
        <color rgb="FFFFFFFF"/>
        <rFont val="Cambria"/>
        <family val="0"/>
        <charset val="1"/>
      </rPr>
      <t xml:space="preserve">Net</t>
    </r>
  </si>
  <si>
    <t xml:space="preserve">Chicago</t>
  </si>
  <si>
    <r>
      <rPr>
        <b val="true"/>
        <sz val="11"/>
        <rFont val="Cambria"/>
        <family val="0"/>
        <charset val="1"/>
      </rPr>
      <t xml:space="preserve">Chicago </t>
    </r>
    <r>
      <rPr>
        <b val="true"/>
        <sz val="11"/>
        <rFont val="Noto Sans CJK SC"/>
        <family val="2"/>
      </rPr>
      <t xml:space="preserve">小计 </t>
    </r>
    <r>
      <rPr>
        <b val="true"/>
        <sz val="11"/>
        <rFont val="Cambria"/>
        <family val="0"/>
        <charset val="1"/>
      </rPr>
      <t xml:space="preserve">/ subtotal (</t>
    </r>
    <r>
      <rPr>
        <b val="true"/>
        <sz val="11"/>
        <rFont val="Noto Sans CJK SC"/>
        <family val="2"/>
      </rPr>
      <t xml:space="preserve">每人 </t>
    </r>
    <r>
      <rPr>
        <b val="true"/>
        <sz val="11"/>
        <rFont val="Cambria"/>
        <family val="0"/>
        <charset val="1"/>
      </rPr>
      <t xml:space="preserve">per person)</t>
    </r>
  </si>
  <si>
    <r>
      <rPr>
        <sz val="11"/>
        <color theme="1"/>
        <rFont val="Noto Sans CJK SC"/>
        <family val="2"/>
      </rPr>
      <t xml:space="preserve">住宿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人 </t>
    </r>
    <r>
      <rPr>
        <sz val="11"/>
        <color theme="1"/>
        <rFont val="Calibri"/>
        <family val="2"/>
        <charset val="1"/>
      </rPr>
      <t xml:space="preserve">Lodging per person →</t>
    </r>
  </si>
  <si>
    <r>
      <rPr>
        <sz val="11"/>
        <color theme="1"/>
        <rFont val="Calibri"/>
        <family val="2"/>
        <charset val="1"/>
      </rPr>
      <t xml:space="preserve">M&amp;IE/</t>
    </r>
    <r>
      <rPr>
        <sz val="11"/>
        <color theme="1"/>
        <rFont val="Noto Sans CJK SC"/>
        <family val="2"/>
      </rPr>
      <t xml:space="preserve">人 →</t>
    </r>
  </si>
  <si>
    <t xml:space="preserve">Denver</t>
  </si>
  <si>
    <r>
      <rPr>
        <b val="true"/>
        <sz val="11"/>
        <rFont val="Cambria"/>
        <family val="0"/>
        <charset val="1"/>
      </rPr>
      <t xml:space="preserve">Denver </t>
    </r>
    <r>
      <rPr>
        <b val="true"/>
        <sz val="11"/>
        <rFont val="Noto Sans CJK SC"/>
        <family val="2"/>
      </rPr>
      <t xml:space="preserve">小计 </t>
    </r>
    <r>
      <rPr>
        <b val="true"/>
        <sz val="11"/>
        <rFont val="Cambria"/>
        <family val="0"/>
        <charset val="1"/>
      </rPr>
      <t xml:space="preserve">/ subtotal (</t>
    </r>
    <r>
      <rPr>
        <b val="true"/>
        <sz val="11"/>
        <rFont val="Noto Sans CJK SC"/>
        <family val="2"/>
      </rPr>
      <t xml:space="preserve">每人 </t>
    </r>
    <r>
      <rPr>
        <b val="true"/>
        <sz val="11"/>
        <rFont val="Cambria"/>
        <family val="0"/>
        <charset val="1"/>
      </rPr>
      <t xml:space="preserve">per person)</t>
    </r>
  </si>
  <si>
    <t xml:space="preserve">Phoenix</t>
  </si>
  <si>
    <r>
      <rPr>
        <b val="true"/>
        <sz val="11"/>
        <rFont val="Cambria"/>
        <family val="0"/>
        <charset val="1"/>
      </rPr>
      <t xml:space="preserve">Phoenix </t>
    </r>
    <r>
      <rPr>
        <b val="true"/>
        <sz val="11"/>
        <rFont val="Noto Sans CJK SC"/>
        <family val="2"/>
      </rPr>
      <t xml:space="preserve">小计 </t>
    </r>
    <r>
      <rPr>
        <b val="true"/>
        <sz val="11"/>
        <rFont val="Cambria"/>
        <family val="0"/>
        <charset val="1"/>
      </rPr>
      <t xml:space="preserve">/ subtotal (</t>
    </r>
    <r>
      <rPr>
        <b val="true"/>
        <sz val="11"/>
        <rFont val="Noto Sans CJK SC"/>
        <family val="2"/>
      </rPr>
      <t xml:space="preserve">每人 </t>
    </r>
    <r>
      <rPr>
        <b val="true"/>
        <sz val="11"/>
        <rFont val="Cambria"/>
        <family val="0"/>
        <charset val="1"/>
      </rPr>
      <t xml:space="preserve">per person)</t>
    </r>
  </si>
  <si>
    <t xml:space="preserve">Boston</t>
  </si>
  <si>
    <r>
      <rPr>
        <b val="true"/>
        <sz val="11"/>
        <rFont val="Cambria"/>
        <family val="0"/>
        <charset val="1"/>
      </rPr>
      <t xml:space="preserve">Boston </t>
    </r>
    <r>
      <rPr>
        <b val="true"/>
        <sz val="11"/>
        <rFont val="Noto Sans CJK SC"/>
        <family val="2"/>
      </rPr>
      <t xml:space="preserve">小计 </t>
    </r>
    <r>
      <rPr>
        <b val="true"/>
        <sz val="11"/>
        <rFont val="Cambria"/>
        <family val="0"/>
        <charset val="1"/>
      </rPr>
      <t xml:space="preserve">/ subtotal (</t>
    </r>
    <r>
      <rPr>
        <b val="true"/>
        <sz val="11"/>
        <rFont val="Noto Sans CJK SC"/>
        <family val="2"/>
      </rPr>
      <t xml:space="preserve">每人 </t>
    </r>
    <r>
      <rPr>
        <b val="true"/>
        <sz val="11"/>
        <rFont val="Cambria"/>
        <family val="0"/>
        <charset val="1"/>
      </rPr>
      <t xml:space="preserve">per person)</t>
    </r>
  </si>
  <si>
    <t xml:space="preserve">Seattle</t>
  </si>
  <si>
    <r>
      <rPr>
        <b val="true"/>
        <sz val="11"/>
        <rFont val="Cambria"/>
        <family val="0"/>
        <charset val="1"/>
      </rPr>
      <t xml:space="preserve">Seattle </t>
    </r>
    <r>
      <rPr>
        <b val="true"/>
        <sz val="11"/>
        <rFont val="Noto Sans CJK SC"/>
        <family val="2"/>
      </rPr>
      <t xml:space="preserve">小计 </t>
    </r>
    <r>
      <rPr>
        <b val="true"/>
        <sz val="11"/>
        <rFont val="Cambria"/>
        <family val="0"/>
        <charset val="1"/>
      </rPr>
      <t xml:space="preserve">/ subtotal (</t>
    </r>
    <r>
      <rPr>
        <b val="true"/>
        <sz val="11"/>
        <rFont val="Noto Sans CJK SC"/>
        <family val="2"/>
      </rPr>
      <t xml:space="preserve">每人 </t>
    </r>
    <r>
      <rPr>
        <b val="true"/>
        <sz val="11"/>
        <rFont val="Cambria"/>
        <family val="0"/>
        <charset val="1"/>
      </rPr>
      <t xml:space="preserve">per person)</t>
    </r>
  </si>
  <si>
    <r>
      <rPr>
        <b val="true"/>
        <sz val="12"/>
        <rFont val="Noto Sans CJK SC"/>
        <family val="2"/>
      </rPr>
      <t xml:space="preserve">候选方案比较与推荐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每人金额 </t>
    </r>
    <r>
      <rPr>
        <b val="true"/>
        <sz val="12"/>
        <rFont val="Cambria"/>
        <family val="0"/>
        <charset val="1"/>
      </rPr>
      <t xml:space="preserve">USD; </t>
    </r>
    <r>
      <rPr>
        <b val="true"/>
        <sz val="12"/>
        <rFont val="Noto Sans CJK SC"/>
        <family val="2"/>
      </rPr>
      <t xml:space="preserve">住宿按</t>
    </r>
    <r>
      <rPr>
        <b val="true"/>
        <sz val="12"/>
        <rFont val="Cambria"/>
        <family val="0"/>
        <charset val="1"/>
      </rPr>
      <t xml:space="preserve">GSA per diem</t>
    </r>
    <r>
      <rPr>
        <b val="true"/>
        <sz val="12"/>
        <rFont val="Noto Sans CJK SC"/>
        <family val="2"/>
      </rPr>
      <t xml:space="preserve">上限计</t>
    </r>
    <r>
      <rPr>
        <b val="true"/>
        <sz val="12"/>
        <rFont val="Cambria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为可报销上限的保守口径</t>
    </r>
    <r>
      <rPr>
        <b val="true"/>
        <sz val="12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</si>
  <si>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基础票价 </t>
    </r>
    <r>
      <rPr>
        <b val="true"/>
        <sz val="11"/>
        <color rgb="FFFFFFFF"/>
        <rFont val="Cambria"/>
        <family val="0"/>
        <charset val="1"/>
      </rPr>
      <t xml:space="preserve">Airfare base</t>
    </r>
  </si>
  <si>
    <r>
      <rPr>
        <b val="true"/>
        <sz val="11"/>
        <color rgb="FFFFFFFF"/>
        <rFont val="Noto Sans CJK SC"/>
        <family val="2"/>
      </rPr>
      <t xml:space="preserve">调整票价 </t>
    </r>
    <r>
      <rPr>
        <b val="true"/>
        <sz val="11"/>
        <color rgb="FFFFFFFF"/>
        <rFont val="Cambria"/>
        <family val="0"/>
        <charset val="1"/>
      </rPr>
      <t xml:space="preserve">Airfare×factor</t>
    </r>
  </si>
  <si>
    <r>
      <rPr>
        <b val="true"/>
        <sz val="11"/>
        <color rgb="FFFFFFFF"/>
        <rFont val="Noto Sans CJK SC"/>
        <family val="2"/>
      </rPr>
      <t xml:space="preserve">住宿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 </t>
    </r>
    <r>
      <rPr>
        <b val="true"/>
        <sz val="11"/>
        <color rgb="FFFFFFFF"/>
        <rFont val="Cambria"/>
        <family val="0"/>
        <charset val="1"/>
      </rPr>
      <t xml:space="preserve">Lodging</t>
    </r>
  </si>
  <si>
    <r>
      <rPr>
        <b val="true"/>
        <sz val="11"/>
        <color rgb="FFFFFFFF"/>
        <rFont val="Noto Sans CJK SC"/>
        <family val="2"/>
      </rPr>
      <t xml:space="preserve">住宿税 </t>
    </r>
    <r>
      <rPr>
        <b val="true"/>
        <sz val="11"/>
        <color rgb="FFFFFFFF"/>
        <rFont val="Cambria"/>
        <family val="0"/>
        <charset val="1"/>
      </rPr>
      <t xml:space="preserve">Tax 12%</t>
    </r>
  </si>
  <si>
    <r>
      <rPr>
        <b val="true"/>
        <sz val="11"/>
        <color rgb="FFFFFFFF"/>
        <rFont val="Cambria"/>
        <family val="0"/>
        <charset val="1"/>
      </rPr>
      <t xml:space="preserve">M&amp;IE/</t>
    </r>
    <r>
      <rPr>
        <b val="true"/>
        <sz val="11"/>
        <color rgb="FFFFFFFF"/>
        <rFont val="Noto Sans CJK SC"/>
        <family val="2"/>
      </rPr>
      <t xml:space="preserve">人</t>
    </r>
  </si>
  <si>
    <r>
      <rPr>
        <b val="true"/>
        <sz val="11"/>
        <color rgb="FFFFFFFF"/>
        <rFont val="Noto Sans CJK SC"/>
        <family val="2"/>
      </rPr>
      <t xml:space="preserve">注册费 </t>
    </r>
    <r>
      <rPr>
        <b val="true"/>
        <sz val="11"/>
        <color rgb="FFFFFFFF"/>
        <rFont val="Cambria"/>
        <family val="0"/>
        <charset val="1"/>
      </rPr>
      <t xml:space="preserve">Reg</t>
    </r>
  </si>
  <si>
    <r>
      <rPr>
        <b val="true"/>
        <sz val="11"/>
        <color rgb="FFFFFFFF"/>
        <rFont val="Noto Sans CJK SC"/>
        <family val="2"/>
      </rPr>
      <t xml:space="preserve">本地交通 </t>
    </r>
    <r>
      <rPr>
        <b val="true"/>
        <sz val="11"/>
        <color rgb="FFFFFFFF"/>
        <rFont val="Cambria"/>
        <family val="0"/>
        <charset val="1"/>
      </rPr>
      <t xml:space="preserve">Local transit</t>
    </r>
  </si>
  <si>
    <r>
      <rPr>
        <b val="true"/>
        <sz val="11"/>
        <color rgb="FFFFFFFF"/>
        <rFont val="Noto Sans CJK SC"/>
        <family val="2"/>
      </rPr>
      <t xml:space="preserve">每人小计 </t>
    </r>
    <r>
      <rPr>
        <b val="true"/>
        <sz val="11"/>
        <color rgb="FFFFFFFF"/>
        <rFont val="Cambria"/>
        <family val="0"/>
        <charset val="1"/>
      </rPr>
      <t xml:space="preserve">Per-person</t>
    </r>
  </si>
  <si>
    <r>
      <rPr>
        <b val="true"/>
        <sz val="11"/>
        <color rgb="FFFFFFFF"/>
        <rFont val="Noto Sans CJK SC"/>
        <family val="2"/>
      </rPr>
      <t xml:space="preserve">每人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压力</t>
    </r>
    <r>
      <rPr>
        <b val="true"/>
        <sz val="11"/>
        <color rgb="FFFFFFFF"/>
        <rFont val="Cambria"/>
        <family val="0"/>
        <charset val="1"/>
      </rPr>
      <t xml:space="preserve">) Per-person+20%air</t>
    </r>
  </si>
  <si>
    <r>
      <rPr>
        <b val="true"/>
        <sz val="11"/>
        <color rgb="FFFFFFFF"/>
        <rFont val="Noto Sans CJK SC"/>
        <family val="2"/>
      </rPr>
      <t xml:space="preserve">基础小计 </t>
    </r>
    <r>
      <rPr>
        <b val="true"/>
        <sz val="11"/>
        <color rgb="FFFFFFFF"/>
        <rFont val="Cambria"/>
        <family val="0"/>
        <charset val="1"/>
      </rPr>
      <t xml:space="preserve">Base</t>
    </r>
  </si>
  <si>
    <r>
      <rPr>
        <b val="true"/>
        <sz val="11"/>
        <color rgb="FFFFFFFF"/>
        <rFont val="Noto Sans CJK SC"/>
        <family val="2"/>
      </rPr>
      <t xml:space="preserve">储备 </t>
    </r>
    <r>
      <rPr>
        <b val="true"/>
        <sz val="11"/>
        <color rgb="FFFFFFFF"/>
        <rFont val="Cambria"/>
        <family val="0"/>
        <charset val="1"/>
      </rPr>
      <t xml:space="preserve">Reserve</t>
    </r>
  </si>
  <si>
    <r>
      <rPr>
        <b val="true"/>
        <sz val="11"/>
        <color rgb="FFFFFFFF"/>
        <rFont val="Noto Sans CJK SC"/>
        <family val="2"/>
      </rPr>
      <t xml:space="preserve">含储备总额 </t>
    </r>
    <r>
      <rPr>
        <b val="true"/>
        <sz val="11"/>
        <color rgb="FFFFFFFF"/>
        <rFont val="Cambria"/>
        <family val="0"/>
        <charset val="1"/>
      </rPr>
      <t xml:space="preserve">Total</t>
    </r>
  </si>
  <si>
    <r>
      <rPr>
        <b val="true"/>
        <sz val="11"/>
        <color rgb="FFFFFFFF"/>
        <rFont val="Noto Sans CJK SC"/>
        <family val="2"/>
      </rPr>
      <t xml:space="preserve">≤上限</t>
    </r>
    <r>
      <rPr>
        <b val="true"/>
        <sz val="11"/>
        <color rgb="FFFFFFFF"/>
        <rFont val="Cambria"/>
        <family val="0"/>
        <charset val="1"/>
      </rPr>
      <t xml:space="preserve">? Within</t>
    </r>
  </si>
  <si>
    <r>
      <rPr>
        <b val="true"/>
        <sz val="11"/>
        <color rgb="FFFFFFFF"/>
        <rFont val="Noto Sans CJK SC"/>
        <family val="2"/>
      </rPr>
      <t xml:space="preserve">压力总额 </t>
    </r>
    <r>
      <rPr>
        <b val="true"/>
        <sz val="11"/>
        <color rgb="FFFFFFFF"/>
        <rFont val="Cambria"/>
        <family val="0"/>
        <charset val="1"/>
      </rPr>
      <t xml:space="preserve">Stress total</t>
    </r>
  </si>
  <si>
    <r>
      <rPr>
        <b val="true"/>
        <sz val="11"/>
        <color rgb="FFFFFFFF"/>
        <rFont val="Noto Sans CJK SC"/>
        <family val="2"/>
      </rPr>
      <t xml:space="preserve">压力≤上限</t>
    </r>
    <r>
      <rPr>
        <b val="true"/>
        <sz val="11"/>
        <color rgb="FFFFFFFF"/>
        <rFont val="Cambria"/>
        <family val="0"/>
        <charset val="1"/>
      </rPr>
      <t xml:space="preserve">?</t>
    </r>
  </si>
  <si>
    <t xml:space="preserve">elig24</t>
  </si>
  <si>
    <t xml:space="preserve">elig18</t>
  </si>
  <si>
    <r>
      <rPr>
        <b val="true"/>
        <sz val="11"/>
        <rFont val="Noto Sans CJK SC"/>
        <family val="2"/>
      </rPr>
      <t xml:space="preserve">— 自动推荐结果 </t>
    </r>
    <r>
      <rPr>
        <b val="true"/>
        <sz val="11"/>
        <rFont val="Cambria"/>
        <family val="0"/>
        <charset val="1"/>
      </rPr>
      <t xml:space="preserve">Auto recommendation (</t>
    </r>
    <r>
      <rPr>
        <b val="true"/>
        <sz val="11"/>
        <rFont val="Noto Sans CJK SC"/>
        <family val="2"/>
      </rPr>
      <t xml:space="preserve">优先</t>
    </r>
    <r>
      <rPr>
        <b val="true"/>
        <sz val="11"/>
        <rFont val="Cambria"/>
        <family val="0"/>
        <charset val="1"/>
      </rPr>
      <t xml:space="preserve">24</t>
    </r>
    <r>
      <rPr>
        <b val="true"/>
        <sz val="11"/>
        <rFont val="Noto Sans CJK SC"/>
        <family val="2"/>
      </rPr>
      <t xml:space="preserve">人</t>
    </r>
    <r>
      <rPr>
        <b val="true"/>
        <sz val="11"/>
        <rFont val="Cambria"/>
        <family val="0"/>
        <charset val="1"/>
      </rPr>
      <t xml:space="preserve">; </t>
    </r>
    <r>
      <rPr>
        <b val="true"/>
        <sz val="11"/>
        <rFont val="Noto Sans CJK SC"/>
        <family val="2"/>
      </rPr>
      <t xml:space="preserve">同人数取含储备总额最低</t>
    </r>
    <r>
      <rPr>
        <b val="true"/>
        <sz val="11"/>
        <rFont val="Cambria"/>
        <family val="0"/>
        <charset val="1"/>
      </rPr>
      <t xml:space="preserve">; </t>
    </r>
    <r>
      <rPr>
        <b val="true"/>
        <sz val="11"/>
        <rFont val="Noto Sans CJK SC"/>
        <family val="2"/>
      </rPr>
      <t xml:space="preserve">完全并列按城市英文名</t>
    </r>
    <r>
      <rPr>
        <b val="true"/>
        <sz val="11"/>
        <rFont val="Cambria"/>
        <family val="0"/>
        <charset val="1"/>
      </rPr>
      <t xml:space="preserve">) —</t>
    </r>
  </si>
  <si>
    <r>
      <rPr>
        <b val="true"/>
        <sz val="11"/>
        <rFont val="Cambria"/>
        <family val="0"/>
        <charset val="1"/>
      </rPr>
      <t xml:space="preserve">24</t>
    </r>
    <r>
      <rPr>
        <b val="true"/>
        <sz val="11"/>
        <rFont val="Noto Sans CJK SC"/>
        <family val="2"/>
      </rPr>
      <t xml:space="preserve">人方案中符合预算数 </t>
    </r>
    <r>
      <rPr>
        <b val="true"/>
        <sz val="11"/>
        <rFont val="Cambria"/>
        <family val="0"/>
        <charset val="1"/>
      </rPr>
      <t xml:space="preserve">Count within (24)</t>
    </r>
  </si>
  <si>
    <r>
      <rPr>
        <b val="true"/>
        <sz val="11"/>
        <rFont val="Cambria"/>
        <family val="0"/>
        <charset val="1"/>
      </rPr>
      <t xml:space="preserve">18</t>
    </r>
    <r>
      <rPr>
        <b val="true"/>
        <sz val="11"/>
        <rFont val="Noto Sans CJK SC"/>
        <family val="2"/>
      </rPr>
      <t xml:space="preserve">人方案中符合预算数 </t>
    </r>
    <r>
      <rPr>
        <b val="true"/>
        <sz val="11"/>
        <rFont val="Cambria"/>
        <family val="0"/>
        <charset val="1"/>
      </rPr>
      <t xml:space="preserve">Count within (18)</t>
    </r>
  </si>
  <si>
    <r>
      <rPr>
        <b val="true"/>
        <sz val="11"/>
        <rFont val="Noto Sans CJK SC"/>
        <family val="2"/>
      </rPr>
      <t xml:space="preserve">推荐人数 </t>
    </r>
    <r>
      <rPr>
        <b val="true"/>
        <sz val="11"/>
        <rFont val="Cambria"/>
        <family val="0"/>
        <charset val="1"/>
      </rPr>
      <t xml:space="preserve">Recommended headcount</t>
    </r>
  </si>
  <si>
    <r>
      <rPr>
        <b val="true"/>
        <sz val="11"/>
        <rFont val="Noto Sans CJK SC"/>
        <family val="2"/>
      </rPr>
      <t xml:space="preserve">推荐方案含储备总额 </t>
    </r>
    <r>
      <rPr>
        <b val="true"/>
        <sz val="11"/>
        <rFont val="Cambria"/>
        <family val="0"/>
        <charset val="1"/>
      </rPr>
      <t xml:space="preserve">Recommended total</t>
    </r>
  </si>
  <si>
    <r>
      <rPr>
        <b val="true"/>
        <sz val="11"/>
        <rFont val="Noto Sans CJK SC"/>
        <family val="2"/>
      </rPr>
      <t xml:space="preserve">推荐城市 </t>
    </r>
    <r>
      <rPr>
        <b val="true"/>
        <sz val="11"/>
        <rFont val="Cambria"/>
        <family val="0"/>
        <charset val="1"/>
      </rPr>
      <t xml:space="preserve">Recommended city</t>
    </r>
  </si>
  <si>
    <r>
      <rPr>
        <b val="true"/>
        <sz val="11"/>
        <rFont val="Noto Sans CJK SC"/>
        <family val="2"/>
      </rPr>
      <t xml:space="preserve">预算余量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推荐</t>
    </r>
    <r>
      <rPr>
        <b val="true"/>
        <sz val="11"/>
        <rFont val="Cambria"/>
        <family val="0"/>
        <charset val="1"/>
      </rPr>
      <t xml:space="preserve">) Headroom vs cap</t>
    </r>
  </si>
  <si>
    <r>
      <rPr>
        <i val="true"/>
        <sz val="11"/>
        <color rgb="FFC00000"/>
        <rFont val="Noto Sans CJK SC"/>
        <family val="2"/>
      </rPr>
      <t xml:space="preserve">待询价 </t>
    </r>
    <r>
      <rPr>
        <i val="true"/>
        <sz val="11"/>
        <color rgb="FFC00000"/>
        <rFont val="Cambria"/>
        <family val="0"/>
        <charset val="1"/>
      </rPr>
      <t xml:space="preserve">/ </t>
    </r>
    <r>
      <rPr>
        <i val="true"/>
        <sz val="11"/>
        <color rgb="FFC00000"/>
        <rFont val="Noto Sans CJK SC"/>
        <family val="2"/>
      </rPr>
      <t xml:space="preserve">未纳入计算 </t>
    </r>
    <r>
      <rPr>
        <i val="true"/>
        <sz val="11"/>
        <color rgb="FFC00000"/>
        <rFont val="Cambria"/>
        <family val="0"/>
        <charset val="1"/>
      </rPr>
      <t xml:space="preserve">(</t>
    </r>
    <r>
      <rPr>
        <i val="true"/>
        <sz val="11"/>
        <color rgb="FFC00000"/>
        <rFont val="Noto Sans CJK SC"/>
        <family val="2"/>
      </rPr>
      <t xml:space="preserve">不得虚构</t>
    </r>
    <r>
      <rPr>
        <i val="true"/>
        <sz val="11"/>
        <color rgb="FFC00000"/>
        <rFont val="Cambria"/>
        <family val="0"/>
        <charset val="1"/>
      </rPr>
      <t xml:space="preserve">): </t>
    </r>
    <r>
      <rPr>
        <i val="true"/>
        <sz val="11"/>
        <color rgb="FFC00000"/>
        <rFont val="Noto Sans CJK SC"/>
        <family val="2"/>
      </rPr>
      <t xml:space="preserve">培训场地</t>
    </r>
    <r>
      <rPr>
        <i val="true"/>
        <sz val="11"/>
        <color rgb="FFC00000"/>
        <rFont val="Cambria"/>
        <family val="0"/>
        <charset val="1"/>
      </rPr>
      <t xml:space="preserve">/</t>
    </r>
    <r>
      <rPr>
        <i val="true"/>
        <sz val="11"/>
        <color rgb="FFC00000"/>
        <rFont val="Noto Sans CJK SC"/>
        <family val="2"/>
      </rPr>
      <t xml:space="preserve">会议室租金</t>
    </r>
    <r>
      <rPr>
        <i val="true"/>
        <sz val="11"/>
        <color rgb="FFC00000"/>
        <rFont val="Cambria"/>
        <family val="0"/>
        <charset val="1"/>
      </rPr>
      <t xml:space="preserve">; </t>
    </r>
    <r>
      <rPr>
        <i val="true"/>
        <sz val="11"/>
        <color rgb="FFC00000"/>
        <rFont val="Noto Sans CJK SC"/>
        <family val="2"/>
      </rPr>
      <t xml:space="preserve">机构供餐</t>
    </r>
    <r>
      <rPr>
        <i val="true"/>
        <sz val="11"/>
        <color rgb="FFC00000"/>
        <rFont val="Cambria"/>
        <family val="0"/>
        <charset val="1"/>
      </rPr>
      <t xml:space="preserve">(11/28</t>
    </r>
    <r>
      <rPr>
        <i val="true"/>
        <sz val="11"/>
        <color rgb="FFC00000"/>
        <rFont val="Noto Sans CJK SC"/>
        <family val="2"/>
      </rPr>
      <t xml:space="preserve">晚餐</t>
    </r>
    <r>
      <rPr>
        <i val="true"/>
        <sz val="11"/>
        <color rgb="FFC00000"/>
        <rFont val="Cambria"/>
        <family val="0"/>
        <charset val="1"/>
      </rPr>
      <t xml:space="preserve">,12/1</t>
    </r>
    <r>
      <rPr>
        <i val="true"/>
        <sz val="11"/>
        <color rgb="FFC00000"/>
        <rFont val="Noto Sans CJK SC"/>
        <family val="2"/>
      </rPr>
      <t xml:space="preserve">晚餐</t>
    </r>
    <r>
      <rPr>
        <i val="true"/>
        <sz val="11"/>
        <color rgb="FFC00000"/>
        <rFont val="Cambria"/>
        <family val="0"/>
        <charset val="1"/>
      </rPr>
      <t xml:space="preserve">,12/2</t>
    </r>
    <r>
      <rPr>
        <i val="true"/>
        <sz val="11"/>
        <color rgb="FFC00000"/>
        <rFont val="Noto Sans CJK SC"/>
        <family val="2"/>
      </rPr>
      <t xml:space="preserve">午餐</t>
    </r>
    <r>
      <rPr>
        <i val="true"/>
        <sz val="11"/>
        <color rgb="FFC00000"/>
        <rFont val="Cambria"/>
        <family val="0"/>
        <charset val="1"/>
      </rPr>
      <t xml:space="preserve">)</t>
    </r>
    <r>
      <rPr>
        <i val="true"/>
        <sz val="11"/>
        <color rgb="FFC00000"/>
        <rFont val="Noto Sans CJK SC"/>
        <family val="2"/>
      </rPr>
      <t xml:space="preserve">餐饮费。 二者须在批准前取得报价并计入</t>
    </r>
    <r>
      <rPr>
        <i val="true"/>
        <sz val="11"/>
        <color rgb="FFC00000"/>
        <rFont val="Cambria"/>
        <family val="0"/>
        <charset val="1"/>
      </rPr>
      <t xml:space="preserve">, </t>
    </r>
    <r>
      <rPr>
        <i val="true"/>
        <sz val="11"/>
        <color rgb="FFC00000"/>
        <rFont val="Noto Sans CJK SC"/>
        <family val="2"/>
      </rPr>
      <t xml:space="preserve">届时重算储备与总额、复核是否≤上限。详见 </t>
    </r>
    <r>
      <rPr>
        <i val="true"/>
        <sz val="11"/>
        <color rgb="FFC00000"/>
        <rFont val="Cambria"/>
        <family val="0"/>
        <charset val="1"/>
      </rPr>
      <t xml:space="preserve">Sources </t>
    </r>
    <r>
      <rPr>
        <i val="true"/>
        <sz val="11"/>
        <color rgb="FFC00000"/>
        <rFont val="Noto Sans CJK SC"/>
        <family val="2"/>
      </rPr>
      <t xml:space="preserve">与审批登记。</t>
    </r>
  </si>
  <si>
    <r>
      <rPr>
        <b val="true"/>
        <sz val="12"/>
        <rFont val="Noto Sans CJK SC"/>
        <family val="2"/>
      </rPr>
      <t xml:space="preserve">资料依据、查询日期与预算口径 </t>
    </r>
    <r>
      <rPr>
        <b val="true"/>
        <sz val="12"/>
        <rFont val="Cambria"/>
        <family val="0"/>
        <charset val="1"/>
      </rPr>
      <t xml:space="preserve">/ Sources, query dates, pricing basis</t>
    </r>
  </si>
  <si>
    <r>
      <rPr>
        <b val="true"/>
        <sz val="11"/>
        <color rgb="FFFFFFFF"/>
        <rFont val="Noto Sans CJK SC"/>
        <family val="2"/>
      </rPr>
      <t xml:space="preserve">项目 </t>
    </r>
    <r>
      <rPr>
        <b val="true"/>
        <sz val="11"/>
        <color rgb="FFFFFFFF"/>
        <rFont val="Cambria"/>
        <family val="0"/>
        <charset val="1"/>
      </rPr>
      <t xml:space="preserve">Item</t>
    </r>
  </si>
  <si>
    <r>
      <rPr>
        <b val="true"/>
        <sz val="11"/>
        <color rgb="FFFFFFFF"/>
        <rFont val="Noto Sans CJK SC"/>
        <family val="2"/>
      </rPr>
      <t xml:space="preserve">数值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口径 </t>
    </r>
    <r>
      <rPr>
        <b val="true"/>
        <sz val="11"/>
        <color rgb="FFFFFFFF"/>
        <rFont val="Cambria"/>
        <family val="0"/>
        <charset val="1"/>
      </rPr>
      <t xml:space="preserve">Value</t>
    </r>
  </si>
  <si>
    <r>
      <rPr>
        <b val="true"/>
        <sz val="11"/>
        <color rgb="FFFFFFFF"/>
        <rFont val="Noto Sans CJK SC"/>
        <family val="2"/>
      </rPr>
      <t xml:space="preserve">来源 </t>
    </r>
    <r>
      <rPr>
        <b val="true"/>
        <sz val="11"/>
        <color rgb="FFFFFFFF"/>
        <rFont val="Cambria"/>
        <family val="0"/>
        <charset val="1"/>
      </rPr>
      <t xml:space="preserve">Source</t>
    </r>
  </si>
  <si>
    <r>
      <rPr>
        <b val="true"/>
        <sz val="11"/>
        <color rgb="FFFFFFFF"/>
        <rFont val="Noto Sans CJK SC"/>
        <family val="2"/>
      </rPr>
      <t xml:space="preserve">查询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版本日期 </t>
    </r>
    <r>
      <rPr>
        <b val="true"/>
        <sz val="11"/>
        <color rgb="FFFFFFFF"/>
        <rFont val="Cambria"/>
        <family val="0"/>
        <charset val="1"/>
      </rPr>
      <t xml:space="preserve">Date</t>
    </r>
  </si>
  <si>
    <r>
      <rPr>
        <b val="true"/>
        <sz val="11"/>
        <color rgb="FFFFFFFF"/>
        <rFont val="Noto Sans CJK SC"/>
        <family val="2"/>
      </rPr>
      <t xml:space="preserve">适用条件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备注 </t>
    </r>
    <r>
      <rPr>
        <b val="true"/>
        <sz val="11"/>
        <color rgb="FFFFFFFF"/>
        <rFont val="Cambria"/>
        <family val="0"/>
        <charset val="1"/>
      </rPr>
      <t xml:space="preserve">Conditions &amp; notes</t>
    </r>
  </si>
  <si>
    <r>
      <rPr>
        <sz val="11"/>
        <color theme="1"/>
        <rFont val="Noto Sans CJK SC"/>
        <family val="2"/>
      </rPr>
      <t xml:space="preserve">行程 </t>
    </r>
    <r>
      <rPr>
        <sz val="11"/>
        <color theme="1"/>
        <rFont val="Calibri"/>
        <family val="2"/>
        <charset val="1"/>
      </rPr>
      <t xml:space="preserve">Itinerary</t>
    </r>
  </si>
  <si>
    <r>
      <rPr>
        <sz val="11"/>
        <color theme="1"/>
        <rFont val="Noto Sans CJK SC"/>
        <family val="2"/>
      </rPr>
      <t xml:space="preserve">抵达 </t>
    </r>
    <r>
      <rPr>
        <sz val="11"/>
        <color theme="1"/>
        <rFont val="Calibri"/>
        <family val="2"/>
        <charset val="1"/>
      </rPr>
      <t xml:space="preserve">2026-11-28, </t>
    </r>
    <r>
      <rPr>
        <sz val="11"/>
        <color theme="1"/>
        <rFont val="Noto Sans CJK SC"/>
        <family val="2"/>
      </rPr>
      <t xml:space="preserve">返程 </t>
    </r>
    <r>
      <rPr>
        <sz val="11"/>
        <color theme="1"/>
        <rFont val="Calibri"/>
        <family val="2"/>
        <charset val="1"/>
      </rPr>
      <t xml:space="preserve">2026-12-02</t>
    </r>
  </si>
  <si>
    <r>
      <rPr>
        <sz val="11"/>
        <color theme="1"/>
        <rFont val="Noto Sans CJK SC"/>
        <family val="2"/>
      </rPr>
      <t xml:space="preserve">题面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培训</t>
    </r>
    <r>
      <rPr>
        <sz val="11"/>
        <color theme="1"/>
        <rFont val="Calibri"/>
        <family val="2"/>
        <charset val="1"/>
      </rPr>
      <t xml:space="preserve">11/29–12/1)+</t>
    </r>
    <r>
      <rPr>
        <sz val="11"/>
        <color theme="1"/>
        <rFont val="Noto Sans CJK SC"/>
        <family val="2"/>
      </rPr>
      <t xml:space="preserve">提前一天抵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次日返</t>
    </r>
  </si>
  <si>
    <t xml:space="preserve">2026-10-23</t>
  </si>
  <si>
    <r>
      <rPr>
        <sz val="11"/>
        <color theme="1"/>
        <rFont val="Noto Sans CJK SC"/>
        <family val="2"/>
      </rPr>
      <t xml:space="preserve">住宿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夜</t>
    </r>
    <r>
      <rPr>
        <sz val="11"/>
        <color theme="1"/>
        <rFont val="Calibri"/>
        <family val="2"/>
        <charset val="1"/>
      </rPr>
      <t xml:space="preserve">(11/28–12/1); </t>
    </r>
    <r>
      <rPr>
        <sz val="11"/>
        <color theme="1"/>
        <rFont val="Noto Sans CJK SC"/>
        <family val="2"/>
      </rPr>
      <t xml:space="preserve">行程日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(11/28–12/2); </t>
    </r>
    <r>
      <rPr>
        <sz val="11"/>
        <color theme="1"/>
        <rFont val="Noto Sans CJK SC"/>
        <family val="2"/>
      </rPr>
      <t xml:space="preserve">首末日</t>
    </r>
    <r>
      <rPr>
        <sz val="11"/>
        <color theme="1"/>
        <rFont val="Calibri"/>
        <family val="2"/>
        <charset val="1"/>
      </rPr>
      <t xml:space="preserve">M&amp;IE 75%</t>
    </r>
  </si>
  <si>
    <r>
      <rPr>
        <sz val="11"/>
        <color theme="1"/>
        <rFont val="Noto Sans CJK SC"/>
        <family val="2"/>
      </rPr>
      <t xml:space="preserve">出发机场 </t>
    </r>
    <r>
      <rPr>
        <sz val="11"/>
        <color theme="1"/>
        <rFont val="Calibri"/>
        <family val="2"/>
        <charset val="1"/>
      </rPr>
      <t xml:space="preserve">Origin airport</t>
    </r>
  </si>
  <si>
    <r>
      <rPr>
        <sz val="11"/>
        <color theme="1"/>
        <rFont val="Calibri"/>
        <family val="2"/>
        <charset val="1"/>
      </rPr>
      <t xml:space="preserve">DCA(</t>
    </r>
    <r>
      <rPr>
        <sz val="11"/>
        <color theme="1"/>
        <rFont val="Noto Sans CJK SC"/>
        <family val="2"/>
      </rPr>
      <t xml:space="preserve">里根机场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为主</t>
    </r>
  </si>
  <si>
    <r>
      <rPr>
        <sz val="11"/>
        <color theme="1"/>
        <rFont val="Calibri"/>
        <family val="2"/>
        <charset val="1"/>
      </rPr>
      <t xml:space="preserve">USDA HQ 1400 Independence Ave SW </t>
    </r>
    <r>
      <rPr>
        <sz val="11"/>
        <color theme="1"/>
        <rFont val="Noto Sans CJK SC"/>
        <family val="2"/>
      </rPr>
      <t xml:space="preserve">距</t>
    </r>
    <r>
      <rPr>
        <sz val="11"/>
        <color theme="1"/>
        <rFont val="Calibri"/>
        <family val="2"/>
        <charset val="1"/>
      </rPr>
      <t xml:space="preserve">DCA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4.8</t>
    </r>
    <r>
      <rPr>
        <sz val="11"/>
        <color theme="1"/>
        <rFont val="Noto Sans CJK SC"/>
        <family val="2"/>
      </rPr>
      <t xml:space="preserve">英里</t>
    </r>
    <r>
      <rPr>
        <sz val="11"/>
        <color theme="1"/>
        <rFont val="Calibri"/>
        <family val="2"/>
        <charset val="1"/>
      </rPr>
      <t xml:space="preserve">(~15min); IAD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26mi, BWI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32mi(45–60min)</t>
    </r>
  </si>
  <si>
    <r>
      <rPr>
        <sz val="11"/>
        <color theme="1"/>
        <rFont val="Calibri"/>
        <family val="2"/>
        <charset val="1"/>
      </rPr>
      <t xml:space="preserve">DCA</t>
    </r>
    <r>
      <rPr>
        <sz val="11"/>
        <color theme="1"/>
        <rFont val="Noto Sans CJK SC"/>
        <family val="2"/>
      </rPr>
      <t xml:space="preserve">接驳成本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时间最低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若无合适直达再比</t>
    </r>
    <r>
      <rPr>
        <sz val="11"/>
        <color theme="1"/>
        <rFont val="Calibri"/>
        <family val="2"/>
        <charset val="1"/>
      </rPr>
      <t xml:space="preserve">IAD/BWI</t>
    </r>
  </si>
  <si>
    <r>
      <rPr>
        <sz val="11"/>
        <color theme="1"/>
        <rFont val="Noto Sans CJK SC"/>
        <family val="2"/>
      </rPr>
      <t xml:space="preserve">机票 </t>
    </r>
    <r>
      <rPr>
        <sz val="11"/>
        <color theme="1"/>
        <rFont val="Calibri"/>
        <family val="2"/>
        <charset val="1"/>
      </rPr>
      <t xml:space="preserve">Chicago ORD</t>
    </r>
  </si>
  <si>
    <r>
      <rPr>
        <sz val="11"/>
        <color theme="1"/>
        <rFont val="Calibri"/>
        <family val="2"/>
        <charset val="1"/>
      </rPr>
      <t xml:space="preserve">RT $271.00 (DCA↔ORD, American </t>
    </r>
    <r>
      <rPr>
        <sz val="11"/>
        <color theme="1"/>
        <rFont val="Noto Sans CJK SC"/>
        <family val="2"/>
      </rPr>
      <t xml:space="preserve">直飞</t>
    </r>
    <r>
      <rPr>
        <sz val="11"/>
        <color theme="1"/>
        <rFont val="Calibri"/>
        <family val="2"/>
        <charset val="1"/>
      </rPr>
      <t xml:space="preserve">)</t>
    </r>
  </si>
  <si>
    <t xml:space="preserve">Google Flights (google.com/travel/flights)</t>
  </si>
  <si>
    <r>
      <rPr>
        <sz val="11"/>
        <color theme="1"/>
        <rFont val="Noto Sans CJK SC"/>
        <family val="2"/>
      </rPr>
      <t xml:space="preserve">往返 </t>
    </r>
    <r>
      <rPr>
        <sz val="11"/>
        <color theme="1"/>
        <rFont val="Calibri"/>
        <family val="2"/>
        <charset val="1"/>
      </rPr>
      <t xml:space="preserve">11/28–12/2 </t>
    </r>
    <r>
      <rPr>
        <sz val="11"/>
        <color theme="1"/>
        <rFont val="Noto Sans CJK SC"/>
        <family val="2"/>
      </rPr>
      <t xml:space="preserve">最低经济舱总价含税费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非</t>
    </r>
    <r>
      <rPr>
        <sz val="11"/>
        <color theme="1"/>
        <rFont val="Calibri"/>
        <family val="2"/>
        <charset val="1"/>
      </rPr>
      <t xml:space="preserve">GSA city-pair</t>
    </r>
    <r>
      <rPr>
        <sz val="11"/>
        <color theme="1"/>
        <rFont val="Noto Sans CJK SC"/>
        <family val="2"/>
      </rPr>
      <t xml:space="preserve">合同价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实订以</t>
    </r>
    <r>
      <rPr>
        <sz val="11"/>
        <color theme="1"/>
        <rFont val="Calibri"/>
        <family val="2"/>
        <charset val="1"/>
      </rPr>
      <t xml:space="preserve">ETS</t>
    </r>
    <r>
      <rPr>
        <sz val="11"/>
        <color theme="1"/>
        <rFont val="Noto Sans CJK SC"/>
        <family val="2"/>
      </rPr>
      <t xml:space="preserve">合同价为准</t>
    </r>
  </si>
  <si>
    <r>
      <rPr>
        <sz val="11"/>
        <color theme="1"/>
        <rFont val="Noto Sans CJK SC"/>
        <family val="2"/>
      </rPr>
      <t xml:space="preserve">机票 </t>
    </r>
    <r>
      <rPr>
        <sz val="11"/>
        <color theme="1"/>
        <rFont val="Calibri"/>
        <family val="2"/>
        <charset val="1"/>
      </rPr>
      <t xml:space="preserve">Denver DEN</t>
    </r>
  </si>
  <si>
    <r>
      <rPr>
        <sz val="11"/>
        <color theme="1"/>
        <rFont val="Calibri"/>
        <family val="2"/>
        <charset val="1"/>
      </rPr>
      <t xml:space="preserve">RT $437.00 (DCA↔DEN, Frontier </t>
    </r>
    <r>
      <rPr>
        <sz val="11"/>
        <color theme="1"/>
        <rFont val="Noto Sans CJK SC"/>
        <family val="2"/>
      </rPr>
      <t xml:space="preserve">直飞</t>
    </r>
    <r>
      <rPr>
        <sz val="11"/>
        <color theme="1"/>
        <rFont val="Calibri"/>
        <family val="2"/>
        <charset val="1"/>
      </rPr>
      <t xml:space="preserve">)</t>
    </r>
  </si>
  <si>
    <t xml:space="preserve">Google Flights</t>
  </si>
  <si>
    <r>
      <rPr>
        <sz val="11"/>
        <color theme="1"/>
        <rFont val="Noto Sans CJK SC"/>
        <family val="2"/>
      </rPr>
      <t xml:space="preserve">同上</t>
    </r>
    <r>
      <rPr>
        <sz val="11"/>
        <color theme="1"/>
        <rFont val="Calibri"/>
        <family val="2"/>
        <charset val="1"/>
      </rPr>
      <t xml:space="preserve">; Frontier</t>
    </r>
    <r>
      <rPr>
        <sz val="11"/>
        <color theme="1"/>
        <rFont val="Noto Sans CJK SC"/>
        <family val="2"/>
      </rPr>
      <t xml:space="preserve">基础经济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行李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选座另计</t>
    </r>
  </si>
  <si>
    <r>
      <rPr>
        <sz val="11"/>
        <color theme="1"/>
        <rFont val="Noto Sans CJK SC"/>
        <family val="2"/>
      </rPr>
      <t xml:space="preserve">机票 </t>
    </r>
    <r>
      <rPr>
        <sz val="11"/>
        <color theme="1"/>
        <rFont val="Calibri"/>
        <family val="2"/>
        <charset val="1"/>
      </rPr>
      <t xml:space="preserve">Phoenix PHX</t>
    </r>
  </si>
  <si>
    <r>
      <rPr>
        <sz val="11"/>
        <color theme="1"/>
        <rFont val="Calibri"/>
        <family val="2"/>
        <charset val="1"/>
      </rPr>
      <t xml:space="preserve">RT $473.00 (DCA↔PHX, 1</t>
    </r>
    <r>
      <rPr>
        <sz val="11"/>
        <color theme="1"/>
        <rFont val="Noto Sans CJK SC"/>
        <family val="2"/>
      </rPr>
      <t xml:space="preserve">中转</t>
    </r>
    <r>
      <rPr>
        <sz val="11"/>
        <color theme="1"/>
        <rFont val="Calibri"/>
        <family val="2"/>
        <charset val="1"/>
      </rPr>
      <t xml:space="preserve">JFK; </t>
    </r>
    <r>
      <rPr>
        <sz val="11"/>
        <color theme="1"/>
        <rFont val="Noto Sans CJK SC"/>
        <family val="2"/>
      </rPr>
      <t xml:space="preserve">直飞</t>
    </r>
    <r>
      <rPr>
        <sz val="11"/>
        <color theme="1"/>
        <rFont val="Calibri"/>
        <family val="2"/>
        <charset val="1"/>
      </rPr>
      <t xml:space="preserve">American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$546)</t>
    </r>
  </si>
  <si>
    <r>
      <rPr>
        <sz val="11"/>
        <color theme="1"/>
        <rFont val="Noto Sans CJK SC"/>
        <family val="2"/>
      </rPr>
      <t xml:space="preserve">同上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取最低价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直飞略高</t>
    </r>
  </si>
  <si>
    <r>
      <rPr>
        <sz val="11"/>
        <color theme="1"/>
        <rFont val="Noto Sans CJK SC"/>
        <family val="2"/>
      </rPr>
      <t xml:space="preserve">机票 </t>
    </r>
    <r>
      <rPr>
        <sz val="11"/>
        <color theme="1"/>
        <rFont val="Calibri"/>
        <family val="2"/>
        <charset val="1"/>
      </rPr>
      <t xml:space="preserve">Boston BOS</t>
    </r>
  </si>
  <si>
    <r>
      <rPr>
        <sz val="11"/>
        <color theme="1"/>
        <rFont val="Calibri"/>
        <family val="2"/>
        <charset val="1"/>
      </rPr>
      <t xml:space="preserve">RT $322.00 (DCA↔BOS, Delta </t>
    </r>
    <r>
      <rPr>
        <sz val="11"/>
        <color theme="1"/>
        <rFont val="Noto Sans CJK SC"/>
        <family val="2"/>
      </rPr>
      <t xml:space="preserve">直飞</t>
    </r>
    <r>
      <rPr>
        <sz val="11"/>
        <color theme="1"/>
        <rFont val="Calibri"/>
        <family val="2"/>
        <charset val="1"/>
      </rPr>
      <t xml:space="preserve">)</t>
    </r>
  </si>
  <si>
    <t xml:space="preserve">同上</t>
  </si>
  <si>
    <r>
      <rPr>
        <sz val="11"/>
        <color theme="1"/>
        <rFont val="Noto Sans CJK SC"/>
        <family val="2"/>
      </rPr>
      <t xml:space="preserve">机票 </t>
    </r>
    <r>
      <rPr>
        <sz val="11"/>
        <color theme="1"/>
        <rFont val="Calibri"/>
        <family val="2"/>
        <charset val="1"/>
      </rPr>
      <t xml:space="preserve">Seattle SEA</t>
    </r>
  </si>
  <si>
    <r>
      <rPr>
        <sz val="11"/>
        <color theme="1"/>
        <rFont val="Calibri"/>
        <family val="2"/>
        <charset val="1"/>
      </rPr>
      <t xml:space="preserve">RT $643.00 (DCA↔SEA, Frontier 1</t>
    </r>
    <r>
      <rPr>
        <sz val="11"/>
        <color theme="1"/>
        <rFont val="Noto Sans CJK SC"/>
        <family val="2"/>
      </rPr>
      <t xml:space="preserve">中转</t>
    </r>
    <r>
      <rPr>
        <sz val="11"/>
        <color theme="1"/>
        <rFont val="Calibri"/>
        <family val="2"/>
        <charset val="1"/>
      </rPr>
      <t xml:space="preserve">DEN; </t>
    </r>
    <r>
      <rPr>
        <sz val="11"/>
        <color theme="1"/>
        <rFont val="Noto Sans CJK SC"/>
        <family val="2"/>
      </rPr>
      <t xml:space="preserve">直飞</t>
    </r>
    <r>
      <rPr>
        <sz val="11"/>
        <color theme="1"/>
        <rFont val="Calibri"/>
        <family val="2"/>
        <charset val="1"/>
      </rPr>
      <t xml:space="preserve">Alaska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$977)</t>
    </r>
  </si>
  <si>
    <r>
      <rPr>
        <sz val="11"/>
        <color theme="1"/>
        <rFont val="Noto Sans CJK SC"/>
        <family val="2"/>
      </rPr>
      <t xml:space="preserve">同上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当前票价偏高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页面提示 </t>
    </r>
    <r>
      <rPr>
        <sz val="11"/>
        <color theme="1"/>
        <rFont val="Calibri"/>
        <family val="2"/>
        <charset val="1"/>
      </rPr>
      <t xml:space="preserve">Prices high)</t>
    </r>
  </si>
  <si>
    <r>
      <rPr>
        <sz val="11"/>
        <color theme="1"/>
        <rFont val="Noto Sans CJK SC"/>
        <family val="2"/>
      </rPr>
      <t xml:space="preserve">住宿上限 </t>
    </r>
    <r>
      <rPr>
        <sz val="11"/>
        <color theme="1"/>
        <rFont val="Calibri"/>
        <family val="2"/>
        <charset val="1"/>
      </rPr>
      <t xml:space="preserve">Lodging cap</t>
    </r>
  </si>
  <si>
    <r>
      <rPr>
        <sz val="11"/>
        <color theme="1"/>
        <rFont val="Calibri"/>
        <family val="2"/>
        <charset val="1"/>
      </rPr>
      <t xml:space="preserve">Chi 232/232/232/148; Den 170; Phx 165; Bos 213; Sea 188 (</t>
    </r>
    <r>
      <rPr>
        <sz val="11"/>
        <color theme="1"/>
        <rFont val="Noto Sans CJK SC"/>
        <family val="2"/>
      </rPr>
      <t xml:space="preserve">每夜</t>
    </r>
    <r>
      <rPr>
        <sz val="11"/>
        <color theme="1"/>
        <rFont val="Calibri"/>
        <family val="2"/>
        <charset val="1"/>
      </rPr>
      <t xml:space="preserve">)</t>
    </r>
  </si>
  <si>
    <t xml:space="preserve">GSA FY2027 Per Diem (FY2027_PerDiemRates_Validated090126.xlsx)</t>
  </si>
  <si>
    <t xml:space="preserve">Validated 2026-09-01</t>
  </si>
  <si>
    <r>
      <rPr>
        <sz val="11"/>
        <color theme="1"/>
        <rFont val="Noto Sans CJK SC"/>
        <family val="2"/>
      </rPr>
      <t xml:space="preserve">按入住日所属季节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芝加哥</t>
    </r>
    <r>
      <rPr>
        <sz val="11"/>
        <color theme="1"/>
        <rFont val="Calibri"/>
        <family val="2"/>
        <charset val="1"/>
      </rPr>
      <t xml:space="preserve">12/1</t>
    </r>
    <r>
      <rPr>
        <sz val="11"/>
        <color theme="1"/>
        <rFont val="Noto Sans CJK SC"/>
        <family val="2"/>
      </rPr>
      <t xml:space="preserve">起降至</t>
    </r>
    <r>
      <rPr>
        <sz val="11"/>
        <color theme="1"/>
        <rFont val="Calibri"/>
        <family val="2"/>
        <charset val="1"/>
      </rPr>
      <t xml:space="preserve">148; </t>
    </r>
    <r>
      <rPr>
        <sz val="11"/>
        <color theme="1"/>
        <rFont val="Noto Sans CJK SC"/>
        <family val="2"/>
      </rPr>
      <t xml:space="preserve">为可报销上限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实订须≤上限且含早餐</t>
    </r>
  </si>
  <si>
    <r>
      <rPr>
        <sz val="11"/>
        <color theme="1"/>
        <rFont val="Calibri"/>
        <family val="2"/>
        <charset val="1"/>
      </rPr>
      <t xml:space="preserve">M&amp;IE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</si>
  <si>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全部候选地 </t>
    </r>
    <r>
      <rPr>
        <sz val="11"/>
        <color theme="1"/>
        <rFont val="Calibri"/>
        <family val="2"/>
        <charset val="1"/>
      </rPr>
      <t xml:space="preserve">$92/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首末日 </t>
    </r>
    <r>
      <rPr>
        <sz val="11"/>
        <color theme="1"/>
        <rFont val="Calibri"/>
        <family val="2"/>
        <charset val="1"/>
      </rPr>
      <t xml:space="preserve">$69</t>
    </r>
  </si>
  <si>
    <t xml:space="preserve">GSA FY2027 Per Diem file</t>
  </si>
  <si>
    <r>
      <rPr>
        <sz val="11"/>
        <color theme="1"/>
        <rFont val="Noto Sans CJK SC"/>
        <family val="2"/>
      </rPr>
      <t xml:space="preserve">首末日</t>
    </r>
    <r>
      <rPr>
        <sz val="11"/>
        <color theme="1"/>
        <rFont val="Calibri"/>
        <family val="2"/>
        <charset val="1"/>
      </rPr>
      <t xml:space="preserve">75% (FTR 301-11.101)</t>
    </r>
  </si>
  <si>
    <r>
      <rPr>
        <sz val="11"/>
        <color theme="1"/>
        <rFont val="Calibri"/>
        <family val="2"/>
        <charset val="1"/>
      </rPr>
      <t xml:space="preserve">M&amp;IE </t>
    </r>
    <r>
      <rPr>
        <sz val="11"/>
        <color theme="1"/>
        <rFont val="Noto Sans CJK SC"/>
        <family val="2"/>
      </rPr>
      <t xml:space="preserve">分项</t>
    </r>
  </si>
  <si>
    <r>
      <rPr>
        <sz val="11"/>
        <color theme="1"/>
        <rFont val="Noto Sans CJK SC"/>
        <family val="2"/>
      </rPr>
      <t xml:space="preserve">早</t>
    </r>
    <r>
      <rPr>
        <sz val="11"/>
        <color theme="1"/>
        <rFont val="Calibri"/>
        <family val="2"/>
        <charset val="1"/>
      </rPr>
      <t xml:space="preserve">$23/</t>
    </r>
    <r>
      <rPr>
        <sz val="11"/>
        <color theme="1"/>
        <rFont val="Noto Sans CJK SC"/>
        <family val="2"/>
      </rPr>
      <t xml:space="preserve">午</t>
    </r>
    <r>
      <rPr>
        <sz val="11"/>
        <color theme="1"/>
        <rFont val="Calibri"/>
        <family val="2"/>
        <charset val="1"/>
      </rPr>
      <t xml:space="preserve">$26/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$38/</t>
    </r>
    <r>
      <rPr>
        <sz val="11"/>
        <color theme="1"/>
        <rFont val="Noto Sans CJK SC"/>
        <family val="2"/>
      </rPr>
      <t xml:space="preserve">杂</t>
    </r>
    <r>
      <rPr>
        <sz val="11"/>
        <color theme="1"/>
        <rFont val="Calibri"/>
        <family val="2"/>
        <charset val="1"/>
      </rPr>
      <t xml:space="preserve">$5</t>
    </r>
  </si>
  <si>
    <r>
      <rPr>
        <sz val="11"/>
        <color theme="1"/>
        <rFont val="Calibri"/>
        <family val="2"/>
        <charset val="1"/>
      </rPr>
      <t xml:space="preserve">GSA FY2025 M&amp;IE Breakdown (GSA_FY2025_MIE_Breakdown.docx), $92</t>
    </r>
    <r>
      <rPr>
        <sz val="11"/>
        <color theme="1"/>
        <rFont val="Noto Sans CJK SC"/>
        <family val="2"/>
      </rPr>
      <t xml:space="preserve">档</t>
    </r>
  </si>
  <si>
    <t xml:space="preserve">FY2025</t>
  </si>
  <si>
    <r>
      <rPr>
        <sz val="11"/>
        <color theme="1"/>
        <rFont val="Noto Sans CJK SC"/>
        <family val="2"/>
      </rPr>
      <t xml:space="preserve">适用于</t>
    </r>
    <r>
      <rPr>
        <sz val="11"/>
        <color theme="1"/>
        <rFont val="Calibri"/>
        <family val="2"/>
        <charset val="1"/>
      </rPr>
      <t xml:space="preserve">$92</t>
    </r>
    <r>
      <rPr>
        <sz val="11"/>
        <color theme="1"/>
        <rFont val="Noto Sans CJK SC"/>
        <family val="2"/>
      </rPr>
      <t xml:space="preserve">档</t>
    </r>
    <r>
      <rPr>
        <sz val="11"/>
        <color theme="1"/>
        <rFont val="Calibri"/>
        <family val="2"/>
        <charset val="1"/>
      </rPr>
      <t xml:space="preserve">; FY2027</t>
    </r>
    <r>
      <rPr>
        <sz val="11"/>
        <color theme="1"/>
        <rFont val="Noto Sans CJK SC"/>
        <family val="2"/>
      </rPr>
      <t xml:space="preserve">分项官方表待核对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待核实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</si>
  <si>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供餐扣减 </t>
    </r>
    <r>
      <rPr>
        <sz val="11"/>
        <color theme="1"/>
        <rFont val="Calibri"/>
        <family val="2"/>
        <charset val="1"/>
      </rPr>
      <t xml:space="preserve">Meal deductions</t>
    </r>
  </si>
  <si>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;11/29</t>
    </r>
    <r>
      <rPr>
        <sz val="11"/>
        <color theme="1"/>
        <rFont val="Noto Sans CJK SC"/>
        <family val="2"/>
      </rPr>
      <t xml:space="preserve">午</t>
    </r>
    <r>
      <rPr>
        <sz val="11"/>
        <color theme="1"/>
        <rFont val="Calibri"/>
        <family val="2"/>
        <charset val="1"/>
      </rPr>
      <t xml:space="preserve">;11/30</t>
    </r>
    <r>
      <rPr>
        <sz val="11"/>
        <color theme="1"/>
        <rFont val="Noto Sans CJK SC"/>
        <family val="2"/>
      </rPr>
      <t xml:space="preserve">午</t>
    </r>
    <r>
      <rPr>
        <sz val="11"/>
        <color theme="1"/>
        <rFont val="Calibri"/>
        <family val="2"/>
        <charset val="1"/>
      </rPr>
      <t xml:space="preserve">;12/1</t>
    </r>
    <r>
      <rPr>
        <sz val="11"/>
        <color theme="1"/>
        <rFont val="Noto Sans CJK SC"/>
        <family val="2"/>
      </rPr>
      <t xml:space="preserve">午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;12/2</t>
    </r>
    <r>
      <rPr>
        <sz val="11"/>
        <color theme="1"/>
        <rFont val="Noto Sans CJK SC"/>
        <family val="2"/>
      </rPr>
      <t xml:space="preserve">午</t>
    </r>
  </si>
  <si>
    <r>
      <rPr>
        <sz val="11"/>
        <color theme="1"/>
        <rFont val="Noto Sans CJK SC"/>
        <family val="2"/>
      </rPr>
      <t xml:space="preserve">题面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注册含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午餐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机构供</t>
    </r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/12/1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/12/2</t>
    </r>
    <r>
      <rPr>
        <sz val="11"/>
        <color theme="1"/>
        <rFont val="Noto Sans CJK SC"/>
        <family val="2"/>
      </rPr>
      <t xml:space="preserve">午</t>
    </r>
    <r>
      <rPr>
        <sz val="11"/>
        <color theme="1"/>
        <rFont val="Calibri"/>
        <family val="2"/>
        <charset val="1"/>
      </rPr>
      <t xml:space="preserve">) + FTR 301-11.18 / RD 2036-A §2036.11(d)</t>
    </r>
  </si>
  <si>
    <r>
      <rPr>
        <sz val="11"/>
        <color theme="1"/>
        <rFont val="Noto Sans CJK SC"/>
        <family val="2"/>
      </rPr>
      <t xml:space="preserve">酒店免费早餐不扣减</t>
    </r>
    <r>
      <rPr>
        <sz val="11"/>
        <color theme="1"/>
        <rFont val="Calibri"/>
        <family val="2"/>
        <charset val="1"/>
      </rPr>
      <t xml:space="preserve">(FTR 301-11.17); </t>
    </r>
    <r>
      <rPr>
        <sz val="11"/>
        <color theme="1"/>
        <rFont val="Noto Sans CJK SC"/>
        <family val="2"/>
      </rPr>
      <t xml:space="preserve">茶歇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咖啡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水果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light refreshments</t>
    </r>
    <r>
      <rPr>
        <sz val="11"/>
        <color theme="1"/>
        <rFont val="Noto Sans CJK SC"/>
        <family val="2"/>
      </rPr>
      <t xml:space="preserve">不扣减</t>
    </r>
    <r>
      <rPr>
        <sz val="11"/>
        <color theme="1"/>
        <rFont val="Calibri"/>
        <family val="2"/>
        <charset val="1"/>
      </rPr>
      <t xml:space="preserve">(301-74.7/.21)</t>
    </r>
  </si>
  <si>
    <r>
      <rPr>
        <sz val="11"/>
        <color theme="1"/>
        <rFont val="Noto Sans CJK SC"/>
        <family val="2"/>
      </rPr>
      <t xml:space="preserve">每人 </t>
    </r>
    <r>
      <rPr>
        <sz val="11"/>
        <color theme="1"/>
        <rFont val="Calibri"/>
        <family val="2"/>
        <charset val="1"/>
      </rPr>
      <t xml:space="preserve">M&amp;IE </t>
    </r>
    <r>
      <rPr>
        <sz val="11"/>
        <color theme="1"/>
        <rFont val="Noto Sans CJK SC"/>
        <family val="2"/>
      </rPr>
      <t xml:space="preserve">合计</t>
    </r>
  </si>
  <si>
    <r>
      <rPr>
        <sz val="11"/>
        <color theme="1"/>
        <rFont val="Calibri"/>
        <family val="2"/>
        <charset val="1"/>
      </rPr>
      <t xml:space="preserve">$234.00 (</t>
    </r>
    <r>
      <rPr>
        <sz val="11"/>
        <color theme="1"/>
        <rFont val="Noto Sans CJK SC"/>
        <family val="2"/>
      </rPr>
      <t xml:space="preserve">默认</t>
    </r>
    <r>
      <rPr>
        <sz val="11"/>
        <color theme="1"/>
        <rFont val="Calibri"/>
        <family val="2"/>
        <charset val="1"/>
      </rPr>
      <t xml:space="preserve">; 11/29</t>
    </r>
    <r>
      <rPr>
        <sz val="11"/>
        <color theme="1"/>
        <rFont val="Noto Sans CJK SC"/>
        <family val="2"/>
      </rPr>
      <t xml:space="preserve">政府早餐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是则</t>
    </r>
    <r>
      <rPr>
        <sz val="11"/>
        <color theme="1"/>
        <rFont val="Calibri"/>
        <family val="2"/>
        <charset val="1"/>
      </rPr>
      <t xml:space="preserve">$211.00)</t>
    </r>
  </si>
  <si>
    <r>
      <rPr>
        <sz val="11"/>
        <color theme="1"/>
        <rFont val="Noto Sans CJK SC"/>
        <family val="2"/>
      </rPr>
      <t xml:space="preserve">逐日计算见 </t>
    </r>
    <r>
      <rPr>
        <sz val="11"/>
        <color theme="1"/>
        <rFont val="Calibri"/>
        <family val="2"/>
        <charset val="1"/>
      </rPr>
      <t xml:space="preserve">Daily</t>
    </r>
  </si>
  <si>
    <r>
      <rPr>
        <sz val="11"/>
        <color theme="1"/>
        <rFont val="Noto Sans CJK SC"/>
        <family val="2"/>
      </rPr>
      <t xml:space="preserve">扣减后不低于杂费下限</t>
    </r>
    <r>
      <rPr>
        <sz val="11"/>
        <color theme="1"/>
        <rFont val="Calibri"/>
        <family val="2"/>
        <charset val="1"/>
      </rPr>
      <t xml:space="preserve">$5/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(301-11.18)</t>
    </r>
  </si>
  <si>
    <r>
      <rPr>
        <sz val="11"/>
        <color theme="1"/>
        <rFont val="Noto Sans CJK SC"/>
        <family val="2"/>
      </rPr>
      <t xml:space="preserve">住宿税 </t>
    </r>
    <r>
      <rPr>
        <sz val="11"/>
        <color theme="1"/>
        <rFont val="Calibri"/>
        <family val="2"/>
        <charset val="1"/>
      </rPr>
      <t xml:space="preserve">Lodging tax</t>
    </r>
  </si>
  <si>
    <r>
      <rPr>
        <sz val="11"/>
        <color theme="1"/>
        <rFont val="Noto Sans CJK SC"/>
        <family val="2"/>
      </rPr>
      <t xml:space="preserve">可报销住宿</t>
    </r>
    <r>
      <rPr>
        <sz val="11"/>
        <color theme="1"/>
        <rFont val="Calibri"/>
        <family val="2"/>
        <charset val="1"/>
      </rPr>
      <t xml:space="preserve">×12%</t>
    </r>
  </si>
  <si>
    <t xml:space="preserve">题面内部估算口径</t>
  </si>
  <si>
    <t xml:space="preserve">n/a</t>
  </si>
  <si>
    <r>
      <rPr>
        <sz val="11"/>
        <color theme="1"/>
        <rFont val="Noto Sans CJK SC"/>
        <family val="2"/>
      </rPr>
      <t xml:space="preserve">非当地实际税率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仅内部预算估算</t>
    </r>
  </si>
  <si>
    <r>
      <rPr>
        <sz val="11"/>
        <color theme="1"/>
        <rFont val="Noto Sans CJK SC"/>
        <family val="2"/>
      </rPr>
      <t xml:space="preserve">注册费 </t>
    </r>
    <r>
      <rPr>
        <sz val="11"/>
        <color theme="1"/>
        <rFont val="Calibri"/>
        <family val="2"/>
        <charset val="1"/>
      </rPr>
      <t xml:space="preserve">Registration</t>
    </r>
  </si>
  <si>
    <r>
      <rPr>
        <sz val="11"/>
        <color theme="1"/>
        <rFont val="Calibri"/>
        <family val="2"/>
        <charset val="1"/>
      </rPr>
      <t xml:space="preserve">$180/</t>
    </r>
    <r>
      <rPr>
        <sz val="11"/>
        <color theme="1"/>
        <rFont val="Noto Sans CJK SC"/>
        <family val="2"/>
      </rPr>
      <t xml:space="preserve">人</t>
    </r>
  </si>
  <si>
    <t xml:space="preserve">题面</t>
  </si>
  <si>
    <r>
      <rPr>
        <sz val="11"/>
        <color theme="1"/>
        <rFont val="Noto Sans CJK SC"/>
        <family val="2"/>
      </rPr>
      <t xml:space="preserve">本地交通 </t>
    </r>
    <r>
      <rPr>
        <sz val="11"/>
        <color theme="1"/>
        <rFont val="Calibri"/>
        <family val="2"/>
        <charset val="1"/>
      </rPr>
      <t xml:space="preserve">Local transit</t>
    </r>
  </si>
  <si>
    <r>
      <rPr>
        <sz val="11"/>
        <color theme="1"/>
        <rFont val="Calibri"/>
        <family val="2"/>
        <charset val="1"/>
      </rPr>
      <t xml:space="preserve">Chi70/Den80/Phx50/Bos50/Sea65 (</t>
    </r>
    <r>
      <rPr>
        <sz val="11"/>
        <color theme="1"/>
        <rFont val="Noto Sans CJK SC"/>
        <family val="2"/>
      </rPr>
      <t xml:space="preserve">每人往返估算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</si>
  <si>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内部估算</t>
    </r>
    <r>
      <rPr>
        <sz val="11"/>
        <color theme="1"/>
        <rFont val="Calibri"/>
        <family val="2"/>
        <charset val="1"/>
      </rPr>
      <t xml:space="preserve">: HQ↔DCA + </t>
    </r>
    <r>
      <rPr>
        <sz val="11"/>
        <color theme="1"/>
        <rFont val="Noto Sans CJK SC"/>
        <family val="2"/>
      </rPr>
      <t xml:space="preserve">目的地机场↔市区往返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公共交通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出租均值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</si>
  <si>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估算非正式报价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批准前需实际核定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待核实</t>
    </r>
    <r>
      <rPr>
        <sz val="11"/>
        <color theme="1"/>
        <rFont val="Calibri"/>
        <family val="2"/>
        <charset val="1"/>
      </rPr>
      <t xml:space="preserve">): ORD~18mi,DEN~25mi,PHX~4mi,BOS~4mi,SEA~15mi</t>
    </r>
  </si>
  <si>
    <r>
      <rPr>
        <sz val="11"/>
        <color theme="1"/>
        <rFont val="Noto Sans CJK SC"/>
        <family val="2"/>
      </rPr>
      <t xml:space="preserve">应急储备 </t>
    </r>
    <r>
      <rPr>
        <sz val="11"/>
        <color theme="1"/>
        <rFont val="Calibri"/>
        <family val="2"/>
        <charset val="1"/>
      </rPr>
      <t xml:space="preserve">Reserve</t>
    </r>
  </si>
  <si>
    <r>
      <rPr>
        <sz val="11"/>
        <color theme="1"/>
        <rFont val="Noto Sans CJK SC"/>
        <family val="2"/>
      </rPr>
      <t xml:space="preserve">基础费用小计 </t>
    </r>
    <r>
      <rPr>
        <sz val="11"/>
        <color theme="1"/>
        <rFont val="Calibri"/>
        <family val="2"/>
        <charset val="1"/>
      </rPr>
      <t xml:space="preserve">×5%</t>
    </r>
  </si>
  <si>
    <r>
      <rPr>
        <sz val="11"/>
        <color theme="1"/>
        <rFont val="Noto Sans CJK SC"/>
        <family val="2"/>
      </rPr>
      <t xml:space="preserve">适用于基础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可计算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小计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纳入待询价后须重算</t>
    </r>
  </si>
  <si>
    <r>
      <rPr>
        <sz val="11"/>
        <color theme="1"/>
        <rFont val="Noto Sans CJK SC"/>
        <family val="2"/>
      </rPr>
      <t xml:space="preserve">预算上限 </t>
    </r>
    <r>
      <rPr>
        <sz val="11"/>
        <color theme="1"/>
        <rFont val="Calibri"/>
        <family val="2"/>
        <charset val="1"/>
      </rPr>
      <t xml:space="preserve">Cap</t>
    </r>
  </si>
  <si>
    <r>
      <rPr>
        <sz val="11"/>
        <color theme="1"/>
        <rFont val="Calibri"/>
        <family val="2"/>
        <charset val="1"/>
      </rPr>
      <t xml:space="preserve">$53,000 (</t>
    </r>
    <r>
      <rPr>
        <sz val="11"/>
        <color theme="1"/>
        <rFont val="Noto Sans CJK SC"/>
        <family val="2"/>
      </rPr>
      <t xml:space="preserve">含储备</t>
    </r>
    <r>
      <rPr>
        <sz val="11"/>
        <color theme="1"/>
        <rFont val="Calibri"/>
        <family val="2"/>
        <charset val="1"/>
      </rPr>
      <t xml:space="preserve">)</t>
    </r>
  </si>
  <si>
    <t xml:space="preserve">各方案含储备总额不得超过</t>
  </si>
  <si>
    <r>
      <rPr>
        <sz val="11"/>
        <color theme="1"/>
        <rFont val="Noto Sans CJK SC"/>
        <family val="2"/>
      </rPr>
      <t xml:space="preserve">场地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会议室 </t>
    </r>
    <r>
      <rPr>
        <sz val="11"/>
        <color theme="1"/>
        <rFont val="Calibri"/>
        <family val="2"/>
        <charset val="1"/>
      </rPr>
      <t xml:space="preserve">Venue</t>
    </r>
  </si>
  <si>
    <r>
      <rPr>
        <sz val="11"/>
        <color theme="1"/>
        <rFont val="Noto Sans CJK SC"/>
        <family val="2"/>
      </rPr>
      <t xml:space="preserve">待询价 </t>
    </r>
    <r>
      <rPr>
        <sz val="11"/>
        <color theme="1"/>
        <rFont val="Calibri"/>
        <family val="2"/>
        <charset val="1"/>
      </rPr>
      <t xml:space="preserve">TBD</t>
    </r>
  </si>
  <si>
    <r>
      <rPr>
        <sz val="11"/>
        <color theme="1"/>
        <rFont val="Noto Sans CJK SC"/>
        <family val="2"/>
      </rPr>
      <t xml:space="preserve">尚无报价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资质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采购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资金未核验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题面</t>
    </r>
    <r>
      <rPr>
        <sz val="11"/>
        <color theme="1"/>
        <rFont val="Calibri"/>
        <family val="2"/>
        <charset val="1"/>
      </rPr>
      <t xml:space="preserve">)</t>
    </r>
  </si>
  <si>
    <t xml:space="preserve">pending</t>
  </si>
  <si>
    <r>
      <rPr>
        <sz val="11"/>
        <color theme="1"/>
        <rFont val="Calibri"/>
        <family val="2"/>
        <charset val="1"/>
      </rPr>
      <t xml:space="preserve">FTR 301-74.2(b) room hire; </t>
    </r>
    <r>
      <rPr>
        <sz val="11"/>
        <color theme="1"/>
        <rFont val="Noto Sans CJK SC"/>
        <family val="2"/>
      </rPr>
      <t xml:space="preserve">须</t>
    </r>
    <r>
      <rPr>
        <sz val="11"/>
        <color theme="1"/>
        <rFont val="Calibri"/>
        <family val="2"/>
        <charset val="1"/>
      </rPr>
      <t xml:space="preserve">FEMA</t>
    </r>
    <r>
      <rPr>
        <sz val="11"/>
        <color theme="1"/>
        <rFont val="Noto Sans CJK SC"/>
        <family val="2"/>
      </rPr>
      <t xml:space="preserve">核准设施 </t>
    </r>
    <r>
      <rPr>
        <sz val="11"/>
        <color theme="1"/>
        <rFont val="Calibri"/>
        <family val="2"/>
        <charset val="1"/>
      </rPr>
      <t xml:space="preserve">FTR 301-74.10 / RD 2036-A §2036.74(a)</t>
    </r>
  </si>
  <si>
    <r>
      <rPr>
        <sz val="11"/>
        <color theme="1"/>
        <rFont val="Noto Sans CJK SC"/>
        <family val="2"/>
      </rPr>
      <t xml:space="preserve">机构供餐费 </t>
    </r>
    <r>
      <rPr>
        <sz val="11"/>
        <color theme="1"/>
        <rFont val="Calibri"/>
        <family val="2"/>
        <charset val="1"/>
      </rPr>
      <t xml:space="preserve">Catered meals</t>
    </r>
  </si>
  <si>
    <t xml:space="preserve">尚无餐饮报价</t>
  </si>
  <si>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/12/1</t>
    </r>
    <r>
      <rPr>
        <sz val="11"/>
        <color theme="1"/>
        <rFont val="Noto Sans CJK SC"/>
        <family val="2"/>
      </rPr>
      <t xml:space="preserve">晚</t>
    </r>
    <r>
      <rPr>
        <sz val="11"/>
        <color theme="1"/>
        <rFont val="Calibri"/>
        <family val="2"/>
        <charset val="1"/>
      </rPr>
      <t xml:space="preserve">/12/2</t>
    </r>
    <r>
      <rPr>
        <sz val="11"/>
        <color theme="1"/>
        <rFont val="Noto Sans CJK SC"/>
        <family val="2"/>
      </rPr>
      <t xml:space="preserve">午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须竞争性采购</t>
    </r>
    <r>
      <rPr>
        <sz val="11"/>
        <color theme="1"/>
        <rFont val="Calibri"/>
        <family val="2"/>
        <charset val="1"/>
      </rPr>
      <t xml:space="preserve">(RD 2036-A §2036.74(b)(7))</t>
    </r>
  </si>
  <si>
    <r>
      <rPr>
        <b val="true"/>
        <sz val="11"/>
        <rFont val="Noto Sans CJK SC"/>
        <family val="2"/>
      </rPr>
      <t xml:space="preserve">合规依据 </t>
    </r>
    <r>
      <rPr>
        <b val="true"/>
        <sz val="11"/>
        <rFont val="Cambria"/>
        <family val="0"/>
        <charset val="1"/>
      </rPr>
      <t xml:space="preserve">/ Compliance references (</t>
    </r>
    <r>
      <rPr>
        <b val="true"/>
        <sz val="11"/>
        <rFont val="Noto Sans CJK SC"/>
        <family val="2"/>
      </rPr>
      <t xml:space="preserve">区分法规要求与内部建议</t>
    </r>
    <r>
      <rPr>
        <b val="true"/>
        <sz val="11"/>
        <rFont val="Cambria"/>
        <family val="0"/>
        <charset val="1"/>
      </rPr>
      <t xml:space="preserve">):</t>
    </r>
  </si>
  <si>
    <r>
      <rPr>
        <sz val="11"/>
        <color theme="1"/>
        <rFont val="Calibri"/>
        <family val="2"/>
        <charset val="1"/>
      </rPr>
      <t xml:space="preserve">FTR 41 CFR 301-11.17: </t>
    </r>
    <r>
      <rPr>
        <sz val="11"/>
        <color theme="1"/>
        <rFont val="Noto Sans CJK SC"/>
        <family val="2"/>
      </rPr>
      <t xml:space="preserve">酒店免费早餐与承运人供餐不减</t>
    </r>
    <r>
      <rPr>
        <sz val="11"/>
        <color theme="1"/>
        <rFont val="Calibri"/>
        <family val="2"/>
        <charset val="1"/>
      </rPr>
      <t xml:space="preserve">per diem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</si>
  <si>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FTR 41 CFR 301-11.18: </t>
    </r>
    <r>
      <rPr>
        <sz val="11"/>
        <color theme="1"/>
        <rFont val="Noto Sans CJK SC"/>
        <family val="2"/>
      </rPr>
      <t xml:space="preserve">政府供餐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注册含餐须按</t>
    </r>
    <r>
      <rPr>
        <sz val="11"/>
        <color theme="1"/>
        <rFont val="Calibri"/>
        <family val="2"/>
        <charset val="1"/>
      </rPr>
      <t xml:space="preserve">GSA</t>
    </r>
    <r>
      <rPr>
        <sz val="11"/>
        <color theme="1"/>
        <rFont val="Noto Sans CJK SC"/>
        <family val="2"/>
      </rPr>
      <t xml:space="preserve">分项扣减</t>
    </r>
    <r>
      <rPr>
        <sz val="11"/>
        <color theme="1"/>
        <rFont val="Calibri"/>
        <family val="2"/>
        <charset val="1"/>
      </rPr>
      <t xml:space="preserve">M&amp;IE; </t>
    </r>
    <r>
      <rPr>
        <sz val="11"/>
        <color theme="1"/>
        <rFont val="Noto Sans CJK SC"/>
        <family val="2"/>
      </rPr>
      <t xml:space="preserve">首末日从降后</t>
    </r>
    <r>
      <rPr>
        <sz val="11"/>
        <color theme="1"/>
        <rFont val="Calibri"/>
        <family val="2"/>
        <charset val="1"/>
      </rPr>
      <t xml:space="preserve">(75%)</t>
    </r>
    <r>
      <rPr>
        <sz val="11"/>
        <color theme="1"/>
        <rFont val="Noto Sans CJK SC"/>
        <family val="2"/>
      </rPr>
      <t xml:space="preserve">额扣全额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不低于杂费额。</t>
    </r>
  </si>
  <si>
    <r>
      <rPr>
        <sz val="11"/>
        <color theme="1"/>
        <rFont val="Calibri"/>
        <family val="2"/>
        <charset val="1"/>
      </rPr>
      <t xml:space="preserve">FTR 41 CFR 301-11.100 / .101: </t>
    </r>
    <r>
      <rPr>
        <sz val="11"/>
        <color theme="1"/>
        <rFont val="Noto Sans CJK SC"/>
        <family val="2"/>
      </rPr>
      <t xml:space="preserve">住宿实报不超当地上限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首末日</t>
    </r>
    <r>
      <rPr>
        <sz val="11"/>
        <color theme="1"/>
        <rFont val="Calibri"/>
        <family val="2"/>
        <charset val="1"/>
      </rPr>
      <t xml:space="preserve">M&amp;IE</t>
    </r>
    <r>
      <rPr>
        <sz val="11"/>
        <color theme="1"/>
        <rFont val="Noto Sans CJK SC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</si>
  <si>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FTR 41 CFR 301-74.2/.4/.5: </t>
    </r>
    <r>
      <rPr>
        <sz val="11"/>
        <color theme="1"/>
        <rFont val="Noto Sans CJK SC"/>
        <family val="2"/>
      </rPr>
      <t xml:space="preserve">会议成本须含差旅</t>
    </r>
    <r>
      <rPr>
        <sz val="11"/>
        <color theme="1"/>
        <rFont val="Calibri"/>
        <family val="2"/>
        <charset val="1"/>
      </rPr>
      <t xml:space="preserve">/per diem/</t>
    </r>
    <r>
      <rPr>
        <sz val="11"/>
        <color theme="1"/>
        <rFont val="Noto Sans CJK SC"/>
        <family val="2"/>
      </rPr>
      <t xml:space="preserve">会议室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地面交通等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比较须用既定</t>
    </r>
    <r>
      <rPr>
        <sz val="11"/>
        <color theme="1"/>
        <rFont val="Calibri"/>
        <family val="2"/>
        <charset val="1"/>
      </rPr>
      <t xml:space="preserve">per diem</t>
    </r>
    <r>
      <rPr>
        <sz val="11"/>
        <color theme="1"/>
        <rFont val="Noto Sans CJK SC"/>
        <family val="2"/>
      </rPr>
      <t xml:space="preserve">率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选址以最小成本为原则。</t>
    </r>
  </si>
  <si>
    <r>
      <rPr>
        <sz val="11"/>
        <color theme="1"/>
        <rFont val="Calibri"/>
        <family val="2"/>
        <charset val="1"/>
      </rPr>
      <t xml:space="preserve">FTR 41 CFR 301-74.7/.21: </t>
    </r>
    <r>
      <rPr>
        <sz val="11"/>
        <color theme="1"/>
        <rFont val="Noto Sans CJK SC"/>
        <family val="2"/>
      </rPr>
      <t xml:space="preserve">可提供茶歇</t>
    </r>
    <r>
      <rPr>
        <sz val="11"/>
        <color theme="1"/>
        <rFont val="Calibri"/>
        <family val="2"/>
        <charset val="1"/>
      </rPr>
      <t xml:space="preserve">(light refreshments), </t>
    </r>
    <r>
      <rPr>
        <sz val="11"/>
        <color theme="1"/>
        <rFont val="Noto Sans CJK SC"/>
        <family val="2"/>
      </rPr>
      <t xml:space="preserve">不扣</t>
    </r>
    <r>
      <rPr>
        <sz val="11"/>
        <color theme="1"/>
        <rFont val="Calibri"/>
        <family val="2"/>
        <charset val="1"/>
      </rPr>
      <t xml:space="preserve">M&amp;IE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</si>
  <si>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RD Instruction 2036-A (</t>
    </r>
    <r>
      <rPr>
        <sz val="11"/>
        <color theme="1"/>
        <rFont val="Noto Sans CJK SC"/>
        <family val="2"/>
      </rPr>
      <t xml:space="preserve">生效 </t>
    </r>
    <r>
      <rPr>
        <sz val="11"/>
        <color theme="1"/>
        <rFont val="Calibri"/>
        <family val="2"/>
        <charset val="1"/>
      </rPr>
      <t xml:space="preserve">2024-07-19) §2036.74(a): </t>
    </r>
    <r>
      <rPr>
        <sz val="11"/>
        <color theme="1"/>
        <rFont val="Noto Sans CJK SC"/>
        <family val="2"/>
      </rPr>
      <t xml:space="preserve">须对≥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个地理上分散地点做成本比较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禁止拆分事件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采购。</t>
    </r>
  </si>
  <si>
    <r>
      <rPr>
        <sz val="11"/>
        <color theme="1"/>
        <rFont val="Calibri"/>
        <family val="2"/>
        <charset val="1"/>
      </rPr>
      <t xml:space="preserve">RD Instruction 2036-A §2036.74(b): </t>
    </r>
    <r>
      <rPr>
        <sz val="11"/>
        <color theme="1"/>
        <rFont val="Noto Sans CJK SC"/>
        <family val="2"/>
      </rPr>
      <t xml:space="preserve">机构总成本</t>
    </r>
    <r>
      <rPr>
        <sz val="11"/>
        <color theme="1"/>
        <rFont val="Calibri"/>
        <family val="2"/>
        <charset val="1"/>
      </rPr>
      <t xml:space="preserve">&gt;$20,000</t>
    </r>
    <r>
      <rPr>
        <sz val="11"/>
        <color theme="1"/>
        <rFont val="Noto Sans CJK SC"/>
        <family val="2"/>
      </rPr>
      <t xml:space="preserve">的会议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培训须经 </t>
    </r>
    <r>
      <rPr>
        <sz val="11"/>
        <color theme="1"/>
        <rFont val="Calibri"/>
        <family val="2"/>
        <charset val="1"/>
      </rPr>
      <t xml:space="preserve">OCFO </t>
    </r>
    <r>
      <rPr>
        <sz val="11"/>
        <color theme="1"/>
        <rFont val="Noto Sans CJK SC"/>
        <family val="2"/>
      </rPr>
      <t xml:space="preserve">事前批准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本预算约</t>
    </r>
    <r>
      <rPr>
        <sz val="11"/>
        <color theme="1"/>
        <rFont val="Calibri"/>
        <family val="2"/>
        <charset val="1"/>
      </rPr>
      <t xml:space="preserve">$42k, </t>
    </r>
    <r>
      <rPr>
        <sz val="11"/>
        <color theme="1"/>
        <rFont val="Noto Sans CJK SC"/>
        <family val="2"/>
      </rPr>
      <t xml:space="preserve">适用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Noto Sans CJK SC"/>
        <family val="2"/>
      </rPr>
      <t xml:space="preserve">阻断性审批。</t>
    </r>
  </si>
  <si>
    <r>
      <rPr>
        <sz val="11"/>
        <color theme="1"/>
        <rFont val="Calibri"/>
        <family val="2"/>
        <charset val="1"/>
      </rPr>
      <t xml:space="preserve">RD Instruction 2036-A §2036.11(d): </t>
    </r>
    <r>
      <rPr>
        <sz val="11"/>
        <color theme="1"/>
        <rFont val="Noto Sans CJK SC"/>
        <family val="2"/>
      </rPr>
      <t xml:space="preserve">政府供餐按</t>
    </r>
    <r>
      <rPr>
        <sz val="11"/>
        <color theme="1"/>
        <rFont val="Calibri"/>
        <family val="2"/>
        <charset val="1"/>
      </rPr>
      <t xml:space="preserve">301-11.18</t>
    </r>
    <r>
      <rPr>
        <sz val="11"/>
        <color theme="1"/>
        <rFont val="Noto Sans CJK SC"/>
        <family val="2"/>
      </rPr>
      <t xml:space="preserve">扣减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会议供餐者不得另报同餐。</t>
    </r>
  </si>
  <si>
    <r>
      <rPr>
        <sz val="11"/>
        <color theme="1"/>
        <rFont val="Calibri"/>
        <family val="2"/>
        <charset val="1"/>
      </rPr>
      <t xml:space="preserve">RD Instruction 2036-A </t>
    </r>
    <r>
      <rPr>
        <sz val="11"/>
        <color theme="1"/>
        <rFont val="Noto Sans CJK SC"/>
        <family val="2"/>
      </rPr>
      <t xml:space="preserve">交通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须经 </t>
    </r>
    <r>
      <rPr>
        <sz val="11"/>
        <color theme="1"/>
        <rFont val="Calibri"/>
        <family val="2"/>
        <charset val="1"/>
      </rPr>
      <t xml:space="preserve">e-Gov(ETS)</t>
    </r>
    <r>
      <rPr>
        <sz val="11"/>
        <color theme="1"/>
        <rFont val="Noto Sans CJK SC"/>
        <family val="2"/>
      </rPr>
      <t xml:space="preserve">提前≥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天订票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优先 </t>
    </r>
    <r>
      <rPr>
        <sz val="11"/>
        <color theme="1"/>
        <rFont val="Calibri"/>
        <family val="2"/>
        <charset val="1"/>
      </rPr>
      <t xml:space="preserve">contract city-pair </t>
    </r>
    <r>
      <rPr>
        <sz val="11"/>
        <color theme="1"/>
        <rFont val="Noto Sans CJK SC"/>
        <family val="2"/>
      </rPr>
      <t xml:space="preserve">合同价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本工作簿票价为市场最低价估算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实订以合同价为准 — 待核实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</si>
  <si>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RD Instruction 2036-A </t>
    </r>
    <r>
      <rPr>
        <sz val="11"/>
        <color theme="1"/>
        <rFont val="Noto Sans CJK SC"/>
        <family val="2"/>
      </rPr>
      <t xml:space="preserve">住宿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优先</t>
    </r>
    <r>
      <rPr>
        <sz val="11"/>
        <color theme="1"/>
        <rFont val="Calibri"/>
        <family val="2"/>
        <charset val="1"/>
      </rPr>
      <t xml:space="preserve">GSA</t>
    </r>
    <r>
      <rPr>
        <sz val="11"/>
        <color theme="1"/>
        <rFont val="Noto Sans CJK SC"/>
        <family val="2"/>
      </rPr>
      <t xml:space="preserve">合同</t>
    </r>
    <r>
      <rPr>
        <sz val="11"/>
        <color theme="1"/>
        <rFont val="Calibri"/>
        <family val="2"/>
        <charset val="1"/>
      </rPr>
      <t xml:space="preserve">/FEMA</t>
    </r>
    <r>
      <rPr>
        <sz val="11"/>
        <color theme="1"/>
        <rFont val="Noto Sans CJK SC"/>
        <family val="2"/>
      </rPr>
      <t xml:space="preserve">消防合规酒店</t>
    </r>
    <r>
      <rPr>
        <sz val="11"/>
        <color theme="1"/>
        <rFont val="Calibri"/>
        <family val="2"/>
        <charset val="1"/>
      </rPr>
      <t xml:space="preserve">(Hotel-Motel Fire Safety Act)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</si>
  <si>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内部建议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非法规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Noto Sans CJK SC"/>
        <family val="2"/>
      </rPr>
      <t xml:space="preserve">本地交通、场地与供餐为估算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待询价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须在批准前以实际报价替换并重算。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</si>
</sst>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i val="true"/>
      <sz val="11"/>
      <color rgb="FFC00000"/>
      <name val="Noto Sans CJK SC"/>
      <family val="2"/>
    </font>
    <font>
      <i val="true"/>
      <sz val="11"/>
      <color rgb="FFC00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1" t="s">
        <v>0</v>
      </c>
      <c r="B1" s="1"/>
      <c r="C1" s="1"/>
      <c r="D1" s="1"/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7.15" hidden="false" customHeight="false" outlineLevel="0" collapsed="false">
      <c r="A4" s="3" t="s">
        <v>5</v>
      </c>
      <c r="B4" s="4" t="n">
        <v>53000</v>
      </c>
      <c r="C4" s="5" t="s">
        <v>6</v>
      </c>
      <c r="D4" s="5" t="s">
        <v>7</v>
      </c>
    </row>
    <row r="5" customFormat="false" ht="17.15" hidden="false" customHeight="false" outlineLevel="0" collapsed="false">
      <c r="A5" s="3" t="s">
        <v>8</v>
      </c>
      <c r="B5" s="6" t="n">
        <v>1</v>
      </c>
      <c r="C5" s="5" t="s">
        <v>9</v>
      </c>
      <c r="D5" s="5" t="s">
        <v>10</v>
      </c>
    </row>
    <row r="6" customFormat="false" ht="17.15" hidden="false" customHeight="false" outlineLevel="0" collapsed="false">
      <c r="A6" s="3" t="s">
        <v>11</v>
      </c>
      <c r="B6" s="7" t="n">
        <v>0.05</v>
      </c>
      <c r="C6" s="5" t="s">
        <v>12</v>
      </c>
      <c r="D6" s="5" t="s">
        <v>13</v>
      </c>
    </row>
    <row r="7" customFormat="false" ht="17.15" hidden="false" customHeight="false" outlineLevel="0" collapsed="false">
      <c r="A7" s="3" t="s">
        <v>14</v>
      </c>
      <c r="B7" s="6" t="n">
        <v>1.2</v>
      </c>
      <c r="C7" s="5" t="s">
        <v>9</v>
      </c>
      <c r="D7" s="8" t="s">
        <v>15</v>
      </c>
    </row>
    <row r="8" customFormat="false" ht="17.15" hidden="false" customHeight="false" outlineLevel="0" collapsed="false">
      <c r="A8" s="3" t="s">
        <v>16</v>
      </c>
      <c r="B8" s="7" t="n">
        <v>0.12</v>
      </c>
      <c r="C8" s="5" t="s">
        <v>12</v>
      </c>
      <c r="D8" s="8" t="s">
        <v>17</v>
      </c>
    </row>
    <row r="9" customFormat="false" ht="17.15" hidden="false" customHeight="false" outlineLevel="0" collapsed="false">
      <c r="A9" s="9" t="s">
        <v>18</v>
      </c>
      <c r="B9" s="6" t="n">
        <v>0</v>
      </c>
      <c r="C9" s="5" t="s">
        <v>19</v>
      </c>
      <c r="D9" s="8" t="s">
        <v>20</v>
      </c>
    </row>
    <row r="10" customFormat="false" ht="17.15" hidden="false" customHeight="false" outlineLevel="0" collapsed="false">
      <c r="A10" s="3" t="s">
        <v>21</v>
      </c>
      <c r="B10" s="10" t="n">
        <v>46354</v>
      </c>
      <c r="C10" s="5" t="s">
        <v>22</v>
      </c>
      <c r="D10" s="8" t="s">
        <v>23</v>
      </c>
    </row>
    <row r="11" customFormat="false" ht="17.15" hidden="false" customHeight="false" outlineLevel="0" collapsed="false">
      <c r="A11" s="3" t="s">
        <v>24</v>
      </c>
      <c r="B11" s="10" t="n">
        <v>46358</v>
      </c>
      <c r="C11" s="5" t="s">
        <v>22</v>
      </c>
      <c r="D11" s="8" t="s">
        <v>23</v>
      </c>
    </row>
    <row r="12" customFormat="false" ht="17.15" hidden="false" customHeight="false" outlineLevel="0" collapsed="false">
      <c r="A12" s="3" t="s">
        <v>25</v>
      </c>
      <c r="B12" s="4" t="n">
        <v>180</v>
      </c>
      <c r="C12" s="5" t="s">
        <v>6</v>
      </c>
      <c r="D12" s="8" t="s">
        <v>26</v>
      </c>
    </row>
    <row r="13" customFormat="false" ht="17.15" hidden="false" customHeight="false" outlineLevel="0" collapsed="false">
      <c r="A13" s="3" t="s">
        <v>27</v>
      </c>
      <c r="B13" s="6" t="n">
        <v>18</v>
      </c>
      <c r="C13" s="8" t="s">
        <v>28</v>
      </c>
      <c r="D13" s="8" t="s">
        <v>29</v>
      </c>
    </row>
    <row r="14" customFormat="false" ht="17.15" hidden="false" customHeight="false" outlineLevel="0" collapsed="false">
      <c r="A14" s="3" t="s">
        <v>30</v>
      </c>
      <c r="B14" s="6" t="n">
        <v>24</v>
      </c>
      <c r="C14" s="8" t="s">
        <v>28</v>
      </c>
      <c r="D14" s="8" t="s">
        <v>29</v>
      </c>
    </row>
    <row r="16" customFormat="false" ht="17.15" hidden="false" customHeight="false" outlineLevel="0" collapsed="false">
      <c r="A16" s="11" t="s">
        <v>31</v>
      </c>
      <c r="B16" s="11"/>
      <c r="C16" s="11"/>
      <c r="D16" s="11"/>
    </row>
    <row r="17" customFormat="false" ht="17.15" hidden="false" customHeight="false" outlineLevel="0" collapsed="false">
      <c r="A17" s="9" t="s">
        <v>32</v>
      </c>
      <c r="B17" s="6" t="n">
        <v>92</v>
      </c>
      <c r="C17" s="5" t="s">
        <v>6</v>
      </c>
    </row>
    <row r="18" customFormat="false" ht="17.15" hidden="false" customHeight="false" outlineLevel="0" collapsed="false">
      <c r="A18" s="3" t="s">
        <v>33</v>
      </c>
      <c r="B18" s="6" t="n">
        <v>23</v>
      </c>
      <c r="C18" s="5" t="s">
        <v>6</v>
      </c>
    </row>
    <row r="19" customFormat="false" ht="17.15" hidden="false" customHeight="false" outlineLevel="0" collapsed="false">
      <c r="A19" s="3" t="s">
        <v>34</v>
      </c>
      <c r="B19" s="6" t="n">
        <v>26</v>
      </c>
      <c r="C19" s="5" t="s">
        <v>6</v>
      </c>
    </row>
    <row r="20" customFormat="false" ht="17.15" hidden="false" customHeight="false" outlineLevel="0" collapsed="false">
      <c r="A20" s="3" t="s">
        <v>35</v>
      </c>
      <c r="B20" s="6" t="n">
        <v>38</v>
      </c>
      <c r="C20" s="5" t="s">
        <v>6</v>
      </c>
    </row>
    <row r="21" customFormat="false" ht="17.15" hidden="false" customHeight="false" outlineLevel="0" collapsed="false">
      <c r="A21" s="3" t="s">
        <v>36</v>
      </c>
      <c r="B21" s="6" t="n">
        <v>5</v>
      </c>
      <c r="C21" s="5" t="s">
        <v>6</v>
      </c>
    </row>
    <row r="22" customFormat="false" ht="17.15" hidden="false" customHeight="false" outlineLevel="0" collapsed="false">
      <c r="A22" s="3" t="s">
        <v>37</v>
      </c>
      <c r="B22" s="6" t="n">
        <v>0.75</v>
      </c>
      <c r="C22" s="5" t="s">
        <v>9</v>
      </c>
    </row>
    <row r="24" customFormat="false" ht="15" hidden="false" customHeight="true" outlineLevel="0" collapsed="false">
      <c r="A24" s="12" t="s">
        <v>38</v>
      </c>
      <c r="B24" s="12"/>
      <c r="C24" s="12"/>
      <c r="D24" s="12"/>
      <c r="E24" s="12"/>
      <c r="F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</row>
  </sheetData>
  <mergeCells count="3">
    <mergeCell ref="A1:D1"/>
    <mergeCell ref="A16:D16"/>
    <mergeCell ref="A24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2" min="10" style="0" width="7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17.15" hidden="false" customHeight="false" outlineLevel="0" collapsed="false">
      <c r="A1" s="13" t="s">
        <v>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30.55" hidden="false" customHeight="false" outlineLevel="0" collapsed="false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14" t="s">
        <v>45</v>
      </c>
      <c r="G2" s="2" t="s">
        <v>46</v>
      </c>
      <c r="H2" s="2" t="s">
        <v>47</v>
      </c>
      <c r="I2" s="14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14" t="s">
        <v>53</v>
      </c>
    </row>
    <row r="3" customFormat="false" ht="15" hidden="false" customHeight="false" outlineLevel="0" collapsed="false">
      <c r="A3" s="5" t="s">
        <v>54</v>
      </c>
      <c r="B3" s="15" t="n">
        <v>46353</v>
      </c>
      <c r="C3" s="16" t="n">
        <v>232</v>
      </c>
      <c r="D3" s="5" t="n">
        <f aca="false">IF(AND(B3&gt;=Parameters!$B$10,B3&lt;Parameters!$B$11),1,0)</f>
        <v>0</v>
      </c>
      <c r="E3" s="16" t="n">
        <f aca="false">C3*D3</f>
        <v>0</v>
      </c>
      <c r="F3" s="5" t="n">
        <v>92</v>
      </c>
      <c r="G3" s="5" t="n">
        <f aca="false">IF(AND(B3&gt;=Parameters!$B$10,B3&lt;=Parameters!$B$11),1,0)</f>
        <v>0</v>
      </c>
      <c r="H3" s="5" t="n">
        <f aca="false">IF(OR(B3=Parameters!$B$10,B3=Parameters!$B$11),1,0)</f>
        <v>0</v>
      </c>
      <c r="I3" s="16" t="n">
        <f aca="false">IF(G3=1,IF(H3=1,Parameters!$B$22*F3,F3),0)</f>
        <v>0</v>
      </c>
      <c r="J3" s="5" t="n">
        <v>0</v>
      </c>
      <c r="K3" s="5" t="n">
        <v>0</v>
      </c>
      <c r="L3" s="5" t="n">
        <v>0</v>
      </c>
      <c r="M3" s="16" t="n">
        <f aca="false">G3*(J3*Parameters!$B$18+K3*Parameters!$B$19+L3*Parameters!$B$20)</f>
        <v>0</v>
      </c>
      <c r="N3" s="16" t="n">
        <f aca="false">IF(G3=1,MAX(I3-M3,Parameters!$B$21),0)</f>
        <v>0</v>
      </c>
    </row>
    <row r="4" customFormat="false" ht="15" hidden="false" customHeight="false" outlineLevel="0" collapsed="false">
      <c r="A4" s="5" t="s">
        <v>54</v>
      </c>
      <c r="B4" s="15" t="n">
        <v>46354</v>
      </c>
      <c r="C4" s="16" t="n">
        <v>232</v>
      </c>
      <c r="D4" s="5" t="n">
        <f aca="false">IF(AND(B4&gt;=Parameters!$B$10,B4&lt;Parameters!$B$11),1,0)</f>
        <v>1</v>
      </c>
      <c r="E4" s="16" t="n">
        <f aca="false">C4*D4</f>
        <v>232</v>
      </c>
      <c r="F4" s="5" t="n">
        <v>92</v>
      </c>
      <c r="G4" s="5" t="n">
        <f aca="false">IF(AND(B4&gt;=Parameters!$B$10,B4&lt;=Parameters!$B$11),1,0)</f>
        <v>1</v>
      </c>
      <c r="H4" s="5" t="n">
        <f aca="false">IF(OR(B4=Parameters!$B$10,B4=Parameters!$B$11),1,0)</f>
        <v>1</v>
      </c>
      <c r="I4" s="16" t="n">
        <f aca="false">IF(G4=1,IF(H4=1,Parameters!$B$22*F4,F4),0)</f>
        <v>69</v>
      </c>
      <c r="J4" s="5" t="n">
        <v>0</v>
      </c>
      <c r="K4" s="5" t="n">
        <v>0</v>
      </c>
      <c r="L4" s="5" t="n">
        <v>1</v>
      </c>
      <c r="M4" s="16" t="n">
        <f aca="false">G4*(J4*Parameters!$B$18+K4*Parameters!$B$19+L4*Parameters!$B$20)</f>
        <v>38</v>
      </c>
      <c r="N4" s="16" t="n">
        <f aca="false">IF(G4=1,MAX(I4-M4,Parameters!$B$21),0)</f>
        <v>31</v>
      </c>
    </row>
    <row r="5" customFormat="false" ht="15" hidden="false" customHeight="false" outlineLevel="0" collapsed="false">
      <c r="A5" s="5" t="s">
        <v>54</v>
      </c>
      <c r="B5" s="15" t="n">
        <v>46355</v>
      </c>
      <c r="C5" s="16" t="n">
        <v>232</v>
      </c>
      <c r="D5" s="5" t="n">
        <f aca="false">IF(AND(B5&gt;=Parameters!$B$10,B5&lt;Parameters!$B$11),1,0)</f>
        <v>1</v>
      </c>
      <c r="E5" s="16" t="n">
        <f aca="false">C5*D5</f>
        <v>232</v>
      </c>
      <c r="F5" s="5" t="n">
        <v>92</v>
      </c>
      <c r="G5" s="5" t="n">
        <f aca="false">IF(AND(B5&gt;=Parameters!$B$10,B5&lt;=Parameters!$B$11),1,0)</f>
        <v>1</v>
      </c>
      <c r="H5" s="5" t="n">
        <f aca="false">IF(OR(B5=Parameters!$B$10,B5=Parameters!$B$11),1,0)</f>
        <v>0</v>
      </c>
      <c r="I5" s="16" t="n">
        <f aca="false">IF(G5=1,IF(H5=1,Parameters!$B$22*F5,F5),0)</f>
        <v>92</v>
      </c>
      <c r="J5" s="5" t="n">
        <f aca="false">Parameters!$B$9</f>
        <v>0</v>
      </c>
      <c r="K5" s="5" t="n">
        <v>1</v>
      </c>
      <c r="L5" s="5" t="n">
        <v>0</v>
      </c>
      <c r="M5" s="16" t="n">
        <f aca="false">G5*(J5*Parameters!$B$18+K5*Parameters!$B$19+L5*Parameters!$B$20)</f>
        <v>26</v>
      </c>
      <c r="N5" s="16" t="n">
        <f aca="false">IF(G5=1,MAX(I5-M5,Parameters!$B$21),0)</f>
        <v>66</v>
      </c>
    </row>
    <row r="6" customFormat="false" ht="15" hidden="false" customHeight="false" outlineLevel="0" collapsed="false">
      <c r="A6" s="5" t="s">
        <v>54</v>
      </c>
      <c r="B6" s="15" t="n">
        <v>46356</v>
      </c>
      <c r="C6" s="16" t="n">
        <v>232</v>
      </c>
      <c r="D6" s="5" t="n">
        <f aca="false">IF(AND(B6&gt;=Parameters!$B$10,B6&lt;Parameters!$B$11),1,0)</f>
        <v>1</v>
      </c>
      <c r="E6" s="16" t="n">
        <f aca="false">C6*D6</f>
        <v>232</v>
      </c>
      <c r="F6" s="5" t="n">
        <v>92</v>
      </c>
      <c r="G6" s="5" t="n">
        <f aca="false">IF(AND(B6&gt;=Parameters!$B$10,B6&lt;=Parameters!$B$11),1,0)</f>
        <v>1</v>
      </c>
      <c r="H6" s="5" t="n">
        <f aca="false">IF(OR(B6=Parameters!$B$10,B6=Parameters!$B$11),1,0)</f>
        <v>0</v>
      </c>
      <c r="I6" s="16" t="n">
        <f aca="false">IF(G6=1,IF(H6=1,Parameters!$B$22*F6,F6),0)</f>
        <v>92</v>
      </c>
      <c r="J6" s="5" t="n">
        <v>0</v>
      </c>
      <c r="K6" s="5" t="n">
        <v>1</v>
      </c>
      <c r="L6" s="5" t="n">
        <v>0</v>
      </c>
      <c r="M6" s="16" t="n">
        <f aca="false">G6*(J6*Parameters!$B$18+K6*Parameters!$B$19+L6*Parameters!$B$20)</f>
        <v>26</v>
      </c>
      <c r="N6" s="16" t="n">
        <f aca="false">IF(G6=1,MAX(I6-M6,Parameters!$B$21),0)</f>
        <v>66</v>
      </c>
    </row>
    <row r="7" customFormat="false" ht="15" hidden="false" customHeight="false" outlineLevel="0" collapsed="false">
      <c r="A7" s="5" t="s">
        <v>54</v>
      </c>
      <c r="B7" s="15" t="n">
        <v>46357</v>
      </c>
      <c r="C7" s="16" t="n">
        <v>148</v>
      </c>
      <c r="D7" s="5" t="n">
        <f aca="false">IF(AND(B7&gt;=Parameters!$B$10,B7&lt;Parameters!$B$11),1,0)</f>
        <v>1</v>
      </c>
      <c r="E7" s="16" t="n">
        <f aca="false">C7*D7</f>
        <v>148</v>
      </c>
      <c r="F7" s="5" t="n">
        <v>92</v>
      </c>
      <c r="G7" s="5" t="n">
        <f aca="false">IF(AND(B7&gt;=Parameters!$B$10,B7&lt;=Parameters!$B$11),1,0)</f>
        <v>1</v>
      </c>
      <c r="H7" s="5" t="n">
        <f aca="false">IF(OR(B7=Parameters!$B$10,B7=Parameters!$B$11),1,0)</f>
        <v>0</v>
      </c>
      <c r="I7" s="16" t="n">
        <f aca="false">IF(G7=1,IF(H7=1,Parameters!$B$22*F7,F7),0)</f>
        <v>92</v>
      </c>
      <c r="J7" s="5" t="n">
        <v>0</v>
      </c>
      <c r="K7" s="5" t="n">
        <v>1</v>
      </c>
      <c r="L7" s="5" t="n">
        <v>1</v>
      </c>
      <c r="M7" s="16" t="n">
        <f aca="false">G7*(J7*Parameters!$B$18+K7*Parameters!$B$19+L7*Parameters!$B$20)</f>
        <v>64</v>
      </c>
      <c r="N7" s="16" t="n">
        <f aca="false">IF(G7=1,MAX(I7-M7,Parameters!$B$21),0)</f>
        <v>28</v>
      </c>
    </row>
    <row r="8" customFormat="false" ht="15" hidden="false" customHeight="false" outlineLevel="0" collapsed="false">
      <c r="A8" s="5" t="s">
        <v>54</v>
      </c>
      <c r="B8" s="15" t="n">
        <v>46358</v>
      </c>
      <c r="C8" s="16" t="n">
        <v>148</v>
      </c>
      <c r="D8" s="5" t="n">
        <f aca="false">IF(AND(B8&gt;=Parameters!$B$10,B8&lt;Parameters!$B$11),1,0)</f>
        <v>0</v>
      </c>
      <c r="E8" s="16" t="n">
        <f aca="false">C8*D8</f>
        <v>0</v>
      </c>
      <c r="F8" s="5" t="n">
        <v>92</v>
      </c>
      <c r="G8" s="5" t="n">
        <f aca="false">IF(AND(B8&gt;=Parameters!$B$10,B8&lt;=Parameters!$B$11),1,0)</f>
        <v>1</v>
      </c>
      <c r="H8" s="5" t="n">
        <f aca="false">IF(OR(B8=Parameters!$B$10,B8=Parameters!$B$11),1,0)</f>
        <v>1</v>
      </c>
      <c r="I8" s="16" t="n">
        <f aca="false">IF(G8=1,IF(H8=1,Parameters!$B$22*F8,F8),0)</f>
        <v>69</v>
      </c>
      <c r="J8" s="5" t="n">
        <v>0</v>
      </c>
      <c r="K8" s="5" t="n">
        <v>1</v>
      </c>
      <c r="L8" s="5" t="n">
        <v>0</v>
      </c>
      <c r="M8" s="16" t="n">
        <f aca="false">G8*(J8*Parameters!$B$18+K8*Parameters!$B$19+L8*Parameters!$B$20)</f>
        <v>26</v>
      </c>
      <c r="N8" s="16" t="n">
        <f aca="false">IF(G8=1,MAX(I8-M8,Parameters!$B$21),0)</f>
        <v>43</v>
      </c>
    </row>
    <row r="9" customFormat="false" ht="15" hidden="false" customHeight="false" outlineLevel="0" collapsed="false">
      <c r="A9" s="5" t="s">
        <v>54</v>
      </c>
      <c r="B9" s="15" t="n">
        <v>46359</v>
      </c>
      <c r="C9" s="16" t="n">
        <v>148</v>
      </c>
      <c r="D9" s="5" t="n">
        <f aca="false">IF(AND(B9&gt;=Parameters!$B$10,B9&lt;Parameters!$B$11),1,0)</f>
        <v>0</v>
      </c>
      <c r="E9" s="16" t="n">
        <f aca="false">C9*D9</f>
        <v>0</v>
      </c>
      <c r="F9" s="5" t="n">
        <v>92</v>
      </c>
      <c r="G9" s="5" t="n">
        <f aca="false">IF(AND(B9&gt;=Parameters!$B$10,B9&lt;=Parameters!$B$11),1,0)</f>
        <v>0</v>
      </c>
      <c r="H9" s="5" t="n">
        <f aca="false">IF(OR(B9=Parameters!$B$10,B9=Parameters!$B$11),1,0)</f>
        <v>0</v>
      </c>
      <c r="I9" s="16" t="n">
        <f aca="false">IF(G9=1,IF(H9=1,Parameters!$B$22*F9,F9),0)</f>
        <v>0</v>
      </c>
      <c r="J9" s="5" t="n">
        <v>0</v>
      </c>
      <c r="K9" s="5" t="n">
        <v>0</v>
      </c>
      <c r="L9" s="5" t="n">
        <v>0</v>
      </c>
      <c r="M9" s="16" t="n">
        <f aca="false">G9*(J9*Parameters!$B$18+K9*Parameters!$B$19+L9*Parameters!$B$20)</f>
        <v>0</v>
      </c>
      <c r="N9" s="16" t="n">
        <f aca="false">IF(G9=1,MAX(I9-M9,Parameters!$B$21),0)</f>
        <v>0</v>
      </c>
    </row>
    <row r="10" customFormat="false" ht="17.15" hidden="false" customHeight="false" outlineLevel="0" collapsed="false">
      <c r="A10" s="17" t="s">
        <v>55</v>
      </c>
      <c r="C10" s="18" t="s">
        <v>56</v>
      </c>
      <c r="E10" s="19" t="n">
        <f aca="false">SUM(E3:E9)</f>
        <v>844</v>
      </c>
      <c r="M10" s="20" t="s">
        <v>57</v>
      </c>
      <c r="N10" s="19" t="n">
        <f aca="false">SUM(N3:N9)</f>
        <v>234</v>
      </c>
    </row>
    <row r="11" customFormat="false" ht="15" hidden="false" customHeight="false" outlineLevel="0" collapsed="false">
      <c r="A11" s="5" t="s">
        <v>58</v>
      </c>
      <c r="B11" s="15" t="n">
        <v>46353</v>
      </c>
      <c r="C11" s="16" t="n">
        <v>170</v>
      </c>
      <c r="D11" s="5" t="n">
        <f aca="false">IF(AND(B11&gt;=Parameters!$B$10,B11&lt;Parameters!$B$11),1,0)</f>
        <v>0</v>
      </c>
      <c r="E11" s="16" t="n">
        <f aca="false">C11*D11</f>
        <v>0</v>
      </c>
      <c r="F11" s="5" t="n">
        <v>92</v>
      </c>
      <c r="G11" s="5" t="n">
        <f aca="false">IF(AND(B11&gt;=Parameters!$B$10,B11&lt;=Parameters!$B$11),1,0)</f>
        <v>0</v>
      </c>
      <c r="H11" s="5" t="n">
        <f aca="false">IF(OR(B11=Parameters!$B$10,B11=Parameters!$B$11),1,0)</f>
        <v>0</v>
      </c>
      <c r="I11" s="16" t="n">
        <f aca="false">IF(G11=1,IF(H11=1,Parameters!$B$22*F11,F11),0)</f>
        <v>0</v>
      </c>
      <c r="J11" s="5" t="n">
        <v>0</v>
      </c>
      <c r="K11" s="5" t="n">
        <v>0</v>
      </c>
      <c r="L11" s="5" t="n">
        <v>0</v>
      </c>
      <c r="M11" s="16" t="n">
        <f aca="false">G11*(J11*Parameters!$B$18+K11*Parameters!$B$19+L11*Parameters!$B$20)</f>
        <v>0</v>
      </c>
      <c r="N11" s="16" t="n">
        <f aca="false">IF(G11=1,MAX(I11-M11,Parameters!$B$21),0)</f>
        <v>0</v>
      </c>
    </row>
    <row r="12" customFormat="false" ht="15" hidden="false" customHeight="false" outlineLevel="0" collapsed="false">
      <c r="A12" s="5" t="s">
        <v>58</v>
      </c>
      <c r="B12" s="15" t="n">
        <v>46354</v>
      </c>
      <c r="C12" s="16" t="n">
        <v>170</v>
      </c>
      <c r="D12" s="5" t="n">
        <f aca="false">IF(AND(B12&gt;=Parameters!$B$10,B12&lt;Parameters!$B$11),1,0)</f>
        <v>1</v>
      </c>
      <c r="E12" s="16" t="n">
        <f aca="false">C12*D12</f>
        <v>170</v>
      </c>
      <c r="F12" s="5" t="n">
        <v>92</v>
      </c>
      <c r="G12" s="5" t="n">
        <f aca="false">IF(AND(B12&gt;=Parameters!$B$10,B12&lt;=Parameters!$B$11),1,0)</f>
        <v>1</v>
      </c>
      <c r="H12" s="5" t="n">
        <f aca="false">IF(OR(B12=Parameters!$B$10,B12=Parameters!$B$11),1,0)</f>
        <v>1</v>
      </c>
      <c r="I12" s="16" t="n">
        <f aca="false">IF(G12=1,IF(H12=1,Parameters!$B$22*F12,F12),0)</f>
        <v>69</v>
      </c>
      <c r="J12" s="5" t="n">
        <v>0</v>
      </c>
      <c r="K12" s="5" t="n">
        <v>0</v>
      </c>
      <c r="L12" s="5" t="n">
        <v>1</v>
      </c>
      <c r="M12" s="16" t="n">
        <f aca="false">G12*(J12*Parameters!$B$18+K12*Parameters!$B$19+L12*Parameters!$B$20)</f>
        <v>38</v>
      </c>
      <c r="N12" s="16" t="n">
        <f aca="false">IF(G12=1,MAX(I12-M12,Parameters!$B$21),0)</f>
        <v>31</v>
      </c>
    </row>
    <row r="13" customFormat="false" ht="15" hidden="false" customHeight="false" outlineLevel="0" collapsed="false">
      <c r="A13" s="5" t="s">
        <v>58</v>
      </c>
      <c r="B13" s="15" t="n">
        <v>46355</v>
      </c>
      <c r="C13" s="16" t="n">
        <v>170</v>
      </c>
      <c r="D13" s="5" t="n">
        <f aca="false">IF(AND(B13&gt;=Parameters!$B$10,B13&lt;Parameters!$B$11),1,0)</f>
        <v>1</v>
      </c>
      <c r="E13" s="16" t="n">
        <f aca="false">C13*D13</f>
        <v>170</v>
      </c>
      <c r="F13" s="5" t="n">
        <v>92</v>
      </c>
      <c r="G13" s="5" t="n">
        <f aca="false">IF(AND(B13&gt;=Parameters!$B$10,B13&lt;=Parameters!$B$11),1,0)</f>
        <v>1</v>
      </c>
      <c r="H13" s="5" t="n">
        <f aca="false">IF(OR(B13=Parameters!$B$10,B13=Parameters!$B$11),1,0)</f>
        <v>0</v>
      </c>
      <c r="I13" s="16" t="n">
        <f aca="false">IF(G13=1,IF(H13=1,Parameters!$B$22*F13,F13),0)</f>
        <v>92</v>
      </c>
      <c r="J13" s="5" t="n">
        <f aca="false">Parameters!$B$9</f>
        <v>0</v>
      </c>
      <c r="K13" s="5" t="n">
        <v>1</v>
      </c>
      <c r="L13" s="5" t="n">
        <v>0</v>
      </c>
      <c r="M13" s="16" t="n">
        <f aca="false">G13*(J13*Parameters!$B$18+K13*Parameters!$B$19+L13*Parameters!$B$20)</f>
        <v>26</v>
      </c>
      <c r="N13" s="16" t="n">
        <f aca="false">IF(G13=1,MAX(I13-M13,Parameters!$B$21),0)</f>
        <v>66</v>
      </c>
    </row>
    <row r="14" customFormat="false" ht="15" hidden="false" customHeight="false" outlineLevel="0" collapsed="false">
      <c r="A14" s="5" t="s">
        <v>58</v>
      </c>
      <c r="B14" s="15" t="n">
        <v>46356</v>
      </c>
      <c r="C14" s="16" t="n">
        <v>170</v>
      </c>
      <c r="D14" s="5" t="n">
        <f aca="false">IF(AND(B14&gt;=Parameters!$B$10,B14&lt;Parameters!$B$11),1,0)</f>
        <v>1</v>
      </c>
      <c r="E14" s="16" t="n">
        <f aca="false">C14*D14</f>
        <v>170</v>
      </c>
      <c r="F14" s="5" t="n">
        <v>92</v>
      </c>
      <c r="G14" s="5" t="n">
        <f aca="false">IF(AND(B14&gt;=Parameters!$B$10,B14&lt;=Parameters!$B$11),1,0)</f>
        <v>1</v>
      </c>
      <c r="H14" s="5" t="n">
        <f aca="false">IF(OR(B14=Parameters!$B$10,B14=Parameters!$B$11),1,0)</f>
        <v>0</v>
      </c>
      <c r="I14" s="16" t="n">
        <f aca="false">IF(G14=1,IF(H14=1,Parameters!$B$22*F14,F14),0)</f>
        <v>92</v>
      </c>
      <c r="J14" s="5" t="n">
        <v>0</v>
      </c>
      <c r="K14" s="5" t="n">
        <v>1</v>
      </c>
      <c r="L14" s="5" t="n">
        <v>0</v>
      </c>
      <c r="M14" s="16" t="n">
        <f aca="false">G14*(J14*Parameters!$B$18+K14*Parameters!$B$19+L14*Parameters!$B$20)</f>
        <v>26</v>
      </c>
      <c r="N14" s="16" t="n">
        <f aca="false">IF(G14=1,MAX(I14-M14,Parameters!$B$21),0)</f>
        <v>66</v>
      </c>
    </row>
    <row r="15" customFormat="false" ht="15" hidden="false" customHeight="false" outlineLevel="0" collapsed="false">
      <c r="A15" s="5" t="s">
        <v>58</v>
      </c>
      <c r="B15" s="15" t="n">
        <v>46357</v>
      </c>
      <c r="C15" s="16" t="n">
        <v>170</v>
      </c>
      <c r="D15" s="5" t="n">
        <f aca="false">IF(AND(B15&gt;=Parameters!$B$10,B15&lt;Parameters!$B$11),1,0)</f>
        <v>1</v>
      </c>
      <c r="E15" s="16" t="n">
        <f aca="false">C15*D15</f>
        <v>170</v>
      </c>
      <c r="F15" s="5" t="n">
        <v>92</v>
      </c>
      <c r="G15" s="5" t="n">
        <f aca="false">IF(AND(B15&gt;=Parameters!$B$10,B15&lt;=Parameters!$B$11),1,0)</f>
        <v>1</v>
      </c>
      <c r="H15" s="5" t="n">
        <f aca="false">IF(OR(B15=Parameters!$B$10,B15=Parameters!$B$11),1,0)</f>
        <v>0</v>
      </c>
      <c r="I15" s="16" t="n">
        <f aca="false">IF(G15=1,IF(H15=1,Parameters!$B$22*F15,F15),0)</f>
        <v>92</v>
      </c>
      <c r="J15" s="5" t="n">
        <v>0</v>
      </c>
      <c r="K15" s="5" t="n">
        <v>1</v>
      </c>
      <c r="L15" s="5" t="n">
        <v>1</v>
      </c>
      <c r="M15" s="16" t="n">
        <f aca="false">G15*(J15*Parameters!$B$18+K15*Parameters!$B$19+L15*Parameters!$B$20)</f>
        <v>64</v>
      </c>
      <c r="N15" s="16" t="n">
        <f aca="false">IF(G15=1,MAX(I15-M15,Parameters!$B$21),0)</f>
        <v>28</v>
      </c>
    </row>
    <row r="16" customFormat="false" ht="15" hidden="false" customHeight="false" outlineLevel="0" collapsed="false">
      <c r="A16" s="5" t="s">
        <v>58</v>
      </c>
      <c r="B16" s="15" t="n">
        <v>46358</v>
      </c>
      <c r="C16" s="16" t="n">
        <v>170</v>
      </c>
      <c r="D16" s="5" t="n">
        <f aca="false">IF(AND(B16&gt;=Parameters!$B$10,B16&lt;Parameters!$B$11),1,0)</f>
        <v>0</v>
      </c>
      <c r="E16" s="16" t="n">
        <f aca="false">C16*D16</f>
        <v>0</v>
      </c>
      <c r="F16" s="5" t="n">
        <v>92</v>
      </c>
      <c r="G16" s="5" t="n">
        <f aca="false">IF(AND(B16&gt;=Parameters!$B$10,B16&lt;=Parameters!$B$11),1,0)</f>
        <v>1</v>
      </c>
      <c r="H16" s="5" t="n">
        <f aca="false">IF(OR(B16=Parameters!$B$10,B16=Parameters!$B$11),1,0)</f>
        <v>1</v>
      </c>
      <c r="I16" s="16" t="n">
        <f aca="false">IF(G16=1,IF(H16=1,Parameters!$B$22*F16,F16),0)</f>
        <v>69</v>
      </c>
      <c r="J16" s="5" t="n">
        <v>0</v>
      </c>
      <c r="K16" s="5" t="n">
        <v>1</v>
      </c>
      <c r="L16" s="5" t="n">
        <v>0</v>
      </c>
      <c r="M16" s="16" t="n">
        <f aca="false">G16*(J16*Parameters!$B$18+K16*Parameters!$B$19+L16*Parameters!$B$20)</f>
        <v>26</v>
      </c>
      <c r="N16" s="16" t="n">
        <f aca="false">IF(G16=1,MAX(I16-M16,Parameters!$B$21),0)</f>
        <v>43</v>
      </c>
    </row>
    <row r="17" customFormat="false" ht="15" hidden="false" customHeight="false" outlineLevel="0" collapsed="false">
      <c r="A17" s="5" t="s">
        <v>58</v>
      </c>
      <c r="B17" s="15" t="n">
        <v>46359</v>
      </c>
      <c r="C17" s="16" t="n">
        <v>170</v>
      </c>
      <c r="D17" s="5" t="n">
        <f aca="false">IF(AND(B17&gt;=Parameters!$B$10,B17&lt;Parameters!$B$11),1,0)</f>
        <v>0</v>
      </c>
      <c r="E17" s="16" t="n">
        <f aca="false">C17*D17</f>
        <v>0</v>
      </c>
      <c r="F17" s="5" t="n">
        <v>92</v>
      </c>
      <c r="G17" s="5" t="n">
        <f aca="false">IF(AND(B17&gt;=Parameters!$B$10,B17&lt;=Parameters!$B$11),1,0)</f>
        <v>0</v>
      </c>
      <c r="H17" s="5" t="n">
        <f aca="false">IF(OR(B17=Parameters!$B$10,B17=Parameters!$B$11),1,0)</f>
        <v>0</v>
      </c>
      <c r="I17" s="16" t="n">
        <f aca="false">IF(G17=1,IF(H17=1,Parameters!$B$22*F17,F17),0)</f>
        <v>0</v>
      </c>
      <c r="J17" s="5" t="n">
        <v>0</v>
      </c>
      <c r="K17" s="5" t="n">
        <v>0</v>
      </c>
      <c r="L17" s="5" t="n">
        <v>0</v>
      </c>
      <c r="M17" s="16" t="n">
        <f aca="false">G17*(J17*Parameters!$B$18+K17*Parameters!$B$19+L17*Parameters!$B$20)</f>
        <v>0</v>
      </c>
      <c r="N17" s="16" t="n">
        <f aca="false">IF(G17=1,MAX(I17-M17,Parameters!$B$21),0)</f>
        <v>0</v>
      </c>
    </row>
    <row r="18" customFormat="false" ht="17.15" hidden="false" customHeight="false" outlineLevel="0" collapsed="false">
      <c r="A18" s="17" t="s">
        <v>59</v>
      </c>
      <c r="C18" s="18" t="s">
        <v>56</v>
      </c>
      <c r="E18" s="19" t="n">
        <f aca="false">SUM(E11:E17)</f>
        <v>680</v>
      </c>
      <c r="M18" s="20" t="s">
        <v>57</v>
      </c>
      <c r="N18" s="19" t="n">
        <f aca="false">SUM(N11:N17)</f>
        <v>234</v>
      </c>
    </row>
    <row r="19" customFormat="false" ht="15" hidden="false" customHeight="false" outlineLevel="0" collapsed="false">
      <c r="A19" s="5" t="s">
        <v>60</v>
      </c>
      <c r="B19" s="15" t="n">
        <v>46353</v>
      </c>
      <c r="C19" s="16" t="n">
        <v>165</v>
      </c>
      <c r="D19" s="5" t="n">
        <f aca="false">IF(AND(B19&gt;=Parameters!$B$10,B19&lt;Parameters!$B$11),1,0)</f>
        <v>0</v>
      </c>
      <c r="E19" s="16" t="n">
        <f aca="false">C19*D19</f>
        <v>0</v>
      </c>
      <c r="F19" s="5" t="n">
        <v>92</v>
      </c>
      <c r="G19" s="5" t="n">
        <f aca="false">IF(AND(B19&gt;=Parameters!$B$10,B19&lt;=Parameters!$B$11),1,0)</f>
        <v>0</v>
      </c>
      <c r="H19" s="5" t="n">
        <f aca="false">IF(OR(B19=Parameters!$B$10,B19=Parameters!$B$11),1,0)</f>
        <v>0</v>
      </c>
      <c r="I19" s="16" t="n">
        <f aca="false">IF(G19=1,IF(H19=1,Parameters!$B$22*F19,F19),0)</f>
        <v>0</v>
      </c>
      <c r="J19" s="5" t="n">
        <v>0</v>
      </c>
      <c r="K19" s="5" t="n">
        <v>0</v>
      </c>
      <c r="L19" s="5" t="n">
        <v>0</v>
      </c>
      <c r="M19" s="16" t="n">
        <f aca="false">G19*(J19*Parameters!$B$18+K19*Parameters!$B$19+L19*Parameters!$B$20)</f>
        <v>0</v>
      </c>
      <c r="N19" s="16" t="n">
        <f aca="false">IF(G19=1,MAX(I19-M19,Parameters!$B$21),0)</f>
        <v>0</v>
      </c>
    </row>
    <row r="20" customFormat="false" ht="15" hidden="false" customHeight="false" outlineLevel="0" collapsed="false">
      <c r="A20" s="5" t="s">
        <v>60</v>
      </c>
      <c r="B20" s="15" t="n">
        <v>46354</v>
      </c>
      <c r="C20" s="16" t="n">
        <v>165</v>
      </c>
      <c r="D20" s="5" t="n">
        <f aca="false">IF(AND(B20&gt;=Parameters!$B$10,B20&lt;Parameters!$B$11),1,0)</f>
        <v>1</v>
      </c>
      <c r="E20" s="16" t="n">
        <f aca="false">C20*D20</f>
        <v>165</v>
      </c>
      <c r="F20" s="5" t="n">
        <v>92</v>
      </c>
      <c r="G20" s="5" t="n">
        <f aca="false">IF(AND(B20&gt;=Parameters!$B$10,B20&lt;=Parameters!$B$11),1,0)</f>
        <v>1</v>
      </c>
      <c r="H20" s="5" t="n">
        <f aca="false">IF(OR(B20=Parameters!$B$10,B20=Parameters!$B$11),1,0)</f>
        <v>1</v>
      </c>
      <c r="I20" s="16" t="n">
        <f aca="false">IF(G20=1,IF(H20=1,Parameters!$B$22*F20,F20),0)</f>
        <v>69</v>
      </c>
      <c r="J20" s="5" t="n">
        <v>0</v>
      </c>
      <c r="K20" s="5" t="n">
        <v>0</v>
      </c>
      <c r="L20" s="5" t="n">
        <v>1</v>
      </c>
      <c r="M20" s="16" t="n">
        <f aca="false">G20*(J20*Parameters!$B$18+K20*Parameters!$B$19+L20*Parameters!$B$20)</f>
        <v>38</v>
      </c>
      <c r="N20" s="16" t="n">
        <f aca="false">IF(G20=1,MAX(I20-M20,Parameters!$B$21),0)</f>
        <v>31</v>
      </c>
    </row>
    <row r="21" customFormat="false" ht="15" hidden="false" customHeight="false" outlineLevel="0" collapsed="false">
      <c r="A21" s="5" t="s">
        <v>60</v>
      </c>
      <c r="B21" s="15" t="n">
        <v>46355</v>
      </c>
      <c r="C21" s="16" t="n">
        <v>165</v>
      </c>
      <c r="D21" s="5" t="n">
        <f aca="false">IF(AND(B21&gt;=Parameters!$B$10,B21&lt;Parameters!$B$11),1,0)</f>
        <v>1</v>
      </c>
      <c r="E21" s="16" t="n">
        <f aca="false">C21*D21</f>
        <v>165</v>
      </c>
      <c r="F21" s="5" t="n">
        <v>92</v>
      </c>
      <c r="G21" s="5" t="n">
        <f aca="false">IF(AND(B21&gt;=Parameters!$B$10,B21&lt;=Parameters!$B$11),1,0)</f>
        <v>1</v>
      </c>
      <c r="H21" s="5" t="n">
        <f aca="false">IF(OR(B21=Parameters!$B$10,B21=Parameters!$B$11),1,0)</f>
        <v>0</v>
      </c>
      <c r="I21" s="16" t="n">
        <f aca="false">IF(G21=1,IF(H21=1,Parameters!$B$22*F21,F21),0)</f>
        <v>92</v>
      </c>
      <c r="J21" s="5" t="n">
        <f aca="false">Parameters!$B$9</f>
        <v>0</v>
      </c>
      <c r="K21" s="5" t="n">
        <v>1</v>
      </c>
      <c r="L21" s="5" t="n">
        <v>0</v>
      </c>
      <c r="M21" s="16" t="n">
        <f aca="false">G21*(J21*Parameters!$B$18+K21*Parameters!$B$19+L21*Parameters!$B$20)</f>
        <v>26</v>
      </c>
      <c r="N21" s="16" t="n">
        <f aca="false">IF(G21=1,MAX(I21-M21,Parameters!$B$21),0)</f>
        <v>66</v>
      </c>
    </row>
    <row r="22" customFormat="false" ht="15" hidden="false" customHeight="false" outlineLevel="0" collapsed="false">
      <c r="A22" s="5" t="s">
        <v>60</v>
      </c>
      <c r="B22" s="15" t="n">
        <v>46356</v>
      </c>
      <c r="C22" s="16" t="n">
        <v>165</v>
      </c>
      <c r="D22" s="5" t="n">
        <f aca="false">IF(AND(B22&gt;=Parameters!$B$10,B22&lt;Parameters!$B$11),1,0)</f>
        <v>1</v>
      </c>
      <c r="E22" s="16" t="n">
        <f aca="false">C22*D22</f>
        <v>165</v>
      </c>
      <c r="F22" s="5" t="n">
        <v>92</v>
      </c>
      <c r="G22" s="5" t="n">
        <f aca="false">IF(AND(B22&gt;=Parameters!$B$10,B22&lt;=Parameters!$B$11),1,0)</f>
        <v>1</v>
      </c>
      <c r="H22" s="5" t="n">
        <f aca="false">IF(OR(B22=Parameters!$B$10,B22=Parameters!$B$11),1,0)</f>
        <v>0</v>
      </c>
      <c r="I22" s="16" t="n">
        <f aca="false">IF(G22=1,IF(H22=1,Parameters!$B$22*F22,F22),0)</f>
        <v>92</v>
      </c>
      <c r="J22" s="5" t="n">
        <v>0</v>
      </c>
      <c r="K22" s="5" t="n">
        <v>1</v>
      </c>
      <c r="L22" s="5" t="n">
        <v>0</v>
      </c>
      <c r="M22" s="16" t="n">
        <f aca="false">G22*(J22*Parameters!$B$18+K22*Parameters!$B$19+L22*Parameters!$B$20)</f>
        <v>26</v>
      </c>
      <c r="N22" s="16" t="n">
        <f aca="false">IF(G22=1,MAX(I22-M22,Parameters!$B$21),0)</f>
        <v>66</v>
      </c>
    </row>
    <row r="23" customFormat="false" ht="15" hidden="false" customHeight="false" outlineLevel="0" collapsed="false">
      <c r="A23" s="5" t="s">
        <v>60</v>
      </c>
      <c r="B23" s="15" t="n">
        <v>46357</v>
      </c>
      <c r="C23" s="16" t="n">
        <v>165</v>
      </c>
      <c r="D23" s="5" t="n">
        <f aca="false">IF(AND(B23&gt;=Parameters!$B$10,B23&lt;Parameters!$B$11),1,0)</f>
        <v>1</v>
      </c>
      <c r="E23" s="16" t="n">
        <f aca="false">C23*D23</f>
        <v>165</v>
      </c>
      <c r="F23" s="5" t="n">
        <v>92</v>
      </c>
      <c r="G23" s="5" t="n">
        <f aca="false">IF(AND(B23&gt;=Parameters!$B$10,B23&lt;=Parameters!$B$11),1,0)</f>
        <v>1</v>
      </c>
      <c r="H23" s="5" t="n">
        <f aca="false">IF(OR(B23=Parameters!$B$10,B23=Parameters!$B$11),1,0)</f>
        <v>0</v>
      </c>
      <c r="I23" s="16" t="n">
        <f aca="false">IF(G23=1,IF(H23=1,Parameters!$B$22*F23,F23),0)</f>
        <v>92</v>
      </c>
      <c r="J23" s="5" t="n">
        <v>0</v>
      </c>
      <c r="K23" s="5" t="n">
        <v>1</v>
      </c>
      <c r="L23" s="5" t="n">
        <v>1</v>
      </c>
      <c r="M23" s="16" t="n">
        <f aca="false">G23*(J23*Parameters!$B$18+K23*Parameters!$B$19+L23*Parameters!$B$20)</f>
        <v>64</v>
      </c>
      <c r="N23" s="16" t="n">
        <f aca="false">IF(G23=1,MAX(I23-M23,Parameters!$B$21),0)</f>
        <v>28</v>
      </c>
    </row>
    <row r="24" customFormat="false" ht="15" hidden="false" customHeight="false" outlineLevel="0" collapsed="false">
      <c r="A24" s="5" t="s">
        <v>60</v>
      </c>
      <c r="B24" s="15" t="n">
        <v>46358</v>
      </c>
      <c r="C24" s="16" t="n">
        <v>165</v>
      </c>
      <c r="D24" s="5" t="n">
        <f aca="false">IF(AND(B24&gt;=Parameters!$B$10,B24&lt;Parameters!$B$11),1,0)</f>
        <v>0</v>
      </c>
      <c r="E24" s="16" t="n">
        <f aca="false">C24*D24</f>
        <v>0</v>
      </c>
      <c r="F24" s="5" t="n">
        <v>92</v>
      </c>
      <c r="G24" s="5" t="n">
        <f aca="false">IF(AND(B24&gt;=Parameters!$B$10,B24&lt;=Parameters!$B$11),1,0)</f>
        <v>1</v>
      </c>
      <c r="H24" s="5" t="n">
        <f aca="false">IF(OR(B24=Parameters!$B$10,B24=Parameters!$B$11),1,0)</f>
        <v>1</v>
      </c>
      <c r="I24" s="16" t="n">
        <f aca="false">IF(G24=1,IF(H24=1,Parameters!$B$22*F24,F24),0)</f>
        <v>69</v>
      </c>
      <c r="J24" s="5" t="n">
        <v>0</v>
      </c>
      <c r="K24" s="5" t="n">
        <v>1</v>
      </c>
      <c r="L24" s="5" t="n">
        <v>0</v>
      </c>
      <c r="M24" s="16" t="n">
        <f aca="false">G24*(J24*Parameters!$B$18+K24*Parameters!$B$19+L24*Parameters!$B$20)</f>
        <v>26</v>
      </c>
      <c r="N24" s="16" t="n">
        <f aca="false">IF(G24=1,MAX(I24-M24,Parameters!$B$21),0)</f>
        <v>43</v>
      </c>
    </row>
    <row r="25" customFormat="false" ht="15" hidden="false" customHeight="false" outlineLevel="0" collapsed="false">
      <c r="A25" s="5" t="s">
        <v>60</v>
      </c>
      <c r="B25" s="15" t="n">
        <v>46359</v>
      </c>
      <c r="C25" s="16" t="n">
        <v>165</v>
      </c>
      <c r="D25" s="5" t="n">
        <f aca="false">IF(AND(B25&gt;=Parameters!$B$10,B25&lt;Parameters!$B$11),1,0)</f>
        <v>0</v>
      </c>
      <c r="E25" s="16" t="n">
        <f aca="false">C25*D25</f>
        <v>0</v>
      </c>
      <c r="F25" s="5" t="n">
        <v>92</v>
      </c>
      <c r="G25" s="5" t="n">
        <f aca="false">IF(AND(B25&gt;=Parameters!$B$10,B25&lt;=Parameters!$B$11),1,0)</f>
        <v>0</v>
      </c>
      <c r="H25" s="5" t="n">
        <f aca="false">IF(OR(B25=Parameters!$B$10,B25=Parameters!$B$11),1,0)</f>
        <v>0</v>
      </c>
      <c r="I25" s="16" t="n">
        <f aca="false">IF(G25=1,IF(H25=1,Parameters!$B$22*F25,F25),0)</f>
        <v>0</v>
      </c>
      <c r="J25" s="5" t="n">
        <v>0</v>
      </c>
      <c r="K25" s="5" t="n">
        <v>0</v>
      </c>
      <c r="L25" s="5" t="n">
        <v>0</v>
      </c>
      <c r="M25" s="16" t="n">
        <f aca="false">G25*(J25*Parameters!$B$18+K25*Parameters!$B$19+L25*Parameters!$B$20)</f>
        <v>0</v>
      </c>
      <c r="N25" s="16" t="n">
        <f aca="false">IF(G25=1,MAX(I25-M25,Parameters!$B$21),0)</f>
        <v>0</v>
      </c>
    </row>
    <row r="26" customFormat="false" ht="17.15" hidden="false" customHeight="false" outlineLevel="0" collapsed="false">
      <c r="A26" s="17" t="s">
        <v>61</v>
      </c>
      <c r="C26" s="18" t="s">
        <v>56</v>
      </c>
      <c r="E26" s="19" t="n">
        <f aca="false">SUM(E19:E25)</f>
        <v>660</v>
      </c>
      <c r="M26" s="20" t="s">
        <v>57</v>
      </c>
      <c r="N26" s="19" t="n">
        <f aca="false">SUM(N19:N25)</f>
        <v>234</v>
      </c>
    </row>
    <row r="27" customFormat="false" ht="15" hidden="false" customHeight="false" outlineLevel="0" collapsed="false">
      <c r="A27" s="5" t="s">
        <v>62</v>
      </c>
      <c r="B27" s="15" t="n">
        <v>46353</v>
      </c>
      <c r="C27" s="16" t="n">
        <v>213</v>
      </c>
      <c r="D27" s="5" t="n">
        <f aca="false">IF(AND(B27&gt;=Parameters!$B$10,B27&lt;Parameters!$B$11),1,0)</f>
        <v>0</v>
      </c>
      <c r="E27" s="16" t="n">
        <f aca="false">C27*D27</f>
        <v>0</v>
      </c>
      <c r="F27" s="5" t="n">
        <v>92</v>
      </c>
      <c r="G27" s="5" t="n">
        <f aca="false">IF(AND(B27&gt;=Parameters!$B$10,B27&lt;=Parameters!$B$11),1,0)</f>
        <v>0</v>
      </c>
      <c r="H27" s="5" t="n">
        <f aca="false">IF(OR(B27=Parameters!$B$10,B27=Parameters!$B$11),1,0)</f>
        <v>0</v>
      </c>
      <c r="I27" s="16" t="n">
        <f aca="false">IF(G27=1,IF(H27=1,Parameters!$B$22*F27,F27),0)</f>
        <v>0</v>
      </c>
      <c r="J27" s="5" t="n">
        <v>0</v>
      </c>
      <c r="K27" s="5" t="n">
        <v>0</v>
      </c>
      <c r="L27" s="5" t="n">
        <v>0</v>
      </c>
      <c r="M27" s="16" t="n">
        <f aca="false">G27*(J27*Parameters!$B$18+K27*Parameters!$B$19+L27*Parameters!$B$20)</f>
        <v>0</v>
      </c>
      <c r="N27" s="16" t="n">
        <f aca="false">IF(G27=1,MAX(I27-M27,Parameters!$B$21),0)</f>
        <v>0</v>
      </c>
    </row>
    <row r="28" customFormat="false" ht="15" hidden="false" customHeight="false" outlineLevel="0" collapsed="false">
      <c r="A28" s="5" t="s">
        <v>62</v>
      </c>
      <c r="B28" s="15" t="n">
        <v>46354</v>
      </c>
      <c r="C28" s="16" t="n">
        <v>213</v>
      </c>
      <c r="D28" s="5" t="n">
        <f aca="false">IF(AND(B28&gt;=Parameters!$B$10,B28&lt;Parameters!$B$11),1,0)</f>
        <v>1</v>
      </c>
      <c r="E28" s="16" t="n">
        <f aca="false">C28*D28</f>
        <v>213</v>
      </c>
      <c r="F28" s="5" t="n">
        <v>92</v>
      </c>
      <c r="G28" s="5" t="n">
        <f aca="false">IF(AND(B28&gt;=Parameters!$B$10,B28&lt;=Parameters!$B$11),1,0)</f>
        <v>1</v>
      </c>
      <c r="H28" s="5" t="n">
        <f aca="false">IF(OR(B28=Parameters!$B$10,B28=Parameters!$B$11),1,0)</f>
        <v>1</v>
      </c>
      <c r="I28" s="16" t="n">
        <f aca="false">IF(G28=1,IF(H28=1,Parameters!$B$22*F28,F28),0)</f>
        <v>69</v>
      </c>
      <c r="J28" s="5" t="n">
        <v>0</v>
      </c>
      <c r="K28" s="5" t="n">
        <v>0</v>
      </c>
      <c r="L28" s="5" t="n">
        <v>1</v>
      </c>
      <c r="M28" s="16" t="n">
        <f aca="false">G28*(J28*Parameters!$B$18+K28*Parameters!$B$19+L28*Parameters!$B$20)</f>
        <v>38</v>
      </c>
      <c r="N28" s="16" t="n">
        <f aca="false">IF(G28=1,MAX(I28-M28,Parameters!$B$21),0)</f>
        <v>31</v>
      </c>
    </row>
    <row r="29" customFormat="false" ht="15" hidden="false" customHeight="false" outlineLevel="0" collapsed="false">
      <c r="A29" s="5" t="s">
        <v>62</v>
      </c>
      <c r="B29" s="15" t="n">
        <v>46355</v>
      </c>
      <c r="C29" s="16" t="n">
        <v>213</v>
      </c>
      <c r="D29" s="5" t="n">
        <f aca="false">IF(AND(B29&gt;=Parameters!$B$10,B29&lt;Parameters!$B$11),1,0)</f>
        <v>1</v>
      </c>
      <c r="E29" s="16" t="n">
        <f aca="false">C29*D29</f>
        <v>213</v>
      </c>
      <c r="F29" s="5" t="n">
        <v>92</v>
      </c>
      <c r="G29" s="5" t="n">
        <f aca="false">IF(AND(B29&gt;=Parameters!$B$10,B29&lt;=Parameters!$B$11),1,0)</f>
        <v>1</v>
      </c>
      <c r="H29" s="5" t="n">
        <f aca="false">IF(OR(B29=Parameters!$B$10,B29=Parameters!$B$11),1,0)</f>
        <v>0</v>
      </c>
      <c r="I29" s="16" t="n">
        <f aca="false">IF(G29=1,IF(H29=1,Parameters!$B$22*F29,F29),0)</f>
        <v>92</v>
      </c>
      <c r="J29" s="5" t="n">
        <f aca="false">Parameters!$B$9</f>
        <v>0</v>
      </c>
      <c r="K29" s="5" t="n">
        <v>1</v>
      </c>
      <c r="L29" s="5" t="n">
        <v>0</v>
      </c>
      <c r="M29" s="16" t="n">
        <f aca="false">G29*(J29*Parameters!$B$18+K29*Parameters!$B$19+L29*Parameters!$B$20)</f>
        <v>26</v>
      </c>
      <c r="N29" s="16" t="n">
        <f aca="false">IF(G29=1,MAX(I29-M29,Parameters!$B$21),0)</f>
        <v>66</v>
      </c>
    </row>
    <row r="30" customFormat="false" ht="15" hidden="false" customHeight="false" outlineLevel="0" collapsed="false">
      <c r="A30" s="5" t="s">
        <v>62</v>
      </c>
      <c r="B30" s="15" t="n">
        <v>46356</v>
      </c>
      <c r="C30" s="16" t="n">
        <v>213</v>
      </c>
      <c r="D30" s="5" t="n">
        <f aca="false">IF(AND(B30&gt;=Parameters!$B$10,B30&lt;Parameters!$B$11),1,0)</f>
        <v>1</v>
      </c>
      <c r="E30" s="16" t="n">
        <f aca="false">C30*D30</f>
        <v>213</v>
      </c>
      <c r="F30" s="5" t="n">
        <v>92</v>
      </c>
      <c r="G30" s="5" t="n">
        <f aca="false">IF(AND(B30&gt;=Parameters!$B$10,B30&lt;=Parameters!$B$11),1,0)</f>
        <v>1</v>
      </c>
      <c r="H30" s="5" t="n">
        <f aca="false">IF(OR(B30=Parameters!$B$10,B30=Parameters!$B$11),1,0)</f>
        <v>0</v>
      </c>
      <c r="I30" s="16" t="n">
        <f aca="false">IF(G30=1,IF(H30=1,Parameters!$B$22*F30,F30),0)</f>
        <v>92</v>
      </c>
      <c r="J30" s="5" t="n">
        <v>0</v>
      </c>
      <c r="K30" s="5" t="n">
        <v>1</v>
      </c>
      <c r="L30" s="5" t="n">
        <v>0</v>
      </c>
      <c r="M30" s="16" t="n">
        <f aca="false">G30*(J30*Parameters!$B$18+K30*Parameters!$B$19+L30*Parameters!$B$20)</f>
        <v>26</v>
      </c>
      <c r="N30" s="16" t="n">
        <f aca="false">IF(G30=1,MAX(I30-M30,Parameters!$B$21),0)</f>
        <v>66</v>
      </c>
    </row>
    <row r="31" customFormat="false" ht="15" hidden="false" customHeight="false" outlineLevel="0" collapsed="false">
      <c r="A31" s="5" t="s">
        <v>62</v>
      </c>
      <c r="B31" s="15" t="n">
        <v>46357</v>
      </c>
      <c r="C31" s="16" t="n">
        <v>213</v>
      </c>
      <c r="D31" s="5" t="n">
        <f aca="false">IF(AND(B31&gt;=Parameters!$B$10,B31&lt;Parameters!$B$11),1,0)</f>
        <v>1</v>
      </c>
      <c r="E31" s="16" t="n">
        <f aca="false">C31*D31</f>
        <v>213</v>
      </c>
      <c r="F31" s="5" t="n">
        <v>92</v>
      </c>
      <c r="G31" s="5" t="n">
        <f aca="false">IF(AND(B31&gt;=Parameters!$B$10,B31&lt;=Parameters!$B$11),1,0)</f>
        <v>1</v>
      </c>
      <c r="H31" s="5" t="n">
        <f aca="false">IF(OR(B31=Parameters!$B$10,B31=Parameters!$B$11),1,0)</f>
        <v>0</v>
      </c>
      <c r="I31" s="16" t="n">
        <f aca="false">IF(G31=1,IF(H31=1,Parameters!$B$22*F31,F31),0)</f>
        <v>92</v>
      </c>
      <c r="J31" s="5" t="n">
        <v>0</v>
      </c>
      <c r="K31" s="5" t="n">
        <v>1</v>
      </c>
      <c r="L31" s="5" t="n">
        <v>1</v>
      </c>
      <c r="M31" s="16" t="n">
        <f aca="false">G31*(J31*Parameters!$B$18+K31*Parameters!$B$19+L31*Parameters!$B$20)</f>
        <v>64</v>
      </c>
      <c r="N31" s="16" t="n">
        <f aca="false">IF(G31=1,MAX(I31-M31,Parameters!$B$21),0)</f>
        <v>28</v>
      </c>
    </row>
    <row r="32" customFormat="false" ht="15" hidden="false" customHeight="false" outlineLevel="0" collapsed="false">
      <c r="A32" s="5" t="s">
        <v>62</v>
      </c>
      <c r="B32" s="15" t="n">
        <v>46358</v>
      </c>
      <c r="C32" s="16" t="n">
        <v>213</v>
      </c>
      <c r="D32" s="5" t="n">
        <f aca="false">IF(AND(B32&gt;=Parameters!$B$10,B32&lt;Parameters!$B$11),1,0)</f>
        <v>0</v>
      </c>
      <c r="E32" s="16" t="n">
        <f aca="false">C32*D32</f>
        <v>0</v>
      </c>
      <c r="F32" s="5" t="n">
        <v>92</v>
      </c>
      <c r="G32" s="5" t="n">
        <f aca="false">IF(AND(B32&gt;=Parameters!$B$10,B32&lt;=Parameters!$B$11),1,0)</f>
        <v>1</v>
      </c>
      <c r="H32" s="5" t="n">
        <f aca="false">IF(OR(B32=Parameters!$B$10,B32=Parameters!$B$11),1,0)</f>
        <v>1</v>
      </c>
      <c r="I32" s="16" t="n">
        <f aca="false">IF(G32=1,IF(H32=1,Parameters!$B$22*F32,F32),0)</f>
        <v>69</v>
      </c>
      <c r="J32" s="5" t="n">
        <v>0</v>
      </c>
      <c r="K32" s="5" t="n">
        <v>1</v>
      </c>
      <c r="L32" s="5" t="n">
        <v>0</v>
      </c>
      <c r="M32" s="16" t="n">
        <f aca="false">G32*(J32*Parameters!$B$18+K32*Parameters!$B$19+L32*Parameters!$B$20)</f>
        <v>26</v>
      </c>
      <c r="N32" s="16" t="n">
        <f aca="false">IF(G32=1,MAX(I32-M32,Parameters!$B$21),0)</f>
        <v>43</v>
      </c>
    </row>
    <row r="33" customFormat="false" ht="15" hidden="false" customHeight="false" outlineLevel="0" collapsed="false">
      <c r="A33" s="5" t="s">
        <v>62</v>
      </c>
      <c r="B33" s="15" t="n">
        <v>46359</v>
      </c>
      <c r="C33" s="16" t="n">
        <v>213</v>
      </c>
      <c r="D33" s="5" t="n">
        <f aca="false">IF(AND(B33&gt;=Parameters!$B$10,B33&lt;Parameters!$B$11),1,0)</f>
        <v>0</v>
      </c>
      <c r="E33" s="16" t="n">
        <f aca="false">C33*D33</f>
        <v>0</v>
      </c>
      <c r="F33" s="5" t="n">
        <v>92</v>
      </c>
      <c r="G33" s="5" t="n">
        <f aca="false">IF(AND(B33&gt;=Parameters!$B$10,B33&lt;=Parameters!$B$11),1,0)</f>
        <v>0</v>
      </c>
      <c r="H33" s="5" t="n">
        <f aca="false">IF(OR(B33=Parameters!$B$10,B33=Parameters!$B$11),1,0)</f>
        <v>0</v>
      </c>
      <c r="I33" s="16" t="n">
        <f aca="false">IF(G33=1,IF(H33=1,Parameters!$B$22*F33,F33),0)</f>
        <v>0</v>
      </c>
      <c r="J33" s="5" t="n">
        <v>0</v>
      </c>
      <c r="K33" s="5" t="n">
        <v>0</v>
      </c>
      <c r="L33" s="5" t="n">
        <v>0</v>
      </c>
      <c r="M33" s="16" t="n">
        <f aca="false">G33*(J33*Parameters!$B$18+K33*Parameters!$B$19+L33*Parameters!$B$20)</f>
        <v>0</v>
      </c>
      <c r="N33" s="16" t="n">
        <f aca="false">IF(G33=1,MAX(I33-M33,Parameters!$B$21),0)</f>
        <v>0</v>
      </c>
    </row>
    <row r="34" customFormat="false" ht="17.15" hidden="false" customHeight="false" outlineLevel="0" collapsed="false">
      <c r="A34" s="17" t="s">
        <v>63</v>
      </c>
      <c r="C34" s="18" t="s">
        <v>56</v>
      </c>
      <c r="E34" s="19" t="n">
        <f aca="false">SUM(E27:E33)</f>
        <v>852</v>
      </c>
      <c r="M34" s="20" t="s">
        <v>57</v>
      </c>
      <c r="N34" s="19" t="n">
        <f aca="false">SUM(N27:N33)</f>
        <v>234</v>
      </c>
    </row>
    <row r="35" customFormat="false" ht="15" hidden="false" customHeight="false" outlineLevel="0" collapsed="false">
      <c r="A35" s="5" t="s">
        <v>64</v>
      </c>
      <c r="B35" s="15" t="n">
        <v>46353</v>
      </c>
      <c r="C35" s="16" t="n">
        <v>188</v>
      </c>
      <c r="D35" s="5" t="n">
        <f aca="false">IF(AND(B35&gt;=Parameters!$B$10,B35&lt;Parameters!$B$11),1,0)</f>
        <v>0</v>
      </c>
      <c r="E35" s="16" t="n">
        <f aca="false">C35*D35</f>
        <v>0</v>
      </c>
      <c r="F35" s="5" t="n">
        <v>92</v>
      </c>
      <c r="G35" s="5" t="n">
        <f aca="false">IF(AND(B35&gt;=Parameters!$B$10,B35&lt;=Parameters!$B$11),1,0)</f>
        <v>0</v>
      </c>
      <c r="H35" s="5" t="n">
        <f aca="false">IF(OR(B35=Parameters!$B$10,B35=Parameters!$B$11),1,0)</f>
        <v>0</v>
      </c>
      <c r="I35" s="16" t="n">
        <f aca="false">IF(G35=1,IF(H35=1,Parameters!$B$22*F35,F35),0)</f>
        <v>0</v>
      </c>
      <c r="J35" s="5" t="n">
        <v>0</v>
      </c>
      <c r="K35" s="5" t="n">
        <v>0</v>
      </c>
      <c r="L35" s="5" t="n">
        <v>0</v>
      </c>
      <c r="M35" s="16" t="n">
        <f aca="false">G35*(J35*Parameters!$B$18+K35*Parameters!$B$19+L35*Parameters!$B$20)</f>
        <v>0</v>
      </c>
      <c r="N35" s="16" t="n">
        <f aca="false">IF(G35=1,MAX(I35-M35,Parameters!$B$21),0)</f>
        <v>0</v>
      </c>
    </row>
    <row r="36" customFormat="false" ht="15" hidden="false" customHeight="false" outlineLevel="0" collapsed="false">
      <c r="A36" s="5" t="s">
        <v>64</v>
      </c>
      <c r="B36" s="15" t="n">
        <v>46354</v>
      </c>
      <c r="C36" s="16" t="n">
        <v>188</v>
      </c>
      <c r="D36" s="5" t="n">
        <f aca="false">IF(AND(B36&gt;=Parameters!$B$10,B36&lt;Parameters!$B$11),1,0)</f>
        <v>1</v>
      </c>
      <c r="E36" s="16" t="n">
        <f aca="false">C36*D36</f>
        <v>188</v>
      </c>
      <c r="F36" s="5" t="n">
        <v>92</v>
      </c>
      <c r="G36" s="5" t="n">
        <f aca="false">IF(AND(B36&gt;=Parameters!$B$10,B36&lt;=Parameters!$B$11),1,0)</f>
        <v>1</v>
      </c>
      <c r="H36" s="5" t="n">
        <f aca="false">IF(OR(B36=Parameters!$B$10,B36=Parameters!$B$11),1,0)</f>
        <v>1</v>
      </c>
      <c r="I36" s="16" t="n">
        <f aca="false">IF(G36=1,IF(H36=1,Parameters!$B$22*F36,F36),0)</f>
        <v>69</v>
      </c>
      <c r="J36" s="5" t="n">
        <v>0</v>
      </c>
      <c r="K36" s="5" t="n">
        <v>0</v>
      </c>
      <c r="L36" s="5" t="n">
        <v>1</v>
      </c>
      <c r="M36" s="16" t="n">
        <f aca="false">G36*(J36*Parameters!$B$18+K36*Parameters!$B$19+L36*Parameters!$B$20)</f>
        <v>38</v>
      </c>
      <c r="N36" s="16" t="n">
        <f aca="false">IF(G36=1,MAX(I36-M36,Parameters!$B$21),0)</f>
        <v>31</v>
      </c>
    </row>
    <row r="37" customFormat="false" ht="15" hidden="false" customHeight="false" outlineLevel="0" collapsed="false">
      <c r="A37" s="5" t="s">
        <v>64</v>
      </c>
      <c r="B37" s="15" t="n">
        <v>46355</v>
      </c>
      <c r="C37" s="16" t="n">
        <v>188</v>
      </c>
      <c r="D37" s="5" t="n">
        <f aca="false">IF(AND(B37&gt;=Parameters!$B$10,B37&lt;Parameters!$B$11),1,0)</f>
        <v>1</v>
      </c>
      <c r="E37" s="16" t="n">
        <f aca="false">C37*D37</f>
        <v>188</v>
      </c>
      <c r="F37" s="5" t="n">
        <v>92</v>
      </c>
      <c r="G37" s="5" t="n">
        <f aca="false">IF(AND(B37&gt;=Parameters!$B$10,B37&lt;=Parameters!$B$11),1,0)</f>
        <v>1</v>
      </c>
      <c r="H37" s="5" t="n">
        <f aca="false">IF(OR(B37=Parameters!$B$10,B37=Parameters!$B$11),1,0)</f>
        <v>0</v>
      </c>
      <c r="I37" s="16" t="n">
        <f aca="false">IF(G37=1,IF(H37=1,Parameters!$B$22*F37,F37),0)</f>
        <v>92</v>
      </c>
      <c r="J37" s="5" t="n">
        <f aca="false">Parameters!$B$9</f>
        <v>0</v>
      </c>
      <c r="K37" s="5" t="n">
        <v>1</v>
      </c>
      <c r="L37" s="5" t="n">
        <v>0</v>
      </c>
      <c r="M37" s="16" t="n">
        <f aca="false">G37*(J37*Parameters!$B$18+K37*Parameters!$B$19+L37*Parameters!$B$20)</f>
        <v>26</v>
      </c>
      <c r="N37" s="16" t="n">
        <f aca="false">IF(G37=1,MAX(I37-M37,Parameters!$B$21),0)</f>
        <v>66</v>
      </c>
    </row>
    <row r="38" customFormat="false" ht="15" hidden="false" customHeight="false" outlineLevel="0" collapsed="false">
      <c r="A38" s="5" t="s">
        <v>64</v>
      </c>
      <c r="B38" s="15" t="n">
        <v>46356</v>
      </c>
      <c r="C38" s="16" t="n">
        <v>188</v>
      </c>
      <c r="D38" s="5" t="n">
        <f aca="false">IF(AND(B38&gt;=Parameters!$B$10,B38&lt;Parameters!$B$11),1,0)</f>
        <v>1</v>
      </c>
      <c r="E38" s="16" t="n">
        <f aca="false">C38*D38</f>
        <v>188</v>
      </c>
      <c r="F38" s="5" t="n">
        <v>92</v>
      </c>
      <c r="G38" s="5" t="n">
        <f aca="false">IF(AND(B38&gt;=Parameters!$B$10,B38&lt;=Parameters!$B$11),1,0)</f>
        <v>1</v>
      </c>
      <c r="H38" s="5" t="n">
        <f aca="false">IF(OR(B38=Parameters!$B$10,B38=Parameters!$B$11),1,0)</f>
        <v>0</v>
      </c>
      <c r="I38" s="16" t="n">
        <f aca="false">IF(G38=1,IF(H38=1,Parameters!$B$22*F38,F38),0)</f>
        <v>92</v>
      </c>
      <c r="J38" s="5" t="n">
        <v>0</v>
      </c>
      <c r="K38" s="5" t="n">
        <v>1</v>
      </c>
      <c r="L38" s="5" t="n">
        <v>0</v>
      </c>
      <c r="M38" s="16" t="n">
        <f aca="false">G38*(J38*Parameters!$B$18+K38*Parameters!$B$19+L38*Parameters!$B$20)</f>
        <v>26</v>
      </c>
      <c r="N38" s="16" t="n">
        <f aca="false">IF(G38=1,MAX(I38-M38,Parameters!$B$21),0)</f>
        <v>66</v>
      </c>
    </row>
    <row r="39" customFormat="false" ht="15" hidden="false" customHeight="false" outlineLevel="0" collapsed="false">
      <c r="A39" s="5" t="s">
        <v>64</v>
      </c>
      <c r="B39" s="15" t="n">
        <v>46357</v>
      </c>
      <c r="C39" s="16" t="n">
        <v>188</v>
      </c>
      <c r="D39" s="5" t="n">
        <f aca="false">IF(AND(B39&gt;=Parameters!$B$10,B39&lt;Parameters!$B$11),1,0)</f>
        <v>1</v>
      </c>
      <c r="E39" s="16" t="n">
        <f aca="false">C39*D39</f>
        <v>188</v>
      </c>
      <c r="F39" s="5" t="n">
        <v>92</v>
      </c>
      <c r="G39" s="5" t="n">
        <f aca="false">IF(AND(B39&gt;=Parameters!$B$10,B39&lt;=Parameters!$B$11),1,0)</f>
        <v>1</v>
      </c>
      <c r="H39" s="5" t="n">
        <f aca="false">IF(OR(B39=Parameters!$B$10,B39=Parameters!$B$11),1,0)</f>
        <v>0</v>
      </c>
      <c r="I39" s="16" t="n">
        <f aca="false">IF(G39=1,IF(H39=1,Parameters!$B$22*F39,F39),0)</f>
        <v>92</v>
      </c>
      <c r="J39" s="5" t="n">
        <v>0</v>
      </c>
      <c r="K39" s="5" t="n">
        <v>1</v>
      </c>
      <c r="L39" s="5" t="n">
        <v>1</v>
      </c>
      <c r="M39" s="16" t="n">
        <f aca="false">G39*(J39*Parameters!$B$18+K39*Parameters!$B$19+L39*Parameters!$B$20)</f>
        <v>64</v>
      </c>
      <c r="N39" s="16" t="n">
        <f aca="false">IF(G39=1,MAX(I39-M39,Parameters!$B$21),0)</f>
        <v>28</v>
      </c>
    </row>
    <row r="40" customFormat="false" ht="15" hidden="false" customHeight="false" outlineLevel="0" collapsed="false">
      <c r="A40" s="5" t="s">
        <v>64</v>
      </c>
      <c r="B40" s="15" t="n">
        <v>46358</v>
      </c>
      <c r="C40" s="16" t="n">
        <v>188</v>
      </c>
      <c r="D40" s="5" t="n">
        <f aca="false">IF(AND(B40&gt;=Parameters!$B$10,B40&lt;Parameters!$B$11),1,0)</f>
        <v>0</v>
      </c>
      <c r="E40" s="16" t="n">
        <f aca="false">C40*D40</f>
        <v>0</v>
      </c>
      <c r="F40" s="5" t="n">
        <v>92</v>
      </c>
      <c r="G40" s="5" t="n">
        <f aca="false">IF(AND(B40&gt;=Parameters!$B$10,B40&lt;=Parameters!$B$11),1,0)</f>
        <v>1</v>
      </c>
      <c r="H40" s="5" t="n">
        <f aca="false">IF(OR(B40=Parameters!$B$10,B40=Parameters!$B$11),1,0)</f>
        <v>1</v>
      </c>
      <c r="I40" s="16" t="n">
        <f aca="false">IF(G40=1,IF(H40=1,Parameters!$B$22*F40,F40),0)</f>
        <v>69</v>
      </c>
      <c r="J40" s="5" t="n">
        <v>0</v>
      </c>
      <c r="K40" s="5" t="n">
        <v>1</v>
      </c>
      <c r="L40" s="5" t="n">
        <v>0</v>
      </c>
      <c r="M40" s="16" t="n">
        <f aca="false">G40*(J40*Parameters!$B$18+K40*Parameters!$B$19+L40*Parameters!$B$20)</f>
        <v>26</v>
      </c>
      <c r="N40" s="16" t="n">
        <f aca="false">IF(G40=1,MAX(I40-M40,Parameters!$B$21),0)</f>
        <v>43</v>
      </c>
    </row>
    <row r="41" customFormat="false" ht="15" hidden="false" customHeight="false" outlineLevel="0" collapsed="false">
      <c r="A41" s="5" t="s">
        <v>64</v>
      </c>
      <c r="B41" s="15" t="n">
        <v>46359</v>
      </c>
      <c r="C41" s="16" t="n">
        <v>188</v>
      </c>
      <c r="D41" s="5" t="n">
        <f aca="false">IF(AND(B41&gt;=Parameters!$B$10,B41&lt;Parameters!$B$11),1,0)</f>
        <v>0</v>
      </c>
      <c r="E41" s="16" t="n">
        <f aca="false">C41*D41</f>
        <v>0</v>
      </c>
      <c r="F41" s="5" t="n">
        <v>92</v>
      </c>
      <c r="G41" s="5" t="n">
        <f aca="false">IF(AND(B41&gt;=Parameters!$B$10,B41&lt;=Parameters!$B$11),1,0)</f>
        <v>0</v>
      </c>
      <c r="H41" s="5" t="n">
        <f aca="false">IF(OR(B41=Parameters!$B$10,B41=Parameters!$B$11),1,0)</f>
        <v>0</v>
      </c>
      <c r="I41" s="16" t="n">
        <f aca="false">IF(G41=1,IF(H41=1,Parameters!$B$22*F41,F41),0)</f>
        <v>0</v>
      </c>
      <c r="J41" s="5" t="n">
        <v>0</v>
      </c>
      <c r="K41" s="5" t="n">
        <v>0</v>
      </c>
      <c r="L41" s="5" t="n">
        <v>0</v>
      </c>
      <c r="M41" s="16" t="n">
        <f aca="false">G41*(J41*Parameters!$B$18+K41*Parameters!$B$19+L41*Parameters!$B$20)</f>
        <v>0</v>
      </c>
      <c r="N41" s="16" t="n">
        <f aca="false">IF(G41=1,MAX(I41-M41,Parameters!$B$21),0)</f>
        <v>0</v>
      </c>
    </row>
    <row r="42" customFormat="false" ht="17.15" hidden="false" customHeight="false" outlineLevel="0" collapsed="false">
      <c r="A42" s="17" t="s">
        <v>65</v>
      </c>
      <c r="C42" s="18" t="s">
        <v>56</v>
      </c>
      <c r="E42" s="19" t="n">
        <f aca="false">SUM(E35:E41)</f>
        <v>752</v>
      </c>
      <c r="M42" s="20" t="s">
        <v>57</v>
      </c>
      <c r="N42" s="19" t="n">
        <f aca="false">SUM(N35:N41)</f>
        <v>234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5" min="2" style="0" width="13"/>
  </cols>
  <sheetData>
    <row r="1" customFormat="false" ht="19.4" hidden="false" customHeight="false" outlineLevel="0" collapsed="false">
      <c r="A1" s="21" t="s">
        <v>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customFormat="false" ht="57.45" hidden="false" customHeight="false" outlineLevel="0" collapsed="false">
      <c r="A3" s="2" t="s">
        <v>40</v>
      </c>
      <c r="B3" s="2" t="s">
        <v>67</v>
      </c>
      <c r="C3" s="2" t="s">
        <v>68</v>
      </c>
      <c r="D3" s="2" t="s">
        <v>69</v>
      </c>
      <c r="E3" s="2" t="s">
        <v>70</v>
      </c>
      <c r="F3" s="14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L3" s="2" t="s">
        <v>76</v>
      </c>
      <c r="M3" s="2" t="s">
        <v>77</v>
      </c>
      <c r="N3" s="2" t="s">
        <v>78</v>
      </c>
      <c r="O3" s="2" t="s">
        <v>79</v>
      </c>
      <c r="P3" s="2" t="s">
        <v>80</v>
      </c>
      <c r="Q3" s="2" t="s">
        <v>81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AA3" s="0" t="s">
        <v>82</v>
      </c>
      <c r="AB3" s="0" t="s">
        <v>83</v>
      </c>
    </row>
    <row r="4" customFormat="false" ht="15" hidden="false" customHeight="false" outlineLevel="0" collapsed="false">
      <c r="A4" s="5" t="s">
        <v>54</v>
      </c>
      <c r="B4" s="16" t="n">
        <v>271</v>
      </c>
      <c r="C4" s="16" t="n">
        <f aca="false">B4*Parameters!$B$5</f>
        <v>271</v>
      </c>
      <c r="D4" s="16" t="n">
        <f aca="false">Daily!E10</f>
        <v>844</v>
      </c>
      <c r="E4" s="16" t="n">
        <f aca="false">D4*Parameters!$B$8</f>
        <v>101.28</v>
      </c>
      <c r="F4" s="16" t="n">
        <f aca="false">Daily!N10</f>
        <v>234</v>
      </c>
      <c r="G4" s="16" t="n">
        <f aca="false">Parameters!$B$12</f>
        <v>180</v>
      </c>
      <c r="H4" s="16" t="n">
        <v>70</v>
      </c>
      <c r="I4" s="16" t="n">
        <f aca="false">C4+D4+E4+F4+G4+H4</f>
        <v>1700.28</v>
      </c>
      <c r="J4" s="16" t="n">
        <f aca="false">I4+B4*Parameters!$B$5*(Parameters!$B$7-1)</f>
        <v>1754.48</v>
      </c>
      <c r="L4" s="16" t="n">
        <f aca="false">I4*Parameters!$B$14</f>
        <v>40806.72</v>
      </c>
      <c r="M4" s="16" t="n">
        <f aca="false">ROUND(L4*Parameters!$B$6,2)</f>
        <v>2040.34</v>
      </c>
      <c r="N4" s="16" t="n">
        <f aca="false">ROUND(L4+M4,2)</f>
        <v>42847.06</v>
      </c>
      <c r="O4" s="5" t="str">
        <f aca="false">IF(N4&lt;=Parameters!$B$4,"YES","NO")</f>
        <v>YES</v>
      </c>
      <c r="P4" s="16" t="n">
        <f aca="false">ROUND(J4*Parameters!$B$14*(1+Parameters!$B$6),2)</f>
        <v>44212.9</v>
      </c>
      <c r="Q4" s="5" t="str">
        <f aca="false">IF(P4&lt;=Parameters!$B$4,"YES","NO")</f>
        <v>YES</v>
      </c>
      <c r="S4" s="16" t="n">
        <f aca="false">I4*Parameters!$B$13</f>
        <v>30605.04</v>
      </c>
      <c r="T4" s="16" t="n">
        <f aca="false">ROUND(S4*Parameters!$B$6,2)</f>
        <v>1530.25</v>
      </c>
      <c r="U4" s="16" t="n">
        <f aca="false">ROUND(S4+T4,2)</f>
        <v>32135.29</v>
      </c>
      <c r="V4" s="5" t="str">
        <f aca="false">IF(U4&lt;=Parameters!$B$4,"YES","NO")</f>
        <v>YES</v>
      </c>
      <c r="W4" s="16" t="n">
        <f aca="false">ROUND(J4*Parameters!$B$13*(1+Parameters!$B$6),2)</f>
        <v>33159.67</v>
      </c>
      <c r="X4" s="5" t="str">
        <f aca="false">IF(W4&lt;=Parameters!$B$4,"YES","NO")</f>
        <v>YES</v>
      </c>
      <c r="AA4" s="22" t="n">
        <f aca="false">IF(O4="YES",N4,"")</f>
        <v>42847.06</v>
      </c>
      <c r="AB4" s="22" t="n">
        <f aca="false">IF(V4="YES",U4,"")</f>
        <v>32135.29</v>
      </c>
    </row>
    <row r="5" customFormat="false" ht="15" hidden="false" customHeight="false" outlineLevel="0" collapsed="false">
      <c r="A5" s="5" t="s">
        <v>58</v>
      </c>
      <c r="B5" s="16" t="n">
        <v>437</v>
      </c>
      <c r="C5" s="16" t="n">
        <f aca="false">B5*Parameters!$B$5</f>
        <v>437</v>
      </c>
      <c r="D5" s="16" t="n">
        <f aca="false">Daily!E18</f>
        <v>680</v>
      </c>
      <c r="E5" s="16" t="n">
        <f aca="false">D5*Parameters!$B$8</f>
        <v>81.6</v>
      </c>
      <c r="F5" s="16" t="n">
        <f aca="false">Daily!N18</f>
        <v>234</v>
      </c>
      <c r="G5" s="16" t="n">
        <f aca="false">Parameters!$B$12</f>
        <v>180</v>
      </c>
      <c r="H5" s="16" t="n">
        <v>80</v>
      </c>
      <c r="I5" s="16" t="n">
        <f aca="false">C5+D5+E5+F5+G5+H5</f>
        <v>1692.6</v>
      </c>
      <c r="J5" s="16" t="n">
        <f aca="false">I5+B5*Parameters!$B$5*(Parameters!$B$7-1)</f>
        <v>1780</v>
      </c>
      <c r="L5" s="16" t="n">
        <f aca="false">I5*Parameters!$B$14</f>
        <v>40622.4</v>
      </c>
      <c r="M5" s="16" t="n">
        <f aca="false">ROUND(L5*Parameters!$B$6,2)</f>
        <v>2031.12</v>
      </c>
      <c r="N5" s="16" t="n">
        <f aca="false">ROUND(L5+M5,2)</f>
        <v>42653.52</v>
      </c>
      <c r="O5" s="5" t="str">
        <f aca="false">IF(N5&lt;=Parameters!$B$4,"YES","NO")</f>
        <v>YES</v>
      </c>
      <c r="P5" s="16" t="n">
        <f aca="false">ROUND(J5*Parameters!$B$14*(1+Parameters!$B$6),2)</f>
        <v>44856</v>
      </c>
      <c r="Q5" s="5" t="str">
        <f aca="false">IF(P5&lt;=Parameters!$B$4,"YES","NO")</f>
        <v>YES</v>
      </c>
      <c r="S5" s="16" t="n">
        <f aca="false">I5*Parameters!$B$13</f>
        <v>30466.8</v>
      </c>
      <c r="T5" s="16" t="n">
        <f aca="false">ROUND(S5*Parameters!$B$6,2)</f>
        <v>1523.34</v>
      </c>
      <c r="U5" s="16" t="n">
        <f aca="false">ROUND(S5+T5,2)</f>
        <v>31990.14</v>
      </c>
      <c r="V5" s="5" t="str">
        <f aca="false">IF(U5&lt;=Parameters!$B$4,"YES","NO")</f>
        <v>YES</v>
      </c>
      <c r="W5" s="16" t="n">
        <f aca="false">ROUND(J5*Parameters!$B$13*(1+Parameters!$B$6),2)</f>
        <v>33642</v>
      </c>
      <c r="X5" s="5" t="str">
        <f aca="false">IF(W5&lt;=Parameters!$B$4,"YES","NO")</f>
        <v>YES</v>
      </c>
      <c r="AA5" s="22" t="n">
        <f aca="false">IF(O5="YES",N5,"")</f>
        <v>42653.52</v>
      </c>
      <c r="AB5" s="22" t="n">
        <f aca="false">IF(V5="YES",U5,"")</f>
        <v>31990.14</v>
      </c>
    </row>
    <row r="6" customFormat="false" ht="15" hidden="false" customHeight="false" outlineLevel="0" collapsed="false">
      <c r="A6" s="5" t="s">
        <v>60</v>
      </c>
      <c r="B6" s="16" t="n">
        <v>473</v>
      </c>
      <c r="C6" s="16" t="n">
        <f aca="false">B6*Parameters!$B$5</f>
        <v>473</v>
      </c>
      <c r="D6" s="16" t="n">
        <f aca="false">Daily!E26</f>
        <v>660</v>
      </c>
      <c r="E6" s="16" t="n">
        <f aca="false">D6*Parameters!$B$8</f>
        <v>79.2</v>
      </c>
      <c r="F6" s="16" t="n">
        <f aca="false">Daily!N26</f>
        <v>234</v>
      </c>
      <c r="G6" s="16" t="n">
        <f aca="false">Parameters!$B$12</f>
        <v>180</v>
      </c>
      <c r="H6" s="16" t="n">
        <v>50</v>
      </c>
      <c r="I6" s="16" t="n">
        <f aca="false">C6+D6+E6+F6+G6+H6</f>
        <v>1676.2</v>
      </c>
      <c r="J6" s="16" t="n">
        <f aca="false">I6+B6*Parameters!$B$5*(Parameters!$B$7-1)</f>
        <v>1770.8</v>
      </c>
      <c r="L6" s="16" t="n">
        <f aca="false">I6*Parameters!$B$14</f>
        <v>40228.8</v>
      </c>
      <c r="M6" s="16" t="n">
        <f aca="false">ROUND(L6*Parameters!$B$6,2)</f>
        <v>2011.44</v>
      </c>
      <c r="N6" s="16" t="n">
        <f aca="false">ROUND(L6+M6,2)</f>
        <v>42240.24</v>
      </c>
      <c r="O6" s="5" t="str">
        <f aca="false">IF(N6&lt;=Parameters!$B$4,"YES","NO")</f>
        <v>YES</v>
      </c>
      <c r="P6" s="16" t="n">
        <f aca="false">ROUND(J6*Parameters!$B$14*(1+Parameters!$B$6),2)</f>
        <v>44624.16</v>
      </c>
      <c r="Q6" s="5" t="str">
        <f aca="false">IF(P6&lt;=Parameters!$B$4,"YES","NO")</f>
        <v>YES</v>
      </c>
      <c r="S6" s="16" t="n">
        <f aca="false">I6*Parameters!$B$13</f>
        <v>30171.6</v>
      </c>
      <c r="T6" s="16" t="n">
        <f aca="false">ROUND(S6*Parameters!$B$6,2)</f>
        <v>1508.58</v>
      </c>
      <c r="U6" s="16" t="n">
        <f aca="false">ROUND(S6+T6,2)</f>
        <v>31680.18</v>
      </c>
      <c r="V6" s="5" t="str">
        <f aca="false">IF(U6&lt;=Parameters!$B$4,"YES","NO")</f>
        <v>YES</v>
      </c>
      <c r="W6" s="16" t="n">
        <f aca="false">ROUND(J6*Parameters!$B$13*(1+Parameters!$B$6),2)</f>
        <v>33468.12</v>
      </c>
      <c r="X6" s="5" t="str">
        <f aca="false">IF(W6&lt;=Parameters!$B$4,"YES","NO")</f>
        <v>YES</v>
      </c>
      <c r="AA6" s="22" t="n">
        <f aca="false">IF(O6="YES",N6,"")</f>
        <v>42240.24</v>
      </c>
      <c r="AB6" s="22" t="n">
        <f aca="false">IF(V6="YES",U6,"")</f>
        <v>31680.18</v>
      </c>
    </row>
    <row r="7" customFormat="false" ht="15" hidden="false" customHeight="false" outlineLevel="0" collapsed="false">
      <c r="A7" s="5" t="s">
        <v>62</v>
      </c>
      <c r="B7" s="16" t="n">
        <v>322</v>
      </c>
      <c r="C7" s="16" t="n">
        <f aca="false">B7*Parameters!$B$5</f>
        <v>322</v>
      </c>
      <c r="D7" s="16" t="n">
        <f aca="false">Daily!E34</f>
        <v>852</v>
      </c>
      <c r="E7" s="16" t="n">
        <f aca="false">D7*Parameters!$B$8</f>
        <v>102.24</v>
      </c>
      <c r="F7" s="16" t="n">
        <f aca="false">Daily!N34</f>
        <v>234</v>
      </c>
      <c r="G7" s="16" t="n">
        <f aca="false">Parameters!$B$12</f>
        <v>180</v>
      </c>
      <c r="H7" s="16" t="n">
        <v>50</v>
      </c>
      <c r="I7" s="16" t="n">
        <f aca="false">C7+D7+E7+F7+G7+H7</f>
        <v>1740.24</v>
      </c>
      <c r="J7" s="16" t="n">
        <f aca="false">I7+B7*Parameters!$B$5*(Parameters!$B$7-1)</f>
        <v>1804.64</v>
      </c>
      <c r="L7" s="16" t="n">
        <f aca="false">I7*Parameters!$B$14</f>
        <v>41765.76</v>
      </c>
      <c r="M7" s="16" t="n">
        <f aca="false">ROUND(L7*Parameters!$B$6,2)</f>
        <v>2088.29</v>
      </c>
      <c r="N7" s="16" t="n">
        <f aca="false">ROUND(L7+M7,2)</f>
        <v>43854.05</v>
      </c>
      <c r="O7" s="5" t="str">
        <f aca="false">IF(N7&lt;=Parameters!$B$4,"YES","NO")</f>
        <v>YES</v>
      </c>
      <c r="P7" s="16" t="n">
        <f aca="false">ROUND(J7*Parameters!$B$14*(1+Parameters!$B$6),2)</f>
        <v>45476.93</v>
      </c>
      <c r="Q7" s="5" t="str">
        <f aca="false">IF(P7&lt;=Parameters!$B$4,"YES","NO")</f>
        <v>YES</v>
      </c>
      <c r="S7" s="16" t="n">
        <f aca="false">I7*Parameters!$B$13</f>
        <v>31324.32</v>
      </c>
      <c r="T7" s="16" t="n">
        <f aca="false">ROUND(S7*Parameters!$B$6,2)</f>
        <v>1566.22</v>
      </c>
      <c r="U7" s="16" t="n">
        <f aca="false">ROUND(S7+T7,2)</f>
        <v>32890.54</v>
      </c>
      <c r="V7" s="5" t="str">
        <f aca="false">IF(U7&lt;=Parameters!$B$4,"YES","NO")</f>
        <v>YES</v>
      </c>
      <c r="W7" s="16" t="n">
        <f aca="false">ROUND(J7*Parameters!$B$13*(1+Parameters!$B$6),2)</f>
        <v>34107.7</v>
      </c>
      <c r="X7" s="5" t="str">
        <f aca="false">IF(W7&lt;=Parameters!$B$4,"YES","NO")</f>
        <v>YES</v>
      </c>
      <c r="AA7" s="22" t="n">
        <f aca="false">IF(O7="YES",N7,"")</f>
        <v>43854.05</v>
      </c>
      <c r="AB7" s="22" t="n">
        <f aca="false">IF(V7="YES",U7,"")</f>
        <v>32890.54</v>
      </c>
    </row>
    <row r="8" customFormat="false" ht="15" hidden="false" customHeight="false" outlineLevel="0" collapsed="false">
      <c r="A8" s="5" t="s">
        <v>64</v>
      </c>
      <c r="B8" s="16" t="n">
        <v>643</v>
      </c>
      <c r="C8" s="16" t="n">
        <f aca="false">B8*Parameters!$B$5</f>
        <v>643</v>
      </c>
      <c r="D8" s="16" t="n">
        <f aca="false">Daily!E42</f>
        <v>752</v>
      </c>
      <c r="E8" s="16" t="n">
        <f aca="false">D8*Parameters!$B$8</f>
        <v>90.24</v>
      </c>
      <c r="F8" s="16" t="n">
        <f aca="false">Daily!N42</f>
        <v>234</v>
      </c>
      <c r="G8" s="16" t="n">
        <f aca="false">Parameters!$B$12</f>
        <v>180</v>
      </c>
      <c r="H8" s="16" t="n">
        <v>65</v>
      </c>
      <c r="I8" s="16" t="n">
        <f aca="false">C8+D8+E8+F8+G8+H8</f>
        <v>1964.24</v>
      </c>
      <c r="J8" s="16" t="n">
        <f aca="false">I8+B8*Parameters!$B$5*(Parameters!$B$7-1)</f>
        <v>2092.84</v>
      </c>
      <c r="L8" s="16" t="n">
        <f aca="false">I8*Parameters!$B$14</f>
        <v>47141.76</v>
      </c>
      <c r="M8" s="16" t="n">
        <f aca="false">ROUND(L8*Parameters!$B$6,2)</f>
        <v>2357.09</v>
      </c>
      <c r="N8" s="16" t="n">
        <f aca="false">ROUND(L8+M8,2)</f>
        <v>49498.85</v>
      </c>
      <c r="O8" s="5" t="str">
        <f aca="false">IF(N8&lt;=Parameters!$B$4,"YES","NO")</f>
        <v>YES</v>
      </c>
      <c r="P8" s="16" t="n">
        <f aca="false">ROUND(J8*Parameters!$B$14*(1+Parameters!$B$6),2)</f>
        <v>52739.57</v>
      </c>
      <c r="Q8" s="5" t="str">
        <f aca="false">IF(P8&lt;=Parameters!$B$4,"YES","NO")</f>
        <v>YES</v>
      </c>
      <c r="S8" s="16" t="n">
        <f aca="false">I8*Parameters!$B$13</f>
        <v>35356.32</v>
      </c>
      <c r="T8" s="16" t="n">
        <f aca="false">ROUND(S8*Parameters!$B$6,2)</f>
        <v>1767.82</v>
      </c>
      <c r="U8" s="16" t="n">
        <f aca="false">ROUND(S8+T8,2)</f>
        <v>37124.14</v>
      </c>
      <c r="V8" s="5" t="str">
        <f aca="false">IF(U8&lt;=Parameters!$B$4,"YES","NO")</f>
        <v>YES</v>
      </c>
      <c r="W8" s="16" t="n">
        <f aca="false">ROUND(J8*Parameters!$B$13*(1+Parameters!$B$6),2)</f>
        <v>39554.68</v>
      </c>
      <c r="X8" s="5" t="str">
        <f aca="false">IF(W8&lt;=Parameters!$B$4,"YES","NO")</f>
        <v>YES</v>
      </c>
      <c r="AA8" s="22" t="n">
        <f aca="false">IF(O8="YES",N8,"")</f>
        <v>49498.85</v>
      </c>
      <c r="AB8" s="22" t="n">
        <f aca="false">IF(V8="YES",U8,"")</f>
        <v>37124.14</v>
      </c>
    </row>
    <row r="11" customFormat="false" ht="17.15" hidden="false" customHeight="false" outlineLevel="0" collapsed="false">
      <c r="A11" s="13" t="s">
        <v>84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7.15" hidden="false" customHeight="false" outlineLevel="0" collapsed="false">
      <c r="A12" s="9" t="s">
        <v>85</v>
      </c>
      <c r="E12" s="23" t="n">
        <f aca="false">COUNTIF($O$4:$O$8,"YES")</f>
        <v>5</v>
      </c>
    </row>
    <row r="13" customFormat="false" ht="17.15" hidden="false" customHeight="false" outlineLevel="0" collapsed="false">
      <c r="A13" s="9" t="s">
        <v>86</v>
      </c>
      <c r="E13" s="23" t="n">
        <f aca="false">COUNTIF($V$4:$V$8,"YES")</f>
        <v>5</v>
      </c>
    </row>
    <row r="14" customFormat="false" ht="17.15" hidden="false" customHeight="false" outlineLevel="0" collapsed="false">
      <c r="A14" s="3" t="s">
        <v>87</v>
      </c>
      <c r="E14" s="23" t="n">
        <f aca="false">IF(E12&gt;0,Parameters!$B$14,IF(E13&gt;0,Parameters!$B$13,"无可行方案"))</f>
        <v>24</v>
      </c>
    </row>
    <row r="15" customFormat="false" ht="17.15" hidden="false" customHeight="false" outlineLevel="0" collapsed="false">
      <c r="A15" s="3" t="s">
        <v>88</v>
      </c>
      <c r="E15" s="24" t="n">
        <f aca="false">IF(E12&gt;0,MIN($AA$4:$AA$8),IF(E13&gt;0,MIN($AB$4:$AB$8),""))</f>
        <v>42240.24</v>
      </c>
    </row>
    <row r="16" customFormat="false" ht="17.15" hidden="false" customHeight="false" outlineLevel="0" collapsed="false">
      <c r="A16" s="3" t="s">
        <v>89</v>
      </c>
      <c r="E16" s="23" t="str">
        <f aca="false">IFERROR(IF(E12&gt;0,INDEX($A$4:$A$8,MATCH(E15,$N$4:$N$8,0)),IF(E13&gt;0,INDEX($A$4:$A$8,MATCH(E15,$U$4:$U$8,0)),"—")),"—")</f>
        <v>Phoenix</v>
      </c>
    </row>
    <row r="17" customFormat="false" ht="17.15" hidden="false" customHeight="false" outlineLevel="0" collapsed="false">
      <c r="A17" s="3" t="s">
        <v>90</v>
      </c>
      <c r="E17" s="24" t="n">
        <f aca="false">IF(ISNUMBER(E15),Parameters!$B$4-E15,"")</f>
        <v>10759.76</v>
      </c>
    </row>
    <row r="19" customFormat="false" ht="15" hidden="false" customHeight="true" outlineLevel="0" collapsed="false">
      <c r="A19" s="25" t="s">
        <v>91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</sheetData>
  <mergeCells count="3">
    <mergeCell ref="A1:N1"/>
    <mergeCell ref="A11:K11"/>
    <mergeCell ref="A19: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9.4" hidden="false" customHeight="false" outlineLevel="0" collapsed="false">
      <c r="A1" s="21" t="s">
        <v>92</v>
      </c>
      <c r="B1" s="21"/>
      <c r="C1" s="21"/>
      <c r="D1" s="21"/>
      <c r="E1" s="21"/>
      <c r="F1" s="21"/>
    </row>
    <row r="2" customFormat="false" ht="17.15" hidden="false" customHeight="false" outlineLevel="0" collapsed="false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</row>
    <row r="3" customFormat="false" ht="30.55" hidden="false" customHeight="false" outlineLevel="0" collapsed="false">
      <c r="A3" s="26" t="s">
        <v>98</v>
      </c>
      <c r="B3" s="26" t="s">
        <v>99</v>
      </c>
      <c r="C3" s="26" t="s">
        <v>100</v>
      </c>
      <c r="D3" s="27" t="s">
        <v>101</v>
      </c>
      <c r="E3" s="26" t="s">
        <v>102</v>
      </c>
    </row>
    <row r="4" customFormat="false" ht="46.25" hidden="false" customHeight="false" outlineLevel="0" collapsed="false">
      <c r="A4" s="26" t="s">
        <v>103</v>
      </c>
      <c r="B4" s="27" t="s">
        <v>104</v>
      </c>
      <c r="C4" s="27" t="s">
        <v>105</v>
      </c>
      <c r="D4" s="27" t="s">
        <v>101</v>
      </c>
      <c r="E4" s="27" t="s">
        <v>106</v>
      </c>
    </row>
    <row r="5" customFormat="false" ht="32.8" hidden="false" customHeight="false" outlineLevel="0" collapsed="false">
      <c r="A5" s="26" t="s">
        <v>107</v>
      </c>
      <c r="B5" s="27" t="s">
        <v>108</v>
      </c>
      <c r="C5" s="27" t="s">
        <v>109</v>
      </c>
      <c r="D5" s="27" t="s">
        <v>101</v>
      </c>
      <c r="E5" s="26" t="s">
        <v>110</v>
      </c>
    </row>
    <row r="6" customFormat="false" ht="17.15" hidden="false" customHeight="false" outlineLevel="0" collapsed="false">
      <c r="A6" s="26" t="s">
        <v>111</v>
      </c>
      <c r="B6" s="27" t="s">
        <v>112</v>
      </c>
      <c r="C6" s="27" t="s">
        <v>113</v>
      </c>
      <c r="D6" s="27" t="s">
        <v>101</v>
      </c>
      <c r="E6" s="26" t="s">
        <v>114</v>
      </c>
    </row>
    <row r="7" customFormat="false" ht="32.8" hidden="false" customHeight="false" outlineLevel="0" collapsed="false">
      <c r="A7" s="26" t="s">
        <v>115</v>
      </c>
      <c r="B7" s="27" t="s">
        <v>116</v>
      </c>
      <c r="C7" s="27" t="s">
        <v>113</v>
      </c>
      <c r="D7" s="27" t="s">
        <v>101</v>
      </c>
      <c r="E7" s="26" t="s">
        <v>117</v>
      </c>
    </row>
    <row r="8" customFormat="false" ht="17.15" hidden="false" customHeight="false" outlineLevel="0" collapsed="false">
      <c r="A8" s="26" t="s">
        <v>118</v>
      </c>
      <c r="B8" s="27" t="s">
        <v>119</v>
      </c>
      <c r="C8" s="27" t="s">
        <v>113</v>
      </c>
      <c r="D8" s="27" t="s">
        <v>101</v>
      </c>
      <c r="E8" s="26" t="s">
        <v>120</v>
      </c>
    </row>
    <row r="9" customFormat="false" ht="32.8" hidden="false" customHeight="false" outlineLevel="0" collapsed="false">
      <c r="A9" s="26" t="s">
        <v>121</v>
      </c>
      <c r="B9" s="27" t="s">
        <v>122</v>
      </c>
      <c r="C9" s="27" t="s">
        <v>113</v>
      </c>
      <c r="D9" s="27" t="s">
        <v>101</v>
      </c>
      <c r="E9" s="26" t="s">
        <v>123</v>
      </c>
    </row>
    <row r="10" customFormat="false" ht="32.8" hidden="false" customHeight="false" outlineLevel="0" collapsed="false">
      <c r="A10" s="26" t="s">
        <v>124</v>
      </c>
      <c r="B10" s="27" t="s">
        <v>125</v>
      </c>
      <c r="C10" s="27" t="s">
        <v>126</v>
      </c>
      <c r="D10" s="27" t="s">
        <v>127</v>
      </c>
      <c r="E10" s="26" t="s">
        <v>128</v>
      </c>
    </row>
    <row r="11" customFormat="false" ht="28.35" hidden="false" customHeight="false" outlineLevel="0" collapsed="false">
      <c r="A11" s="27" t="s">
        <v>129</v>
      </c>
      <c r="B11" s="26" t="s">
        <v>130</v>
      </c>
      <c r="C11" s="27" t="s">
        <v>131</v>
      </c>
      <c r="D11" s="27" t="s">
        <v>127</v>
      </c>
      <c r="E11" s="26" t="s">
        <v>132</v>
      </c>
    </row>
    <row r="12" customFormat="false" ht="30.55" hidden="false" customHeight="false" outlineLevel="0" collapsed="false">
      <c r="A12" s="27" t="s">
        <v>133</v>
      </c>
      <c r="B12" s="26" t="s">
        <v>134</v>
      </c>
      <c r="C12" s="27" t="s">
        <v>135</v>
      </c>
      <c r="D12" s="27" t="s">
        <v>136</v>
      </c>
      <c r="E12" s="26" t="s">
        <v>137</v>
      </c>
    </row>
    <row r="13" customFormat="false" ht="32.8" hidden="false" customHeight="false" outlineLevel="0" collapsed="false">
      <c r="A13" s="26" t="s">
        <v>138</v>
      </c>
      <c r="B13" s="27" t="s">
        <v>139</v>
      </c>
      <c r="C13" s="26" t="s">
        <v>140</v>
      </c>
      <c r="D13" s="27" t="s">
        <v>101</v>
      </c>
      <c r="E13" s="26" t="s">
        <v>141</v>
      </c>
    </row>
    <row r="14" customFormat="false" ht="30.55" hidden="false" customHeight="false" outlineLevel="0" collapsed="false">
      <c r="A14" s="26" t="s">
        <v>142</v>
      </c>
      <c r="B14" s="27" t="s">
        <v>143</v>
      </c>
      <c r="C14" s="26" t="s">
        <v>144</v>
      </c>
      <c r="D14" s="27" t="s">
        <v>101</v>
      </c>
      <c r="E14" s="26" t="s">
        <v>145</v>
      </c>
    </row>
    <row r="15" customFormat="false" ht="17.15" hidden="false" customHeight="false" outlineLevel="0" collapsed="false">
      <c r="A15" s="26" t="s">
        <v>146</v>
      </c>
      <c r="B15" s="26" t="s">
        <v>147</v>
      </c>
      <c r="C15" s="26" t="s">
        <v>148</v>
      </c>
      <c r="D15" s="27" t="s">
        <v>149</v>
      </c>
      <c r="E15" s="26" t="s">
        <v>150</v>
      </c>
    </row>
    <row r="16" customFormat="false" ht="17.15" hidden="false" customHeight="false" outlineLevel="0" collapsed="false">
      <c r="A16" s="26" t="s">
        <v>151</v>
      </c>
      <c r="B16" s="27" t="s">
        <v>152</v>
      </c>
      <c r="C16" s="26" t="s">
        <v>153</v>
      </c>
      <c r="D16" s="27" t="s">
        <v>149</v>
      </c>
      <c r="E16" s="26" t="s">
        <v>26</v>
      </c>
    </row>
    <row r="17" customFormat="false" ht="32.8" hidden="false" customHeight="false" outlineLevel="0" collapsed="false">
      <c r="A17" s="26" t="s">
        <v>154</v>
      </c>
      <c r="B17" s="27" t="s">
        <v>155</v>
      </c>
      <c r="C17" s="26" t="s">
        <v>156</v>
      </c>
      <c r="D17" s="27" t="s">
        <v>101</v>
      </c>
      <c r="E17" s="26" t="s">
        <v>157</v>
      </c>
    </row>
    <row r="18" customFormat="false" ht="17.15" hidden="false" customHeight="false" outlineLevel="0" collapsed="false">
      <c r="A18" s="26" t="s">
        <v>158</v>
      </c>
      <c r="B18" s="26" t="s">
        <v>159</v>
      </c>
      <c r="C18" s="26" t="s">
        <v>153</v>
      </c>
      <c r="D18" s="27" t="s">
        <v>149</v>
      </c>
      <c r="E18" s="26" t="s">
        <v>160</v>
      </c>
    </row>
    <row r="19" customFormat="false" ht="17.15" hidden="false" customHeight="false" outlineLevel="0" collapsed="false">
      <c r="A19" s="26" t="s">
        <v>161</v>
      </c>
      <c r="B19" s="27" t="s">
        <v>162</v>
      </c>
      <c r="C19" s="26" t="s">
        <v>153</v>
      </c>
      <c r="D19" s="27" t="s">
        <v>149</v>
      </c>
      <c r="E19" s="26" t="s">
        <v>163</v>
      </c>
    </row>
    <row r="20" customFormat="false" ht="30.55" hidden="false" customHeight="false" outlineLevel="0" collapsed="false">
      <c r="A20" s="26" t="s">
        <v>164</v>
      </c>
      <c r="B20" s="26" t="s">
        <v>165</v>
      </c>
      <c r="C20" s="26" t="s">
        <v>166</v>
      </c>
      <c r="D20" s="27" t="s">
        <v>167</v>
      </c>
      <c r="E20" s="27" t="s">
        <v>168</v>
      </c>
    </row>
    <row r="21" customFormat="false" ht="30.55" hidden="false" customHeight="false" outlineLevel="0" collapsed="false">
      <c r="A21" s="26" t="s">
        <v>169</v>
      </c>
      <c r="B21" s="26" t="s">
        <v>165</v>
      </c>
      <c r="C21" s="26" t="s">
        <v>170</v>
      </c>
      <c r="D21" s="27" t="s">
        <v>167</v>
      </c>
      <c r="E21" s="27" t="s">
        <v>171</v>
      </c>
    </row>
    <row r="23" customFormat="false" ht="17.15" hidden="false" customHeight="false" outlineLevel="0" collapsed="false">
      <c r="A23" s="28" t="s">
        <v>172</v>
      </c>
    </row>
    <row r="24" customFormat="false" ht="17.15" hidden="false" customHeight="true" outlineLevel="0" collapsed="false">
      <c r="A24" s="29" t="s">
        <v>173</v>
      </c>
      <c r="B24" s="29"/>
      <c r="C24" s="29"/>
      <c r="D24" s="29"/>
      <c r="E24" s="29"/>
      <c r="F24" s="29"/>
    </row>
    <row r="25" customFormat="false" ht="17.15" hidden="false" customHeight="true" outlineLevel="0" collapsed="false">
      <c r="A25" s="29" t="s">
        <v>174</v>
      </c>
      <c r="B25" s="29"/>
      <c r="C25" s="29"/>
      <c r="D25" s="29"/>
      <c r="E25" s="29"/>
      <c r="F25" s="29"/>
    </row>
    <row r="26" customFormat="false" ht="17.15" hidden="false" customHeight="true" outlineLevel="0" collapsed="false">
      <c r="A26" s="29" t="s">
        <v>175</v>
      </c>
      <c r="B26" s="29"/>
      <c r="C26" s="29"/>
      <c r="D26" s="29"/>
      <c r="E26" s="29"/>
      <c r="F26" s="29"/>
    </row>
    <row r="27" customFormat="false" ht="17.15" hidden="false" customHeight="true" outlineLevel="0" collapsed="false">
      <c r="A27" s="29" t="s">
        <v>176</v>
      </c>
      <c r="B27" s="29"/>
      <c r="C27" s="29"/>
      <c r="D27" s="29"/>
      <c r="E27" s="29"/>
      <c r="F27" s="29"/>
    </row>
    <row r="28" customFormat="false" ht="17.15" hidden="false" customHeight="true" outlineLevel="0" collapsed="false">
      <c r="A28" s="29" t="s">
        <v>177</v>
      </c>
      <c r="B28" s="29"/>
      <c r="C28" s="29"/>
      <c r="D28" s="29"/>
      <c r="E28" s="29"/>
      <c r="F28" s="29"/>
    </row>
    <row r="29" customFormat="false" ht="17.15" hidden="false" customHeight="true" outlineLevel="0" collapsed="false">
      <c r="A29" s="29" t="s">
        <v>178</v>
      </c>
      <c r="B29" s="29"/>
      <c r="C29" s="29"/>
      <c r="D29" s="29"/>
      <c r="E29" s="29"/>
      <c r="F29" s="29"/>
    </row>
    <row r="30" customFormat="false" ht="17.15" hidden="false" customHeight="true" outlineLevel="0" collapsed="false">
      <c r="A30" s="29" t="s">
        <v>179</v>
      </c>
      <c r="B30" s="29"/>
      <c r="C30" s="29"/>
      <c r="D30" s="29"/>
      <c r="E30" s="29"/>
      <c r="F30" s="29"/>
    </row>
    <row r="31" customFormat="false" ht="17.15" hidden="false" customHeight="true" outlineLevel="0" collapsed="false">
      <c r="A31" s="29" t="s">
        <v>180</v>
      </c>
      <c r="B31" s="29"/>
      <c r="C31" s="29"/>
      <c r="D31" s="29"/>
      <c r="E31" s="29"/>
      <c r="F31" s="29"/>
    </row>
    <row r="32" customFormat="false" ht="17.15" hidden="false" customHeight="true" outlineLevel="0" collapsed="false">
      <c r="A32" s="29" t="s">
        <v>181</v>
      </c>
      <c r="B32" s="29"/>
      <c r="C32" s="29"/>
      <c r="D32" s="29"/>
      <c r="E32" s="29"/>
      <c r="F32" s="29"/>
    </row>
    <row r="33" customFormat="false" ht="17.15" hidden="false" customHeight="true" outlineLevel="0" collapsed="false">
      <c r="A33" s="29" t="s">
        <v>182</v>
      </c>
      <c r="B33" s="29"/>
      <c r="C33" s="29"/>
      <c r="D33" s="29"/>
      <c r="E33" s="29"/>
      <c r="F33" s="29"/>
    </row>
    <row r="34" customFormat="false" ht="17.15" hidden="false" customHeight="true" outlineLevel="0" collapsed="false">
      <c r="A34" s="30" t="s">
        <v>183</v>
      </c>
      <c r="B34" s="30"/>
      <c r="C34" s="30"/>
      <c r="D34" s="30"/>
      <c r="E34" s="30"/>
      <c r="F34" s="30"/>
    </row>
  </sheetData>
  <mergeCells count="12">
    <mergeCell ref="A1:F1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2026-10-23T14:31:06Z</dcterms:created>
  <dc:creator>openpyxl</dc:creator>
  <dc:description/>
  <dc:language>en-US</dc:language>
  <cp:lastModifiedBy/>
  <dcterms:modified xsi:type="dcterms:W3CDTF">2026-10-23T14:31:06Z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